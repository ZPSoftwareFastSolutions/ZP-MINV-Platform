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yectos Claude 2\Sistema Inventario\ZP-MINV-Platform\src\"/>
    </mc:Choice>
  </mc:AlternateContent>
  <xr:revisionPtr revIDLastSave="0" documentId="13_ncr:1_{CFDEDC01-A2DF-4E69-84C9-E9FC9AA793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0_PORTADA_BODEGA" sheetId="1" r:id="rId1"/>
    <sheet name="00_PORTADA_VENTAS" sheetId="2" r:id="rId2"/>
    <sheet name="00_PORTADA_GERENCIA" sheetId="3" r:id="rId3"/>
    <sheet name="01_CONFIG" sheetId="4" state="hidden" r:id="rId4"/>
    <sheet name="02_USUARIOS" sheetId="5" r:id="rId5"/>
    <sheet name="03_CATEGORIAS" sheetId="6" state="hidden" r:id="rId6"/>
    <sheet name="04_PROVEEDORES" sheetId="7" r:id="rId7"/>
    <sheet name="05_PRODUCTOS" sheetId="8" r:id="rId8"/>
    <sheet name="06_UNIDADES" sheetId="9" state="hidden" r:id="rId9"/>
    <sheet name="10A_ENTRADAS" sheetId="10" r:id="rId10"/>
    <sheet name="10B_SALIDAS" sheetId="11" r:id="rId11"/>
    <sheet name="13_CONTEO" sheetId="12" r:id="rId12"/>
    <sheet name="14_ACTIVIDAD" sheetId="13" r:id="rId13"/>
    <sheet name="15_STOCK" sheetId="14" r:id="rId14"/>
    <sheet name="16_ALERTAS" sheetId="15" r:id="rId15"/>
    <sheet name="17_CONSULTA" sheetId="16" r:id="rId16"/>
    <sheet name="18_PEDIDO" sheetId="17" r:id="rId17"/>
    <sheet name="90_LISTAS" sheetId="18" state="hidden" r:id="rId18"/>
    <sheet name="91_KPIS" sheetId="19" state="hidden" r:id="rId19"/>
    <sheet name="92_SESION" sheetId="20" state="hidden" r:id="rId20"/>
    <sheet name="99_AYUDA" sheetId="21" r:id="rId21"/>
  </sheets>
  <definedNames>
    <definedName name="cfgBodega">'01_CONFIG'!$C$11</definedName>
    <definedName name="cfgDiasSinRotacion">'01_CONFIG'!$C$14</definedName>
    <definedName name="cfgEdicion">'01_CONFIG'!$C$17</definedName>
    <definedName name="cfgEmpresa">'01_CONFIG'!$C$9</definedName>
    <definedName name="cfgFechaBuild">'01_CONFIG'!$C$18</definedName>
    <definedName name="cfgFechaMin">'01_CONFIG'!$C$15</definedName>
    <definedName name="cfgMargenAlerta">'01_CONFIG'!$C$13</definedName>
    <definedName name="cfgMoneda">'01_CONFIG'!$C$12</definedName>
    <definedName name="cfgNIT">'01_CONFIG'!$C$10</definedName>
    <definedName name="cfgProveedor">'01_CONFIG'!$C$19</definedName>
    <definedName name="cfgVersion">'01_CONFIG'!$C$16</definedName>
    <definedName name="ctConfirmar">'13_CONTEO'!$H$7</definedName>
    <definedName name="ctFecha">'13_CONTEO'!$D$7</definedName>
    <definedName name="ctResultado">'13_CONTEO'!$I$7</definedName>
    <definedName name="kpiActivos">'91_KPIS'!$C$9</definedName>
    <definedName name="kpiAdmins">'91_KPIS'!$C$12</definedName>
    <definedName name="kpiAgotados">'91_KPIS'!$C$16</definedName>
    <definedName name="kpiAjustesMes">'91_KPIS'!$C$33</definedName>
    <definedName name="kpiBajos">'91_KPIS'!$C$18</definedName>
    <definedName name="kpiBloqMes">'91_KPIS'!$C$50</definedName>
    <definedName name="kpiCatalogo">'91_KPIS'!$C$8</definedName>
    <definedName name="kpiCobMed">'91_KPIS'!$C$42</definedName>
    <definedName name="kpiConteoContados">'91_KPIS'!$C$46</definedName>
    <definedName name="kpiConteoDif">'91_KPIS'!$C$47</definedName>
    <definedName name="kpiConteoValor">'91_KPIS'!$C$48</definedName>
    <definedName name="kpiCriticos">'91_KPIS'!$C$17</definedName>
    <definedName name="kpiDisponibles">'91_KPIS'!$C$24</definedName>
    <definedName name="kpiEjecuciones">'91_KPIS'!$C$49</definedName>
    <definedName name="kpiEnAlerta">'91_KPIS'!$C$22</definedName>
    <definedName name="kpiEntradasHoy">'91_KPIS'!$C$32</definedName>
    <definedName name="kpiInactivos">'91_KPIS'!$C$21</definedName>
    <definedName name="kpiInconsistentes">'91_KPIS'!$C$15</definedName>
    <definedName name="kpiMovMes">'91_KPIS'!$C$40</definedName>
    <definedName name="kpiNuevosDesdeCalculo">'91_KPIS'!$C$38</definedName>
    <definedName name="kpiOptimos">'91_KPIS'!$C$19</definedName>
    <definedName name="kpiPedidoLineas">'91_KPIS'!$C$43</definedName>
    <definedName name="kpiPedidoProv">'91_KPIS'!$C$45</definedName>
    <definedName name="kpiPedidoTotal">'91_KPIS'!$C$44</definedName>
    <definedName name="kpiPendEnt">'91_KPIS'!$C$30</definedName>
    <definedName name="kpiPendSal">'91_KPIS'!$C$31</definedName>
    <definedName name="kpiProveedores">'91_KPIS'!$C$10</definedName>
    <definedName name="kpiRechazos">'91_KPIS'!$C$39</definedName>
    <definedName name="kpiRechEnt">'91_KPIS'!$C$28</definedName>
    <definedName name="kpiRechSal">'91_KPIS'!$C$29</definedName>
    <definedName name="kpiRegEnt">'91_KPIS'!$C$26</definedName>
    <definedName name="kpiRegSal">'91_KPIS'!$C$27</definedName>
    <definedName name="kpiSaldosIni">'91_KPIS'!$C$34</definedName>
    <definedName name="kpiSalidasHoy">'91_KPIS'!$C$35</definedName>
    <definedName name="kpiSalidasMes">'91_KPIS'!$C$37</definedName>
    <definedName name="kpiSinRotacion">'91_KPIS'!$C$25</definedName>
    <definedName name="kpiSobrestock">'91_KPIS'!$C$20</definedName>
    <definedName name="kpiUltProd">'91_KPIS'!$C$13</definedName>
    <definedName name="kpiUltProv">'91_KPIS'!$C$14</definedName>
    <definedName name="kpiUnid30">'91_KPIS'!$C$41</definedName>
    <definedName name="kpiUnidadesHoy">'91_KPIS'!$C$36</definedName>
    <definedName name="kpiUsuarios">'91_KPIS'!$C$11</definedName>
    <definedName name="kpiValor">'91_KPIS'!$C$23</definedName>
    <definedName name="lstCategorias">tblCategorias[Categoría]</definedName>
    <definedName name="lstProductos">OFFSET('05_PRODUCTOS'!$L$8,0,0,MAX(1,kpiUltProd),1)</definedName>
    <definedName name="lstProveedores">OFFSET('04_PROVEEDORES'!$B$8,0,0,MAX(1,kpiUltProv),1)</definedName>
    <definedName name="lstRoles">'90_LISTAS'!$D$8:$D$11</definedName>
    <definedName name="lstTiposBodega">'90_LISTAS'!$B$8:$B$11</definedName>
    <definedName name="lstUniCod">tblUnidades[Código]</definedName>
    <definedName name="lstUniDec">tblUnidades[Decimales]</definedName>
    <definedName name="stkActualizado">'01_CONFIG'!$C$20</definedName>
    <definedName name="stkActualizadoNombre">'01_CONFIG'!$C$22</definedName>
    <definedName name="stkActualizadoPor">'01_CONFIG'!$C$21</definedName>
    <definedName name="stkMovimientos">'01_CONFIG'!$C$23</definedName>
    <definedName name="_xlnm.Print_Titles" localSheetId="6">'04_PROVEEDORES'!$7:$7</definedName>
    <definedName name="_xlnm.Print_Titles" localSheetId="7">'05_PRODUCTOS'!$7:$7</definedName>
    <definedName name="_xlnm.Print_Titles" localSheetId="11">'13_CONTEO'!$8:$8</definedName>
    <definedName name="_xlnm.Print_Titles" localSheetId="12">'14_ACTIVIDAD'!$7:$7</definedName>
    <definedName name="_xlnm.Print_Titles" localSheetId="13">'15_STOCK'!$7:$7</definedName>
    <definedName name="_xlnm.Print_Titles" localSheetId="14">'16_ALERTAS'!$7:$7</definedName>
    <definedName name="_xlnm.Print_Titles" localSheetId="16">'18_PEDIDO'!$7:$7</definedName>
    <definedName name="txtAlertasBtn">'91_KPIS'!$C$59</definedName>
    <definedName name="txtBitacoras">'91_KPIS'!$C$62</definedName>
    <definedName name="txtEmpresa">'91_KPIS'!$C$52</definedName>
    <definedName name="txtFrescura">'91_KPIS'!$C$54</definedName>
    <definedName name="txtFrescuraCorta">'91_KPIS'!$C$55</definedName>
    <definedName name="txtHoy">'91_KPIS'!$C$51</definedName>
    <definedName name="txtPasoBodega">'91_KPIS'!$C$60</definedName>
    <definedName name="txtPasoGerencia">'91_KPIS'!$C$58</definedName>
    <definedName name="txtPasoVentas">'91_KPIS'!$C$61</definedName>
    <definedName name="txtPedidoBtn">'91_KPIS'!$C$56</definedName>
    <definedName name="txtStockActualizado">'91_KPIS'!$C$53</definedName>
    <definedName name="txtUltimaEjecucion">'91_KPIS'!$C$57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21" l="1"/>
  <c r="C53" i="19"/>
  <c r="C12" i="21" s="1"/>
  <c r="C52" i="19"/>
  <c r="C51" i="19"/>
  <c r="C50" i="19"/>
  <c r="C6" i="13" s="1"/>
  <c r="C49" i="19"/>
  <c r="B6" i="13" s="1"/>
  <c r="C46" i="19"/>
  <c r="C45" i="19"/>
  <c r="C6" i="17" s="1"/>
  <c r="C44" i="19"/>
  <c r="C43" i="19"/>
  <c r="C42" i="19"/>
  <c r="E21" i="3" s="1"/>
  <c r="C41" i="19"/>
  <c r="B21" i="3" s="1"/>
  <c r="C40" i="19"/>
  <c r="K17" i="3" s="1"/>
  <c r="C38" i="19"/>
  <c r="C37" i="19"/>
  <c r="E17" i="2" s="1"/>
  <c r="C36" i="19"/>
  <c r="B18" i="2" s="1"/>
  <c r="C35" i="19"/>
  <c r="B17" i="2" s="1"/>
  <c r="C34" i="19"/>
  <c r="C33" i="19"/>
  <c r="B18" i="1" s="1"/>
  <c r="C32" i="19"/>
  <c r="B17" i="1" s="1"/>
  <c r="C29" i="19"/>
  <c r="C6" i="11" s="1"/>
  <c r="C28" i="19"/>
  <c r="C27" i="19"/>
  <c r="B6" i="11" s="1"/>
  <c r="C26" i="19"/>
  <c r="C25" i="19"/>
  <c r="C24" i="19"/>
  <c r="H17" i="2" s="1"/>
  <c r="C23" i="19"/>
  <c r="C21" i="19"/>
  <c r="C20" i="19"/>
  <c r="C19" i="19"/>
  <c r="C18" i="19"/>
  <c r="C17" i="19"/>
  <c r="C16" i="19"/>
  <c r="C15" i="19"/>
  <c r="C22" i="19" s="1"/>
  <c r="C14" i="19"/>
  <c r="C13" i="19"/>
  <c r="C12" i="19"/>
  <c r="K22" i="3" s="1"/>
  <c r="C11" i="19"/>
  <c r="C10" i="19"/>
  <c r="C9" i="19"/>
  <c r="C8" i="19"/>
  <c r="F23" i="18"/>
  <c r="G23" i="18" s="1"/>
  <c r="F22" i="18"/>
  <c r="G22" i="18" s="1"/>
  <c r="F21" i="18"/>
  <c r="G21" i="18" s="1"/>
  <c r="F20" i="18"/>
  <c r="G20" i="18" s="1"/>
  <c r="F19" i="18"/>
  <c r="G19" i="18" s="1"/>
  <c r="F18" i="18"/>
  <c r="G18" i="18" s="1"/>
  <c r="F17" i="18"/>
  <c r="G17" i="18" s="1"/>
  <c r="L13" i="18"/>
  <c r="M13" i="18" s="1"/>
  <c r="I13" i="18"/>
  <c r="J13" i="18" s="1"/>
  <c r="G13" i="18"/>
  <c r="L12" i="18"/>
  <c r="M12" i="18" s="1"/>
  <c r="I12" i="18"/>
  <c r="J12" i="18" s="1"/>
  <c r="G12" i="18"/>
  <c r="L11" i="18"/>
  <c r="M11" i="18" s="1"/>
  <c r="I11" i="18"/>
  <c r="J11" i="18" s="1"/>
  <c r="G11" i="18"/>
  <c r="L10" i="18"/>
  <c r="M10" i="18" s="1"/>
  <c r="I10" i="18"/>
  <c r="J10" i="18" s="1"/>
  <c r="G10" i="18"/>
  <c r="L9" i="18"/>
  <c r="M9" i="18" s="1"/>
  <c r="I9" i="18"/>
  <c r="J9" i="18" s="1"/>
  <c r="G9" i="18"/>
  <c r="L8" i="18"/>
  <c r="M8" i="18" s="1"/>
  <c r="I8" i="18"/>
  <c r="J8" i="18" s="1"/>
  <c r="G8" i="18"/>
  <c r="B6" i="17"/>
  <c r="Q28" i="16"/>
  <c r="P28" i="16"/>
  <c r="M28" i="16"/>
  <c r="L28" i="16"/>
  <c r="K28" i="16"/>
  <c r="J28" i="16"/>
  <c r="I28" i="16"/>
  <c r="G28" i="16"/>
  <c r="F28" i="16"/>
  <c r="D28" i="16"/>
  <c r="B28" i="16"/>
  <c r="Q27" i="16"/>
  <c r="P27" i="16"/>
  <c r="O27" i="16"/>
  <c r="M27" i="16"/>
  <c r="N27" i="16" s="1"/>
  <c r="L27" i="16"/>
  <c r="K27" i="16"/>
  <c r="J27" i="16"/>
  <c r="I27" i="16"/>
  <c r="G27" i="16"/>
  <c r="F27" i="16"/>
  <c r="D27" i="16"/>
  <c r="B27" i="16"/>
  <c r="Q26" i="16"/>
  <c r="P26" i="16"/>
  <c r="O26" i="16"/>
  <c r="M26" i="16"/>
  <c r="N26" i="16" s="1"/>
  <c r="L26" i="16"/>
  <c r="K26" i="16"/>
  <c r="J26" i="16"/>
  <c r="I26" i="16"/>
  <c r="G26" i="16"/>
  <c r="F26" i="16"/>
  <c r="D26" i="16"/>
  <c r="B26" i="16"/>
  <c r="Q25" i="16"/>
  <c r="L25" i="16" s="1"/>
  <c r="P25" i="16"/>
  <c r="K25" i="16"/>
  <c r="J25" i="16"/>
  <c r="I25" i="16"/>
  <c r="G25" i="16"/>
  <c r="F25" i="16"/>
  <c r="D25" i="16"/>
  <c r="B25" i="16"/>
  <c r="Q24" i="16"/>
  <c r="P24" i="16"/>
  <c r="M24" i="16"/>
  <c r="N24" i="16" s="1"/>
  <c r="L24" i="16"/>
  <c r="K24" i="16"/>
  <c r="J24" i="16"/>
  <c r="I24" i="16"/>
  <c r="G24" i="16"/>
  <c r="F24" i="16"/>
  <c r="D24" i="16"/>
  <c r="B24" i="16"/>
  <c r="Q23" i="16"/>
  <c r="P23" i="16"/>
  <c r="M23" i="16"/>
  <c r="N23" i="16" s="1"/>
  <c r="L23" i="16"/>
  <c r="K23" i="16"/>
  <c r="J23" i="16"/>
  <c r="I23" i="16"/>
  <c r="G23" i="16"/>
  <c r="F23" i="16"/>
  <c r="D23" i="16"/>
  <c r="B23" i="16"/>
  <c r="Q22" i="16"/>
  <c r="P22" i="16"/>
  <c r="M22" i="16"/>
  <c r="L22" i="16"/>
  <c r="K22" i="16"/>
  <c r="J22" i="16"/>
  <c r="I22" i="16"/>
  <c r="G22" i="16"/>
  <c r="F22" i="16"/>
  <c r="D22" i="16"/>
  <c r="B22" i="16"/>
  <c r="Q21" i="16"/>
  <c r="P21" i="16"/>
  <c r="O21" i="16"/>
  <c r="M21" i="16"/>
  <c r="L21" i="16"/>
  <c r="K21" i="16"/>
  <c r="J21" i="16"/>
  <c r="I21" i="16"/>
  <c r="G21" i="16"/>
  <c r="F21" i="16"/>
  <c r="D21" i="16"/>
  <c r="B21" i="16"/>
  <c r="Q20" i="16"/>
  <c r="P20" i="16"/>
  <c r="O20" i="16"/>
  <c r="M20" i="16"/>
  <c r="N20" i="16" s="1"/>
  <c r="L20" i="16"/>
  <c r="K20" i="16"/>
  <c r="J20" i="16"/>
  <c r="I20" i="16"/>
  <c r="G20" i="16"/>
  <c r="F20" i="16"/>
  <c r="D20" i="16"/>
  <c r="B20" i="16"/>
  <c r="Q19" i="16"/>
  <c r="O19" i="16" s="1"/>
  <c r="P19" i="16"/>
  <c r="N19" i="16"/>
  <c r="M19" i="16"/>
  <c r="L19" i="16"/>
  <c r="K19" i="16"/>
  <c r="J19" i="16"/>
  <c r="I19" i="16"/>
  <c r="G19" i="16"/>
  <c r="F19" i="16"/>
  <c r="D19" i="16"/>
  <c r="B19" i="16"/>
  <c r="Q18" i="16"/>
  <c r="O18" i="16" s="1"/>
  <c r="P18" i="16"/>
  <c r="N18" i="16"/>
  <c r="M18" i="16"/>
  <c r="L18" i="16"/>
  <c r="K18" i="16"/>
  <c r="J18" i="16"/>
  <c r="I18" i="16"/>
  <c r="G18" i="16"/>
  <c r="F18" i="16"/>
  <c r="D18" i="16"/>
  <c r="B18" i="16"/>
  <c r="Q17" i="16"/>
  <c r="P17" i="16"/>
  <c r="M17" i="16"/>
  <c r="N17" i="16" s="1"/>
  <c r="L17" i="16"/>
  <c r="K17" i="16"/>
  <c r="J17" i="16"/>
  <c r="I17" i="16"/>
  <c r="G17" i="16"/>
  <c r="F17" i="16"/>
  <c r="D17" i="16"/>
  <c r="B17" i="16"/>
  <c r="Q16" i="16"/>
  <c r="P16" i="16"/>
  <c r="N16" i="16"/>
  <c r="M16" i="16"/>
  <c r="L16" i="16"/>
  <c r="K16" i="16"/>
  <c r="J16" i="16"/>
  <c r="I16" i="16"/>
  <c r="G16" i="16"/>
  <c r="F16" i="16"/>
  <c r="D16" i="16"/>
  <c r="B16" i="16"/>
  <c r="Q15" i="16"/>
  <c r="P15" i="16"/>
  <c r="M15" i="16"/>
  <c r="L15" i="16"/>
  <c r="K15" i="16"/>
  <c r="J15" i="16"/>
  <c r="I15" i="16"/>
  <c r="G15" i="16"/>
  <c r="F15" i="16"/>
  <c r="D15" i="16"/>
  <c r="Q14" i="16"/>
  <c r="M14" i="16"/>
  <c r="N14" i="16" s="1"/>
  <c r="L14" i="16"/>
  <c r="K14" i="16"/>
  <c r="J14" i="16"/>
  <c r="I14" i="16"/>
  <c r="G14" i="16"/>
  <c r="F14" i="16"/>
  <c r="D14" i="16"/>
  <c r="Q13" i="16"/>
  <c r="Q12" i="16"/>
  <c r="Q11" i="16"/>
  <c r="M11" i="16"/>
  <c r="L11" i="16"/>
  <c r="K11" i="16"/>
  <c r="J11" i="16"/>
  <c r="I11" i="16"/>
  <c r="G11" i="16"/>
  <c r="F11" i="16"/>
  <c r="D11" i="16"/>
  <c r="Q10" i="16"/>
  <c r="Q9" i="16"/>
  <c r="M9" i="16"/>
  <c r="N9" i="16" s="1"/>
  <c r="L9" i="16"/>
  <c r="K9" i="16"/>
  <c r="J9" i="16"/>
  <c r="I9" i="16"/>
  <c r="G9" i="16"/>
  <c r="F9" i="16"/>
  <c r="D9" i="16"/>
  <c r="B6" i="16"/>
  <c r="B6" i="15"/>
  <c r="B6" i="14"/>
  <c r="B508" i="12"/>
  <c r="B507" i="12"/>
  <c r="B506" i="12"/>
  <c r="B505" i="12"/>
  <c r="B504" i="12"/>
  <c r="B503" i="12"/>
  <c r="B502" i="12"/>
  <c r="F502" i="12" s="1"/>
  <c r="B501" i="12"/>
  <c r="B500" i="12"/>
  <c r="B499" i="12"/>
  <c r="B498" i="12"/>
  <c r="B497" i="12"/>
  <c r="B496" i="12"/>
  <c r="B495" i="12"/>
  <c r="B494" i="12"/>
  <c r="G494" i="12" s="1"/>
  <c r="B493" i="12"/>
  <c r="B492" i="12"/>
  <c r="B491" i="12"/>
  <c r="H491" i="12" s="1"/>
  <c r="B490" i="12"/>
  <c r="H490" i="12" s="1"/>
  <c r="B489" i="12"/>
  <c r="B488" i="12"/>
  <c r="B487" i="12"/>
  <c r="B486" i="12"/>
  <c r="B485" i="12"/>
  <c r="B484" i="12"/>
  <c r="B483" i="12"/>
  <c r="B482" i="12"/>
  <c r="B481" i="12"/>
  <c r="B480" i="12"/>
  <c r="B479" i="12"/>
  <c r="B478" i="12"/>
  <c r="B477" i="12"/>
  <c r="B476" i="12"/>
  <c r="B475" i="12"/>
  <c r="B474" i="12"/>
  <c r="B473" i="12"/>
  <c r="B472" i="12"/>
  <c r="B471" i="12"/>
  <c r="B470" i="12"/>
  <c r="B469" i="12"/>
  <c r="B468" i="12"/>
  <c r="B467" i="12"/>
  <c r="B466" i="12"/>
  <c r="B465" i="12"/>
  <c r="B464" i="12"/>
  <c r="B463" i="12"/>
  <c r="B462" i="12"/>
  <c r="B461" i="12"/>
  <c r="B460" i="12"/>
  <c r="B459" i="12"/>
  <c r="B458" i="12"/>
  <c r="B457" i="12"/>
  <c r="B456" i="12"/>
  <c r="B455" i="12"/>
  <c r="B454" i="12"/>
  <c r="B453" i="12"/>
  <c r="B452" i="12"/>
  <c r="B451" i="12"/>
  <c r="B450" i="12"/>
  <c r="B449" i="12"/>
  <c r="B448" i="12"/>
  <c r="B447" i="12"/>
  <c r="B446" i="12"/>
  <c r="B445" i="12"/>
  <c r="B444" i="12"/>
  <c r="B443" i="12"/>
  <c r="B442" i="12"/>
  <c r="B441" i="12"/>
  <c r="B440" i="12"/>
  <c r="B439" i="12"/>
  <c r="B438" i="12"/>
  <c r="B437" i="12"/>
  <c r="B436" i="12"/>
  <c r="B435" i="12"/>
  <c r="B434" i="12"/>
  <c r="B433" i="12"/>
  <c r="B432" i="12"/>
  <c r="B431" i="12"/>
  <c r="B430" i="12"/>
  <c r="B429" i="12"/>
  <c r="B428" i="12"/>
  <c r="B427" i="12"/>
  <c r="B426" i="12"/>
  <c r="B425" i="12"/>
  <c r="B424" i="12"/>
  <c r="B423" i="12"/>
  <c r="B422" i="12"/>
  <c r="B421" i="12"/>
  <c r="B420" i="12"/>
  <c r="B419" i="12"/>
  <c r="B418" i="12"/>
  <c r="B417" i="12"/>
  <c r="B416" i="12"/>
  <c r="B415" i="12"/>
  <c r="B414" i="12"/>
  <c r="B413" i="12"/>
  <c r="B412" i="12"/>
  <c r="B411" i="12"/>
  <c r="B410" i="12"/>
  <c r="B409" i="12"/>
  <c r="B408" i="12"/>
  <c r="B407" i="12"/>
  <c r="B406" i="12"/>
  <c r="B405" i="12"/>
  <c r="B404" i="12"/>
  <c r="B403" i="12"/>
  <c r="B402" i="12"/>
  <c r="B401" i="12"/>
  <c r="B400" i="12"/>
  <c r="B399" i="12"/>
  <c r="B398" i="12"/>
  <c r="B397" i="12"/>
  <c r="B396" i="12"/>
  <c r="B395" i="12"/>
  <c r="B394" i="12"/>
  <c r="B393" i="12"/>
  <c r="B392" i="12"/>
  <c r="B391" i="12"/>
  <c r="B390" i="12"/>
  <c r="B389" i="12"/>
  <c r="B388" i="12"/>
  <c r="B387" i="12"/>
  <c r="B386" i="12"/>
  <c r="B385" i="12"/>
  <c r="B384" i="12"/>
  <c r="B383" i="12"/>
  <c r="B382" i="12"/>
  <c r="B381" i="12"/>
  <c r="B380" i="12"/>
  <c r="B379" i="12"/>
  <c r="B378" i="12"/>
  <c r="B377" i="12"/>
  <c r="B376" i="12"/>
  <c r="B375" i="12"/>
  <c r="B374" i="12"/>
  <c r="B373" i="12"/>
  <c r="B372" i="12"/>
  <c r="B371" i="12"/>
  <c r="B370" i="12"/>
  <c r="B369" i="12"/>
  <c r="B368" i="12"/>
  <c r="B367" i="12"/>
  <c r="B366" i="12"/>
  <c r="B365" i="12"/>
  <c r="B364" i="12"/>
  <c r="B363" i="12"/>
  <c r="B362" i="12"/>
  <c r="B361" i="12"/>
  <c r="B360" i="12"/>
  <c r="B359" i="12"/>
  <c r="B358" i="12"/>
  <c r="B357" i="12"/>
  <c r="B356" i="12"/>
  <c r="B355" i="12"/>
  <c r="B354" i="12"/>
  <c r="B353" i="12"/>
  <c r="B352" i="12"/>
  <c r="B351" i="12"/>
  <c r="B350" i="12"/>
  <c r="B349" i="12"/>
  <c r="B348" i="12"/>
  <c r="B347" i="12"/>
  <c r="B346" i="12"/>
  <c r="B345" i="12"/>
  <c r="B344" i="12"/>
  <c r="B343" i="12"/>
  <c r="B342" i="12"/>
  <c r="B341" i="12"/>
  <c r="B340" i="12"/>
  <c r="B339" i="12"/>
  <c r="B338" i="12"/>
  <c r="B337" i="12"/>
  <c r="B336" i="12"/>
  <c r="B335" i="12"/>
  <c r="B334" i="12"/>
  <c r="B333" i="12"/>
  <c r="B332" i="12"/>
  <c r="B331" i="12"/>
  <c r="B330" i="12"/>
  <c r="B329" i="12"/>
  <c r="B328" i="12"/>
  <c r="B327" i="12"/>
  <c r="B326" i="12"/>
  <c r="B325" i="12"/>
  <c r="B324" i="12"/>
  <c r="B323" i="12"/>
  <c r="B322" i="12"/>
  <c r="B321" i="12"/>
  <c r="B320" i="12"/>
  <c r="B319" i="12"/>
  <c r="B318" i="12"/>
  <c r="B317" i="12"/>
  <c r="B316" i="12"/>
  <c r="B315" i="12"/>
  <c r="B314" i="12"/>
  <c r="B313" i="12"/>
  <c r="B312" i="12"/>
  <c r="B311" i="12"/>
  <c r="B310" i="12"/>
  <c r="B309" i="12"/>
  <c r="B308" i="12"/>
  <c r="B307" i="12"/>
  <c r="B306" i="12"/>
  <c r="B305" i="12"/>
  <c r="B304" i="12"/>
  <c r="B303" i="12"/>
  <c r="B302" i="12"/>
  <c r="B301" i="12"/>
  <c r="B300" i="12"/>
  <c r="B299" i="12"/>
  <c r="B298" i="12"/>
  <c r="B297" i="12"/>
  <c r="B296" i="12"/>
  <c r="B295" i="12"/>
  <c r="B294" i="12"/>
  <c r="B293" i="12"/>
  <c r="B292" i="12"/>
  <c r="B291" i="12"/>
  <c r="B290" i="12"/>
  <c r="B289" i="12"/>
  <c r="B288" i="12"/>
  <c r="B287" i="12"/>
  <c r="B286" i="12"/>
  <c r="B285" i="12"/>
  <c r="B284" i="12"/>
  <c r="B283" i="12"/>
  <c r="B282" i="12"/>
  <c r="B281" i="12"/>
  <c r="B280" i="12"/>
  <c r="B279" i="12"/>
  <c r="B278" i="12"/>
  <c r="B277" i="12"/>
  <c r="B276" i="12"/>
  <c r="B275" i="12"/>
  <c r="B274" i="12"/>
  <c r="B273" i="12"/>
  <c r="B272" i="12"/>
  <c r="B271" i="12"/>
  <c r="B270" i="12"/>
  <c r="B269" i="12"/>
  <c r="B268" i="12"/>
  <c r="B267" i="12"/>
  <c r="B266" i="12"/>
  <c r="B265" i="12"/>
  <c r="B264" i="12"/>
  <c r="B263" i="12"/>
  <c r="B262" i="12"/>
  <c r="B261" i="12"/>
  <c r="B260" i="12"/>
  <c r="B259" i="12"/>
  <c r="B258" i="12"/>
  <c r="B257" i="12"/>
  <c r="B256" i="12"/>
  <c r="B255" i="12"/>
  <c r="B254" i="12"/>
  <c r="B253" i="12"/>
  <c r="B252" i="12"/>
  <c r="B251" i="12"/>
  <c r="B250" i="12"/>
  <c r="B249" i="12"/>
  <c r="B248" i="12"/>
  <c r="B247" i="12"/>
  <c r="B246" i="12"/>
  <c r="B245" i="12"/>
  <c r="B244" i="12"/>
  <c r="B24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26" i="12"/>
  <c r="B225" i="12"/>
  <c r="B224" i="12"/>
  <c r="B223" i="12"/>
  <c r="B222" i="12"/>
  <c r="B221" i="12"/>
  <c r="B220" i="12"/>
  <c r="B219" i="12"/>
  <c r="B218" i="12"/>
  <c r="B217" i="12"/>
  <c r="B216" i="12"/>
  <c r="B215" i="12"/>
  <c r="B214" i="12"/>
  <c r="B213" i="12"/>
  <c r="B212" i="12"/>
  <c r="B211" i="12"/>
  <c r="B210" i="12"/>
  <c r="B20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O23" i="11"/>
  <c r="L23" i="11"/>
  <c r="J23" i="11"/>
  <c r="I23" i="11"/>
  <c r="O22" i="11"/>
  <c r="L22" i="11"/>
  <c r="J22" i="11"/>
  <c r="I22" i="11"/>
  <c r="O21" i="11"/>
  <c r="L21" i="11"/>
  <c r="J21" i="11"/>
  <c r="I21" i="11"/>
  <c r="O20" i="11"/>
  <c r="L20" i="11"/>
  <c r="J20" i="11"/>
  <c r="I20" i="11"/>
  <c r="O19" i="11"/>
  <c r="L19" i="11"/>
  <c r="J19" i="11"/>
  <c r="I19" i="11"/>
  <c r="O18" i="11"/>
  <c r="L18" i="11"/>
  <c r="J18" i="11"/>
  <c r="I18" i="11"/>
  <c r="O17" i="11"/>
  <c r="L17" i="11"/>
  <c r="J17" i="11"/>
  <c r="I17" i="11"/>
  <c r="O16" i="11"/>
  <c r="L16" i="11"/>
  <c r="J16" i="11"/>
  <c r="I16" i="11"/>
  <c r="O15" i="11"/>
  <c r="L15" i="11"/>
  <c r="J15" i="11"/>
  <c r="I15" i="11"/>
  <c r="O14" i="11"/>
  <c r="L14" i="11"/>
  <c r="J14" i="11"/>
  <c r="I14" i="11"/>
  <c r="O13" i="11"/>
  <c r="L13" i="11"/>
  <c r="J13" i="11"/>
  <c r="I13" i="11"/>
  <c r="O12" i="11"/>
  <c r="L12" i="11"/>
  <c r="J12" i="11"/>
  <c r="I12" i="11"/>
  <c r="O11" i="11"/>
  <c r="L11" i="11"/>
  <c r="I11" i="11"/>
  <c r="O10" i="11"/>
  <c r="O9" i="11"/>
  <c r="L9" i="11"/>
  <c r="J9" i="11"/>
  <c r="I9" i="11"/>
  <c r="O23" i="10"/>
  <c r="L23" i="10" s="1"/>
  <c r="I23" i="10" s="1"/>
  <c r="M23" i="10"/>
  <c r="J23" i="10"/>
  <c r="O22" i="10"/>
  <c r="M22" i="10"/>
  <c r="L22" i="10"/>
  <c r="J22" i="10"/>
  <c r="I22" i="10"/>
  <c r="P22" i="10" s="1"/>
  <c r="O21" i="10"/>
  <c r="M21" i="10"/>
  <c r="L21" i="10"/>
  <c r="J21" i="10"/>
  <c r="I21" i="10"/>
  <c r="P21" i="10" s="1"/>
  <c r="O20" i="10"/>
  <c r="M20" i="10"/>
  <c r="L20" i="10"/>
  <c r="J20" i="10"/>
  <c r="I20" i="10"/>
  <c r="P20" i="10" s="1"/>
  <c r="O19" i="10"/>
  <c r="M19" i="10"/>
  <c r="L19" i="10"/>
  <c r="J19" i="10"/>
  <c r="I19" i="10"/>
  <c r="P19" i="10" s="1"/>
  <c r="O18" i="10"/>
  <c r="M18" i="10"/>
  <c r="L18" i="10"/>
  <c r="J18" i="10"/>
  <c r="I18" i="10"/>
  <c r="P18" i="10" s="1"/>
  <c r="O17" i="10"/>
  <c r="M17" i="10"/>
  <c r="L17" i="10"/>
  <c r="J17" i="10"/>
  <c r="I17" i="10"/>
  <c r="P17" i="10" s="1"/>
  <c r="O16" i="10"/>
  <c r="L16" i="10" s="1"/>
  <c r="I16" i="10" s="1"/>
  <c r="M16" i="10"/>
  <c r="J16" i="10"/>
  <c r="O15" i="10"/>
  <c r="M15" i="10"/>
  <c r="L15" i="10"/>
  <c r="J15" i="10"/>
  <c r="I15" i="10"/>
  <c r="P15" i="10" s="1"/>
  <c r="O14" i="10"/>
  <c r="L14" i="10" s="1"/>
  <c r="I14" i="10" s="1"/>
  <c r="M14" i="10"/>
  <c r="J14" i="10"/>
  <c r="O13" i="10"/>
  <c r="M13" i="10"/>
  <c r="L13" i="10"/>
  <c r="J13" i="10"/>
  <c r="I13" i="10"/>
  <c r="P13" i="10" s="1"/>
  <c r="O12" i="10"/>
  <c r="L12" i="10" s="1"/>
  <c r="I12" i="10" s="1"/>
  <c r="P12" i="10" s="1"/>
  <c r="M12" i="10"/>
  <c r="J12" i="10"/>
  <c r="O11" i="10"/>
  <c r="M11" i="10"/>
  <c r="L11" i="10"/>
  <c r="J11" i="10"/>
  <c r="I11" i="10"/>
  <c r="P11" i="10" s="1"/>
  <c r="O10" i="10"/>
  <c r="M10" i="10"/>
  <c r="O9" i="10"/>
  <c r="M9" i="10"/>
  <c r="L9" i="10"/>
  <c r="J9" i="10"/>
  <c r="I9" i="10"/>
  <c r="P9" i="10" s="1"/>
  <c r="N507" i="8"/>
  <c r="M507" i="8"/>
  <c r="L507" i="8"/>
  <c r="N506" i="8"/>
  <c r="M506" i="8"/>
  <c r="L506" i="8"/>
  <c r="N505" i="8"/>
  <c r="M505" i="8"/>
  <c r="L505" i="8"/>
  <c r="N504" i="8"/>
  <c r="M504" i="8"/>
  <c r="L504" i="8"/>
  <c r="N503" i="8"/>
  <c r="M503" i="8"/>
  <c r="L503" i="8"/>
  <c r="N502" i="8"/>
  <c r="M502" i="8"/>
  <c r="L502" i="8"/>
  <c r="N501" i="8"/>
  <c r="M501" i="8"/>
  <c r="L501" i="8"/>
  <c r="N500" i="8"/>
  <c r="M500" i="8"/>
  <c r="L500" i="8"/>
  <c r="N499" i="8"/>
  <c r="M499" i="8"/>
  <c r="L499" i="8"/>
  <c r="N498" i="8"/>
  <c r="M498" i="8"/>
  <c r="L498" i="8"/>
  <c r="N497" i="8"/>
  <c r="M497" i="8"/>
  <c r="L497" i="8"/>
  <c r="N496" i="8"/>
  <c r="M496" i="8"/>
  <c r="L496" i="8"/>
  <c r="N495" i="8"/>
  <c r="M495" i="8"/>
  <c r="L495" i="8"/>
  <c r="N494" i="8"/>
  <c r="M494" i="8"/>
  <c r="L494" i="8"/>
  <c r="N493" i="8"/>
  <c r="M493" i="8"/>
  <c r="L493" i="8"/>
  <c r="N492" i="8"/>
  <c r="M492" i="8"/>
  <c r="L492" i="8"/>
  <c r="N491" i="8"/>
  <c r="M491" i="8"/>
  <c r="L491" i="8"/>
  <c r="N490" i="8"/>
  <c r="M490" i="8"/>
  <c r="L490" i="8"/>
  <c r="N489" i="8"/>
  <c r="M489" i="8"/>
  <c r="L489" i="8"/>
  <c r="N488" i="8"/>
  <c r="M488" i="8"/>
  <c r="L488" i="8"/>
  <c r="N487" i="8"/>
  <c r="M487" i="8"/>
  <c r="L487" i="8"/>
  <c r="N486" i="8"/>
  <c r="M486" i="8"/>
  <c r="L486" i="8"/>
  <c r="N485" i="8"/>
  <c r="M485" i="8"/>
  <c r="L485" i="8"/>
  <c r="N484" i="8"/>
  <c r="M484" i="8"/>
  <c r="L484" i="8"/>
  <c r="N483" i="8"/>
  <c r="M483" i="8"/>
  <c r="L483" i="8"/>
  <c r="N482" i="8"/>
  <c r="M482" i="8"/>
  <c r="L482" i="8"/>
  <c r="N481" i="8"/>
  <c r="M481" i="8"/>
  <c r="L481" i="8"/>
  <c r="N480" i="8"/>
  <c r="M480" i="8"/>
  <c r="L480" i="8"/>
  <c r="N479" i="8"/>
  <c r="M479" i="8"/>
  <c r="L479" i="8"/>
  <c r="N478" i="8"/>
  <c r="M478" i="8"/>
  <c r="L478" i="8"/>
  <c r="N477" i="8"/>
  <c r="M477" i="8"/>
  <c r="L477" i="8"/>
  <c r="N476" i="8"/>
  <c r="M476" i="8"/>
  <c r="L476" i="8"/>
  <c r="N475" i="8"/>
  <c r="M475" i="8"/>
  <c r="L475" i="8"/>
  <c r="N474" i="8"/>
  <c r="M474" i="8"/>
  <c r="L474" i="8"/>
  <c r="N473" i="8"/>
  <c r="M473" i="8"/>
  <c r="L473" i="8"/>
  <c r="N472" i="8"/>
  <c r="M472" i="8"/>
  <c r="L472" i="8"/>
  <c r="N471" i="8"/>
  <c r="M471" i="8"/>
  <c r="L471" i="8"/>
  <c r="N470" i="8"/>
  <c r="M470" i="8"/>
  <c r="L470" i="8"/>
  <c r="N469" i="8"/>
  <c r="M469" i="8"/>
  <c r="L469" i="8"/>
  <c r="N468" i="8"/>
  <c r="M468" i="8"/>
  <c r="L468" i="8"/>
  <c r="N467" i="8"/>
  <c r="M467" i="8"/>
  <c r="L467" i="8"/>
  <c r="N466" i="8"/>
  <c r="M466" i="8"/>
  <c r="L466" i="8"/>
  <c r="N465" i="8"/>
  <c r="M465" i="8"/>
  <c r="L465" i="8"/>
  <c r="N464" i="8"/>
  <c r="M464" i="8"/>
  <c r="L464" i="8"/>
  <c r="N463" i="8"/>
  <c r="M463" i="8"/>
  <c r="L463" i="8"/>
  <c r="N462" i="8"/>
  <c r="M462" i="8"/>
  <c r="L462" i="8"/>
  <c r="N461" i="8"/>
  <c r="M461" i="8"/>
  <c r="L461" i="8"/>
  <c r="N460" i="8"/>
  <c r="M460" i="8"/>
  <c r="L460" i="8"/>
  <c r="N459" i="8"/>
  <c r="M459" i="8"/>
  <c r="L459" i="8"/>
  <c r="N458" i="8"/>
  <c r="M458" i="8"/>
  <c r="L458" i="8"/>
  <c r="N457" i="8"/>
  <c r="M457" i="8"/>
  <c r="L457" i="8"/>
  <c r="N456" i="8"/>
  <c r="M456" i="8"/>
  <c r="L456" i="8"/>
  <c r="N455" i="8"/>
  <c r="M455" i="8"/>
  <c r="L455" i="8"/>
  <c r="N454" i="8"/>
  <c r="M454" i="8"/>
  <c r="L454" i="8"/>
  <c r="N453" i="8"/>
  <c r="M453" i="8"/>
  <c r="L453" i="8"/>
  <c r="N452" i="8"/>
  <c r="M452" i="8"/>
  <c r="L452" i="8"/>
  <c r="N451" i="8"/>
  <c r="M451" i="8"/>
  <c r="L451" i="8"/>
  <c r="N450" i="8"/>
  <c r="M450" i="8"/>
  <c r="L450" i="8"/>
  <c r="N449" i="8"/>
  <c r="M449" i="8"/>
  <c r="L449" i="8"/>
  <c r="N448" i="8"/>
  <c r="M448" i="8"/>
  <c r="L448" i="8"/>
  <c r="N447" i="8"/>
  <c r="M447" i="8"/>
  <c r="L447" i="8"/>
  <c r="N446" i="8"/>
  <c r="M446" i="8"/>
  <c r="L446" i="8"/>
  <c r="N445" i="8"/>
  <c r="M445" i="8"/>
  <c r="L445" i="8"/>
  <c r="N444" i="8"/>
  <c r="M444" i="8"/>
  <c r="L444" i="8"/>
  <c r="N443" i="8"/>
  <c r="M443" i="8"/>
  <c r="L443" i="8"/>
  <c r="N442" i="8"/>
  <c r="M442" i="8"/>
  <c r="L442" i="8"/>
  <c r="N441" i="8"/>
  <c r="M441" i="8"/>
  <c r="L441" i="8"/>
  <c r="N440" i="8"/>
  <c r="M440" i="8"/>
  <c r="L440" i="8"/>
  <c r="N439" i="8"/>
  <c r="M439" i="8"/>
  <c r="L439" i="8"/>
  <c r="N438" i="8"/>
  <c r="M438" i="8"/>
  <c r="L438" i="8"/>
  <c r="N437" i="8"/>
  <c r="M437" i="8"/>
  <c r="L437" i="8"/>
  <c r="N436" i="8"/>
  <c r="M436" i="8"/>
  <c r="L436" i="8"/>
  <c r="N435" i="8"/>
  <c r="M435" i="8"/>
  <c r="L435" i="8"/>
  <c r="N434" i="8"/>
  <c r="M434" i="8"/>
  <c r="L434" i="8"/>
  <c r="N433" i="8"/>
  <c r="M433" i="8"/>
  <c r="L433" i="8"/>
  <c r="N432" i="8"/>
  <c r="M432" i="8"/>
  <c r="L432" i="8"/>
  <c r="N431" i="8"/>
  <c r="M431" i="8"/>
  <c r="L431" i="8"/>
  <c r="N430" i="8"/>
  <c r="M430" i="8"/>
  <c r="L430" i="8"/>
  <c r="N429" i="8"/>
  <c r="M429" i="8"/>
  <c r="L429" i="8"/>
  <c r="N428" i="8"/>
  <c r="M428" i="8"/>
  <c r="L428" i="8"/>
  <c r="N427" i="8"/>
  <c r="M427" i="8"/>
  <c r="L427" i="8"/>
  <c r="N426" i="8"/>
  <c r="M426" i="8"/>
  <c r="L426" i="8"/>
  <c r="N425" i="8"/>
  <c r="M425" i="8"/>
  <c r="L425" i="8"/>
  <c r="N424" i="8"/>
  <c r="M424" i="8"/>
  <c r="L424" i="8"/>
  <c r="N423" i="8"/>
  <c r="M423" i="8"/>
  <c r="L423" i="8"/>
  <c r="N422" i="8"/>
  <c r="M422" i="8"/>
  <c r="L422" i="8"/>
  <c r="N421" i="8"/>
  <c r="M421" i="8"/>
  <c r="L421" i="8"/>
  <c r="N420" i="8"/>
  <c r="M420" i="8"/>
  <c r="L420" i="8"/>
  <c r="N419" i="8"/>
  <c r="M419" i="8"/>
  <c r="L419" i="8"/>
  <c r="N418" i="8"/>
  <c r="M418" i="8"/>
  <c r="L418" i="8"/>
  <c r="N417" i="8"/>
  <c r="M417" i="8"/>
  <c r="L417" i="8"/>
  <c r="N416" i="8"/>
  <c r="M416" i="8"/>
  <c r="L416" i="8"/>
  <c r="N415" i="8"/>
  <c r="M415" i="8"/>
  <c r="L415" i="8"/>
  <c r="N414" i="8"/>
  <c r="M414" i="8"/>
  <c r="L414" i="8"/>
  <c r="N413" i="8"/>
  <c r="M413" i="8"/>
  <c r="L413" i="8"/>
  <c r="N412" i="8"/>
  <c r="M412" i="8"/>
  <c r="L412" i="8"/>
  <c r="N411" i="8"/>
  <c r="M411" i="8"/>
  <c r="L411" i="8"/>
  <c r="N410" i="8"/>
  <c r="M410" i="8"/>
  <c r="L410" i="8"/>
  <c r="N409" i="8"/>
  <c r="M409" i="8"/>
  <c r="L409" i="8"/>
  <c r="N408" i="8"/>
  <c r="M408" i="8"/>
  <c r="L408" i="8"/>
  <c r="N407" i="8"/>
  <c r="M407" i="8"/>
  <c r="L407" i="8"/>
  <c r="N406" i="8"/>
  <c r="M406" i="8"/>
  <c r="L406" i="8"/>
  <c r="N405" i="8"/>
  <c r="M405" i="8"/>
  <c r="L405" i="8"/>
  <c r="N404" i="8"/>
  <c r="M404" i="8"/>
  <c r="L404" i="8"/>
  <c r="N403" i="8"/>
  <c r="M403" i="8"/>
  <c r="L403" i="8"/>
  <c r="N402" i="8"/>
  <c r="M402" i="8"/>
  <c r="L402" i="8"/>
  <c r="N401" i="8"/>
  <c r="M401" i="8"/>
  <c r="L401" i="8"/>
  <c r="N400" i="8"/>
  <c r="M400" i="8"/>
  <c r="L400" i="8"/>
  <c r="N399" i="8"/>
  <c r="M399" i="8"/>
  <c r="L399" i="8"/>
  <c r="N398" i="8"/>
  <c r="M398" i="8"/>
  <c r="L398" i="8"/>
  <c r="N397" i="8"/>
  <c r="M397" i="8"/>
  <c r="L397" i="8"/>
  <c r="N396" i="8"/>
  <c r="M396" i="8"/>
  <c r="L396" i="8"/>
  <c r="N395" i="8"/>
  <c r="M395" i="8"/>
  <c r="L395" i="8"/>
  <c r="N394" i="8"/>
  <c r="M394" i="8"/>
  <c r="L394" i="8"/>
  <c r="N393" i="8"/>
  <c r="M393" i="8"/>
  <c r="L393" i="8"/>
  <c r="N392" i="8"/>
  <c r="M392" i="8"/>
  <c r="L392" i="8"/>
  <c r="N391" i="8"/>
  <c r="M391" i="8"/>
  <c r="L391" i="8"/>
  <c r="N390" i="8"/>
  <c r="M390" i="8"/>
  <c r="L390" i="8"/>
  <c r="N389" i="8"/>
  <c r="M389" i="8"/>
  <c r="L389" i="8"/>
  <c r="N388" i="8"/>
  <c r="M388" i="8"/>
  <c r="L388" i="8"/>
  <c r="N387" i="8"/>
  <c r="M387" i="8"/>
  <c r="L387" i="8"/>
  <c r="N386" i="8"/>
  <c r="M386" i="8"/>
  <c r="L386" i="8"/>
  <c r="N385" i="8"/>
  <c r="M385" i="8"/>
  <c r="L385" i="8"/>
  <c r="N384" i="8"/>
  <c r="M384" i="8"/>
  <c r="L384" i="8"/>
  <c r="N383" i="8"/>
  <c r="M383" i="8"/>
  <c r="L383" i="8"/>
  <c r="N382" i="8"/>
  <c r="M382" i="8"/>
  <c r="L382" i="8"/>
  <c r="N381" i="8"/>
  <c r="M381" i="8"/>
  <c r="L381" i="8"/>
  <c r="N380" i="8"/>
  <c r="M380" i="8"/>
  <c r="L380" i="8"/>
  <c r="N379" i="8"/>
  <c r="M379" i="8"/>
  <c r="L379" i="8"/>
  <c r="N378" i="8"/>
  <c r="M378" i="8"/>
  <c r="L378" i="8"/>
  <c r="N377" i="8"/>
  <c r="M377" i="8"/>
  <c r="L377" i="8"/>
  <c r="N376" i="8"/>
  <c r="M376" i="8"/>
  <c r="L376" i="8"/>
  <c r="N375" i="8"/>
  <c r="M375" i="8"/>
  <c r="L375" i="8"/>
  <c r="N374" i="8"/>
  <c r="M374" i="8"/>
  <c r="L374" i="8"/>
  <c r="N373" i="8"/>
  <c r="M373" i="8"/>
  <c r="L373" i="8"/>
  <c r="N372" i="8"/>
  <c r="M372" i="8"/>
  <c r="L372" i="8"/>
  <c r="N371" i="8"/>
  <c r="M371" i="8"/>
  <c r="L371" i="8"/>
  <c r="N370" i="8"/>
  <c r="M370" i="8"/>
  <c r="L370" i="8"/>
  <c r="N369" i="8"/>
  <c r="M369" i="8"/>
  <c r="L369" i="8"/>
  <c r="N368" i="8"/>
  <c r="M368" i="8"/>
  <c r="L368" i="8"/>
  <c r="N367" i="8"/>
  <c r="M367" i="8"/>
  <c r="L367" i="8"/>
  <c r="N366" i="8"/>
  <c r="M366" i="8"/>
  <c r="L366" i="8"/>
  <c r="N365" i="8"/>
  <c r="M365" i="8"/>
  <c r="L365" i="8"/>
  <c r="N364" i="8"/>
  <c r="M364" i="8"/>
  <c r="L364" i="8"/>
  <c r="N363" i="8"/>
  <c r="M363" i="8"/>
  <c r="L363" i="8"/>
  <c r="N362" i="8"/>
  <c r="M362" i="8"/>
  <c r="L362" i="8"/>
  <c r="N361" i="8"/>
  <c r="M361" i="8"/>
  <c r="L361" i="8"/>
  <c r="N360" i="8"/>
  <c r="M360" i="8"/>
  <c r="L360" i="8"/>
  <c r="N359" i="8"/>
  <c r="M359" i="8"/>
  <c r="L359" i="8"/>
  <c r="N358" i="8"/>
  <c r="M358" i="8"/>
  <c r="L358" i="8"/>
  <c r="N357" i="8"/>
  <c r="M357" i="8"/>
  <c r="L357" i="8"/>
  <c r="N356" i="8"/>
  <c r="M356" i="8"/>
  <c r="L356" i="8"/>
  <c r="N355" i="8"/>
  <c r="M355" i="8"/>
  <c r="L355" i="8"/>
  <c r="N354" i="8"/>
  <c r="M354" i="8"/>
  <c r="L354" i="8"/>
  <c r="N353" i="8"/>
  <c r="M353" i="8"/>
  <c r="L353" i="8"/>
  <c r="N352" i="8"/>
  <c r="M352" i="8"/>
  <c r="L352" i="8"/>
  <c r="N351" i="8"/>
  <c r="M351" i="8"/>
  <c r="L351" i="8"/>
  <c r="N350" i="8"/>
  <c r="M350" i="8"/>
  <c r="L350" i="8"/>
  <c r="N349" i="8"/>
  <c r="M349" i="8"/>
  <c r="L349" i="8"/>
  <c r="N348" i="8"/>
  <c r="M348" i="8"/>
  <c r="L348" i="8"/>
  <c r="N347" i="8"/>
  <c r="M347" i="8"/>
  <c r="L347" i="8"/>
  <c r="N346" i="8"/>
  <c r="M346" i="8"/>
  <c r="L346" i="8"/>
  <c r="N345" i="8"/>
  <c r="M345" i="8"/>
  <c r="L345" i="8"/>
  <c r="N344" i="8"/>
  <c r="M344" i="8"/>
  <c r="L344" i="8"/>
  <c r="N343" i="8"/>
  <c r="M343" i="8"/>
  <c r="L343" i="8"/>
  <c r="N342" i="8"/>
  <c r="M342" i="8"/>
  <c r="L342" i="8"/>
  <c r="N341" i="8"/>
  <c r="M341" i="8"/>
  <c r="L341" i="8"/>
  <c r="N340" i="8"/>
  <c r="M340" i="8"/>
  <c r="L340" i="8"/>
  <c r="N339" i="8"/>
  <c r="M339" i="8"/>
  <c r="L339" i="8"/>
  <c r="N338" i="8"/>
  <c r="M338" i="8"/>
  <c r="L338" i="8"/>
  <c r="N337" i="8"/>
  <c r="M337" i="8"/>
  <c r="L337" i="8"/>
  <c r="N336" i="8"/>
  <c r="M336" i="8"/>
  <c r="L336" i="8"/>
  <c r="N335" i="8"/>
  <c r="M335" i="8"/>
  <c r="L335" i="8"/>
  <c r="N334" i="8"/>
  <c r="M334" i="8"/>
  <c r="L334" i="8"/>
  <c r="N333" i="8"/>
  <c r="M333" i="8"/>
  <c r="L333" i="8"/>
  <c r="N332" i="8"/>
  <c r="M332" i="8"/>
  <c r="L332" i="8"/>
  <c r="N331" i="8"/>
  <c r="M331" i="8"/>
  <c r="L331" i="8"/>
  <c r="N330" i="8"/>
  <c r="M330" i="8"/>
  <c r="L330" i="8"/>
  <c r="N329" i="8"/>
  <c r="M329" i="8"/>
  <c r="L329" i="8"/>
  <c r="N328" i="8"/>
  <c r="M328" i="8"/>
  <c r="L328" i="8"/>
  <c r="N327" i="8"/>
  <c r="M327" i="8"/>
  <c r="L327" i="8"/>
  <c r="N326" i="8"/>
  <c r="M326" i="8"/>
  <c r="L326" i="8"/>
  <c r="N325" i="8"/>
  <c r="M325" i="8"/>
  <c r="L325" i="8"/>
  <c r="N324" i="8"/>
  <c r="M324" i="8"/>
  <c r="L324" i="8"/>
  <c r="N323" i="8"/>
  <c r="M323" i="8"/>
  <c r="L323" i="8"/>
  <c r="N322" i="8"/>
  <c r="M322" i="8"/>
  <c r="L322" i="8"/>
  <c r="N321" i="8"/>
  <c r="M321" i="8"/>
  <c r="L321" i="8"/>
  <c r="N320" i="8"/>
  <c r="M320" i="8"/>
  <c r="L320" i="8"/>
  <c r="N319" i="8"/>
  <c r="M319" i="8"/>
  <c r="L319" i="8"/>
  <c r="N318" i="8"/>
  <c r="M318" i="8"/>
  <c r="L318" i="8"/>
  <c r="N317" i="8"/>
  <c r="M317" i="8"/>
  <c r="L317" i="8"/>
  <c r="N316" i="8"/>
  <c r="M316" i="8"/>
  <c r="L316" i="8"/>
  <c r="N315" i="8"/>
  <c r="M315" i="8"/>
  <c r="L315" i="8"/>
  <c r="N314" i="8"/>
  <c r="M314" i="8"/>
  <c r="L314" i="8"/>
  <c r="N313" i="8"/>
  <c r="M313" i="8"/>
  <c r="L313" i="8"/>
  <c r="N312" i="8"/>
  <c r="M312" i="8"/>
  <c r="L312" i="8"/>
  <c r="N311" i="8"/>
  <c r="M311" i="8"/>
  <c r="L311" i="8"/>
  <c r="N310" i="8"/>
  <c r="M310" i="8"/>
  <c r="L310" i="8"/>
  <c r="N309" i="8"/>
  <c r="M309" i="8"/>
  <c r="L309" i="8"/>
  <c r="N308" i="8"/>
  <c r="M308" i="8"/>
  <c r="L308" i="8"/>
  <c r="N307" i="8"/>
  <c r="M307" i="8"/>
  <c r="L307" i="8"/>
  <c r="N306" i="8"/>
  <c r="M306" i="8"/>
  <c r="L306" i="8"/>
  <c r="N305" i="8"/>
  <c r="M305" i="8"/>
  <c r="L305" i="8"/>
  <c r="N304" i="8"/>
  <c r="M304" i="8"/>
  <c r="L304" i="8"/>
  <c r="N303" i="8"/>
  <c r="M303" i="8"/>
  <c r="L303" i="8"/>
  <c r="N302" i="8"/>
  <c r="M302" i="8"/>
  <c r="L302" i="8"/>
  <c r="N301" i="8"/>
  <c r="M301" i="8"/>
  <c r="L301" i="8"/>
  <c r="N300" i="8"/>
  <c r="M300" i="8"/>
  <c r="L300" i="8"/>
  <c r="N299" i="8"/>
  <c r="M299" i="8"/>
  <c r="L299" i="8"/>
  <c r="N298" i="8"/>
  <c r="M298" i="8"/>
  <c r="L298" i="8"/>
  <c r="N297" i="8"/>
  <c r="M297" i="8"/>
  <c r="L297" i="8"/>
  <c r="N296" i="8"/>
  <c r="M296" i="8"/>
  <c r="L296" i="8"/>
  <c r="N295" i="8"/>
  <c r="M295" i="8"/>
  <c r="L295" i="8"/>
  <c r="N294" i="8"/>
  <c r="M294" i="8"/>
  <c r="L294" i="8"/>
  <c r="N293" i="8"/>
  <c r="M293" i="8"/>
  <c r="L293" i="8"/>
  <c r="N292" i="8"/>
  <c r="M292" i="8"/>
  <c r="L292" i="8"/>
  <c r="N291" i="8"/>
  <c r="M291" i="8"/>
  <c r="L291" i="8"/>
  <c r="N290" i="8"/>
  <c r="M290" i="8"/>
  <c r="L290" i="8"/>
  <c r="N289" i="8"/>
  <c r="M289" i="8"/>
  <c r="L289" i="8"/>
  <c r="N288" i="8"/>
  <c r="M288" i="8"/>
  <c r="L288" i="8"/>
  <c r="N287" i="8"/>
  <c r="M287" i="8"/>
  <c r="L287" i="8"/>
  <c r="N286" i="8"/>
  <c r="M286" i="8"/>
  <c r="L286" i="8"/>
  <c r="N285" i="8"/>
  <c r="M285" i="8"/>
  <c r="L285" i="8"/>
  <c r="N284" i="8"/>
  <c r="M284" i="8"/>
  <c r="L284" i="8"/>
  <c r="N283" i="8"/>
  <c r="M283" i="8"/>
  <c r="L283" i="8"/>
  <c r="N282" i="8"/>
  <c r="M282" i="8"/>
  <c r="L282" i="8"/>
  <c r="N281" i="8"/>
  <c r="M281" i="8"/>
  <c r="L281" i="8"/>
  <c r="N280" i="8"/>
  <c r="M280" i="8"/>
  <c r="L280" i="8"/>
  <c r="N279" i="8"/>
  <c r="M279" i="8"/>
  <c r="L279" i="8"/>
  <c r="N278" i="8"/>
  <c r="M278" i="8"/>
  <c r="L278" i="8"/>
  <c r="N277" i="8"/>
  <c r="M277" i="8"/>
  <c r="L277" i="8"/>
  <c r="N276" i="8"/>
  <c r="M276" i="8"/>
  <c r="L276" i="8"/>
  <c r="N275" i="8"/>
  <c r="M275" i="8"/>
  <c r="L275" i="8"/>
  <c r="N274" i="8"/>
  <c r="M274" i="8"/>
  <c r="L274" i="8"/>
  <c r="N273" i="8"/>
  <c r="M273" i="8"/>
  <c r="L273" i="8"/>
  <c r="N272" i="8"/>
  <c r="M272" i="8"/>
  <c r="L272" i="8"/>
  <c r="N271" i="8"/>
  <c r="M271" i="8"/>
  <c r="L271" i="8"/>
  <c r="N270" i="8"/>
  <c r="M270" i="8"/>
  <c r="L270" i="8"/>
  <c r="N269" i="8"/>
  <c r="M269" i="8"/>
  <c r="L269" i="8"/>
  <c r="N268" i="8"/>
  <c r="M268" i="8"/>
  <c r="L268" i="8"/>
  <c r="N267" i="8"/>
  <c r="M267" i="8"/>
  <c r="L267" i="8"/>
  <c r="N266" i="8"/>
  <c r="M266" i="8"/>
  <c r="L266" i="8"/>
  <c r="N265" i="8"/>
  <c r="M265" i="8"/>
  <c r="L265" i="8"/>
  <c r="N264" i="8"/>
  <c r="M264" i="8"/>
  <c r="L264" i="8"/>
  <c r="N263" i="8"/>
  <c r="M263" i="8"/>
  <c r="L263" i="8"/>
  <c r="N262" i="8"/>
  <c r="M262" i="8"/>
  <c r="L262" i="8"/>
  <c r="N261" i="8"/>
  <c r="M261" i="8"/>
  <c r="L261" i="8"/>
  <c r="N260" i="8"/>
  <c r="M260" i="8"/>
  <c r="L260" i="8"/>
  <c r="N259" i="8"/>
  <c r="M259" i="8"/>
  <c r="L259" i="8"/>
  <c r="N258" i="8"/>
  <c r="M258" i="8"/>
  <c r="L258" i="8"/>
  <c r="N257" i="8"/>
  <c r="M257" i="8"/>
  <c r="L257" i="8"/>
  <c r="N256" i="8"/>
  <c r="M256" i="8"/>
  <c r="L256" i="8"/>
  <c r="N255" i="8"/>
  <c r="M255" i="8"/>
  <c r="L255" i="8"/>
  <c r="N254" i="8"/>
  <c r="M254" i="8"/>
  <c r="L254" i="8"/>
  <c r="N253" i="8"/>
  <c r="M253" i="8"/>
  <c r="L253" i="8"/>
  <c r="N252" i="8"/>
  <c r="M252" i="8"/>
  <c r="L252" i="8"/>
  <c r="N251" i="8"/>
  <c r="M251" i="8"/>
  <c r="L251" i="8"/>
  <c r="N250" i="8"/>
  <c r="M250" i="8"/>
  <c r="L250" i="8"/>
  <c r="N249" i="8"/>
  <c r="M249" i="8"/>
  <c r="L249" i="8"/>
  <c r="N248" i="8"/>
  <c r="M248" i="8"/>
  <c r="L248" i="8"/>
  <c r="N247" i="8"/>
  <c r="M247" i="8"/>
  <c r="L247" i="8"/>
  <c r="N246" i="8"/>
  <c r="M246" i="8"/>
  <c r="L246" i="8"/>
  <c r="N245" i="8"/>
  <c r="M245" i="8"/>
  <c r="L245" i="8"/>
  <c r="N244" i="8"/>
  <c r="M244" i="8"/>
  <c r="L244" i="8"/>
  <c r="N243" i="8"/>
  <c r="M243" i="8"/>
  <c r="L243" i="8"/>
  <c r="N242" i="8"/>
  <c r="M242" i="8"/>
  <c r="L242" i="8"/>
  <c r="N241" i="8"/>
  <c r="M241" i="8"/>
  <c r="L241" i="8"/>
  <c r="N240" i="8"/>
  <c r="M240" i="8"/>
  <c r="L240" i="8"/>
  <c r="N239" i="8"/>
  <c r="M239" i="8"/>
  <c r="L239" i="8"/>
  <c r="N238" i="8"/>
  <c r="M238" i="8"/>
  <c r="L238" i="8"/>
  <c r="N237" i="8"/>
  <c r="M237" i="8"/>
  <c r="L237" i="8"/>
  <c r="N236" i="8"/>
  <c r="M236" i="8"/>
  <c r="L236" i="8"/>
  <c r="N235" i="8"/>
  <c r="M235" i="8"/>
  <c r="L235" i="8"/>
  <c r="N234" i="8"/>
  <c r="M234" i="8"/>
  <c r="L234" i="8"/>
  <c r="N233" i="8"/>
  <c r="M233" i="8"/>
  <c r="L233" i="8"/>
  <c r="N232" i="8"/>
  <c r="M232" i="8"/>
  <c r="L232" i="8"/>
  <c r="N231" i="8"/>
  <c r="M231" i="8"/>
  <c r="L231" i="8"/>
  <c r="N230" i="8"/>
  <c r="M230" i="8"/>
  <c r="L230" i="8"/>
  <c r="N229" i="8"/>
  <c r="M229" i="8"/>
  <c r="L229" i="8"/>
  <c r="N228" i="8"/>
  <c r="M228" i="8"/>
  <c r="L228" i="8"/>
  <c r="N227" i="8"/>
  <c r="M227" i="8"/>
  <c r="L227" i="8"/>
  <c r="N226" i="8"/>
  <c r="M226" i="8"/>
  <c r="L226" i="8"/>
  <c r="N225" i="8"/>
  <c r="M225" i="8"/>
  <c r="L225" i="8"/>
  <c r="N224" i="8"/>
  <c r="M224" i="8"/>
  <c r="L224" i="8"/>
  <c r="N223" i="8"/>
  <c r="M223" i="8"/>
  <c r="L223" i="8"/>
  <c r="N222" i="8"/>
  <c r="M222" i="8"/>
  <c r="L222" i="8"/>
  <c r="N221" i="8"/>
  <c r="M221" i="8"/>
  <c r="L221" i="8"/>
  <c r="N220" i="8"/>
  <c r="M220" i="8"/>
  <c r="L220" i="8"/>
  <c r="N219" i="8"/>
  <c r="M219" i="8"/>
  <c r="L219" i="8"/>
  <c r="N218" i="8"/>
  <c r="M218" i="8"/>
  <c r="L218" i="8"/>
  <c r="N217" i="8"/>
  <c r="M217" i="8"/>
  <c r="L217" i="8"/>
  <c r="N216" i="8"/>
  <c r="M216" i="8"/>
  <c r="L216" i="8"/>
  <c r="N215" i="8"/>
  <c r="M215" i="8"/>
  <c r="L215" i="8"/>
  <c r="N214" i="8"/>
  <c r="M214" i="8"/>
  <c r="L214" i="8"/>
  <c r="N213" i="8"/>
  <c r="M213" i="8"/>
  <c r="L213" i="8"/>
  <c r="N212" i="8"/>
  <c r="M212" i="8"/>
  <c r="L212" i="8"/>
  <c r="N211" i="8"/>
  <c r="M211" i="8"/>
  <c r="L211" i="8"/>
  <c r="N210" i="8"/>
  <c r="M210" i="8"/>
  <c r="L210" i="8"/>
  <c r="N209" i="8"/>
  <c r="M209" i="8"/>
  <c r="L209" i="8"/>
  <c r="N208" i="8"/>
  <c r="M208" i="8"/>
  <c r="L208" i="8"/>
  <c r="N207" i="8"/>
  <c r="M207" i="8"/>
  <c r="L207" i="8"/>
  <c r="N206" i="8"/>
  <c r="M206" i="8"/>
  <c r="L206" i="8"/>
  <c r="N205" i="8"/>
  <c r="M205" i="8"/>
  <c r="L205" i="8"/>
  <c r="N204" i="8"/>
  <c r="M204" i="8"/>
  <c r="L204" i="8"/>
  <c r="N203" i="8"/>
  <c r="M203" i="8"/>
  <c r="L203" i="8"/>
  <c r="N202" i="8"/>
  <c r="M202" i="8"/>
  <c r="L202" i="8"/>
  <c r="N201" i="8"/>
  <c r="M201" i="8"/>
  <c r="L201" i="8"/>
  <c r="N200" i="8"/>
  <c r="M200" i="8"/>
  <c r="L200" i="8"/>
  <c r="N199" i="8"/>
  <c r="M199" i="8"/>
  <c r="L199" i="8"/>
  <c r="N198" i="8"/>
  <c r="M198" i="8"/>
  <c r="L198" i="8"/>
  <c r="N197" i="8"/>
  <c r="M197" i="8"/>
  <c r="L197" i="8"/>
  <c r="N196" i="8"/>
  <c r="M196" i="8"/>
  <c r="L196" i="8"/>
  <c r="N195" i="8"/>
  <c r="M195" i="8"/>
  <c r="L195" i="8"/>
  <c r="N194" i="8"/>
  <c r="M194" i="8"/>
  <c r="L194" i="8"/>
  <c r="N193" i="8"/>
  <c r="M193" i="8"/>
  <c r="L193" i="8"/>
  <c r="N192" i="8"/>
  <c r="M192" i="8"/>
  <c r="L192" i="8"/>
  <c r="N191" i="8"/>
  <c r="M191" i="8"/>
  <c r="L191" i="8"/>
  <c r="N190" i="8"/>
  <c r="M190" i="8"/>
  <c r="L190" i="8"/>
  <c r="N189" i="8"/>
  <c r="M189" i="8"/>
  <c r="L189" i="8"/>
  <c r="N188" i="8"/>
  <c r="M188" i="8"/>
  <c r="L188" i="8"/>
  <c r="N187" i="8"/>
  <c r="M187" i="8"/>
  <c r="L187" i="8"/>
  <c r="N186" i="8"/>
  <c r="M186" i="8"/>
  <c r="L186" i="8"/>
  <c r="N185" i="8"/>
  <c r="M185" i="8"/>
  <c r="L185" i="8"/>
  <c r="N184" i="8"/>
  <c r="M184" i="8"/>
  <c r="L184" i="8"/>
  <c r="N183" i="8"/>
  <c r="M183" i="8"/>
  <c r="L183" i="8"/>
  <c r="N182" i="8"/>
  <c r="M182" i="8"/>
  <c r="L182" i="8"/>
  <c r="N181" i="8"/>
  <c r="M181" i="8"/>
  <c r="L181" i="8"/>
  <c r="N180" i="8"/>
  <c r="M180" i="8"/>
  <c r="L180" i="8"/>
  <c r="N179" i="8"/>
  <c r="M179" i="8"/>
  <c r="L179" i="8"/>
  <c r="N178" i="8"/>
  <c r="M178" i="8"/>
  <c r="L178" i="8"/>
  <c r="N177" i="8"/>
  <c r="M177" i="8"/>
  <c r="L177" i="8"/>
  <c r="N176" i="8"/>
  <c r="M176" i="8"/>
  <c r="L176" i="8"/>
  <c r="N175" i="8"/>
  <c r="M175" i="8"/>
  <c r="L175" i="8"/>
  <c r="N174" i="8"/>
  <c r="M174" i="8"/>
  <c r="L174" i="8"/>
  <c r="N173" i="8"/>
  <c r="M173" i="8"/>
  <c r="L173" i="8"/>
  <c r="N172" i="8"/>
  <c r="M172" i="8"/>
  <c r="L172" i="8"/>
  <c r="N171" i="8"/>
  <c r="M171" i="8"/>
  <c r="L171" i="8"/>
  <c r="N170" i="8"/>
  <c r="M170" i="8"/>
  <c r="L170" i="8"/>
  <c r="N169" i="8"/>
  <c r="M169" i="8"/>
  <c r="L169" i="8"/>
  <c r="N168" i="8"/>
  <c r="M168" i="8"/>
  <c r="L168" i="8"/>
  <c r="N167" i="8"/>
  <c r="M167" i="8"/>
  <c r="L167" i="8"/>
  <c r="N166" i="8"/>
  <c r="M166" i="8"/>
  <c r="L166" i="8"/>
  <c r="N165" i="8"/>
  <c r="M165" i="8"/>
  <c r="L165" i="8"/>
  <c r="N164" i="8"/>
  <c r="M164" i="8"/>
  <c r="L164" i="8"/>
  <c r="N163" i="8"/>
  <c r="M163" i="8"/>
  <c r="L163" i="8"/>
  <c r="N162" i="8"/>
  <c r="M162" i="8"/>
  <c r="L162" i="8"/>
  <c r="N161" i="8"/>
  <c r="M161" i="8"/>
  <c r="L161" i="8"/>
  <c r="N160" i="8"/>
  <c r="M160" i="8"/>
  <c r="L160" i="8"/>
  <c r="N159" i="8"/>
  <c r="M159" i="8"/>
  <c r="L159" i="8"/>
  <c r="N158" i="8"/>
  <c r="M158" i="8"/>
  <c r="L158" i="8"/>
  <c r="N157" i="8"/>
  <c r="M157" i="8"/>
  <c r="L157" i="8"/>
  <c r="N156" i="8"/>
  <c r="M156" i="8"/>
  <c r="L156" i="8"/>
  <c r="N155" i="8"/>
  <c r="M155" i="8"/>
  <c r="L155" i="8"/>
  <c r="N154" i="8"/>
  <c r="M154" i="8"/>
  <c r="L154" i="8"/>
  <c r="N153" i="8"/>
  <c r="M153" i="8"/>
  <c r="L153" i="8"/>
  <c r="N152" i="8"/>
  <c r="M152" i="8"/>
  <c r="L152" i="8"/>
  <c r="N151" i="8"/>
  <c r="M151" i="8"/>
  <c r="L151" i="8"/>
  <c r="N150" i="8"/>
  <c r="M150" i="8"/>
  <c r="L150" i="8"/>
  <c r="N149" i="8"/>
  <c r="M149" i="8"/>
  <c r="L149" i="8"/>
  <c r="N148" i="8"/>
  <c r="M148" i="8"/>
  <c r="L148" i="8"/>
  <c r="N147" i="8"/>
  <c r="M147" i="8"/>
  <c r="L147" i="8"/>
  <c r="N146" i="8"/>
  <c r="M146" i="8"/>
  <c r="L146" i="8"/>
  <c r="N145" i="8"/>
  <c r="M145" i="8"/>
  <c r="L145" i="8"/>
  <c r="N144" i="8"/>
  <c r="M144" i="8"/>
  <c r="L144" i="8"/>
  <c r="N143" i="8"/>
  <c r="M143" i="8"/>
  <c r="L143" i="8"/>
  <c r="N142" i="8"/>
  <c r="M142" i="8"/>
  <c r="L142" i="8"/>
  <c r="N141" i="8"/>
  <c r="M141" i="8"/>
  <c r="L141" i="8"/>
  <c r="N140" i="8"/>
  <c r="M140" i="8"/>
  <c r="L140" i="8"/>
  <c r="N139" i="8"/>
  <c r="M139" i="8"/>
  <c r="L139" i="8"/>
  <c r="N138" i="8"/>
  <c r="M138" i="8"/>
  <c r="L138" i="8"/>
  <c r="N137" i="8"/>
  <c r="M137" i="8"/>
  <c r="L137" i="8"/>
  <c r="N136" i="8"/>
  <c r="M136" i="8"/>
  <c r="L136" i="8"/>
  <c r="N135" i="8"/>
  <c r="M135" i="8"/>
  <c r="L135" i="8"/>
  <c r="N134" i="8"/>
  <c r="M134" i="8"/>
  <c r="L134" i="8"/>
  <c r="N133" i="8"/>
  <c r="M133" i="8"/>
  <c r="L133" i="8"/>
  <c r="N132" i="8"/>
  <c r="M132" i="8"/>
  <c r="L132" i="8"/>
  <c r="N131" i="8"/>
  <c r="M131" i="8"/>
  <c r="L131" i="8"/>
  <c r="N130" i="8"/>
  <c r="M130" i="8"/>
  <c r="L130" i="8"/>
  <c r="N129" i="8"/>
  <c r="M129" i="8"/>
  <c r="L129" i="8"/>
  <c r="N128" i="8"/>
  <c r="M128" i="8"/>
  <c r="L128" i="8"/>
  <c r="N127" i="8"/>
  <c r="M127" i="8"/>
  <c r="L127" i="8"/>
  <c r="N126" i="8"/>
  <c r="M126" i="8"/>
  <c r="L126" i="8"/>
  <c r="N125" i="8"/>
  <c r="M125" i="8"/>
  <c r="L125" i="8"/>
  <c r="N124" i="8"/>
  <c r="M124" i="8"/>
  <c r="L124" i="8"/>
  <c r="N123" i="8"/>
  <c r="M123" i="8"/>
  <c r="L123" i="8"/>
  <c r="N122" i="8"/>
  <c r="M122" i="8"/>
  <c r="L122" i="8"/>
  <c r="N121" i="8"/>
  <c r="M121" i="8"/>
  <c r="L121" i="8"/>
  <c r="N120" i="8"/>
  <c r="M120" i="8"/>
  <c r="L120" i="8"/>
  <c r="N119" i="8"/>
  <c r="M119" i="8"/>
  <c r="L119" i="8"/>
  <c r="N118" i="8"/>
  <c r="M118" i="8"/>
  <c r="L118" i="8"/>
  <c r="N117" i="8"/>
  <c r="M117" i="8"/>
  <c r="L117" i="8"/>
  <c r="N116" i="8"/>
  <c r="M116" i="8"/>
  <c r="L116" i="8"/>
  <c r="N115" i="8"/>
  <c r="M115" i="8"/>
  <c r="L115" i="8"/>
  <c r="N114" i="8"/>
  <c r="M114" i="8"/>
  <c r="L114" i="8"/>
  <c r="N113" i="8"/>
  <c r="M113" i="8"/>
  <c r="L113" i="8"/>
  <c r="N112" i="8"/>
  <c r="M112" i="8"/>
  <c r="L112" i="8"/>
  <c r="N111" i="8"/>
  <c r="M111" i="8"/>
  <c r="L111" i="8"/>
  <c r="N110" i="8"/>
  <c r="M110" i="8"/>
  <c r="L110" i="8"/>
  <c r="N109" i="8"/>
  <c r="M109" i="8"/>
  <c r="L109" i="8"/>
  <c r="N108" i="8"/>
  <c r="M108" i="8"/>
  <c r="L108" i="8"/>
  <c r="N107" i="8"/>
  <c r="M107" i="8"/>
  <c r="L107" i="8"/>
  <c r="N106" i="8"/>
  <c r="M106" i="8"/>
  <c r="L106" i="8"/>
  <c r="N105" i="8"/>
  <c r="M105" i="8"/>
  <c r="L105" i="8"/>
  <c r="N104" i="8"/>
  <c r="M104" i="8"/>
  <c r="L104" i="8"/>
  <c r="N103" i="8"/>
  <c r="M103" i="8"/>
  <c r="L103" i="8"/>
  <c r="N102" i="8"/>
  <c r="M102" i="8"/>
  <c r="L102" i="8"/>
  <c r="N101" i="8"/>
  <c r="M101" i="8"/>
  <c r="L101" i="8"/>
  <c r="N100" i="8"/>
  <c r="M100" i="8"/>
  <c r="L100" i="8"/>
  <c r="N99" i="8"/>
  <c r="M99" i="8"/>
  <c r="L99" i="8"/>
  <c r="N98" i="8"/>
  <c r="M98" i="8"/>
  <c r="L98" i="8"/>
  <c r="N97" i="8"/>
  <c r="M97" i="8"/>
  <c r="L97" i="8"/>
  <c r="N96" i="8"/>
  <c r="M96" i="8"/>
  <c r="L96" i="8"/>
  <c r="N95" i="8"/>
  <c r="M95" i="8"/>
  <c r="L95" i="8"/>
  <c r="N94" i="8"/>
  <c r="M94" i="8"/>
  <c r="L94" i="8"/>
  <c r="N93" i="8"/>
  <c r="M93" i="8"/>
  <c r="L93" i="8"/>
  <c r="N92" i="8"/>
  <c r="M92" i="8"/>
  <c r="L92" i="8"/>
  <c r="N91" i="8"/>
  <c r="M91" i="8"/>
  <c r="L91" i="8"/>
  <c r="N90" i="8"/>
  <c r="M90" i="8"/>
  <c r="L90" i="8"/>
  <c r="N89" i="8"/>
  <c r="M89" i="8"/>
  <c r="L89" i="8"/>
  <c r="N88" i="8"/>
  <c r="M88" i="8"/>
  <c r="L88" i="8"/>
  <c r="N87" i="8"/>
  <c r="M87" i="8"/>
  <c r="L87" i="8"/>
  <c r="N86" i="8"/>
  <c r="M86" i="8"/>
  <c r="L86" i="8"/>
  <c r="N85" i="8"/>
  <c r="M85" i="8"/>
  <c r="L85" i="8"/>
  <c r="N84" i="8"/>
  <c r="M84" i="8"/>
  <c r="L84" i="8"/>
  <c r="N83" i="8"/>
  <c r="M83" i="8"/>
  <c r="L83" i="8"/>
  <c r="N82" i="8"/>
  <c r="M82" i="8"/>
  <c r="L82" i="8"/>
  <c r="N81" i="8"/>
  <c r="M81" i="8"/>
  <c r="L81" i="8"/>
  <c r="N80" i="8"/>
  <c r="M80" i="8"/>
  <c r="L80" i="8"/>
  <c r="N79" i="8"/>
  <c r="M79" i="8"/>
  <c r="L79" i="8"/>
  <c r="N78" i="8"/>
  <c r="M78" i="8"/>
  <c r="L78" i="8"/>
  <c r="N77" i="8"/>
  <c r="M77" i="8"/>
  <c r="L77" i="8"/>
  <c r="N76" i="8"/>
  <c r="M76" i="8"/>
  <c r="L76" i="8"/>
  <c r="N75" i="8"/>
  <c r="M75" i="8"/>
  <c r="L75" i="8"/>
  <c r="N74" i="8"/>
  <c r="M74" i="8"/>
  <c r="L74" i="8"/>
  <c r="N73" i="8"/>
  <c r="M73" i="8"/>
  <c r="L73" i="8"/>
  <c r="N72" i="8"/>
  <c r="M72" i="8"/>
  <c r="L72" i="8"/>
  <c r="N71" i="8"/>
  <c r="M71" i="8"/>
  <c r="L71" i="8"/>
  <c r="N70" i="8"/>
  <c r="M70" i="8"/>
  <c r="L70" i="8"/>
  <c r="N69" i="8"/>
  <c r="M69" i="8"/>
  <c r="L69" i="8"/>
  <c r="N68" i="8"/>
  <c r="M68" i="8"/>
  <c r="L68" i="8"/>
  <c r="N67" i="8"/>
  <c r="M67" i="8"/>
  <c r="L67" i="8"/>
  <c r="N66" i="8"/>
  <c r="M66" i="8"/>
  <c r="L66" i="8"/>
  <c r="N65" i="8"/>
  <c r="M65" i="8"/>
  <c r="L65" i="8"/>
  <c r="N64" i="8"/>
  <c r="M64" i="8"/>
  <c r="L64" i="8"/>
  <c r="N63" i="8"/>
  <c r="M63" i="8"/>
  <c r="L63" i="8"/>
  <c r="N62" i="8"/>
  <c r="M62" i="8"/>
  <c r="L62" i="8"/>
  <c r="N61" i="8"/>
  <c r="M61" i="8"/>
  <c r="L61" i="8"/>
  <c r="N60" i="8"/>
  <c r="M60" i="8"/>
  <c r="L60" i="8"/>
  <c r="N59" i="8"/>
  <c r="M59" i="8"/>
  <c r="L59" i="8"/>
  <c r="N58" i="8"/>
  <c r="M58" i="8"/>
  <c r="L58" i="8"/>
  <c r="N57" i="8"/>
  <c r="M57" i="8"/>
  <c r="L57" i="8"/>
  <c r="N56" i="8"/>
  <c r="M56" i="8"/>
  <c r="L56" i="8"/>
  <c r="N55" i="8"/>
  <c r="M55" i="8"/>
  <c r="L55" i="8"/>
  <c r="N54" i="8"/>
  <c r="M54" i="8"/>
  <c r="L54" i="8"/>
  <c r="N53" i="8"/>
  <c r="M53" i="8"/>
  <c r="L53" i="8"/>
  <c r="N52" i="8"/>
  <c r="M52" i="8"/>
  <c r="L52" i="8"/>
  <c r="N51" i="8"/>
  <c r="M51" i="8"/>
  <c r="L51" i="8"/>
  <c r="N50" i="8"/>
  <c r="M50" i="8"/>
  <c r="L50" i="8"/>
  <c r="N49" i="8"/>
  <c r="M49" i="8"/>
  <c r="L49" i="8"/>
  <c r="N48" i="8"/>
  <c r="M48" i="8"/>
  <c r="L48" i="8"/>
  <c r="N47" i="8"/>
  <c r="M47" i="8"/>
  <c r="L47" i="8"/>
  <c r="N46" i="8"/>
  <c r="M46" i="8"/>
  <c r="L46" i="8"/>
  <c r="N45" i="8"/>
  <c r="M45" i="8"/>
  <c r="L45" i="8"/>
  <c r="N44" i="8"/>
  <c r="M44" i="8"/>
  <c r="L44" i="8"/>
  <c r="N43" i="8"/>
  <c r="M43" i="8"/>
  <c r="L43" i="8"/>
  <c r="N42" i="8"/>
  <c r="M42" i="8"/>
  <c r="L42" i="8"/>
  <c r="N41" i="8"/>
  <c r="M41" i="8"/>
  <c r="L41" i="8"/>
  <c r="N40" i="8"/>
  <c r="M40" i="8"/>
  <c r="L40" i="8"/>
  <c r="N39" i="8"/>
  <c r="M39" i="8"/>
  <c r="L39" i="8"/>
  <c r="N38" i="8"/>
  <c r="M38" i="8"/>
  <c r="L38" i="8"/>
  <c r="N37" i="8"/>
  <c r="M37" i="8"/>
  <c r="L37" i="8"/>
  <c r="N36" i="8"/>
  <c r="M36" i="8"/>
  <c r="L36" i="8"/>
  <c r="N35" i="8"/>
  <c r="M35" i="8"/>
  <c r="L35" i="8"/>
  <c r="N34" i="8"/>
  <c r="M34" i="8"/>
  <c r="L34" i="8"/>
  <c r="N33" i="8"/>
  <c r="M33" i="8"/>
  <c r="L33" i="8"/>
  <c r="N32" i="8"/>
  <c r="M32" i="8"/>
  <c r="L32" i="8"/>
  <c r="N31" i="8"/>
  <c r="M31" i="8"/>
  <c r="L31" i="8"/>
  <c r="N30" i="8"/>
  <c r="M30" i="8"/>
  <c r="L30" i="8"/>
  <c r="N29" i="8"/>
  <c r="M29" i="8"/>
  <c r="L29" i="8"/>
  <c r="N28" i="8"/>
  <c r="M28" i="8"/>
  <c r="L28" i="8"/>
  <c r="N27" i="8"/>
  <c r="M27" i="8"/>
  <c r="L27" i="8"/>
  <c r="N26" i="8"/>
  <c r="M26" i="8"/>
  <c r="L26" i="8"/>
  <c r="N25" i="8"/>
  <c r="M25" i="8"/>
  <c r="L25" i="8"/>
  <c r="N24" i="8"/>
  <c r="M24" i="8"/>
  <c r="L24" i="8"/>
  <c r="N23" i="8"/>
  <c r="M23" i="8"/>
  <c r="L23" i="8"/>
  <c r="N22" i="8"/>
  <c r="M22" i="8"/>
  <c r="L22" i="8"/>
  <c r="N21" i="8"/>
  <c r="M21" i="8"/>
  <c r="L21" i="8"/>
  <c r="N20" i="8"/>
  <c r="M20" i="8"/>
  <c r="L20" i="8"/>
  <c r="N19" i="8"/>
  <c r="M19" i="8"/>
  <c r="L19" i="8"/>
  <c r="N18" i="8"/>
  <c r="M18" i="8"/>
  <c r="L18" i="8"/>
  <c r="N17" i="8"/>
  <c r="M17" i="8"/>
  <c r="L17" i="8"/>
  <c r="N16" i="8"/>
  <c r="M16" i="8"/>
  <c r="L16" i="8"/>
  <c r="N15" i="8"/>
  <c r="M15" i="8"/>
  <c r="L15" i="8"/>
  <c r="N14" i="8"/>
  <c r="M14" i="8"/>
  <c r="L14" i="8"/>
  <c r="N13" i="8"/>
  <c r="M13" i="8"/>
  <c r="L13" i="8"/>
  <c r="N12" i="8"/>
  <c r="M12" i="8"/>
  <c r="L12" i="8"/>
  <c r="N11" i="8"/>
  <c r="M11" i="8"/>
  <c r="L11" i="8"/>
  <c r="N10" i="8"/>
  <c r="M10" i="8"/>
  <c r="L10" i="8"/>
  <c r="N9" i="8"/>
  <c r="M9" i="8"/>
  <c r="L9" i="8"/>
  <c r="N8" i="8"/>
  <c r="M8" i="8"/>
  <c r="L8" i="8"/>
  <c r="J107" i="7"/>
  <c r="I107" i="7"/>
  <c r="H107" i="7"/>
  <c r="J106" i="7"/>
  <c r="I106" i="7"/>
  <c r="H106" i="7"/>
  <c r="J105" i="7"/>
  <c r="I105" i="7"/>
  <c r="H105" i="7"/>
  <c r="J104" i="7"/>
  <c r="I104" i="7"/>
  <c r="H104" i="7"/>
  <c r="J103" i="7"/>
  <c r="I103" i="7"/>
  <c r="H103" i="7"/>
  <c r="J102" i="7"/>
  <c r="I102" i="7"/>
  <c r="H102" i="7"/>
  <c r="J101" i="7"/>
  <c r="I101" i="7"/>
  <c r="H101" i="7"/>
  <c r="J100" i="7"/>
  <c r="I100" i="7"/>
  <c r="H100" i="7"/>
  <c r="J99" i="7"/>
  <c r="I99" i="7"/>
  <c r="H99" i="7"/>
  <c r="J98" i="7"/>
  <c r="I98" i="7"/>
  <c r="H98" i="7"/>
  <c r="J97" i="7"/>
  <c r="I97" i="7"/>
  <c r="H97" i="7"/>
  <c r="J96" i="7"/>
  <c r="I96" i="7"/>
  <c r="H96" i="7"/>
  <c r="J95" i="7"/>
  <c r="I95" i="7"/>
  <c r="H95" i="7"/>
  <c r="J94" i="7"/>
  <c r="I94" i="7"/>
  <c r="H94" i="7"/>
  <c r="J93" i="7"/>
  <c r="I93" i="7"/>
  <c r="H93" i="7"/>
  <c r="J92" i="7"/>
  <c r="I92" i="7"/>
  <c r="H92" i="7"/>
  <c r="J91" i="7"/>
  <c r="I91" i="7"/>
  <c r="H91" i="7"/>
  <c r="J90" i="7"/>
  <c r="I90" i="7"/>
  <c r="H90" i="7"/>
  <c r="J89" i="7"/>
  <c r="I89" i="7"/>
  <c r="H89" i="7"/>
  <c r="J88" i="7"/>
  <c r="I88" i="7"/>
  <c r="H88" i="7"/>
  <c r="J87" i="7"/>
  <c r="I87" i="7"/>
  <c r="H87" i="7"/>
  <c r="J86" i="7"/>
  <c r="I86" i="7"/>
  <c r="H86" i="7"/>
  <c r="J85" i="7"/>
  <c r="I85" i="7"/>
  <c r="H85" i="7"/>
  <c r="J84" i="7"/>
  <c r="I84" i="7"/>
  <c r="H84" i="7"/>
  <c r="J83" i="7"/>
  <c r="I83" i="7"/>
  <c r="H83" i="7"/>
  <c r="J82" i="7"/>
  <c r="I82" i="7"/>
  <c r="H82" i="7"/>
  <c r="J81" i="7"/>
  <c r="I81" i="7"/>
  <c r="H81" i="7"/>
  <c r="J80" i="7"/>
  <c r="I80" i="7"/>
  <c r="H80" i="7"/>
  <c r="J79" i="7"/>
  <c r="I79" i="7"/>
  <c r="H79" i="7"/>
  <c r="J78" i="7"/>
  <c r="I78" i="7"/>
  <c r="H78" i="7"/>
  <c r="J77" i="7"/>
  <c r="I77" i="7"/>
  <c r="H77" i="7"/>
  <c r="J76" i="7"/>
  <c r="I76" i="7"/>
  <c r="H76" i="7"/>
  <c r="J75" i="7"/>
  <c r="I75" i="7"/>
  <c r="H75" i="7"/>
  <c r="J74" i="7"/>
  <c r="I74" i="7"/>
  <c r="H74" i="7"/>
  <c r="J73" i="7"/>
  <c r="I73" i="7"/>
  <c r="H73" i="7"/>
  <c r="J72" i="7"/>
  <c r="I72" i="7"/>
  <c r="H72" i="7"/>
  <c r="J71" i="7"/>
  <c r="I71" i="7"/>
  <c r="H71" i="7"/>
  <c r="J70" i="7"/>
  <c r="I70" i="7"/>
  <c r="H70" i="7"/>
  <c r="J69" i="7"/>
  <c r="I69" i="7"/>
  <c r="H69" i="7"/>
  <c r="J68" i="7"/>
  <c r="I68" i="7"/>
  <c r="H68" i="7"/>
  <c r="J67" i="7"/>
  <c r="I67" i="7"/>
  <c r="H67" i="7"/>
  <c r="J66" i="7"/>
  <c r="I66" i="7"/>
  <c r="H66" i="7"/>
  <c r="J65" i="7"/>
  <c r="I65" i="7"/>
  <c r="H65" i="7"/>
  <c r="J64" i="7"/>
  <c r="I64" i="7"/>
  <c r="H64" i="7"/>
  <c r="J63" i="7"/>
  <c r="I63" i="7"/>
  <c r="H63" i="7"/>
  <c r="J62" i="7"/>
  <c r="I62" i="7"/>
  <c r="H62" i="7"/>
  <c r="J61" i="7"/>
  <c r="I61" i="7"/>
  <c r="H61" i="7"/>
  <c r="J60" i="7"/>
  <c r="I60" i="7"/>
  <c r="H60" i="7"/>
  <c r="J59" i="7"/>
  <c r="I59" i="7"/>
  <c r="H59" i="7"/>
  <c r="J58" i="7"/>
  <c r="I58" i="7"/>
  <c r="H58" i="7"/>
  <c r="J57" i="7"/>
  <c r="I57" i="7"/>
  <c r="H57" i="7"/>
  <c r="J56" i="7"/>
  <c r="I56" i="7"/>
  <c r="H56" i="7"/>
  <c r="J55" i="7"/>
  <c r="I55" i="7"/>
  <c r="H55" i="7"/>
  <c r="J54" i="7"/>
  <c r="I54" i="7"/>
  <c r="H54" i="7"/>
  <c r="J53" i="7"/>
  <c r="I53" i="7"/>
  <c r="H53" i="7"/>
  <c r="J52" i="7"/>
  <c r="I52" i="7"/>
  <c r="H52" i="7"/>
  <c r="J51" i="7"/>
  <c r="I51" i="7"/>
  <c r="H51" i="7"/>
  <c r="J50" i="7"/>
  <c r="I50" i="7"/>
  <c r="H50" i="7"/>
  <c r="J49" i="7"/>
  <c r="I49" i="7"/>
  <c r="H49" i="7"/>
  <c r="J48" i="7"/>
  <c r="I48" i="7"/>
  <c r="H48" i="7"/>
  <c r="J47" i="7"/>
  <c r="I47" i="7"/>
  <c r="H47" i="7"/>
  <c r="J46" i="7"/>
  <c r="I46" i="7"/>
  <c r="H46" i="7"/>
  <c r="J45" i="7"/>
  <c r="I45" i="7"/>
  <c r="H45" i="7"/>
  <c r="J44" i="7"/>
  <c r="I44" i="7"/>
  <c r="H44" i="7"/>
  <c r="J43" i="7"/>
  <c r="I43" i="7"/>
  <c r="H43" i="7"/>
  <c r="J42" i="7"/>
  <c r="I42" i="7"/>
  <c r="H42" i="7"/>
  <c r="J41" i="7"/>
  <c r="I41" i="7"/>
  <c r="H41" i="7"/>
  <c r="J40" i="7"/>
  <c r="I40" i="7"/>
  <c r="H40" i="7"/>
  <c r="J39" i="7"/>
  <c r="I39" i="7"/>
  <c r="H39" i="7"/>
  <c r="J38" i="7"/>
  <c r="I38" i="7"/>
  <c r="H38" i="7"/>
  <c r="J37" i="7"/>
  <c r="I37" i="7"/>
  <c r="H37" i="7"/>
  <c r="J36" i="7"/>
  <c r="I36" i="7"/>
  <c r="H36" i="7"/>
  <c r="J35" i="7"/>
  <c r="I35" i="7"/>
  <c r="H35" i="7"/>
  <c r="J34" i="7"/>
  <c r="I34" i="7"/>
  <c r="H34" i="7"/>
  <c r="J33" i="7"/>
  <c r="I33" i="7"/>
  <c r="H33" i="7"/>
  <c r="J32" i="7"/>
  <c r="I32" i="7"/>
  <c r="H32" i="7"/>
  <c r="J31" i="7"/>
  <c r="I31" i="7"/>
  <c r="H31" i="7"/>
  <c r="J30" i="7"/>
  <c r="I30" i="7"/>
  <c r="H30" i="7"/>
  <c r="J29" i="7"/>
  <c r="I29" i="7"/>
  <c r="H29" i="7"/>
  <c r="J28" i="7"/>
  <c r="I28" i="7"/>
  <c r="H28" i="7"/>
  <c r="J27" i="7"/>
  <c r="I27" i="7"/>
  <c r="H27" i="7"/>
  <c r="J26" i="7"/>
  <c r="I26" i="7"/>
  <c r="H26" i="7"/>
  <c r="J25" i="7"/>
  <c r="I25" i="7"/>
  <c r="H25" i="7"/>
  <c r="J24" i="7"/>
  <c r="I24" i="7"/>
  <c r="H24" i="7"/>
  <c r="J23" i="7"/>
  <c r="I23" i="7"/>
  <c r="H23" i="7"/>
  <c r="J22" i="7"/>
  <c r="I22" i="7"/>
  <c r="H22" i="7"/>
  <c r="J21" i="7"/>
  <c r="I21" i="7"/>
  <c r="H21" i="7"/>
  <c r="J20" i="7"/>
  <c r="I20" i="7"/>
  <c r="H20" i="7"/>
  <c r="J19" i="7"/>
  <c r="I19" i="7"/>
  <c r="H19" i="7"/>
  <c r="J18" i="7"/>
  <c r="I18" i="7"/>
  <c r="H18" i="7"/>
  <c r="J17" i="7"/>
  <c r="I17" i="7"/>
  <c r="H17" i="7"/>
  <c r="J16" i="7"/>
  <c r="I16" i="7"/>
  <c r="H16" i="7"/>
  <c r="J15" i="7"/>
  <c r="I15" i="7"/>
  <c r="H15" i="7"/>
  <c r="J14" i="7"/>
  <c r="I14" i="7"/>
  <c r="H14" i="7"/>
  <c r="J13" i="7"/>
  <c r="I13" i="7"/>
  <c r="H13" i="7"/>
  <c r="J12" i="7"/>
  <c r="I12" i="7"/>
  <c r="H12" i="7"/>
  <c r="J11" i="7"/>
  <c r="I11" i="7"/>
  <c r="H11" i="7"/>
  <c r="J10" i="7"/>
  <c r="I10" i="7"/>
  <c r="H10" i="7"/>
  <c r="J9" i="7"/>
  <c r="I9" i="7"/>
  <c r="H9" i="7"/>
  <c r="J8" i="7"/>
  <c r="I8" i="7"/>
  <c r="H8" i="7"/>
  <c r="I57" i="5"/>
  <c r="H57" i="5"/>
  <c r="G57" i="5"/>
  <c r="F57" i="5"/>
  <c r="I56" i="5"/>
  <c r="H56" i="5"/>
  <c r="G56" i="5"/>
  <c r="F56" i="5"/>
  <c r="I55" i="5"/>
  <c r="H55" i="5"/>
  <c r="G55" i="5"/>
  <c r="F55" i="5"/>
  <c r="I54" i="5"/>
  <c r="H54" i="5"/>
  <c r="G54" i="5"/>
  <c r="F54" i="5"/>
  <c r="I53" i="5"/>
  <c r="H53" i="5"/>
  <c r="G53" i="5"/>
  <c r="F53" i="5"/>
  <c r="I52" i="5"/>
  <c r="H52" i="5"/>
  <c r="G52" i="5"/>
  <c r="F52" i="5"/>
  <c r="I51" i="5"/>
  <c r="H51" i="5"/>
  <c r="G51" i="5"/>
  <c r="F51" i="5"/>
  <c r="I50" i="5"/>
  <c r="H50" i="5"/>
  <c r="G50" i="5"/>
  <c r="F50" i="5"/>
  <c r="I49" i="5"/>
  <c r="H49" i="5"/>
  <c r="G49" i="5"/>
  <c r="F49" i="5"/>
  <c r="I48" i="5"/>
  <c r="H48" i="5"/>
  <c r="G48" i="5"/>
  <c r="F48" i="5"/>
  <c r="I47" i="5"/>
  <c r="H47" i="5"/>
  <c r="G47" i="5"/>
  <c r="F47" i="5"/>
  <c r="I46" i="5"/>
  <c r="H46" i="5"/>
  <c r="G46" i="5"/>
  <c r="F46" i="5"/>
  <c r="I45" i="5"/>
  <c r="H45" i="5"/>
  <c r="G45" i="5"/>
  <c r="F45" i="5"/>
  <c r="I44" i="5"/>
  <c r="H44" i="5"/>
  <c r="G44" i="5"/>
  <c r="F44" i="5"/>
  <c r="I43" i="5"/>
  <c r="H43" i="5"/>
  <c r="G43" i="5"/>
  <c r="F43" i="5"/>
  <c r="I42" i="5"/>
  <c r="H42" i="5"/>
  <c r="G42" i="5"/>
  <c r="F42" i="5"/>
  <c r="I41" i="5"/>
  <c r="H41" i="5"/>
  <c r="G41" i="5"/>
  <c r="F41" i="5"/>
  <c r="I40" i="5"/>
  <c r="H40" i="5"/>
  <c r="G40" i="5"/>
  <c r="F40" i="5"/>
  <c r="I39" i="5"/>
  <c r="H39" i="5"/>
  <c r="G39" i="5"/>
  <c r="F39" i="5"/>
  <c r="I38" i="5"/>
  <c r="H38" i="5"/>
  <c r="G38" i="5"/>
  <c r="F38" i="5"/>
  <c r="I37" i="5"/>
  <c r="H37" i="5"/>
  <c r="G37" i="5"/>
  <c r="F37" i="5"/>
  <c r="I36" i="5"/>
  <c r="H36" i="5"/>
  <c r="G36" i="5"/>
  <c r="F36" i="5"/>
  <c r="I35" i="5"/>
  <c r="H35" i="5"/>
  <c r="G35" i="5"/>
  <c r="F35" i="5"/>
  <c r="I34" i="5"/>
  <c r="H34" i="5"/>
  <c r="G34" i="5"/>
  <c r="F34" i="5"/>
  <c r="I33" i="5"/>
  <c r="H33" i="5"/>
  <c r="G33" i="5"/>
  <c r="F33" i="5"/>
  <c r="I32" i="5"/>
  <c r="H32" i="5"/>
  <c r="G32" i="5"/>
  <c r="F32" i="5"/>
  <c r="I31" i="5"/>
  <c r="H31" i="5"/>
  <c r="G31" i="5"/>
  <c r="F31" i="5"/>
  <c r="I30" i="5"/>
  <c r="H30" i="5"/>
  <c r="G30" i="5"/>
  <c r="F30" i="5"/>
  <c r="I29" i="5"/>
  <c r="H29" i="5"/>
  <c r="G29" i="5"/>
  <c r="F29" i="5"/>
  <c r="I28" i="5"/>
  <c r="H28" i="5"/>
  <c r="G28" i="5"/>
  <c r="F28" i="5"/>
  <c r="I27" i="5"/>
  <c r="H27" i="5"/>
  <c r="G27" i="5"/>
  <c r="F27" i="5"/>
  <c r="I26" i="5"/>
  <c r="H26" i="5"/>
  <c r="G26" i="5"/>
  <c r="F26" i="5"/>
  <c r="I25" i="5"/>
  <c r="H25" i="5"/>
  <c r="G25" i="5"/>
  <c r="F25" i="5"/>
  <c r="I24" i="5"/>
  <c r="H24" i="5"/>
  <c r="G24" i="5"/>
  <c r="F24" i="5"/>
  <c r="I23" i="5"/>
  <c r="H23" i="5"/>
  <c r="G23" i="5"/>
  <c r="F23" i="5"/>
  <c r="I22" i="5"/>
  <c r="H22" i="5"/>
  <c r="G22" i="5"/>
  <c r="F22" i="5"/>
  <c r="I21" i="5"/>
  <c r="H21" i="5"/>
  <c r="G21" i="5"/>
  <c r="F21" i="5"/>
  <c r="I20" i="5"/>
  <c r="H20" i="5"/>
  <c r="G20" i="5"/>
  <c r="F20" i="5"/>
  <c r="I19" i="5"/>
  <c r="H19" i="5"/>
  <c r="G19" i="5"/>
  <c r="F19" i="5"/>
  <c r="I18" i="5"/>
  <c r="H18" i="5"/>
  <c r="G18" i="5"/>
  <c r="F18" i="5"/>
  <c r="I17" i="5"/>
  <c r="H17" i="5"/>
  <c r="G17" i="5"/>
  <c r="F17" i="5"/>
  <c r="I16" i="5"/>
  <c r="H16" i="5"/>
  <c r="G16" i="5"/>
  <c r="F16" i="5"/>
  <c r="I15" i="5"/>
  <c r="H15" i="5"/>
  <c r="G15" i="5"/>
  <c r="F15" i="5"/>
  <c r="I14" i="5"/>
  <c r="H14" i="5"/>
  <c r="G14" i="5"/>
  <c r="F14" i="5"/>
  <c r="I13" i="5"/>
  <c r="H13" i="5"/>
  <c r="G13" i="5"/>
  <c r="F13" i="5"/>
  <c r="I12" i="5"/>
  <c r="H12" i="5"/>
  <c r="G12" i="5"/>
  <c r="F12" i="5"/>
  <c r="I11" i="5"/>
  <c r="H11" i="5"/>
  <c r="G11" i="5"/>
  <c r="F11" i="5"/>
  <c r="I10" i="5"/>
  <c r="H10" i="5"/>
  <c r="G10" i="5"/>
  <c r="F10" i="5"/>
  <c r="I9" i="5"/>
  <c r="H9" i="5"/>
  <c r="G9" i="5"/>
  <c r="F9" i="5"/>
  <c r="I8" i="5"/>
  <c r="H8" i="5"/>
  <c r="G8" i="5"/>
  <c r="F8" i="5"/>
  <c r="M50" i="3"/>
  <c r="L50" i="3"/>
  <c r="K50" i="3"/>
  <c r="J50" i="3"/>
  <c r="H50" i="3"/>
  <c r="G50" i="3"/>
  <c r="F50" i="3"/>
  <c r="C50" i="3"/>
  <c r="B50" i="3"/>
  <c r="M49" i="3"/>
  <c r="L49" i="3"/>
  <c r="K49" i="3"/>
  <c r="J49" i="3"/>
  <c r="H49" i="3"/>
  <c r="G49" i="3"/>
  <c r="F49" i="3"/>
  <c r="C49" i="3"/>
  <c r="B49" i="3"/>
  <c r="M48" i="3"/>
  <c r="L48" i="3"/>
  <c r="K48" i="3"/>
  <c r="J48" i="3"/>
  <c r="H48" i="3"/>
  <c r="G48" i="3"/>
  <c r="F48" i="3"/>
  <c r="C48" i="3"/>
  <c r="B48" i="3"/>
  <c r="M47" i="3"/>
  <c r="L47" i="3"/>
  <c r="K47" i="3"/>
  <c r="J47" i="3"/>
  <c r="H47" i="3"/>
  <c r="G47" i="3"/>
  <c r="F47" i="3"/>
  <c r="C47" i="3"/>
  <c r="B47" i="3"/>
  <c r="M46" i="3"/>
  <c r="L46" i="3"/>
  <c r="K46" i="3"/>
  <c r="J46" i="3"/>
  <c r="H46" i="3"/>
  <c r="G46" i="3"/>
  <c r="F46" i="3"/>
  <c r="C46" i="3"/>
  <c r="B46" i="3"/>
  <c r="M45" i="3"/>
  <c r="L45" i="3"/>
  <c r="K45" i="3"/>
  <c r="J45" i="3"/>
  <c r="H45" i="3"/>
  <c r="G45" i="3"/>
  <c r="F45" i="3"/>
  <c r="C45" i="3"/>
  <c r="B45" i="3"/>
  <c r="M44" i="3"/>
  <c r="L44" i="3"/>
  <c r="K44" i="3"/>
  <c r="J44" i="3"/>
  <c r="H44" i="3"/>
  <c r="G44" i="3"/>
  <c r="F44" i="3"/>
  <c r="C44" i="3"/>
  <c r="B44" i="3"/>
  <c r="M43" i="3"/>
  <c r="L43" i="3"/>
  <c r="K43" i="3"/>
  <c r="J43" i="3"/>
  <c r="H43" i="3"/>
  <c r="G43" i="3"/>
  <c r="F43" i="3"/>
  <c r="C43" i="3"/>
  <c r="B43" i="3"/>
  <c r="M42" i="3"/>
  <c r="L42" i="3"/>
  <c r="K42" i="3"/>
  <c r="J42" i="3"/>
  <c r="H42" i="3"/>
  <c r="G42" i="3"/>
  <c r="F42" i="3"/>
  <c r="C42" i="3"/>
  <c r="B42" i="3"/>
  <c r="M41" i="3"/>
  <c r="L41" i="3"/>
  <c r="K41" i="3"/>
  <c r="J41" i="3"/>
  <c r="H41" i="3"/>
  <c r="G41" i="3"/>
  <c r="F41" i="3"/>
  <c r="C41" i="3"/>
  <c r="B41" i="3"/>
  <c r="H22" i="3"/>
  <c r="E22" i="3"/>
  <c r="B22" i="3"/>
  <c r="H21" i="3"/>
  <c r="K18" i="3"/>
  <c r="B18" i="3"/>
  <c r="B3" i="3"/>
  <c r="J2" i="3"/>
  <c r="M42" i="2"/>
  <c r="K42" i="2"/>
  <c r="I42" i="2"/>
  <c r="H42" i="2"/>
  <c r="D42" i="2"/>
  <c r="C42" i="2"/>
  <c r="B42" i="2"/>
  <c r="M41" i="2"/>
  <c r="K41" i="2"/>
  <c r="I41" i="2"/>
  <c r="H41" i="2"/>
  <c r="D41" i="2"/>
  <c r="C41" i="2"/>
  <c r="B41" i="2"/>
  <c r="M40" i="2"/>
  <c r="K40" i="2"/>
  <c r="I40" i="2"/>
  <c r="H40" i="2"/>
  <c r="D40" i="2"/>
  <c r="C40" i="2"/>
  <c r="B40" i="2"/>
  <c r="M39" i="2"/>
  <c r="K39" i="2"/>
  <c r="I39" i="2"/>
  <c r="H39" i="2"/>
  <c r="D39" i="2"/>
  <c r="C39" i="2"/>
  <c r="B39" i="2"/>
  <c r="M38" i="2"/>
  <c r="K38" i="2"/>
  <c r="I38" i="2"/>
  <c r="H38" i="2"/>
  <c r="D38" i="2"/>
  <c r="C38" i="2"/>
  <c r="B38" i="2"/>
  <c r="M37" i="2"/>
  <c r="K37" i="2"/>
  <c r="I37" i="2"/>
  <c r="H37" i="2"/>
  <c r="D37" i="2"/>
  <c r="C37" i="2"/>
  <c r="B37" i="2"/>
  <c r="M36" i="2"/>
  <c r="K36" i="2"/>
  <c r="I36" i="2"/>
  <c r="H36" i="2"/>
  <c r="D36" i="2"/>
  <c r="C36" i="2"/>
  <c r="B36" i="2"/>
  <c r="M35" i="2"/>
  <c r="K35" i="2"/>
  <c r="I35" i="2"/>
  <c r="H35" i="2"/>
  <c r="D35" i="2"/>
  <c r="C35" i="2"/>
  <c r="B35" i="2"/>
  <c r="I31" i="2"/>
  <c r="H31" i="2"/>
  <c r="G31" i="2"/>
  <c r="C31" i="2"/>
  <c r="B31" i="2"/>
  <c r="I30" i="2"/>
  <c r="H30" i="2"/>
  <c r="G30" i="2"/>
  <c r="C30" i="2"/>
  <c r="B30" i="2"/>
  <c r="I29" i="2"/>
  <c r="H29" i="2"/>
  <c r="G29" i="2"/>
  <c r="C29" i="2"/>
  <c r="B29" i="2"/>
  <c r="I28" i="2"/>
  <c r="H28" i="2"/>
  <c r="G28" i="2"/>
  <c r="C28" i="2"/>
  <c r="B28" i="2"/>
  <c r="I27" i="2"/>
  <c r="H27" i="2"/>
  <c r="G27" i="2"/>
  <c r="C27" i="2"/>
  <c r="B27" i="2"/>
  <c r="I26" i="2"/>
  <c r="H26" i="2"/>
  <c r="G26" i="2"/>
  <c r="C26" i="2"/>
  <c r="B26" i="2"/>
  <c r="I25" i="2"/>
  <c r="H25" i="2"/>
  <c r="G25" i="2"/>
  <c r="C25" i="2"/>
  <c r="B25" i="2"/>
  <c r="I24" i="2"/>
  <c r="H24" i="2"/>
  <c r="G24" i="2"/>
  <c r="C24" i="2"/>
  <c r="B24" i="2"/>
  <c r="I23" i="2"/>
  <c r="H23" i="2"/>
  <c r="G23" i="2"/>
  <c r="C23" i="2"/>
  <c r="B23" i="2"/>
  <c r="I22" i="2"/>
  <c r="H22" i="2"/>
  <c r="G22" i="2"/>
  <c r="C22" i="2"/>
  <c r="B22" i="2"/>
  <c r="K18" i="2"/>
  <c r="E18" i="2"/>
  <c r="B3" i="2"/>
  <c r="J2" i="2"/>
  <c r="M42" i="1"/>
  <c r="K42" i="1"/>
  <c r="I42" i="1"/>
  <c r="H42" i="1"/>
  <c r="D42" i="1"/>
  <c r="C42" i="1"/>
  <c r="B42" i="1"/>
  <c r="M41" i="1"/>
  <c r="K41" i="1"/>
  <c r="I41" i="1"/>
  <c r="H41" i="1"/>
  <c r="D41" i="1"/>
  <c r="C41" i="1"/>
  <c r="B41" i="1"/>
  <c r="M40" i="1"/>
  <c r="K40" i="1"/>
  <c r="I40" i="1"/>
  <c r="H40" i="1"/>
  <c r="D40" i="1"/>
  <c r="C40" i="1"/>
  <c r="B40" i="1"/>
  <c r="M39" i="1"/>
  <c r="K39" i="1"/>
  <c r="I39" i="1"/>
  <c r="H39" i="1"/>
  <c r="D39" i="1"/>
  <c r="C39" i="1"/>
  <c r="B39" i="1"/>
  <c r="M38" i="1"/>
  <c r="K38" i="1"/>
  <c r="I38" i="1"/>
  <c r="H38" i="1"/>
  <c r="D38" i="1"/>
  <c r="C38" i="1"/>
  <c r="B38" i="1"/>
  <c r="M37" i="1"/>
  <c r="K37" i="1"/>
  <c r="I37" i="1"/>
  <c r="H37" i="1"/>
  <c r="D37" i="1"/>
  <c r="C37" i="1"/>
  <c r="B37" i="1"/>
  <c r="M36" i="1"/>
  <c r="K36" i="1"/>
  <c r="I36" i="1"/>
  <c r="H36" i="1"/>
  <c r="D36" i="1"/>
  <c r="C36" i="1"/>
  <c r="B36" i="1"/>
  <c r="M35" i="1"/>
  <c r="K35" i="1"/>
  <c r="I35" i="1"/>
  <c r="H35" i="1"/>
  <c r="D35" i="1"/>
  <c r="C35" i="1"/>
  <c r="B35" i="1"/>
  <c r="I31" i="1"/>
  <c r="H31" i="1"/>
  <c r="G31" i="1"/>
  <c r="C31" i="1"/>
  <c r="B31" i="1"/>
  <c r="I30" i="1"/>
  <c r="H30" i="1"/>
  <c r="G30" i="1"/>
  <c r="C30" i="1"/>
  <c r="B30" i="1"/>
  <c r="I29" i="1"/>
  <c r="H29" i="1"/>
  <c r="G29" i="1"/>
  <c r="C29" i="1"/>
  <c r="B29" i="1"/>
  <c r="I28" i="1"/>
  <c r="H28" i="1"/>
  <c r="G28" i="1"/>
  <c r="C28" i="1"/>
  <c r="B28" i="1"/>
  <c r="I27" i="1"/>
  <c r="H27" i="1"/>
  <c r="G27" i="1"/>
  <c r="C27" i="1"/>
  <c r="B27" i="1"/>
  <c r="I26" i="1"/>
  <c r="H26" i="1"/>
  <c r="G26" i="1"/>
  <c r="C26" i="1"/>
  <c r="B26" i="1"/>
  <c r="I25" i="1"/>
  <c r="H25" i="1"/>
  <c r="G25" i="1"/>
  <c r="C25" i="1"/>
  <c r="B25" i="1"/>
  <c r="I24" i="1"/>
  <c r="H24" i="1"/>
  <c r="G24" i="1"/>
  <c r="C24" i="1"/>
  <c r="B24" i="1"/>
  <c r="I23" i="1"/>
  <c r="H23" i="1"/>
  <c r="G23" i="1"/>
  <c r="C23" i="1"/>
  <c r="B23" i="1"/>
  <c r="I22" i="1"/>
  <c r="H22" i="1"/>
  <c r="G22" i="1"/>
  <c r="C22" i="1"/>
  <c r="B22" i="1"/>
  <c r="K18" i="1"/>
  <c r="H18" i="1"/>
  <c r="E18" i="1"/>
  <c r="B3" i="1"/>
  <c r="J2" i="1"/>
  <c r="B6" i="12" l="1"/>
  <c r="P23" i="10"/>
  <c r="P16" i="10"/>
  <c r="P14" i="10"/>
  <c r="H17" i="1"/>
  <c r="H18" i="3"/>
  <c r="C13" i="21"/>
  <c r="H28" i="16"/>
  <c r="E28" i="16"/>
  <c r="H24" i="16"/>
  <c r="E24" i="16"/>
  <c r="O22" i="16"/>
  <c r="N22" i="16"/>
  <c r="N15" i="16"/>
  <c r="O15" i="16"/>
  <c r="H15" i="16"/>
  <c r="E15" i="16"/>
  <c r="H11" i="16"/>
  <c r="E11" i="16"/>
  <c r="H486" i="12"/>
  <c r="F486" i="12"/>
  <c r="E486" i="12"/>
  <c r="C486" i="12"/>
  <c r="D486" i="12"/>
  <c r="G486" i="12"/>
  <c r="L486" i="12"/>
  <c r="M486" i="12" s="1"/>
  <c r="J486" i="12"/>
  <c r="K486" i="12" s="1"/>
  <c r="D421" i="12"/>
  <c r="L421" i="12"/>
  <c r="M421" i="12" s="1"/>
  <c r="G421" i="12"/>
  <c r="J421" i="12"/>
  <c r="K421" i="12" s="1"/>
  <c r="H421" i="12"/>
  <c r="F421" i="12"/>
  <c r="E421" i="12"/>
  <c r="C421" i="12"/>
  <c r="J356" i="12"/>
  <c r="K356" i="12" s="1"/>
  <c r="H356" i="12"/>
  <c r="G356" i="12"/>
  <c r="F356" i="12"/>
  <c r="E356" i="12"/>
  <c r="D356" i="12"/>
  <c r="C356" i="12"/>
  <c r="L356" i="12"/>
  <c r="M356" i="12" s="1"/>
  <c r="J291" i="12"/>
  <c r="K291" i="12" s="1"/>
  <c r="H291" i="12"/>
  <c r="G291" i="12"/>
  <c r="F291" i="12"/>
  <c r="C291" i="12"/>
  <c r="E291" i="12"/>
  <c r="D291" i="12"/>
  <c r="L291" i="12"/>
  <c r="M291" i="12" s="1"/>
  <c r="L226" i="12"/>
  <c r="M226" i="12" s="1"/>
  <c r="J226" i="12"/>
  <c r="K226" i="12" s="1"/>
  <c r="G226" i="12"/>
  <c r="F226" i="12"/>
  <c r="E226" i="12"/>
  <c r="H226" i="12"/>
  <c r="D226" i="12"/>
  <c r="C226" i="12"/>
  <c r="J161" i="12"/>
  <c r="K161" i="12" s="1"/>
  <c r="H161" i="12"/>
  <c r="G161" i="12"/>
  <c r="F161" i="12"/>
  <c r="L161" i="12"/>
  <c r="M161" i="12" s="1"/>
  <c r="D161" i="12"/>
  <c r="C161" i="12"/>
  <c r="E161" i="12"/>
  <c r="E96" i="12"/>
  <c r="D96" i="12"/>
  <c r="C96" i="12"/>
  <c r="L96" i="12"/>
  <c r="M96" i="12" s="1"/>
  <c r="J96" i="12"/>
  <c r="K96" i="12" s="1"/>
  <c r="H96" i="12"/>
  <c r="G96" i="12"/>
  <c r="F96" i="12"/>
  <c r="L31" i="12"/>
  <c r="M31" i="12" s="1"/>
  <c r="J31" i="12"/>
  <c r="K31" i="12" s="1"/>
  <c r="H31" i="12"/>
  <c r="G31" i="12"/>
  <c r="F31" i="12"/>
  <c r="D31" i="12"/>
  <c r="C31" i="12"/>
  <c r="E31" i="12"/>
  <c r="B11" i="16"/>
  <c r="P11" i="16"/>
  <c r="B12" i="16"/>
  <c r="B15" i="16"/>
  <c r="P12" i="16"/>
  <c r="B13" i="16"/>
  <c r="P13" i="16"/>
  <c r="B14" i="16"/>
  <c r="P14" i="16"/>
  <c r="P9" i="16"/>
  <c r="B9" i="16"/>
  <c r="B10" i="16"/>
  <c r="P10" i="16"/>
  <c r="B11" i="21"/>
  <c r="C57" i="19"/>
  <c r="H17" i="3"/>
  <c r="C56" i="19"/>
  <c r="H12" i="3" s="1"/>
  <c r="C55" i="19"/>
  <c r="C54" i="19"/>
  <c r="C58" i="19"/>
  <c r="B9" i="3" s="1"/>
  <c r="C39" i="19"/>
  <c r="C6" i="10"/>
  <c r="B6" i="10"/>
  <c r="C62" i="19"/>
  <c r="K17" i="1"/>
  <c r="B17" i="3"/>
  <c r="K17" i="2"/>
  <c r="E17" i="1"/>
  <c r="E18" i="3"/>
  <c r="C59" i="19"/>
  <c r="E17" i="3"/>
  <c r="C8" i="21"/>
  <c r="B8" i="21"/>
  <c r="C61" i="19"/>
  <c r="B9" i="2" s="1"/>
  <c r="K21" i="3"/>
  <c r="C60" i="19"/>
  <c r="B9" i="1" s="1"/>
  <c r="B6" i="5"/>
  <c r="C10" i="21"/>
  <c r="B10" i="21"/>
  <c r="H18" i="2"/>
  <c r="B13" i="21"/>
  <c r="C9" i="21"/>
  <c r="B9" i="21"/>
  <c r="R28" i="16"/>
  <c r="N28" i="16"/>
  <c r="S28" i="16"/>
  <c r="O28" i="16"/>
  <c r="R27" i="16"/>
  <c r="S27" i="16"/>
  <c r="H27" i="16"/>
  <c r="E27" i="16"/>
  <c r="R26" i="16"/>
  <c r="S26" i="16"/>
  <c r="H26" i="16"/>
  <c r="E26" i="16"/>
  <c r="R25" i="16"/>
  <c r="O25" i="16"/>
  <c r="M25" i="16"/>
  <c r="S25" i="16"/>
  <c r="N25" i="16"/>
  <c r="H25" i="16"/>
  <c r="E25" i="16"/>
  <c r="R24" i="16"/>
  <c r="O24" i="16"/>
  <c r="S24" i="16"/>
  <c r="S23" i="16"/>
  <c r="R23" i="16"/>
  <c r="O23" i="16"/>
  <c r="E23" i="16"/>
  <c r="H23" i="16"/>
  <c r="S22" i="16"/>
  <c r="R22" i="16"/>
  <c r="H22" i="16"/>
  <c r="E22" i="16"/>
  <c r="R21" i="16"/>
  <c r="N21" i="16"/>
  <c r="S21" i="16"/>
  <c r="E21" i="16"/>
  <c r="H21" i="16"/>
  <c r="R20" i="16"/>
  <c r="S20" i="16"/>
  <c r="E20" i="16"/>
  <c r="H20" i="16"/>
  <c r="S19" i="16"/>
  <c r="R19" i="16"/>
  <c r="H19" i="16"/>
  <c r="E19" i="16"/>
  <c r="S18" i="16"/>
  <c r="R18" i="16"/>
  <c r="H18" i="16"/>
  <c r="E18" i="16"/>
  <c r="R17" i="16"/>
  <c r="O17" i="16"/>
  <c r="S17" i="16"/>
  <c r="E17" i="16"/>
  <c r="H17" i="16"/>
  <c r="O16" i="16"/>
  <c r="S16" i="16"/>
  <c r="R16" i="16"/>
  <c r="H16" i="16"/>
  <c r="E16" i="16"/>
  <c r="R15" i="16"/>
  <c r="S15" i="16"/>
  <c r="R14" i="16"/>
  <c r="O14" i="16"/>
  <c r="S14" i="16"/>
  <c r="E14" i="16"/>
  <c r="H14" i="16"/>
  <c r="J13" i="16"/>
  <c r="D13" i="16"/>
  <c r="R13" i="16"/>
  <c r="S13" i="16"/>
  <c r="L13" i="16"/>
  <c r="G13" i="16"/>
  <c r="I13" i="16"/>
  <c r="M13" i="16"/>
  <c r="F13" i="16"/>
  <c r="F12" i="16"/>
  <c r="J12" i="16"/>
  <c r="R12" i="16"/>
  <c r="G12" i="16"/>
  <c r="S12" i="16"/>
  <c r="I12" i="16"/>
  <c r="D12" i="16"/>
  <c r="L12" i="16"/>
  <c r="M12" i="16"/>
  <c r="N12" i="16" s="1"/>
  <c r="S11" i="16"/>
  <c r="N11" i="16"/>
  <c r="R11" i="16"/>
  <c r="O11" i="16"/>
  <c r="F10" i="16"/>
  <c r="L10" i="16"/>
  <c r="M10" i="16"/>
  <c r="G10" i="16"/>
  <c r="S10" i="16"/>
  <c r="J10" i="16"/>
  <c r="D10" i="16"/>
  <c r="I10" i="16"/>
  <c r="R10" i="16"/>
  <c r="O9" i="16"/>
  <c r="S9" i="16"/>
  <c r="R9" i="16"/>
  <c r="H9" i="16"/>
  <c r="E9" i="16"/>
  <c r="E508" i="12"/>
  <c r="L508" i="12"/>
  <c r="M508" i="12" s="1"/>
  <c r="J508" i="12"/>
  <c r="K508" i="12" s="1"/>
  <c r="H508" i="12"/>
  <c r="D508" i="12"/>
  <c r="G508" i="12"/>
  <c r="F508" i="12"/>
  <c r="C508" i="12"/>
  <c r="E507" i="12"/>
  <c r="J507" i="12"/>
  <c r="K507" i="12" s="1"/>
  <c r="G507" i="12"/>
  <c r="C507" i="12"/>
  <c r="F507" i="12"/>
  <c r="L507" i="12"/>
  <c r="M507" i="12" s="1"/>
  <c r="D507" i="12"/>
  <c r="H507" i="12"/>
  <c r="E506" i="12"/>
  <c r="D506" i="12"/>
  <c r="H506" i="12"/>
  <c r="L506" i="12"/>
  <c r="M506" i="12" s="1"/>
  <c r="J506" i="12"/>
  <c r="K506" i="12" s="1"/>
  <c r="F506" i="12"/>
  <c r="G506" i="12"/>
  <c r="C506" i="12"/>
  <c r="E505" i="12"/>
  <c r="F505" i="12"/>
  <c r="H505" i="12"/>
  <c r="L505" i="12"/>
  <c r="M505" i="12" s="1"/>
  <c r="D505" i="12"/>
  <c r="C505" i="12"/>
  <c r="G505" i="12"/>
  <c r="J505" i="12"/>
  <c r="K505" i="12" s="1"/>
  <c r="G504" i="12"/>
  <c r="H504" i="12"/>
  <c r="J504" i="12"/>
  <c r="K504" i="12" s="1"/>
  <c r="E504" i="12"/>
  <c r="D504" i="12"/>
  <c r="C504" i="12"/>
  <c r="L504" i="12"/>
  <c r="M504" i="12" s="1"/>
  <c r="F504" i="12"/>
  <c r="G503" i="12"/>
  <c r="L503" i="12"/>
  <c r="M503" i="12" s="1"/>
  <c r="J503" i="12"/>
  <c r="K503" i="12" s="1"/>
  <c r="D503" i="12"/>
  <c r="E503" i="12"/>
  <c r="C503" i="12"/>
  <c r="H503" i="12"/>
  <c r="F503" i="12"/>
  <c r="E502" i="12"/>
  <c r="J502" i="12"/>
  <c r="K502" i="12" s="1"/>
  <c r="D502" i="12"/>
  <c r="H502" i="12"/>
  <c r="G502" i="12"/>
  <c r="L502" i="12"/>
  <c r="M502" i="12" s="1"/>
  <c r="C502" i="12"/>
  <c r="H501" i="12"/>
  <c r="G501" i="12"/>
  <c r="D501" i="12"/>
  <c r="F501" i="12"/>
  <c r="E501" i="12"/>
  <c r="L501" i="12"/>
  <c r="M501" i="12" s="1"/>
  <c r="J501" i="12"/>
  <c r="K501" i="12" s="1"/>
  <c r="C501" i="12"/>
  <c r="J500" i="12"/>
  <c r="K500" i="12" s="1"/>
  <c r="C500" i="12"/>
  <c r="D500" i="12"/>
  <c r="H500" i="12"/>
  <c r="E500" i="12"/>
  <c r="G500" i="12"/>
  <c r="F500" i="12"/>
  <c r="L500" i="12"/>
  <c r="M500" i="12" s="1"/>
  <c r="J499" i="12"/>
  <c r="K499" i="12" s="1"/>
  <c r="L499" i="12"/>
  <c r="M499" i="12" s="1"/>
  <c r="G499" i="12"/>
  <c r="C499" i="12"/>
  <c r="H499" i="12"/>
  <c r="F499" i="12"/>
  <c r="D499" i="12"/>
  <c r="E499" i="12"/>
  <c r="C498" i="12"/>
  <c r="L498" i="12"/>
  <c r="M498" i="12" s="1"/>
  <c r="H498" i="12"/>
  <c r="J498" i="12"/>
  <c r="K498" i="12" s="1"/>
  <c r="G498" i="12"/>
  <c r="E498" i="12"/>
  <c r="D498" i="12"/>
  <c r="F498" i="12"/>
  <c r="L497" i="12"/>
  <c r="M497" i="12" s="1"/>
  <c r="H497" i="12"/>
  <c r="F497" i="12"/>
  <c r="G497" i="12"/>
  <c r="E497" i="12"/>
  <c r="C497" i="12"/>
  <c r="D497" i="12"/>
  <c r="J497" i="12"/>
  <c r="K497" i="12" s="1"/>
  <c r="D496" i="12"/>
  <c r="E496" i="12"/>
  <c r="J496" i="12"/>
  <c r="K496" i="12" s="1"/>
  <c r="L496" i="12"/>
  <c r="M496" i="12" s="1"/>
  <c r="F496" i="12"/>
  <c r="H496" i="12"/>
  <c r="G496" i="12"/>
  <c r="C496" i="12"/>
  <c r="J495" i="12"/>
  <c r="K495" i="12" s="1"/>
  <c r="E495" i="12"/>
  <c r="F495" i="12"/>
  <c r="H495" i="12"/>
  <c r="L495" i="12"/>
  <c r="M495" i="12" s="1"/>
  <c r="C495" i="12"/>
  <c r="G495" i="12"/>
  <c r="D495" i="12"/>
  <c r="C494" i="12"/>
  <c r="J494" i="12"/>
  <c r="K494" i="12" s="1"/>
  <c r="H494" i="12"/>
  <c r="D494" i="12"/>
  <c r="L494" i="12"/>
  <c r="M494" i="12" s="1"/>
  <c r="E494" i="12"/>
  <c r="F494" i="12"/>
  <c r="J493" i="12"/>
  <c r="K493" i="12" s="1"/>
  <c r="F493" i="12"/>
  <c r="L493" i="12"/>
  <c r="M493" i="12" s="1"/>
  <c r="G493" i="12"/>
  <c r="C493" i="12"/>
  <c r="D493" i="12"/>
  <c r="H493" i="12"/>
  <c r="E493" i="12"/>
  <c r="L492" i="12"/>
  <c r="M492" i="12" s="1"/>
  <c r="J492" i="12"/>
  <c r="K492" i="12" s="1"/>
  <c r="E492" i="12"/>
  <c r="H492" i="12"/>
  <c r="F492" i="12"/>
  <c r="G492" i="12"/>
  <c r="C492" i="12"/>
  <c r="D492" i="12"/>
  <c r="L491" i="12"/>
  <c r="M491" i="12" s="1"/>
  <c r="D491" i="12"/>
  <c r="F491" i="12"/>
  <c r="C491" i="12"/>
  <c r="G491" i="12"/>
  <c r="E491" i="12"/>
  <c r="J491" i="12"/>
  <c r="K491" i="12" s="1"/>
  <c r="D490" i="12"/>
  <c r="L490" i="12"/>
  <c r="M490" i="12" s="1"/>
  <c r="C490" i="12"/>
  <c r="J490" i="12"/>
  <c r="K490" i="12" s="1"/>
  <c r="G490" i="12"/>
  <c r="E490" i="12"/>
  <c r="F490" i="12"/>
  <c r="H489" i="12"/>
  <c r="G489" i="12"/>
  <c r="E489" i="12"/>
  <c r="J489" i="12"/>
  <c r="K489" i="12" s="1"/>
  <c r="D489" i="12"/>
  <c r="L489" i="12"/>
  <c r="M489" i="12" s="1"/>
  <c r="F489" i="12"/>
  <c r="C489" i="12"/>
  <c r="J488" i="12"/>
  <c r="K488" i="12" s="1"/>
  <c r="L488" i="12"/>
  <c r="M488" i="12" s="1"/>
  <c r="D488" i="12"/>
  <c r="F488" i="12"/>
  <c r="G488" i="12"/>
  <c r="E488" i="12"/>
  <c r="C488" i="12"/>
  <c r="H488" i="12"/>
  <c r="D487" i="12"/>
  <c r="E487" i="12"/>
  <c r="L487" i="12"/>
  <c r="M487" i="12" s="1"/>
  <c r="G487" i="12"/>
  <c r="F487" i="12"/>
  <c r="H487" i="12"/>
  <c r="C487" i="12"/>
  <c r="J487" i="12"/>
  <c r="K487" i="12" s="1"/>
  <c r="L485" i="12"/>
  <c r="M485" i="12" s="1"/>
  <c r="C485" i="12"/>
  <c r="D485" i="12"/>
  <c r="E485" i="12"/>
  <c r="F485" i="12"/>
  <c r="G485" i="12"/>
  <c r="J485" i="12"/>
  <c r="K485" i="12" s="1"/>
  <c r="H485" i="12"/>
  <c r="G484" i="12"/>
  <c r="E484" i="12"/>
  <c r="D484" i="12"/>
  <c r="C484" i="12"/>
  <c r="F484" i="12"/>
  <c r="L484" i="12"/>
  <c r="M484" i="12" s="1"/>
  <c r="J484" i="12"/>
  <c r="K484" i="12" s="1"/>
  <c r="H484" i="12"/>
  <c r="C483" i="12"/>
  <c r="D483" i="12"/>
  <c r="E483" i="12"/>
  <c r="F483" i="12"/>
  <c r="G483" i="12"/>
  <c r="H483" i="12"/>
  <c r="J483" i="12"/>
  <c r="K483" i="12" s="1"/>
  <c r="L483" i="12"/>
  <c r="M483" i="12" s="1"/>
  <c r="C482" i="12"/>
  <c r="D482" i="12"/>
  <c r="E482" i="12"/>
  <c r="F482" i="12"/>
  <c r="G482" i="12"/>
  <c r="H482" i="12"/>
  <c r="J482" i="12"/>
  <c r="K482" i="12" s="1"/>
  <c r="L482" i="12"/>
  <c r="M482" i="12" s="1"/>
  <c r="J481" i="12"/>
  <c r="K481" i="12" s="1"/>
  <c r="L481" i="12"/>
  <c r="M481" i="12" s="1"/>
  <c r="H481" i="12"/>
  <c r="C481" i="12"/>
  <c r="D481" i="12"/>
  <c r="E481" i="12"/>
  <c r="F481" i="12"/>
  <c r="G481" i="12"/>
  <c r="C480" i="12"/>
  <c r="E480" i="12"/>
  <c r="F480" i="12"/>
  <c r="G480" i="12"/>
  <c r="H480" i="12"/>
  <c r="J480" i="12"/>
  <c r="K480" i="12" s="1"/>
  <c r="L480" i="12"/>
  <c r="M480" i="12" s="1"/>
  <c r="D480" i="12"/>
  <c r="G479" i="12"/>
  <c r="H479" i="12"/>
  <c r="J479" i="12"/>
  <c r="K479" i="12" s="1"/>
  <c r="L479" i="12"/>
  <c r="M479" i="12" s="1"/>
  <c r="C479" i="12"/>
  <c r="D479" i="12"/>
  <c r="E479" i="12"/>
  <c r="F479" i="12"/>
  <c r="C478" i="12"/>
  <c r="L478" i="12"/>
  <c r="M478" i="12" s="1"/>
  <c r="J478" i="12"/>
  <c r="K478" i="12" s="1"/>
  <c r="H478" i="12"/>
  <c r="G478" i="12"/>
  <c r="F478" i="12"/>
  <c r="E478" i="12"/>
  <c r="D478" i="12"/>
  <c r="D477" i="12"/>
  <c r="C477" i="12"/>
  <c r="L477" i="12"/>
  <c r="M477" i="12" s="1"/>
  <c r="J477" i="12"/>
  <c r="K477" i="12" s="1"/>
  <c r="H477" i="12"/>
  <c r="G477" i="12"/>
  <c r="F477" i="12"/>
  <c r="E477" i="12"/>
  <c r="F476" i="12"/>
  <c r="L476" i="12"/>
  <c r="M476" i="12" s="1"/>
  <c r="J476" i="12"/>
  <c r="K476" i="12" s="1"/>
  <c r="H476" i="12"/>
  <c r="G476" i="12"/>
  <c r="E476" i="12"/>
  <c r="D476" i="12"/>
  <c r="C476" i="12"/>
  <c r="C475" i="12"/>
  <c r="L475" i="12"/>
  <c r="M475" i="12" s="1"/>
  <c r="J475" i="12"/>
  <c r="K475" i="12" s="1"/>
  <c r="H475" i="12"/>
  <c r="G475" i="12"/>
  <c r="F475" i="12"/>
  <c r="E475" i="12"/>
  <c r="D475" i="12"/>
  <c r="E474" i="12"/>
  <c r="F474" i="12"/>
  <c r="G474" i="12"/>
  <c r="H474" i="12"/>
  <c r="J474" i="12"/>
  <c r="K474" i="12" s="1"/>
  <c r="D474" i="12"/>
  <c r="C474" i="12"/>
  <c r="L474" i="12"/>
  <c r="M474" i="12" s="1"/>
  <c r="G473" i="12"/>
  <c r="H473" i="12"/>
  <c r="J473" i="12"/>
  <c r="K473" i="12" s="1"/>
  <c r="L473" i="12"/>
  <c r="M473" i="12" s="1"/>
  <c r="E473" i="12"/>
  <c r="C473" i="12"/>
  <c r="D473" i="12"/>
  <c r="F473" i="12"/>
  <c r="D472" i="12"/>
  <c r="E472" i="12"/>
  <c r="L472" i="12"/>
  <c r="M472" i="12" s="1"/>
  <c r="J472" i="12"/>
  <c r="K472" i="12" s="1"/>
  <c r="H472" i="12"/>
  <c r="G472" i="12"/>
  <c r="F472" i="12"/>
  <c r="C472" i="12"/>
  <c r="L471" i="12"/>
  <c r="M471" i="12" s="1"/>
  <c r="E471" i="12"/>
  <c r="D471" i="12"/>
  <c r="J471" i="12"/>
  <c r="K471" i="12" s="1"/>
  <c r="C471" i="12"/>
  <c r="H471" i="12"/>
  <c r="G471" i="12"/>
  <c r="F471" i="12"/>
  <c r="L470" i="12"/>
  <c r="M470" i="12" s="1"/>
  <c r="C470" i="12"/>
  <c r="D470" i="12"/>
  <c r="E470" i="12"/>
  <c r="F470" i="12"/>
  <c r="G470" i="12"/>
  <c r="H470" i="12"/>
  <c r="J470" i="12"/>
  <c r="K470" i="12" s="1"/>
  <c r="L469" i="12"/>
  <c r="M469" i="12" s="1"/>
  <c r="G469" i="12"/>
  <c r="J469" i="12"/>
  <c r="K469" i="12" s="1"/>
  <c r="C469" i="12"/>
  <c r="D469" i="12"/>
  <c r="E469" i="12"/>
  <c r="F469" i="12"/>
  <c r="H469" i="12"/>
  <c r="J468" i="12"/>
  <c r="K468" i="12" s="1"/>
  <c r="G468" i="12"/>
  <c r="F468" i="12"/>
  <c r="E468" i="12"/>
  <c r="D468" i="12"/>
  <c r="C468" i="12"/>
  <c r="H468" i="12"/>
  <c r="L468" i="12"/>
  <c r="M468" i="12" s="1"/>
  <c r="H467" i="12"/>
  <c r="E467" i="12"/>
  <c r="D467" i="12"/>
  <c r="C467" i="12"/>
  <c r="F467" i="12"/>
  <c r="J467" i="12"/>
  <c r="K467" i="12" s="1"/>
  <c r="G467" i="12"/>
  <c r="L467" i="12"/>
  <c r="M467" i="12" s="1"/>
  <c r="L466" i="12"/>
  <c r="M466" i="12" s="1"/>
  <c r="F466" i="12"/>
  <c r="G466" i="12"/>
  <c r="H466" i="12"/>
  <c r="C466" i="12"/>
  <c r="D466" i="12"/>
  <c r="E466" i="12"/>
  <c r="J466" i="12"/>
  <c r="K466" i="12" s="1"/>
  <c r="L465" i="12"/>
  <c r="M465" i="12" s="1"/>
  <c r="J465" i="12"/>
  <c r="K465" i="12" s="1"/>
  <c r="H465" i="12"/>
  <c r="G465" i="12"/>
  <c r="E465" i="12"/>
  <c r="D465" i="12"/>
  <c r="C465" i="12"/>
  <c r="F465" i="12"/>
  <c r="L464" i="12"/>
  <c r="M464" i="12" s="1"/>
  <c r="J464" i="12"/>
  <c r="K464" i="12" s="1"/>
  <c r="H464" i="12"/>
  <c r="G464" i="12"/>
  <c r="F464" i="12"/>
  <c r="E464" i="12"/>
  <c r="D464" i="12"/>
  <c r="C464" i="12"/>
  <c r="L463" i="12"/>
  <c r="M463" i="12" s="1"/>
  <c r="J463" i="12"/>
  <c r="K463" i="12" s="1"/>
  <c r="H463" i="12"/>
  <c r="G463" i="12"/>
  <c r="F463" i="12"/>
  <c r="E463" i="12"/>
  <c r="D463" i="12"/>
  <c r="C463" i="12"/>
  <c r="L462" i="12"/>
  <c r="M462" i="12" s="1"/>
  <c r="J462" i="12"/>
  <c r="K462" i="12" s="1"/>
  <c r="H462" i="12"/>
  <c r="G462" i="12"/>
  <c r="F462" i="12"/>
  <c r="E462" i="12"/>
  <c r="D462" i="12"/>
  <c r="C462" i="12"/>
  <c r="L461" i="12"/>
  <c r="M461" i="12" s="1"/>
  <c r="J461" i="12"/>
  <c r="K461" i="12" s="1"/>
  <c r="H461" i="12"/>
  <c r="G461" i="12"/>
  <c r="F461" i="12"/>
  <c r="E461" i="12"/>
  <c r="D461" i="12"/>
  <c r="C461" i="12"/>
  <c r="L460" i="12"/>
  <c r="M460" i="12" s="1"/>
  <c r="J460" i="12"/>
  <c r="K460" i="12" s="1"/>
  <c r="H460" i="12"/>
  <c r="G460" i="12"/>
  <c r="F460" i="12"/>
  <c r="E460" i="12"/>
  <c r="D460" i="12"/>
  <c r="C460" i="12"/>
  <c r="L459" i="12"/>
  <c r="M459" i="12" s="1"/>
  <c r="J459" i="12"/>
  <c r="K459" i="12" s="1"/>
  <c r="H459" i="12"/>
  <c r="G459" i="12"/>
  <c r="F459" i="12"/>
  <c r="E459" i="12"/>
  <c r="D459" i="12"/>
  <c r="C459" i="12"/>
  <c r="L458" i="12"/>
  <c r="M458" i="12" s="1"/>
  <c r="J458" i="12"/>
  <c r="K458" i="12" s="1"/>
  <c r="H458" i="12"/>
  <c r="G458" i="12"/>
  <c r="F458" i="12"/>
  <c r="E458" i="12"/>
  <c r="D458" i="12"/>
  <c r="C458" i="12"/>
  <c r="L457" i="12"/>
  <c r="M457" i="12" s="1"/>
  <c r="J457" i="12"/>
  <c r="K457" i="12" s="1"/>
  <c r="H457" i="12"/>
  <c r="G457" i="12"/>
  <c r="F457" i="12"/>
  <c r="E457" i="12"/>
  <c r="D457" i="12"/>
  <c r="C457" i="12"/>
  <c r="L456" i="12"/>
  <c r="M456" i="12" s="1"/>
  <c r="J456" i="12"/>
  <c r="K456" i="12" s="1"/>
  <c r="H456" i="12"/>
  <c r="G456" i="12"/>
  <c r="F456" i="12"/>
  <c r="E456" i="12"/>
  <c r="D456" i="12"/>
  <c r="C456" i="12"/>
  <c r="L455" i="12"/>
  <c r="M455" i="12" s="1"/>
  <c r="J455" i="12"/>
  <c r="K455" i="12" s="1"/>
  <c r="H455" i="12"/>
  <c r="G455" i="12"/>
  <c r="F455" i="12"/>
  <c r="E455" i="12"/>
  <c r="D455" i="12"/>
  <c r="C455" i="12"/>
  <c r="L454" i="12"/>
  <c r="M454" i="12" s="1"/>
  <c r="J454" i="12"/>
  <c r="K454" i="12" s="1"/>
  <c r="H454" i="12"/>
  <c r="G454" i="12"/>
  <c r="F454" i="12"/>
  <c r="E454" i="12"/>
  <c r="D454" i="12"/>
  <c r="C454" i="12"/>
  <c r="L453" i="12"/>
  <c r="M453" i="12" s="1"/>
  <c r="J453" i="12"/>
  <c r="K453" i="12" s="1"/>
  <c r="H453" i="12"/>
  <c r="G453" i="12"/>
  <c r="F453" i="12"/>
  <c r="E453" i="12"/>
  <c r="D453" i="12"/>
  <c r="C453" i="12"/>
  <c r="L452" i="12"/>
  <c r="M452" i="12" s="1"/>
  <c r="J452" i="12"/>
  <c r="K452" i="12" s="1"/>
  <c r="H452" i="12"/>
  <c r="G452" i="12"/>
  <c r="F452" i="12"/>
  <c r="E452" i="12"/>
  <c r="D452" i="12"/>
  <c r="C452" i="12"/>
  <c r="L451" i="12"/>
  <c r="M451" i="12" s="1"/>
  <c r="J451" i="12"/>
  <c r="K451" i="12" s="1"/>
  <c r="H451" i="12"/>
  <c r="G451" i="12"/>
  <c r="F451" i="12"/>
  <c r="E451" i="12"/>
  <c r="D451" i="12"/>
  <c r="C451" i="12"/>
  <c r="L450" i="12"/>
  <c r="M450" i="12" s="1"/>
  <c r="J450" i="12"/>
  <c r="K450" i="12" s="1"/>
  <c r="H450" i="12"/>
  <c r="G450" i="12"/>
  <c r="F450" i="12"/>
  <c r="E450" i="12"/>
  <c r="D450" i="12"/>
  <c r="C450" i="12"/>
  <c r="L449" i="12"/>
  <c r="M449" i="12" s="1"/>
  <c r="J449" i="12"/>
  <c r="K449" i="12" s="1"/>
  <c r="H449" i="12"/>
  <c r="G449" i="12"/>
  <c r="F449" i="12"/>
  <c r="E449" i="12"/>
  <c r="D449" i="12"/>
  <c r="C449" i="12"/>
  <c r="L448" i="12"/>
  <c r="M448" i="12" s="1"/>
  <c r="J448" i="12"/>
  <c r="K448" i="12" s="1"/>
  <c r="H448" i="12"/>
  <c r="G448" i="12"/>
  <c r="F448" i="12"/>
  <c r="E448" i="12"/>
  <c r="D448" i="12"/>
  <c r="C448" i="12"/>
  <c r="L447" i="12"/>
  <c r="M447" i="12" s="1"/>
  <c r="J447" i="12"/>
  <c r="K447" i="12" s="1"/>
  <c r="H447" i="12"/>
  <c r="G447" i="12"/>
  <c r="F447" i="12"/>
  <c r="E447" i="12"/>
  <c r="D447" i="12"/>
  <c r="C447" i="12"/>
  <c r="L446" i="12"/>
  <c r="M446" i="12" s="1"/>
  <c r="J446" i="12"/>
  <c r="K446" i="12" s="1"/>
  <c r="H446" i="12"/>
  <c r="G446" i="12"/>
  <c r="F446" i="12"/>
  <c r="E446" i="12"/>
  <c r="D446" i="12"/>
  <c r="C446" i="12"/>
  <c r="L445" i="12"/>
  <c r="M445" i="12" s="1"/>
  <c r="J445" i="12"/>
  <c r="K445" i="12" s="1"/>
  <c r="H445" i="12"/>
  <c r="G445" i="12"/>
  <c r="F445" i="12"/>
  <c r="E445" i="12"/>
  <c r="D445" i="12"/>
  <c r="C445" i="12"/>
  <c r="L444" i="12"/>
  <c r="M444" i="12" s="1"/>
  <c r="J444" i="12"/>
  <c r="K444" i="12" s="1"/>
  <c r="H444" i="12"/>
  <c r="G444" i="12"/>
  <c r="F444" i="12"/>
  <c r="E444" i="12"/>
  <c r="D444" i="12"/>
  <c r="C444" i="12"/>
  <c r="L443" i="12"/>
  <c r="M443" i="12" s="1"/>
  <c r="J443" i="12"/>
  <c r="K443" i="12" s="1"/>
  <c r="H443" i="12"/>
  <c r="G443" i="12"/>
  <c r="F443" i="12"/>
  <c r="E443" i="12"/>
  <c r="D443" i="12"/>
  <c r="C443" i="12"/>
  <c r="L442" i="12"/>
  <c r="M442" i="12" s="1"/>
  <c r="J442" i="12"/>
  <c r="K442" i="12" s="1"/>
  <c r="H442" i="12"/>
  <c r="G442" i="12"/>
  <c r="F442" i="12"/>
  <c r="E442" i="12"/>
  <c r="D442" i="12"/>
  <c r="C442" i="12"/>
  <c r="L441" i="12"/>
  <c r="M441" i="12" s="1"/>
  <c r="J441" i="12"/>
  <c r="K441" i="12" s="1"/>
  <c r="H441" i="12"/>
  <c r="G441" i="12"/>
  <c r="F441" i="12"/>
  <c r="E441" i="12"/>
  <c r="D441" i="12"/>
  <c r="C441" i="12"/>
  <c r="L440" i="12"/>
  <c r="M440" i="12" s="1"/>
  <c r="J440" i="12"/>
  <c r="K440" i="12" s="1"/>
  <c r="H440" i="12"/>
  <c r="G440" i="12"/>
  <c r="F440" i="12"/>
  <c r="E440" i="12"/>
  <c r="D440" i="12"/>
  <c r="C440" i="12"/>
  <c r="L439" i="12"/>
  <c r="M439" i="12" s="1"/>
  <c r="J439" i="12"/>
  <c r="K439" i="12" s="1"/>
  <c r="C439" i="12"/>
  <c r="D439" i="12"/>
  <c r="E439" i="12"/>
  <c r="F439" i="12"/>
  <c r="G439" i="12"/>
  <c r="H439" i="12"/>
  <c r="C438" i="12"/>
  <c r="E438" i="12"/>
  <c r="F438" i="12"/>
  <c r="G438" i="12"/>
  <c r="H438" i="12"/>
  <c r="J438" i="12"/>
  <c r="K438" i="12" s="1"/>
  <c r="D438" i="12"/>
  <c r="L438" i="12"/>
  <c r="M438" i="12" s="1"/>
  <c r="G437" i="12"/>
  <c r="H437" i="12"/>
  <c r="J437" i="12"/>
  <c r="K437" i="12" s="1"/>
  <c r="L437" i="12"/>
  <c r="M437" i="12" s="1"/>
  <c r="F437" i="12"/>
  <c r="C437" i="12"/>
  <c r="D437" i="12"/>
  <c r="E437" i="12"/>
  <c r="E436" i="12"/>
  <c r="F436" i="12"/>
  <c r="G436" i="12"/>
  <c r="H436" i="12"/>
  <c r="J436" i="12"/>
  <c r="K436" i="12" s="1"/>
  <c r="L436" i="12"/>
  <c r="M436" i="12" s="1"/>
  <c r="D436" i="12"/>
  <c r="C436" i="12"/>
  <c r="L435" i="12"/>
  <c r="M435" i="12" s="1"/>
  <c r="J435" i="12"/>
  <c r="K435" i="12" s="1"/>
  <c r="H435" i="12"/>
  <c r="G435" i="12"/>
  <c r="F435" i="12"/>
  <c r="E435" i="12"/>
  <c r="D435" i="12"/>
  <c r="C435" i="12"/>
  <c r="L434" i="12"/>
  <c r="M434" i="12" s="1"/>
  <c r="J434" i="12"/>
  <c r="K434" i="12" s="1"/>
  <c r="H434" i="12"/>
  <c r="G434" i="12"/>
  <c r="F434" i="12"/>
  <c r="E434" i="12"/>
  <c r="D434" i="12"/>
  <c r="C434" i="12"/>
  <c r="H433" i="12"/>
  <c r="L433" i="12"/>
  <c r="M433" i="12" s="1"/>
  <c r="J433" i="12"/>
  <c r="K433" i="12" s="1"/>
  <c r="G433" i="12"/>
  <c r="F433" i="12"/>
  <c r="E433" i="12"/>
  <c r="D433" i="12"/>
  <c r="C433" i="12"/>
  <c r="D432" i="12"/>
  <c r="J432" i="12"/>
  <c r="K432" i="12" s="1"/>
  <c r="L432" i="12"/>
  <c r="M432" i="12" s="1"/>
  <c r="C432" i="12"/>
  <c r="E432" i="12"/>
  <c r="F432" i="12"/>
  <c r="G432" i="12"/>
  <c r="H432" i="12"/>
  <c r="C431" i="12"/>
  <c r="J431" i="12"/>
  <c r="K431" i="12" s="1"/>
  <c r="H431" i="12"/>
  <c r="G431" i="12"/>
  <c r="E431" i="12"/>
  <c r="F431" i="12"/>
  <c r="D431" i="12"/>
  <c r="L431" i="12"/>
  <c r="M431" i="12" s="1"/>
  <c r="J430" i="12"/>
  <c r="K430" i="12" s="1"/>
  <c r="H430" i="12"/>
  <c r="G430" i="12"/>
  <c r="E430" i="12"/>
  <c r="D430" i="12"/>
  <c r="C430" i="12"/>
  <c r="L430" i="12"/>
  <c r="M430" i="12" s="1"/>
  <c r="F430" i="12"/>
  <c r="C429" i="12"/>
  <c r="E429" i="12"/>
  <c r="F429" i="12"/>
  <c r="G429" i="12"/>
  <c r="H429" i="12"/>
  <c r="J429" i="12"/>
  <c r="K429" i="12" s="1"/>
  <c r="L429" i="12"/>
  <c r="M429" i="12" s="1"/>
  <c r="D429" i="12"/>
  <c r="H428" i="12"/>
  <c r="J428" i="12"/>
  <c r="K428" i="12" s="1"/>
  <c r="L428" i="12"/>
  <c r="M428" i="12" s="1"/>
  <c r="C428" i="12"/>
  <c r="G428" i="12"/>
  <c r="F428" i="12"/>
  <c r="E428" i="12"/>
  <c r="D428" i="12"/>
  <c r="H427" i="12"/>
  <c r="D427" i="12"/>
  <c r="J427" i="12"/>
  <c r="K427" i="12" s="1"/>
  <c r="L427" i="12"/>
  <c r="M427" i="12" s="1"/>
  <c r="C427" i="12"/>
  <c r="E427" i="12"/>
  <c r="F427" i="12"/>
  <c r="G427" i="12"/>
  <c r="H426" i="12"/>
  <c r="L426" i="12"/>
  <c r="M426" i="12" s="1"/>
  <c r="C426" i="12"/>
  <c r="D426" i="12"/>
  <c r="E426" i="12"/>
  <c r="F426" i="12"/>
  <c r="G426" i="12"/>
  <c r="J426" i="12"/>
  <c r="K426" i="12" s="1"/>
  <c r="J425" i="12"/>
  <c r="K425" i="12" s="1"/>
  <c r="L425" i="12"/>
  <c r="M425" i="12" s="1"/>
  <c r="E425" i="12"/>
  <c r="C425" i="12"/>
  <c r="D425" i="12"/>
  <c r="F425" i="12"/>
  <c r="G425" i="12"/>
  <c r="H425" i="12"/>
  <c r="D424" i="12"/>
  <c r="H424" i="12"/>
  <c r="C424" i="12"/>
  <c r="E424" i="12"/>
  <c r="F424" i="12"/>
  <c r="G424" i="12"/>
  <c r="J424" i="12"/>
  <c r="K424" i="12" s="1"/>
  <c r="L424" i="12"/>
  <c r="M424" i="12" s="1"/>
  <c r="L423" i="12"/>
  <c r="M423" i="12" s="1"/>
  <c r="J423" i="12"/>
  <c r="K423" i="12" s="1"/>
  <c r="H423" i="12"/>
  <c r="G423" i="12"/>
  <c r="F423" i="12"/>
  <c r="E423" i="12"/>
  <c r="C423" i="12"/>
  <c r="D423" i="12"/>
  <c r="H422" i="12"/>
  <c r="G422" i="12"/>
  <c r="F422" i="12"/>
  <c r="D422" i="12"/>
  <c r="C422" i="12"/>
  <c r="E422" i="12"/>
  <c r="L422" i="12"/>
  <c r="M422" i="12" s="1"/>
  <c r="J422" i="12"/>
  <c r="K422" i="12" s="1"/>
  <c r="L420" i="12"/>
  <c r="M420" i="12" s="1"/>
  <c r="J420" i="12"/>
  <c r="K420" i="12" s="1"/>
  <c r="H420" i="12"/>
  <c r="G420" i="12"/>
  <c r="F420" i="12"/>
  <c r="E420" i="12"/>
  <c r="D420" i="12"/>
  <c r="C420" i="12"/>
  <c r="D419" i="12"/>
  <c r="C419" i="12"/>
  <c r="H419" i="12"/>
  <c r="L419" i="12"/>
  <c r="M419" i="12" s="1"/>
  <c r="J419" i="12"/>
  <c r="K419" i="12" s="1"/>
  <c r="G419" i="12"/>
  <c r="F419" i="12"/>
  <c r="E419" i="12"/>
  <c r="L418" i="12"/>
  <c r="M418" i="12" s="1"/>
  <c r="H418" i="12"/>
  <c r="C418" i="12"/>
  <c r="D418" i="12"/>
  <c r="E418" i="12"/>
  <c r="F418" i="12"/>
  <c r="G418" i="12"/>
  <c r="J418" i="12"/>
  <c r="K418" i="12" s="1"/>
  <c r="L417" i="12"/>
  <c r="M417" i="12" s="1"/>
  <c r="J417" i="12"/>
  <c r="K417" i="12" s="1"/>
  <c r="H417" i="12"/>
  <c r="G417" i="12"/>
  <c r="F417" i="12"/>
  <c r="E417" i="12"/>
  <c r="D417" i="12"/>
  <c r="C417" i="12"/>
  <c r="C416" i="12"/>
  <c r="J416" i="12"/>
  <c r="K416" i="12" s="1"/>
  <c r="L416" i="12"/>
  <c r="M416" i="12" s="1"/>
  <c r="H416" i="12"/>
  <c r="G416" i="12"/>
  <c r="F416" i="12"/>
  <c r="E416" i="12"/>
  <c r="D416" i="12"/>
  <c r="G415" i="12"/>
  <c r="E415" i="12"/>
  <c r="F415" i="12"/>
  <c r="L415" i="12"/>
  <c r="M415" i="12" s="1"/>
  <c r="J415" i="12"/>
  <c r="K415" i="12" s="1"/>
  <c r="H415" i="12"/>
  <c r="C415" i="12"/>
  <c r="D415" i="12"/>
  <c r="E414" i="12"/>
  <c r="G414" i="12"/>
  <c r="H414" i="12"/>
  <c r="J414" i="12"/>
  <c r="K414" i="12" s="1"/>
  <c r="L414" i="12"/>
  <c r="M414" i="12" s="1"/>
  <c r="C414" i="12"/>
  <c r="D414" i="12"/>
  <c r="F414" i="12"/>
  <c r="C413" i="12"/>
  <c r="D413" i="12"/>
  <c r="H413" i="12"/>
  <c r="J413" i="12"/>
  <c r="K413" i="12" s="1"/>
  <c r="L413" i="12"/>
  <c r="M413" i="12" s="1"/>
  <c r="F413" i="12"/>
  <c r="E413" i="12"/>
  <c r="G413" i="12"/>
  <c r="E412" i="12"/>
  <c r="D412" i="12"/>
  <c r="C412" i="12"/>
  <c r="J412" i="12"/>
  <c r="K412" i="12" s="1"/>
  <c r="L412" i="12"/>
  <c r="M412" i="12" s="1"/>
  <c r="H412" i="12"/>
  <c r="G412" i="12"/>
  <c r="F412" i="12"/>
  <c r="L411" i="12"/>
  <c r="M411" i="12" s="1"/>
  <c r="J411" i="12"/>
  <c r="K411" i="12" s="1"/>
  <c r="H411" i="12"/>
  <c r="G411" i="12"/>
  <c r="F411" i="12"/>
  <c r="E411" i="12"/>
  <c r="D411" i="12"/>
  <c r="C411" i="12"/>
  <c r="D410" i="12"/>
  <c r="F410" i="12"/>
  <c r="E410" i="12"/>
  <c r="C410" i="12"/>
  <c r="G410" i="12"/>
  <c r="L410" i="12"/>
  <c r="M410" i="12" s="1"/>
  <c r="J410" i="12"/>
  <c r="K410" i="12" s="1"/>
  <c r="H410" i="12"/>
  <c r="F409" i="12"/>
  <c r="G409" i="12"/>
  <c r="H409" i="12"/>
  <c r="J409" i="12"/>
  <c r="K409" i="12" s="1"/>
  <c r="L409" i="12"/>
  <c r="M409" i="12" s="1"/>
  <c r="C409" i="12"/>
  <c r="D409" i="12"/>
  <c r="E409" i="12"/>
  <c r="D408" i="12"/>
  <c r="C408" i="12"/>
  <c r="E408" i="12"/>
  <c r="F408" i="12"/>
  <c r="G408" i="12"/>
  <c r="H408" i="12"/>
  <c r="J408" i="12"/>
  <c r="K408" i="12" s="1"/>
  <c r="L408" i="12"/>
  <c r="M408" i="12" s="1"/>
  <c r="C407" i="12"/>
  <c r="F407" i="12"/>
  <c r="D407" i="12"/>
  <c r="L407" i="12"/>
  <c r="M407" i="12" s="1"/>
  <c r="J407" i="12"/>
  <c r="K407" i="12" s="1"/>
  <c r="E407" i="12"/>
  <c r="H407" i="12"/>
  <c r="G407" i="12"/>
  <c r="L406" i="12"/>
  <c r="M406" i="12" s="1"/>
  <c r="J406" i="12"/>
  <c r="K406" i="12" s="1"/>
  <c r="H406" i="12"/>
  <c r="G406" i="12"/>
  <c r="F406" i="12"/>
  <c r="E406" i="12"/>
  <c r="D406" i="12"/>
  <c r="C406" i="12"/>
  <c r="H405" i="12"/>
  <c r="F405" i="12"/>
  <c r="J405" i="12"/>
  <c r="K405" i="12" s="1"/>
  <c r="E405" i="12"/>
  <c r="D405" i="12"/>
  <c r="C405" i="12"/>
  <c r="G405" i="12"/>
  <c r="L405" i="12"/>
  <c r="M405" i="12" s="1"/>
  <c r="C404" i="12"/>
  <c r="F404" i="12"/>
  <c r="G404" i="12"/>
  <c r="H404" i="12"/>
  <c r="D404" i="12"/>
  <c r="E404" i="12"/>
  <c r="J404" i="12"/>
  <c r="K404" i="12" s="1"/>
  <c r="L404" i="12"/>
  <c r="M404" i="12" s="1"/>
  <c r="C403" i="12"/>
  <c r="H403" i="12"/>
  <c r="L403" i="12"/>
  <c r="M403" i="12" s="1"/>
  <c r="G403" i="12"/>
  <c r="J403" i="12"/>
  <c r="K403" i="12" s="1"/>
  <c r="F403" i="12"/>
  <c r="E403" i="12"/>
  <c r="D403" i="12"/>
  <c r="L402" i="12"/>
  <c r="M402" i="12" s="1"/>
  <c r="J402" i="12"/>
  <c r="K402" i="12" s="1"/>
  <c r="H402" i="12"/>
  <c r="G402" i="12"/>
  <c r="F402" i="12"/>
  <c r="E402" i="12"/>
  <c r="C402" i="12"/>
  <c r="D402" i="12"/>
  <c r="D401" i="12"/>
  <c r="J401" i="12"/>
  <c r="K401" i="12" s="1"/>
  <c r="E401" i="12"/>
  <c r="F401" i="12"/>
  <c r="G401" i="12"/>
  <c r="H401" i="12"/>
  <c r="L401" i="12"/>
  <c r="M401" i="12" s="1"/>
  <c r="C401" i="12"/>
  <c r="E400" i="12"/>
  <c r="D400" i="12"/>
  <c r="C400" i="12"/>
  <c r="J400" i="12"/>
  <c r="K400" i="12" s="1"/>
  <c r="L400" i="12"/>
  <c r="M400" i="12" s="1"/>
  <c r="G400" i="12"/>
  <c r="F400" i="12"/>
  <c r="H400" i="12"/>
  <c r="L399" i="12"/>
  <c r="M399" i="12" s="1"/>
  <c r="J399" i="12"/>
  <c r="K399" i="12" s="1"/>
  <c r="H399" i="12"/>
  <c r="G399" i="12"/>
  <c r="F399" i="12"/>
  <c r="E399" i="12"/>
  <c r="D399" i="12"/>
  <c r="C399" i="12"/>
  <c r="L398" i="12"/>
  <c r="M398" i="12" s="1"/>
  <c r="J398" i="12"/>
  <c r="K398" i="12" s="1"/>
  <c r="H398" i="12"/>
  <c r="G398" i="12"/>
  <c r="F398" i="12"/>
  <c r="E398" i="12"/>
  <c r="D398" i="12"/>
  <c r="C398" i="12"/>
  <c r="L397" i="12"/>
  <c r="M397" i="12" s="1"/>
  <c r="J397" i="12"/>
  <c r="K397" i="12" s="1"/>
  <c r="H397" i="12"/>
  <c r="G397" i="12"/>
  <c r="F397" i="12"/>
  <c r="E397" i="12"/>
  <c r="D397" i="12"/>
  <c r="C397" i="12"/>
  <c r="L396" i="12"/>
  <c r="M396" i="12" s="1"/>
  <c r="J396" i="12"/>
  <c r="K396" i="12" s="1"/>
  <c r="H396" i="12"/>
  <c r="G396" i="12"/>
  <c r="F396" i="12"/>
  <c r="E396" i="12"/>
  <c r="D396" i="12"/>
  <c r="C396" i="12"/>
  <c r="L395" i="12"/>
  <c r="M395" i="12" s="1"/>
  <c r="J395" i="12"/>
  <c r="K395" i="12" s="1"/>
  <c r="H395" i="12"/>
  <c r="G395" i="12"/>
  <c r="F395" i="12"/>
  <c r="E395" i="12"/>
  <c r="D395" i="12"/>
  <c r="C395" i="12"/>
  <c r="L394" i="12"/>
  <c r="M394" i="12" s="1"/>
  <c r="J394" i="12"/>
  <c r="K394" i="12" s="1"/>
  <c r="H394" i="12"/>
  <c r="G394" i="12"/>
  <c r="F394" i="12"/>
  <c r="E394" i="12"/>
  <c r="D394" i="12"/>
  <c r="C394" i="12"/>
  <c r="L393" i="12"/>
  <c r="M393" i="12" s="1"/>
  <c r="J393" i="12"/>
  <c r="K393" i="12" s="1"/>
  <c r="H393" i="12"/>
  <c r="G393" i="12"/>
  <c r="F393" i="12"/>
  <c r="E393" i="12"/>
  <c r="D393" i="12"/>
  <c r="C393" i="12"/>
  <c r="L392" i="12"/>
  <c r="M392" i="12" s="1"/>
  <c r="J392" i="12"/>
  <c r="K392" i="12" s="1"/>
  <c r="H392" i="12"/>
  <c r="G392" i="12"/>
  <c r="F392" i="12"/>
  <c r="E392" i="12"/>
  <c r="D392" i="12"/>
  <c r="C392" i="12"/>
  <c r="L391" i="12"/>
  <c r="M391" i="12" s="1"/>
  <c r="J391" i="12"/>
  <c r="K391" i="12" s="1"/>
  <c r="H391" i="12"/>
  <c r="G391" i="12"/>
  <c r="F391" i="12"/>
  <c r="E391" i="12"/>
  <c r="D391" i="12"/>
  <c r="C391" i="12"/>
  <c r="L390" i="12"/>
  <c r="M390" i="12" s="1"/>
  <c r="H390" i="12"/>
  <c r="G390" i="12"/>
  <c r="F390" i="12"/>
  <c r="E390" i="12"/>
  <c r="D390" i="12"/>
  <c r="C390" i="12"/>
  <c r="J390" i="12"/>
  <c r="K390" i="12" s="1"/>
  <c r="L389" i="12"/>
  <c r="M389" i="12" s="1"/>
  <c r="J389" i="12"/>
  <c r="K389" i="12" s="1"/>
  <c r="H389" i="12"/>
  <c r="G389" i="12"/>
  <c r="E389" i="12"/>
  <c r="D389" i="12"/>
  <c r="C389" i="12"/>
  <c r="F389" i="12"/>
  <c r="J388" i="12"/>
  <c r="K388" i="12" s="1"/>
  <c r="H388" i="12"/>
  <c r="G388" i="12"/>
  <c r="F388" i="12"/>
  <c r="E388" i="12"/>
  <c r="D388" i="12"/>
  <c r="C388" i="12"/>
  <c r="L388" i="12"/>
  <c r="M388" i="12" s="1"/>
  <c r="J387" i="12"/>
  <c r="K387" i="12" s="1"/>
  <c r="L387" i="12"/>
  <c r="M387" i="12" s="1"/>
  <c r="G387" i="12"/>
  <c r="F387" i="12"/>
  <c r="E387" i="12"/>
  <c r="D387" i="12"/>
  <c r="C387" i="12"/>
  <c r="H387" i="12"/>
  <c r="L386" i="12"/>
  <c r="M386" i="12" s="1"/>
  <c r="J386" i="12"/>
  <c r="K386" i="12" s="1"/>
  <c r="G386" i="12"/>
  <c r="F386" i="12"/>
  <c r="E386" i="12"/>
  <c r="D386" i="12"/>
  <c r="C386" i="12"/>
  <c r="H386" i="12"/>
  <c r="J385" i="12"/>
  <c r="K385" i="12" s="1"/>
  <c r="H385" i="12"/>
  <c r="L385" i="12"/>
  <c r="M385" i="12" s="1"/>
  <c r="G385" i="12"/>
  <c r="F385" i="12"/>
  <c r="E385" i="12"/>
  <c r="D385" i="12"/>
  <c r="C385" i="12"/>
  <c r="L384" i="12"/>
  <c r="M384" i="12" s="1"/>
  <c r="J384" i="12"/>
  <c r="K384" i="12" s="1"/>
  <c r="H384" i="12"/>
  <c r="G384" i="12"/>
  <c r="C384" i="12"/>
  <c r="E384" i="12"/>
  <c r="D384" i="12"/>
  <c r="F384" i="12"/>
  <c r="F383" i="12"/>
  <c r="L383" i="12"/>
  <c r="M383" i="12" s="1"/>
  <c r="J383" i="12"/>
  <c r="K383" i="12" s="1"/>
  <c r="H383" i="12"/>
  <c r="G383" i="12"/>
  <c r="C383" i="12"/>
  <c r="D383" i="12"/>
  <c r="E383" i="12"/>
  <c r="F382" i="12"/>
  <c r="J382" i="12"/>
  <c r="K382" i="12" s="1"/>
  <c r="C382" i="12"/>
  <c r="D382" i="12"/>
  <c r="E382" i="12"/>
  <c r="G382" i="12"/>
  <c r="H382" i="12"/>
  <c r="L382" i="12"/>
  <c r="M382" i="12" s="1"/>
  <c r="D381" i="12"/>
  <c r="E381" i="12"/>
  <c r="F381" i="12"/>
  <c r="G381" i="12"/>
  <c r="H381" i="12"/>
  <c r="J381" i="12"/>
  <c r="K381" i="12" s="1"/>
  <c r="L381" i="12"/>
  <c r="M381" i="12" s="1"/>
  <c r="C381" i="12"/>
  <c r="L380" i="12"/>
  <c r="M380" i="12" s="1"/>
  <c r="C380" i="12"/>
  <c r="D380" i="12"/>
  <c r="E380" i="12"/>
  <c r="F380" i="12"/>
  <c r="G380" i="12"/>
  <c r="H380" i="12"/>
  <c r="J380" i="12"/>
  <c r="K380" i="12" s="1"/>
  <c r="E379" i="12"/>
  <c r="G379" i="12"/>
  <c r="H379" i="12"/>
  <c r="J379" i="12"/>
  <c r="K379" i="12" s="1"/>
  <c r="D379" i="12"/>
  <c r="C379" i="12"/>
  <c r="F379" i="12"/>
  <c r="L379" i="12"/>
  <c r="M379" i="12" s="1"/>
  <c r="C378" i="12"/>
  <c r="D378" i="12"/>
  <c r="E378" i="12"/>
  <c r="F378" i="12"/>
  <c r="J378" i="12"/>
  <c r="K378" i="12" s="1"/>
  <c r="L378" i="12"/>
  <c r="M378" i="12" s="1"/>
  <c r="H378" i="12"/>
  <c r="G378" i="12"/>
  <c r="C377" i="12"/>
  <c r="D377" i="12"/>
  <c r="E377" i="12"/>
  <c r="G377" i="12"/>
  <c r="H377" i="12"/>
  <c r="J377" i="12"/>
  <c r="K377" i="12" s="1"/>
  <c r="L377" i="12"/>
  <c r="M377" i="12" s="1"/>
  <c r="F377" i="12"/>
  <c r="F376" i="12"/>
  <c r="E376" i="12"/>
  <c r="D376" i="12"/>
  <c r="C376" i="12"/>
  <c r="J376" i="12"/>
  <c r="K376" i="12" s="1"/>
  <c r="L376" i="12"/>
  <c r="M376" i="12" s="1"/>
  <c r="H376" i="12"/>
  <c r="G376" i="12"/>
  <c r="C375" i="12"/>
  <c r="D375" i="12"/>
  <c r="E375" i="12"/>
  <c r="F375" i="12"/>
  <c r="G375" i="12"/>
  <c r="H375" i="12"/>
  <c r="J375" i="12"/>
  <c r="K375" i="12" s="1"/>
  <c r="L375" i="12"/>
  <c r="M375" i="12" s="1"/>
  <c r="G374" i="12"/>
  <c r="J374" i="12"/>
  <c r="K374" i="12" s="1"/>
  <c r="L374" i="12"/>
  <c r="M374" i="12" s="1"/>
  <c r="H374" i="12"/>
  <c r="C374" i="12"/>
  <c r="D374" i="12"/>
  <c r="E374" i="12"/>
  <c r="F374" i="12"/>
  <c r="C373" i="12"/>
  <c r="D373" i="12"/>
  <c r="E373" i="12"/>
  <c r="G373" i="12"/>
  <c r="H373" i="12"/>
  <c r="F373" i="12"/>
  <c r="J373" i="12"/>
  <c r="K373" i="12" s="1"/>
  <c r="L373" i="12"/>
  <c r="M373" i="12" s="1"/>
  <c r="C372" i="12"/>
  <c r="D372" i="12"/>
  <c r="E372" i="12"/>
  <c r="G372" i="12"/>
  <c r="H372" i="12"/>
  <c r="J372" i="12"/>
  <c r="K372" i="12" s="1"/>
  <c r="L372" i="12"/>
  <c r="M372" i="12" s="1"/>
  <c r="F372" i="12"/>
  <c r="L371" i="12"/>
  <c r="M371" i="12" s="1"/>
  <c r="H371" i="12"/>
  <c r="C371" i="12"/>
  <c r="D371" i="12"/>
  <c r="E371" i="12"/>
  <c r="F371" i="12"/>
  <c r="G371" i="12"/>
  <c r="J371" i="12"/>
  <c r="K371" i="12" s="1"/>
  <c r="D370" i="12"/>
  <c r="C370" i="12"/>
  <c r="E370" i="12"/>
  <c r="F370" i="12"/>
  <c r="G370" i="12"/>
  <c r="H370" i="12"/>
  <c r="J370" i="12"/>
  <c r="K370" i="12" s="1"/>
  <c r="L370" i="12"/>
  <c r="M370" i="12" s="1"/>
  <c r="H369" i="12"/>
  <c r="L369" i="12"/>
  <c r="M369" i="12" s="1"/>
  <c r="G369" i="12"/>
  <c r="J369" i="12"/>
  <c r="K369" i="12" s="1"/>
  <c r="F369" i="12"/>
  <c r="E369" i="12"/>
  <c r="D369" i="12"/>
  <c r="C369" i="12"/>
  <c r="G368" i="12"/>
  <c r="F368" i="12"/>
  <c r="E368" i="12"/>
  <c r="C368" i="12"/>
  <c r="H368" i="12"/>
  <c r="D368" i="12"/>
  <c r="L368" i="12"/>
  <c r="M368" i="12" s="1"/>
  <c r="J368" i="12"/>
  <c r="K368" i="12" s="1"/>
  <c r="J367" i="12"/>
  <c r="K367" i="12" s="1"/>
  <c r="C367" i="12"/>
  <c r="F367" i="12"/>
  <c r="G367" i="12"/>
  <c r="H367" i="12"/>
  <c r="L367" i="12"/>
  <c r="M367" i="12" s="1"/>
  <c r="E367" i="12"/>
  <c r="D367" i="12"/>
  <c r="G366" i="12"/>
  <c r="F366" i="12"/>
  <c r="E366" i="12"/>
  <c r="D366" i="12"/>
  <c r="L366" i="12"/>
  <c r="M366" i="12" s="1"/>
  <c r="J366" i="12"/>
  <c r="K366" i="12" s="1"/>
  <c r="H366" i="12"/>
  <c r="C366" i="12"/>
  <c r="E365" i="12"/>
  <c r="F365" i="12"/>
  <c r="L365" i="12"/>
  <c r="M365" i="12" s="1"/>
  <c r="J365" i="12"/>
  <c r="K365" i="12" s="1"/>
  <c r="H365" i="12"/>
  <c r="G365" i="12"/>
  <c r="D365" i="12"/>
  <c r="C365" i="12"/>
  <c r="L364" i="12"/>
  <c r="M364" i="12" s="1"/>
  <c r="J364" i="12"/>
  <c r="K364" i="12" s="1"/>
  <c r="H364" i="12"/>
  <c r="F364" i="12"/>
  <c r="G364" i="12"/>
  <c r="E364" i="12"/>
  <c r="D364" i="12"/>
  <c r="C364" i="12"/>
  <c r="C363" i="12"/>
  <c r="D363" i="12"/>
  <c r="E363" i="12"/>
  <c r="G363" i="12"/>
  <c r="H363" i="12"/>
  <c r="F363" i="12"/>
  <c r="L363" i="12"/>
  <c r="M363" i="12" s="1"/>
  <c r="J363" i="12"/>
  <c r="K363" i="12" s="1"/>
  <c r="H362" i="12"/>
  <c r="J362" i="12"/>
  <c r="K362" i="12" s="1"/>
  <c r="F362" i="12"/>
  <c r="L362" i="12"/>
  <c r="M362" i="12" s="1"/>
  <c r="G362" i="12"/>
  <c r="C362" i="12"/>
  <c r="D362" i="12"/>
  <c r="E362" i="12"/>
  <c r="L361" i="12"/>
  <c r="M361" i="12" s="1"/>
  <c r="F361" i="12"/>
  <c r="C361" i="12"/>
  <c r="D361" i="12"/>
  <c r="E361" i="12"/>
  <c r="G361" i="12"/>
  <c r="H361" i="12"/>
  <c r="J361" i="12"/>
  <c r="K361" i="12" s="1"/>
  <c r="H360" i="12"/>
  <c r="J360" i="12"/>
  <c r="K360" i="12" s="1"/>
  <c r="F360" i="12"/>
  <c r="G360" i="12"/>
  <c r="E360" i="12"/>
  <c r="D360" i="12"/>
  <c r="C360" i="12"/>
  <c r="L360" i="12"/>
  <c r="M360" i="12" s="1"/>
  <c r="G359" i="12"/>
  <c r="F359" i="12"/>
  <c r="E359" i="12"/>
  <c r="D359" i="12"/>
  <c r="C359" i="12"/>
  <c r="H359" i="12"/>
  <c r="L359" i="12"/>
  <c r="M359" i="12" s="1"/>
  <c r="J359" i="12"/>
  <c r="K359" i="12" s="1"/>
  <c r="G358" i="12"/>
  <c r="F358" i="12"/>
  <c r="E358" i="12"/>
  <c r="D358" i="12"/>
  <c r="C358" i="12"/>
  <c r="L358" i="12"/>
  <c r="M358" i="12" s="1"/>
  <c r="J358" i="12"/>
  <c r="K358" i="12" s="1"/>
  <c r="H358" i="12"/>
  <c r="G357" i="12"/>
  <c r="H357" i="12"/>
  <c r="J357" i="12"/>
  <c r="K357" i="12" s="1"/>
  <c r="L357" i="12"/>
  <c r="M357" i="12" s="1"/>
  <c r="D357" i="12"/>
  <c r="F357" i="12"/>
  <c r="C357" i="12"/>
  <c r="E357" i="12"/>
  <c r="L355" i="12"/>
  <c r="M355" i="12" s="1"/>
  <c r="E355" i="12"/>
  <c r="J355" i="12"/>
  <c r="K355" i="12" s="1"/>
  <c r="H355" i="12"/>
  <c r="G355" i="12"/>
  <c r="F355" i="12"/>
  <c r="D355" i="12"/>
  <c r="C355" i="12"/>
  <c r="C354" i="12"/>
  <c r="F354" i="12"/>
  <c r="L354" i="12"/>
  <c r="M354" i="12" s="1"/>
  <c r="E354" i="12"/>
  <c r="D354" i="12"/>
  <c r="G354" i="12"/>
  <c r="H354" i="12"/>
  <c r="J354" i="12"/>
  <c r="K354" i="12" s="1"/>
  <c r="L353" i="12"/>
  <c r="M353" i="12" s="1"/>
  <c r="J353" i="12"/>
  <c r="K353" i="12" s="1"/>
  <c r="H353" i="12"/>
  <c r="G353" i="12"/>
  <c r="F353" i="12"/>
  <c r="E353" i="12"/>
  <c r="C353" i="12"/>
  <c r="D353" i="12"/>
  <c r="C352" i="12"/>
  <c r="H352" i="12"/>
  <c r="L352" i="12"/>
  <c r="M352" i="12" s="1"/>
  <c r="J352" i="12"/>
  <c r="K352" i="12" s="1"/>
  <c r="G352" i="12"/>
  <c r="F352" i="12"/>
  <c r="E352" i="12"/>
  <c r="D352" i="12"/>
  <c r="J351" i="12"/>
  <c r="K351" i="12" s="1"/>
  <c r="C351" i="12"/>
  <c r="L351" i="12"/>
  <c r="M351" i="12" s="1"/>
  <c r="H351" i="12"/>
  <c r="G351" i="12"/>
  <c r="F351" i="12"/>
  <c r="E351" i="12"/>
  <c r="D351" i="12"/>
  <c r="D350" i="12"/>
  <c r="C350" i="12"/>
  <c r="E350" i="12"/>
  <c r="L350" i="12"/>
  <c r="M350" i="12" s="1"/>
  <c r="J350" i="12"/>
  <c r="K350" i="12" s="1"/>
  <c r="H350" i="12"/>
  <c r="G350" i="12"/>
  <c r="F350" i="12"/>
  <c r="H349" i="12"/>
  <c r="D349" i="12"/>
  <c r="L349" i="12"/>
  <c r="M349" i="12" s="1"/>
  <c r="J349" i="12"/>
  <c r="K349" i="12" s="1"/>
  <c r="F349" i="12"/>
  <c r="G349" i="12"/>
  <c r="C349" i="12"/>
  <c r="E349" i="12"/>
  <c r="F348" i="12"/>
  <c r="H348" i="12"/>
  <c r="J348" i="12"/>
  <c r="K348" i="12" s="1"/>
  <c r="L348" i="12"/>
  <c r="M348" i="12" s="1"/>
  <c r="G348" i="12"/>
  <c r="C348" i="12"/>
  <c r="D348" i="12"/>
  <c r="E348" i="12"/>
  <c r="E347" i="12"/>
  <c r="L347" i="12"/>
  <c r="M347" i="12" s="1"/>
  <c r="J347" i="12"/>
  <c r="K347" i="12" s="1"/>
  <c r="H347" i="12"/>
  <c r="G347" i="12"/>
  <c r="F347" i="12"/>
  <c r="C347" i="12"/>
  <c r="D347" i="12"/>
  <c r="C346" i="12"/>
  <c r="L346" i="12"/>
  <c r="M346" i="12" s="1"/>
  <c r="J346" i="12"/>
  <c r="K346" i="12" s="1"/>
  <c r="H346" i="12"/>
  <c r="G346" i="12"/>
  <c r="F346" i="12"/>
  <c r="E346" i="12"/>
  <c r="D346" i="12"/>
  <c r="J345" i="12"/>
  <c r="K345" i="12" s="1"/>
  <c r="L345" i="12"/>
  <c r="M345" i="12" s="1"/>
  <c r="C345" i="12"/>
  <c r="D345" i="12"/>
  <c r="E345" i="12"/>
  <c r="F345" i="12"/>
  <c r="G345" i="12"/>
  <c r="H345" i="12"/>
  <c r="G344" i="12"/>
  <c r="F344" i="12"/>
  <c r="E344" i="12"/>
  <c r="D344" i="12"/>
  <c r="C344" i="12"/>
  <c r="L344" i="12"/>
  <c r="M344" i="12" s="1"/>
  <c r="J344" i="12"/>
  <c r="K344" i="12" s="1"/>
  <c r="H344" i="12"/>
  <c r="C343" i="12"/>
  <c r="D343" i="12"/>
  <c r="F343" i="12"/>
  <c r="E343" i="12"/>
  <c r="J343" i="12"/>
  <c r="K343" i="12" s="1"/>
  <c r="G343" i="12"/>
  <c r="L343" i="12"/>
  <c r="M343" i="12" s="1"/>
  <c r="H343" i="12"/>
  <c r="G342" i="12"/>
  <c r="C342" i="12"/>
  <c r="D342" i="12"/>
  <c r="E342" i="12"/>
  <c r="F342" i="12"/>
  <c r="H342" i="12"/>
  <c r="J342" i="12"/>
  <c r="K342" i="12" s="1"/>
  <c r="L342" i="12"/>
  <c r="M342" i="12" s="1"/>
  <c r="G341" i="12"/>
  <c r="F341" i="12"/>
  <c r="E341" i="12"/>
  <c r="D341" i="12"/>
  <c r="C341" i="12"/>
  <c r="H341" i="12"/>
  <c r="J341" i="12"/>
  <c r="K341" i="12" s="1"/>
  <c r="L341" i="12"/>
  <c r="M341" i="12" s="1"/>
  <c r="E340" i="12"/>
  <c r="F340" i="12"/>
  <c r="G340" i="12"/>
  <c r="H340" i="12"/>
  <c r="J340" i="12"/>
  <c r="K340" i="12" s="1"/>
  <c r="L340" i="12"/>
  <c r="M340" i="12" s="1"/>
  <c r="C340" i="12"/>
  <c r="D340" i="12"/>
  <c r="G339" i="12"/>
  <c r="H339" i="12"/>
  <c r="L339" i="12"/>
  <c r="M339" i="12" s="1"/>
  <c r="J339" i="12"/>
  <c r="K339" i="12" s="1"/>
  <c r="F339" i="12"/>
  <c r="E339" i="12"/>
  <c r="D339" i="12"/>
  <c r="C339" i="12"/>
  <c r="H338" i="12"/>
  <c r="G338" i="12"/>
  <c r="E338" i="12"/>
  <c r="L338" i="12"/>
  <c r="M338" i="12" s="1"/>
  <c r="J338" i="12"/>
  <c r="K338" i="12" s="1"/>
  <c r="F338" i="12"/>
  <c r="C338" i="12"/>
  <c r="D338" i="12"/>
  <c r="J337" i="12"/>
  <c r="K337" i="12" s="1"/>
  <c r="H337" i="12"/>
  <c r="G337" i="12"/>
  <c r="F337" i="12"/>
  <c r="E337" i="12"/>
  <c r="C337" i="12"/>
  <c r="L337" i="12"/>
  <c r="M337" i="12" s="1"/>
  <c r="D337" i="12"/>
  <c r="G336" i="12"/>
  <c r="H336" i="12"/>
  <c r="J336" i="12"/>
  <c r="K336" i="12" s="1"/>
  <c r="L336" i="12"/>
  <c r="M336" i="12" s="1"/>
  <c r="E336" i="12"/>
  <c r="C336" i="12"/>
  <c r="D336" i="12"/>
  <c r="F336" i="12"/>
  <c r="C335" i="12"/>
  <c r="L335" i="12"/>
  <c r="M335" i="12" s="1"/>
  <c r="J335" i="12"/>
  <c r="K335" i="12" s="1"/>
  <c r="H335" i="12"/>
  <c r="G335" i="12"/>
  <c r="F335" i="12"/>
  <c r="E335" i="12"/>
  <c r="D335" i="12"/>
  <c r="J334" i="12"/>
  <c r="K334" i="12" s="1"/>
  <c r="L334" i="12"/>
  <c r="M334" i="12" s="1"/>
  <c r="G334" i="12"/>
  <c r="F334" i="12"/>
  <c r="D334" i="12"/>
  <c r="C334" i="12"/>
  <c r="E334" i="12"/>
  <c r="H334" i="12"/>
  <c r="G333" i="12"/>
  <c r="L333" i="12"/>
  <c r="M333" i="12" s="1"/>
  <c r="J333" i="12"/>
  <c r="K333" i="12" s="1"/>
  <c r="D333" i="12"/>
  <c r="C333" i="12"/>
  <c r="E333" i="12"/>
  <c r="H333" i="12"/>
  <c r="F333" i="12"/>
  <c r="F332" i="12"/>
  <c r="E332" i="12"/>
  <c r="D332" i="12"/>
  <c r="C332" i="12"/>
  <c r="G332" i="12"/>
  <c r="L332" i="12"/>
  <c r="M332" i="12" s="1"/>
  <c r="J332" i="12"/>
  <c r="K332" i="12" s="1"/>
  <c r="H332" i="12"/>
  <c r="H331" i="12"/>
  <c r="G331" i="12"/>
  <c r="F331" i="12"/>
  <c r="E331" i="12"/>
  <c r="C331" i="12"/>
  <c r="D331" i="12"/>
  <c r="L331" i="12"/>
  <c r="M331" i="12" s="1"/>
  <c r="J331" i="12"/>
  <c r="K331" i="12" s="1"/>
  <c r="C330" i="12"/>
  <c r="D330" i="12"/>
  <c r="E330" i="12"/>
  <c r="F330" i="12"/>
  <c r="G330" i="12"/>
  <c r="H330" i="12"/>
  <c r="L330" i="12"/>
  <c r="M330" i="12" s="1"/>
  <c r="J330" i="12"/>
  <c r="K330" i="12" s="1"/>
  <c r="D329" i="12"/>
  <c r="E329" i="12"/>
  <c r="F329" i="12"/>
  <c r="G329" i="12"/>
  <c r="H329" i="12"/>
  <c r="J329" i="12"/>
  <c r="K329" i="12" s="1"/>
  <c r="L329" i="12"/>
  <c r="M329" i="12" s="1"/>
  <c r="C329" i="12"/>
  <c r="H328" i="12"/>
  <c r="C328" i="12"/>
  <c r="D328" i="12"/>
  <c r="E328" i="12"/>
  <c r="F328" i="12"/>
  <c r="G328" i="12"/>
  <c r="J328" i="12"/>
  <c r="K328" i="12" s="1"/>
  <c r="L328" i="12"/>
  <c r="M328" i="12" s="1"/>
  <c r="F327" i="12"/>
  <c r="H327" i="12"/>
  <c r="J327" i="12"/>
  <c r="K327" i="12" s="1"/>
  <c r="L327" i="12"/>
  <c r="M327" i="12" s="1"/>
  <c r="G327" i="12"/>
  <c r="C327" i="12"/>
  <c r="D327" i="12"/>
  <c r="E327" i="12"/>
  <c r="F326" i="12"/>
  <c r="E326" i="12"/>
  <c r="D326" i="12"/>
  <c r="C326" i="12"/>
  <c r="G326" i="12"/>
  <c r="H326" i="12"/>
  <c r="J326" i="12"/>
  <c r="K326" i="12" s="1"/>
  <c r="L326" i="12"/>
  <c r="M326" i="12" s="1"/>
  <c r="L325" i="12"/>
  <c r="M325" i="12" s="1"/>
  <c r="J325" i="12"/>
  <c r="K325" i="12" s="1"/>
  <c r="H325" i="12"/>
  <c r="G325" i="12"/>
  <c r="E325" i="12"/>
  <c r="D325" i="12"/>
  <c r="F325" i="12"/>
  <c r="C325" i="12"/>
  <c r="L324" i="12"/>
  <c r="M324" i="12" s="1"/>
  <c r="J324" i="12"/>
  <c r="K324" i="12" s="1"/>
  <c r="H324" i="12"/>
  <c r="G324" i="12"/>
  <c r="F324" i="12"/>
  <c r="E324" i="12"/>
  <c r="D324" i="12"/>
  <c r="C324" i="12"/>
  <c r="L323" i="12"/>
  <c r="M323" i="12" s="1"/>
  <c r="J323" i="12"/>
  <c r="K323" i="12" s="1"/>
  <c r="G323" i="12"/>
  <c r="C323" i="12"/>
  <c r="D323" i="12"/>
  <c r="E323" i="12"/>
  <c r="F323" i="12"/>
  <c r="H323" i="12"/>
  <c r="C322" i="12"/>
  <c r="F322" i="12"/>
  <c r="D322" i="12"/>
  <c r="H322" i="12"/>
  <c r="G322" i="12"/>
  <c r="J322" i="12"/>
  <c r="K322" i="12" s="1"/>
  <c r="E322" i="12"/>
  <c r="L322" i="12"/>
  <c r="M322" i="12" s="1"/>
  <c r="L321" i="12"/>
  <c r="M321" i="12" s="1"/>
  <c r="J321" i="12"/>
  <c r="K321" i="12" s="1"/>
  <c r="H321" i="12"/>
  <c r="G321" i="12"/>
  <c r="F321" i="12"/>
  <c r="E321" i="12"/>
  <c r="D321" i="12"/>
  <c r="C321" i="12"/>
  <c r="D320" i="12"/>
  <c r="C320" i="12"/>
  <c r="J320" i="12"/>
  <c r="K320" i="12" s="1"/>
  <c r="H320" i="12"/>
  <c r="G320" i="12"/>
  <c r="L320" i="12"/>
  <c r="M320" i="12" s="1"/>
  <c r="E320" i="12"/>
  <c r="F320" i="12"/>
  <c r="J319" i="12"/>
  <c r="K319" i="12" s="1"/>
  <c r="L319" i="12"/>
  <c r="M319" i="12" s="1"/>
  <c r="C319" i="12"/>
  <c r="D319" i="12"/>
  <c r="E319" i="12"/>
  <c r="F319" i="12"/>
  <c r="G319" i="12"/>
  <c r="H319" i="12"/>
  <c r="C318" i="12"/>
  <c r="D318" i="12"/>
  <c r="E318" i="12"/>
  <c r="F318" i="12"/>
  <c r="G318" i="12"/>
  <c r="H318" i="12"/>
  <c r="L318" i="12"/>
  <c r="M318" i="12" s="1"/>
  <c r="J318" i="12"/>
  <c r="K318" i="12" s="1"/>
  <c r="C317" i="12"/>
  <c r="D317" i="12"/>
  <c r="E317" i="12"/>
  <c r="F317" i="12"/>
  <c r="G317" i="12"/>
  <c r="H317" i="12"/>
  <c r="J317" i="12"/>
  <c r="K317" i="12" s="1"/>
  <c r="L317" i="12"/>
  <c r="M317" i="12" s="1"/>
  <c r="D316" i="12"/>
  <c r="E316" i="12"/>
  <c r="F316" i="12"/>
  <c r="H316" i="12"/>
  <c r="J316" i="12"/>
  <c r="K316" i="12" s="1"/>
  <c r="L316" i="12"/>
  <c r="M316" i="12" s="1"/>
  <c r="G316" i="12"/>
  <c r="C316" i="12"/>
  <c r="F315" i="12"/>
  <c r="E315" i="12"/>
  <c r="D315" i="12"/>
  <c r="C315" i="12"/>
  <c r="G315" i="12"/>
  <c r="L315" i="12"/>
  <c r="M315" i="12" s="1"/>
  <c r="J315" i="12"/>
  <c r="K315" i="12" s="1"/>
  <c r="H315" i="12"/>
  <c r="G314" i="12"/>
  <c r="F314" i="12"/>
  <c r="E314" i="12"/>
  <c r="D314" i="12"/>
  <c r="C314" i="12"/>
  <c r="J314" i="12"/>
  <c r="K314" i="12" s="1"/>
  <c r="L314" i="12"/>
  <c r="M314" i="12" s="1"/>
  <c r="H314" i="12"/>
  <c r="F313" i="12"/>
  <c r="G313" i="12"/>
  <c r="H313" i="12"/>
  <c r="J313" i="12"/>
  <c r="K313" i="12" s="1"/>
  <c r="L313" i="12"/>
  <c r="M313" i="12" s="1"/>
  <c r="C313" i="12"/>
  <c r="D313" i="12"/>
  <c r="E313" i="12"/>
  <c r="G312" i="12"/>
  <c r="F312" i="12"/>
  <c r="C312" i="12"/>
  <c r="D312" i="12"/>
  <c r="E312" i="12"/>
  <c r="L312" i="12"/>
  <c r="M312" i="12" s="1"/>
  <c r="J312" i="12"/>
  <c r="K312" i="12" s="1"/>
  <c r="H312" i="12"/>
  <c r="L311" i="12"/>
  <c r="M311" i="12" s="1"/>
  <c r="J311" i="12"/>
  <c r="K311" i="12" s="1"/>
  <c r="D311" i="12"/>
  <c r="E311" i="12"/>
  <c r="F311" i="12"/>
  <c r="G311" i="12"/>
  <c r="H311" i="12"/>
  <c r="C311" i="12"/>
  <c r="C310" i="12"/>
  <c r="D310" i="12"/>
  <c r="E310" i="12"/>
  <c r="F310" i="12"/>
  <c r="G310" i="12"/>
  <c r="H310" i="12"/>
  <c r="J310" i="12"/>
  <c r="K310" i="12" s="1"/>
  <c r="L310" i="12"/>
  <c r="M310" i="12" s="1"/>
  <c r="J309" i="12"/>
  <c r="K309" i="12" s="1"/>
  <c r="C309" i="12"/>
  <c r="D309" i="12"/>
  <c r="E309" i="12"/>
  <c r="F309" i="12"/>
  <c r="G309" i="12"/>
  <c r="H309" i="12"/>
  <c r="L309" i="12"/>
  <c r="M309" i="12" s="1"/>
  <c r="G308" i="12"/>
  <c r="E308" i="12"/>
  <c r="D308" i="12"/>
  <c r="C308" i="12"/>
  <c r="F308" i="12"/>
  <c r="L308" i="12"/>
  <c r="M308" i="12" s="1"/>
  <c r="J308" i="12"/>
  <c r="K308" i="12" s="1"/>
  <c r="H308" i="12"/>
  <c r="F307" i="12"/>
  <c r="H307" i="12"/>
  <c r="G307" i="12"/>
  <c r="J307" i="12"/>
  <c r="K307" i="12" s="1"/>
  <c r="E307" i="12"/>
  <c r="C307" i="12"/>
  <c r="L307" i="12"/>
  <c r="M307" i="12" s="1"/>
  <c r="D307" i="12"/>
  <c r="D306" i="12"/>
  <c r="E306" i="12"/>
  <c r="F306" i="12"/>
  <c r="G306" i="12"/>
  <c r="H306" i="12"/>
  <c r="J306" i="12"/>
  <c r="K306" i="12" s="1"/>
  <c r="L306" i="12"/>
  <c r="M306" i="12" s="1"/>
  <c r="C306" i="12"/>
  <c r="D305" i="12"/>
  <c r="E305" i="12"/>
  <c r="F305" i="12"/>
  <c r="G305" i="12"/>
  <c r="J305" i="12"/>
  <c r="K305" i="12" s="1"/>
  <c r="L305" i="12"/>
  <c r="M305" i="12" s="1"/>
  <c r="H305" i="12"/>
  <c r="C305" i="12"/>
  <c r="L304" i="12"/>
  <c r="M304" i="12" s="1"/>
  <c r="F304" i="12"/>
  <c r="G304" i="12"/>
  <c r="D304" i="12"/>
  <c r="C304" i="12"/>
  <c r="E304" i="12"/>
  <c r="H304" i="12"/>
  <c r="J304" i="12"/>
  <c r="K304" i="12" s="1"/>
  <c r="D303" i="12"/>
  <c r="C303" i="12"/>
  <c r="L303" i="12"/>
  <c r="M303" i="12" s="1"/>
  <c r="E303" i="12"/>
  <c r="F303" i="12"/>
  <c r="G303" i="12"/>
  <c r="H303" i="12"/>
  <c r="J303" i="12"/>
  <c r="K303" i="12" s="1"/>
  <c r="H302" i="12"/>
  <c r="G302" i="12"/>
  <c r="F302" i="12"/>
  <c r="E302" i="12"/>
  <c r="C302" i="12"/>
  <c r="J302" i="12"/>
  <c r="K302" i="12" s="1"/>
  <c r="L302" i="12"/>
  <c r="M302" i="12" s="1"/>
  <c r="D302" i="12"/>
  <c r="G301" i="12"/>
  <c r="C301" i="12"/>
  <c r="D301" i="12"/>
  <c r="E301" i="12"/>
  <c r="H301" i="12"/>
  <c r="J301" i="12"/>
  <c r="K301" i="12" s="1"/>
  <c r="L301" i="12"/>
  <c r="M301" i="12" s="1"/>
  <c r="F301" i="12"/>
  <c r="E300" i="12"/>
  <c r="F300" i="12"/>
  <c r="C300" i="12"/>
  <c r="D300" i="12"/>
  <c r="G300" i="12"/>
  <c r="H300" i="12"/>
  <c r="J300" i="12"/>
  <c r="K300" i="12" s="1"/>
  <c r="L300" i="12"/>
  <c r="M300" i="12" s="1"/>
  <c r="F299" i="12"/>
  <c r="G299" i="12"/>
  <c r="H299" i="12"/>
  <c r="J299" i="12"/>
  <c r="K299" i="12" s="1"/>
  <c r="L299" i="12"/>
  <c r="M299" i="12" s="1"/>
  <c r="C299" i="12"/>
  <c r="D299" i="12"/>
  <c r="E299" i="12"/>
  <c r="L298" i="12"/>
  <c r="M298" i="12" s="1"/>
  <c r="H298" i="12"/>
  <c r="G298" i="12"/>
  <c r="F298" i="12"/>
  <c r="D298" i="12"/>
  <c r="C298" i="12"/>
  <c r="E298" i="12"/>
  <c r="J298" i="12"/>
  <c r="K298" i="12" s="1"/>
  <c r="L297" i="12"/>
  <c r="M297" i="12" s="1"/>
  <c r="J297" i="12"/>
  <c r="K297" i="12" s="1"/>
  <c r="H297" i="12"/>
  <c r="G297" i="12"/>
  <c r="F297" i="12"/>
  <c r="E297" i="12"/>
  <c r="D297" i="12"/>
  <c r="C297" i="12"/>
  <c r="L296" i="12"/>
  <c r="M296" i="12" s="1"/>
  <c r="J296" i="12"/>
  <c r="K296" i="12" s="1"/>
  <c r="H296" i="12"/>
  <c r="G296" i="12"/>
  <c r="F296" i="12"/>
  <c r="E296" i="12"/>
  <c r="D296" i="12"/>
  <c r="C296" i="12"/>
  <c r="L295" i="12"/>
  <c r="M295" i="12" s="1"/>
  <c r="J295" i="12"/>
  <c r="K295" i="12" s="1"/>
  <c r="H295" i="12"/>
  <c r="G295" i="12"/>
  <c r="F295" i="12"/>
  <c r="E295" i="12"/>
  <c r="D295" i="12"/>
  <c r="C295" i="12"/>
  <c r="L294" i="12"/>
  <c r="M294" i="12" s="1"/>
  <c r="J294" i="12"/>
  <c r="K294" i="12" s="1"/>
  <c r="H294" i="12"/>
  <c r="G294" i="12"/>
  <c r="F294" i="12"/>
  <c r="E294" i="12"/>
  <c r="D294" i="12"/>
  <c r="C294" i="12"/>
  <c r="L293" i="12"/>
  <c r="M293" i="12" s="1"/>
  <c r="J293" i="12"/>
  <c r="K293" i="12" s="1"/>
  <c r="H293" i="12"/>
  <c r="G293" i="12"/>
  <c r="F293" i="12"/>
  <c r="E293" i="12"/>
  <c r="D293" i="12"/>
  <c r="C293" i="12"/>
  <c r="L292" i="12"/>
  <c r="M292" i="12" s="1"/>
  <c r="J292" i="12"/>
  <c r="K292" i="12" s="1"/>
  <c r="H292" i="12"/>
  <c r="G292" i="12"/>
  <c r="F292" i="12"/>
  <c r="E292" i="12"/>
  <c r="D292" i="12"/>
  <c r="C292" i="12"/>
  <c r="L290" i="12"/>
  <c r="M290" i="12" s="1"/>
  <c r="J290" i="12"/>
  <c r="K290" i="12" s="1"/>
  <c r="H290" i="12"/>
  <c r="G290" i="12"/>
  <c r="F290" i="12"/>
  <c r="E290" i="12"/>
  <c r="D290" i="12"/>
  <c r="C290" i="12"/>
  <c r="L289" i="12"/>
  <c r="M289" i="12" s="1"/>
  <c r="J289" i="12"/>
  <c r="K289" i="12" s="1"/>
  <c r="H289" i="12"/>
  <c r="G289" i="12"/>
  <c r="F289" i="12"/>
  <c r="E289" i="12"/>
  <c r="D289" i="12"/>
  <c r="C289" i="12"/>
  <c r="H288" i="12"/>
  <c r="G288" i="12"/>
  <c r="F288" i="12"/>
  <c r="E288" i="12"/>
  <c r="D288" i="12"/>
  <c r="C288" i="12"/>
  <c r="J288" i="12"/>
  <c r="K288" i="12" s="1"/>
  <c r="L288" i="12"/>
  <c r="M288" i="12" s="1"/>
  <c r="J287" i="12"/>
  <c r="K287" i="12" s="1"/>
  <c r="H287" i="12"/>
  <c r="F287" i="12"/>
  <c r="E287" i="12"/>
  <c r="D287" i="12"/>
  <c r="C287" i="12"/>
  <c r="G287" i="12"/>
  <c r="L287" i="12"/>
  <c r="M287" i="12" s="1"/>
  <c r="H286" i="12"/>
  <c r="G286" i="12"/>
  <c r="F286" i="12"/>
  <c r="E286" i="12"/>
  <c r="L286" i="12"/>
  <c r="M286" i="12" s="1"/>
  <c r="C286" i="12"/>
  <c r="J286" i="12"/>
  <c r="K286" i="12" s="1"/>
  <c r="D286" i="12"/>
  <c r="L285" i="12"/>
  <c r="M285" i="12" s="1"/>
  <c r="J285" i="12"/>
  <c r="K285" i="12" s="1"/>
  <c r="H285" i="12"/>
  <c r="G285" i="12"/>
  <c r="F285" i="12"/>
  <c r="E285" i="12"/>
  <c r="D285" i="12"/>
  <c r="C285" i="12"/>
  <c r="C284" i="12"/>
  <c r="E284" i="12"/>
  <c r="F284" i="12"/>
  <c r="G284" i="12"/>
  <c r="H284" i="12"/>
  <c r="J284" i="12"/>
  <c r="K284" i="12" s="1"/>
  <c r="L284" i="12"/>
  <c r="M284" i="12" s="1"/>
  <c r="D284" i="12"/>
  <c r="D283" i="12"/>
  <c r="E283" i="12"/>
  <c r="F283" i="12"/>
  <c r="H283" i="12"/>
  <c r="J283" i="12"/>
  <c r="K283" i="12" s="1"/>
  <c r="L283" i="12"/>
  <c r="M283" i="12" s="1"/>
  <c r="G283" i="12"/>
  <c r="C283" i="12"/>
  <c r="C282" i="12"/>
  <c r="D282" i="12"/>
  <c r="E282" i="12"/>
  <c r="F282" i="12"/>
  <c r="G282" i="12"/>
  <c r="H282" i="12"/>
  <c r="J282" i="12"/>
  <c r="K282" i="12" s="1"/>
  <c r="L282" i="12"/>
  <c r="M282" i="12" s="1"/>
  <c r="C281" i="12"/>
  <c r="L281" i="12"/>
  <c r="M281" i="12" s="1"/>
  <c r="J281" i="12"/>
  <c r="K281" i="12" s="1"/>
  <c r="H281" i="12"/>
  <c r="G281" i="12"/>
  <c r="D281" i="12"/>
  <c r="F281" i="12"/>
  <c r="E281" i="12"/>
  <c r="L280" i="12"/>
  <c r="M280" i="12" s="1"/>
  <c r="J280" i="12"/>
  <c r="K280" i="12" s="1"/>
  <c r="H280" i="12"/>
  <c r="G280" i="12"/>
  <c r="F280" i="12"/>
  <c r="E280" i="12"/>
  <c r="D280" i="12"/>
  <c r="C280" i="12"/>
  <c r="C279" i="12"/>
  <c r="D279" i="12"/>
  <c r="E279" i="12"/>
  <c r="F279" i="12"/>
  <c r="G279" i="12"/>
  <c r="H279" i="12"/>
  <c r="J279" i="12"/>
  <c r="K279" i="12" s="1"/>
  <c r="L279" i="12"/>
  <c r="M279" i="12" s="1"/>
  <c r="J278" i="12"/>
  <c r="K278" i="12" s="1"/>
  <c r="D278" i="12"/>
  <c r="E278" i="12"/>
  <c r="F278" i="12"/>
  <c r="G278" i="12"/>
  <c r="H278" i="12"/>
  <c r="L278" i="12"/>
  <c r="M278" i="12" s="1"/>
  <c r="C278" i="12"/>
  <c r="L277" i="12"/>
  <c r="M277" i="12" s="1"/>
  <c r="J277" i="12"/>
  <c r="K277" i="12" s="1"/>
  <c r="H277" i="12"/>
  <c r="G277" i="12"/>
  <c r="F277" i="12"/>
  <c r="E277" i="12"/>
  <c r="D277" i="12"/>
  <c r="C277" i="12"/>
  <c r="L276" i="12"/>
  <c r="M276" i="12" s="1"/>
  <c r="J276" i="12"/>
  <c r="K276" i="12" s="1"/>
  <c r="H276" i="12"/>
  <c r="G276" i="12"/>
  <c r="F276" i="12"/>
  <c r="E276" i="12"/>
  <c r="C276" i="12"/>
  <c r="D276" i="12"/>
  <c r="G275" i="12"/>
  <c r="L275" i="12"/>
  <c r="M275" i="12" s="1"/>
  <c r="J275" i="12"/>
  <c r="K275" i="12" s="1"/>
  <c r="H275" i="12"/>
  <c r="D275" i="12"/>
  <c r="F275" i="12"/>
  <c r="E275" i="12"/>
  <c r="C275" i="12"/>
  <c r="L274" i="12"/>
  <c r="M274" i="12" s="1"/>
  <c r="J274" i="12"/>
  <c r="K274" i="12" s="1"/>
  <c r="H274" i="12"/>
  <c r="G274" i="12"/>
  <c r="C274" i="12"/>
  <c r="F274" i="12"/>
  <c r="E274" i="12"/>
  <c r="D274" i="12"/>
  <c r="L273" i="12"/>
  <c r="M273" i="12" s="1"/>
  <c r="J273" i="12"/>
  <c r="K273" i="12" s="1"/>
  <c r="H273" i="12"/>
  <c r="G273" i="12"/>
  <c r="F273" i="12"/>
  <c r="E273" i="12"/>
  <c r="D273" i="12"/>
  <c r="C273" i="12"/>
  <c r="J272" i="12"/>
  <c r="K272" i="12" s="1"/>
  <c r="H272" i="12"/>
  <c r="G272" i="12"/>
  <c r="F272" i="12"/>
  <c r="E272" i="12"/>
  <c r="C272" i="12"/>
  <c r="L272" i="12"/>
  <c r="M272" i="12" s="1"/>
  <c r="D272" i="12"/>
  <c r="L271" i="12"/>
  <c r="M271" i="12" s="1"/>
  <c r="J271" i="12"/>
  <c r="K271" i="12" s="1"/>
  <c r="H271" i="12"/>
  <c r="G271" i="12"/>
  <c r="F271" i="12"/>
  <c r="E271" i="12"/>
  <c r="D271" i="12"/>
  <c r="C271" i="12"/>
  <c r="L270" i="12"/>
  <c r="M270" i="12" s="1"/>
  <c r="D270" i="12"/>
  <c r="C270" i="12"/>
  <c r="E270" i="12"/>
  <c r="F270" i="12"/>
  <c r="G270" i="12"/>
  <c r="H270" i="12"/>
  <c r="J270" i="12"/>
  <c r="K270" i="12" s="1"/>
  <c r="G269" i="12"/>
  <c r="D269" i="12"/>
  <c r="E269" i="12"/>
  <c r="F269" i="12"/>
  <c r="H269" i="12"/>
  <c r="J269" i="12"/>
  <c r="K269" i="12" s="1"/>
  <c r="L269" i="12"/>
  <c r="M269" i="12" s="1"/>
  <c r="C269" i="12"/>
  <c r="L268" i="12"/>
  <c r="M268" i="12" s="1"/>
  <c r="J268" i="12"/>
  <c r="K268" i="12" s="1"/>
  <c r="H268" i="12"/>
  <c r="G268" i="12"/>
  <c r="F268" i="12"/>
  <c r="E268" i="12"/>
  <c r="D268" i="12"/>
  <c r="C268" i="12"/>
  <c r="J267" i="12"/>
  <c r="K267" i="12" s="1"/>
  <c r="L267" i="12"/>
  <c r="M267" i="12" s="1"/>
  <c r="H267" i="12"/>
  <c r="G267" i="12"/>
  <c r="F267" i="12"/>
  <c r="E267" i="12"/>
  <c r="D267" i="12"/>
  <c r="C267" i="12"/>
  <c r="L266" i="12"/>
  <c r="M266" i="12" s="1"/>
  <c r="J266" i="12"/>
  <c r="K266" i="12" s="1"/>
  <c r="H266" i="12"/>
  <c r="G266" i="12"/>
  <c r="F266" i="12"/>
  <c r="D266" i="12"/>
  <c r="E266" i="12"/>
  <c r="C266" i="12"/>
  <c r="D265" i="12"/>
  <c r="E265" i="12"/>
  <c r="F265" i="12"/>
  <c r="G265" i="12"/>
  <c r="H265" i="12"/>
  <c r="J265" i="12"/>
  <c r="K265" i="12" s="1"/>
  <c r="L265" i="12"/>
  <c r="M265" i="12" s="1"/>
  <c r="C265" i="12"/>
  <c r="J264" i="12"/>
  <c r="K264" i="12" s="1"/>
  <c r="H264" i="12"/>
  <c r="G264" i="12"/>
  <c r="F264" i="12"/>
  <c r="C264" i="12"/>
  <c r="E264" i="12"/>
  <c r="D264" i="12"/>
  <c r="L264" i="12"/>
  <c r="M264" i="12" s="1"/>
  <c r="C263" i="12"/>
  <c r="H263" i="12"/>
  <c r="L263" i="12"/>
  <c r="M263" i="12" s="1"/>
  <c r="G263" i="12"/>
  <c r="F263" i="12"/>
  <c r="E263" i="12"/>
  <c r="D263" i="12"/>
  <c r="J263" i="12"/>
  <c r="K263" i="12" s="1"/>
  <c r="L262" i="12"/>
  <c r="M262" i="12" s="1"/>
  <c r="J262" i="12"/>
  <c r="K262" i="12" s="1"/>
  <c r="H262" i="12"/>
  <c r="G262" i="12"/>
  <c r="F262" i="12"/>
  <c r="E262" i="12"/>
  <c r="C262" i="12"/>
  <c r="D262" i="12"/>
  <c r="L261" i="12"/>
  <c r="M261" i="12" s="1"/>
  <c r="J261" i="12"/>
  <c r="K261" i="12" s="1"/>
  <c r="H261" i="12"/>
  <c r="F261" i="12"/>
  <c r="E261" i="12"/>
  <c r="G261" i="12"/>
  <c r="D261" i="12"/>
  <c r="C261" i="12"/>
  <c r="F260" i="12"/>
  <c r="C260" i="12"/>
  <c r="D260" i="12"/>
  <c r="E260" i="12"/>
  <c r="H260" i="12"/>
  <c r="G260" i="12"/>
  <c r="J260" i="12"/>
  <c r="K260" i="12" s="1"/>
  <c r="L260" i="12"/>
  <c r="M260" i="12" s="1"/>
  <c r="C259" i="12"/>
  <c r="D259" i="12"/>
  <c r="E259" i="12"/>
  <c r="F259" i="12"/>
  <c r="G259" i="12"/>
  <c r="J259" i="12"/>
  <c r="K259" i="12" s="1"/>
  <c r="L259" i="12"/>
  <c r="M259" i="12" s="1"/>
  <c r="H259" i="12"/>
  <c r="G258" i="12"/>
  <c r="D258" i="12"/>
  <c r="E258" i="12"/>
  <c r="F258" i="12"/>
  <c r="H258" i="12"/>
  <c r="J258" i="12"/>
  <c r="K258" i="12" s="1"/>
  <c r="L258" i="12"/>
  <c r="M258" i="12" s="1"/>
  <c r="C258" i="12"/>
  <c r="C257" i="12"/>
  <c r="E257" i="12"/>
  <c r="F257" i="12"/>
  <c r="G257" i="12"/>
  <c r="H257" i="12"/>
  <c r="J257" i="12"/>
  <c r="K257" i="12" s="1"/>
  <c r="L257" i="12"/>
  <c r="M257" i="12" s="1"/>
  <c r="D257" i="12"/>
  <c r="E256" i="12"/>
  <c r="F256" i="12"/>
  <c r="D256" i="12"/>
  <c r="C256" i="12"/>
  <c r="L256" i="12"/>
  <c r="M256" i="12" s="1"/>
  <c r="J256" i="12"/>
  <c r="K256" i="12" s="1"/>
  <c r="H256" i="12"/>
  <c r="G256" i="12"/>
  <c r="C255" i="12"/>
  <c r="E255" i="12"/>
  <c r="L255" i="12"/>
  <c r="M255" i="12" s="1"/>
  <c r="J255" i="12"/>
  <c r="K255" i="12" s="1"/>
  <c r="H255" i="12"/>
  <c r="G255" i="12"/>
  <c r="F255" i="12"/>
  <c r="D255" i="12"/>
  <c r="L254" i="12"/>
  <c r="M254" i="12" s="1"/>
  <c r="J254" i="12"/>
  <c r="K254" i="12" s="1"/>
  <c r="H254" i="12"/>
  <c r="G254" i="12"/>
  <c r="F254" i="12"/>
  <c r="E254" i="12"/>
  <c r="D254" i="12"/>
  <c r="C254" i="12"/>
  <c r="F253" i="12"/>
  <c r="E253" i="12"/>
  <c r="D253" i="12"/>
  <c r="C253" i="12"/>
  <c r="G253" i="12"/>
  <c r="L253" i="12"/>
  <c r="M253" i="12" s="1"/>
  <c r="J253" i="12"/>
  <c r="K253" i="12" s="1"/>
  <c r="H253" i="12"/>
  <c r="F252" i="12"/>
  <c r="E252" i="12"/>
  <c r="L252" i="12"/>
  <c r="M252" i="12" s="1"/>
  <c r="D252" i="12"/>
  <c r="C252" i="12"/>
  <c r="G252" i="12"/>
  <c r="J252" i="12"/>
  <c r="K252" i="12" s="1"/>
  <c r="H252" i="12"/>
  <c r="E251" i="12"/>
  <c r="F251" i="12"/>
  <c r="G251" i="12"/>
  <c r="D251" i="12"/>
  <c r="J251" i="12"/>
  <c r="K251" i="12" s="1"/>
  <c r="L251" i="12"/>
  <c r="M251" i="12" s="1"/>
  <c r="H251" i="12"/>
  <c r="C251" i="12"/>
  <c r="J250" i="12"/>
  <c r="K250" i="12" s="1"/>
  <c r="H250" i="12"/>
  <c r="F250" i="12"/>
  <c r="E250" i="12"/>
  <c r="D250" i="12"/>
  <c r="G250" i="12"/>
  <c r="C250" i="12"/>
  <c r="L250" i="12"/>
  <c r="M250" i="12" s="1"/>
  <c r="C249" i="12"/>
  <c r="D249" i="12"/>
  <c r="F249" i="12"/>
  <c r="G249" i="12"/>
  <c r="H249" i="12"/>
  <c r="L249" i="12"/>
  <c r="M249" i="12" s="1"/>
  <c r="E249" i="12"/>
  <c r="J249" i="12"/>
  <c r="K249" i="12" s="1"/>
  <c r="C248" i="12"/>
  <c r="D248" i="12"/>
  <c r="E248" i="12"/>
  <c r="J248" i="12"/>
  <c r="K248" i="12" s="1"/>
  <c r="H248" i="12"/>
  <c r="G248" i="12"/>
  <c r="L248" i="12"/>
  <c r="M248" i="12" s="1"/>
  <c r="F248" i="12"/>
  <c r="C247" i="12"/>
  <c r="E247" i="12"/>
  <c r="F247" i="12"/>
  <c r="G247" i="12"/>
  <c r="H247" i="12"/>
  <c r="J247" i="12"/>
  <c r="K247" i="12" s="1"/>
  <c r="L247" i="12"/>
  <c r="M247" i="12" s="1"/>
  <c r="D247" i="12"/>
  <c r="J246" i="12"/>
  <c r="K246" i="12" s="1"/>
  <c r="G246" i="12"/>
  <c r="L246" i="12"/>
  <c r="M246" i="12" s="1"/>
  <c r="E246" i="12"/>
  <c r="H246" i="12"/>
  <c r="F246" i="12"/>
  <c r="D246" i="12"/>
  <c r="C246" i="12"/>
  <c r="J245" i="12"/>
  <c r="K245" i="12" s="1"/>
  <c r="H245" i="12"/>
  <c r="D245" i="12"/>
  <c r="F245" i="12"/>
  <c r="E245" i="12"/>
  <c r="L245" i="12"/>
  <c r="M245" i="12" s="1"/>
  <c r="C245" i="12"/>
  <c r="G245" i="12"/>
  <c r="C244" i="12"/>
  <c r="H244" i="12"/>
  <c r="G244" i="12"/>
  <c r="F244" i="12"/>
  <c r="E244" i="12"/>
  <c r="L244" i="12"/>
  <c r="M244" i="12" s="1"/>
  <c r="J244" i="12"/>
  <c r="K244" i="12" s="1"/>
  <c r="D244" i="12"/>
  <c r="E243" i="12"/>
  <c r="C243" i="12"/>
  <c r="D243" i="12"/>
  <c r="F243" i="12"/>
  <c r="G243" i="12"/>
  <c r="H243" i="12"/>
  <c r="J243" i="12"/>
  <c r="K243" i="12" s="1"/>
  <c r="L243" i="12"/>
  <c r="M243" i="12" s="1"/>
  <c r="L242" i="12"/>
  <c r="M242" i="12" s="1"/>
  <c r="E242" i="12"/>
  <c r="D242" i="12"/>
  <c r="C242" i="12"/>
  <c r="J242" i="12"/>
  <c r="K242" i="12" s="1"/>
  <c r="H242" i="12"/>
  <c r="G242" i="12"/>
  <c r="F242" i="12"/>
  <c r="D241" i="12"/>
  <c r="C241" i="12"/>
  <c r="F241" i="12"/>
  <c r="E241" i="12"/>
  <c r="L241" i="12"/>
  <c r="M241" i="12" s="1"/>
  <c r="J241" i="12"/>
  <c r="K241" i="12" s="1"/>
  <c r="H241" i="12"/>
  <c r="G241" i="12"/>
  <c r="L240" i="12"/>
  <c r="M240" i="12" s="1"/>
  <c r="J240" i="12"/>
  <c r="K240" i="12" s="1"/>
  <c r="H240" i="12"/>
  <c r="G240" i="12"/>
  <c r="F240" i="12"/>
  <c r="D240" i="12"/>
  <c r="E240" i="12"/>
  <c r="C240" i="12"/>
  <c r="L239" i="12"/>
  <c r="M239" i="12" s="1"/>
  <c r="J239" i="12"/>
  <c r="K239" i="12" s="1"/>
  <c r="H239" i="12"/>
  <c r="G239" i="12"/>
  <c r="F239" i="12"/>
  <c r="E239" i="12"/>
  <c r="D239" i="12"/>
  <c r="C239" i="12"/>
  <c r="D238" i="12"/>
  <c r="L238" i="12"/>
  <c r="M238" i="12" s="1"/>
  <c r="J238" i="12"/>
  <c r="K238" i="12" s="1"/>
  <c r="H238" i="12"/>
  <c r="G238" i="12"/>
  <c r="F238" i="12"/>
  <c r="E238" i="12"/>
  <c r="C238" i="12"/>
  <c r="H237" i="12"/>
  <c r="C237" i="12"/>
  <c r="D237" i="12"/>
  <c r="E237" i="12"/>
  <c r="F237" i="12"/>
  <c r="G237" i="12"/>
  <c r="J237" i="12"/>
  <c r="K237" i="12" s="1"/>
  <c r="L237" i="12"/>
  <c r="M237" i="12" s="1"/>
  <c r="E236" i="12"/>
  <c r="F236" i="12"/>
  <c r="H236" i="12"/>
  <c r="J236" i="12"/>
  <c r="K236" i="12" s="1"/>
  <c r="L236" i="12"/>
  <c r="M236" i="12" s="1"/>
  <c r="C236" i="12"/>
  <c r="D236" i="12"/>
  <c r="G236" i="12"/>
  <c r="F235" i="12"/>
  <c r="G235" i="12"/>
  <c r="H235" i="12"/>
  <c r="J235" i="12"/>
  <c r="K235" i="12" s="1"/>
  <c r="L235" i="12"/>
  <c r="M235" i="12" s="1"/>
  <c r="D235" i="12"/>
  <c r="C235" i="12"/>
  <c r="E235" i="12"/>
  <c r="C234" i="12"/>
  <c r="L234" i="12"/>
  <c r="M234" i="12" s="1"/>
  <c r="J234" i="12"/>
  <c r="K234" i="12" s="1"/>
  <c r="H234" i="12"/>
  <c r="G234" i="12"/>
  <c r="F234" i="12"/>
  <c r="E234" i="12"/>
  <c r="D234" i="12"/>
  <c r="L233" i="12"/>
  <c r="M233" i="12" s="1"/>
  <c r="J233" i="12"/>
  <c r="K233" i="12" s="1"/>
  <c r="H233" i="12"/>
  <c r="G233" i="12"/>
  <c r="F233" i="12"/>
  <c r="E233" i="12"/>
  <c r="D233" i="12"/>
  <c r="C233" i="12"/>
  <c r="C232" i="12"/>
  <c r="L232" i="12"/>
  <c r="M232" i="12" s="1"/>
  <c r="J232" i="12"/>
  <c r="K232" i="12" s="1"/>
  <c r="H232" i="12"/>
  <c r="G232" i="12"/>
  <c r="F232" i="12"/>
  <c r="E232" i="12"/>
  <c r="D232" i="12"/>
  <c r="E231" i="12"/>
  <c r="C231" i="12"/>
  <c r="D231" i="12"/>
  <c r="F231" i="12"/>
  <c r="G231" i="12"/>
  <c r="H231" i="12"/>
  <c r="J231" i="12"/>
  <c r="K231" i="12" s="1"/>
  <c r="L231" i="12"/>
  <c r="M231" i="12" s="1"/>
  <c r="D230" i="12"/>
  <c r="L230" i="12"/>
  <c r="M230" i="12" s="1"/>
  <c r="G230" i="12"/>
  <c r="H230" i="12"/>
  <c r="J230" i="12"/>
  <c r="K230" i="12" s="1"/>
  <c r="F230" i="12"/>
  <c r="E230" i="12"/>
  <c r="C230" i="12"/>
  <c r="D229" i="12"/>
  <c r="F229" i="12"/>
  <c r="H229" i="12"/>
  <c r="J229" i="12"/>
  <c r="K229" i="12" s="1"/>
  <c r="E229" i="12"/>
  <c r="G229" i="12"/>
  <c r="C229" i="12"/>
  <c r="L229" i="12"/>
  <c r="M229" i="12" s="1"/>
  <c r="J228" i="12"/>
  <c r="K228" i="12" s="1"/>
  <c r="E228" i="12"/>
  <c r="C228" i="12"/>
  <c r="F228" i="12"/>
  <c r="L228" i="12"/>
  <c r="M228" i="12" s="1"/>
  <c r="H228" i="12"/>
  <c r="G228" i="12"/>
  <c r="D228" i="12"/>
  <c r="F227" i="12"/>
  <c r="H227" i="12"/>
  <c r="L227" i="12"/>
  <c r="M227" i="12" s="1"/>
  <c r="G227" i="12"/>
  <c r="E227" i="12"/>
  <c r="J227" i="12"/>
  <c r="K227" i="12" s="1"/>
  <c r="D227" i="12"/>
  <c r="C227" i="12"/>
  <c r="H225" i="12"/>
  <c r="G225" i="12"/>
  <c r="F225" i="12"/>
  <c r="C225" i="12"/>
  <c r="D225" i="12"/>
  <c r="E225" i="12"/>
  <c r="L225" i="12"/>
  <c r="M225" i="12" s="1"/>
  <c r="J225" i="12"/>
  <c r="K225" i="12" s="1"/>
  <c r="L224" i="12"/>
  <c r="M224" i="12" s="1"/>
  <c r="J224" i="12"/>
  <c r="K224" i="12" s="1"/>
  <c r="H224" i="12"/>
  <c r="G224" i="12"/>
  <c r="F224" i="12"/>
  <c r="D224" i="12"/>
  <c r="C224" i="12"/>
  <c r="E224" i="12"/>
  <c r="E223" i="12"/>
  <c r="D223" i="12"/>
  <c r="C223" i="12"/>
  <c r="J223" i="12"/>
  <c r="K223" i="12" s="1"/>
  <c r="L223" i="12"/>
  <c r="M223" i="12" s="1"/>
  <c r="H223" i="12"/>
  <c r="G223" i="12"/>
  <c r="F223" i="12"/>
  <c r="G222" i="12"/>
  <c r="E222" i="12"/>
  <c r="D222" i="12"/>
  <c r="C222" i="12"/>
  <c r="F222" i="12"/>
  <c r="L222" i="12"/>
  <c r="M222" i="12" s="1"/>
  <c r="J222" i="12"/>
  <c r="K222" i="12" s="1"/>
  <c r="H222" i="12"/>
  <c r="L221" i="12"/>
  <c r="M221" i="12" s="1"/>
  <c r="J221" i="12"/>
  <c r="K221" i="12" s="1"/>
  <c r="H221" i="12"/>
  <c r="G221" i="12"/>
  <c r="F221" i="12"/>
  <c r="E221" i="12"/>
  <c r="D221" i="12"/>
  <c r="C221" i="12"/>
  <c r="D220" i="12"/>
  <c r="L220" i="12"/>
  <c r="M220" i="12" s="1"/>
  <c r="J220" i="12"/>
  <c r="K220" i="12" s="1"/>
  <c r="H220" i="12"/>
  <c r="G220" i="12"/>
  <c r="F220" i="12"/>
  <c r="E220" i="12"/>
  <c r="C220" i="12"/>
  <c r="F219" i="12"/>
  <c r="E219" i="12"/>
  <c r="D219" i="12"/>
  <c r="C219" i="12"/>
  <c r="L219" i="12"/>
  <c r="M219" i="12" s="1"/>
  <c r="J219" i="12"/>
  <c r="K219" i="12" s="1"/>
  <c r="H219" i="12"/>
  <c r="G219" i="12"/>
  <c r="F218" i="12"/>
  <c r="E218" i="12"/>
  <c r="D218" i="12"/>
  <c r="C218" i="12"/>
  <c r="G218" i="12"/>
  <c r="L218" i="12"/>
  <c r="M218" i="12" s="1"/>
  <c r="J218" i="12"/>
  <c r="K218" i="12" s="1"/>
  <c r="H218" i="12"/>
  <c r="L217" i="12"/>
  <c r="M217" i="12" s="1"/>
  <c r="J217" i="12"/>
  <c r="K217" i="12" s="1"/>
  <c r="H217" i="12"/>
  <c r="G217" i="12"/>
  <c r="F217" i="12"/>
  <c r="E217" i="12"/>
  <c r="D217" i="12"/>
  <c r="C217" i="12"/>
  <c r="L216" i="12"/>
  <c r="M216" i="12" s="1"/>
  <c r="J216" i="12"/>
  <c r="K216" i="12" s="1"/>
  <c r="H216" i="12"/>
  <c r="G216" i="12"/>
  <c r="F216" i="12"/>
  <c r="E216" i="12"/>
  <c r="D216" i="12"/>
  <c r="C216" i="12"/>
  <c r="F215" i="12"/>
  <c r="E215" i="12"/>
  <c r="D215" i="12"/>
  <c r="C215" i="12"/>
  <c r="J215" i="12"/>
  <c r="K215" i="12" s="1"/>
  <c r="H215" i="12"/>
  <c r="G215" i="12"/>
  <c r="L215" i="12"/>
  <c r="M215" i="12" s="1"/>
  <c r="L214" i="12"/>
  <c r="M214" i="12" s="1"/>
  <c r="J214" i="12"/>
  <c r="K214" i="12" s="1"/>
  <c r="H214" i="12"/>
  <c r="F214" i="12"/>
  <c r="E214" i="12"/>
  <c r="D214" i="12"/>
  <c r="C214" i="12"/>
  <c r="G214" i="12"/>
  <c r="F213" i="12"/>
  <c r="E213" i="12"/>
  <c r="D213" i="12"/>
  <c r="C213" i="12"/>
  <c r="L213" i="12"/>
  <c r="M213" i="12" s="1"/>
  <c r="J213" i="12"/>
  <c r="K213" i="12" s="1"/>
  <c r="H213" i="12"/>
  <c r="G213" i="12"/>
  <c r="F212" i="12"/>
  <c r="E212" i="12"/>
  <c r="D212" i="12"/>
  <c r="C212" i="12"/>
  <c r="L212" i="12"/>
  <c r="M212" i="12" s="1"/>
  <c r="J212" i="12"/>
  <c r="K212" i="12" s="1"/>
  <c r="H212" i="12"/>
  <c r="G212" i="12"/>
  <c r="L211" i="12"/>
  <c r="M211" i="12" s="1"/>
  <c r="J211" i="12"/>
  <c r="K211" i="12" s="1"/>
  <c r="H211" i="12"/>
  <c r="G211" i="12"/>
  <c r="F211" i="12"/>
  <c r="D211" i="12"/>
  <c r="C211" i="12"/>
  <c r="E211" i="12"/>
  <c r="L210" i="12"/>
  <c r="M210" i="12" s="1"/>
  <c r="J210" i="12"/>
  <c r="K210" i="12" s="1"/>
  <c r="H210" i="12"/>
  <c r="G210" i="12"/>
  <c r="F210" i="12"/>
  <c r="E210" i="12"/>
  <c r="D210" i="12"/>
  <c r="C210" i="12"/>
  <c r="L209" i="12"/>
  <c r="M209" i="12" s="1"/>
  <c r="H209" i="12"/>
  <c r="G209" i="12"/>
  <c r="F209" i="12"/>
  <c r="E209" i="12"/>
  <c r="D209" i="12"/>
  <c r="C209" i="12"/>
  <c r="J209" i="12"/>
  <c r="K209" i="12" s="1"/>
  <c r="G208" i="12"/>
  <c r="H208" i="12"/>
  <c r="J208" i="12"/>
  <c r="K208" i="12" s="1"/>
  <c r="L208" i="12"/>
  <c r="M208" i="12" s="1"/>
  <c r="C208" i="12"/>
  <c r="D208" i="12"/>
  <c r="E208" i="12"/>
  <c r="F208" i="12"/>
  <c r="F207" i="12"/>
  <c r="E207" i="12"/>
  <c r="D207" i="12"/>
  <c r="C207" i="12"/>
  <c r="H207" i="12"/>
  <c r="G207" i="12"/>
  <c r="J207" i="12"/>
  <c r="K207" i="12" s="1"/>
  <c r="L207" i="12"/>
  <c r="M207" i="12" s="1"/>
  <c r="L206" i="12"/>
  <c r="M206" i="12" s="1"/>
  <c r="J206" i="12"/>
  <c r="K206" i="12" s="1"/>
  <c r="H206" i="12"/>
  <c r="G206" i="12"/>
  <c r="F206" i="12"/>
  <c r="E206" i="12"/>
  <c r="D206" i="12"/>
  <c r="C206" i="12"/>
  <c r="L205" i="12"/>
  <c r="M205" i="12" s="1"/>
  <c r="J205" i="12"/>
  <c r="K205" i="12" s="1"/>
  <c r="H205" i="12"/>
  <c r="G205" i="12"/>
  <c r="F205" i="12"/>
  <c r="E205" i="12"/>
  <c r="D205" i="12"/>
  <c r="C205" i="12"/>
  <c r="L204" i="12"/>
  <c r="M204" i="12" s="1"/>
  <c r="J204" i="12"/>
  <c r="K204" i="12" s="1"/>
  <c r="H204" i="12"/>
  <c r="G204" i="12"/>
  <c r="F204" i="12"/>
  <c r="E204" i="12"/>
  <c r="D204" i="12"/>
  <c r="C204" i="12"/>
  <c r="E203" i="12"/>
  <c r="F203" i="12"/>
  <c r="L203" i="12"/>
  <c r="M203" i="12" s="1"/>
  <c r="D203" i="12"/>
  <c r="C203" i="12"/>
  <c r="J203" i="12"/>
  <c r="K203" i="12" s="1"/>
  <c r="H203" i="12"/>
  <c r="G203" i="12"/>
  <c r="L202" i="12"/>
  <c r="M202" i="12" s="1"/>
  <c r="D202" i="12"/>
  <c r="C202" i="12"/>
  <c r="E202" i="12"/>
  <c r="J202" i="12"/>
  <c r="K202" i="12" s="1"/>
  <c r="H202" i="12"/>
  <c r="G202" i="12"/>
  <c r="F202" i="12"/>
  <c r="E201" i="12"/>
  <c r="D201" i="12"/>
  <c r="C201" i="12"/>
  <c r="L201" i="12"/>
  <c r="M201" i="12" s="1"/>
  <c r="J201" i="12"/>
  <c r="K201" i="12" s="1"/>
  <c r="H201" i="12"/>
  <c r="G201" i="12"/>
  <c r="F201" i="12"/>
  <c r="J200" i="12"/>
  <c r="K200" i="12" s="1"/>
  <c r="C200" i="12"/>
  <c r="D200" i="12"/>
  <c r="E200" i="12"/>
  <c r="F200" i="12"/>
  <c r="G200" i="12"/>
  <c r="H200" i="12"/>
  <c r="L200" i="12"/>
  <c r="M200" i="12" s="1"/>
  <c r="J199" i="12"/>
  <c r="K199" i="12" s="1"/>
  <c r="L199" i="12"/>
  <c r="M199" i="12" s="1"/>
  <c r="H199" i="12"/>
  <c r="G199" i="12"/>
  <c r="F199" i="12"/>
  <c r="E199" i="12"/>
  <c r="D199" i="12"/>
  <c r="C199" i="12"/>
  <c r="C198" i="12"/>
  <c r="F198" i="12"/>
  <c r="L198" i="12"/>
  <c r="M198" i="12" s="1"/>
  <c r="J198" i="12"/>
  <c r="K198" i="12" s="1"/>
  <c r="H198" i="12"/>
  <c r="G198" i="12"/>
  <c r="E198" i="12"/>
  <c r="D198" i="12"/>
  <c r="J197" i="12"/>
  <c r="K197" i="12" s="1"/>
  <c r="H197" i="12"/>
  <c r="G197" i="12"/>
  <c r="F197" i="12"/>
  <c r="E197" i="12"/>
  <c r="C197" i="12"/>
  <c r="D197" i="12"/>
  <c r="L197" i="12"/>
  <c r="M197" i="12" s="1"/>
  <c r="C196" i="12"/>
  <c r="D196" i="12"/>
  <c r="E196" i="12"/>
  <c r="F196" i="12"/>
  <c r="H196" i="12"/>
  <c r="L196" i="12"/>
  <c r="M196" i="12" s="1"/>
  <c r="G196" i="12"/>
  <c r="J196" i="12"/>
  <c r="K196" i="12" s="1"/>
  <c r="C195" i="12"/>
  <c r="D195" i="12"/>
  <c r="E195" i="12"/>
  <c r="F195" i="12"/>
  <c r="G195" i="12"/>
  <c r="H195" i="12"/>
  <c r="J195" i="12"/>
  <c r="K195" i="12" s="1"/>
  <c r="L195" i="12"/>
  <c r="M195" i="12" s="1"/>
  <c r="D194" i="12"/>
  <c r="E194" i="12"/>
  <c r="F194" i="12"/>
  <c r="G194" i="12"/>
  <c r="H194" i="12"/>
  <c r="L194" i="12"/>
  <c r="M194" i="12" s="1"/>
  <c r="C194" i="12"/>
  <c r="J194" i="12"/>
  <c r="K194" i="12" s="1"/>
  <c r="F193" i="12"/>
  <c r="E193" i="12"/>
  <c r="D193" i="12"/>
  <c r="C193" i="12"/>
  <c r="G193" i="12"/>
  <c r="H193" i="12"/>
  <c r="J193" i="12"/>
  <c r="K193" i="12" s="1"/>
  <c r="L193" i="12"/>
  <c r="M193" i="12" s="1"/>
  <c r="J192" i="12"/>
  <c r="K192" i="12" s="1"/>
  <c r="G192" i="12"/>
  <c r="L192" i="12"/>
  <c r="M192" i="12" s="1"/>
  <c r="H192" i="12"/>
  <c r="F192" i="12"/>
  <c r="E192" i="12"/>
  <c r="D192" i="12"/>
  <c r="C192" i="12"/>
  <c r="L191" i="12"/>
  <c r="M191" i="12" s="1"/>
  <c r="H191" i="12"/>
  <c r="C191" i="12"/>
  <c r="D191" i="12"/>
  <c r="E191" i="12"/>
  <c r="F191" i="12"/>
  <c r="G191" i="12"/>
  <c r="J191" i="12"/>
  <c r="K191" i="12" s="1"/>
  <c r="L190" i="12"/>
  <c r="M190" i="12" s="1"/>
  <c r="J190" i="12"/>
  <c r="K190" i="12" s="1"/>
  <c r="G190" i="12"/>
  <c r="F190" i="12"/>
  <c r="E190" i="12"/>
  <c r="D190" i="12"/>
  <c r="C190" i="12"/>
  <c r="H190" i="12"/>
  <c r="C189" i="12"/>
  <c r="D189" i="12"/>
  <c r="L189" i="12"/>
  <c r="M189" i="12" s="1"/>
  <c r="E189" i="12"/>
  <c r="J189" i="12"/>
  <c r="K189" i="12" s="1"/>
  <c r="F189" i="12"/>
  <c r="G189" i="12"/>
  <c r="H189" i="12"/>
  <c r="F188" i="12"/>
  <c r="L188" i="12"/>
  <c r="M188" i="12" s="1"/>
  <c r="J188" i="12"/>
  <c r="K188" i="12" s="1"/>
  <c r="H188" i="12"/>
  <c r="G188" i="12"/>
  <c r="E188" i="12"/>
  <c r="D188" i="12"/>
  <c r="C188" i="12"/>
  <c r="C187" i="12"/>
  <c r="J187" i="12"/>
  <c r="K187" i="12" s="1"/>
  <c r="D187" i="12"/>
  <c r="E187" i="12"/>
  <c r="F187" i="12"/>
  <c r="G187" i="12"/>
  <c r="H187" i="12"/>
  <c r="L187" i="12"/>
  <c r="M187" i="12" s="1"/>
  <c r="E186" i="12"/>
  <c r="J186" i="12"/>
  <c r="K186" i="12" s="1"/>
  <c r="F186" i="12"/>
  <c r="C186" i="12"/>
  <c r="G186" i="12"/>
  <c r="H186" i="12"/>
  <c r="D186" i="12"/>
  <c r="L186" i="12"/>
  <c r="M186" i="12" s="1"/>
  <c r="L185" i="12"/>
  <c r="M185" i="12" s="1"/>
  <c r="J185" i="12"/>
  <c r="K185" i="12" s="1"/>
  <c r="H185" i="12"/>
  <c r="F185" i="12"/>
  <c r="E185" i="12"/>
  <c r="D185" i="12"/>
  <c r="C185" i="12"/>
  <c r="G185" i="12"/>
  <c r="L184" i="12"/>
  <c r="M184" i="12" s="1"/>
  <c r="J184" i="12"/>
  <c r="K184" i="12" s="1"/>
  <c r="H184" i="12"/>
  <c r="G184" i="12"/>
  <c r="F184" i="12"/>
  <c r="E184" i="12"/>
  <c r="D184" i="12"/>
  <c r="C184" i="12"/>
  <c r="L183" i="12"/>
  <c r="M183" i="12" s="1"/>
  <c r="J183" i="12"/>
  <c r="K183" i="12" s="1"/>
  <c r="H183" i="12"/>
  <c r="G183" i="12"/>
  <c r="F183" i="12"/>
  <c r="E183" i="12"/>
  <c r="D183" i="12"/>
  <c r="C183" i="12"/>
  <c r="L182" i="12"/>
  <c r="M182" i="12" s="1"/>
  <c r="J182" i="12"/>
  <c r="K182" i="12" s="1"/>
  <c r="H182" i="12"/>
  <c r="G182" i="12"/>
  <c r="F182" i="12"/>
  <c r="E182" i="12"/>
  <c r="D182" i="12"/>
  <c r="C182" i="12"/>
  <c r="L181" i="12"/>
  <c r="M181" i="12" s="1"/>
  <c r="J181" i="12"/>
  <c r="K181" i="12" s="1"/>
  <c r="H181" i="12"/>
  <c r="G181" i="12"/>
  <c r="F181" i="12"/>
  <c r="E181" i="12"/>
  <c r="D181" i="12"/>
  <c r="C181" i="12"/>
  <c r="L180" i="12"/>
  <c r="M180" i="12" s="1"/>
  <c r="J180" i="12"/>
  <c r="K180" i="12" s="1"/>
  <c r="H180" i="12"/>
  <c r="G180" i="12"/>
  <c r="F180" i="12"/>
  <c r="E180" i="12"/>
  <c r="D180" i="12"/>
  <c r="C180" i="12"/>
  <c r="L179" i="12"/>
  <c r="M179" i="12" s="1"/>
  <c r="J179" i="12"/>
  <c r="K179" i="12" s="1"/>
  <c r="H179" i="12"/>
  <c r="G179" i="12"/>
  <c r="F179" i="12"/>
  <c r="E179" i="12"/>
  <c r="D179" i="12"/>
  <c r="C179" i="12"/>
  <c r="L178" i="12"/>
  <c r="M178" i="12" s="1"/>
  <c r="J178" i="12"/>
  <c r="K178" i="12" s="1"/>
  <c r="H178" i="12"/>
  <c r="G178" i="12"/>
  <c r="F178" i="12"/>
  <c r="E178" i="12"/>
  <c r="D178" i="12"/>
  <c r="C178" i="12"/>
  <c r="L177" i="12"/>
  <c r="M177" i="12" s="1"/>
  <c r="J177" i="12"/>
  <c r="K177" i="12" s="1"/>
  <c r="H177" i="12"/>
  <c r="G177" i="12"/>
  <c r="F177" i="12"/>
  <c r="E177" i="12"/>
  <c r="D177" i="12"/>
  <c r="C177" i="12"/>
  <c r="L176" i="12"/>
  <c r="M176" i="12" s="1"/>
  <c r="J176" i="12"/>
  <c r="K176" i="12" s="1"/>
  <c r="H176" i="12"/>
  <c r="G176" i="12"/>
  <c r="F176" i="12"/>
  <c r="E176" i="12"/>
  <c r="D176" i="12"/>
  <c r="C176" i="12"/>
  <c r="L175" i="12"/>
  <c r="M175" i="12" s="1"/>
  <c r="J175" i="12"/>
  <c r="K175" i="12" s="1"/>
  <c r="H175" i="12"/>
  <c r="G175" i="12"/>
  <c r="F175" i="12"/>
  <c r="E175" i="12"/>
  <c r="D175" i="12"/>
  <c r="C175" i="12"/>
  <c r="L174" i="12"/>
  <c r="M174" i="12" s="1"/>
  <c r="J174" i="12"/>
  <c r="K174" i="12" s="1"/>
  <c r="H174" i="12"/>
  <c r="G174" i="12"/>
  <c r="F174" i="12"/>
  <c r="E174" i="12"/>
  <c r="D174" i="12"/>
  <c r="C174" i="12"/>
  <c r="L173" i="12"/>
  <c r="M173" i="12" s="1"/>
  <c r="J173" i="12"/>
  <c r="K173" i="12" s="1"/>
  <c r="H173" i="12"/>
  <c r="G173" i="12"/>
  <c r="F173" i="12"/>
  <c r="E173" i="12"/>
  <c r="D173" i="12"/>
  <c r="C173" i="12"/>
  <c r="L172" i="12"/>
  <c r="M172" i="12" s="1"/>
  <c r="J172" i="12"/>
  <c r="K172" i="12" s="1"/>
  <c r="H172" i="12"/>
  <c r="G172" i="12"/>
  <c r="F172" i="12"/>
  <c r="E172" i="12"/>
  <c r="D172" i="12"/>
  <c r="C172" i="12"/>
  <c r="L171" i="12"/>
  <c r="M171" i="12" s="1"/>
  <c r="J171" i="12"/>
  <c r="K171" i="12" s="1"/>
  <c r="H171" i="12"/>
  <c r="G171" i="12"/>
  <c r="F171" i="12"/>
  <c r="E171" i="12"/>
  <c r="D171" i="12"/>
  <c r="C171" i="12"/>
  <c r="L170" i="12"/>
  <c r="M170" i="12" s="1"/>
  <c r="J170" i="12"/>
  <c r="K170" i="12" s="1"/>
  <c r="H170" i="12"/>
  <c r="G170" i="12"/>
  <c r="F170" i="12"/>
  <c r="E170" i="12"/>
  <c r="D170" i="12"/>
  <c r="C170" i="12"/>
  <c r="L169" i="12"/>
  <c r="M169" i="12" s="1"/>
  <c r="J169" i="12"/>
  <c r="K169" i="12" s="1"/>
  <c r="H169" i="12"/>
  <c r="G169" i="12"/>
  <c r="F169" i="12"/>
  <c r="E169" i="12"/>
  <c r="D169" i="12"/>
  <c r="C169" i="12"/>
  <c r="L168" i="12"/>
  <c r="M168" i="12" s="1"/>
  <c r="J168" i="12"/>
  <c r="K168" i="12" s="1"/>
  <c r="H168" i="12"/>
  <c r="G168" i="12"/>
  <c r="F168" i="12"/>
  <c r="E168" i="12"/>
  <c r="D168" i="12"/>
  <c r="C168" i="12"/>
  <c r="L167" i="12"/>
  <c r="M167" i="12" s="1"/>
  <c r="J167" i="12"/>
  <c r="K167" i="12" s="1"/>
  <c r="H167" i="12"/>
  <c r="G167" i="12"/>
  <c r="F167" i="12"/>
  <c r="E167" i="12"/>
  <c r="D167" i="12"/>
  <c r="C167" i="12"/>
  <c r="L166" i="12"/>
  <c r="M166" i="12" s="1"/>
  <c r="J166" i="12"/>
  <c r="K166" i="12" s="1"/>
  <c r="H166" i="12"/>
  <c r="G166" i="12"/>
  <c r="F166" i="12"/>
  <c r="E166" i="12"/>
  <c r="D166" i="12"/>
  <c r="C166" i="12"/>
  <c r="L165" i="12"/>
  <c r="M165" i="12" s="1"/>
  <c r="J165" i="12"/>
  <c r="K165" i="12" s="1"/>
  <c r="H165" i="12"/>
  <c r="G165" i="12"/>
  <c r="F165" i="12"/>
  <c r="E165" i="12"/>
  <c r="D165" i="12"/>
  <c r="C165" i="12"/>
  <c r="L164" i="12"/>
  <c r="M164" i="12" s="1"/>
  <c r="J164" i="12"/>
  <c r="K164" i="12" s="1"/>
  <c r="H164" i="12"/>
  <c r="G164" i="12"/>
  <c r="F164" i="12"/>
  <c r="E164" i="12"/>
  <c r="D164" i="12"/>
  <c r="C164" i="12"/>
  <c r="L163" i="12"/>
  <c r="M163" i="12" s="1"/>
  <c r="J163" i="12"/>
  <c r="K163" i="12" s="1"/>
  <c r="H163" i="12"/>
  <c r="G163" i="12"/>
  <c r="F163" i="12"/>
  <c r="E163" i="12"/>
  <c r="D163" i="12"/>
  <c r="C163" i="12"/>
  <c r="L162" i="12"/>
  <c r="M162" i="12" s="1"/>
  <c r="J162" i="12"/>
  <c r="K162" i="12" s="1"/>
  <c r="H162" i="12"/>
  <c r="G162" i="12"/>
  <c r="F162" i="12"/>
  <c r="E162" i="12"/>
  <c r="D162" i="12"/>
  <c r="C162" i="12"/>
  <c r="L160" i="12"/>
  <c r="M160" i="12" s="1"/>
  <c r="J160" i="12"/>
  <c r="K160" i="12" s="1"/>
  <c r="H160" i="12"/>
  <c r="G160" i="12"/>
  <c r="F160" i="12"/>
  <c r="E160" i="12"/>
  <c r="D160" i="12"/>
  <c r="C160" i="12"/>
  <c r="L159" i="12"/>
  <c r="M159" i="12" s="1"/>
  <c r="J159" i="12"/>
  <c r="K159" i="12" s="1"/>
  <c r="H159" i="12"/>
  <c r="G159" i="12"/>
  <c r="F159" i="12"/>
  <c r="E159" i="12"/>
  <c r="D159" i="12"/>
  <c r="C159" i="12"/>
  <c r="L158" i="12"/>
  <c r="M158" i="12" s="1"/>
  <c r="J158" i="12"/>
  <c r="K158" i="12" s="1"/>
  <c r="H158" i="12"/>
  <c r="G158" i="12"/>
  <c r="F158" i="12"/>
  <c r="E158" i="12"/>
  <c r="D158" i="12"/>
  <c r="C158" i="12"/>
  <c r="L157" i="12"/>
  <c r="M157" i="12" s="1"/>
  <c r="J157" i="12"/>
  <c r="K157" i="12" s="1"/>
  <c r="H157" i="12"/>
  <c r="G157" i="12"/>
  <c r="F157" i="12"/>
  <c r="E157" i="12"/>
  <c r="D157" i="12"/>
  <c r="C157" i="12"/>
  <c r="L156" i="12"/>
  <c r="M156" i="12" s="1"/>
  <c r="J156" i="12"/>
  <c r="K156" i="12" s="1"/>
  <c r="H156" i="12"/>
  <c r="G156" i="12"/>
  <c r="F156" i="12"/>
  <c r="E156" i="12"/>
  <c r="D156" i="12"/>
  <c r="C156" i="12"/>
  <c r="F155" i="12"/>
  <c r="C155" i="12"/>
  <c r="D155" i="12"/>
  <c r="E155" i="12"/>
  <c r="L155" i="12"/>
  <c r="M155" i="12" s="1"/>
  <c r="J155" i="12"/>
  <c r="K155" i="12" s="1"/>
  <c r="H155" i="12"/>
  <c r="G155" i="12"/>
  <c r="G154" i="12"/>
  <c r="H154" i="12"/>
  <c r="J154" i="12"/>
  <c r="K154" i="12" s="1"/>
  <c r="L154" i="12"/>
  <c r="M154" i="12" s="1"/>
  <c r="F154" i="12"/>
  <c r="E154" i="12"/>
  <c r="D154" i="12"/>
  <c r="C154" i="12"/>
  <c r="C153" i="12"/>
  <c r="L153" i="12"/>
  <c r="M153" i="12" s="1"/>
  <c r="J153" i="12"/>
  <c r="K153" i="12" s="1"/>
  <c r="H153" i="12"/>
  <c r="G153" i="12"/>
  <c r="F153" i="12"/>
  <c r="E153" i="12"/>
  <c r="D153" i="12"/>
  <c r="G152" i="12"/>
  <c r="H152" i="12"/>
  <c r="J152" i="12"/>
  <c r="K152" i="12" s="1"/>
  <c r="C152" i="12"/>
  <c r="D152" i="12"/>
  <c r="E152" i="12"/>
  <c r="F152" i="12"/>
  <c r="L152" i="12"/>
  <c r="M152" i="12" s="1"/>
  <c r="L151" i="12"/>
  <c r="M151" i="12" s="1"/>
  <c r="J151" i="12"/>
  <c r="K151" i="12" s="1"/>
  <c r="H151" i="12"/>
  <c r="G151" i="12"/>
  <c r="F151" i="12"/>
  <c r="E151" i="12"/>
  <c r="D151" i="12"/>
  <c r="C151" i="12"/>
  <c r="F150" i="12"/>
  <c r="L150" i="12"/>
  <c r="M150" i="12" s="1"/>
  <c r="J150" i="12"/>
  <c r="K150" i="12" s="1"/>
  <c r="H150" i="12"/>
  <c r="G150" i="12"/>
  <c r="C150" i="12"/>
  <c r="E150" i="12"/>
  <c r="D150" i="12"/>
  <c r="L149" i="12"/>
  <c r="M149" i="12" s="1"/>
  <c r="J149" i="12"/>
  <c r="K149" i="12" s="1"/>
  <c r="H149" i="12"/>
  <c r="F149" i="12"/>
  <c r="E149" i="12"/>
  <c r="D149" i="12"/>
  <c r="G149" i="12"/>
  <c r="C149" i="12"/>
  <c r="J148" i="12"/>
  <c r="K148" i="12" s="1"/>
  <c r="L148" i="12"/>
  <c r="M148" i="12" s="1"/>
  <c r="H148" i="12"/>
  <c r="G148" i="12"/>
  <c r="F148" i="12"/>
  <c r="E148" i="12"/>
  <c r="D148" i="12"/>
  <c r="C148" i="12"/>
  <c r="L147" i="12"/>
  <c r="M147" i="12" s="1"/>
  <c r="J147" i="12"/>
  <c r="K147" i="12" s="1"/>
  <c r="H147" i="12"/>
  <c r="G147" i="12"/>
  <c r="F147" i="12"/>
  <c r="E147" i="12"/>
  <c r="D147" i="12"/>
  <c r="C147" i="12"/>
  <c r="J146" i="12"/>
  <c r="K146" i="12" s="1"/>
  <c r="H146" i="12"/>
  <c r="G146" i="12"/>
  <c r="F146" i="12"/>
  <c r="E146" i="12"/>
  <c r="D146" i="12"/>
  <c r="C146" i="12"/>
  <c r="L146" i="12"/>
  <c r="M146" i="12" s="1"/>
  <c r="J145" i="12"/>
  <c r="K145" i="12" s="1"/>
  <c r="H145" i="12"/>
  <c r="G145" i="12"/>
  <c r="F145" i="12"/>
  <c r="E145" i="12"/>
  <c r="D145" i="12"/>
  <c r="C145" i="12"/>
  <c r="L145" i="12"/>
  <c r="M145" i="12" s="1"/>
  <c r="E144" i="12"/>
  <c r="L144" i="12"/>
  <c r="M144" i="12" s="1"/>
  <c r="J144" i="12"/>
  <c r="K144" i="12" s="1"/>
  <c r="H144" i="12"/>
  <c r="G144" i="12"/>
  <c r="F144" i="12"/>
  <c r="D144" i="12"/>
  <c r="C144" i="12"/>
  <c r="L143" i="12"/>
  <c r="M143" i="12" s="1"/>
  <c r="J143" i="12"/>
  <c r="K143" i="12" s="1"/>
  <c r="H143" i="12"/>
  <c r="G143" i="12"/>
  <c r="F143" i="12"/>
  <c r="E143" i="12"/>
  <c r="D143" i="12"/>
  <c r="C143" i="12"/>
  <c r="C142" i="12"/>
  <c r="D142" i="12"/>
  <c r="E142" i="12"/>
  <c r="F142" i="12"/>
  <c r="G142" i="12"/>
  <c r="J142" i="12"/>
  <c r="K142" i="12" s="1"/>
  <c r="H142" i="12"/>
  <c r="L142" i="12"/>
  <c r="M142" i="12" s="1"/>
  <c r="L141" i="12"/>
  <c r="M141" i="12" s="1"/>
  <c r="J141" i="12"/>
  <c r="K141" i="12" s="1"/>
  <c r="H141" i="12"/>
  <c r="G141" i="12"/>
  <c r="F141" i="12"/>
  <c r="E141" i="12"/>
  <c r="D141" i="12"/>
  <c r="C141" i="12"/>
  <c r="H140" i="12"/>
  <c r="L140" i="12"/>
  <c r="M140" i="12" s="1"/>
  <c r="J140" i="12"/>
  <c r="K140" i="12" s="1"/>
  <c r="G140" i="12"/>
  <c r="F140" i="12"/>
  <c r="E140" i="12"/>
  <c r="D140" i="12"/>
  <c r="C140" i="12"/>
  <c r="E139" i="12"/>
  <c r="H139" i="12"/>
  <c r="F139" i="12"/>
  <c r="G139" i="12"/>
  <c r="J139" i="12"/>
  <c r="K139" i="12" s="1"/>
  <c r="C139" i="12"/>
  <c r="D139" i="12"/>
  <c r="L139" i="12"/>
  <c r="M139" i="12" s="1"/>
  <c r="D138" i="12"/>
  <c r="C138" i="12"/>
  <c r="E138" i="12"/>
  <c r="F138" i="12"/>
  <c r="G138" i="12"/>
  <c r="H138" i="12"/>
  <c r="J138" i="12"/>
  <c r="K138" i="12" s="1"/>
  <c r="L138" i="12"/>
  <c r="M138" i="12" s="1"/>
  <c r="C137" i="12"/>
  <c r="D137" i="12"/>
  <c r="L137" i="12"/>
  <c r="M137" i="12" s="1"/>
  <c r="J137" i="12"/>
  <c r="K137" i="12" s="1"/>
  <c r="H137" i="12"/>
  <c r="G137" i="12"/>
  <c r="F137" i="12"/>
  <c r="E137" i="12"/>
  <c r="F136" i="12"/>
  <c r="E136" i="12"/>
  <c r="D136" i="12"/>
  <c r="C136" i="12"/>
  <c r="L136" i="12"/>
  <c r="M136" i="12" s="1"/>
  <c r="J136" i="12"/>
  <c r="K136" i="12" s="1"/>
  <c r="H136" i="12"/>
  <c r="G136" i="12"/>
  <c r="L135" i="12"/>
  <c r="M135" i="12" s="1"/>
  <c r="J135" i="12"/>
  <c r="K135" i="12" s="1"/>
  <c r="H135" i="12"/>
  <c r="G135" i="12"/>
  <c r="E135" i="12"/>
  <c r="D135" i="12"/>
  <c r="C135" i="12"/>
  <c r="F135" i="12"/>
  <c r="F134" i="12"/>
  <c r="E134" i="12"/>
  <c r="D134" i="12"/>
  <c r="C134" i="12"/>
  <c r="L134" i="12"/>
  <c r="M134" i="12" s="1"/>
  <c r="J134" i="12"/>
  <c r="K134" i="12" s="1"/>
  <c r="H134" i="12"/>
  <c r="G134" i="12"/>
  <c r="L133" i="12"/>
  <c r="M133" i="12" s="1"/>
  <c r="J133" i="12"/>
  <c r="K133" i="12" s="1"/>
  <c r="G133" i="12"/>
  <c r="F133" i="12"/>
  <c r="E133" i="12"/>
  <c r="D133" i="12"/>
  <c r="C133" i="12"/>
  <c r="H133" i="12"/>
  <c r="L132" i="12"/>
  <c r="M132" i="12" s="1"/>
  <c r="J132" i="12"/>
  <c r="K132" i="12" s="1"/>
  <c r="H132" i="12"/>
  <c r="G132" i="12"/>
  <c r="F132" i="12"/>
  <c r="E132" i="12"/>
  <c r="D132" i="12"/>
  <c r="C132" i="12"/>
  <c r="L131" i="12"/>
  <c r="M131" i="12" s="1"/>
  <c r="J131" i="12"/>
  <c r="K131" i="12" s="1"/>
  <c r="H131" i="12"/>
  <c r="G131" i="12"/>
  <c r="F131" i="12"/>
  <c r="E131" i="12"/>
  <c r="D131" i="12"/>
  <c r="C131" i="12"/>
  <c r="L130" i="12"/>
  <c r="M130" i="12" s="1"/>
  <c r="J130" i="12"/>
  <c r="K130" i="12" s="1"/>
  <c r="H130" i="12"/>
  <c r="G130" i="12"/>
  <c r="F130" i="12"/>
  <c r="E130" i="12"/>
  <c r="D130" i="12"/>
  <c r="C130" i="12"/>
  <c r="D129" i="12"/>
  <c r="C129" i="12"/>
  <c r="H129" i="12"/>
  <c r="J129" i="12"/>
  <c r="K129" i="12" s="1"/>
  <c r="L129" i="12"/>
  <c r="M129" i="12" s="1"/>
  <c r="G129" i="12"/>
  <c r="F129" i="12"/>
  <c r="E129" i="12"/>
  <c r="F128" i="12"/>
  <c r="E128" i="12"/>
  <c r="D128" i="12"/>
  <c r="C128" i="12"/>
  <c r="J128" i="12"/>
  <c r="K128" i="12" s="1"/>
  <c r="H128" i="12"/>
  <c r="L128" i="12"/>
  <c r="M128" i="12" s="1"/>
  <c r="G128" i="12"/>
  <c r="C127" i="12"/>
  <c r="D127" i="12"/>
  <c r="E127" i="12"/>
  <c r="F127" i="12"/>
  <c r="G127" i="12"/>
  <c r="H127" i="12"/>
  <c r="J127" i="12"/>
  <c r="K127" i="12" s="1"/>
  <c r="L127" i="12"/>
  <c r="M127" i="12" s="1"/>
  <c r="D126" i="12"/>
  <c r="E126" i="12"/>
  <c r="F126" i="12"/>
  <c r="G126" i="12"/>
  <c r="H126" i="12"/>
  <c r="J126" i="12"/>
  <c r="K126" i="12" s="1"/>
  <c r="L126" i="12"/>
  <c r="M126" i="12" s="1"/>
  <c r="C126" i="12"/>
  <c r="G125" i="12"/>
  <c r="F125" i="12"/>
  <c r="E125" i="12"/>
  <c r="L125" i="12"/>
  <c r="M125" i="12" s="1"/>
  <c r="C125" i="12"/>
  <c r="J125" i="12"/>
  <c r="K125" i="12" s="1"/>
  <c r="H125" i="12"/>
  <c r="D125" i="12"/>
  <c r="L124" i="12"/>
  <c r="M124" i="12" s="1"/>
  <c r="J124" i="12"/>
  <c r="K124" i="12" s="1"/>
  <c r="H124" i="12"/>
  <c r="G124" i="12"/>
  <c r="F124" i="12"/>
  <c r="E124" i="12"/>
  <c r="D124" i="12"/>
  <c r="C124" i="12"/>
  <c r="J123" i="12"/>
  <c r="K123" i="12" s="1"/>
  <c r="H123" i="12"/>
  <c r="G123" i="12"/>
  <c r="F123" i="12"/>
  <c r="E123" i="12"/>
  <c r="D123" i="12"/>
  <c r="C123" i="12"/>
  <c r="L123" i="12"/>
  <c r="M123" i="12" s="1"/>
  <c r="F122" i="12"/>
  <c r="J122" i="12"/>
  <c r="K122" i="12" s="1"/>
  <c r="H122" i="12"/>
  <c r="G122" i="12"/>
  <c r="C122" i="12"/>
  <c r="E122" i="12"/>
  <c r="D122" i="12"/>
  <c r="L122" i="12"/>
  <c r="M122" i="12" s="1"/>
  <c r="L121" i="12"/>
  <c r="M121" i="12" s="1"/>
  <c r="J121" i="12"/>
  <c r="K121" i="12" s="1"/>
  <c r="H121" i="12"/>
  <c r="G121" i="12"/>
  <c r="F121" i="12"/>
  <c r="E121" i="12"/>
  <c r="D121" i="12"/>
  <c r="C121" i="12"/>
  <c r="H120" i="12"/>
  <c r="G120" i="12"/>
  <c r="F120" i="12"/>
  <c r="E120" i="12"/>
  <c r="D120" i="12"/>
  <c r="C120" i="12"/>
  <c r="J120" i="12"/>
  <c r="K120" i="12" s="1"/>
  <c r="L120" i="12"/>
  <c r="M120" i="12" s="1"/>
  <c r="L119" i="12"/>
  <c r="M119" i="12" s="1"/>
  <c r="J119" i="12"/>
  <c r="K119" i="12" s="1"/>
  <c r="G119" i="12"/>
  <c r="F119" i="12"/>
  <c r="E119" i="12"/>
  <c r="D119" i="12"/>
  <c r="H119" i="12"/>
  <c r="C119" i="12"/>
  <c r="L118" i="12"/>
  <c r="M118" i="12" s="1"/>
  <c r="J118" i="12"/>
  <c r="K118" i="12" s="1"/>
  <c r="H118" i="12"/>
  <c r="G118" i="12"/>
  <c r="F118" i="12"/>
  <c r="E118" i="12"/>
  <c r="D118" i="12"/>
  <c r="C118" i="12"/>
  <c r="C117" i="12"/>
  <c r="L117" i="12"/>
  <c r="M117" i="12" s="1"/>
  <c r="J117" i="12"/>
  <c r="K117" i="12" s="1"/>
  <c r="H117" i="12"/>
  <c r="G117" i="12"/>
  <c r="F117" i="12"/>
  <c r="E117" i="12"/>
  <c r="D117" i="12"/>
  <c r="C116" i="12"/>
  <c r="L116" i="12"/>
  <c r="M116" i="12" s="1"/>
  <c r="J116" i="12"/>
  <c r="K116" i="12" s="1"/>
  <c r="H116" i="12"/>
  <c r="G116" i="12"/>
  <c r="F116" i="12"/>
  <c r="E116" i="12"/>
  <c r="D116" i="12"/>
  <c r="L115" i="12"/>
  <c r="M115" i="12" s="1"/>
  <c r="J115" i="12"/>
  <c r="K115" i="12" s="1"/>
  <c r="H115" i="12"/>
  <c r="G115" i="12"/>
  <c r="F115" i="12"/>
  <c r="E115" i="12"/>
  <c r="D115" i="12"/>
  <c r="C115" i="12"/>
  <c r="L114" i="12"/>
  <c r="M114" i="12" s="1"/>
  <c r="J114" i="12"/>
  <c r="K114" i="12" s="1"/>
  <c r="H114" i="12"/>
  <c r="G114" i="12"/>
  <c r="F114" i="12"/>
  <c r="E114" i="12"/>
  <c r="D114" i="12"/>
  <c r="C114" i="12"/>
  <c r="E113" i="12"/>
  <c r="F113" i="12"/>
  <c r="D113" i="12"/>
  <c r="C113" i="12"/>
  <c r="H113" i="12"/>
  <c r="J113" i="12"/>
  <c r="K113" i="12" s="1"/>
  <c r="L113" i="12"/>
  <c r="M113" i="12" s="1"/>
  <c r="G113" i="12"/>
  <c r="L112" i="12"/>
  <c r="M112" i="12" s="1"/>
  <c r="F112" i="12"/>
  <c r="E112" i="12"/>
  <c r="D112" i="12"/>
  <c r="C112" i="12"/>
  <c r="J112" i="12"/>
  <c r="K112" i="12" s="1"/>
  <c r="G112" i="12"/>
  <c r="H112" i="12"/>
  <c r="L111" i="12"/>
  <c r="M111" i="12" s="1"/>
  <c r="J111" i="12"/>
  <c r="K111" i="12" s="1"/>
  <c r="H111" i="12"/>
  <c r="G111" i="12"/>
  <c r="F111" i="12"/>
  <c r="E111" i="12"/>
  <c r="D111" i="12"/>
  <c r="C111" i="12"/>
  <c r="J110" i="12"/>
  <c r="K110" i="12" s="1"/>
  <c r="H110" i="12"/>
  <c r="G110" i="12"/>
  <c r="F110" i="12"/>
  <c r="E110" i="12"/>
  <c r="D110" i="12"/>
  <c r="C110" i="12"/>
  <c r="L110" i="12"/>
  <c r="M110" i="12" s="1"/>
  <c r="H109" i="12"/>
  <c r="G109" i="12"/>
  <c r="F109" i="12"/>
  <c r="E109" i="12"/>
  <c r="D109" i="12"/>
  <c r="C109" i="12"/>
  <c r="J109" i="12"/>
  <c r="K109" i="12" s="1"/>
  <c r="L109" i="12"/>
  <c r="M109" i="12" s="1"/>
  <c r="L108" i="12"/>
  <c r="M108" i="12" s="1"/>
  <c r="J108" i="12"/>
  <c r="K108" i="12" s="1"/>
  <c r="E108" i="12"/>
  <c r="H108" i="12"/>
  <c r="G108" i="12"/>
  <c r="F108" i="12"/>
  <c r="D108" i="12"/>
  <c r="C108" i="12"/>
  <c r="H107" i="12"/>
  <c r="J107" i="12"/>
  <c r="K107" i="12" s="1"/>
  <c r="G107" i="12"/>
  <c r="F107" i="12"/>
  <c r="E107" i="12"/>
  <c r="D107" i="12"/>
  <c r="C107" i="12"/>
  <c r="L107" i="12"/>
  <c r="M107" i="12" s="1"/>
  <c r="J106" i="12"/>
  <c r="K106" i="12" s="1"/>
  <c r="H106" i="12"/>
  <c r="F106" i="12"/>
  <c r="E106" i="12"/>
  <c r="D106" i="12"/>
  <c r="C106" i="12"/>
  <c r="G106" i="12"/>
  <c r="L106" i="12"/>
  <c r="M106" i="12" s="1"/>
  <c r="L105" i="12"/>
  <c r="M105" i="12" s="1"/>
  <c r="J105" i="12"/>
  <c r="K105" i="12" s="1"/>
  <c r="H105" i="12"/>
  <c r="F105" i="12"/>
  <c r="E105" i="12"/>
  <c r="C105" i="12"/>
  <c r="G105" i="12"/>
  <c r="D105" i="12"/>
  <c r="L104" i="12"/>
  <c r="M104" i="12" s="1"/>
  <c r="J104" i="12"/>
  <c r="K104" i="12" s="1"/>
  <c r="H104" i="12"/>
  <c r="G104" i="12"/>
  <c r="F104" i="12"/>
  <c r="E104" i="12"/>
  <c r="D104" i="12"/>
  <c r="C104" i="12"/>
  <c r="L103" i="12"/>
  <c r="M103" i="12" s="1"/>
  <c r="J103" i="12"/>
  <c r="K103" i="12" s="1"/>
  <c r="H103" i="12"/>
  <c r="G103" i="12"/>
  <c r="F103" i="12"/>
  <c r="E103" i="12"/>
  <c r="D103" i="12"/>
  <c r="C103" i="12"/>
  <c r="E102" i="12"/>
  <c r="F102" i="12"/>
  <c r="G102" i="12"/>
  <c r="H102" i="12"/>
  <c r="J102" i="12"/>
  <c r="K102" i="12" s="1"/>
  <c r="L102" i="12"/>
  <c r="M102" i="12" s="1"/>
  <c r="C102" i="12"/>
  <c r="D102" i="12"/>
  <c r="G101" i="12"/>
  <c r="F101" i="12"/>
  <c r="E101" i="12"/>
  <c r="D101" i="12"/>
  <c r="C101" i="12"/>
  <c r="H101" i="12"/>
  <c r="J101" i="12"/>
  <c r="K101" i="12" s="1"/>
  <c r="L101" i="12"/>
  <c r="M101" i="12" s="1"/>
  <c r="L100" i="12"/>
  <c r="M100" i="12" s="1"/>
  <c r="J100" i="12"/>
  <c r="K100" i="12" s="1"/>
  <c r="H100" i="12"/>
  <c r="G100" i="12"/>
  <c r="F100" i="12"/>
  <c r="E100" i="12"/>
  <c r="C100" i="12"/>
  <c r="D100" i="12"/>
  <c r="L99" i="12"/>
  <c r="M99" i="12" s="1"/>
  <c r="J99" i="12"/>
  <c r="K99" i="12" s="1"/>
  <c r="H99" i="12"/>
  <c r="G99" i="12"/>
  <c r="F99" i="12"/>
  <c r="E99" i="12"/>
  <c r="D99" i="12"/>
  <c r="C99" i="12"/>
  <c r="G98" i="12"/>
  <c r="F98" i="12"/>
  <c r="E98" i="12"/>
  <c r="D98" i="12"/>
  <c r="C98" i="12"/>
  <c r="L98" i="12"/>
  <c r="M98" i="12" s="1"/>
  <c r="J98" i="12"/>
  <c r="K98" i="12" s="1"/>
  <c r="H98" i="12"/>
  <c r="G97" i="12"/>
  <c r="J97" i="12"/>
  <c r="K97" i="12" s="1"/>
  <c r="E97" i="12"/>
  <c r="D97" i="12"/>
  <c r="H97" i="12"/>
  <c r="F97" i="12"/>
  <c r="L97" i="12"/>
  <c r="M97" i="12" s="1"/>
  <c r="C97" i="12"/>
  <c r="G95" i="12"/>
  <c r="F95" i="12"/>
  <c r="E95" i="12"/>
  <c r="D95" i="12"/>
  <c r="C95" i="12"/>
  <c r="L95" i="12"/>
  <c r="M95" i="12" s="1"/>
  <c r="J95" i="12"/>
  <c r="K95" i="12" s="1"/>
  <c r="H95" i="12"/>
  <c r="G94" i="12"/>
  <c r="F94" i="12"/>
  <c r="D94" i="12"/>
  <c r="C94" i="12"/>
  <c r="E94" i="12"/>
  <c r="L94" i="12"/>
  <c r="M94" i="12" s="1"/>
  <c r="J94" i="12"/>
  <c r="K94" i="12" s="1"/>
  <c r="H94" i="12"/>
  <c r="L93" i="12"/>
  <c r="M93" i="12" s="1"/>
  <c r="J93" i="12"/>
  <c r="K93" i="12" s="1"/>
  <c r="H93" i="12"/>
  <c r="G93" i="12"/>
  <c r="F93" i="12"/>
  <c r="E93" i="12"/>
  <c r="C93" i="12"/>
  <c r="D93" i="12"/>
  <c r="L92" i="12"/>
  <c r="M92" i="12" s="1"/>
  <c r="J92" i="12"/>
  <c r="K92" i="12" s="1"/>
  <c r="H92" i="12"/>
  <c r="G92" i="12"/>
  <c r="F92" i="12"/>
  <c r="E92" i="12"/>
  <c r="D92" i="12"/>
  <c r="C92" i="12"/>
  <c r="H91" i="12"/>
  <c r="J91" i="12"/>
  <c r="K91" i="12" s="1"/>
  <c r="C91" i="12"/>
  <c r="D91" i="12"/>
  <c r="E91" i="12"/>
  <c r="F91" i="12"/>
  <c r="G91" i="12"/>
  <c r="L91" i="12"/>
  <c r="M91" i="12" s="1"/>
  <c r="J90" i="12"/>
  <c r="K90" i="12" s="1"/>
  <c r="H90" i="12"/>
  <c r="G90" i="12"/>
  <c r="F90" i="12"/>
  <c r="E90" i="12"/>
  <c r="D90" i="12"/>
  <c r="C90" i="12"/>
  <c r="L90" i="12"/>
  <c r="M90" i="12" s="1"/>
  <c r="C89" i="12"/>
  <c r="D89" i="12"/>
  <c r="E89" i="12"/>
  <c r="F89" i="12"/>
  <c r="G89" i="12"/>
  <c r="H89" i="12"/>
  <c r="J89" i="12"/>
  <c r="K89" i="12" s="1"/>
  <c r="L89" i="12"/>
  <c r="M89" i="12" s="1"/>
  <c r="C88" i="12"/>
  <c r="E88" i="12"/>
  <c r="G88" i="12"/>
  <c r="H88" i="12"/>
  <c r="J88" i="12"/>
  <c r="K88" i="12" s="1"/>
  <c r="L88" i="12"/>
  <c r="M88" i="12" s="1"/>
  <c r="D88" i="12"/>
  <c r="F88" i="12"/>
  <c r="C87" i="12"/>
  <c r="L87" i="12"/>
  <c r="M87" i="12" s="1"/>
  <c r="J87" i="12"/>
  <c r="K87" i="12" s="1"/>
  <c r="H87" i="12"/>
  <c r="G87" i="12"/>
  <c r="F87" i="12"/>
  <c r="E87" i="12"/>
  <c r="D87" i="12"/>
  <c r="L86" i="12"/>
  <c r="M86" i="12" s="1"/>
  <c r="H86" i="12"/>
  <c r="G86" i="12"/>
  <c r="F86" i="12"/>
  <c r="E86" i="12"/>
  <c r="D86" i="12"/>
  <c r="C86" i="12"/>
  <c r="J86" i="12"/>
  <c r="K86" i="12" s="1"/>
  <c r="L85" i="12"/>
  <c r="M85" i="12" s="1"/>
  <c r="C85" i="12"/>
  <c r="D85" i="12"/>
  <c r="E85" i="12"/>
  <c r="F85" i="12"/>
  <c r="G85" i="12"/>
  <c r="H85" i="12"/>
  <c r="J85" i="12"/>
  <c r="K85" i="12" s="1"/>
  <c r="L84" i="12"/>
  <c r="M84" i="12" s="1"/>
  <c r="C84" i="12"/>
  <c r="J84" i="12"/>
  <c r="K84" i="12" s="1"/>
  <c r="D84" i="12"/>
  <c r="H84" i="12"/>
  <c r="G84" i="12"/>
  <c r="F84" i="12"/>
  <c r="E84" i="12"/>
  <c r="L83" i="12"/>
  <c r="M83" i="12" s="1"/>
  <c r="J83" i="12"/>
  <c r="K83" i="12" s="1"/>
  <c r="H83" i="12"/>
  <c r="G83" i="12"/>
  <c r="F83" i="12"/>
  <c r="D83" i="12"/>
  <c r="E83" i="12"/>
  <c r="C83" i="12"/>
  <c r="L82" i="12"/>
  <c r="M82" i="12" s="1"/>
  <c r="C82" i="12"/>
  <c r="D82" i="12"/>
  <c r="E82" i="12"/>
  <c r="F82" i="12"/>
  <c r="G82" i="12"/>
  <c r="H82" i="12"/>
  <c r="J82" i="12"/>
  <c r="K82" i="12" s="1"/>
  <c r="C81" i="12"/>
  <c r="D81" i="12"/>
  <c r="E81" i="12"/>
  <c r="F81" i="12"/>
  <c r="G81" i="12"/>
  <c r="H81" i="12"/>
  <c r="J81" i="12"/>
  <c r="K81" i="12" s="1"/>
  <c r="L81" i="12"/>
  <c r="M81" i="12" s="1"/>
  <c r="L80" i="12"/>
  <c r="M80" i="12" s="1"/>
  <c r="J80" i="12"/>
  <c r="K80" i="12" s="1"/>
  <c r="H80" i="12"/>
  <c r="F80" i="12"/>
  <c r="E80" i="12"/>
  <c r="D80" i="12"/>
  <c r="C80" i="12"/>
  <c r="G80" i="12"/>
  <c r="D79" i="12"/>
  <c r="E79" i="12"/>
  <c r="F79" i="12"/>
  <c r="G79" i="12"/>
  <c r="C79" i="12"/>
  <c r="L79" i="12"/>
  <c r="M79" i="12" s="1"/>
  <c r="H79" i="12"/>
  <c r="J79" i="12"/>
  <c r="K79" i="12" s="1"/>
  <c r="J78" i="12"/>
  <c r="K78" i="12" s="1"/>
  <c r="C78" i="12"/>
  <c r="E78" i="12"/>
  <c r="F78" i="12"/>
  <c r="G78" i="12"/>
  <c r="D78" i="12"/>
  <c r="H78" i="12"/>
  <c r="L78" i="12"/>
  <c r="M78" i="12" s="1"/>
  <c r="G77" i="12"/>
  <c r="H77" i="12"/>
  <c r="J77" i="12"/>
  <c r="K77" i="12" s="1"/>
  <c r="C77" i="12"/>
  <c r="L77" i="12"/>
  <c r="M77" i="12" s="1"/>
  <c r="D77" i="12"/>
  <c r="E77" i="12"/>
  <c r="F77" i="12"/>
  <c r="F76" i="12"/>
  <c r="J76" i="12"/>
  <c r="K76" i="12" s="1"/>
  <c r="L76" i="12"/>
  <c r="M76" i="12" s="1"/>
  <c r="G76" i="12"/>
  <c r="H76" i="12"/>
  <c r="E76" i="12"/>
  <c r="D76" i="12"/>
  <c r="C76" i="12"/>
  <c r="C75" i="12"/>
  <c r="J75" i="12"/>
  <c r="K75" i="12" s="1"/>
  <c r="H75" i="12"/>
  <c r="F75" i="12"/>
  <c r="E75" i="12"/>
  <c r="D75" i="12"/>
  <c r="G75" i="12"/>
  <c r="L75" i="12"/>
  <c r="M75" i="12" s="1"/>
  <c r="J74" i="12"/>
  <c r="K74" i="12" s="1"/>
  <c r="L74" i="12"/>
  <c r="M74" i="12" s="1"/>
  <c r="C74" i="12"/>
  <c r="D74" i="12"/>
  <c r="E74" i="12"/>
  <c r="F74" i="12"/>
  <c r="G74" i="12"/>
  <c r="H74" i="12"/>
  <c r="H73" i="12"/>
  <c r="C73" i="12"/>
  <c r="D73" i="12"/>
  <c r="E73" i="12"/>
  <c r="F73" i="12"/>
  <c r="G73" i="12"/>
  <c r="J73" i="12"/>
  <c r="K73" i="12" s="1"/>
  <c r="L73" i="12"/>
  <c r="M73" i="12" s="1"/>
  <c r="E72" i="12"/>
  <c r="F72" i="12"/>
  <c r="G72" i="12"/>
  <c r="H72" i="12"/>
  <c r="J72" i="12"/>
  <c r="K72" i="12" s="1"/>
  <c r="L72" i="12"/>
  <c r="M72" i="12" s="1"/>
  <c r="D72" i="12"/>
  <c r="C72" i="12"/>
  <c r="H71" i="12"/>
  <c r="C71" i="12"/>
  <c r="L71" i="12"/>
  <c r="M71" i="12" s="1"/>
  <c r="J71" i="12"/>
  <c r="K71" i="12" s="1"/>
  <c r="D71" i="12"/>
  <c r="G71" i="12"/>
  <c r="F71" i="12"/>
  <c r="E71" i="12"/>
  <c r="H70" i="12"/>
  <c r="L70" i="12"/>
  <c r="M70" i="12" s="1"/>
  <c r="J70" i="12"/>
  <c r="K70" i="12" s="1"/>
  <c r="C70" i="12"/>
  <c r="D70" i="12"/>
  <c r="E70" i="12"/>
  <c r="F70" i="12"/>
  <c r="G70" i="12"/>
  <c r="G69" i="12"/>
  <c r="H69" i="12"/>
  <c r="F69" i="12"/>
  <c r="J69" i="12"/>
  <c r="K69" i="12" s="1"/>
  <c r="L69" i="12"/>
  <c r="M69" i="12" s="1"/>
  <c r="C69" i="12"/>
  <c r="D69" i="12"/>
  <c r="E69" i="12"/>
  <c r="G68" i="12"/>
  <c r="J68" i="12"/>
  <c r="K68" i="12" s="1"/>
  <c r="C68" i="12"/>
  <c r="L68" i="12"/>
  <c r="M68" i="12" s="1"/>
  <c r="D68" i="12"/>
  <c r="E68" i="12"/>
  <c r="F68" i="12"/>
  <c r="H68" i="12"/>
  <c r="G67" i="12"/>
  <c r="J67" i="12"/>
  <c r="K67" i="12" s="1"/>
  <c r="L67" i="12"/>
  <c r="M67" i="12" s="1"/>
  <c r="F67" i="12"/>
  <c r="H67" i="12"/>
  <c r="C67" i="12"/>
  <c r="D67" i="12"/>
  <c r="E67" i="12"/>
  <c r="C66" i="12"/>
  <c r="D66" i="12"/>
  <c r="E66" i="12"/>
  <c r="F66" i="12"/>
  <c r="G66" i="12"/>
  <c r="H66" i="12"/>
  <c r="J66" i="12"/>
  <c r="K66" i="12" s="1"/>
  <c r="L66" i="12"/>
  <c r="M66" i="12" s="1"/>
  <c r="L65" i="12"/>
  <c r="M65" i="12" s="1"/>
  <c r="D65" i="12"/>
  <c r="C65" i="12"/>
  <c r="E65" i="12"/>
  <c r="F65" i="12"/>
  <c r="G65" i="12"/>
  <c r="H65" i="12"/>
  <c r="J65" i="12"/>
  <c r="K65" i="12" s="1"/>
  <c r="C64" i="12"/>
  <c r="D64" i="12"/>
  <c r="E64" i="12"/>
  <c r="F64" i="12"/>
  <c r="G64" i="12"/>
  <c r="H64" i="12"/>
  <c r="J64" i="12"/>
  <c r="K64" i="12" s="1"/>
  <c r="L64" i="12"/>
  <c r="M64" i="12" s="1"/>
  <c r="F63" i="12"/>
  <c r="G63" i="12"/>
  <c r="H63" i="12"/>
  <c r="L63" i="12"/>
  <c r="M63" i="12" s="1"/>
  <c r="J63" i="12"/>
  <c r="K63" i="12" s="1"/>
  <c r="C63" i="12"/>
  <c r="D63" i="12"/>
  <c r="E63" i="12"/>
  <c r="F62" i="12"/>
  <c r="J62" i="12"/>
  <c r="K62" i="12" s="1"/>
  <c r="H62" i="12"/>
  <c r="C62" i="12"/>
  <c r="D62" i="12"/>
  <c r="E62" i="12"/>
  <c r="G62" i="12"/>
  <c r="L62" i="12"/>
  <c r="M62" i="12" s="1"/>
  <c r="F61" i="12"/>
  <c r="L61" i="12"/>
  <c r="M61" i="12" s="1"/>
  <c r="C61" i="12"/>
  <c r="D61" i="12"/>
  <c r="E61" i="12"/>
  <c r="G61" i="12"/>
  <c r="H61" i="12"/>
  <c r="J61" i="12"/>
  <c r="K61" i="12" s="1"/>
  <c r="F60" i="12"/>
  <c r="E60" i="12"/>
  <c r="L60" i="12"/>
  <c r="M60" i="12" s="1"/>
  <c r="C60" i="12"/>
  <c r="D60" i="12"/>
  <c r="J60" i="12"/>
  <c r="K60" i="12" s="1"/>
  <c r="H60" i="12"/>
  <c r="G60" i="12"/>
  <c r="F59" i="12"/>
  <c r="E59" i="12"/>
  <c r="D59" i="12"/>
  <c r="C59" i="12"/>
  <c r="G59" i="12"/>
  <c r="L59" i="12"/>
  <c r="M59" i="12" s="1"/>
  <c r="J59" i="12"/>
  <c r="K59" i="12" s="1"/>
  <c r="H59" i="12"/>
  <c r="F58" i="12"/>
  <c r="G58" i="12"/>
  <c r="H58" i="12"/>
  <c r="J58" i="12"/>
  <c r="K58" i="12" s="1"/>
  <c r="E58" i="12"/>
  <c r="L58" i="12"/>
  <c r="M58" i="12" s="1"/>
  <c r="D58" i="12"/>
  <c r="C58" i="12"/>
  <c r="L57" i="12"/>
  <c r="M57" i="12" s="1"/>
  <c r="J57" i="12"/>
  <c r="K57" i="12" s="1"/>
  <c r="H57" i="12"/>
  <c r="G57" i="12"/>
  <c r="F57" i="12"/>
  <c r="E57" i="12"/>
  <c r="C57" i="12"/>
  <c r="D57" i="12"/>
  <c r="F56" i="12"/>
  <c r="E56" i="12"/>
  <c r="D56" i="12"/>
  <c r="C56" i="12"/>
  <c r="L56" i="12"/>
  <c r="M56" i="12" s="1"/>
  <c r="J56" i="12"/>
  <c r="K56" i="12" s="1"/>
  <c r="H56" i="12"/>
  <c r="G56" i="12"/>
  <c r="L55" i="12"/>
  <c r="M55" i="12" s="1"/>
  <c r="J55" i="12"/>
  <c r="K55" i="12" s="1"/>
  <c r="H55" i="12"/>
  <c r="G55" i="12"/>
  <c r="E55" i="12"/>
  <c r="D55" i="12"/>
  <c r="C55" i="12"/>
  <c r="F55" i="12"/>
  <c r="L54" i="12"/>
  <c r="M54" i="12" s="1"/>
  <c r="J54" i="12"/>
  <c r="K54" i="12" s="1"/>
  <c r="H54" i="12"/>
  <c r="G54" i="12"/>
  <c r="F54" i="12"/>
  <c r="E54" i="12"/>
  <c r="D54" i="12"/>
  <c r="C54" i="12"/>
  <c r="L53" i="12"/>
  <c r="M53" i="12" s="1"/>
  <c r="J53" i="12"/>
  <c r="K53" i="12" s="1"/>
  <c r="H53" i="12"/>
  <c r="G53" i="12"/>
  <c r="F53" i="12"/>
  <c r="E53" i="12"/>
  <c r="D53" i="12"/>
  <c r="C53" i="12"/>
  <c r="L52" i="12"/>
  <c r="M52" i="12" s="1"/>
  <c r="J52" i="12"/>
  <c r="K52" i="12" s="1"/>
  <c r="H52" i="12"/>
  <c r="G52" i="12"/>
  <c r="F52" i="12"/>
  <c r="E52" i="12"/>
  <c r="D52" i="12"/>
  <c r="C52" i="12"/>
  <c r="L51" i="12"/>
  <c r="M51" i="12" s="1"/>
  <c r="J51" i="12"/>
  <c r="K51" i="12" s="1"/>
  <c r="H51" i="12"/>
  <c r="G51" i="12"/>
  <c r="F51" i="12"/>
  <c r="E51" i="12"/>
  <c r="D51" i="12"/>
  <c r="C51" i="12"/>
  <c r="L50" i="12"/>
  <c r="M50" i="12" s="1"/>
  <c r="J50" i="12"/>
  <c r="K50" i="12" s="1"/>
  <c r="H50" i="12"/>
  <c r="G50" i="12"/>
  <c r="F50" i="12"/>
  <c r="E50" i="12"/>
  <c r="D50" i="12"/>
  <c r="C50" i="12"/>
  <c r="L49" i="12"/>
  <c r="M49" i="12" s="1"/>
  <c r="J49" i="12"/>
  <c r="K49" i="12" s="1"/>
  <c r="H49" i="12"/>
  <c r="G49" i="12"/>
  <c r="F49" i="12"/>
  <c r="E49" i="12"/>
  <c r="D49" i="12"/>
  <c r="C49" i="12"/>
  <c r="L48" i="12"/>
  <c r="M48" i="12" s="1"/>
  <c r="J48" i="12"/>
  <c r="K48" i="12" s="1"/>
  <c r="H48" i="12"/>
  <c r="G48" i="12"/>
  <c r="F48" i="12"/>
  <c r="E48" i="12"/>
  <c r="D48" i="12"/>
  <c r="C48" i="12"/>
  <c r="L47" i="12"/>
  <c r="M47" i="12" s="1"/>
  <c r="J47" i="12"/>
  <c r="K47" i="12" s="1"/>
  <c r="H47" i="12"/>
  <c r="G47" i="12"/>
  <c r="F47" i="12"/>
  <c r="E47" i="12"/>
  <c r="D47" i="12"/>
  <c r="C47" i="12"/>
  <c r="L46" i="12"/>
  <c r="M46" i="12" s="1"/>
  <c r="J46" i="12"/>
  <c r="K46" i="12" s="1"/>
  <c r="H46" i="12"/>
  <c r="G46" i="12"/>
  <c r="F46" i="12"/>
  <c r="E46" i="12"/>
  <c r="D46" i="12"/>
  <c r="C46" i="12"/>
  <c r="L45" i="12"/>
  <c r="M45" i="12" s="1"/>
  <c r="J45" i="12"/>
  <c r="K45" i="12" s="1"/>
  <c r="H45" i="12"/>
  <c r="G45" i="12"/>
  <c r="F45" i="12"/>
  <c r="E45" i="12"/>
  <c r="D45" i="12"/>
  <c r="C45" i="12"/>
  <c r="L44" i="12"/>
  <c r="M44" i="12" s="1"/>
  <c r="J44" i="12"/>
  <c r="K44" i="12" s="1"/>
  <c r="H44" i="12"/>
  <c r="G44" i="12"/>
  <c r="F44" i="12"/>
  <c r="E44" i="12"/>
  <c r="D44" i="12"/>
  <c r="C44" i="12"/>
  <c r="L43" i="12"/>
  <c r="M43" i="12" s="1"/>
  <c r="J43" i="12"/>
  <c r="K43" i="12" s="1"/>
  <c r="H43" i="12"/>
  <c r="G43" i="12"/>
  <c r="F43" i="12"/>
  <c r="E43" i="12"/>
  <c r="D43" i="12"/>
  <c r="C43" i="12"/>
  <c r="J42" i="12"/>
  <c r="K42" i="12" s="1"/>
  <c r="H42" i="12"/>
  <c r="G42" i="12"/>
  <c r="F42" i="12"/>
  <c r="E42" i="12"/>
  <c r="D42" i="12"/>
  <c r="C42" i="12"/>
  <c r="L42" i="12"/>
  <c r="M42" i="12" s="1"/>
  <c r="D41" i="12"/>
  <c r="J41" i="12"/>
  <c r="K41" i="12" s="1"/>
  <c r="H41" i="12"/>
  <c r="G41" i="12"/>
  <c r="F41" i="12"/>
  <c r="E41" i="12"/>
  <c r="C41" i="12"/>
  <c r="L41" i="12"/>
  <c r="M41" i="12" s="1"/>
  <c r="L40" i="12"/>
  <c r="M40" i="12" s="1"/>
  <c r="H40" i="12"/>
  <c r="G40" i="12"/>
  <c r="F40" i="12"/>
  <c r="E40" i="12"/>
  <c r="D40" i="12"/>
  <c r="C40" i="12"/>
  <c r="J40" i="12"/>
  <c r="K40" i="12" s="1"/>
  <c r="L39" i="12"/>
  <c r="M39" i="12" s="1"/>
  <c r="C39" i="12"/>
  <c r="D39" i="12"/>
  <c r="E39" i="12"/>
  <c r="F39" i="12"/>
  <c r="G39" i="12"/>
  <c r="H39" i="12"/>
  <c r="J39" i="12"/>
  <c r="K39" i="12" s="1"/>
  <c r="L38" i="12"/>
  <c r="M38" i="12" s="1"/>
  <c r="J38" i="12"/>
  <c r="K38" i="12" s="1"/>
  <c r="H38" i="12"/>
  <c r="G38" i="12"/>
  <c r="F38" i="12"/>
  <c r="E38" i="12"/>
  <c r="D38" i="12"/>
  <c r="C38" i="12"/>
  <c r="J37" i="12"/>
  <c r="K37" i="12" s="1"/>
  <c r="H37" i="12"/>
  <c r="G37" i="12"/>
  <c r="F37" i="12"/>
  <c r="E37" i="12"/>
  <c r="D37" i="12"/>
  <c r="L37" i="12"/>
  <c r="M37" i="12" s="1"/>
  <c r="C37" i="12"/>
  <c r="C36" i="12"/>
  <c r="D36" i="12"/>
  <c r="E36" i="12"/>
  <c r="F36" i="12"/>
  <c r="L36" i="12"/>
  <c r="M36" i="12" s="1"/>
  <c r="J36" i="12"/>
  <c r="K36" i="12" s="1"/>
  <c r="G36" i="12"/>
  <c r="H36" i="12"/>
  <c r="F35" i="12"/>
  <c r="J35" i="12"/>
  <c r="K35" i="12" s="1"/>
  <c r="L35" i="12"/>
  <c r="M35" i="12" s="1"/>
  <c r="H35" i="12"/>
  <c r="G35" i="12"/>
  <c r="E35" i="12"/>
  <c r="D35" i="12"/>
  <c r="C35" i="12"/>
  <c r="D34" i="12"/>
  <c r="L34" i="12"/>
  <c r="M34" i="12" s="1"/>
  <c r="J34" i="12"/>
  <c r="K34" i="12" s="1"/>
  <c r="H34" i="12"/>
  <c r="G34" i="12"/>
  <c r="F34" i="12"/>
  <c r="E34" i="12"/>
  <c r="C34" i="12"/>
  <c r="F33" i="12"/>
  <c r="G33" i="12"/>
  <c r="H33" i="12"/>
  <c r="J33" i="12"/>
  <c r="K33" i="12" s="1"/>
  <c r="L33" i="12"/>
  <c r="M33" i="12" s="1"/>
  <c r="C33" i="12"/>
  <c r="D33" i="12"/>
  <c r="E33" i="12"/>
  <c r="L32" i="12"/>
  <c r="M32" i="12" s="1"/>
  <c r="J32" i="12"/>
  <c r="K32" i="12" s="1"/>
  <c r="H32" i="12"/>
  <c r="F32" i="12"/>
  <c r="E32" i="12"/>
  <c r="C32" i="12"/>
  <c r="D32" i="12"/>
  <c r="G32" i="12"/>
  <c r="E30" i="12"/>
  <c r="L30" i="12"/>
  <c r="M30" i="12" s="1"/>
  <c r="J30" i="12"/>
  <c r="K30" i="12" s="1"/>
  <c r="H30" i="12"/>
  <c r="G30" i="12"/>
  <c r="F30" i="12"/>
  <c r="D30" i="12"/>
  <c r="C30" i="12"/>
  <c r="L29" i="12"/>
  <c r="M29" i="12" s="1"/>
  <c r="H29" i="12"/>
  <c r="G29" i="12"/>
  <c r="F29" i="12"/>
  <c r="E29" i="12"/>
  <c r="D29" i="12"/>
  <c r="C29" i="12"/>
  <c r="J29" i="12"/>
  <c r="K29" i="12" s="1"/>
  <c r="D28" i="12"/>
  <c r="L28" i="12"/>
  <c r="M28" i="12" s="1"/>
  <c r="J28" i="12"/>
  <c r="K28" i="12" s="1"/>
  <c r="H28" i="12"/>
  <c r="F28" i="12"/>
  <c r="E28" i="12"/>
  <c r="C28" i="12"/>
  <c r="G28" i="12"/>
  <c r="D27" i="12"/>
  <c r="E27" i="12"/>
  <c r="F27" i="12"/>
  <c r="G27" i="12"/>
  <c r="H27" i="12"/>
  <c r="C27" i="12"/>
  <c r="L27" i="12"/>
  <c r="M27" i="12" s="1"/>
  <c r="J27" i="12"/>
  <c r="K27" i="12" s="1"/>
  <c r="D26" i="12"/>
  <c r="C26" i="12"/>
  <c r="J26" i="12"/>
  <c r="K26" i="12" s="1"/>
  <c r="H26" i="12"/>
  <c r="L26" i="12"/>
  <c r="M26" i="12" s="1"/>
  <c r="E26" i="12"/>
  <c r="F26" i="12"/>
  <c r="G26" i="12"/>
  <c r="J25" i="12"/>
  <c r="K25" i="12" s="1"/>
  <c r="G25" i="12"/>
  <c r="L25" i="12"/>
  <c r="M25" i="12" s="1"/>
  <c r="F25" i="12"/>
  <c r="E25" i="12"/>
  <c r="D25" i="12"/>
  <c r="C25" i="12"/>
  <c r="H25" i="12"/>
  <c r="G24" i="12"/>
  <c r="H24" i="12"/>
  <c r="J24" i="12"/>
  <c r="K24" i="12" s="1"/>
  <c r="C24" i="12"/>
  <c r="L24" i="12"/>
  <c r="M24" i="12" s="1"/>
  <c r="D24" i="12"/>
  <c r="E24" i="12"/>
  <c r="F24" i="12"/>
  <c r="E23" i="12"/>
  <c r="D23" i="12"/>
  <c r="J23" i="12"/>
  <c r="K23" i="12" s="1"/>
  <c r="C23" i="12"/>
  <c r="F23" i="12"/>
  <c r="L23" i="12"/>
  <c r="M23" i="12" s="1"/>
  <c r="H23" i="12"/>
  <c r="G23" i="12"/>
  <c r="G22" i="12"/>
  <c r="H22" i="12"/>
  <c r="J22" i="12"/>
  <c r="K22" i="12" s="1"/>
  <c r="L22" i="12"/>
  <c r="M22" i="12" s="1"/>
  <c r="E22" i="12"/>
  <c r="C22" i="12"/>
  <c r="D22" i="12"/>
  <c r="F22" i="12"/>
  <c r="C21" i="12"/>
  <c r="J21" i="12"/>
  <c r="K21" i="12" s="1"/>
  <c r="H21" i="12"/>
  <c r="L21" i="12"/>
  <c r="M21" i="12" s="1"/>
  <c r="D21" i="12"/>
  <c r="E21" i="12"/>
  <c r="F21" i="12"/>
  <c r="G21" i="12"/>
  <c r="J20" i="12"/>
  <c r="K20" i="12" s="1"/>
  <c r="H20" i="12"/>
  <c r="G20" i="12"/>
  <c r="L20" i="12"/>
  <c r="M20" i="12" s="1"/>
  <c r="F20" i="12"/>
  <c r="E20" i="12"/>
  <c r="D20" i="12"/>
  <c r="C20" i="12"/>
  <c r="L19" i="12"/>
  <c r="M19" i="12" s="1"/>
  <c r="J19" i="12"/>
  <c r="K19" i="12" s="1"/>
  <c r="H19" i="12"/>
  <c r="F19" i="12"/>
  <c r="E19" i="12"/>
  <c r="D19" i="12"/>
  <c r="C19" i="12"/>
  <c r="G19" i="12"/>
  <c r="C18" i="12"/>
  <c r="J18" i="12"/>
  <c r="K18" i="12" s="1"/>
  <c r="F18" i="12"/>
  <c r="D18" i="12"/>
  <c r="E18" i="12"/>
  <c r="G18" i="12"/>
  <c r="H18" i="12"/>
  <c r="L18" i="12"/>
  <c r="M18" i="12" s="1"/>
  <c r="E17" i="12"/>
  <c r="L17" i="12"/>
  <c r="M17" i="12" s="1"/>
  <c r="F17" i="12"/>
  <c r="H17" i="12"/>
  <c r="G17" i="12"/>
  <c r="D17" i="12"/>
  <c r="J17" i="12"/>
  <c r="K17" i="12" s="1"/>
  <c r="C17" i="12"/>
  <c r="F16" i="12"/>
  <c r="D16" i="12"/>
  <c r="E16" i="12"/>
  <c r="G16" i="12"/>
  <c r="H16" i="12"/>
  <c r="J16" i="12"/>
  <c r="K16" i="12" s="1"/>
  <c r="L16" i="12"/>
  <c r="M16" i="12" s="1"/>
  <c r="C16" i="12"/>
  <c r="C15" i="12"/>
  <c r="E15" i="12"/>
  <c r="L15" i="12"/>
  <c r="M15" i="12" s="1"/>
  <c r="J15" i="12"/>
  <c r="K15" i="12" s="1"/>
  <c r="H15" i="12"/>
  <c r="G15" i="12"/>
  <c r="F15" i="12"/>
  <c r="D15" i="12"/>
  <c r="J14" i="12"/>
  <c r="K14" i="12" s="1"/>
  <c r="H14" i="12"/>
  <c r="G14" i="12"/>
  <c r="F14" i="12"/>
  <c r="E14" i="12"/>
  <c r="D14" i="12"/>
  <c r="C14" i="12"/>
  <c r="L14" i="12"/>
  <c r="M14" i="12" s="1"/>
  <c r="H13" i="12"/>
  <c r="F13" i="12"/>
  <c r="E13" i="12"/>
  <c r="D13" i="12"/>
  <c r="C13" i="12"/>
  <c r="L13" i="12"/>
  <c r="M13" i="12" s="1"/>
  <c r="G13" i="12"/>
  <c r="J13" i="12"/>
  <c r="K13" i="12" s="1"/>
  <c r="C12" i="12"/>
  <c r="H12" i="12"/>
  <c r="J12" i="12" s="1"/>
  <c r="G12" i="12"/>
  <c r="F12" i="12"/>
  <c r="E12" i="12"/>
  <c r="D12" i="12"/>
  <c r="C11" i="12"/>
  <c r="H11" i="12"/>
  <c r="J11" i="12" s="1"/>
  <c r="G11" i="12"/>
  <c r="F11" i="12"/>
  <c r="E11" i="12"/>
  <c r="D11" i="12"/>
  <c r="L10" i="12"/>
  <c r="M10" i="12" s="1"/>
  <c r="J10" i="12"/>
  <c r="K10" i="12" s="1"/>
  <c r="H10" i="12"/>
  <c r="G10" i="12"/>
  <c r="F10" i="12"/>
  <c r="E10" i="12"/>
  <c r="C10" i="12"/>
  <c r="D10" i="12"/>
  <c r="L9" i="12"/>
  <c r="M9" i="12" s="1"/>
  <c r="J9" i="12"/>
  <c r="H9" i="12"/>
  <c r="G9" i="12"/>
  <c r="F9" i="12"/>
  <c r="E9" i="12"/>
  <c r="D9" i="12"/>
  <c r="C9" i="12"/>
  <c r="L10" i="11"/>
  <c r="I10" i="11" s="1"/>
  <c r="L10" i="10"/>
  <c r="I10" i="10" s="1"/>
  <c r="P10" i="10" s="1"/>
  <c r="N12" i="11"/>
  <c r="B12" i="11"/>
  <c r="N17" i="11"/>
  <c r="N19" i="11"/>
  <c r="N11" i="11"/>
  <c r="B20" i="11"/>
  <c r="N20" i="11"/>
  <c r="B19" i="11"/>
  <c r="B22" i="11"/>
  <c r="B9" i="11"/>
  <c r="B11" i="11"/>
  <c r="B10" i="11"/>
  <c r="B18" i="11"/>
  <c r="B23" i="11"/>
  <c r="N23" i="11"/>
  <c r="N18" i="11"/>
  <c r="N15" i="11"/>
  <c r="N22" i="11"/>
  <c r="B15" i="11"/>
  <c r="B16" i="11"/>
  <c r="N10" i="11"/>
  <c r="N14" i="11"/>
  <c r="B14" i="11"/>
  <c r="N16" i="11"/>
  <c r="B21" i="11"/>
  <c r="N13" i="11"/>
  <c r="B13" i="11"/>
  <c r="N9" i="11"/>
  <c r="B17" i="11"/>
  <c r="N21" i="11"/>
  <c r="N10" i="10"/>
  <c r="N9" i="10"/>
  <c r="B19" i="10"/>
  <c r="N17" i="10"/>
  <c r="N13" i="10"/>
  <c r="B11" i="10"/>
  <c r="B9" i="10"/>
  <c r="B16" i="10"/>
  <c r="B22" i="10"/>
  <c r="N23" i="10"/>
  <c r="B23" i="10"/>
  <c r="N19" i="10"/>
  <c r="N21" i="10"/>
  <c r="B15" i="10"/>
  <c r="N16" i="10"/>
  <c r="B18" i="10"/>
  <c r="N20" i="10"/>
  <c r="B20" i="10"/>
  <c r="B13" i="10"/>
  <c r="N18" i="10"/>
  <c r="B10" i="10"/>
  <c r="B14" i="10"/>
  <c r="N12" i="10"/>
  <c r="N22" i="10"/>
  <c r="B12" i="10"/>
  <c r="B17" i="10"/>
  <c r="N15" i="10"/>
  <c r="N14" i="10"/>
  <c r="N11" i="10"/>
  <c r="B21" i="10"/>
  <c r="K13" i="16" l="1"/>
  <c r="N13" i="16"/>
  <c r="N10" i="16"/>
  <c r="K12" i="16"/>
  <c r="K10" i="16"/>
  <c r="C11" i="21"/>
  <c r="E6" i="13"/>
  <c r="E6" i="17"/>
  <c r="F6" i="15"/>
  <c r="D6" i="14"/>
  <c r="B7" i="1"/>
  <c r="B7" i="2"/>
  <c r="B7" i="3"/>
  <c r="B44" i="1"/>
  <c r="B44" i="2"/>
  <c r="B52" i="3"/>
  <c r="E12" i="3"/>
  <c r="K12" i="1"/>
  <c r="K9" i="12"/>
  <c r="C47" i="19"/>
  <c r="D6" i="12" s="1"/>
  <c r="C12" i="11"/>
  <c r="M12" i="11"/>
  <c r="P12" i="11" s="1"/>
  <c r="C17" i="11"/>
  <c r="M17" i="11"/>
  <c r="P17" i="11" s="1"/>
  <c r="C19" i="11"/>
  <c r="M19" i="11"/>
  <c r="P19" i="11" s="1"/>
  <c r="C11" i="11"/>
  <c r="J11" i="11"/>
  <c r="M11" i="11"/>
  <c r="P11" i="11" s="1"/>
  <c r="C20" i="11"/>
  <c r="M20" i="11"/>
  <c r="P20" i="11" s="1"/>
  <c r="C23" i="11"/>
  <c r="M23" i="11"/>
  <c r="P23" i="11" s="1"/>
  <c r="C18" i="11"/>
  <c r="M18" i="11"/>
  <c r="P18" i="11" s="1"/>
  <c r="C15" i="11"/>
  <c r="M15" i="11"/>
  <c r="P15" i="11" s="1"/>
  <c r="C22" i="11"/>
  <c r="M22" i="11"/>
  <c r="P22" i="11" s="1"/>
  <c r="J10" i="11"/>
  <c r="C31" i="19" s="1"/>
  <c r="E6" i="11" s="1"/>
  <c r="M10" i="11"/>
  <c r="P10" i="11" s="1"/>
  <c r="C10" i="11"/>
  <c r="C14" i="11"/>
  <c r="M14" i="11"/>
  <c r="P14" i="11" s="1"/>
  <c r="C16" i="11"/>
  <c r="M16" i="11"/>
  <c r="P16" i="11" s="1"/>
  <c r="C13" i="11"/>
  <c r="M13" i="11"/>
  <c r="P13" i="11" s="1"/>
  <c r="C9" i="11"/>
  <c r="M9" i="11"/>
  <c r="P9" i="11" s="1"/>
  <c r="C21" i="11"/>
  <c r="M21" i="11"/>
  <c r="P21" i="11" s="1"/>
  <c r="J10" i="10"/>
  <c r="C30" i="19" s="1"/>
  <c r="E6" i="10" s="1"/>
  <c r="O13" i="16"/>
  <c r="E13" i="16"/>
  <c r="H13" i="16" s="1"/>
  <c r="O12" i="16"/>
  <c r="E12" i="16"/>
  <c r="H12" i="16" s="1"/>
  <c r="O10" i="16"/>
  <c r="E10" i="16"/>
  <c r="H10" i="16" s="1"/>
  <c r="L12" i="12"/>
  <c r="M12" i="12" s="1"/>
  <c r="K12" i="12"/>
  <c r="L11" i="12"/>
  <c r="M11" i="12" s="1"/>
  <c r="K11" i="12"/>
  <c r="C48" i="19" l="1"/>
  <c r="F6" i="12" s="1"/>
</calcChain>
</file>

<file path=xl/sharedStrings.xml><?xml version="1.0" encoding="utf-8"?>
<sst xmlns="http://schemas.openxmlformats.org/spreadsheetml/2006/main" count="9077" uniqueCount="2601">
  <si>
    <t>Configuración del sistema</t>
  </si>
  <si>
    <t>Capa de configuración (oculta) · Solo administrador · Los scripts leen estos parámetros</t>
  </si>
  <si>
    <t>PARÁMETROS DEL TENANT</t>
  </si>
  <si>
    <t>Parámetro</t>
  </si>
  <si>
    <t>Valor</t>
  </si>
  <si>
    <t>Descripción</t>
  </si>
  <si>
    <t>Empresa (cliente)</t>
  </si>
  <si>
    <t>Distribuidora Demo S.A.S.</t>
  </si>
  <si>
    <t>Nombre que aparece en las portadas.</t>
  </si>
  <si>
    <t>NIT / Identificación</t>
  </si>
  <si>
    <t>900.123.456-7</t>
  </si>
  <si>
    <t>Identificación tributaria.</t>
  </si>
  <si>
    <t>Sede / Bodega</t>
  </si>
  <si>
    <t>Bodega Principal</t>
  </si>
  <si>
    <t>Ubicación física que controla este libro.</t>
  </si>
  <si>
    <t>Moneda</t>
  </si>
  <si>
    <t>COP</t>
  </si>
  <si>
    <t>Informativo. Los formatos de valor usan el símbolo $.</t>
  </si>
  <si>
    <t>Margen de alerta preventiva</t>
  </si>
  <si>
    <t>Un producto pasa a BAJO cuando su stock es ≤ Mínimo × (1 + margen).</t>
  </si>
  <si>
    <t>Días para considerar sin rotación</t>
  </si>
  <si>
    <t>Productos con stock y sin movimientos en este plazo se marcan como inmovilizados.</t>
  </si>
  <si>
    <t>Fecha mínima permitida</t>
  </si>
  <si>
    <t>Los scripts rechazan fechas anteriores.</t>
  </si>
  <si>
    <t>Versión del sistema</t>
  </si>
  <si>
    <t>2.1.0</t>
  </si>
  <si>
    <t>Versión del motor M-INV.</t>
  </si>
  <si>
    <t>Edición</t>
  </si>
  <si>
    <t>Colaborativa (Microsoft 365)</t>
  </si>
  <si>
    <t>Libro colaborativo en OneDrive/SharePoint con Office Scripts.</t>
  </si>
  <si>
    <t>Fecha de generación</t>
  </si>
  <si>
    <t>Fecha en que se generó este libro.</t>
  </si>
  <si>
    <t>Implementado por</t>
  </si>
  <si>
    <t>Z&amp;P Software Fast Solutions</t>
  </si>
  <si>
    <t>Proveedor del software.</t>
  </si>
  <si>
    <t>Stock calculado el</t>
  </si>
  <si>
    <t>Lo escribe RecalcularStock.ts.</t>
  </si>
  <si>
    <t>Stock calculado por (correo)</t>
  </si>
  <si>
    <t>admin@distribuidorademo.example</t>
  </si>
  <si>
    <t>Stock calculado por (nombre)</t>
  </si>
  <si>
    <t>Administrador M-INV</t>
  </si>
  <si>
    <t>Movimientos procesados</t>
  </si>
  <si>
    <t>TIPOS DE MOVIMIENTO  (FactorStock y dominio: BODEGA → 10A · VENTAS → 10B)</t>
  </si>
  <si>
    <t>Tipo</t>
  </si>
  <si>
    <t>FactorStock</t>
  </si>
  <si>
    <t>Dominio</t>
  </si>
  <si>
    <t>SALDO INICIAL</t>
  </si>
  <si>
    <t>BODEGA</t>
  </si>
  <si>
    <t>Carga del inventario existente al implementar (una vez por producto).</t>
  </si>
  <si>
    <t>ENTRADA</t>
  </si>
  <si>
    <t>Compra, recepción de mercancía o devolución de un cliente.</t>
  </si>
  <si>
    <t>AJUSTE (+)</t>
  </si>
  <si>
    <t>Sobrante encontrado en conteo físico. Exige observación.</t>
  </si>
  <si>
    <t>AJUSTE (-)</t>
  </si>
  <si>
    <t>Merma, daño, pérdida o faltante. Exige observación.</t>
  </si>
  <si>
    <t>SALIDA</t>
  </si>
  <si>
    <t>VENTAS</t>
  </si>
  <si>
    <t>Venta, despacho a cliente o consumo interno.</t>
  </si>
  <si>
    <t>SEMÁFORO DE STOCK  (reglas que aplica RecalcularStock.ts)</t>
  </si>
  <si>
    <t>Estado</t>
  </si>
  <si>
    <t>Prioridad</t>
  </si>
  <si>
    <t>Regla</t>
  </si>
  <si>
    <t>Acción</t>
  </si>
  <si>
    <t>INCONSISTENTE</t>
  </si>
  <si>
    <t>Stock negativo: se registraron salidas mayores a lo disponible.</t>
  </si>
  <si>
    <t>Auditar la bitácora y registrar un AJUSTE</t>
  </si>
  <si>
    <t>AGOTADO</t>
  </si>
  <si>
    <t>Stock en cero.</t>
  </si>
  <si>
    <t>Reabastecer de inmediato</t>
  </si>
  <si>
    <t>CRÍTICO</t>
  </si>
  <si>
    <t>Stock en o por debajo del mínimo.</t>
  </si>
  <si>
    <t>Emitir orden de compra</t>
  </si>
  <si>
    <t>BAJO</t>
  </si>
  <si>
    <t>Stock cercano al mínimo (dentro del margen de alerta).</t>
  </si>
  <si>
    <t>Programar reposición</t>
  </si>
  <si>
    <t>ÓPTIMO</t>
  </si>
  <si>
    <t>Stock entre el margen de alerta y el máximo.</t>
  </si>
  <si>
    <t>Sin acción</t>
  </si>
  <si>
    <t>SOBRESTOCK</t>
  </si>
  <si>
    <t>Stock por encima del máximo.</t>
  </si>
  <si>
    <t>Frenar compras / rotar inventario</t>
  </si>
  <si>
    <t>INACTIVO</t>
  </si>
  <si>
    <t>Producto descontinuado (Activo = NO).</t>
  </si>
  <si>
    <t>Usuarios autorizados</t>
  </si>
  <si>
    <t>Control de acceso por rol · Lo administra el ADMIN · Los scripts validan el correo de Microsoft 365</t>
  </si>
  <si>
    <t>⌂ Bodega</t>
  </si>
  <si>
    <t>⌂ Ventas</t>
  </si>
  <si>
    <t>◈ Gerencia</t>
  </si>
  <si>
    <t>⇩ Entradas</t>
  </si>
  <si>
    <t>⇧ Salidas</t>
  </si>
  <si>
    <t>⌕ Consulta</t>
  </si>
  <si>
    <t>▦ Stock</t>
  </si>
  <si>
    <t>✚ Pedido</t>
  </si>
  <si>
    <t>✓ Conteo</t>
  </si>
  <si>
    <t>? Guía</t>
  </si>
  <si>
    <t>Correo</t>
  </si>
  <si>
    <t>Nombre</t>
  </si>
  <si>
    <t>Rol</t>
  </si>
  <si>
    <t>Activo</t>
  </si>
  <si>
    <t>OrdenBodega</t>
  </si>
  <si>
    <t>OrdenVentas</t>
  </si>
  <si>
    <t>OrdenConsulta</t>
  </si>
  <si>
    <t>Validación</t>
  </si>
  <si>
    <t>ADMIN</t>
  </si>
  <si>
    <t>SI</t>
  </si>
  <si>
    <t>ana.gomez@distribuidorademo.example</t>
  </si>
  <si>
    <t>Ana Gómez</t>
  </si>
  <si>
    <t>laura.mendez@distribuidorademo.example</t>
  </si>
  <si>
    <t>Laura Méndez</t>
  </si>
  <si>
    <t>carlos.ruiz@distribuidorademo.example</t>
  </si>
  <si>
    <t>Carlos Ruiz</t>
  </si>
  <si>
    <t>sofia.lopez@distribuidorademo.example</t>
  </si>
  <si>
    <t>Sofía López</t>
  </si>
  <si>
    <t>gerencia@distribuidorademo.example</t>
  </si>
  <si>
    <t>Gerencia</t>
  </si>
  <si>
    <t>CONSULTA</t>
  </si>
  <si>
    <t>Agregue usuarios al final y no reordene: la posición define su fila de captura. Para retirar a alguien escriba NO en Activo.</t>
  </si>
  <si>
    <t>Proveedores</t>
  </si>
  <si>
    <t>Datos maestros · Solo ADMIN · Quién le vende cada producto y en cuántos días</t>
  </si>
  <si>
    <t>Proveedor</t>
  </si>
  <si>
    <t>NIT</t>
  </si>
  <si>
    <t>Contacto</t>
  </si>
  <si>
    <t>Teléfono</t>
  </si>
  <si>
    <t>DiasEntrega</t>
  </si>
  <si>
    <t>Productos</t>
  </si>
  <si>
    <t>EnAlerta</t>
  </si>
  <si>
    <t>✎</t>
  </si>
  <si>
    <t>ƒx</t>
  </si>
  <si>
    <t>Ferretería Mayorista del Valle</t>
  </si>
  <si>
    <t>900.456.123-1</t>
  </si>
  <si>
    <t>Jorge Salazar</t>
  </si>
  <si>
    <t>602 555 0101</t>
  </si>
  <si>
    <t>ventas@mayorista-valle.example</t>
  </si>
  <si>
    <t>Electro Suministros S.A.S.</t>
  </si>
  <si>
    <t>901.234.567-8</t>
  </si>
  <si>
    <t>Paula Rincón</t>
  </si>
  <si>
    <t>601 555 0142</t>
  </si>
  <si>
    <t>pedidos@electrosuministros.example</t>
  </si>
  <si>
    <t>Hidráulicos y PVC Ltda.</t>
  </si>
  <si>
    <t>800.765.432-5</t>
  </si>
  <si>
    <t>Andrés Mejía</t>
  </si>
  <si>
    <t>604 555 0177</t>
  </si>
  <si>
    <t>comercial@hidraulicos-pvc.example</t>
  </si>
  <si>
    <t>Pinturas Andinas S.A.</t>
  </si>
  <si>
    <t>860.111.222-3</t>
  </si>
  <si>
    <t>Marcela Ortiz</t>
  </si>
  <si>
    <t>601 555 0199</t>
  </si>
  <si>
    <t>servicio@pinturas-andinas.example</t>
  </si>
  <si>
    <t>Dotaciones Industriales Seguras</t>
  </si>
  <si>
    <t>900.888.999-0</t>
  </si>
  <si>
    <t>Luis Herrera</t>
  </si>
  <si>
    <t>602 555 0123</t>
  </si>
  <si>
    <t>ventas@dotaciones-seguras.example</t>
  </si>
  <si>
    <t>Químicos del Norte S.A.S.</t>
  </si>
  <si>
    <t>901.555.444-2</t>
  </si>
  <si>
    <t>Diana Castro</t>
  </si>
  <si>
    <t>605 555 0165</t>
  </si>
  <si>
    <t>pedidos@quimicos-norte.example</t>
  </si>
  <si>
    <t>Catálogo de productos</t>
  </si>
  <si>
    <t>Datos maestros · Solo ADMIN · Después de modificarlo pulse «Recalcular stock» · Nunca borre filas (use Activo = NO)</t>
  </si>
  <si>
    <t>SKU</t>
  </si>
  <si>
    <t>Producto</t>
  </si>
  <si>
    <t>Categoría</t>
  </si>
  <si>
    <t>Unidad</t>
  </si>
  <si>
    <t>StockMin</t>
  </si>
  <si>
    <t>StockMax</t>
  </si>
  <si>
    <t>CostoUnitario</t>
  </si>
  <si>
    <t>Ubicación</t>
  </si>
  <si>
    <t>Etiqueta</t>
  </si>
  <si>
    <t>Movimientos</t>
  </si>
  <si>
    <t>FER-001</t>
  </si>
  <si>
    <t>Tornillo drywall 6x1" (caja x100)</t>
  </si>
  <si>
    <t>FERRETERÍA</t>
  </si>
  <si>
    <t>CAJA</t>
  </si>
  <si>
    <t>A-01-01</t>
  </si>
  <si>
    <t>FER-002</t>
  </si>
  <si>
    <t>Chazo plástico 1/4" (bolsa x100)</t>
  </si>
  <si>
    <t>PAQ</t>
  </si>
  <si>
    <t>A-01-02</t>
  </si>
  <si>
    <t>FER-003</t>
  </si>
  <si>
    <t>Martillo uña 16 oz mango fibra</t>
  </si>
  <si>
    <t>UND</t>
  </si>
  <si>
    <t>A-02-01</t>
  </si>
  <si>
    <t>FER-004</t>
  </si>
  <si>
    <t>Cinta métrica 5 m</t>
  </si>
  <si>
    <t>A-02-02</t>
  </si>
  <si>
    <t>FER-005</t>
  </si>
  <si>
    <t>Disco de corte metal 4-1/2"</t>
  </si>
  <si>
    <t>A-02-03</t>
  </si>
  <si>
    <t>FER-006</t>
  </si>
  <si>
    <t>Candado de seguridad 40 mm</t>
  </si>
  <si>
    <t>A-02-04</t>
  </si>
  <si>
    <t>FER-007</t>
  </si>
  <si>
    <t>Serrucho 20" (descontinuado)</t>
  </si>
  <si>
    <t>A-02-05</t>
  </si>
  <si>
    <t>NO</t>
  </si>
  <si>
    <t>ELE-001</t>
  </si>
  <si>
    <t>Cable THHN 12 AWG (rollo 100 m)</t>
  </si>
  <si>
    <t>ELÉCTRICOS</t>
  </si>
  <si>
    <t>ROLLO</t>
  </si>
  <si>
    <t>B-01-01</t>
  </si>
  <si>
    <t>ELE-002</t>
  </si>
  <si>
    <t>Bombillo LED 9 W luz blanca</t>
  </si>
  <si>
    <t>B-01-02</t>
  </si>
  <si>
    <t>ELE-003</t>
  </si>
  <si>
    <t>Toma doble con polo a tierra</t>
  </si>
  <si>
    <t>B-01-03</t>
  </si>
  <si>
    <t>ELE-004</t>
  </si>
  <si>
    <t>Breaker enchufable 1x20 A</t>
  </si>
  <si>
    <t>B-02-01</t>
  </si>
  <si>
    <t>ELE-005</t>
  </si>
  <si>
    <t>Cinta aislante negra 3/4"</t>
  </si>
  <si>
    <t>B-02-02</t>
  </si>
  <si>
    <t>ELE-006</t>
  </si>
  <si>
    <t>Canaleta plástica 20x12 mm x 2 m</t>
  </si>
  <si>
    <t>B-02-03</t>
  </si>
  <si>
    <t>ELE-007</t>
  </si>
  <si>
    <t>Cable dúplex 2x14 AWG (por metro)</t>
  </si>
  <si>
    <t>MT</t>
  </si>
  <si>
    <t>B-03-01</t>
  </si>
  <si>
    <t>PLO-001</t>
  </si>
  <si>
    <t>Tubo PVC presión 1/2" x 6 m</t>
  </si>
  <si>
    <t>PLOMERÍA</t>
  </si>
  <si>
    <t>C-01-01</t>
  </si>
  <si>
    <t>PLO-002</t>
  </si>
  <si>
    <t>Codo PVC 1/2" x 90°</t>
  </si>
  <si>
    <t>C-01-02</t>
  </si>
  <si>
    <t>PLO-003</t>
  </si>
  <si>
    <t>Llave de paso 1/2" en bronce</t>
  </si>
  <si>
    <t>C-01-03</t>
  </si>
  <si>
    <t>PLO-004</t>
  </si>
  <si>
    <t>Soldadura líquida PVC 1/4 gal</t>
  </si>
  <si>
    <t>C-02-01</t>
  </si>
  <si>
    <t>PLO-005</t>
  </si>
  <si>
    <t>Cinta teflón 1/2" x 10 m</t>
  </si>
  <si>
    <t>C-02-02</t>
  </si>
  <si>
    <t>PIN-001</t>
  </si>
  <si>
    <t>Vinilo tipo 1 blanco</t>
  </si>
  <si>
    <t>PINTURAS</t>
  </si>
  <si>
    <t>GL</t>
  </si>
  <si>
    <t>D-01-01</t>
  </si>
  <si>
    <t>PIN-002</t>
  </si>
  <si>
    <t>Esmalte sintético negro</t>
  </si>
  <si>
    <t>D-01-02</t>
  </si>
  <si>
    <t>PIN-003</t>
  </si>
  <si>
    <t>Thinner corriente</t>
  </si>
  <si>
    <t>D-01-03</t>
  </si>
  <si>
    <t>PIN-004</t>
  </si>
  <si>
    <t>Rodillo de felpa 9"</t>
  </si>
  <si>
    <t>D-02-01</t>
  </si>
  <si>
    <t>PIN-005</t>
  </si>
  <si>
    <t>Brocha 3" cerda natural</t>
  </si>
  <si>
    <t>D-02-02</t>
  </si>
  <si>
    <t>SEG-001</t>
  </si>
  <si>
    <t>Guantes de nitrilo</t>
  </si>
  <si>
    <t>SEGURIDAD INDUSTRIAL</t>
  </si>
  <si>
    <t>PAR</t>
  </si>
  <si>
    <t>E-01-01</t>
  </si>
  <si>
    <t>SEG-002</t>
  </si>
  <si>
    <t>Casco de seguridad blanco</t>
  </si>
  <si>
    <t>E-01-02</t>
  </si>
  <si>
    <t>SEG-003</t>
  </si>
  <si>
    <t>Gafas de seguridad lente claro</t>
  </si>
  <si>
    <t>E-01-03</t>
  </si>
  <si>
    <t>SEG-004</t>
  </si>
  <si>
    <t>Botas de seguridad punta de acero</t>
  </si>
  <si>
    <t>E-02-01</t>
  </si>
  <si>
    <t>SEG-005</t>
  </si>
  <si>
    <t>Tapabocas N95 (caja x20)</t>
  </si>
  <si>
    <t>E-02-02</t>
  </si>
  <si>
    <t>ASE-001</t>
  </si>
  <si>
    <t>Desengrasante industrial</t>
  </si>
  <si>
    <t>ASEO Y LIMPIEZA</t>
  </si>
  <si>
    <t>F-01-01</t>
  </si>
  <si>
    <t>ASE-002</t>
  </si>
  <si>
    <t>Hipoclorito de sodio 5%</t>
  </si>
  <si>
    <t>LT</t>
  </si>
  <si>
    <t>F-01-02</t>
  </si>
  <si>
    <t>ASE-003</t>
  </si>
  <si>
    <t>Bolsa de basura negra 90x110 (paq x10)</t>
  </si>
  <si>
    <t>F-01-03</t>
  </si>
  <si>
    <t>ASE-004</t>
  </si>
  <si>
    <t>Trapero industrial en algodón</t>
  </si>
  <si>
    <t>F-02-01</t>
  </si>
  <si>
    <t>ASE-005</t>
  </si>
  <si>
    <t>Detergente en polvo</t>
  </si>
  <si>
    <t>KG</t>
  </si>
  <si>
    <t>F-02-02</t>
  </si>
  <si>
    <t>Categorías</t>
  </si>
  <si>
    <t>Capa de configuración (oculta) · Primer nivel de la lista en cascada</t>
  </si>
  <si>
    <t>Código</t>
  </si>
  <si>
    <t>FER</t>
  </si>
  <si>
    <t>Tornillería, herrajes y herramienta manual</t>
  </si>
  <si>
    <t>ELE</t>
  </si>
  <si>
    <t>Cableado, iluminación y protecciones eléctricas</t>
  </si>
  <si>
    <t>PLO</t>
  </si>
  <si>
    <t>Tubería, accesorios y griferías</t>
  </si>
  <si>
    <t>PIN</t>
  </si>
  <si>
    <t>Pinturas, solventes y accesorios de aplicación</t>
  </si>
  <si>
    <t>SEG</t>
  </si>
  <si>
    <t>Elementos de protección personal (EPP)</t>
  </si>
  <si>
    <t>ASE</t>
  </si>
  <si>
    <t>Químicos e implementos de limpieza</t>
  </si>
  <si>
    <t>Unidades de medida</t>
  </si>
  <si>
    <t>Capa de configuración (oculta) · Define si la cantidad admite decimales</t>
  </si>
  <si>
    <t>Decimales</t>
  </si>
  <si>
    <t>Pieza individual</t>
  </si>
  <si>
    <t>Caja</t>
  </si>
  <si>
    <t>Caja cerrada del proveedor</t>
  </si>
  <si>
    <t>Paquete</t>
  </si>
  <si>
    <t>Paquete o bolsa cerrada</t>
  </si>
  <si>
    <t>Par</t>
  </si>
  <si>
    <t>Par (guantes, botas)</t>
  </si>
  <si>
    <t>Rollo</t>
  </si>
  <si>
    <t>Rollo completo</t>
  </si>
  <si>
    <t>Kilogramo</t>
  </si>
  <si>
    <t>Peso en kilogramos</t>
  </si>
  <si>
    <t>Galón</t>
  </si>
  <si>
    <t>Volumen en galones</t>
  </si>
  <si>
    <t>Litro</t>
  </si>
  <si>
    <t>Volumen en litros</t>
  </si>
  <si>
    <t>Metro</t>
  </si>
  <si>
    <t>Longitud en metros</t>
  </si>
  <si>
    <t>Entradas y ajustes · Bodega</t>
  </si>
  <si>
    <t>Fragmento de escritura de Bodega · Cada persona escribe en SU fila y pulsa Registrar · El script consolida en la bitácora oficial con su correo y la hora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</si>
  <si>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1 · CAPTURA — cada persona escribe solo en SU fila (nadie comparte celdas) y pulsa el botón Registrar</t>
    </r>
  </si>
  <si>
    <t>Usuario</t>
  </si>
  <si>
    <t>Fecha</t>
  </si>
  <si>
    <t>Cantidad</t>
  </si>
  <si>
    <t>Documento</t>
  </si>
  <si>
    <t>Observaciones</t>
  </si>
  <si>
    <t>Disponible</t>
  </si>
  <si>
    <t>Resultado</t>
  </si>
  <si>
    <t>Factor</t>
  </si>
  <si>
    <t>Queda</t>
  </si>
  <si>
    <t>ELE-001 · Cable THHN 12 AWG (rollo 100 m)</t>
  </si>
  <si>
    <t>FC-10290</t>
  </si>
  <si>
    <t>Recepción OC-2251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</si>
  <si>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2 · BITÁCORA OFICIAL — la escribe solo el script: inmutable y auditada (Usuario_O365 y Timestamp en columnas ocultas)</t>
    </r>
  </si>
  <si>
    <t>Los registros se agregan al final. Un rechazo por registro simultáneo queda en rojo tachado y no suma. Para ver el historial de un producto, filtre por Producto (use Vista de hoja para no afectar a los demás).</t>
  </si>
  <si>
    <t>ID</t>
  </si>
  <si>
    <t>CantidadNeta</t>
  </si>
  <si>
    <t>Registró</t>
  </si>
  <si>
    <t>Usuario_O365</t>
  </si>
  <si>
    <t>Timestamp</t>
  </si>
  <si>
    <t>E-20260401-074448-F956</t>
  </si>
  <si>
    <t>FER-001 · Tornillo drywall 6x1" (caja x100)</t>
  </si>
  <si>
    <t>INV-INICIAL</t>
  </si>
  <si>
    <t>Carga inicial (conteo físico de implementación)</t>
  </si>
  <si>
    <t>✔ Consolidado</t>
  </si>
  <si>
    <t>E-20260401-084303-C905</t>
  </si>
  <si>
    <t>FER-002 · Chazo plástico 1/4" (bolsa x100)</t>
  </si>
  <si>
    <t>E-20260401-085341-77BF</t>
  </si>
  <si>
    <t>FER-003 · Martillo uña 16 oz mango fibra</t>
  </si>
  <si>
    <t>E-20260401-085655-0F54</t>
  </si>
  <si>
    <t>FER-004 · Cinta métrica 5 m</t>
  </si>
  <si>
    <t>E-20260401-092819-A5F0</t>
  </si>
  <si>
    <t>FER-005 · Disco de corte metal 4-1/2"</t>
  </si>
  <si>
    <t>E-20260401-094551-0484</t>
  </si>
  <si>
    <t>FER-006 · Candado de seguridad 40 mm</t>
  </si>
  <si>
    <t>E-20260401-102057-2ECC</t>
  </si>
  <si>
    <t>FER-007 · Serrucho 20" (descontinuado)</t>
  </si>
  <si>
    <t>E-20260401-102908-21E0</t>
  </si>
  <si>
    <t>E-20260401-104535-2B05</t>
  </si>
  <si>
    <t>ELE-002 · Bombillo LED 9 W luz blanca</t>
  </si>
  <si>
    <t>E-20260401-104640-64DD</t>
  </si>
  <si>
    <t>ELE-003 · Toma doble con polo a tierra</t>
  </si>
  <si>
    <t>E-20260401-105025-5FBB</t>
  </si>
  <si>
    <t>ELE-004 · Breaker enchufable 1x20 A</t>
  </si>
  <si>
    <t>E-20260401-112943-DD4C</t>
  </si>
  <si>
    <t>ELE-005 · Cinta aislante negra 3/4"</t>
  </si>
  <si>
    <t>E-20260401-113934-5F30</t>
  </si>
  <si>
    <t>ELE-006 · Canaleta plástica 20x12 mm x 2 m</t>
  </si>
  <si>
    <t>E-20260401-120812-254A</t>
  </si>
  <si>
    <t>ELE-007 · Cable dúplex 2x14 AWG (por metro)</t>
  </si>
  <si>
    <t>E-20260401-120835-11E3</t>
  </si>
  <si>
    <t>PLO-001 · Tubo PVC presión 1/2" x 6 m</t>
  </si>
  <si>
    <t>E-20260401-123212-DE0D</t>
  </si>
  <si>
    <t>PLO-002 · Codo PVC 1/2" x 90°</t>
  </si>
  <si>
    <t>E-20260401-124530-A853</t>
  </si>
  <si>
    <t>PLO-003 · Llave de paso 1/2" en bronce</t>
  </si>
  <si>
    <t>E-20260401-130002-2733</t>
  </si>
  <si>
    <t>PLO-004 · Soldadura líquida PVC 1/4 gal</t>
  </si>
  <si>
    <t>E-20260401-131415-53E1</t>
  </si>
  <si>
    <t>PLO-005 · Cinta teflón 1/2" x 10 m</t>
  </si>
  <si>
    <t>E-20260401-132214-A7F1</t>
  </si>
  <si>
    <t>PIN-001 · Vinilo tipo 1 blanco</t>
  </si>
  <si>
    <t>E-20260401-133844-369F</t>
  </si>
  <si>
    <t>PIN-002 · Esmalte sintético negro</t>
  </si>
  <si>
    <t>E-20260401-134309-2A7E</t>
  </si>
  <si>
    <t>PIN-003 · Thinner corriente</t>
  </si>
  <si>
    <t>E-20260401-134803-B2BB</t>
  </si>
  <si>
    <t>PIN-004 · Rodillo de felpa 9"</t>
  </si>
  <si>
    <t>E-20260401-134950-F77D</t>
  </si>
  <si>
    <t>PIN-005 · Brocha 3" cerda natural</t>
  </si>
  <si>
    <t>E-20260401-141821-FE14</t>
  </si>
  <si>
    <t>SEG-001 · Guantes de nitrilo</t>
  </si>
  <si>
    <t>E-20260401-142636-A4D1</t>
  </si>
  <si>
    <t>SEG-002 · Casco de seguridad blanco</t>
  </si>
  <si>
    <t>E-20260401-144444-7F2A</t>
  </si>
  <si>
    <t>SEG-003 · Gafas de seguridad lente claro</t>
  </si>
  <si>
    <t>E-20260401-144533-B00F</t>
  </si>
  <si>
    <t>SEG-004 · Botas de seguridad punta de acero</t>
  </si>
  <si>
    <t>E-20260401-145333-8A51</t>
  </si>
  <si>
    <t>SEG-005 · Tapabocas N95 (caja x20)</t>
  </si>
  <si>
    <t>E-20260401-151431-A73E</t>
  </si>
  <si>
    <t>ASE-001 · Desengrasante industrial</t>
  </si>
  <si>
    <t>E-20260401-154543-E57E</t>
  </si>
  <si>
    <t>ASE-002 · Hipoclorito de sodio 5%</t>
  </si>
  <si>
    <t>E-20260401-155652-82FF</t>
  </si>
  <si>
    <t>ASE-003 · Bolsa de basura negra 90x110 (paq x10)</t>
  </si>
  <si>
    <t>E-20260401-160120-D101</t>
  </si>
  <si>
    <t>ASE-004 · Trapero industrial en algodón</t>
  </si>
  <si>
    <t>E-20260401-164237-0FED</t>
  </si>
  <si>
    <t>ASE-005 · Detergente en polvo</t>
  </si>
  <si>
    <t>E-20260415-073547-B763</t>
  </si>
  <si>
    <t>FC-10231</t>
  </si>
  <si>
    <t>Recepción OC-2211</t>
  </si>
  <si>
    <t>E-20260415-133554-3B3C</t>
  </si>
  <si>
    <t>AJ-001</t>
  </si>
  <si>
    <t>Empaque dañado en recepción</t>
  </si>
  <si>
    <t>E-20260421-105241-4540</t>
  </si>
  <si>
    <t>FC-10232</t>
  </si>
  <si>
    <t>Recepción OC-2212</t>
  </si>
  <si>
    <t>E-20260429-120841-894E</t>
  </si>
  <si>
    <t>AJ-002</t>
  </si>
  <si>
    <t>Faltante en conteo cíclico</t>
  </si>
  <si>
    <t>E-20260502-075940-9C62</t>
  </si>
  <si>
    <t>FC-10233</t>
  </si>
  <si>
    <t>Recepción OC-2213</t>
  </si>
  <si>
    <t>E-20260506-111413-90FB</t>
  </si>
  <si>
    <t>FC-10234</t>
  </si>
  <si>
    <t>Recepción OC-2214</t>
  </si>
  <si>
    <t>E-20260508-120822-D132</t>
  </si>
  <si>
    <t>FC-10235</t>
  </si>
  <si>
    <t>Recepción OC-2215</t>
  </si>
  <si>
    <t>E-20260513-155912-A23C</t>
  </si>
  <si>
    <t>AJ-003</t>
  </si>
  <si>
    <t>Devolución interna sin registrar</t>
  </si>
  <si>
    <t>E-20260519-120437-E307</t>
  </si>
  <si>
    <t>FC-10236</t>
  </si>
  <si>
    <t>Recepción OC-2216</t>
  </si>
  <si>
    <t>E-20260522-110231-0E89</t>
  </si>
  <si>
    <t>FC-10237</t>
  </si>
  <si>
    <t>Recepción OC-2217</t>
  </si>
  <si>
    <t>E-20260526-074415-8BDB</t>
  </si>
  <si>
    <t>FC-10238</t>
  </si>
  <si>
    <t>Recepción OC-2218</t>
  </si>
  <si>
    <t>E-20260527-110741-D5BC</t>
  </si>
  <si>
    <t>FC-10239</t>
  </si>
  <si>
    <t>Recepción OC-2219</t>
  </si>
  <si>
    <t>E-20260527-163942-6AB9</t>
  </si>
  <si>
    <t>AJ-004</t>
  </si>
  <si>
    <t>E-20260529-091236-6D59</t>
  </si>
  <si>
    <t>FC-10240</t>
  </si>
  <si>
    <t>Recepción OC-2220</t>
  </si>
  <si>
    <t>E-20260601-092034-F25C</t>
  </si>
  <si>
    <t>FC-10241</t>
  </si>
  <si>
    <t>Recepción OC-2221</t>
  </si>
  <si>
    <t>E-20260608-091154-52A1</t>
  </si>
  <si>
    <t>FC-10242</t>
  </si>
  <si>
    <t>Recepción OC-2222</t>
  </si>
  <si>
    <t>E-20260610-155339-3E41</t>
  </si>
  <si>
    <t>AJ-005</t>
  </si>
  <si>
    <t>E-20260615-081447-5C93</t>
  </si>
  <si>
    <t>FC-10243</t>
  </si>
  <si>
    <t>Recepción OC-2223</t>
  </si>
  <si>
    <t>E-20260615-085948-9A96</t>
  </si>
  <si>
    <t>FC-10244</t>
  </si>
  <si>
    <t>Recepción OC-2224</t>
  </si>
  <si>
    <t>E-20260616-100510-D1E7</t>
  </si>
  <si>
    <t>FC-10245</t>
  </si>
  <si>
    <t>Recepción OC-2225</t>
  </si>
  <si>
    <t>E-20260618-095743-39D6</t>
  </si>
  <si>
    <t>FC-10246</t>
  </si>
  <si>
    <t>Recepción OC-2226</t>
  </si>
  <si>
    <t>E-20260622-091404-DC86</t>
  </si>
  <si>
    <t>FC-10247</t>
  </si>
  <si>
    <t>Recepción OC-2227</t>
  </si>
  <si>
    <t>E-20260622-102038-16AD</t>
  </si>
  <si>
    <t>FC-10248</t>
  </si>
  <si>
    <t>Recepción OC-2228</t>
  </si>
  <si>
    <t>E-20260623-104754-68C0</t>
  </si>
  <si>
    <t>FC-10249</t>
  </si>
  <si>
    <t>Recepción OC-2229</t>
  </si>
  <si>
    <t>E-20260624-161202-9902</t>
  </si>
  <si>
    <t>AJ-006</t>
  </si>
  <si>
    <t>E-20260625-105016-750A</t>
  </si>
  <si>
    <t>FC-10250</t>
  </si>
  <si>
    <t>Recepción OC-2230</t>
  </si>
  <si>
    <t>E-20260707-133841-61BF</t>
  </si>
  <si>
    <t>FC-10251</t>
  </si>
  <si>
    <t>Recepción OC-2231</t>
  </si>
  <si>
    <t>E-20260708-093858-7FEF</t>
  </si>
  <si>
    <t>AJ-007</t>
  </si>
  <si>
    <t>E-20260718-171800-471B</t>
  </si>
  <si>
    <t>FC-10252</t>
  </si>
  <si>
    <t>Recepción OC-2232</t>
  </si>
  <si>
    <t>E-20260720-134733-5924</t>
  </si>
  <si>
    <t>FC-10253</t>
  </si>
  <si>
    <t>Recepción OC-2233</t>
  </si>
  <si>
    <t>E-20260722-163356-0A3B</t>
  </si>
  <si>
    <t>AJ-008</t>
  </si>
  <si>
    <t>E-20260727-091756-0072</t>
  </si>
  <si>
    <t>FC-10254</t>
  </si>
  <si>
    <t>Recepción OC-2234</t>
  </si>
  <si>
    <t>E-20260727-095734-F2C2</t>
  </si>
  <si>
    <t>FC-10255</t>
  </si>
  <si>
    <t>Recepción OC-2235</t>
  </si>
  <si>
    <t>E-20260727-104227-FD8D</t>
  </si>
  <si>
    <t>FC-10256</t>
  </si>
  <si>
    <t>Recepción OC-2236</t>
  </si>
  <si>
    <t>E-20260730-075800-EE69</t>
  </si>
  <si>
    <t>FC-10257</t>
  </si>
  <si>
    <t>Recepción OC-2237</t>
  </si>
  <si>
    <t>E-20260731-073641-A64D</t>
  </si>
  <si>
    <t>FC-10258</t>
  </si>
  <si>
    <t>Recepción OC-2238</t>
  </si>
  <si>
    <t>E-20260801-102929-599B</t>
  </si>
  <si>
    <t>FC-10259</t>
  </si>
  <si>
    <t>Recepción OC-2239</t>
  </si>
  <si>
    <t>E-20260803-094750-1039</t>
  </si>
  <si>
    <t>FC-10260</t>
  </si>
  <si>
    <t>Recepción OC-2240</t>
  </si>
  <si>
    <t>E-20260805-172739-D548</t>
  </si>
  <si>
    <t>AJ-009</t>
  </si>
  <si>
    <t>E-20260810-142256-6915</t>
  </si>
  <si>
    <t>FC-10261</t>
  </si>
  <si>
    <t>Recepción OC-2241</t>
  </si>
  <si>
    <t>E-20260817-142901-068C</t>
  </si>
  <si>
    <t>FC-10262</t>
  </si>
  <si>
    <t>Recepción OC-2242</t>
  </si>
  <si>
    <t>E-20260819-172804-3BBE</t>
  </si>
  <si>
    <t>AJ-010</t>
  </si>
  <si>
    <t>Sobrante en conteo cíclico</t>
  </si>
  <si>
    <t>E-20260822-085110-CF37</t>
  </si>
  <si>
    <t>FC-10263</t>
  </si>
  <si>
    <t>Recepción OC-2243</t>
  </si>
  <si>
    <t>E-20260824-094636-7F8F</t>
  </si>
  <si>
    <t>FC-10264</t>
  </si>
  <si>
    <t>Recepción OC-2244</t>
  </si>
  <si>
    <t>E-20260828-080938-F197</t>
  </si>
  <si>
    <t>FC-10265</t>
  </si>
  <si>
    <t>Recepción OC-2245</t>
  </si>
  <si>
    <t>E-20260829-074815-C8AD</t>
  </si>
  <si>
    <t>FC-10266</t>
  </si>
  <si>
    <t>Recepción OC-2246</t>
  </si>
  <si>
    <t>E-20260902-151830-8189</t>
  </si>
  <si>
    <t>AJ-011</t>
  </si>
  <si>
    <t>E-20260907-075044-C4AB</t>
  </si>
  <si>
    <t>FC-10267</t>
  </si>
  <si>
    <t>Recepción OC-2247</t>
  </si>
  <si>
    <t>E-20260912-073128-0DC4</t>
  </si>
  <si>
    <t>FC-10268</t>
  </si>
  <si>
    <t>Recepción OC-2248</t>
  </si>
  <si>
    <t>E-20260914-081704-0E60</t>
  </si>
  <si>
    <t>FC-10269</t>
  </si>
  <si>
    <t>Recepción OC-2249</t>
  </si>
  <si>
    <t>E-20260916-154824-1F69</t>
  </si>
  <si>
    <t>AJ-012</t>
  </si>
  <si>
    <t>E-20260922-081350-6B82</t>
  </si>
  <si>
    <t>FC-10270</t>
  </si>
  <si>
    <t>Recepción OC-2250</t>
  </si>
  <si>
    <t>E-20260925-125527-3151</t>
  </si>
  <si>
    <t>FC-10271</t>
  </si>
  <si>
    <t>E-20260925-132637-6896</t>
  </si>
  <si>
    <t>FC-10272</t>
  </si>
  <si>
    <t>Compra por oportunidad de precio (volumen)</t>
  </si>
  <si>
    <t>E-20260925-145210-7475</t>
  </si>
  <si>
    <t>FC-10273</t>
  </si>
  <si>
    <t>Recepción OC-2252</t>
  </si>
  <si>
    <t>E-20260925-163725-6ED4</t>
  </si>
  <si>
    <t>FC-10274</t>
  </si>
  <si>
    <t>⚙ Botón «Registrar en bodega» · Office Script RegistrarEntrada.ts (si no lo ve, instálelo: Guía › Instalación)</t>
  </si>
  <si>
    <t>Complete su fila, revise que Validación diga ✔ y pulse el botón de la derecha. Rojo tachado = no hay stock suficiente.</t>
  </si>
  <si>
    <t>Salidas · Ventas</t>
  </si>
  <si>
    <t>Fragmento de escritura de Ventas · Cada vendedor escribe en SU fila · Si no hay stock, la cantidad se tiñe de rojo tachado y el script bloquea la salida</t>
  </si>
  <si>
    <t>Constructora Andina</t>
  </si>
  <si>
    <t>Taller El Progreso</t>
  </si>
  <si>
    <t>S-20260402-083732-6262</t>
  </si>
  <si>
    <t>RM-5541</t>
  </si>
  <si>
    <t>S-20260402-105907-7F29</t>
  </si>
  <si>
    <t>RM-5542</t>
  </si>
  <si>
    <t>S-20260402-132514-D277</t>
  </si>
  <si>
    <t>RM-5543</t>
  </si>
  <si>
    <t>Venta mostrador</t>
  </si>
  <si>
    <t>S-20260403-121159-73FE</t>
  </si>
  <si>
    <t>RM-5544</t>
  </si>
  <si>
    <t>Cliente: Mantenimientos Integrales</t>
  </si>
  <si>
    <t>S-20260403-160944-404E</t>
  </si>
  <si>
    <t>RM-5545</t>
  </si>
  <si>
    <t>S-20260403-170336-995A</t>
  </si>
  <si>
    <t>RM-5546</t>
  </si>
  <si>
    <t>Consumo interno mantenimiento</t>
  </si>
  <si>
    <t>S-20260404-091716-EE18</t>
  </si>
  <si>
    <t>RM-5547</t>
  </si>
  <si>
    <t>S-20260404-122843-681F</t>
  </si>
  <si>
    <t>RM-5548</t>
  </si>
  <si>
    <t>S-20260404-143123-4866</t>
  </si>
  <si>
    <t>RM-5549</t>
  </si>
  <si>
    <t>S-20260404-150240-ADA7</t>
  </si>
  <si>
    <t>RM-5550</t>
  </si>
  <si>
    <t>S-20260406-084857-7B62</t>
  </si>
  <si>
    <t>RM-5551</t>
  </si>
  <si>
    <t>Cliente: Ferretería La 30</t>
  </si>
  <si>
    <t>S-20260406-090756-951C</t>
  </si>
  <si>
    <t>RM-5552</t>
  </si>
  <si>
    <t>S-20260406-104340-F6F8</t>
  </si>
  <si>
    <t>RM-5553</t>
  </si>
  <si>
    <t>Cliente: Taller El Progreso</t>
  </si>
  <si>
    <t>S-20260406-122801-9F89</t>
  </si>
  <si>
    <t>RM-5554</t>
  </si>
  <si>
    <t>Cliente: Obras Civiles del Norte</t>
  </si>
  <si>
    <t>S-20260407-084432-C2FF</t>
  </si>
  <si>
    <t>RM-5555</t>
  </si>
  <si>
    <t>Cliente: Constructora Andina</t>
  </si>
  <si>
    <t>S-20260407-085551-8800</t>
  </si>
  <si>
    <t>RM-5556</t>
  </si>
  <si>
    <t>S-20260407-150725-0806</t>
  </si>
  <si>
    <t>RM-5557</t>
  </si>
  <si>
    <t>S-20260407-162613-F54C</t>
  </si>
  <si>
    <t>RM-5558</t>
  </si>
  <si>
    <t>S-20260407-163910-8784</t>
  </si>
  <si>
    <t>RM-5559</t>
  </si>
  <si>
    <t>Liquidación producto descontinuado</t>
  </si>
  <si>
    <t>S-20260408-114102-33E2</t>
  </si>
  <si>
    <t>RM-5560</t>
  </si>
  <si>
    <t>S-20260409-080833-0551</t>
  </si>
  <si>
    <t>RM-5561</t>
  </si>
  <si>
    <t>S-20260409-112740-8B0C</t>
  </si>
  <si>
    <t>RM-5562</t>
  </si>
  <si>
    <t>S-20260410-093648-CAD7</t>
  </si>
  <si>
    <t>RM-5563</t>
  </si>
  <si>
    <t>S-20260410-130055-D3B3</t>
  </si>
  <si>
    <t>RM-5564</t>
  </si>
  <si>
    <t>S-20260410-164346-6D15</t>
  </si>
  <si>
    <t>RM-5565</t>
  </si>
  <si>
    <t>S-20260411-090824-7DA4</t>
  </si>
  <si>
    <t>RM-5566</t>
  </si>
  <si>
    <t>S-20260411-171734-2591</t>
  </si>
  <si>
    <t>RM-5567</t>
  </si>
  <si>
    <t>S-20260413-080049-E357</t>
  </si>
  <si>
    <t>RM-5568</t>
  </si>
  <si>
    <t>S-20260414-094210-289D</t>
  </si>
  <si>
    <t>RM-5569</t>
  </si>
  <si>
    <t>S-20260414-095142-9C5D</t>
  </si>
  <si>
    <t>RM-5570</t>
  </si>
  <si>
    <t>S-20260414-133803-D17F</t>
  </si>
  <si>
    <t>RM-5571</t>
  </si>
  <si>
    <t>S-20260414-154444-85A5</t>
  </si>
  <si>
    <t>RM-5572</t>
  </si>
  <si>
    <t>S-20260415-074510-5C57</t>
  </si>
  <si>
    <t>RM-5573</t>
  </si>
  <si>
    <t>S-20260415-080058-AE06</t>
  </si>
  <si>
    <t>RM-5574</t>
  </si>
  <si>
    <t>S-20260415-095136-6857</t>
  </si>
  <si>
    <t>RM-5575</t>
  </si>
  <si>
    <t>S-20260416-124157-D0FF</t>
  </si>
  <si>
    <t>RM-5576</t>
  </si>
  <si>
    <t>S-20260416-141557-58A6</t>
  </si>
  <si>
    <t>RM-5577</t>
  </si>
  <si>
    <t>S-20260416-165030-C805</t>
  </si>
  <si>
    <t>RM-5578</t>
  </si>
  <si>
    <t>S-20260417-142920-51A1</t>
  </si>
  <si>
    <t>RM-5579</t>
  </si>
  <si>
    <t>S-20260417-161652-C626</t>
  </si>
  <si>
    <t>RM-5580</t>
  </si>
  <si>
    <t>S-20260417-163744-8111</t>
  </si>
  <si>
    <t>RM-5581</t>
  </si>
  <si>
    <t>S-20260418-155511-287D</t>
  </si>
  <si>
    <t>RM-5582</t>
  </si>
  <si>
    <t>Cliente: Colegio San José</t>
  </si>
  <si>
    <t>S-20260420-111419-3B3C</t>
  </si>
  <si>
    <t>RM-5583</t>
  </si>
  <si>
    <t>S-20260420-142530-6A20</t>
  </si>
  <si>
    <t>RM-5584</t>
  </si>
  <si>
    <t>S-20260420-155339-B992</t>
  </si>
  <si>
    <t>RM-5585</t>
  </si>
  <si>
    <t>S-20260421-115230-30D9</t>
  </si>
  <si>
    <t>RM-5586</t>
  </si>
  <si>
    <t>S-20260421-122345-5927</t>
  </si>
  <si>
    <t>RM-5587</t>
  </si>
  <si>
    <t>S-20260421-161134-FF5A</t>
  </si>
  <si>
    <t>RM-5588</t>
  </si>
  <si>
    <t>S-20260422-075741-C47B</t>
  </si>
  <si>
    <t>RM-5589</t>
  </si>
  <si>
    <t>S-20260422-161550-9C4B</t>
  </si>
  <si>
    <t>RM-5590</t>
  </si>
  <si>
    <t>S-20260423-101635-8261</t>
  </si>
  <si>
    <t>RM-5591</t>
  </si>
  <si>
    <t>S-20260423-121349-E87E</t>
  </si>
  <si>
    <t>RM-5592</t>
  </si>
  <si>
    <t>S-20260424-112339-CBA6</t>
  </si>
  <si>
    <t>RM-5593</t>
  </si>
  <si>
    <t>S-20260425-091533-51F5</t>
  </si>
  <si>
    <t>RM-5594</t>
  </si>
  <si>
    <t>S-20260425-114210-E791</t>
  </si>
  <si>
    <t>RM-5595</t>
  </si>
  <si>
    <t>S-20260425-140447-5932</t>
  </si>
  <si>
    <t>RM-5596</t>
  </si>
  <si>
    <t>S-20260427-090910-C230</t>
  </si>
  <si>
    <t>RM-5597</t>
  </si>
  <si>
    <t>S-20260427-131102-2721</t>
  </si>
  <si>
    <t>RM-5598</t>
  </si>
  <si>
    <t>S-20260428-151807-DA74</t>
  </si>
  <si>
    <t>RM-5599</t>
  </si>
  <si>
    <t>S-20260428-163200-06DB</t>
  </si>
  <si>
    <t>RM-5600</t>
  </si>
  <si>
    <t>S-20260429-100222-9156</t>
  </si>
  <si>
    <t>RM-5601</t>
  </si>
  <si>
    <t>S-20260430-095744-8523</t>
  </si>
  <si>
    <t>RM-5602</t>
  </si>
  <si>
    <t>S-20260430-120511-E8B5</t>
  </si>
  <si>
    <t>RM-5603</t>
  </si>
  <si>
    <t>S-20260430-153455-6447</t>
  </si>
  <si>
    <t>RM-5604</t>
  </si>
  <si>
    <t>S-20260501-122538-78C4</t>
  </si>
  <si>
    <t>RM-5605</t>
  </si>
  <si>
    <t>S-20260501-135849-0478</t>
  </si>
  <si>
    <t>RM-5606</t>
  </si>
  <si>
    <t>S-20260501-151747-62EA</t>
  </si>
  <si>
    <t>RM-5607</t>
  </si>
  <si>
    <t>S-20260502-115400-E85D</t>
  </si>
  <si>
    <t>RM-5608</t>
  </si>
  <si>
    <t>S-20260502-145918-8535</t>
  </si>
  <si>
    <t>RM-5609</t>
  </si>
  <si>
    <t>S-20260502-165912-062C</t>
  </si>
  <si>
    <t>RM-5610</t>
  </si>
  <si>
    <t>S-20260502-170706-1EAD</t>
  </si>
  <si>
    <t>RM-5611</t>
  </si>
  <si>
    <t>S-20260504-100132-3C6A</t>
  </si>
  <si>
    <t>RM-5612</t>
  </si>
  <si>
    <t>S-20260504-110536-60EA</t>
  </si>
  <si>
    <t>RM-5613</t>
  </si>
  <si>
    <t>S-20260504-124731-E327</t>
  </si>
  <si>
    <t>RM-5614</t>
  </si>
  <si>
    <t>S-20260504-155741-29CD</t>
  </si>
  <si>
    <t>RM-5615</t>
  </si>
  <si>
    <t>S-20260505-101434-51F0</t>
  </si>
  <si>
    <t>RM-5616</t>
  </si>
  <si>
    <t>S-20260505-103720-DB22</t>
  </si>
  <si>
    <t>RM-5617</t>
  </si>
  <si>
    <t>S-20260505-143924-F13C</t>
  </si>
  <si>
    <t>RM-5618</t>
  </si>
  <si>
    <t>S-20260506-121129-4412</t>
  </si>
  <si>
    <t>RM-5619</t>
  </si>
  <si>
    <t>S-20260506-130123-B8A0</t>
  </si>
  <si>
    <t>RM-5620</t>
  </si>
  <si>
    <t>S-20260507-110156-E58E</t>
  </si>
  <si>
    <t>RM-5621</t>
  </si>
  <si>
    <t>S-20260507-140110-0620</t>
  </si>
  <si>
    <t>RM-5622</t>
  </si>
  <si>
    <t>S-20260508-124936-D28F</t>
  </si>
  <si>
    <t>RM-5623</t>
  </si>
  <si>
    <t>S-20260508-143515-623C</t>
  </si>
  <si>
    <t>RM-5624</t>
  </si>
  <si>
    <t>S-20260509-122519-A819</t>
  </si>
  <si>
    <t>RM-5625</t>
  </si>
  <si>
    <t>S-20260511-092154-5637</t>
  </si>
  <si>
    <t>RM-5626</t>
  </si>
  <si>
    <t>S-20260511-092203-E5FC</t>
  </si>
  <si>
    <t>RM-5627</t>
  </si>
  <si>
    <t>S-20260511-110006-AF13</t>
  </si>
  <si>
    <t>RM-5628</t>
  </si>
  <si>
    <t>S-20260512-113620-ADBE</t>
  </si>
  <si>
    <t>RM-5629</t>
  </si>
  <si>
    <t>S-20260512-120529-913F</t>
  </si>
  <si>
    <t>RM-5630</t>
  </si>
  <si>
    <t>S-20260512-145956-325B</t>
  </si>
  <si>
    <t>RM-5631</t>
  </si>
  <si>
    <t>S-20260513-074638-B38D</t>
  </si>
  <si>
    <t>RM-5632</t>
  </si>
  <si>
    <t>S-20260513-090423-9392</t>
  </si>
  <si>
    <t>RM-5633</t>
  </si>
  <si>
    <t>S-20260514-074346-786B</t>
  </si>
  <si>
    <t>RM-5634</t>
  </si>
  <si>
    <t>S-20260514-081355-31E0</t>
  </si>
  <si>
    <t>RM-5635</t>
  </si>
  <si>
    <t>S-20260514-100202-843C</t>
  </si>
  <si>
    <t>RM-5636</t>
  </si>
  <si>
    <t>S-20260515-112231-49B1</t>
  </si>
  <si>
    <t>RM-5637</t>
  </si>
  <si>
    <t>S-20260515-144935-E41A</t>
  </si>
  <si>
    <t>RM-5638</t>
  </si>
  <si>
    <t>S-20260516-122622-4F5B</t>
  </si>
  <si>
    <t>RM-5639</t>
  </si>
  <si>
    <t>S-20260516-130854-4BBE</t>
  </si>
  <si>
    <t>RM-5640</t>
  </si>
  <si>
    <t>S-20260516-144550-6B45</t>
  </si>
  <si>
    <t>RM-5641</t>
  </si>
  <si>
    <t>S-20260516-171022-C3B7</t>
  </si>
  <si>
    <t>RM-5642</t>
  </si>
  <si>
    <t>S-20260518-090139-025C</t>
  </si>
  <si>
    <t>RM-5643</t>
  </si>
  <si>
    <t>S-20260518-094610-EC6C</t>
  </si>
  <si>
    <t>RM-5644</t>
  </si>
  <si>
    <t>S-20260519-150542-DFB4</t>
  </si>
  <si>
    <t>RM-5645</t>
  </si>
  <si>
    <t>S-20260519-172713-9A05</t>
  </si>
  <si>
    <t>RM-5646</t>
  </si>
  <si>
    <t>S-20260520-084430-BE50</t>
  </si>
  <si>
    <t>RM-5647</t>
  </si>
  <si>
    <t>S-20260521-110639-9FA3</t>
  </si>
  <si>
    <t>RM-5648</t>
  </si>
  <si>
    <t>S-20260522-131137-E865</t>
  </si>
  <si>
    <t>RM-5649</t>
  </si>
  <si>
    <t>S-20260522-143141-079D</t>
  </si>
  <si>
    <t>RM-5650</t>
  </si>
  <si>
    <t>S-20260522-170943-8784</t>
  </si>
  <si>
    <t>RM-5651</t>
  </si>
  <si>
    <t>S-20260523-090318-9084</t>
  </si>
  <si>
    <t>RM-5652</t>
  </si>
  <si>
    <t>S-20260523-100923-D090</t>
  </si>
  <si>
    <t>RM-5653</t>
  </si>
  <si>
    <t>S-20260523-103558-D878</t>
  </si>
  <si>
    <t>RM-5654</t>
  </si>
  <si>
    <t>S-20260523-133248-D897</t>
  </si>
  <si>
    <t>RM-5655</t>
  </si>
  <si>
    <t>S-20260525-095633-2BDF</t>
  </si>
  <si>
    <t>RM-5656</t>
  </si>
  <si>
    <t>S-20260525-142521-5C20</t>
  </si>
  <si>
    <t>RM-5657</t>
  </si>
  <si>
    <t>S-20260525-150555-13D8</t>
  </si>
  <si>
    <t>RM-5658</t>
  </si>
  <si>
    <t>S-20260526-082113-4B81</t>
  </si>
  <si>
    <t>RM-5659</t>
  </si>
  <si>
    <t>S-20260526-104834-A415</t>
  </si>
  <si>
    <t>RM-5660</t>
  </si>
  <si>
    <t>S-20260527-133053-BD58</t>
  </si>
  <si>
    <t>RM-5661</t>
  </si>
  <si>
    <t>S-20260527-153116-C75F</t>
  </si>
  <si>
    <t>RM-5662</t>
  </si>
  <si>
    <t>S-20260528-103946-4ACF</t>
  </si>
  <si>
    <t>RM-5663</t>
  </si>
  <si>
    <t>S-20260528-124130-631D</t>
  </si>
  <si>
    <t>RM-5664</t>
  </si>
  <si>
    <t>S-20260529-105903-9C17</t>
  </si>
  <si>
    <t>RM-5665</t>
  </si>
  <si>
    <t>S-20260529-111841-63ED</t>
  </si>
  <si>
    <t>RM-5666</t>
  </si>
  <si>
    <t>S-20260529-155856-C17B</t>
  </si>
  <si>
    <t>RM-5667</t>
  </si>
  <si>
    <t>S-20260530-084914-F21C</t>
  </si>
  <si>
    <t>RM-5668</t>
  </si>
  <si>
    <t>S-20260530-115117-0496</t>
  </si>
  <si>
    <t>RM-5669</t>
  </si>
  <si>
    <t>S-20260601-105129-7FA2</t>
  </si>
  <si>
    <t>RM-5670</t>
  </si>
  <si>
    <t>S-20260601-110016-73E2</t>
  </si>
  <si>
    <t>RM-5671</t>
  </si>
  <si>
    <t>S-20260601-133509-24D2</t>
  </si>
  <si>
    <t>RM-5672</t>
  </si>
  <si>
    <t>S-20260601-160806-A30C</t>
  </si>
  <si>
    <t>RM-5673</t>
  </si>
  <si>
    <t>S-20260602-095033-1820</t>
  </si>
  <si>
    <t>RM-5674</t>
  </si>
  <si>
    <t>S-20260602-100905-C1CD</t>
  </si>
  <si>
    <t>RM-5675</t>
  </si>
  <si>
    <t>S-20260602-163223-1F5E</t>
  </si>
  <si>
    <t>RM-5676</t>
  </si>
  <si>
    <t>S-20260602-165813-C5B8</t>
  </si>
  <si>
    <t>RM-5677</t>
  </si>
  <si>
    <t>S-20260603-085448-E7FB</t>
  </si>
  <si>
    <t>RM-5678</t>
  </si>
  <si>
    <t>S-20260604-115637-90AA</t>
  </si>
  <si>
    <t>RM-5679</t>
  </si>
  <si>
    <t>S-20260604-143347-E0E6</t>
  </si>
  <si>
    <t>RM-5680</t>
  </si>
  <si>
    <t>S-20260604-163857-8612</t>
  </si>
  <si>
    <t>RM-5681</t>
  </si>
  <si>
    <t>S-20260604-171305-FF3B</t>
  </si>
  <si>
    <t>RM-5682</t>
  </si>
  <si>
    <t>S-20260605-083445-525E</t>
  </si>
  <si>
    <t>RM-5683</t>
  </si>
  <si>
    <t>S-20260605-100524-41A8</t>
  </si>
  <si>
    <t>RM-5684</t>
  </si>
  <si>
    <t>S-20260605-154553-5792</t>
  </si>
  <si>
    <t>RM-5685</t>
  </si>
  <si>
    <t>S-20260606-103615-63E6</t>
  </si>
  <si>
    <t>RM-5686</t>
  </si>
  <si>
    <t>S-20260606-154932-49BF</t>
  </si>
  <si>
    <t>RM-5687</t>
  </si>
  <si>
    <t>S-20260608-105551-9325</t>
  </si>
  <si>
    <t>RM-5688</t>
  </si>
  <si>
    <t>S-20260608-112120-ACF2</t>
  </si>
  <si>
    <t>RM-5689</t>
  </si>
  <si>
    <t>S-20260608-161714-198E</t>
  </si>
  <si>
    <t>RM-5690</t>
  </si>
  <si>
    <t>S-20260609-125248-A8F9</t>
  </si>
  <si>
    <t>RM-5691</t>
  </si>
  <si>
    <t>S-20260609-165529-EC9A</t>
  </si>
  <si>
    <t>RM-5692</t>
  </si>
  <si>
    <t>S-20260610-074841-DD3A</t>
  </si>
  <si>
    <t>RM-5693</t>
  </si>
  <si>
    <t>S-20260610-084348-B432</t>
  </si>
  <si>
    <t>RM-5694</t>
  </si>
  <si>
    <t>S-20260610-111753-2594</t>
  </si>
  <si>
    <t>RM-5695</t>
  </si>
  <si>
    <t>S-20260610-113527-B019</t>
  </si>
  <si>
    <t>RM-5696</t>
  </si>
  <si>
    <t>S-20260611-103410-3F6E</t>
  </si>
  <si>
    <t>RM-5697</t>
  </si>
  <si>
    <t>S-20260611-124845-B8C9</t>
  </si>
  <si>
    <t>RM-5698</t>
  </si>
  <si>
    <t>S-20260611-143220-7DF1</t>
  </si>
  <si>
    <t>RM-5699</t>
  </si>
  <si>
    <t>S-20260611-153844-FCBF</t>
  </si>
  <si>
    <t>RM-5700</t>
  </si>
  <si>
    <t>S-20260612-082459-B2E6</t>
  </si>
  <si>
    <t>RM-5701</t>
  </si>
  <si>
    <t>S-20260612-110128-76F6</t>
  </si>
  <si>
    <t>RM-5702</t>
  </si>
  <si>
    <t>S-20260613-102548-DBFB</t>
  </si>
  <si>
    <t>RM-5703</t>
  </si>
  <si>
    <t>S-20260613-143340-7D40</t>
  </si>
  <si>
    <t>RM-5704</t>
  </si>
  <si>
    <t>S-20260615-105836-A832</t>
  </si>
  <si>
    <t>RM-5705</t>
  </si>
  <si>
    <t>S-20260615-120838-00C9</t>
  </si>
  <si>
    <t>RM-5706</t>
  </si>
  <si>
    <t>S-20260615-121839-5687</t>
  </si>
  <si>
    <t>RM-5707</t>
  </si>
  <si>
    <t>S-20260616-122158-6F01</t>
  </si>
  <si>
    <t>RM-5708</t>
  </si>
  <si>
    <t>S-20260616-122252-ED40</t>
  </si>
  <si>
    <t>RM-5709</t>
  </si>
  <si>
    <t>S-20260616-145825-5716</t>
  </si>
  <si>
    <t>RM-5710</t>
  </si>
  <si>
    <t>S-20260616-152019-DFE2</t>
  </si>
  <si>
    <t>RM-5711</t>
  </si>
  <si>
    <t>S-20260617-125149-4704</t>
  </si>
  <si>
    <t>RM-5712</t>
  </si>
  <si>
    <t>S-20260617-160446-AFC2</t>
  </si>
  <si>
    <t>RM-5713</t>
  </si>
  <si>
    <t>S-20260618-102821-9CAD</t>
  </si>
  <si>
    <t>RM-5714</t>
  </si>
  <si>
    <t>S-20260619-075058-85CB</t>
  </si>
  <si>
    <t>RM-5715</t>
  </si>
  <si>
    <t>S-20260619-101149-DAAC</t>
  </si>
  <si>
    <t>RM-5716</t>
  </si>
  <si>
    <t>S-20260620-081005-90C6</t>
  </si>
  <si>
    <t>RM-5717</t>
  </si>
  <si>
    <t>S-20260620-083258-71E5</t>
  </si>
  <si>
    <t>RM-5718</t>
  </si>
  <si>
    <t>S-20260620-103714-F95D</t>
  </si>
  <si>
    <t>RM-5719</t>
  </si>
  <si>
    <t>S-20260620-165120-D882</t>
  </si>
  <si>
    <t>RM-5720</t>
  </si>
  <si>
    <t>S-20260622-120709-9851</t>
  </si>
  <si>
    <t>RM-5721</t>
  </si>
  <si>
    <t>S-20260622-170712-9AAB</t>
  </si>
  <si>
    <t>RM-5722</t>
  </si>
  <si>
    <t>S-20260623-163312-CF76</t>
  </si>
  <si>
    <t>RM-5723</t>
  </si>
  <si>
    <t>S-20260624-110800-019C</t>
  </si>
  <si>
    <t>RM-5724</t>
  </si>
  <si>
    <t>S-20260624-140943-61C1</t>
  </si>
  <si>
    <t>RM-5725</t>
  </si>
  <si>
    <t>S-20260625-125428-4561</t>
  </si>
  <si>
    <t>RM-5726</t>
  </si>
  <si>
    <t>S-20260625-132033-506E</t>
  </si>
  <si>
    <t>RM-5727</t>
  </si>
  <si>
    <t>S-20260626-141125-5486</t>
  </si>
  <si>
    <t>RM-5728</t>
  </si>
  <si>
    <t>S-20260626-154227-AD52</t>
  </si>
  <si>
    <t>RM-5729</t>
  </si>
  <si>
    <t>S-20260627-083003-0045</t>
  </si>
  <si>
    <t>RM-5730</t>
  </si>
  <si>
    <t>S-20260627-084528-211C</t>
  </si>
  <si>
    <t>RM-5731</t>
  </si>
  <si>
    <t>S-20260629-120740-5591</t>
  </si>
  <si>
    <t>RM-5732</t>
  </si>
  <si>
    <t>S-20260629-134914-F90F</t>
  </si>
  <si>
    <t>RM-5733</t>
  </si>
  <si>
    <t>S-20260630-080608-D7D7</t>
  </si>
  <si>
    <t>RM-5734</t>
  </si>
  <si>
    <t>S-20260630-153548-4D38</t>
  </si>
  <si>
    <t>RM-5735</t>
  </si>
  <si>
    <t>S-20260630-155114-27B7</t>
  </si>
  <si>
    <t>RM-5736</t>
  </si>
  <si>
    <t>S-20260630-155121-1CA2</t>
  </si>
  <si>
    <t>RM-5737</t>
  </si>
  <si>
    <t>S-20260701-103037-33B5</t>
  </si>
  <si>
    <t>RM-5738</t>
  </si>
  <si>
    <t>S-20260701-133330-9089</t>
  </si>
  <si>
    <t>RM-5739</t>
  </si>
  <si>
    <t>S-20260701-145719-4858</t>
  </si>
  <si>
    <t>RM-5740</t>
  </si>
  <si>
    <t>S-20260702-163723-9EFF</t>
  </si>
  <si>
    <t>RM-5741</t>
  </si>
  <si>
    <t>S-20260703-111243-F6E3</t>
  </si>
  <si>
    <t>RM-5742</t>
  </si>
  <si>
    <t>S-20260703-154822-9472</t>
  </si>
  <si>
    <t>RM-5743</t>
  </si>
  <si>
    <t>S-20260704-135734-4410</t>
  </si>
  <si>
    <t>RM-5744</t>
  </si>
  <si>
    <t>S-20260704-150022-DBE4</t>
  </si>
  <si>
    <t>RM-5745</t>
  </si>
  <si>
    <t>S-20260706-123001-ABE0</t>
  </si>
  <si>
    <t>RM-5746</t>
  </si>
  <si>
    <t>S-20260706-154452-02A8</t>
  </si>
  <si>
    <t>RM-5747</t>
  </si>
  <si>
    <t>S-20260706-162115-B020</t>
  </si>
  <si>
    <t>RM-5748</t>
  </si>
  <si>
    <t>S-20260707-140353-C92B</t>
  </si>
  <si>
    <t>RM-5749</t>
  </si>
  <si>
    <t>S-20260708-081131-4DCE</t>
  </si>
  <si>
    <t>RM-5750</t>
  </si>
  <si>
    <t>S-20260708-090237-2F2C</t>
  </si>
  <si>
    <t>RM-5751</t>
  </si>
  <si>
    <t>S-20260708-090522-E646</t>
  </si>
  <si>
    <t>RM-5752</t>
  </si>
  <si>
    <t>S-20260709-094551-B563</t>
  </si>
  <si>
    <t>RM-5753</t>
  </si>
  <si>
    <t>S-20260709-153136-D00C</t>
  </si>
  <si>
    <t>RM-5754</t>
  </si>
  <si>
    <t>S-20260710-090148-A36F</t>
  </si>
  <si>
    <t>RM-5755</t>
  </si>
  <si>
    <t>S-20260710-153630-A280</t>
  </si>
  <si>
    <t>RM-5756</t>
  </si>
  <si>
    <t>S-20260710-165854-8BAB</t>
  </si>
  <si>
    <t>RM-5757</t>
  </si>
  <si>
    <t>S-20260711-110952-4DE0</t>
  </si>
  <si>
    <t>RM-5758</t>
  </si>
  <si>
    <t>S-20260711-161713-C203</t>
  </si>
  <si>
    <t>RM-5759</t>
  </si>
  <si>
    <t>S-20260711-162053-F1ED</t>
  </si>
  <si>
    <t>RM-5760</t>
  </si>
  <si>
    <t>S-20260713-073900-7F55</t>
  </si>
  <si>
    <t>RM-5761</t>
  </si>
  <si>
    <t>S-20260713-085304-CC29</t>
  </si>
  <si>
    <t>RM-5762</t>
  </si>
  <si>
    <t>S-20260713-170418-622E</t>
  </si>
  <si>
    <t>RM-5763</t>
  </si>
  <si>
    <t>S-20260714-105304-CD76</t>
  </si>
  <si>
    <t>RM-5764</t>
  </si>
  <si>
    <t>S-20260714-122820-05B0</t>
  </si>
  <si>
    <t>RM-5765</t>
  </si>
  <si>
    <t>S-20260714-130037-971B</t>
  </si>
  <si>
    <t>RM-5766</t>
  </si>
  <si>
    <t>S-20260715-130356-9C60</t>
  </si>
  <si>
    <t>RM-5767</t>
  </si>
  <si>
    <t>S-20260715-131009-0CC9</t>
  </si>
  <si>
    <t>RM-5768</t>
  </si>
  <si>
    <t>S-20260715-144954-F840</t>
  </si>
  <si>
    <t>RM-5769</t>
  </si>
  <si>
    <t>S-20260716-084626-CA28</t>
  </si>
  <si>
    <t>RM-5770</t>
  </si>
  <si>
    <t>S-20260716-142454-C35A</t>
  </si>
  <si>
    <t>RM-5771</t>
  </si>
  <si>
    <t>S-20260717-141043-1D4A</t>
  </si>
  <si>
    <t>RM-5772</t>
  </si>
  <si>
    <t>S-20260718-172900-2340</t>
  </si>
  <si>
    <t>RM-5773</t>
  </si>
  <si>
    <t>S-20260720-144205-B5D2</t>
  </si>
  <si>
    <t>RM-5774</t>
  </si>
  <si>
    <t>S-20260720-152148-CC34</t>
  </si>
  <si>
    <t>RM-5775</t>
  </si>
  <si>
    <t>S-20260721-082008-179F</t>
  </si>
  <si>
    <t>RM-5776</t>
  </si>
  <si>
    <t>S-20260721-121027-07FC</t>
  </si>
  <si>
    <t>RM-5777</t>
  </si>
  <si>
    <t>S-20260721-143754-022B</t>
  </si>
  <si>
    <t>RM-5778</t>
  </si>
  <si>
    <t>S-20260722-095259-C4B6</t>
  </si>
  <si>
    <t>RM-5779</t>
  </si>
  <si>
    <t>S-20260722-135649-71BD</t>
  </si>
  <si>
    <t>RM-5780</t>
  </si>
  <si>
    <t>S-20260723-090955-DAD9</t>
  </si>
  <si>
    <t>RM-5781</t>
  </si>
  <si>
    <t>S-20260724-073256-3BB2</t>
  </si>
  <si>
    <t>RM-5782</t>
  </si>
  <si>
    <t>S-20260724-141239-456A</t>
  </si>
  <si>
    <t>RM-5783</t>
  </si>
  <si>
    <t>S-20260724-152649-8D7F</t>
  </si>
  <si>
    <t>RM-5784</t>
  </si>
  <si>
    <t>S-20260724-163640-B995</t>
  </si>
  <si>
    <t>RM-5785</t>
  </si>
  <si>
    <t>S-20260725-075530-7B91</t>
  </si>
  <si>
    <t>RM-5786</t>
  </si>
  <si>
    <t>S-20260725-091655-D70F</t>
  </si>
  <si>
    <t>RM-5787</t>
  </si>
  <si>
    <t>S-20260725-095921-674C</t>
  </si>
  <si>
    <t>RM-5788</t>
  </si>
  <si>
    <t>S-20260727-115549-9444</t>
  </si>
  <si>
    <t>RM-5789</t>
  </si>
  <si>
    <t>S-20260727-165854-DCF2</t>
  </si>
  <si>
    <t>RM-5790</t>
  </si>
  <si>
    <t>S-20260727-165947-F3AB</t>
  </si>
  <si>
    <t>RM-5791</t>
  </si>
  <si>
    <t>S-20260728-163107-9A2D</t>
  </si>
  <si>
    <t>RM-5792</t>
  </si>
  <si>
    <t>S-20260729-093908-839A</t>
  </si>
  <si>
    <t>RM-5793</t>
  </si>
  <si>
    <t>S-20260729-162854-0F06</t>
  </si>
  <si>
    <t>RM-5794</t>
  </si>
  <si>
    <t>S-20260730-092034-EF8D</t>
  </si>
  <si>
    <t>RM-5795</t>
  </si>
  <si>
    <t>S-20260730-140926-6BFF</t>
  </si>
  <si>
    <t>RM-5796</t>
  </si>
  <si>
    <t>S-20260730-142752-3B3E</t>
  </si>
  <si>
    <t>RM-5797</t>
  </si>
  <si>
    <t>S-20260731-162024-C019</t>
  </si>
  <si>
    <t>RM-5798</t>
  </si>
  <si>
    <t>S-20260731-163808-C791</t>
  </si>
  <si>
    <t>RM-5799</t>
  </si>
  <si>
    <t>S-20260801-134640-6DA7</t>
  </si>
  <si>
    <t>RM-5800</t>
  </si>
  <si>
    <t>S-20260801-140659-D1A9</t>
  </si>
  <si>
    <t>RM-5801</t>
  </si>
  <si>
    <t>S-20260801-152753-D476</t>
  </si>
  <si>
    <t>RM-5802</t>
  </si>
  <si>
    <t>S-20260803-161200-246D</t>
  </si>
  <si>
    <t>RM-5803</t>
  </si>
  <si>
    <t>S-20260803-165002-EC4B</t>
  </si>
  <si>
    <t>RM-5804</t>
  </si>
  <si>
    <t>S-20260804-110441-BFAE</t>
  </si>
  <si>
    <t>RM-5805</t>
  </si>
  <si>
    <t>S-20260804-162311-113F</t>
  </si>
  <si>
    <t>RM-5806</t>
  </si>
  <si>
    <t>S-20260805-103850-DA6B</t>
  </si>
  <si>
    <t>RM-5807</t>
  </si>
  <si>
    <t>S-20260806-080403-7616</t>
  </si>
  <si>
    <t>RM-5808</t>
  </si>
  <si>
    <t>S-20260806-093322-3AAD</t>
  </si>
  <si>
    <t>RM-5809</t>
  </si>
  <si>
    <t>S-20260806-152319-25B8</t>
  </si>
  <si>
    <t>RM-5810</t>
  </si>
  <si>
    <t>S-20260807-155256-B053</t>
  </si>
  <si>
    <t>RM-5811</t>
  </si>
  <si>
    <t>S-20260807-155618-ACEF</t>
  </si>
  <si>
    <t>RM-5812</t>
  </si>
  <si>
    <t>S-20260807-165621-FA8F</t>
  </si>
  <si>
    <t>RM-5813</t>
  </si>
  <si>
    <t>S-20260808-110006-0F96</t>
  </si>
  <si>
    <t>RM-5814</t>
  </si>
  <si>
    <t>S-20260808-145211-1D54</t>
  </si>
  <si>
    <t>RM-5815</t>
  </si>
  <si>
    <t>S-20260808-170558-B013</t>
  </si>
  <si>
    <t>RM-5816</t>
  </si>
  <si>
    <t>S-20260810-143148-C2E2</t>
  </si>
  <si>
    <t>RM-5817</t>
  </si>
  <si>
    <t>S-20260810-143731-337C</t>
  </si>
  <si>
    <t>RM-5818</t>
  </si>
  <si>
    <t>S-20260810-163500-C1C9</t>
  </si>
  <si>
    <t>RM-5819</t>
  </si>
  <si>
    <t>S-20260811-074727-7CF6</t>
  </si>
  <si>
    <t>RM-5820</t>
  </si>
  <si>
    <t>S-20260811-131431-4377</t>
  </si>
  <si>
    <t>RM-5821</t>
  </si>
  <si>
    <t>S-20260811-133545-ACD2</t>
  </si>
  <si>
    <t>RM-5822</t>
  </si>
  <si>
    <t>S-20260812-081356-A7D7</t>
  </si>
  <si>
    <t>RM-5823</t>
  </si>
  <si>
    <t>S-20260812-102147-3F2C</t>
  </si>
  <si>
    <t>RM-5824</t>
  </si>
  <si>
    <t>S-20260812-102654-5959</t>
  </si>
  <si>
    <t>RM-5825</t>
  </si>
  <si>
    <t>S-20260812-170257-8DD6</t>
  </si>
  <si>
    <t>RM-5826</t>
  </si>
  <si>
    <t>S-20260813-112218-8071</t>
  </si>
  <si>
    <t>RM-5827</t>
  </si>
  <si>
    <t>S-20260813-144527-30C1</t>
  </si>
  <si>
    <t>RM-5828</t>
  </si>
  <si>
    <t>S-20260814-115122-397C</t>
  </si>
  <si>
    <t>RM-5829</t>
  </si>
  <si>
    <t>S-20260815-082909-861F</t>
  </si>
  <si>
    <t>RM-5830</t>
  </si>
  <si>
    <t>S-20260817-144747-D599</t>
  </si>
  <si>
    <t>RM-5831</t>
  </si>
  <si>
    <t>S-20260817-160922-1EEF</t>
  </si>
  <si>
    <t>RM-5832</t>
  </si>
  <si>
    <t>S-20260817-161810-6FEB</t>
  </si>
  <si>
    <t>RM-5833</t>
  </si>
  <si>
    <t>S-20260817-162444-FFA5</t>
  </si>
  <si>
    <t>RM-5834</t>
  </si>
  <si>
    <t>S-20260818-074605-2274</t>
  </si>
  <si>
    <t>RM-5835</t>
  </si>
  <si>
    <t>S-20260818-092408-3938</t>
  </si>
  <si>
    <t>RM-5836</t>
  </si>
  <si>
    <t>S-20260818-164835-DB87</t>
  </si>
  <si>
    <t>RM-5837</t>
  </si>
  <si>
    <t>S-20260819-080239-1F15</t>
  </si>
  <si>
    <t>RM-5838</t>
  </si>
  <si>
    <t>S-20260819-110553-81E7</t>
  </si>
  <si>
    <t>RM-5839</t>
  </si>
  <si>
    <t>S-20260819-162829-2991</t>
  </si>
  <si>
    <t>RM-5840</t>
  </si>
  <si>
    <t>S-20260820-165335-4C77</t>
  </si>
  <si>
    <t>RM-5841</t>
  </si>
  <si>
    <t>S-20260821-073557-9542</t>
  </si>
  <si>
    <t>RM-5842</t>
  </si>
  <si>
    <t>S-20260822-092822-CB05</t>
  </si>
  <si>
    <t>RM-5843</t>
  </si>
  <si>
    <t>S-20260822-143223-F3B0</t>
  </si>
  <si>
    <t>RM-5844</t>
  </si>
  <si>
    <t>S-20260824-124237-3481</t>
  </si>
  <si>
    <t>RM-5845</t>
  </si>
  <si>
    <t>S-20260824-164803-4E53</t>
  </si>
  <si>
    <t>RM-5846</t>
  </si>
  <si>
    <t>S-20260825-132940-60F3</t>
  </si>
  <si>
    <t>RM-5847</t>
  </si>
  <si>
    <t>S-20260826-101451-F304</t>
  </si>
  <si>
    <t>RM-5848</t>
  </si>
  <si>
    <t>S-20260826-101519-8E6A</t>
  </si>
  <si>
    <t>RM-5849</t>
  </si>
  <si>
    <t>S-20260826-115024-4CA6</t>
  </si>
  <si>
    <t>RM-5850</t>
  </si>
  <si>
    <t>S-20260826-122551-A3E8</t>
  </si>
  <si>
    <t>RM-5851</t>
  </si>
  <si>
    <t>S-20260827-085454-4F59</t>
  </si>
  <si>
    <t>RM-5852</t>
  </si>
  <si>
    <t>S-20260827-124537-B39C</t>
  </si>
  <si>
    <t>RM-5853</t>
  </si>
  <si>
    <t>S-20260827-154202-1458</t>
  </si>
  <si>
    <t>RM-5854</t>
  </si>
  <si>
    <t>S-20260828-110438-0AAA</t>
  </si>
  <si>
    <t>RM-5855</t>
  </si>
  <si>
    <t>S-20260828-114115-6294</t>
  </si>
  <si>
    <t>RM-5856</t>
  </si>
  <si>
    <t>S-20260828-141753-87CF</t>
  </si>
  <si>
    <t>RM-5857</t>
  </si>
  <si>
    <t>S-20260829-123957-3051</t>
  </si>
  <si>
    <t>RM-5858</t>
  </si>
  <si>
    <t>S-20260829-132555-9476</t>
  </si>
  <si>
    <t>RM-5859</t>
  </si>
  <si>
    <t>S-20260831-140810-5B7F</t>
  </si>
  <si>
    <t>RM-5860</t>
  </si>
  <si>
    <t>S-20260831-145318-F0FD</t>
  </si>
  <si>
    <t>RM-5861</t>
  </si>
  <si>
    <t>S-20260831-151300-F603</t>
  </si>
  <si>
    <t>RM-5862</t>
  </si>
  <si>
    <t>S-20260901-141802-DF93</t>
  </si>
  <si>
    <t>RM-5863</t>
  </si>
  <si>
    <t>S-20260901-143804-62A9</t>
  </si>
  <si>
    <t>RM-5864</t>
  </si>
  <si>
    <t>S-20260901-165526-7844</t>
  </si>
  <si>
    <t>RM-5865</t>
  </si>
  <si>
    <t>S-20260902-102222-59A3</t>
  </si>
  <si>
    <t>RM-5866</t>
  </si>
  <si>
    <t>S-20260902-124122-FE5E</t>
  </si>
  <si>
    <t>RM-5867</t>
  </si>
  <si>
    <t>S-20260902-131657-925E</t>
  </si>
  <si>
    <t>RM-5868</t>
  </si>
  <si>
    <t>S-20260903-134016-3AA9</t>
  </si>
  <si>
    <t>RM-5869</t>
  </si>
  <si>
    <t>S-20260903-151704-3A7D</t>
  </si>
  <si>
    <t>RM-5870</t>
  </si>
  <si>
    <t>S-20260904-142432-5A7B</t>
  </si>
  <si>
    <t>RM-5871</t>
  </si>
  <si>
    <t>S-20260904-170306-7920</t>
  </si>
  <si>
    <t>RM-5872</t>
  </si>
  <si>
    <t>S-20260905-125914-3902</t>
  </si>
  <si>
    <t>RM-5873</t>
  </si>
  <si>
    <t>S-20260905-165756-8CE7</t>
  </si>
  <si>
    <t>RM-5874</t>
  </si>
  <si>
    <t>S-20260907-100236-3F5D</t>
  </si>
  <si>
    <t>RM-5875</t>
  </si>
  <si>
    <t>S-20260907-144004-3A43</t>
  </si>
  <si>
    <t>RM-5876</t>
  </si>
  <si>
    <t>S-20260907-153837-F531</t>
  </si>
  <si>
    <t>RM-5877</t>
  </si>
  <si>
    <t>S-20260907-162515-8804</t>
  </si>
  <si>
    <t>RM-5878</t>
  </si>
  <si>
    <t>S-20260908-104221-FD4B</t>
  </si>
  <si>
    <t>RM-5879</t>
  </si>
  <si>
    <t>S-20260909-104105-729F</t>
  </si>
  <si>
    <t>RM-5880</t>
  </si>
  <si>
    <t>S-20260909-123924-C64E</t>
  </si>
  <si>
    <t>RM-5881</t>
  </si>
  <si>
    <t>S-20260910-095746-8AE0</t>
  </si>
  <si>
    <t>RM-5882</t>
  </si>
  <si>
    <t>S-20260910-100222-6FEC</t>
  </si>
  <si>
    <t>RM-5883</t>
  </si>
  <si>
    <t>S-20260910-124540-A432</t>
  </si>
  <si>
    <t>RM-5884</t>
  </si>
  <si>
    <t>S-20260910-135125-A889</t>
  </si>
  <si>
    <t>RM-5885</t>
  </si>
  <si>
    <t>S-20260911-115836-0DA2</t>
  </si>
  <si>
    <t>RM-5886</t>
  </si>
  <si>
    <t>S-20260912-092047-0AED</t>
  </si>
  <si>
    <t>RM-5887</t>
  </si>
  <si>
    <t>S-20260912-111403-8908</t>
  </si>
  <si>
    <t>RM-5888</t>
  </si>
  <si>
    <t>S-20260912-125949-1B52</t>
  </si>
  <si>
    <t>RM-5889</t>
  </si>
  <si>
    <t>S-20260914-100403-DB87</t>
  </si>
  <si>
    <t>RM-5890</t>
  </si>
  <si>
    <t>S-20260914-115726-0075</t>
  </si>
  <si>
    <t>RM-5891</t>
  </si>
  <si>
    <t>S-20260914-141706-EAE9</t>
  </si>
  <si>
    <t>RM-5892</t>
  </si>
  <si>
    <t>S-20260915-094209-B232</t>
  </si>
  <si>
    <t>RM-5893</t>
  </si>
  <si>
    <t>S-20260916-080536-2E18</t>
  </si>
  <si>
    <t>RM-5894</t>
  </si>
  <si>
    <t>S-20260916-082954-1D34</t>
  </si>
  <si>
    <t>RM-5895</t>
  </si>
  <si>
    <t>S-20260916-085349-1AD5</t>
  </si>
  <si>
    <t>RM-5896</t>
  </si>
  <si>
    <t>S-20260917-100225-7859</t>
  </si>
  <si>
    <t>RM-5897</t>
  </si>
  <si>
    <t>S-20260918-143740-985B</t>
  </si>
  <si>
    <t>RM-5898</t>
  </si>
  <si>
    <t>S-20260918-151443-7025</t>
  </si>
  <si>
    <t>RM-5899</t>
  </si>
  <si>
    <t>S-20260919-113845-648D</t>
  </si>
  <si>
    <t>RM-5900</t>
  </si>
  <si>
    <t>S-20260919-130459-BF85</t>
  </si>
  <si>
    <t>RM-5901</t>
  </si>
  <si>
    <t>S-20260921-132036-ED20</t>
  </si>
  <si>
    <t>RM-5902</t>
  </si>
  <si>
    <t>S-20260921-164614-E199</t>
  </si>
  <si>
    <t>RM-5903</t>
  </si>
  <si>
    <t>S-20260921-171111-615F</t>
  </si>
  <si>
    <t>RM-5904</t>
  </si>
  <si>
    <t>S-20260922-124433-D153</t>
  </si>
  <si>
    <t>RM-5905</t>
  </si>
  <si>
    <t>S-20260922-140337-38AF</t>
  </si>
  <si>
    <t>RM-5906</t>
  </si>
  <si>
    <t>S-20260922-143723-1378</t>
  </si>
  <si>
    <t>RM-5907</t>
  </si>
  <si>
    <t>S-20260922-162410-1798</t>
  </si>
  <si>
    <t>RM-5908</t>
  </si>
  <si>
    <t>S-20260923-090038-2C15</t>
  </si>
  <si>
    <t>RM-5909</t>
  </si>
  <si>
    <t>S-20260923-135427-0924</t>
  </si>
  <si>
    <t>RM-5910</t>
  </si>
  <si>
    <t>S-20260924-115520-60B9</t>
  </si>
  <si>
    <t>RM-5911</t>
  </si>
  <si>
    <t>S-20260924-160147-EDDB</t>
  </si>
  <si>
    <t>RM-5912</t>
  </si>
  <si>
    <t>S-20260924-160957-9354</t>
  </si>
  <si>
    <t>RM-5913</t>
  </si>
  <si>
    <t>S-20260924-161240-DC42</t>
  </si>
  <si>
    <t>RM-5914</t>
  </si>
  <si>
    <t>S-20260925-085245-91CD</t>
  </si>
  <si>
    <t>RM-5915</t>
  </si>
  <si>
    <t>Pedido especial cliente: Colegio San José</t>
  </si>
  <si>
    <t>S-20260925-091416-0334</t>
  </si>
  <si>
    <t>RM-5916</t>
  </si>
  <si>
    <t>S-20260925-102625-BA3A</t>
  </si>
  <si>
    <t>RM-5917</t>
  </si>
  <si>
    <t>Pedido especial cliente: Ferretería La 30</t>
  </si>
  <si>
    <t>S-20260925-103818-6666</t>
  </si>
  <si>
    <t>RM-5918</t>
  </si>
  <si>
    <t>S-20260925-120905-23C1</t>
  </si>
  <si>
    <t>RM-5919</t>
  </si>
  <si>
    <t>Pedido especial cliente: Constructora Andina</t>
  </si>
  <si>
    <t>S-20260925-141230-7A45</t>
  </si>
  <si>
    <t>RM-5920</t>
  </si>
  <si>
    <t>S-20260925-143844-07B9</t>
  </si>
  <si>
    <t>RM-5921</t>
  </si>
  <si>
    <t>S-20260925-143907-ED16</t>
  </si>
  <si>
    <t>RM-5922</t>
  </si>
  <si>
    <t>S-20260925-150720-DE72</t>
  </si>
  <si>
    <t>RM-5923</t>
  </si>
  <si>
    <t>Pedido especial cliente: Obras Civiles del Norte</t>
  </si>
  <si>
    <t>⚙ Botón «Registrar salida» · Office Script RegistrarSalida.ts (si no lo ve, instálelo: Guía › Instalación)</t>
  </si>
  <si>
    <t>Toma física · conteo colaborativo</t>
  </si>
  <si>
    <t>Repartan zonas (Ubicación o Categoría) · Cada persona escribe solo el Conteo de su zona · El script registra los ajustes con el stock exacto del momento</t>
  </si>
  <si>
    <t>⚙ Botón «Generar ajustes del conteo» · Office Script GenerarAjustesConteo.ts (si no lo ve, instálelo: Guía › Instalación)</t>
  </si>
  <si>
    <t>Fecha del conteo (vacía = hoy):</t>
  </si>
  <si>
    <t>Confirmar (escriba SI):</t>
  </si>
  <si>
    <t/>
  </si>
  <si>
    <t>Sistema</t>
  </si>
  <si>
    <t>Conteo</t>
  </si>
  <si>
    <t>Diferencia</t>
  </si>
  <si>
    <t>ValorDiferencia</t>
  </si>
  <si>
    <t>AjusteSugerido</t>
  </si>
  <si>
    <t>Registro de actividad · auditoría</t>
  </si>
  <si>
    <t>Lo escriben solo los Office Scripts · Cada registro, bloqueo, conteo y recálculo con su correo y su hora · Filtre por Usuario o Resultado en su propia Vista de hoja</t>
  </si>
  <si>
    <t>Script</t>
  </si>
  <si>
    <t>Detalle</t>
  </si>
  <si>
    <t>A-20260401-074450-DF47</t>
  </si>
  <si>
    <t>RegistrarEntrada</t>
  </si>
  <si>
    <t>✔ Registrado</t>
  </si>
  <si>
    <t>✔ Registrado E-20260401-074448-F956 · SALDO INICIAL 76 CAJA · FER-001</t>
  </si>
  <si>
    <t>A-20260401-084305-04E2</t>
  </si>
  <si>
    <t>✔ Registrado E-20260401-084303-C905 · SALDO INICIAL 60 PAQ · FER-002</t>
  </si>
  <si>
    <t>A-20260401-085343-29AD</t>
  </si>
  <si>
    <t>✔ Registrado E-20260401-085341-77BF · SALDO INICIAL 23 UND · FER-003</t>
  </si>
  <si>
    <t>A-20260401-085657-CE4D</t>
  </si>
  <si>
    <t>✔ Registrado E-20260401-085655-0F54 · SALDO INICIAL 34 UND · FER-004</t>
  </si>
  <si>
    <t>A-20260401-092821-E100</t>
  </si>
  <si>
    <t>✔ Registrado E-20260401-092819-A5F0 · SALDO INICIAL 95 UND · FER-005</t>
  </si>
  <si>
    <t>A-20260401-094553-01B8</t>
  </si>
  <si>
    <t>✔ Registrado E-20260401-094551-0484 · SALDO INICIAL 24 UND · FER-006</t>
  </si>
  <si>
    <t>A-20260401-102059-1ADD</t>
  </si>
  <si>
    <t>✔ Registrado E-20260401-102057-2ECC · SALDO INICIAL 3 UND · FER-007</t>
  </si>
  <si>
    <t>A-20260401-102910-F154</t>
  </si>
  <si>
    <t>✔ Registrado E-20260401-102908-21E0 · SALDO INICIAL 16 ROLLO · ELE-001</t>
  </si>
  <si>
    <t>A-20260401-104537-469E</t>
  </si>
  <si>
    <t>✔ Registrado E-20260401-104535-2B05 · SALDO INICIAL 192 UND · ELE-002</t>
  </si>
  <si>
    <t>A-20260401-104642-4609</t>
  </si>
  <si>
    <t>✔ Registrado E-20260401-104640-64DD · SALDO INICIAL 100 UND · ELE-003</t>
  </si>
  <si>
    <t>A-20260401-105027-88FE</t>
  </si>
  <si>
    <t>✔ Registrado E-20260401-105025-5FBB · SALDO INICIAL 46 UND · ELE-004</t>
  </si>
  <si>
    <t>A-20260401-112945-529C</t>
  </si>
  <si>
    <t>✔ Registrado E-20260401-112943-DD4C · SALDO INICIAL 164 UND · ELE-005</t>
  </si>
  <si>
    <t>A-20260401-113936-D71C</t>
  </si>
  <si>
    <t>✔ Registrado E-20260401-113934-5F30 · SALDO INICIAL 83 UND · ELE-006</t>
  </si>
  <si>
    <t>A-20260401-120814-F73E</t>
  </si>
  <si>
    <t>✔ Registrado E-20260401-120812-254A · SALDO INICIAL 495 MT · ELE-007</t>
  </si>
  <si>
    <t>A-20260401-120837-3043</t>
  </si>
  <si>
    <t>✔ Registrado E-20260401-120835-11E3 · SALDO INICIAL 62 UND · PLO-001</t>
  </si>
  <si>
    <t>A-20260401-123214-C274</t>
  </si>
  <si>
    <t>✔ Registrado E-20260401-123212-DE0D · SALDO INICIAL 202 UND · PLO-002</t>
  </si>
  <si>
    <t>A-20260401-124532-F42E</t>
  </si>
  <si>
    <t>✔ Registrado E-20260401-124530-A853 · SALDO INICIAL 31 UND · PLO-003</t>
  </si>
  <si>
    <t>A-20260401-130004-E59D</t>
  </si>
  <si>
    <t>✔ Registrado E-20260401-130002-2733 · SALDO INICIAL 32 UND · PLO-004</t>
  </si>
  <si>
    <t>A-20260401-131417-6272</t>
  </si>
  <si>
    <t>✔ Registrado E-20260401-131415-53E1 · SALDO INICIAL 211 UND · PLO-005</t>
  </si>
  <si>
    <t>A-20260401-132216-FD9B</t>
  </si>
  <si>
    <t>✔ Registrado E-20260401-132214-A7F1 · SALDO INICIAL 44 GL · PIN-001</t>
  </si>
  <si>
    <t>A-20260401-133846-8CAD</t>
  </si>
  <si>
    <t>✔ Registrado E-20260401-133844-369F · SALDO INICIAL 25.5 GL · PIN-002</t>
  </si>
  <si>
    <t>A-20260401-134311-DCD2</t>
  </si>
  <si>
    <t>✔ Registrado E-20260401-134309-2A7E · SALDO INICIAL 32 GL · PIN-003</t>
  </si>
  <si>
    <t>A-20260401-134805-497D</t>
  </si>
  <si>
    <t>✔ Registrado E-20260401-134803-B2BB · SALDO INICIAL 48 UND · PIN-004</t>
  </si>
  <si>
    <t>A-20260401-134952-FD4F</t>
  </si>
  <si>
    <t>✔ Registrado E-20260401-134950-F77D · SALDO INICIAL 46 UND · PIN-005</t>
  </si>
  <si>
    <t>A-20260401-141823-DBF1</t>
  </si>
  <si>
    <t>✔ Registrado E-20260401-141821-FE14 · SALDO INICIAL 135 PAR · SEG-001</t>
  </si>
  <si>
    <t>A-20260401-142638-3564</t>
  </si>
  <si>
    <t>✔ Registrado E-20260401-142636-A4D1 · SALDO INICIAL 36 UND · SEG-002</t>
  </si>
  <si>
    <t>A-20260401-144446-B698</t>
  </si>
  <si>
    <t>✔ Registrado E-20260401-144444-7F2A · SALDO INICIAL 79 UND · SEG-003</t>
  </si>
  <si>
    <t>A-20260401-144535-4192</t>
  </si>
  <si>
    <t>✔ Registrado E-20260401-144533-B00F · SALDO INICIAL 20 PAR · SEG-004</t>
  </si>
  <si>
    <t>A-20260401-145335-B431</t>
  </si>
  <si>
    <t>✔ Registrado E-20260401-145333-8A51 · SALDO INICIAL 45 CAJA · SEG-005</t>
  </si>
  <si>
    <t>A-20260401-151433-AA73</t>
  </si>
  <si>
    <t>✔ Registrado E-20260401-151431-A73E · SALDO INICIAL 30 GL · ASE-001</t>
  </si>
  <si>
    <t>A-20260401-154545-41DC</t>
  </si>
  <si>
    <t>✔ Registrado E-20260401-154543-E57E · SALDO INICIAL 74.5 LT · ASE-002</t>
  </si>
  <si>
    <t>A-20260401-155654-13C3</t>
  </si>
  <si>
    <t>✔ Registrado E-20260401-155652-82FF · SALDO INICIAL 105 PAQ · ASE-003</t>
  </si>
  <si>
    <t>A-20260401-160122-BB31</t>
  </si>
  <si>
    <t>✔ Registrado E-20260401-160120-D101 · SALDO INICIAL 38 UND · ASE-004</t>
  </si>
  <si>
    <t>A-20260401-164239-EEA4</t>
  </si>
  <si>
    <t>✔ Registrado E-20260401-164237-0FED · SALDO INICIAL 103 KG · ASE-005</t>
  </si>
  <si>
    <t>A-20260402-083734-4DF4</t>
  </si>
  <si>
    <t>RegistrarSalida</t>
  </si>
  <si>
    <t>✔ Registrado S-20260402-083732-6262 · SALIDA 20 UND · ELE-002</t>
  </si>
  <si>
    <t>A-20260402-105909-FCCA</t>
  </si>
  <si>
    <t>✔ Registrado S-20260402-105907-7F29 · SALIDA 42 MT · ELE-007</t>
  </si>
  <si>
    <t>A-20260402-132516-1AFF</t>
  </si>
  <si>
    <t>✔ Registrado S-20260402-132514-D277 · SALIDA 5.5 LT · ASE-002</t>
  </si>
  <si>
    <t>A-20260403-121201-ABD3</t>
  </si>
  <si>
    <t>✔ Registrado S-20260403-121159-73FE · SALIDA 56 MT · ELE-007</t>
  </si>
  <si>
    <t>A-20260403-160946-CAE8</t>
  </si>
  <si>
    <t>✔ Registrado S-20260403-160944-404E · SALIDA 50 UND · PLO-002</t>
  </si>
  <si>
    <t>A-20260403-170338-82A4</t>
  </si>
  <si>
    <t>✔ Registrado S-20260403-170336-995A · SALIDA 23 PAR · SEG-001</t>
  </si>
  <si>
    <t>A-20260404-091718-BF25</t>
  </si>
  <si>
    <t>✔ Registrado S-20260404-091716-EE18 · SALIDA 13 UND · FER-005</t>
  </si>
  <si>
    <t>A-20260404-122845-25ED</t>
  </si>
  <si>
    <t>✔ Registrado S-20260404-122843-681F · SALIDA 22 UND · PLO-005</t>
  </si>
  <si>
    <t>A-20260404-143125-FCB5</t>
  </si>
  <si>
    <t>✔ Registrado S-20260404-143123-4866 · SALIDA 9 GL · PIN-003</t>
  </si>
  <si>
    <t>A-20260404-150242-8F61</t>
  </si>
  <si>
    <t>✔ Registrado S-20260404-150240-ADA7 · SALIDA 23 UND · PLO-005</t>
  </si>
  <si>
    <t>A-20260406-084859-AD80</t>
  </si>
  <si>
    <t>✔ Registrado S-20260406-084857-7B62 · SALIDA 91 MT · ELE-007</t>
  </si>
  <si>
    <t>A-20260406-090758-FB6B</t>
  </si>
  <si>
    <t>✔ Registrado S-20260406-090756-951C · SALIDA 7 PAQ · FER-002</t>
  </si>
  <si>
    <t>A-20260406-104342-E6F5</t>
  </si>
  <si>
    <t>✔ Registrado S-20260406-104340-F6F8 · SALIDA 31 PAR · SEG-001</t>
  </si>
  <si>
    <t>A-20260406-122803-2CAD</t>
  </si>
  <si>
    <t>✔ Registrado S-20260406-122801-9F89 · SALIDA 62 MT · ELE-007</t>
  </si>
  <si>
    <t>A-20260407-084434-7CF1</t>
  </si>
  <si>
    <t>✔ Registrado S-20260407-084432-C2FF · SALIDA 21 PAQ · ASE-003</t>
  </si>
  <si>
    <t>A-20260407-085553-A8C2</t>
  </si>
  <si>
    <t>✔ Registrado S-20260407-085551-8800 · SALIDA 18 UND · ELE-005</t>
  </si>
  <si>
    <t>A-20260407-150727-DC2C</t>
  </si>
  <si>
    <t>✔ Registrado S-20260407-150725-0806 · SALIDA 10 PAQ · ASE-003</t>
  </si>
  <si>
    <t>A-20260407-162615-8BFB</t>
  </si>
  <si>
    <t>✔ Registrado S-20260407-162613-F54C · SALIDA 4 UND · PIN-005</t>
  </si>
  <si>
    <t>A-20260407-163912-8ABA</t>
  </si>
  <si>
    <t>✔ Registrado S-20260407-163910-8784 · SALIDA 1 UND · FER-007</t>
  </si>
  <si>
    <t>A-20260408-114104-ABBA</t>
  </si>
  <si>
    <t>✔ Registrado S-20260408-114102-33E2 · SALIDA 11 UND · FER-005</t>
  </si>
  <si>
    <t>A-20260409-080835-97B9</t>
  </si>
  <si>
    <t>✔ Registrado S-20260409-080833-0551 · SALIDA 5 UND · FER-006</t>
  </si>
  <si>
    <t>A-20260409-112742-295C</t>
  </si>
  <si>
    <t>✔ Registrado S-20260409-112740-8B0C · SALIDA 26 UND · PLO-005</t>
  </si>
  <si>
    <t>A-20260410-093650-16CE</t>
  </si>
  <si>
    <t>✔ Registrado S-20260410-093648-CAD7 · SALIDA 21 PAR · SEG-001</t>
  </si>
  <si>
    <t>A-20260410-130057-5C41</t>
  </si>
  <si>
    <t>✔ Registrado S-20260410-130055-D3B3 · SALIDA 30 UND · PLO-002</t>
  </si>
  <si>
    <t>A-20260410-164348-8F67</t>
  </si>
  <si>
    <t>✔ Registrado S-20260410-164346-6D15 · SALIDA 25 UND · ELE-005</t>
  </si>
  <si>
    <t>A-20260411-090826-1A44</t>
  </si>
  <si>
    <t>✔ Registrado S-20260411-090824-7DA4 · SALIDA 30 PAR · SEG-001</t>
  </si>
  <si>
    <t>A-20260411-171736-8A4E</t>
  </si>
  <si>
    <t>✔ Registrado S-20260411-171734-2591 · SALIDA 61.5 MT · ELE-007</t>
  </si>
  <si>
    <t>A-20260413-080051-29B0</t>
  </si>
  <si>
    <t>✔ Registrado S-20260413-080049-E357 · SALIDA 6 UND · SEG-003</t>
  </si>
  <si>
    <t>A-20260414-094212-6832</t>
  </si>
  <si>
    <t>✔ Registrado S-20260414-094210-289D · SALIDA 27.5 MT · ELE-007</t>
  </si>
  <si>
    <t>A-20260414-095144-2D8F</t>
  </si>
  <si>
    <t>✔ Registrado S-20260414-095142-9C5D · SALIDA 11 PAQ · ASE-003</t>
  </si>
  <si>
    <t>A-20260414-133805-9028</t>
  </si>
  <si>
    <t>✔ Registrado S-20260414-133803-D17F · SALIDA 5 UND · PLO-003</t>
  </si>
  <si>
    <t>A-20260414-154446-D31C</t>
  </si>
  <si>
    <t>✔ Registrado S-20260414-154444-85A5 · SALIDA 1 UND · FER-007</t>
  </si>
  <si>
    <t>A-20260415-073549-7CF3</t>
  </si>
  <si>
    <t>✔ Registrado E-20260415-073547-B763 · ENTRADA 170 PAR · SEG-001</t>
  </si>
  <si>
    <t>A-20260415-074512-5C77</t>
  </si>
  <si>
    <t>✔ Registrado S-20260415-074510-5C57 · SALIDA 5 UND · PLO-003</t>
  </si>
  <si>
    <t>A-20260415-080100-76AD</t>
  </si>
  <si>
    <t>✔ Registrado S-20260415-080058-AE06 · SALIDA 27 UND · PLO-005</t>
  </si>
  <si>
    <t>A-20260415-095138-87D2</t>
  </si>
  <si>
    <t>✔ Registrado S-20260415-095136-6857 · SALIDA 30 PAQ · ASE-003</t>
  </si>
  <si>
    <t>A-20260415-133556-8870</t>
  </si>
  <si>
    <t>✔ Registrado E-20260415-133554-3B3C · AJUSTE (-) 1 PAR · SEG-001</t>
  </si>
  <si>
    <t>A-20260416-124159-6FAE</t>
  </si>
  <si>
    <t>✔ Registrado S-20260416-124157-D0FF · SALIDA 17 UND · ELE-003</t>
  </si>
  <si>
    <t>A-20260416-141559-DD1C</t>
  </si>
  <si>
    <t>✔ Registrado S-20260416-141557-58A6 · SALIDA 33 UND · PLO-005</t>
  </si>
  <si>
    <t>A-20260416-165032-9AB1</t>
  </si>
  <si>
    <t>✔ Registrado S-20260416-165030-C805 · SALIDA 89.5 MT · ELE-007</t>
  </si>
  <si>
    <t>A-20260417-142922-1A32</t>
  </si>
  <si>
    <t>✔ Registrado S-20260417-142920-51A1 · SALIDA 10 UND · PLO-001</t>
  </si>
  <si>
    <t>A-20260417-161654-8D59</t>
  </si>
  <si>
    <t>✔ Registrado S-20260417-161652-C626 · SALIDA 24 UND · PLO-002</t>
  </si>
  <si>
    <t>A-20260417-163746-6FFA</t>
  </si>
  <si>
    <t>✔ Registrado S-20260417-163744-8111 · SALIDA 28 PAR · SEG-001</t>
  </si>
  <si>
    <t>A-20260418-155513-449E</t>
  </si>
  <si>
    <t>✔ Registrado S-20260418-155511-287D · SALIDA 6 LT · ASE-002</t>
  </si>
  <si>
    <t>A-20260420-111421-EC56</t>
  </si>
  <si>
    <t>✔ Registrado S-20260420-111419-3B3C · SALIDA 31 PAR · SEG-001</t>
  </si>
  <si>
    <t>A-20260420-142532-63CC</t>
  </si>
  <si>
    <t>✔ Registrado S-20260420-142530-6A20 · SALIDA 43 MT · ELE-007</t>
  </si>
  <si>
    <t>A-20260420-155341-5135</t>
  </si>
  <si>
    <t>✔ Registrado S-20260420-155339-B992 · SALIDA 12 UND · ELE-003</t>
  </si>
  <si>
    <t>A-20260421-105243-6AC2</t>
  </si>
  <si>
    <t>✔ Registrado E-20260421-105241-4540 · ENTRADA 534.5 MT · ELE-007</t>
  </si>
  <si>
    <t>A-20260421-115232-9A35</t>
  </si>
  <si>
    <t>✔ Registrado S-20260421-115230-30D9 · SALIDA 29 UND · PLO-002</t>
  </si>
  <si>
    <t>A-20260421-122347-0E11</t>
  </si>
  <si>
    <t>✔ Registrado S-20260421-122345-5927 · SALIDA 17 UND · FER-005</t>
  </si>
  <si>
    <t>A-20260421-161136-81A6</t>
  </si>
  <si>
    <t>✔ Registrado S-20260421-161134-FF5A · SALIDA 1 UND · FER-007</t>
  </si>
  <si>
    <t>A-20260422-075743-33C6</t>
  </si>
  <si>
    <t>✔ Registrado S-20260422-075741-C47B · SALIDA 13 UND · PIN-004</t>
  </si>
  <si>
    <t>A-20260422-161552-AAA4</t>
  </si>
  <si>
    <t>✔ Registrado S-20260422-161550-9C4B · SALIDA 9 UND · PLO-001</t>
  </si>
  <si>
    <t>A-20260423-101637-2834</t>
  </si>
  <si>
    <t>✔ Registrado S-20260423-101635-8261 · SALIDA 39 UND · ELE-005</t>
  </si>
  <si>
    <t>A-20260423-121351-1E46</t>
  </si>
  <si>
    <t>✔ Registrado S-20260423-121349-E87E · SALIDA 83 MT · ELE-007</t>
  </si>
  <si>
    <t>A-20260424-112341-B0C2</t>
  </si>
  <si>
    <t>✔ Registrado S-20260424-112339-CBA6 · SALIDA 7.5 GL · PIN-001</t>
  </si>
  <si>
    <t>A-20260425-091535-E65B</t>
  </si>
  <si>
    <t>✔ Registrado S-20260425-091533-51F5 · SALIDA 4 UND · PLO-004</t>
  </si>
  <si>
    <t>A-20260425-114212-D532</t>
  </si>
  <si>
    <t>✔ Registrado S-20260425-114210-E791 · SALIDA 9 UND · ELE-003</t>
  </si>
  <si>
    <t>A-20260425-140449-03E0</t>
  </si>
  <si>
    <t>✔ Registrado S-20260425-140447-5932 · SALIDA 9.5 GL · PIN-001</t>
  </si>
  <si>
    <t>A-20260427-090912-1523</t>
  </si>
  <si>
    <t>✔ Registrado S-20260427-090910-C230 · SALIDA 2 UND · FER-003</t>
  </si>
  <si>
    <t>A-20260427-131104-620B</t>
  </si>
  <si>
    <t>✔ Registrado S-20260427-131102-2721 · SALIDA 18 UND · ELE-005</t>
  </si>
  <si>
    <t>A-20260428-151809-2ECD</t>
  </si>
  <si>
    <t>✔ Registrado S-20260428-151807-DA74 · SALIDA 53 UND · PLO-002</t>
  </si>
  <si>
    <t>A-20260428-163202-3BC9</t>
  </si>
  <si>
    <t>✔ Registrado S-20260428-163200-06DB · SALIDA 16 UND · PLO-002</t>
  </si>
  <si>
    <t>A-20260429-100224-A2F3</t>
  </si>
  <si>
    <t>✔ Registrado S-20260429-100222-9156 · SALIDA 2 ROLLO · ELE-001</t>
  </si>
  <si>
    <t>A-20260429-120843-9B99</t>
  </si>
  <si>
    <t>✔ Registrado E-20260429-120841-894E · AJUSTE (-) 1 CAJA · FER-001</t>
  </si>
  <si>
    <t>A-20260430-095746-A6CE</t>
  </si>
  <si>
    <t>✔ Registrado S-20260430-095744-8523 · SALIDA 78 MT · ELE-007</t>
  </si>
  <si>
    <t>A-20260430-120513-E6E1</t>
  </si>
  <si>
    <t>✔ Registrado S-20260430-120511-E8B5 · SALIDA 7 CAJA · FER-001</t>
  </si>
  <si>
    <t>A-20260430-153457-0ACF</t>
  </si>
  <si>
    <t>✔ Registrado S-20260430-153455-6447 · SALIDA 71.5 MT · ELE-007</t>
  </si>
  <si>
    <t>A-20260501-122540-EDDE</t>
  </si>
  <si>
    <t>✔ Registrado S-20260501-122538-78C4 · SALIDA 85.5 MT · ELE-007</t>
  </si>
  <si>
    <t>A-20260501-135851-4A56</t>
  </si>
  <si>
    <t>✔ Registrado S-20260501-135849-0478 · SALIDA 8 PAQ · ASE-003</t>
  </si>
  <si>
    <t>A-20260501-151749-0C9A</t>
  </si>
  <si>
    <t>✔ Registrado S-20260501-151747-62EA · SALIDA 46.5 MT · ELE-007</t>
  </si>
  <si>
    <t>A-20260502-075942-6FB4</t>
  </si>
  <si>
    <t>✔ Registrado E-20260502-075940-9C62 · ENTRADA 284 UND · PLO-002</t>
  </si>
  <si>
    <t>A-20260502-115402-74BE</t>
  </si>
  <si>
    <t>✔ Registrado S-20260502-115400-E85D · SALIDA 9 UND · SEG-003</t>
  </si>
  <si>
    <t>A-20260502-145920-F823</t>
  </si>
  <si>
    <t>✔ Registrado S-20260502-145918-8535 · SALIDA 5 CAJA · SEG-005</t>
  </si>
  <si>
    <t>A-20260502-165914-A150</t>
  </si>
  <si>
    <t>✔ Registrado S-20260502-165912-062C · SALIDA 6 UND · ASE-004</t>
  </si>
  <si>
    <t>A-20260502-170708-875A</t>
  </si>
  <si>
    <t>✔ Registrado S-20260502-170706-1EAD · SALIDA 117 MT · ELE-007</t>
  </si>
  <si>
    <t>A-20260504-100134-02D2</t>
  </si>
  <si>
    <t>✔ Registrado S-20260504-100132-3C6A · SALIDA 42 UND · PLO-002</t>
  </si>
  <si>
    <t>A-20260504-110538-EA88</t>
  </si>
  <si>
    <t>✔ Registrado S-20260504-110536-60EA · SALIDA 9 UND · ASE-004</t>
  </si>
  <si>
    <t>A-20260504-124733-CCC1</t>
  </si>
  <si>
    <t>✔ Registrado S-20260504-124731-E327 · SALIDA 22 PAR · SEG-001</t>
  </si>
  <si>
    <t>A-20260504-155743-B03F</t>
  </si>
  <si>
    <t>✔ Registrado S-20260504-155741-29CD · SALIDA 27 UND · ELE-002</t>
  </si>
  <si>
    <t>A-20260505-101436-FA3B</t>
  </si>
  <si>
    <t>✔ Registrado S-20260505-101434-51F0 · SALIDA 18 UND · ELE-003</t>
  </si>
  <si>
    <t>A-20260505-103722-75A0</t>
  </si>
  <si>
    <t>✔ Registrado S-20260505-103720-DB22 · SALIDA 46 MT · ELE-007</t>
  </si>
  <si>
    <t>A-20260505-143926-9725</t>
  </si>
  <si>
    <t>✔ Registrado S-20260505-143924-F13C · SALIDA 20.5 KG · ASE-005</t>
  </si>
  <si>
    <t>A-20260506-111415-E439</t>
  </si>
  <si>
    <t>✔ Registrado E-20260506-111413-90FB · ENTRADA 125 PAQ · ASE-003</t>
  </si>
  <si>
    <t>A-20260506-121131-46FE</t>
  </si>
  <si>
    <t>✔ Registrado S-20260506-121129-4412 · SALIDA 11 PAQ · FER-002</t>
  </si>
  <si>
    <t>A-20260506-130125-5C00</t>
  </si>
  <si>
    <t>✔ Registrado S-20260506-130123-B8A0 · SALIDA 27 UND · ELE-002</t>
  </si>
  <si>
    <t>A-20260507-110158-D65B</t>
  </si>
  <si>
    <t>✔ Registrado S-20260507-110156-E58E · SALIDA 25 KG · ASE-005</t>
  </si>
  <si>
    <t>A-20260507-140112-B51B</t>
  </si>
  <si>
    <t>✔ Registrado S-20260507-140110-0620 · SALIDA 39 UND · PLO-005</t>
  </si>
  <si>
    <t>A-20260508-120824-7C49</t>
  </si>
  <si>
    <t>✔ Registrado E-20260508-120822-D132 · ENTRADA 524.5 MT · ELE-007</t>
  </si>
  <si>
    <t>A-20260508-124938-ACA2</t>
  </si>
  <si>
    <t>✔ Registrado S-20260508-124936-D28F · SALIDA 11 UND · ELE-006</t>
  </si>
  <si>
    <t>A-20260508-143517-7DBE</t>
  </si>
  <si>
    <t>✔ Registrado S-20260508-143515-623C · SALIDA 4.5 LT · ASE-002</t>
  </si>
  <si>
    <t>A-20260509-122521-8621</t>
  </si>
  <si>
    <t>✔ Registrado S-20260509-122519-A819 · SALIDA 67.5 MT · ELE-007</t>
  </si>
  <si>
    <t>A-20260511-092156-7B5F</t>
  </si>
  <si>
    <t>✔ Registrado S-20260511-092154-5637 · SALIDA 10 UND · PLO-004</t>
  </si>
  <si>
    <t>A-20260511-092205-8058</t>
  </si>
  <si>
    <t>✔ Registrado S-20260511-092203-E5FC · SALIDA 121.5 MT · ELE-007</t>
  </si>
  <si>
    <t>A-20260511-110008-CD3A</t>
  </si>
  <si>
    <t>✔ Registrado S-20260511-110006-AF13 · SALIDA 82.5 MT · ELE-007</t>
  </si>
  <si>
    <t>A-20260512-113622-0A3C</t>
  </si>
  <si>
    <t>✔ Registrado S-20260512-113620-ADBE · SALIDA 16 PAQ · ASE-003</t>
  </si>
  <si>
    <t>A-20260512-120531-2F11</t>
  </si>
  <si>
    <t>✔ Registrado S-20260512-120529-913F · SALIDA 32 PAR · SEG-001</t>
  </si>
  <si>
    <t>A-20260512-145958-FA66</t>
  </si>
  <si>
    <t>✔ Registrado S-20260512-145956-325B · SALIDA 36 UND · ELE-002</t>
  </si>
  <si>
    <t>A-20260513-074640-7113</t>
  </si>
  <si>
    <t>✔ Registrado S-20260513-074638-B38D · SALIDA 17 UND · ELE-006</t>
  </si>
  <si>
    <t>A-20260513-090425-7DA1</t>
  </si>
  <si>
    <t>✔ Registrado S-20260513-090423-9392 · SALIDA 21 UND · ELE-002</t>
  </si>
  <si>
    <t>A-20260513-155914-836B</t>
  </si>
  <si>
    <t>✔ Registrado E-20260513-155912-A23C · AJUSTE (+) 1 PAR · SEG-004</t>
  </si>
  <si>
    <t>A-20260514-074348-C3B1</t>
  </si>
  <si>
    <t>✔ Registrado S-20260514-074346-786B · SALIDA 94.5 MT · ELE-007</t>
  </si>
  <si>
    <t>A-20260514-081357-05B0</t>
  </si>
  <si>
    <t>✔ Registrado S-20260514-081355-31E0 · SALIDA 104.5 MT · ELE-007</t>
  </si>
  <si>
    <t>A-20260514-100204-3DB5</t>
  </si>
  <si>
    <t>✔ Registrado S-20260514-100202-843C · SALIDA 9 UND · SEG-003</t>
  </si>
  <si>
    <t>A-20260515-112233-1B83</t>
  </si>
  <si>
    <t>✔ Registrado S-20260515-112231-49B1 · SALIDA 19 KG · ASE-005</t>
  </si>
  <si>
    <t>A-20260515-144937-BAA7</t>
  </si>
  <si>
    <t>✔ Registrado S-20260515-144935-E41A · SALIDA 16 UND · ELE-005</t>
  </si>
  <si>
    <t>A-20260516-122624-BD1C</t>
  </si>
  <si>
    <t>✔ Registrado S-20260516-122622-4F5B · SALIDA 78.5 MT · ELE-007</t>
  </si>
  <si>
    <t>A-20260516-130856-CF65</t>
  </si>
  <si>
    <t>✔ Registrado S-20260516-130854-4BBE · SALIDA 27 PAQ · ASE-003</t>
  </si>
  <si>
    <t>A-20260516-144552-4611</t>
  </si>
  <si>
    <t>✔ Registrado S-20260516-144550-6B45 · SALIDA 5 UND · ELE-003</t>
  </si>
  <si>
    <t>A-20260516-171024-6016</t>
  </si>
  <si>
    <t>✔ Registrado S-20260516-171022-C3B7 · SALIDA 3 UND · FER-003</t>
  </si>
  <si>
    <t>A-20260518-090141-8322</t>
  </si>
  <si>
    <t>✔ Registrado S-20260518-090139-025C · SALIDA 5 MT · ELE-007</t>
  </si>
  <si>
    <t>A-20260518-094612-C876</t>
  </si>
  <si>
    <t>✔ Registrado S-20260518-094610-EC6C · SALIDA 13 UND · SEG-003</t>
  </si>
  <si>
    <t>A-20260519-120439-5F7D</t>
  </si>
  <si>
    <t>✔ Registrado E-20260519-120437-E307 · ENTRADA 516.5 MT · ELE-007</t>
  </si>
  <si>
    <t>A-20260519-150544-2EB0</t>
  </si>
  <si>
    <t>✔ Registrado S-20260519-150542-DFB4 · SALIDA 12 UND · PLO-005</t>
  </si>
  <si>
    <t>A-20260519-172715-2A3D</t>
  </si>
  <si>
    <t>✔ Registrado S-20260519-172713-9A05 · SALIDA 26 PAR · SEG-001</t>
  </si>
  <si>
    <t>A-20260520-084432-4C14</t>
  </si>
  <si>
    <t>✔ Registrado S-20260520-084430-BE50 · SALIDA 22 UND · PLO-002</t>
  </si>
  <si>
    <t>A-20260521-110641-B6B9</t>
  </si>
  <si>
    <t>✔ Registrado S-20260521-110639-9FA3 · SALIDA 54 UND · ELE-002</t>
  </si>
  <si>
    <t>A-20260522-110233-8C73</t>
  </si>
  <si>
    <t>✔ Registrado E-20260522-110231-0E89 · ENTRADA 221 UND · PLO-005</t>
  </si>
  <si>
    <t>A-20260522-131139-1430</t>
  </si>
  <si>
    <t>✔ Registrado S-20260522-131137-E865 · SALIDA 62 MT · ELE-007</t>
  </si>
  <si>
    <t>A-20260522-143143-7F11</t>
  </si>
  <si>
    <t>✔ Registrado S-20260522-143141-079D · SALIDA 43 UND · PLO-002</t>
  </si>
  <si>
    <t>A-20260522-170945-4B65</t>
  </si>
  <si>
    <t>✔ Registrado S-20260522-170943-8784 · SALIDA 42 UND · PLO-002</t>
  </si>
  <si>
    <t>A-20260523-090320-1118</t>
  </si>
  <si>
    <t>✔ Registrado S-20260523-090318-9084 · SALIDA 25 UND · PLO-005</t>
  </si>
  <si>
    <t>A-20260523-100925-651B</t>
  </si>
  <si>
    <t>✔ Registrado S-20260523-100923-D090 · SALIDA 18 LT · ASE-002</t>
  </si>
  <si>
    <t>A-20260523-103600-545F</t>
  </si>
  <si>
    <t>✔ Registrado S-20260523-103558-D878 · SALIDA 7 UND · ELE-002</t>
  </si>
  <si>
    <t>A-20260523-133250-067F</t>
  </si>
  <si>
    <t>✔ Registrado S-20260523-133248-D897 · SALIDA 25 UND · ELE-005</t>
  </si>
  <si>
    <t>A-20260525-095635-3F30</t>
  </si>
  <si>
    <t>✔ Registrado S-20260525-095633-2BDF · SALIDA 3 UND · FER-003</t>
  </si>
  <si>
    <t>A-20260525-142523-5674</t>
  </si>
  <si>
    <t>✔ Registrado S-20260525-142521-5C20 · SALIDA 32 UND · PLO-005</t>
  </si>
  <si>
    <t>A-20260525-150557-A9EC</t>
  </si>
  <si>
    <t>✔ Registrado S-20260525-150555-13D8 · SALIDA 11 UND · FER-005</t>
  </si>
  <si>
    <t>A-20260526-074417-0543</t>
  </si>
  <si>
    <t>✔ Registrado E-20260526-074415-8BDB · ENTRADA 243 UND · ELE-002</t>
  </si>
  <si>
    <t>A-20260526-082115-0BAB</t>
  </si>
  <si>
    <t>✔ Registrado S-20260526-082113-4B81 · SALIDA 70 MT · ELE-007</t>
  </si>
  <si>
    <t>A-20260526-104836-A9AE</t>
  </si>
  <si>
    <t>✔ Registrado S-20260526-104834-A415 · SALIDA 44 PAR · SEG-001</t>
  </si>
  <si>
    <t>A-20260527-110743-BA81</t>
  </si>
  <si>
    <t>✔ Registrado E-20260527-110741-D5BC · ENTRADA 177 UND · ELE-005</t>
  </si>
  <si>
    <t>A-20260527-133055-4909</t>
  </si>
  <si>
    <t>✔ Registrado S-20260527-133053-BD58 · SALIDA 12 CAJA · FER-001</t>
  </si>
  <si>
    <t>A-20260527-153118-6A42</t>
  </si>
  <si>
    <t>✔ Registrado S-20260527-153116-C75F · SALIDA 6 UND · PLO-001</t>
  </si>
  <si>
    <t>A-20260527-163944-0E3C</t>
  </si>
  <si>
    <t>✔ Registrado E-20260527-163942-6AB9 · AJUSTE (-) 2 UND · FER-005</t>
  </si>
  <si>
    <t>A-20260528-103948-9E97</t>
  </si>
  <si>
    <t>✔ Registrado S-20260528-103946-4ACF · SALIDA 17 KG · ASE-005</t>
  </si>
  <si>
    <t>A-20260528-124132-1B78</t>
  </si>
  <si>
    <t>✔ Registrado S-20260528-124130-631D · SALIDA 4 UND · ELE-002</t>
  </si>
  <si>
    <t>A-20260529-091238-B815</t>
  </si>
  <si>
    <t>✔ Registrado E-20260529-091236-6D59 · ENTRADA 184 PAR · SEG-001</t>
  </si>
  <si>
    <t>A-20260529-105905-EFB5</t>
  </si>
  <si>
    <t>✔ Registrado S-20260529-105903-9C17 · SALIDA 3 UND · FER-003</t>
  </si>
  <si>
    <t>A-20260529-111843-A9ED</t>
  </si>
  <si>
    <t>✔ Registrado S-20260529-111841-63ED · SALIDA 29 PAR · SEG-001</t>
  </si>
  <si>
    <t>A-20260529-155858-678A</t>
  </si>
  <si>
    <t>✔ Registrado S-20260529-155856-C17B · SALIDA 2 ROLLO · ELE-001</t>
  </si>
  <si>
    <t>A-20260530-084916-D968</t>
  </si>
  <si>
    <t>✔ Registrado S-20260530-084914-F21C · SALIDA 18 UND · PLO-005</t>
  </si>
  <si>
    <t>A-20260530-115119-5302</t>
  </si>
  <si>
    <t>✔ Registrado S-20260530-115117-0496 · SALIDA 18 UND · ELE-003</t>
  </si>
  <si>
    <t>A-20260601-092036-EF33</t>
  </si>
  <si>
    <t>✔ Registrado E-20260601-092034-F25C · ENTRADA 128.5 KG · ASE-005</t>
  </si>
  <si>
    <t>A-20260601-105131-7906</t>
  </si>
  <si>
    <t>✔ Registrado S-20260601-105129-7FA2 · SALIDA 10 UND · PIN-005</t>
  </si>
  <si>
    <t>A-20260601-110018-CEDD</t>
  </si>
  <si>
    <t>✔ Registrado S-20260601-110016-73E2 · SALIDA 89.5 MT · ELE-007</t>
  </si>
  <si>
    <t>A-20260601-133511-546D</t>
  </si>
  <si>
    <t>✔ Registrado S-20260601-133509-24D2 · SALIDA 30 UND · PLO-002</t>
  </si>
  <si>
    <t>A-20260601-160808-2C27</t>
  </si>
  <si>
    <t>✔ Registrado S-20260601-160806-A30C · SALIDA 12 UND · ELE-002</t>
  </si>
  <si>
    <t>A-20260602-095035-817A</t>
  </si>
  <si>
    <t>✔ Registrado S-20260602-095033-1820 · SALIDA 79.5 MT · ELE-007</t>
  </si>
  <si>
    <t>A-20260602-100907-9AE8</t>
  </si>
  <si>
    <t>✔ Registrado S-20260602-100905-C1CD · SALIDA 12 UND · ELE-003</t>
  </si>
  <si>
    <t>A-20260602-163225-372B</t>
  </si>
  <si>
    <t>✔ Registrado S-20260602-163223-1F5E · SALIDA 61.5 MT · ELE-007</t>
  </si>
  <si>
    <t>A-20260602-165815-76D8</t>
  </si>
  <si>
    <t>✔ Registrado S-20260602-165813-C5B8 · SALIDA 21 PAQ · ASE-003</t>
  </si>
  <si>
    <t>A-20260603-085450-6082</t>
  </si>
  <si>
    <t>✔ Registrado S-20260603-085448-E7FB · SALIDA 15 LT · ASE-002</t>
  </si>
  <si>
    <t>A-20260604-115639-5523</t>
  </si>
  <si>
    <t>✔ Registrado S-20260604-115637-90AA · SALIDA 36 UND · ELE-002</t>
  </si>
  <si>
    <t>A-20260604-143349-2890</t>
  </si>
  <si>
    <t>✔ Registrado S-20260604-143347-E0E6 · SALIDA 57 UND · ELE-002</t>
  </si>
  <si>
    <t>A-20260604-163859-3016</t>
  </si>
  <si>
    <t>✔ Registrado S-20260604-163857-8612 · SALIDA 21 UND · PLO-005</t>
  </si>
  <si>
    <t>A-20260604-171307-92C1</t>
  </si>
  <si>
    <t>✔ Registrado S-20260604-171305-FF3B · SALIDA 6 UND · PIN-005</t>
  </si>
  <si>
    <t>A-20260605-083447-FD08</t>
  </si>
  <si>
    <t>✔ Registrado S-20260605-083445-525E · SALIDA 22 KG · ASE-005</t>
  </si>
  <si>
    <t>A-20260605-100526-55DE</t>
  </si>
  <si>
    <t>✔ Registrado S-20260605-100524-41A8 · SALIDA 9 UND · ELE-003</t>
  </si>
  <si>
    <t>A-20260605-154555-8D84</t>
  </si>
  <si>
    <t>✔ Registrado S-20260605-154553-5792 · SALIDA 23 PAQ · ASE-003</t>
  </si>
  <si>
    <t>A-20260606-103617-9994</t>
  </si>
  <si>
    <t>✔ Registrado S-20260606-103615-63E6 · SALIDA 24 KG · ASE-005</t>
  </si>
  <si>
    <t>A-20260606-154934-409F</t>
  </si>
  <si>
    <t>✔ Registrado S-20260606-154932-49BF · SALIDA 7 UND · ASE-004</t>
  </si>
  <si>
    <t>A-20260608-091156-3A89</t>
  </si>
  <si>
    <t>✔ Registrado E-20260608-091154-52A1 · ENTRADA 111 UND · ELE-003</t>
  </si>
  <si>
    <t>A-20260608-105553-ED7B</t>
  </si>
  <si>
    <t>✔ Registrado S-20260608-105551-9325 · SALIDA 6 PAQ · FER-002</t>
  </si>
  <si>
    <t>A-20260608-112122-8946</t>
  </si>
  <si>
    <t>✔ Registrado S-20260608-112120-ACF2 · SALIDA 6 UND · ASE-004</t>
  </si>
  <si>
    <t>A-20260608-161716-0E0E</t>
  </si>
  <si>
    <t>✔ Registrado S-20260608-161714-198E · SALIDA 16 CAJA · FER-001</t>
  </si>
  <si>
    <t>A-20260609-125250-6A8B</t>
  </si>
  <si>
    <t>✔ Registrado S-20260609-125248-A8F9 · SALIDA 32 UND · PLO-002</t>
  </si>
  <si>
    <t>A-20260609-165531-5637</t>
  </si>
  <si>
    <t>✔ Registrado S-20260609-165529-EC9A · SALIDA 12 UND · PIN-005</t>
  </si>
  <si>
    <t>A-20260610-074843-3ECF</t>
  </si>
  <si>
    <t>✔ Registrado S-20260610-074841-DD3A · SALIDA 36 UND · ELE-002</t>
  </si>
  <si>
    <t>A-20260610-084350-FEA8</t>
  </si>
  <si>
    <t>✔ Registrado S-20260610-084348-B432 · SALIDA 3.5 GL · PIN-003</t>
  </si>
  <si>
    <t>A-20260610-111755-B1BA</t>
  </si>
  <si>
    <t>✔ Registrado S-20260610-111753-2594 · SALIDA 75.5 MT · ELE-007</t>
  </si>
  <si>
    <t>A-20260610-113529-1171</t>
  </si>
  <si>
    <t>✔ Registrado S-20260610-113527-B019 · SALIDA 76 MT · ELE-007</t>
  </si>
  <si>
    <t>A-20260610-155341-96CD</t>
  </si>
  <si>
    <t>✔ Registrado E-20260610-155339-3E41 · AJUSTE (-) 2 UND · PLO-005</t>
  </si>
  <si>
    <t>A-20260611-103412-CE95</t>
  </si>
  <si>
    <t>✔ Registrado S-20260611-103410-3F6E · SALIDA 5 PAQ · FER-002</t>
  </si>
  <si>
    <t>A-20260611-124847-584F</t>
  </si>
  <si>
    <t>✔ Registrado S-20260611-124845-B8C9 · SALIDA 5 UND · ELE-004</t>
  </si>
  <si>
    <t>A-20260611-143222-2687</t>
  </si>
  <si>
    <t>✔ Registrado S-20260611-143220-7DF1 · SALIDA 14 CAJA · FER-001</t>
  </si>
  <si>
    <t>A-20260611-153846-64DA</t>
  </si>
  <si>
    <t>✔ Registrado S-20260611-153844-FCBF · SALIDA 7 UND · ASE-004</t>
  </si>
  <si>
    <t>A-20260612-082501-3C9E</t>
  </si>
  <si>
    <t>✔ Registrado S-20260612-082459-B2E6 · SALIDA 2.5 MT · ELE-007</t>
  </si>
  <si>
    <t>A-20260612-110130-A2C6</t>
  </si>
  <si>
    <t>✔ Registrado S-20260612-110128-76F6 · SALIDA 24 UND · ELE-005</t>
  </si>
  <si>
    <t>A-20260613-102550-0E76</t>
  </si>
  <si>
    <t>✔ Registrado S-20260613-102548-DBFB · SALIDA 25 UND · FER-005</t>
  </si>
  <si>
    <t>A-20260613-143342-7933</t>
  </si>
  <si>
    <t>✔ Registrado S-20260613-143340-7D40 · SALIDA 23.5 LT · ASE-002</t>
  </si>
  <si>
    <t>A-20260615-081449-8D75</t>
  </si>
  <si>
    <t>✔ Registrado E-20260615-081447-5C93 · ENTRADA 47 UND · ASE-004</t>
  </si>
  <si>
    <t>A-20260615-085950-4055</t>
  </si>
  <si>
    <t>✔ Registrado E-20260615-085948-9A96 · ENTRADA 521.5 MT · ELE-007</t>
  </si>
  <si>
    <t>A-20260615-105838-EA8C</t>
  </si>
  <si>
    <t>✔ Registrado S-20260615-105836-A832 · SALIDA 53 UND · PLO-005</t>
  </si>
  <si>
    <t>A-20260615-120840-2010</t>
  </si>
  <si>
    <t>✔ Registrado S-20260615-120838-00C9 · SALIDA 11 PAQ · FER-002</t>
  </si>
  <si>
    <t>A-20260615-121841-8C2B</t>
  </si>
  <si>
    <t>✔ Registrado S-20260615-121839-5687 · SALIDA 35 UND · ELE-005</t>
  </si>
  <si>
    <t>A-20260616-100512-1D87</t>
  </si>
  <si>
    <t>✔ Registrado E-20260616-100510-D1E7 · ENTRADA 134 UND · FER-005</t>
  </si>
  <si>
    <t>A-20260616-122200-58C4</t>
  </si>
  <si>
    <t>✔ Registrado S-20260616-122158-6F01 · SALIDA 7 UND · PIN-004</t>
  </si>
  <si>
    <t>A-20260616-122254-4774</t>
  </si>
  <si>
    <t>✔ Registrado S-20260616-122252-ED40 · SALIDA 38 UND · PLO-002</t>
  </si>
  <si>
    <t>A-20260616-145827-3EAE</t>
  </si>
  <si>
    <t>✔ Registrado S-20260616-145825-5716 · SALIDA 116.5 MT · ELE-007</t>
  </si>
  <si>
    <t>A-20260616-152021-A95A</t>
  </si>
  <si>
    <t>✔ Registrado S-20260616-152019-DFE2 · SALIDA 47.5 MT · ELE-007</t>
  </si>
  <si>
    <t>A-20260617-125151-2294</t>
  </si>
  <si>
    <t>✔ Registrado S-20260617-125149-4704 · SALIDA 26 UND · ELE-002</t>
  </si>
  <si>
    <t>A-20260617-160448-FAF4</t>
  </si>
  <si>
    <t>✔ Registrado S-20260617-160446-AFC2 · SALIDA 107 MT · ELE-007</t>
  </si>
  <si>
    <t>A-20260618-095745-2424</t>
  </si>
  <si>
    <t>✔ Registrado E-20260618-095743-39D6 · ENTRADA 118 LT · ASE-002</t>
  </si>
  <si>
    <t>A-20260618-102823-BD1B</t>
  </si>
  <si>
    <t>✔ Registrado S-20260618-102821-9CAD · SALIDA 8 UND · PIN-005</t>
  </si>
  <si>
    <t>A-20260619-075100-33D2</t>
  </si>
  <si>
    <t>✔ Registrado S-20260619-075058-85CB · SALIDA 6.5 GL · ASE-001</t>
  </si>
  <si>
    <t>A-20260619-101151-C7CE</t>
  </si>
  <si>
    <t>✔ Registrado S-20260619-101149-DAAC · SALIDA 21 CAJA · FER-001</t>
  </si>
  <si>
    <t>A-20260620-081007-E2B2</t>
  </si>
  <si>
    <t>✔ Registrado S-20260620-081005-90C6 · SALIDA 25 UND · PLO-002</t>
  </si>
  <si>
    <t>A-20260620-083300-2AFD</t>
  </si>
  <si>
    <t>✔ Registrado S-20260620-083258-71E5 · SALIDA 5 CAJA · FER-001</t>
  </si>
  <si>
    <t>A-20260620-103716-90B8</t>
  </si>
  <si>
    <t>✔ Registrado S-20260620-103714-F95D · SALIDA 72.5 MT · ELE-007</t>
  </si>
  <si>
    <t>A-20260620-165122-4F65</t>
  </si>
  <si>
    <t>✔ Registrado S-20260620-165120-D882 · SALIDA 39 UND · ELE-002</t>
  </si>
  <si>
    <t>A-20260622-091406-2CAD</t>
  </si>
  <si>
    <t>✔ Registrado E-20260622-091404-DC86 · ENTRADA 64 UND · PIN-005</t>
  </si>
  <si>
    <t>A-20260622-102040-3EAF</t>
  </si>
  <si>
    <t>✔ Registrado E-20260622-102038-16AD · ENTRADA 265 UND · PLO-002</t>
  </si>
  <si>
    <t>A-20260622-120711-D4F4</t>
  </si>
  <si>
    <t>✔ Registrado S-20260622-120709-9851 · SALIDA 4 GL · PIN-003</t>
  </si>
  <si>
    <t>A-20260622-170714-840A</t>
  </si>
  <si>
    <t>✔ Registrado S-20260622-170712-9AAB · SALIDA 5 UND · ASE-004</t>
  </si>
  <si>
    <t>A-20260623-104756-A791</t>
  </si>
  <si>
    <t>✔ Registrado E-20260623-104754-68C0 · ENTRADA 217 UND · ELE-002</t>
  </si>
  <si>
    <t>A-20260623-163314-4E84</t>
  </si>
  <si>
    <t>✔ Registrado S-20260623-163312-CF76 · SALIDA 17 PAQ · ASE-003</t>
  </si>
  <si>
    <t>A-20260624-110802-DD24</t>
  </si>
  <si>
    <t>✔ Registrado S-20260624-110800-019C · SALIDA 4 UND · ASE-004</t>
  </si>
  <si>
    <t>A-20260624-140945-6A1A</t>
  </si>
  <si>
    <t>✔ Registrado S-20260624-140943-61C1 · SALIDA 24 UND · FER-005</t>
  </si>
  <si>
    <t>A-20260624-161204-8868</t>
  </si>
  <si>
    <t>✔ Registrado E-20260624-161202-9902 · AJUSTE (-) 1.5 LT · ASE-002</t>
  </si>
  <si>
    <t>A-20260625-105018-4300</t>
  </si>
  <si>
    <t>✔ Registrado E-20260625-105016-750A · ENTRADA 115 CAJA · FER-001</t>
  </si>
  <si>
    <t>A-20260625-125430-9BCF</t>
  </si>
  <si>
    <t>✔ Registrado S-20260625-125428-4561 · SALIDA 23 UND · ELE-005</t>
  </si>
  <si>
    <t>A-20260625-132035-6084</t>
  </si>
  <si>
    <t>✔ Registrado S-20260625-132033-506E · SALIDA 12 UND · FER-005</t>
  </si>
  <si>
    <t>A-20260626-141127-8151</t>
  </si>
  <si>
    <t>✔ Registrado S-20260626-141125-5486 · SALIDA 13.5 KG · ASE-005</t>
  </si>
  <si>
    <t>A-20260626-154229-F1D9</t>
  </si>
  <si>
    <t>✔ Registrado S-20260626-154227-AD52 · SALIDA 57 UND · ELE-002</t>
  </si>
  <si>
    <t>A-20260627-083005-632E</t>
  </si>
  <si>
    <t>✔ Registrado S-20260627-083003-0045 · SALIDA 4 UND · PLO-003</t>
  </si>
  <si>
    <t>A-20260627-084530-2E43</t>
  </si>
  <si>
    <t>✔ Registrado S-20260627-084528-211C · SALIDA 13 PAQ · ASE-003</t>
  </si>
  <si>
    <t>A-20260629-120742-46F7</t>
  </si>
  <si>
    <t>✔ Registrado S-20260629-120740-5591 · SALIDA 4 GL · ASE-001</t>
  </si>
  <si>
    <t>A-20260629-134916-A49F</t>
  </si>
  <si>
    <t>✔ Registrado S-20260629-134914-F90F · SALIDA 11 UND · SEG-003</t>
  </si>
  <si>
    <t>A-20260630-080610-9B8E</t>
  </si>
  <si>
    <t>✔ Registrado S-20260630-080608-D7D7 · SALIDA 25 UND · PLO-002</t>
  </si>
  <si>
    <t>A-20260630-153550-7447</t>
  </si>
  <si>
    <t>✔ Registrado S-20260630-153548-4D38 · SALIDA 7 UND · PLO-004</t>
  </si>
  <si>
    <t>A-20260630-155116-2AD3</t>
  </si>
  <si>
    <t>✔ Registrado S-20260630-155114-27B7 · SALIDA 15 UND · PLO-002</t>
  </si>
  <si>
    <t>A-20260630-155123-BB11</t>
  </si>
  <si>
    <t>✔ Registrado S-20260630-155121-1CA2 · SALIDA 11 LT · ASE-002</t>
  </si>
  <si>
    <t>A-20260701-103039-D2B4</t>
  </si>
  <si>
    <t>✔ Registrado S-20260701-103037-33B5 · SALIDA 112 MT · ELE-007</t>
  </si>
  <si>
    <t>A-20260701-133332-7131</t>
  </si>
  <si>
    <t>✔ Registrado S-20260701-133330-9089 · SALIDA 35 UND · PLO-002</t>
  </si>
  <si>
    <t>A-20260701-145721-701D</t>
  </si>
  <si>
    <t>✔ Registrado S-20260701-145719-4858 · SALIDA 7 CAJA · SEG-005</t>
  </si>
  <si>
    <t>A-20260702-163725-3787</t>
  </si>
  <si>
    <t>✔ Registrado S-20260702-163723-9EFF · SALIDA 4 UND · ELE-004</t>
  </si>
  <si>
    <t>A-20260703-111245-D7AD</t>
  </si>
  <si>
    <t>✔ Registrado S-20260703-111243-F6E3 · SALIDA 66 MT · ELE-007</t>
  </si>
  <si>
    <t>A-20260703-154824-B31A</t>
  </si>
  <si>
    <t>✔ Registrado S-20260703-154822-9472 · SALIDA 24 UND · PLO-002</t>
  </si>
  <si>
    <t>A-20260704-135736-41DC</t>
  </si>
  <si>
    <t>✔ Registrado S-20260704-135734-4410 · SALIDA 19.5 KG · ASE-005</t>
  </si>
  <si>
    <t>A-20260704-150024-78ED</t>
  </si>
  <si>
    <t>✔ Registrado S-20260704-150022-DBE4 · SALIDA 7 UND · ELE-004</t>
  </si>
  <si>
    <t>A-20260706-123003-209A</t>
  </si>
  <si>
    <t>✔ Registrado S-20260706-123001-ABE0 · SALIDA 27 UND · FER-005</t>
  </si>
  <si>
    <t>A-20260706-154454-DF35</t>
  </si>
  <si>
    <t>✔ Registrado S-20260706-154452-02A8 · SALIDA 7 UND · PLO-003</t>
  </si>
  <si>
    <t>A-20260706-162117-80AB</t>
  </si>
  <si>
    <t>✔ Registrado S-20260706-162115-B020 · SALIDA 2 UND · ELE-004</t>
  </si>
  <si>
    <t>A-20260707-133843-713A</t>
  </si>
  <si>
    <t>✔ Registrado E-20260707-133841-61BF · ENTRADA 534 MT · ELE-007</t>
  </si>
  <si>
    <t>A-20260707-140355-5915</t>
  </si>
  <si>
    <t>✔ Registrado S-20260707-140353-C92B · SALIDA 19 CAJA · FER-001</t>
  </si>
  <si>
    <t>A-20260708-081133-5FEB</t>
  </si>
  <si>
    <t>✔ Registrado S-20260708-081131-4DCE · SALIDA 7 UND · PLO-001</t>
  </si>
  <si>
    <t>A-20260708-090239-B6A3</t>
  </si>
  <si>
    <t>✔ Registrado S-20260708-090237-2F2C · SALIDA 33 UND · ELE-002</t>
  </si>
  <si>
    <t>A-20260708-090524-1268</t>
  </si>
  <si>
    <t>✔ Registrado S-20260708-090522-E646 · SALIDA 3 GL · PIN-003</t>
  </si>
  <si>
    <t>A-20260708-093900-970B</t>
  </si>
  <si>
    <t>✔ Registrado E-20260708-093858-7FEF · AJUSTE (-) 1.5 LT · ASE-002</t>
  </si>
  <si>
    <t>A-20260709-094553-1074</t>
  </si>
  <si>
    <t>✔ Registrado S-20260709-094551-B563 · SALIDA 23 PAR · SEG-001</t>
  </si>
  <si>
    <t>A-20260709-153138-8481</t>
  </si>
  <si>
    <t>✔ Registrado S-20260709-153136-D00C · SALIDA 72.5 MT · ELE-007</t>
  </si>
  <si>
    <t>A-20260710-090150-B211</t>
  </si>
  <si>
    <t>✔ Registrado S-20260710-090148-A36F · SALIDA 16 UND · ELE-005</t>
  </si>
  <si>
    <t>A-20260710-153632-8D75</t>
  </si>
  <si>
    <t>✔ Registrado S-20260710-153630-A280 · SALIDA 12 UND · ELE-006</t>
  </si>
  <si>
    <t>A-20260710-165856-E290</t>
  </si>
  <si>
    <t>✔ Registrado S-20260710-165854-8BAB · SALIDA 13 UND · ELE-005</t>
  </si>
  <si>
    <t>A-20260711-110954-37BC</t>
  </si>
  <si>
    <t>✔ Registrado S-20260711-110952-4DE0 · SALIDA 32 MT · ELE-007</t>
  </si>
  <si>
    <t>A-20260711-161715-04F4</t>
  </si>
  <si>
    <t>✔ Registrado S-20260711-161713-C203 · SALIDA 96.5 MT · ELE-007</t>
  </si>
  <si>
    <t>A-20260711-162055-5FF1</t>
  </si>
  <si>
    <t>✔ Registrado S-20260711-162053-F1ED · SALIDA 4 UND · ASE-004</t>
  </si>
  <si>
    <t>A-20260713-073902-162F</t>
  </si>
  <si>
    <t>✔ Registrado S-20260713-073900-7F55 · SALIDA 8 UND · PLO-003</t>
  </si>
  <si>
    <t>A-20260713-085306-A257</t>
  </si>
  <si>
    <t>✔ Registrado S-20260713-085304-CC29 · SALIDA 48.5 MT · ELE-007</t>
  </si>
  <si>
    <t>A-20260713-170420-C560</t>
  </si>
  <si>
    <t>✔ Registrado S-20260713-170418-622E · SALIDA 21 KG · ASE-005</t>
  </si>
  <si>
    <t>A-20260714-105306-6DFE</t>
  </si>
  <si>
    <t>✔ Registrado S-20260714-105304-CD76 · SALIDA 12 UND · ELE-006</t>
  </si>
  <si>
    <t>A-20260714-122822-A61B</t>
  </si>
  <si>
    <t>✔ Registrado S-20260714-122820-05B0 · SALIDA 25 PAR · SEG-001</t>
  </si>
  <si>
    <t>A-20260714-130039-E79C</t>
  </si>
  <si>
    <t>✔ Registrado S-20260714-130037-971B · SALIDA 77 MT · ELE-007</t>
  </si>
  <si>
    <t>A-20260715-130358-9354</t>
  </si>
  <si>
    <t>✔ Registrado S-20260715-130356-9C60 · SALIDA 24 PAR · SEG-001</t>
  </si>
  <si>
    <t>A-20260715-131011-DFE5</t>
  </si>
  <si>
    <t>✔ Registrado S-20260715-131009-0CC9 · SALIDA 19 UND · ELE-005</t>
  </si>
  <si>
    <t>A-20260715-144956-56E8</t>
  </si>
  <si>
    <t>✔ Registrado S-20260715-144954-F840 · SALIDA 24 UND · ELE-003</t>
  </si>
  <si>
    <t>A-20260716-084628-1296</t>
  </si>
  <si>
    <t>✔ Registrado S-20260716-084626-CA28 · SALIDA 5 PAQ · FER-002</t>
  </si>
  <si>
    <t>A-20260716-142456-C8DA</t>
  </si>
  <si>
    <t>✔ Registrado S-20260716-142454-C35A · SALIDA 45 UND · PLO-005</t>
  </si>
  <si>
    <t>A-20260717-141045-04BE</t>
  </si>
  <si>
    <t>✔ Registrado S-20260717-141043-1D4A · SALIDA 30 UND · ELE-005</t>
  </si>
  <si>
    <t>A-20260718-171802-70F2</t>
  </si>
  <si>
    <t>✔ Registrado E-20260718-171800-471B · ENTRADA 38 UND · PLO-003</t>
  </si>
  <si>
    <t>A-20260718-172902-32DC</t>
  </si>
  <si>
    <t>✔ Registrado S-20260718-172900-2340 · SALIDA 22 KG · ASE-005</t>
  </si>
  <si>
    <t>A-20260720-134735-F15C</t>
  </si>
  <si>
    <t>✔ Registrado E-20260720-134733-5924 · ENTRADA 65 PAQ · FER-002</t>
  </si>
  <si>
    <t>A-20260720-144207-9FE1</t>
  </si>
  <si>
    <t>✔ Registrado S-20260720-144205-B5D2 · SALIDA 91.5 MT · ELE-007</t>
  </si>
  <si>
    <t>A-20260720-152150-91E9</t>
  </si>
  <si>
    <t>✔ Registrado S-20260720-152148-CC34 · SALIDA 19 UND · PLO-002</t>
  </si>
  <si>
    <t>A-20260721-082010-8064</t>
  </si>
  <si>
    <t>✔ Registrado S-20260721-082008-179F · SALIDA 11 UND · ELE-006</t>
  </si>
  <si>
    <t>A-20260721-121029-2E99</t>
  </si>
  <si>
    <t>✔ Registrado S-20260721-121027-07FC · SALIDA 8.5 GL · PIN-003</t>
  </si>
  <si>
    <t>A-20260721-143756-B9D6</t>
  </si>
  <si>
    <t>✔ Registrado S-20260721-143754-022B · SALIDA 6 UND · SEG-003</t>
  </si>
  <si>
    <t>A-20260722-095301-677F</t>
  </si>
  <si>
    <t>✔ Registrado S-20260722-095259-C4B6 · SALIDA 84.5 MT · ELE-007</t>
  </si>
  <si>
    <t>A-20260722-135651-30DB</t>
  </si>
  <si>
    <t>✔ Registrado S-20260722-135649-71BD · SALIDA 19 UND · ELE-003</t>
  </si>
  <si>
    <t>A-20260722-163358-BFD8</t>
  </si>
  <si>
    <t>✔ Registrado E-20260722-163356-0A3B · AJUSTE (-) 1 UND · ELE-002</t>
  </si>
  <si>
    <t>A-20260723-090957-E980</t>
  </si>
  <si>
    <t>✔ Registrado S-20260723-090955-DAD9 · SALIDA 9 CAJA · SEG-005</t>
  </si>
  <si>
    <t>A-20260724-073258-3FF0</t>
  </si>
  <si>
    <t>✔ Registrado S-20260724-073256-3BB2 · SALIDA 14 UND · FER-005</t>
  </si>
  <si>
    <t>A-20260724-141241-1437</t>
  </si>
  <si>
    <t>✔ Registrado S-20260724-141239-456A · SALIDA 33 UND · PLO-002</t>
  </si>
  <si>
    <t>A-20260724-152651-F680</t>
  </si>
  <si>
    <t>✔ Registrado S-20260724-152649-8D7F · SALIDA 5 GL · PIN-001</t>
  </si>
  <si>
    <t>A-20260724-163642-8A47</t>
  </si>
  <si>
    <t>✔ Registrado S-20260724-163640-B995 · SALIDA 32 UND · ELE-002</t>
  </si>
  <si>
    <t>A-20260725-075532-49E5</t>
  </si>
  <si>
    <t>✔ Registrado S-20260725-075530-7B91 · SALIDA 19 UND · ELE-005</t>
  </si>
  <si>
    <t>A-20260725-091657-BE72</t>
  </si>
  <si>
    <t>✔ Registrado S-20260725-091655-D70F · SALIDA 4 UND · FER-004</t>
  </si>
  <si>
    <t>A-20260725-095923-752A</t>
  </si>
  <si>
    <t>✔ Registrado S-20260725-095921-674C · SALIDA 23 UND · PLO-005</t>
  </si>
  <si>
    <t>A-20260727-091758-1305</t>
  </si>
  <si>
    <t>✔ Registrado E-20260727-091756-0072 · ENTRADA 80 UND · ELE-006</t>
  </si>
  <si>
    <t>A-20260727-095736-3B7B</t>
  </si>
  <si>
    <t>✔ Registrado E-20260727-095734-F2C2 · ENTRADA 568.5 MT · ELE-007</t>
  </si>
  <si>
    <t>A-20260727-104229-BC4E</t>
  </si>
  <si>
    <t>✔ Registrado E-20260727-104227-FD8D · ENTRADA 36 GL · PIN-003</t>
  </si>
  <si>
    <t>A-20260727-115551-ECEA</t>
  </si>
  <si>
    <t>✔ Registrado S-20260727-115549-9444 · SALIDA 31 UND · PLO-005</t>
  </si>
  <si>
    <t>A-20260727-165856-CBA6</t>
  </si>
  <si>
    <t>✔ Registrado S-20260727-165854-DCF2 · SALIDA 13 UND · ELE-005</t>
  </si>
  <si>
    <t>A-20260727-165949-37BC</t>
  </si>
  <si>
    <t>✔ Registrado S-20260727-165947-F3AB · SALIDA 16 UND · ELE-006</t>
  </si>
  <si>
    <t>A-20260728-163109-CDB6</t>
  </si>
  <si>
    <t>✔ Registrado S-20260728-163107-9A2D · SALIDA 69.5 MT · ELE-007</t>
  </si>
  <si>
    <t>A-20260729-093910-38CD</t>
  </si>
  <si>
    <t>✔ Registrado S-20260729-093908-839A · SALIDA 28 PAR · SEG-001</t>
  </si>
  <si>
    <t>A-20260729-162856-AE3E</t>
  </si>
  <si>
    <t>✔ Registrado S-20260729-162854-0F06 · SALIDA 33 PAQ · ASE-003</t>
  </si>
  <si>
    <t>A-20260730-075802-83F9</t>
  </si>
  <si>
    <t>✔ Registrado E-20260730-075800-EE69 · ENTRADA 219 UND · PLO-005</t>
  </si>
  <si>
    <t>A-20260730-092036-69F1</t>
  </si>
  <si>
    <t>✔ Registrado S-20260730-092034-EF8D · SALIDA 19 KG · ASE-005</t>
  </si>
  <si>
    <t>A-20260730-140928-62F4</t>
  </si>
  <si>
    <t>✔ Registrado S-20260730-140926-6BFF · SALIDA 12 PAQ · FER-002</t>
  </si>
  <si>
    <t>A-20260730-142754-2B9F</t>
  </si>
  <si>
    <t>✔ Registrado S-20260730-142752-3B3E · SALIDA 4.5 GL · PIN-001</t>
  </si>
  <si>
    <t>A-20260731-073643-C382</t>
  </si>
  <si>
    <t>✔ Registrado E-20260731-073641-A64D · ENTRADA 179 UND · ELE-005</t>
  </si>
  <si>
    <t>A-20260731-162026-1B91</t>
  </si>
  <si>
    <t>✔ Registrado S-20260731-162024-C019 · SALIDA 36 UND · PLO-002</t>
  </si>
  <si>
    <t>A-20260731-163810-66CA</t>
  </si>
  <si>
    <t>✔ Registrado S-20260731-163808-C791 · SALIDA 9 CAJA · SEG-005</t>
  </si>
  <si>
    <t>A-20260801-102931-5EC9</t>
  </si>
  <si>
    <t>✔ Registrado E-20260801-102929-599B · ENTRADA 150 PAQ · ASE-003</t>
  </si>
  <si>
    <t>A-20260801-134642-3A75</t>
  </si>
  <si>
    <t>✔ Registrado S-20260801-134640-6DA7 · SALIDA 26 PAQ · ASE-003</t>
  </si>
  <si>
    <t>A-20260801-140701-DCF6</t>
  </si>
  <si>
    <t>✔ Registrado S-20260801-140659-D1A9 · SALIDA 82.5 MT · ELE-007</t>
  </si>
  <si>
    <t>A-20260801-152755-DF33</t>
  </si>
  <si>
    <t>✔ Registrado S-20260801-152753-D476 · SALIDA 6 UND · ASE-004</t>
  </si>
  <si>
    <t>A-20260803-094752-23BB</t>
  </si>
  <si>
    <t>✔ Registrado E-20260803-094750-1039 · ENTRADA 141 KG · ASE-005</t>
  </si>
  <si>
    <t>A-20260803-161202-2447</t>
  </si>
  <si>
    <t>✔ Registrado S-20260803-161200-246D · SALIDA 90 MT · ELE-007</t>
  </si>
  <si>
    <t>A-20260803-165004-9D93</t>
  </si>
  <si>
    <t>✔ Registrado S-20260803-165002-EC4B · SALIDA 13 PAQ · FER-002</t>
  </si>
  <si>
    <t>A-20260804-110443-30BD</t>
  </si>
  <si>
    <t>✔ Registrado S-20260804-110441-BFAE · SALIDA 3.5 GL · PIN-002</t>
  </si>
  <si>
    <t>A-20260804-162313-BA3A</t>
  </si>
  <si>
    <t>✔ Registrado S-20260804-162311-113F · SALIDA 7 UND · PIN-005</t>
  </si>
  <si>
    <t>A-20260805-103852-745E</t>
  </si>
  <si>
    <t>✔ Registrado S-20260805-103850-DA6B · SALIDA 115.5 MT · ELE-007</t>
  </si>
  <si>
    <t>A-20260805-172741-F0E7</t>
  </si>
  <si>
    <t>✔ Registrado E-20260805-172739-D548 · AJUSTE (-) 1.5 GL · PIN-001</t>
  </si>
  <si>
    <t>A-20260806-080405-3252</t>
  </si>
  <si>
    <t>✔ Registrado S-20260806-080403-7616 · SALIDA 19 UND · ELE-005</t>
  </si>
  <si>
    <t>A-20260806-093324-93CE</t>
  </si>
  <si>
    <t>✔ Registrado S-20260806-093322-3AAD · SALIDA 53 UND · PLO-002</t>
  </si>
  <si>
    <t>A-20260806-152321-F372</t>
  </si>
  <si>
    <t>✔ Registrado S-20260806-152319-25B8 · SALIDA 22 UND · FER-005</t>
  </si>
  <si>
    <t>A-20260807-155258-45B3</t>
  </si>
  <si>
    <t>✔ Registrado S-20260807-155256-B053 · SALIDA 106.5 MT · ELE-007</t>
  </si>
  <si>
    <t>A-20260807-155620-C5F7</t>
  </si>
  <si>
    <t>✔ Registrado S-20260807-155618-ACEF · SALIDA 5 CAJA · SEG-005</t>
  </si>
  <si>
    <t>A-20260807-165623-D21F</t>
  </si>
  <si>
    <t>✔ Registrado S-20260807-165621-FA8F · SALIDA 9 UND · ELE-005</t>
  </si>
  <si>
    <t>A-20260808-110008-86BE</t>
  </si>
  <si>
    <t>✔ Registrado S-20260808-110006-0F96 · SALIDA 6.5 LT · ASE-002</t>
  </si>
  <si>
    <t>A-20260808-145213-F844</t>
  </si>
  <si>
    <t>✔ Registrado S-20260808-145211-1D54 · SALIDA 3.5 GL · PIN-002</t>
  </si>
  <si>
    <t>A-20260808-170600-C830</t>
  </si>
  <si>
    <t>✔ Registrado S-20260808-170558-B013 · SALIDA 35 UND · PLO-002</t>
  </si>
  <si>
    <t>A-20260810-142258-2051</t>
  </si>
  <si>
    <t>✔ Registrado E-20260810-142256-6915 · ENTRADA 265 UND · PLO-002</t>
  </si>
  <si>
    <t>A-20260810-143150-4003</t>
  </si>
  <si>
    <t>✔ Registrado S-20260810-143148-C2E2 · SALIDA 48 UND · PLO-005</t>
  </si>
  <si>
    <t>A-20260810-143733-5FE9</t>
  </si>
  <si>
    <t>✔ Registrado S-20260810-143731-337C · SALIDA 14 PAQ · ASE-003</t>
  </si>
  <si>
    <t>A-20260810-163502-5B24</t>
  </si>
  <si>
    <t>✔ Registrado S-20260810-163500-C1C9 · SALIDA 16 KG · ASE-005</t>
  </si>
  <si>
    <t>A-20260811-074729-9149</t>
  </si>
  <si>
    <t>✔ Registrado S-20260811-074727-7CF6 · SALIDA 33 UND · ELE-002</t>
  </si>
  <si>
    <t>A-20260811-131433-7BB5</t>
  </si>
  <si>
    <t>✔ Registrado S-20260811-131431-4377 · SALIDA 21 UND · PLO-005</t>
  </si>
  <si>
    <t>A-20260811-133547-029D</t>
  </si>
  <si>
    <t>✔ Registrado S-20260811-133545-ACD2 · SALIDA 9 UND · PIN-005</t>
  </si>
  <si>
    <t>A-20260812-081358-13DB</t>
  </si>
  <si>
    <t>✔ Registrado S-20260812-081356-A7D7 · SALIDA 12 UND · ELE-006</t>
  </si>
  <si>
    <t>A-20260812-102149-51B9</t>
  </si>
  <si>
    <t>✔ Registrado S-20260812-102147-3F2C · SALIDA 10 UND · PLO-001</t>
  </si>
  <si>
    <t>A-20260812-102656-E91F</t>
  </si>
  <si>
    <t>✔ Registrado S-20260812-102654-5959 · SALIDA 8 UND · ELE-003</t>
  </si>
  <si>
    <t>A-20260812-170259-B1BC</t>
  </si>
  <si>
    <t>✔ Registrado S-20260812-170257-8DD6 · SALIDA 15 UND · ELE-003</t>
  </si>
  <si>
    <t>A-20260813-112220-E0FE</t>
  </si>
  <si>
    <t>✔ Registrado S-20260813-112218-8071 · SALIDA 47 UND · PLO-002</t>
  </si>
  <si>
    <t>A-20260813-144529-D81E</t>
  </si>
  <si>
    <t>✔ Registrado S-20260813-144527-30C1 · SALIDA 7 GL · PIN-001</t>
  </si>
  <si>
    <t>A-20260814-115124-6860</t>
  </si>
  <si>
    <t>✔ Registrado S-20260814-115122-397C · SALIDA 10 UND · ELE-006</t>
  </si>
  <si>
    <t>A-20260815-082911-2ED3</t>
  </si>
  <si>
    <t>✔ Registrado S-20260815-082909-861F · SALIDA 20 CAJA · FER-001</t>
  </si>
  <si>
    <t>A-20260817-142903-5574</t>
  </si>
  <si>
    <t>✔ Registrado E-20260817-142901-068C · ENTRADA 51 GL · PIN-001</t>
  </si>
  <si>
    <t>A-20260817-144749-C4F3</t>
  </si>
  <si>
    <t>✔ Registrado S-20260817-144747-D599 · SALIDA 15 UND · ELE-003</t>
  </si>
  <si>
    <t>A-20260817-160924-1A28</t>
  </si>
  <si>
    <t>✔ Registrado S-20260817-160922-1EEF · SALIDA 74 MT · ELE-007</t>
  </si>
  <si>
    <t>A-20260817-161812-49F6</t>
  </si>
  <si>
    <t>✔ Registrado S-20260817-161810-6FEB · SALIDA 3 PAQ · ASE-003</t>
  </si>
  <si>
    <t>A-20260817-162446-6C12</t>
  </si>
  <si>
    <t>✔ Registrado S-20260817-162444-FFA5 · SALIDA 37 PAQ · ASE-003</t>
  </si>
  <si>
    <t>A-20260818-074607-B67A</t>
  </si>
  <si>
    <t>✔ Registrado S-20260818-074605-2274 · SALIDA 5.5 GL · PIN-002</t>
  </si>
  <si>
    <t>A-20260818-092410-28B0</t>
  </si>
  <si>
    <t>✔ Registrado S-20260818-092408-3938 · SALIDA 62 MT · ELE-007</t>
  </si>
  <si>
    <t>A-20260818-164837-E08D</t>
  </si>
  <si>
    <t>✔ Registrado S-20260818-164835-DB87 · SALIDA 20 UND · PLO-002</t>
  </si>
  <si>
    <t>A-20260819-080241-66D4</t>
  </si>
  <si>
    <t>✔ Registrado S-20260819-080239-1F15 · SALIDA 5 PAR · SEG-004</t>
  </si>
  <si>
    <t>A-20260819-110555-03DD</t>
  </si>
  <si>
    <t>✔ Registrado S-20260819-110553-81E7 · SALIDA 5 UND · FER-003</t>
  </si>
  <si>
    <t>A-20260819-162831-AA8E</t>
  </si>
  <si>
    <t>✔ Registrado S-20260819-162829-2991 · SALIDA 47 UND · PLO-002</t>
  </si>
  <si>
    <t>A-20260819-172806-57F5</t>
  </si>
  <si>
    <t>✔ Registrado E-20260819-172804-3BBE · AJUSTE (+) 1 LT · ASE-002</t>
  </si>
  <si>
    <t>A-20260820-165337-B005</t>
  </si>
  <si>
    <t>✔ Registrado S-20260820-165335-4C77 · SALIDA 23.5 KG · ASE-005</t>
  </si>
  <si>
    <t>A-20260821-073559-4248</t>
  </si>
  <si>
    <t>✔ Registrado S-20260821-073557-9542 · SALIDA 4 UND · FER-003</t>
  </si>
  <si>
    <t>A-20260822-085112-CCF1</t>
  </si>
  <si>
    <t>✔ Registrado E-20260822-085110-CF37 · ENTRADA 538 MT · ELE-007</t>
  </si>
  <si>
    <t>A-20260822-092824-82B1</t>
  </si>
  <si>
    <t>✔ Registrado S-20260822-092822-CB05 · SALIDA 48 UND · PLO-002</t>
  </si>
  <si>
    <t>A-20260822-143225-8C42</t>
  </si>
  <si>
    <t>✔ Registrado S-20260822-143223-F3B0 · SALIDA 8 UND · PIN-004</t>
  </si>
  <si>
    <t>A-20260824-094638-F320</t>
  </si>
  <si>
    <t>✔ Registrado E-20260824-094636-7F8F · ENTRADA 27 UND · FER-003</t>
  </si>
  <si>
    <t>A-20260824-124239-4C18</t>
  </si>
  <si>
    <t>✔ Registrado S-20260824-124237-3481 · SALIDA 16 UND · ELE-003</t>
  </si>
  <si>
    <t>A-20260824-164805-F9C1</t>
  </si>
  <si>
    <t>✔ Registrado S-20260824-164803-4E53 · SALIDA 37 UND · PLO-002</t>
  </si>
  <si>
    <t>A-20260825-132942-101C</t>
  </si>
  <si>
    <t>✔ Registrado S-20260825-132940-60F3 · SALIDA 38 UND · PLO-002</t>
  </si>
  <si>
    <t>A-20260826-101453-6E9E</t>
  </si>
  <si>
    <t>✔ Registrado S-20260826-101451-F304 · SALIDA 30 UND · ELE-002</t>
  </si>
  <si>
    <t>A-20260826-101521-80C9</t>
  </si>
  <si>
    <t>✔ Registrado S-20260826-101519-8E6A · SALIDA 15 PAQ · ASE-003</t>
  </si>
  <si>
    <t>A-20260826-115026-1E94</t>
  </si>
  <si>
    <t>✔ Registrado S-20260826-115024-4CA6 · SALIDA 24 UND · PLO-005</t>
  </si>
  <si>
    <t>A-20260826-122553-195D</t>
  </si>
  <si>
    <t>✔ Registrado S-20260826-122551-A3E8 · SALIDA 22.5 KG · ASE-005</t>
  </si>
  <si>
    <t>A-20260827-085456-D03D</t>
  </si>
  <si>
    <t>✔ Registrado S-20260827-085454-4F59 · SALIDA 16 CAJA · FER-001</t>
  </si>
  <si>
    <t>A-20260827-124539-CE4E</t>
  </si>
  <si>
    <t>✔ Registrado S-20260827-124537-B39C · SALIDA 8 UND · ELE-004</t>
  </si>
  <si>
    <t>A-20260827-154204-5FD9</t>
  </si>
  <si>
    <t>✔ Registrado S-20260827-154202-1458 · SALIDA 86 MT · ELE-007</t>
  </si>
  <si>
    <t>A-20260828-080940-FB25</t>
  </si>
  <si>
    <t>✔ Registrado E-20260828-080938-F197 · ENTRADA 106 UND · ELE-003</t>
  </si>
  <si>
    <t>A-20260828-110440-CB43</t>
  </si>
  <si>
    <t>✔ Registrado S-20260828-110438-0AAA · SALIDA 28 UND · PLO-002</t>
  </si>
  <si>
    <t>A-20260828-114117-01E7</t>
  </si>
  <si>
    <t>✔ Registrado S-20260828-114115-6294 · SALIDA 6.5 GL · PIN-001</t>
  </si>
  <si>
    <t>A-20260828-141755-294C</t>
  </si>
  <si>
    <t>✔ Registrado S-20260828-141753-87CF · SALIDA 26 UND · PLO-005</t>
  </si>
  <si>
    <t>A-20260829-074817-CDE7</t>
  </si>
  <si>
    <t>✔ Registrado E-20260829-074815-C8AD · ENTRADA 272 UND · PLO-002</t>
  </si>
  <si>
    <t>A-20260829-123959-834E</t>
  </si>
  <si>
    <t>✔ Registrado S-20260829-123957-3051 · SALIDA 67.5 MT · ELE-007</t>
  </si>
  <si>
    <t>A-20260829-132557-9439</t>
  </si>
  <si>
    <t>✔ Registrado S-20260829-132555-9476 · SALIDA 73.5 MT · ELE-007</t>
  </si>
  <si>
    <t>A-20260831-140812-AD9E</t>
  </si>
  <si>
    <t>✔ Registrado S-20260831-140810-5B7F · SALIDA 15.5 LT · ASE-002</t>
  </si>
  <si>
    <t>A-20260831-145320-1A27</t>
  </si>
  <si>
    <t>✔ Registrado S-20260831-145318-F0FD · SALIDA 6 GL · ASE-001</t>
  </si>
  <si>
    <t>A-20260831-151302-7BC2</t>
  </si>
  <si>
    <t>✔ Registrado S-20260831-151300-F603 · SALIDA 19 UND · ELE-003</t>
  </si>
  <si>
    <t>A-20260901-141804-5C99</t>
  </si>
  <si>
    <t>✔ Registrado S-20260901-141802-DF93 · SALIDA 27 UND · ELE-002</t>
  </si>
  <si>
    <t>A-20260901-143806-B0B9</t>
  </si>
  <si>
    <t>✔ Registrado S-20260901-143804-62A9 · SALIDA 4 UND · FER-004</t>
  </si>
  <si>
    <t>A-20260901-165528-C04E</t>
  </si>
  <si>
    <t>✔ Registrado S-20260901-165526-7844 · SALIDA 25 UND · PLO-005</t>
  </si>
  <si>
    <t>A-20260902-102224-5506</t>
  </si>
  <si>
    <t>✔ Registrado S-20260902-102222-59A3 · SALIDA 46.5 MT · ELE-007</t>
  </si>
  <si>
    <t>A-20260902-124124-DB57</t>
  </si>
  <si>
    <t>✔ Registrado S-20260902-124122-FE5E · SALIDA 18 PAR · SEG-001</t>
  </si>
  <si>
    <t>A-20260902-131659-5261</t>
  </si>
  <si>
    <t>✔ Registrado S-20260902-131657-925E · SALIDA 22 UND · FER-005</t>
  </si>
  <si>
    <t>A-20260902-151832-C498</t>
  </si>
  <si>
    <t>✔ Registrado E-20260902-151830-8189 · AJUSTE (-) 1 ROLLO · ELE-001</t>
  </si>
  <si>
    <t>A-20260903-134018-3568</t>
  </si>
  <si>
    <t>✔ Registrado S-20260903-134016-3AA9 · SALIDA 16 CAJA · FER-001</t>
  </si>
  <si>
    <t>A-20260903-151706-3842</t>
  </si>
  <si>
    <t>✔ Registrado S-20260903-151704-3A7D · SALIDA 33 UND · ELE-005</t>
  </si>
  <si>
    <t>A-20260904-142434-FAA2</t>
  </si>
  <si>
    <t>✔ Registrado S-20260904-142432-5A7B · SALIDA 17 UND · ELE-005</t>
  </si>
  <si>
    <t>A-20260904-170308-E479</t>
  </si>
  <si>
    <t>✔ Registrado S-20260904-170306-7920 · SALIDA 33 UND · ELE-002</t>
  </si>
  <si>
    <t>A-20260905-125916-08BA</t>
  </si>
  <si>
    <t>✔ Registrado S-20260905-125914-3902 · SALIDA 100 MT · ELE-007</t>
  </si>
  <si>
    <t>A-20260905-165758-E550</t>
  </si>
  <si>
    <t>✔ Registrado S-20260905-165756-8CE7 · SALIDA 16.5 LT · ASE-002</t>
  </si>
  <si>
    <t>A-20260907-075046-3A1E</t>
  </si>
  <si>
    <t>✔ Registrado E-20260907-075044-C4AB · ENTRADA 213 UND · ELE-002</t>
  </si>
  <si>
    <t>A-20260907-100238-5CDA</t>
  </si>
  <si>
    <t>✔ Registrado S-20260907-100236-3F5D · SALIDA 83 MT · ELE-007</t>
  </si>
  <si>
    <t>A-20260907-144006-0BEB</t>
  </si>
  <si>
    <t>✔ Registrado S-20260907-144004-3A43 · SALIDA 71 MT · ELE-007</t>
  </si>
  <si>
    <t>A-20260907-153839-BA87</t>
  </si>
  <si>
    <t>✔ Registrado S-20260907-153837-F531 · SALIDA 3 PAR · SEG-004</t>
  </si>
  <si>
    <t>A-20260907-162517-8545</t>
  </si>
  <si>
    <t>✔ Registrado S-20260907-162515-8804 · SALIDA 27 UND · ELE-005</t>
  </si>
  <si>
    <t>A-20260908-104223-88C9</t>
  </si>
  <si>
    <t>✔ Registrado S-20260908-104221-FD4B · SALIDA 34 UND · PLO-005</t>
  </si>
  <si>
    <t>A-20260909-104107-E7FE</t>
  </si>
  <si>
    <t>✔ Registrado S-20260909-104105-729F · SALIDA 19 UND · ELE-005</t>
  </si>
  <si>
    <t>A-20260909-123926-5745</t>
  </si>
  <si>
    <t>✔ Registrado S-20260909-123924-C64E · SALIDA 13 UND · FER-005</t>
  </si>
  <si>
    <t>A-20260910-095748-3250</t>
  </si>
  <si>
    <t>✔ Registrado S-20260910-095746-8AE0 · SALIDA 10.5 MT · ELE-007</t>
  </si>
  <si>
    <t>A-20260910-100224-6E7F</t>
  </si>
  <si>
    <t>✔ Registrado S-20260910-100222-6FEC · SALIDA 38 UND · PLO-002</t>
  </si>
  <si>
    <t>A-20260910-124542-B30C</t>
  </si>
  <si>
    <t>✔ Registrado S-20260910-124540-A432 · SALIDA 25 UND · ELE-005</t>
  </si>
  <si>
    <t>A-20260910-135127-4A47</t>
  </si>
  <si>
    <t>✔ Registrado S-20260910-135125-A889 · SALIDA 37 UND · ELE-002</t>
  </si>
  <si>
    <t>A-20260911-115838-7C31</t>
  </si>
  <si>
    <t>✔ Registrado S-20260911-115836-0DA2 · SALIDA 15 CAJA · FER-001</t>
  </si>
  <si>
    <t>A-20260912-073130-D564</t>
  </si>
  <si>
    <t>✔ Registrado E-20260912-073128-0DC4 · ENTRADA 134 UND · FER-005</t>
  </si>
  <si>
    <t>A-20260912-092049-B92F</t>
  </si>
  <si>
    <t>✔ Registrado S-20260912-092047-0AED · SALIDA 7 UND · ELE-006</t>
  </si>
  <si>
    <t>A-20260912-111405-2A64</t>
  </si>
  <si>
    <t>✔ Registrado S-20260912-111403-8908 · SALIDA 25 UND · ELE-002</t>
  </si>
  <si>
    <t>A-20260912-123449-AF6D</t>
  </si>
  <si>
    <t>✖ Bloqueado</t>
  </si>
  <si>
    <t>✖ Bloqueado: stock insuficiente: disponible 0 ROLLO (ELE-001)</t>
  </si>
  <si>
    <t>A-20260912-125951-B5AA</t>
  </si>
  <si>
    <t>✔ Registrado S-20260912-125949-1B52 · SALIDA 25 KG · ASE-005</t>
  </si>
  <si>
    <t>A-20260914-081706-7E7A</t>
  </si>
  <si>
    <t>✔ Registrado E-20260914-081704-0E60 · ENTRADA 518.5 MT · ELE-007</t>
  </si>
  <si>
    <t>A-20260914-093903-B406</t>
  </si>
  <si>
    <t>A-20260914-100405-2081</t>
  </si>
  <si>
    <t>✔ Registrado S-20260914-100403-DB87 · SALIDA 4 UND · PLO-003</t>
  </si>
  <si>
    <t>A-20260914-115728-3D6E</t>
  </si>
  <si>
    <t>✔ Registrado S-20260914-115726-0075 · SALIDA 4 UND · FER-003</t>
  </si>
  <si>
    <t>A-20260914-141708-A769</t>
  </si>
  <si>
    <t>✔ Registrado S-20260914-141706-EAE9 · SALIDA 12 PAQ · FER-002</t>
  </si>
  <si>
    <t>A-20260915-094211-51C2</t>
  </si>
  <si>
    <t>✔ Registrado S-20260915-094209-B232 · SALIDA 33 UND · PLO-002</t>
  </si>
  <si>
    <t>A-20260916-080538-1114</t>
  </si>
  <si>
    <t>✔ Registrado S-20260916-080536-2E18 · SALIDA 60 MT · ELE-007</t>
  </si>
  <si>
    <t>A-20260916-082956-1444</t>
  </si>
  <si>
    <t>✔ Registrado S-20260916-082954-1D34 · SALIDA 1 UND · FER-005</t>
  </si>
  <si>
    <t>A-20260916-085351-3B3A</t>
  </si>
  <si>
    <t>✔ Registrado S-20260916-085349-1AD5 · SALIDA 2 UND · PLO-003</t>
  </si>
  <si>
    <t>A-20260916-154826-0C01</t>
  </si>
  <si>
    <t>✔ Registrado E-20260916-154824-1F69 · AJUSTE (-) 2 CAJA · SEG-005</t>
  </si>
  <si>
    <t>A-20260917-100227-55EA</t>
  </si>
  <si>
    <t>✔ Registrado S-20260917-100225-7859 · SALIDA 18 PAQ · ASE-003</t>
  </si>
  <si>
    <t>A-20260918-143742-EACA</t>
  </si>
  <si>
    <t>✔ Registrado S-20260918-143740-985B · SALIDA 13 KG · ASE-005</t>
  </si>
  <si>
    <t>A-20260918-151445-E6C6</t>
  </si>
  <si>
    <t>✔ Registrado S-20260918-151443-7025 · SALIDA 9 PAQ · FER-002</t>
  </si>
  <si>
    <t>A-20260919-111345-3F31</t>
  </si>
  <si>
    <t>A-20260919-113847-6CB9</t>
  </si>
  <si>
    <t>✔ Registrado S-20260919-113845-648D · SALIDA 7 CAJA · SEG-005</t>
  </si>
  <si>
    <t>A-20260919-130501-7CA7</t>
  </si>
  <si>
    <t>✔ Registrado S-20260919-130459-BF85 · SALIDA 38 UND · ELE-005</t>
  </si>
  <si>
    <t>A-20260921-132038-21B7</t>
  </si>
  <si>
    <t>✔ Registrado S-20260921-132036-ED20 · SALIDA 4.5 GL · PIN-002</t>
  </si>
  <si>
    <t>A-20260921-164616-A8ED</t>
  </si>
  <si>
    <t>✔ Registrado S-20260921-164614-E199 · SALIDA 14 UND · FER-005</t>
  </si>
  <si>
    <t>A-20260921-171113-7774</t>
  </si>
  <si>
    <t>✔ Registrado S-20260921-171111-615F · SALIDA 9 UND · ELE-006</t>
  </si>
  <si>
    <t>A-20260922-081352-03D5</t>
  </si>
  <si>
    <t>✔ Registrado E-20260922-081350-6B82 · ENTRADA 200 UND · ELE-005</t>
  </si>
  <si>
    <t>A-20260922-124435-89DB</t>
  </si>
  <si>
    <t>✔ Registrado S-20260922-124433-D153 · SALIDA 46.5 MT · ELE-007</t>
  </si>
  <si>
    <t>A-20260922-140339-483B</t>
  </si>
  <si>
    <t>✔ Registrado S-20260922-140337-38AF · SALIDA 8 PAQ · ASE-003</t>
  </si>
  <si>
    <t>A-20260922-141223-DF5F</t>
  </si>
  <si>
    <t>A-20260922-143725-2FD4</t>
  </si>
  <si>
    <t>✔ Registrado S-20260922-143723-1378 · SALIDA 2 ROLLO · ELE-001</t>
  </si>
  <si>
    <t>A-20260922-162412-5A96</t>
  </si>
  <si>
    <t>✔ Registrado S-20260922-162410-1798 · SALIDA 43 UND · PLO-002</t>
  </si>
  <si>
    <t>A-20260923-090040-AD6F</t>
  </si>
  <si>
    <t>✔ Registrado S-20260923-090038-2C15 · SALIDA 34 UND · PLO-002</t>
  </si>
  <si>
    <t>A-20260923-135429-15AB</t>
  </si>
  <si>
    <t>✔ Registrado S-20260923-135427-0924 · SALIDA 27 UND · ELE-005</t>
  </si>
  <si>
    <t>A-20260924-115522-DDA7</t>
  </si>
  <si>
    <t>✔ Registrado S-20260924-115520-60B9 · SALIDA 8 UND · PIN-005</t>
  </si>
  <si>
    <t>A-20260924-160149-3477</t>
  </si>
  <si>
    <t>✔ Registrado S-20260924-160147-EDDB · SALIDA 38 UND · PLO-005</t>
  </si>
  <si>
    <t>A-20260924-160959-6EC8</t>
  </si>
  <si>
    <t>✔ Registrado S-20260924-160957-9354 · SALIDA 39 UND · PLO-002</t>
  </si>
  <si>
    <t>A-20260924-161242-EF17</t>
  </si>
  <si>
    <t>✔ Registrado S-20260924-161240-DC42 · SALIDA 55.5 MT · ELE-007</t>
  </si>
  <si>
    <t>A-20260925-085247-D1DC</t>
  </si>
  <si>
    <t>✔ Registrado S-20260925-085245-91CD · SALIDA 7 CAJA · FER-001</t>
  </si>
  <si>
    <t>A-20260925-091418-F1ED</t>
  </si>
  <si>
    <t>✔ Registrado S-20260925-091416-0334 · SALIDA 121 UND · FER-005</t>
  </si>
  <si>
    <t>A-20260925-102627-F0D8</t>
  </si>
  <si>
    <t>✔ Registrado S-20260925-102625-BA3A · SALIDA 9 ROLLO · ELE-001</t>
  </si>
  <si>
    <t>A-20260925-103820-AF20</t>
  </si>
  <si>
    <t>✔ Registrado S-20260925-103818-6666 · SALIDA 9 UND · ELE-004</t>
  </si>
  <si>
    <t>A-20260925-120907-3A5C</t>
  </si>
  <si>
    <t>✔ Registrado S-20260925-120905-23C1 · SALIDA 31 UND · PLO-003</t>
  </si>
  <si>
    <t>A-20260925-125529-C15C</t>
  </si>
  <si>
    <t>✔ Registrado E-20260925-125527-3151 · ENTRADA 27 UND · PLO-004</t>
  </si>
  <si>
    <t>A-20260925-132639-67B1</t>
  </si>
  <si>
    <t>✔ Registrado E-20260925-132637-6896 · ENTRADA 322 UND · PLO-005</t>
  </si>
  <si>
    <t>A-20260925-141232-B516</t>
  </si>
  <si>
    <t>✔ Registrado S-20260925-141230-7A45 · SALIDA 8.5 GL · PIN-002</t>
  </si>
  <si>
    <t>A-20260925-143846-67B5</t>
  </si>
  <si>
    <t>✔ Registrado S-20260925-143844-07B9 · SALIDA 9 UND · PIN-004</t>
  </si>
  <si>
    <t>A-20260925-143909-0F6C</t>
  </si>
  <si>
    <t>✔ Registrado S-20260925-143907-ED16 · SALIDA 13 PAR · SEG-004</t>
  </si>
  <si>
    <t>A-20260925-144007-1F88</t>
  </si>
  <si>
    <t>RecalcularStock</t>
  </si>
  <si>
    <t>✔ Stock recalculado</t>
  </si>
  <si>
    <t>✔ Stock recalculado: 34 productos · 470 movimientos · 11 alertas · 10 líneas de pedido</t>
  </si>
  <si>
    <t>A-20260925-145212-32E7</t>
  </si>
  <si>
    <t>✔ Registrado E-20260925-145210-7475 · ENTRADA 4 CAJA · SEG-005</t>
  </si>
  <si>
    <t>A-20260925-150722-045A</t>
  </si>
  <si>
    <t>✔ Registrado S-20260925-150720-DE72 · SALIDA 54.5 LT · ASE-002</t>
  </si>
  <si>
    <t>A-20260925-163727-B798</t>
  </si>
  <si>
    <t>✔ Registrado E-20260925-163725-6ED4 · ENTRADA 166 PAQ · ASE-003</t>
  </si>
  <si>
    <t>Las filas nuevas se agregan al final (Ctrl + ↓ lleva a la más reciente). Filtre en su propia Vista de hoja (Vista › Vista de hoja) sin afectar a los demás.</t>
  </si>
  <si>
    <t>Stock · instantánea</t>
  </si>
  <si>
    <t>Capa de lectura a demanda · No se recalcula mientras la gente trabaja · Pulse «Recalcular stock» para actualizarla con las dos bitácoras</t>
  </si>
  <si>
    <t>Entradas</t>
  </si>
  <si>
    <t>Salidas</t>
  </si>
  <si>
    <t>StockActual</t>
  </si>
  <si>
    <t>Nivel</t>
  </si>
  <si>
    <t>ValorInventario</t>
  </si>
  <si>
    <t>UltimoMov</t>
  </si>
  <si>
    <t>DiasSinMov</t>
  </si>
  <si>
    <t>Salidas30d</t>
  </si>
  <si>
    <t>CoberturaDias</t>
  </si>
  <si>
    <t>RankSalidas30d</t>
  </si>
  <si>
    <t>⚙ Botón «Recalcular stock» · Office Script RecalcularStock.ts (si no lo ve, instálelo: Guía › Instalación)</t>
  </si>
  <si>
    <t>Alertas de stock · instantánea</t>
  </si>
  <si>
    <t>Priorizadas: inconsistentes, agotados, críticos, bajos y sobrestock · Cantidad sugerida hasta el máximo · Se actualiza con «Recalcular stock»</t>
  </si>
  <si>
    <t>#</t>
  </si>
  <si>
    <t>Stock</t>
  </si>
  <si>
    <t>Mínimo</t>
  </si>
  <si>
    <t>Máximo</t>
  </si>
  <si>
    <t>Faltante</t>
  </si>
  <si>
    <t>SugeridoPedir</t>
  </si>
  <si>
    <t>AcciónSugerida</t>
  </si>
  <si>
    <t>Consulta de producto</t>
  </si>
  <si>
    <t>Cada persona usa SU fila · Elija un producto y vea su ficha al instante (stock exacto, estado, cobertura y último movimiento) · No depende de «Recalcular stock»</t>
  </si>
  <si>
    <t>Elija el producto en la columna Producto de SU fila (Alt + ↓ o escriba para filtrar). Para ver el historial completo use 10A/10B con una Vista de hoja (vea abajo).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</si>
  <si>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CONSULTA — una fila por persona (nadie comparte el selector)</t>
    </r>
  </si>
  <si>
    <t>Sugerido</t>
  </si>
  <si>
    <t>UltimoMovimiento</t>
  </si>
  <si>
    <t>Entradas30d</t>
  </si>
  <si>
    <t>TsE</t>
  </si>
  <si>
    <t>TsS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</si>
  <si>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HISTORIAL COMPLETO DE UN PRODUCTO (sin afectar a los demás)</t>
    </r>
  </si>
  <si>
    <t>1. Abra 10A_ENTRADAS (entradas y ajustes) o 10B_SALIDAS (salidas).</t>
  </si>
  <si>
    <t>2. Pestaña Vista › Vista de hoja › Nueva: su filtro solo lo ve usted (no cambia la vista de los demás).</t>
  </si>
  <si>
    <t>3. En la bitácora oficial, filtre la columna Producto por el producto y ordene por Fecha.</t>
  </si>
  <si>
    <t>4. Al terminar: Vista › Vista de hoja › Salir (o Predeterminada).</t>
  </si>
  <si>
    <t>Pedido sugerido por proveedor · instantánea</t>
  </si>
  <si>
    <t>Productos agotados, críticos y preventivos · Cantidad hasta el máximo · Filtre Proveedor en su Vista de hoja e imprima (Ctrl + P) · Se actualiza con «Recalcular stock»</t>
  </si>
  <si>
    <t>APedir</t>
  </si>
  <si>
    <t>Subtotal</t>
  </si>
  <si>
    <t>EntregaEstimada</t>
  </si>
  <si>
    <t>Motor de listas</t>
  </si>
  <si>
    <t>Capa de motor (oculta) · Listas fijas de validación · Productos y proveedores se leen del catálogo</t>
  </si>
  <si>
    <t>Tipos de Bodega</t>
  </si>
  <si>
    <t>Roles</t>
  </si>
  <si>
    <t>Día</t>
  </si>
  <si>
    <t>Unidades</t>
  </si>
  <si>
    <t>Mes</t>
  </si>
  <si>
    <t>Motor de indicadores</t>
  </si>
  <si>
    <t>Capa de motor (oculta) · Conteos livianos sobre la instantánea y las bitácoras · No editar</t>
  </si>
  <si>
    <t>Indicador</t>
  </si>
  <si>
    <t>Formato</t>
  </si>
  <si>
    <t>kpiCatalogo · Productos en el catálogo</t>
  </si>
  <si>
    <t>#,##0</t>
  </si>
  <si>
    <t>kpiActivos · Productos activos</t>
  </si>
  <si>
    <t>kpiProveedores · Proveedores</t>
  </si>
  <si>
    <t>kpiUsuarios · Usuarios activos</t>
  </si>
  <si>
    <t>kpiAdmins · Administradores activos</t>
  </si>
  <si>
    <t>kpiUltProd · Última fila usada del catálogo</t>
  </si>
  <si>
    <t>0</t>
  </si>
  <si>
    <t>kpiUltProv · Última fila usada de proveedores</t>
  </si>
  <si>
    <t>kpiInconsistentes · Inconsistentes</t>
  </si>
  <si>
    <t>kpiAgotados · Agotados</t>
  </si>
  <si>
    <t>kpiCriticos · Críticos</t>
  </si>
  <si>
    <t>kpiBajos · Preventivos</t>
  </si>
  <si>
    <t>kpiOptimos · Óptimos</t>
  </si>
  <si>
    <t>kpiSobrestock · Sobrestock</t>
  </si>
  <si>
    <t>kpiInactivos · Inactivos</t>
  </si>
  <si>
    <t>kpiEnAlerta · Requieren acción</t>
  </si>
  <si>
    <t>kpiValor · Valor del inventario</t>
  </si>
  <si>
    <t>$ #,##0</t>
  </si>
  <si>
    <t>kpiDisponibles · Productos con stock</t>
  </si>
  <si>
    <t>kpiSinRotacion · Sin rotación</t>
  </si>
  <si>
    <t>kpiRegEnt · Registros consolidados en 10A</t>
  </si>
  <si>
    <t>kpiRegSal · Registros consolidados en 10B</t>
  </si>
  <si>
    <t>kpiRechEnt · Rechazados en 10A</t>
  </si>
  <si>
    <t>kpiRechSal · Rechazados en 10B</t>
  </si>
  <si>
    <t>kpiPendEnt · Filas con datos en la captura 10A</t>
  </si>
  <si>
    <t>kpiPendSal · Filas con datos en la captura 10B</t>
  </si>
  <si>
    <t>kpiEntradasHoy · Entradas de hoy</t>
  </si>
  <si>
    <t>kpiAjustesMes · Ajustes del mes</t>
  </si>
  <si>
    <t>kpiSaldosIni · Productos con SALDO INICIAL</t>
  </si>
  <si>
    <t>kpiSalidasHoy · Salidas de hoy</t>
  </si>
  <si>
    <t>kpiUnidadesHoy · Unidades despachadas hoy</t>
  </si>
  <si>
    <t>#,##0.##</t>
  </si>
  <si>
    <t>kpiSalidasMes · Salidas del mes</t>
  </si>
  <si>
    <t>kpiNuevosDesdeCalculo · Movimientos posteriores a la instantánea</t>
  </si>
  <si>
    <t>kpiRechazos · Rechazos</t>
  </si>
  <si>
    <t>kpiMovMes · Movimientos consolidados del mes</t>
  </si>
  <si>
    <t>kpiUnid30 · Unidades vendidas en 30 días (instantánea)</t>
  </si>
  <si>
    <t>kpiCobMed · Cobertura mediana en días (instantánea)</t>
  </si>
  <si>
    <t>kpiPedidoLineas · Líneas del pedido sugerido</t>
  </si>
  <si>
    <t>kpiPedidoTotal · Total estimado del pedido sugerido</t>
  </si>
  <si>
    <t>kpiPedidoProv · Proveedores en el pedido</t>
  </si>
  <si>
    <t>kpiConteoContados · Productos contados</t>
  </si>
  <si>
    <t>kpiConteoDif · Productos con diferencia</t>
  </si>
  <si>
    <t>kpiConteoValor · Valor neto de las diferencias</t>
  </si>
  <si>
    <t>kpiEjecuciones · Ejecuciones de scripts registradas</t>
  </si>
  <si>
    <t>kpiBloqMes · Bloqueos del mes</t>
  </si>
  <si>
    <t>txtHoy · Fecha de hoy</t>
  </si>
  <si>
    <t>@</t>
  </si>
  <si>
    <t>txtEmpresa · Empresa y bodega</t>
  </si>
  <si>
    <t>txtStockActualizado · Cuándo se calculó la instantánea</t>
  </si>
  <si>
    <t>txtFrescura · Frescura de la instantánea</t>
  </si>
  <si>
    <t>txtFrescuraCorta · Frescura (chip)</t>
  </si>
  <si>
    <t>txtPedidoBtn · Botón del pedido</t>
  </si>
  <si>
    <t>txtUltimaEjecucion · Última ejecución de un script</t>
  </si>
  <si>
    <t>txtPasoGerencia · Próximo paso (Gerencia)</t>
  </si>
  <si>
    <t>txtAlertasBtn · Botón de alertas</t>
  </si>
  <si>
    <t>txtPasoBodega · Próximo paso (Bodega)</t>
  </si>
  <si>
    <t>txtPasoVentas · Próximo paso (Ventas)</t>
  </si>
  <si>
    <t>txtBitacoras · Pie de portada</t>
  </si>
  <si>
    <t>Hoja técnica de M-INV: los Office Scripts la usan para identificar al usuario de Microsoft 365 (crean y borran un comentario). No la modifique ni la proteja.</t>
  </si>
  <si>
    <t>M-INV · Bodega</t>
  </si>
  <si>
    <t>Edición colaborativa · M-INV V2.1.0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</si>
  <si>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¿QUÉ NECESITA HACER?</t>
    </r>
  </si>
  <si>
    <t>⇩  REGISTRAR ENTRADA</t>
  </si>
  <si>
    <t>±  REGISTRAR AJUSTE</t>
  </si>
  <si>
    <t>✓  TOMA FÍSICA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</si>
  <si>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INDICADORES</t>
    </r>
  </si>
  <si>
    <t>ENTRADAS DE HOY</t>
  </si>
  <si>
    <t>AGOTADOS</t>
  </si>
  <si>
    <t>CRÍTICOS Y PREVENTIVOS</t>
  </si>
  <si>
    <t>VALOR DEL INVENTARIO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</si>
  <si>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PRODUCTOS QUE REQUIEREN ACCIÓN  (instantánea de 16_ALERTAS)</t>
    </r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</si>
  <si>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ÚLTIMAS ENTRADAS Y AJUSTES  (bitácora oficial 10A)</t>
    </r>
  </si>
  <si>
    <t>M-INV V2.1.0 · Colaborativo en Microsoft 365 · Z&amp;P Software Fast Solutions</t>
  </si>
  <si>
    <t>M-INV · Ventas</t>
  </si>
  <si>
    <t>⇧  REGISTRAR SALIDA</t>
  </si>
  <si>
    <t>⌕  CONSULTAR PRODUCTO</t>
  </si>
  <si>
    <t>▦  STOCK COMPLETO</t>
  </si>
  <si>
    <t>SALIDAS DE HOY</t>
  </si>
  <si>
    <t>SALIDAS DEL MES</t>
  </si>
  <si>
    <t>PRODUCTOS CON STOCK</t>
  </si>
  <si>
    <t>AGOTADOS · NO OFRECER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</si>
  <si>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AGOTADOS Y CRÍTICOS  —  confirme con Bodega antes de ofrecer</t>
    </r>
  </si>
  <si>
    <t>Últ. mov.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</si>
  <si>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ÚLTIMAS SALIDAS  (bitácora oficial 10B)</t>
    </r>
  </si>
  <si>
    <t>M-INV · Gerencia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</si>
  <si>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ACCESOS</t>
    </r>
  </si>
  <si>
    <t>▦  STOCK Y COBERTURA</t>
  </si>
  <si>
    <t>☰  ACTIVIDAD Y AUDITORÍA</t>
  </si>
  <si>
    <t>REQUIEREN ACCIÓN</t>
  </si>
  <si>
    <t>PEDIDO SUGERIDO</t>
  </si>
  <si>
    <t>MOVIMIENTOS DEL MES</t>
  </si>
  <si>
    <t>UNIDADES VENDIDAS · 30 DÍAS</t>
  </si>
  <si>
    <t>COBERTURA MEDIANA</t>
  </si>
  <si>
    <t>BLOQUEOS DEL MES</t>
  </si>
  <si>
    <t>USUARIOS ACTIVOS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</si>
  <si>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TENDENCIA Y VALOR</t>
    </r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</si>
  <si>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MÁS VENDIDOS · 30 DÍAS  (instantánea)</t>
    </r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</si>
  <si>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ACTIVIDAD POR USUARIO · MES EN CURSO</t>
    </r>
  </si>
  <si>
    <t>Vendido 30 d</t>
  </si>
  <si>
    <t>Cobertura</t>
  </si>
  <si>
    <t>Registros</t>
  </si>
  <si>
    <t>Bloqueos</t>
  </si>
  <si>
    <t>Último registro</t>
  </si>
  <si>
    <t>Guía de uso · M-INV colaborativo</t>
  </si>
  <si>
    <t>Cómo entrar · Cómo registrar sin chocar con otros usuarios · Consulta, toma física, pedido y auditoría · Instalación en Microsoft 365</t>
  </si>
  <si>
    <t>PRIMEROS PASOS DEL ADMINISTRADOR  (se marcan solos)</t>
  </si>
  <si>
    <t>CÓMO ENTRAR AL LIBRO (PASO A PASO)</t>
  </si>
  <si>
    <t>1</t>
  </si>
  <si>
    <t>Abra el enlace que le compartió el administrador (correo, Teams o la biblioteca de SharePoint) e inicie sesión con su cuenta de trabajo de Microsoft 365. No descargue copias: todos trabajan sobre este archivo.</t>
  </si>
  <si>
    <t>2</t>
  </si>
  <si>
    <t>El libro se abre en Excel para la web. Si prefiere el escritorio: Editar › Abrir en la aplicación de escritorio (sigue siendo el mismo archivo, con guardado automático).</t>
  </si>
  <si>
    <t>3</t>
  </si>
  <si>
    <t>Use la barra oscura superior para ir a la portada de su rol: ⌂ Bodega, ⌂ Ventas o ◈ Gerencia. La portada le dice el «Próximo paso» en una frase.</t>
  </si>
  <si>
    <t>4</t>
  </si>
  <si>
    <t>Para registrar: escriba en SU fila de captura, revise que Validación diga «✔ Lista» y pulse el botón del script. Lea el Resultado en su misma fila.</t>
  </si>
  <si>
    <t>5</t>
  </si>
  <si>
    <t>Para mirar sin molestar a nadie: Vista › Vista de hoja › Nueva. Sus filtros y órdenes quedan solo para usted (los demás siguen viendo la hoja completa).</t>
  </si>
  <si>
    <t>6</t>
  </si>
  <si>
    <t>Si algo no funciona, revise PREGUNTAS FRECUENTES al final de esta guía o pida al administrador que ejecute DiagnosticoInstalacion.</t>
  </si>
  <si>
    <t>LA VERSIÓN COLABORATIVA EN 30 SEGUNDOS</t>
  </si>
  <si>
    <t>Un solo libro</t>
  </si>
  <si>
    <t>El libro vive en SharePoint o OneDrive y lo usan varias personas a la vez desde Excel para la web o de escritorio. No envíe copias por correo: todos trabajan sobre el mismo archivo.</t>
  </si>
  <si>
    <t>Escritura por rol</t>
  </si>
  <si>
    <t>Bodega registra en 10A_ENTRADAS (entradas, saldo inicial y ajustes) y Ventas en 10B_SALIDAS. Cada persona tiene SU fila de captura, SU fila de consulta y cuenta SUS productos en la toma física: nadie escribe en la celda de otro.</t>
  </si>
  <si>
    <t>Botón = registro</t>
  </si>
  <si>
    <t>Al pulsar el botón del script, el movimiento pasa a la bitácora oficial con su correo de Microsoft 365 y la hora exacta, y queda anotado en 14_ACTIVIDAD. Las bitácoras oficiales no se pueden editar.</t>
  </si>
  <si>
    <t>Stock a demanda</t>
  </si>
  <si>
    <t>15_STOCK, 16_ALERTAS y 18_PEDIDO son una instantánea: no se recalculan mientras la gente trabaja (así Excel para la web no se pone lento). Pulse «Recalcular stock» cuando necesite verlas al día. El disponible de su fila de captura y de su consulta siempre es exacto.</t>
  </si>
  <si>
    <t>SU ROL</t>
  </si>
  <si>
    <t>Portada 00_PORTADA_BODEGA. Registra ENTRADA, SALDO INICIAL y AJUSTE (+/-) en su fila de 10A_ENTRADAS con el botón «Registrar en bodega», dirige la toma física (13_CONTEO) y atiende las alertas y el pedido sugerido.</t>
  </si>
  <si>
    <t>Portada 00_PORTADA_VENTAS. Registra SALIDAS en su fila de 10B_SALIDAS con el botón «Registrar salida». Antes de ofrecer, consulte el producto en su fila de 17_CONSULTA: disponible exacto, cobertura y último movimiento.</t>
  </si>
  <si>
    <t>Portada 00_PORTADA_GERENCIA. Administra usuarios (02_USUARIOS), catálogo, proveedores y configuración; puede registrar en ambos fragmentos. Instala los scripts, sus botones y el resumen diario por correo.</t>
  </si>
  <si>
    <t>Solo lectura (permiso Ver en SharePoint): portada de Gerencia, stock, alertas, pedido, actividad y bitácoras.</t>
  </si>
  <si>
    <t>REGISTRAR UN MOVIMIENTO (Bodega y Ventas)</t>
  </si>
  <si>
    <t>Abra su portada y pulse REGISTRAR: llegará a la zona de captura de su hoja (10A o 10B).</t>
  </si>
  <si>
    <t>Busque la fila con SU nombre en la columna Usuario. Escriba solo en esa fila.</t>
  </si>
  <si>
    <t>Complete Tipo (solo Bodega), Producto (elíjalo de la lista: escriba parte del nombre o del SKU para filtrarla), Cantidad y, si aplica, Fecha, Documento y Observaciones (obligatoria en los ajustes).</t>
  </si>
  <si>
    <t>Revise Disponible y Validación: debe decir «✔ Lista». Si dice ○ falta un dato; si dice ✖, corrija.</t>
  </si>
  <si>
    <t>Pulse el botón del script (junto a la barra superior de la hoja). Espere unos segundos.</t>
  </si>
  <si>
    <t>Lea Resultado: «✔ Registrado» con el ID del movimiento (su fila queda limpia para el siguiente) o «✖ Bloqueado» con el motivo (su fila se conserva para que la corrija).</t>
  </si>
  <si>
    <t>CONSULTAR UN PRODUCTO (17_CONSULTA)</t>
  </si>
  <si>
    <t>Su fila</t>
  </si>
  <si>
    <t>Cada usuario operativo tiene una fila con su nombre. Elija el producto en la columna Producto (la lista se filtra al escribir) y la fila muestra la ficha al instante. No hace falta ningún botón.</t>
  </si>
  <si>
    <t>Qué muestra</t>
  </si>
  <si>
    <t>Disponible exacto (calculado en vivo desde las dos bitácoras), estado del semáforo, mínimo, máximo, cantidad sugerida, proveedor, ubicación, último movimiento (fecha, tipo y quién), entradas y salidas de 30 días y la cobertura en días al ritmo de venta actual.</t>
  </si>
  <si>
    <t>Historial</t>
  </si>
  <si>
    <t>Para ver todos los movimientos de un producto: en 10A o 10B cree una Vista de hoja y filtre la columna Producto. Solo usted verá ese filtro.</t>
  </si>
  <si>
    <t>TOMA FÍSICA COLABORATIVA (13_CONTEO)</t>
  </si>
  <si>
    <t>Bodega pulse «Recalcular stock» justo antes de contar: la columna Sistema muestra la instantánea.</t>
  </si>
  <si>
    <t>Repartan el conteo por zonas (columna Ubicación). Cada contador escribe en la columna Conteo solo las filas de su zona: son celdas distintas, así que varias personas pueden contar a la vez.</t>
  </si>
  <si>
    <t>La columna Resultado se actualiza sola: ✔ Cuadra, ▲ Sobrante, ▼ Faltante, ● Saldo inicial (producto sin movimientos) o ✖ si la cantidad no es válida. Deje en blanco lo que no contó.</t>
  </si>
  <si>
    <t>El responsable (BODEGA o ADMIN) escribe la fecha del conteo, escribe SI en «Confirmar» y pulsa «Generar ajustes del conteo».</t>
  </si>
  <si>
    <t>El script compara cada conteo contra las bitácoras en ese momento y registra en 10A un AJUSTE (+), AJUSTE (-) o SALDO INICIAL por diferencia, con el documento CF-AAAAMMDD. Luego limpia los conteos procesados.</t>
  </si>
  <si>
    <t>Pulse «Recalcular stock» para ver el inventario ajustado. Si cuenta mientras se vende, registre las ventas antes de generar los ajustes (o cuente en un horario sin movimientos).</t>
  </si>
  <si>
    <t>PEDIDO SUGERIDO (18_PEDIDO)</t>
  </si>
  <si>
    <t>Qué es</t>
  </si>
  <si>
    <t>Lo calcula «Recalcular stock»: cada producto activo AGOTADO, CRÍTICO o BAJO con la cantidad para llegar al máximo, agrupado por proveedor, con costo, subtotal, días de entrega, fecha estimada y datos de contacto del proveedor.</t>
  </si>
  <si>
    <t>Cómo usarlo</t>
  </si>
  <si>
    <t>Filtre la columna Proveedor en su Vista de hoja y use Archivo › Imprimir (o Guardar como PDF) para enviar la orden. Cuando llegue la mercancía, Bodega registra la ENTRADA en 10A.</t>
  </si>
  <si>
    <t>ACTIVIDAD Y AUDITORÍA (14_ACTIVIDAD)</t>
  </si>
  <si>
    <t>Qué guarda</t>
  </si>
  <si>
    <t>Cada ejecución de un script: registros, bloqueos (con el motivo), recálculos y tomas físicas, con el correo de Microsoft 365, el nombre, la hora y el detalle. Solo la escriben los scripts.</t>
  </si>
  <si>
    <t>Para qué</t>
  </si>
  <si>
    <t>Responde «¿quién registró esto?», «¿por qué me bloqueó?» y «¿cuándo se recalculó?». La portada de Gerencia resume los registros y bloqueos de cada usuario en el mes.</t>
  </si>
  <si>
    <t>PORTADA DE GERENCIA</t>
  </si>
  <si>
    <t>Indicadores</t>
  </si>
  <si>
    <t>Valor del inventario, productos que requieren acción, total del pedido sugerido, movimientos del mes, unidades vendidas en 30 días, cobertura mediana, bloqueos del mes y usuarios activos.</t>
  </si>
  <si>
    <t>Gráficos y listas</t>
  </si>
  <si>
    <t>Unidades despachadas por mes, valor del inventario por categoría, los 10 productos más vendidos en 30 días (con su cobertura) y la actividad de cada usuario en el mes.</t>
  </si>
  <si>
    <t>¿POR QUÉ LA CANTIDAD SE PONE ROJA Y TACHADA?</t>
  </si>
  <si>
    <t>Poka-yoke</t>
  </si>
  <si>
    <t>Porque ese movimiento dejaría el stock en negativo (sale más de lo disponible). Excel lo marca en rojo sangre con texto blanco tachado y el script se niega a consolidarlo. Corrija la cantidad o confirme con Bodega si falta registrar una entrada.</t>
  </si>
  <si>
    <t>En la bitácora</t>
  </si>
  <si>
    <t>Si dos personas sacan el mismo producto al mismo tiempo y la segunda salida deja el stock en negativo, el script la marca «✖ Rechazado» (en rojo tachado) y no suma al stock: el registro queda como evidencia, pero no afecta el inventario.</t>
  </si>
  <si>
    <t>EL STOCK ES UNA INSTANTÁNEA: RECALCULAR</t>
  </si>
  <si>
    <t>Cuándo</t>
  </si>
  <si>
    <t>La barra superior de 15_STOCK, 16_ALERTAS, 18_PEDIDO y de las portadas dice cuándo y quién calculó el stock y si hay movimientos nuevos desde entonces. Si ve «⚠ … recalcule», pulse «Recalcular stock».</t>
  </si>
  <si>
    <t>Qué hace</t>
  </si>
  <si>
    <t>El script RecalcularStock lee las dos bitácoras oficiales y reescribe en una sola operación el stock, el semáforo, el valor, las salidas y la cobertura de 30 días, el ranking de ventas, las alertas y el pedido sugerido. Recalcule también después de modificar el catálogo.</t>
  </si>
  <si>
    <t>¿QUÉ PASA SI VARIAS PERSONAS REGISTRAN A LA VEZ?</t>
  </si>
  <si>
    <t>Filas propias</t>
  </si>
  <si>
    <t>Cada persona escribe en su propia fila de captura y de consulta: no hay dos personas editando la misma celda, que es lo que corrompe los datos en la coautoría.</t>
  </si>
  <si>
    <t>Agregar al final</t>
  </si>
  <si>
    <t>Los scripts agregan cada movimiento al final de la bitácora oficial con una sola operación del servidor e IDs que no dependen de un contador compartido: dos registros simultáneos producen dos filas, nunca se pisan.</t>
  </si>
  <si>
    <t>Doble control</t>
  </si>
  <si>
    <t>Después de agregar una salida o un ajuste negativo, el script vuelve a calcular el disponible; si otra persona se adelantó y el stock quedó en negativo, marca su propio registro como rechazado.</t>
  </si>
  <si>
    <t>CORREGIR UN ERROR</t>
  </si>
  <si>
    <t>Nunca borre</t>
  </si>
  <si>
    <t>La bitácora oficial es inmutable: no se borra ni se edita. Un error se corrige con un movimiento compensatorio: AJUSTE (+) o AJUSTE (-) en 10A_ENTRADAS con la explicación en Observaciones (ej: «Corrige la salida S-20260925-… registrada por 10 en vez de 8»).</t>
  </si>
  <si>
    <t>RESUMEN DIARIO POR CORREO (OPCIONAL, POWER AUTOMATE)</t>
  </si>
  <si>
    <t>Qué envía</t>
  </si>
  <si>
    <t>El script ResumenDiario no modifica el libro: devuelve el resumen del día (movimientos, bloqueos, productos en alerta y pedido sugerido) listo para un correo.</t>
  </si>
  <si>
    <t>Cómo</t>
  </si>
  <si>
    <t>En Power Automate cree un flujo programado (ej. cada día a las 7:00) con la acción «Ejecutar script» de Excel Online (Business) sobre este libro y «Enviar un correo (V2)» con el HTML del resultado. Detalle: docs/deployment/sharepoint-rbac-policies.md.</t>
  </si>
  <si>
    <t>INSTALACIÓN EN MICROSOFT 365 (ADMINISTRADOR)</t>
  </si>
  <si>
    <t>Suba este libro a una biblioteca de SharePoint (o a OneDrive) y compártalo: Editar para ADMIN, BODEGA y VENTAS; Ver para CONSULTA. Detalle: docs/deployment/sharepoint-rbac-policies.md.</t>
  </si>
  <si>
    <t>Registre a cada persona en 02_USUARIOS con su correo de Microsoft 365 y su rol, en orden y al final.</t>
  </si>
  <si>
    <t>En Excel (web o escritorio), pestaña Automatizar › Nuevo script: pegue cada archivo instalable (RegistrarEntrada, RegistrarSalida, RecalcularStock, GenerarAjustesConteo, ResumenDiario y DiagnosticoInstalacion) y guárdelo con el mismo nombre.</t>
  </si>
  <si>
    <t>Ejecute una vez DiagnosticoInstalacion: comprueba identidad, permisos, contraseña, tablas y filas.</t>
  </si>
  <si>
    <t>Agregue los botones: en el editor de código, «…» › Agregar en el libro, sobre cada recuadro amarillo ⚙ (10A, 10B, 13_CONTEO, 15_STOCK, 18_PEDIDO y portadas). Así el script queda compartido con el libro.</t>
  </si>
  <si>
    <t>Pulse «Recalcular stock» y cargue el SALDO INICIAL de cada producto: en 10A o, más rápido, con una toma física completa en 13_CONTEO (genera los saldos iniciales de los productos sin movimientos).</t>
  </si>
  <si>
    <t>PREGUNTAS FRECUENTES</t>
  </si>
  <si>
    <t>No veo el botón</t>
  </si>
  <si>
    <t>El administrador aún no instaló el script o no tiene permiso de edición. Revise la instalación (arriba) o pida acceso de edición en SharePoint.</t>
  </si>
  <si>
    <t>Mi fila dice sin asignar</t>
  </si>
  <si>
    <t>Su correo no está en 02_USUARIOS o no tiene el rol de ese fragmento. Pida al administrador que lo agregue (al final de la tabla).</t>
  </si>
  <si>
    <t>El script dice que no me identifica</t>
  </si>
  <si>
    <t>Los scripts leen su correo de Microsoft 365. Abra el libro con su cuenta de trabajo (no como invitado anónimo) y vuelva a intentar.</t>
  </si>
  <si>
    <t>El conteo no genera ajustes</t>
  </si>
  <si>
    <t>Revise que escribió SI en Confirmar, que la fecha es válida, que su rol es BODEGA o ADMIN y que los conteos no tengan ✖. El motivo queda en la celda Resultado del conteo y en 14_ACTIVIDAD.</t>
  </si>
  <si>
    <t>¿Funciona sin internet?</t>
  </si>
  <si>
    <t>No: la versión colaborativa necesita Excel conectado a Microsoft 365. Para trabajar sin conexión use la edición local M-INV V1.2.</t>
  </si>
  <si>
    <t>Documentación técnica: README.md · docs/deployment/inicio-rapido.md · .claude/v2-concurrency-rules.md · docs/deployment/sharepoint-rbac-policies.md · src/office-scripts/README.md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</si>
</sst>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\$\ #,##0"/>
    <numFmt numFmtId="165" formatCode="#,##0;\-#,##0;0"/>
    <numFmt numFmtId="166" formatCode="dd/mm/yyyy"/>
    <numFmt numFmtId="167" formatCode="0&quot; días&quot;"/>
    <numFmt numFmtId="168" formatCode="0&quot; d&quot;"/>
    <numFmt numFmtId="169" formatCode="dd/mm\ hh:mm"/>
    <numFmt numFmtId="170" formatCode="dd/mm/yyyy\ hh:mm"/>
    <numFmt numFmtId="171" formatCode="\+0;\-0;0"/>
    <numFmt numFmtId="172" formatCode="\+#,##0;\-#,##0;0"/>
    <numFmt numFmtId="173" formatCode="dd/mm/yyyy\ hh:mm:ss"/>
    <numFmt numFmtId="174" formatCode="\$\ #,##0;\-\$\ #,##0;\$\ 0"/>
    <numFmt numFmtId="175" formatCode="mmm\ yy"/>
    <numFmt numFmtId="176" formatCode="dd/mm"/>
    <numFmt numFmtId="177" formatCode="#,##0.##"/>
  </numFmts>
  <fonts count="50" x14ac:knownFonts="1">
    <font>
      <sz val="11"/>
      <color theme="1"/>
      <name val="Calibri"/>
      <family val="2"/>
      <scheme val="minor"/>
    </font>
    <font>
      <sz val="10"/>
      <color rgb="FF1F2937"/>
      <name val="Segoe UI"/>
      <family val="2"/>
    </font>
    <font>
      <sz val="16"/>
      <color rgb="FFFFFFFF"/>
      <name val="Segoe UI Semibold"/>
      <family val="2"/>
    </font>
    <font>
      <b/>
      <sz val="10"/>
      <color rgb="FFFFFFFF"/>
      <name val="Segoe UI"/>
      <family val="2"/>
    </font>
    <font>
      <sz val="9"/>
      <color rgb="FF9FB3C8"/>
      <name val="Segoe UI"/>
      <family val="2"/>
    </font>
    <font>
      <sz val="8.5"/>
      <color rgb="FF9FB3C8"/>
      <name val="Segoe UI"/>
      <family val="2"/>
    </font>
    <font>
      <sz val="9"/>
      <color rgb="FF0B1F33"/>
      <name val="Segoe UI Semibold"/>
      <family val="2"/>
    </font>
    <font>
      <sz val="9"/>
      <color rgb="FFDCE7F3"/>
      <name val="Segoe UI Semibold"/>
      <family val="2"/>
    </font>
    <font>
      <sz val="10"/>
      <color rgb="FF1F2937"/>
      <name val="Segoe UI Semibold"/>
      <family val="2"/>
    </font>
    <font>
      <b/>
      <sz val="8.5"/>
      <color rgb="FFB45309"/>
      <name val="Segoe UI"/>
      <family val="2"/>
    </font>
    <font>
      <sz val="11"/>
      <color rgb="FF0D47A1"/>
      <name val="Segoe UI Semibold"/>
      <family val="2"/>
    </font>
    <font>
      <sz val="11"/>
      <color rgb="FFFFFFFF"/>
      <name val="Segoe UI Semibold"/>
      <family val="2"/>
    </font>
    <font>
      <b/>
      <sz val="8.5"/>
      <color rgb="FF5F6B7A"/>
      <name val="Segoe UI"/>
      <family val="2"/>
    </font>
    <font>
      <sz val="22"/>
      <color rgb="FF2E7D32"/>
      <name val="Segoe UI Semibold"/>
      <family val="2"/>
    </font>
    <font>
      <sz val="22"/>
      <color rgb="FFC62828"/>
      <name val="Segoe UI Semibold"/>
      <family val="2"/>
    </font>
    <font>
      <sz val="22"/>
      <color rgb="FFB45309"/>
      <name val="Segoe UI Semibold"/>
      <family val="2"/>
    </font>
    <font>
      <sz val="22"/>
      <color rgb="FF1565C0"/>
      <name val="Segoe UI Semibold"/>
      <family val="2"/>
    </font>
    <font>
      <sz val="8.5"/>
      <color rgb="FF5F6B7A"/>
      <name val="Segoe UI"/>
      <family val="2"/>
    </font>
    <font>
      <b/>
      <sz val="9"/>
      <color rgb="FFFFFFFF"/>
      <name val="Segoe UI"/>
      <family val="2"/>
    </font>
    <font>
      <sz val="9"/>
      <color rgb="FF1F2937"/>
      <name val="Segoe UI"/>
      <family val="2"/>
    </font>
    <font>
      <b/>
      <sz val="9"/>
      <color rgb="FF1F2937"/>
      <name val="Segoe UI"/>
      <family val="2"/>
    </font>
    <font>
      <sz val="22"/>
      <color rgb="FF00796B"/>
      <name val="Segoe UI Semibold"/>
      <family val="2"/>
    </font>
    <font>
      <sz val="22"/>
      <color rgb="FF5E35B1"/>
      <name val="Segoe UI Semibold"/>
      <family val="2"/>
    </font>
    <font>
      <sz val="22"/>
      <color rgb="FF455A64"/>
      <name val="Segoe UI Semibold"/>
      <family val="2"/>
    </font>
    <font>
      <b/>
      <sz val="10.5"/>
      <color rgb="FF1565C0"/>
      <name val="Segoe UI"/>
      <family val="2"/>
    </font>
    <font>
      <b/>
      <sz val="9.5"/>
      <color rgb="FFFFFFFF"/>
      <name val="Segoe UI"/>
      <family val="2"/>
    </font>
    <font>
      <b/>
      <sz val="10"/>
      <color rgb="FF1F2937"/>
      <name val="Segoe UI"/>
      <family val="2"/>
    </font>
    <font>
      <b/>
      <sz val="10"/>
      <color rgb="FF0D47A1"/>
      <name val="Segoe UI"/>
      <family val="2"/>
    </font>
    <font>
      <sz val="9"/>
      <color rgb="FF5F6B7A"/>
      <name val="Segoe UI"/>
      <family val="2"/>
    </font>
    <font>
      <b/>
      <sz val="10"/>
      <color rgb="FF6A1B9A"/>
      <name val="Segoe UI"/>
      <family val="2"/>
    </font>
    <font>
      <b/>
      <sz val="10"/>
      <color rgb="FFC62828"/>
      <name val="Segoe UI"/>
      <family val="2"/>
    </font>
    <font>
      <b/>
      <sz val="10"/>
      <color rgb="FFB45309"/>
      <name val="Segoe UI"/>
      <family val="2"/>
    </font>
    <font>
      <b/>
      <sz val="10"/>
      <color rgb="FF2E7D32"/>
      <name val="Segoe UI"/>
      <family val="2"/>
    </font>
    <font>
      <b/>
      <sz val="10"/>
      <color rgb="FF1565C0"/>
      <name val="Segoe UI"/>
      <family val="2"/>
    </font>
    <font>
      <b/>
      <sz val="10"/>
      <color rgb="FF555F6D"/>
      <name val="Segoe UI"/>
      <family val="2"/>
    </font>
    <font>
      <i/>
      <sz val="8.5"/>
      <color rgb="FF5F6B7A"/>
      <name val="Segoe UI"/>
      <family val="2"/>
    </font>
    <font>
      <sz val="10"/>
      <color rgb="FF334155"/>
      <name val="Segoe UI"/>
      <family val="2"/>
    </font>
    <font>
      <b/>
      <sz val="10"/>
      <color rgb="FF334155"/>
      <name val="Segoe UI"/>
      <family val="2"/>
    </font>
    <font>
      <b/>
      <sz val="9"/>
      <color rgb="FF1565C0"/>
      <name val="Segoe UI"/>
      <family val="2"/>
    </font>
    <font>
      <i/>
      <sz val="9"/>
      <color rgb="FF5F6E84"/>
      <name val="Segoe UI"/>
      <family val="2"/>
    </font>
    <font>
      <sz val="8.5"/>
      <color rgb="FF5F6E84"/>
      <name val="Consolas"/>
      <family val="2"/>
    </font>
    <font>
      <sz val="9"/>
      <color rgb="FF334155"/>
      <name val="Segoe UI"/>
      <family val="2"/>
    </font>
    <font>
      <b/>
      <sz val="9.5"/>
      <color rgb="FF1F2937"/>
      <name val="Segoe UI"/>
      <family val="2"/>
    </font>
    <font>
      <sz val="10"/>
      <color rgb="FF5F6E84"/>
      <name val="Segoe UI"/>
      <family val="2"/>
    </font>
    <font>
      <sz val="9.5"/>
      <color rgb="FF1F2937"/>
      <name val="Segoe UI"/>
      <family val="2"/>
    </font>
    <font>
      <b/>
      <sz val="9"/>
      <color rgb="FF0D47A1"/>
      <name val="Segoe UI"/>
      <family val="2"/>
    </font>
    <font>
      <b/>
      <sz val="10"/>
      <color rgb="FF5F6B7A"/>
      <name val="Segoe UI"/>
      <family val="2"/>
    </font>
    <font>
      <sz val="11"/>
      <color rgb="FF1565C0"/>
      <name val="Segoe UI Semibold"/>
      <family val="2"/>
    </font>
    <font>
      <b/>
      <sz val="14"/>
      <color rgb="FF1F2937"/>
      <name val="Segoe UI"/>
      <family val="2"/>
    </font>
    <font>
      <b/>
      <sz val="9"/>
      <color rgb="FF5F6B7A"/>
      <name val="Segoe UI"/>
      <family val="2"/>
    </font>
  </fonts>
  <fills count="2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5F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5E35B1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455A64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B71C1C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1F4F8"/>
        <bgColor indexed="64"/>
      </patternFill>
    </fill>
  </fills>
  <borders count="18">
    <border>
      <left/>
      <right/>
      <top/>
      <bottom/>
      <diagonal/>
    </border>
    <border>
      <left style="medium">
        <color rgb="FF16324F"/>
      </left>
      <right style="medium">
        <color rgb="FF16324F"/>
      </right>
      <top style="medium">
        <color rgb="FF16324F"/>
      </top>
      <bottom style="medium">
        <color rgb="FF16324F"/>
      </bottom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mediumDashed">
        <color rgb="FFF59E0B"/>
      </left>
      <right style="mediumDashed">
        <color rgb="FFF59E0B"/>
      </right>
      <top style="mediumDashed">
        <color rgb="FFF59E0B"/>
      </top>
      <bottom style="mediumDashed">
        <color rgb="FFF59E0B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DDE3EA"/>
      </left>
      <right style="thin">
        <color rgb="FFDDE3EA"/>
      </right>
      <top style="thick">
        <color rgb="FF2E7D32"/>
      </top>
      <bottom/>
      <diagonal/>
    </border>
    <border>
      <left style="thin">
        <color rgb="FFDDE3EA"/>
      </left>
      <right style="thin">
        <color rgb="FFDDE3EA"/>
      </right>
      <top style="thick">
        <color rgb="FFC62828"/>
      </top>
      <bottom/>
      <diagonal/>
    </border>
    <border>
      <left style="thin">
        <color rgb="FFDDE3EA"/>
      </left>
      <right style="thin">
        <color rgb="FFDDE3EA"/>
      </right>
      <top style="thick">
        <color rgb="FFB45309"/>
      </top>
      <bottom/>
      <diagonal/>
    </border>
    <border>
      <left style="thin">
        <color rgb="FFDDE3EA"/>
      </left>
      <right style="thin">
        <color rgb="FFDDE3EA"/>
      </right>
      <top style="thick">
        <color rgb="FF1565C0"/>
      </top>
      <bottom/>
      <diagonal/>
    </border>
    <border>
      <left style="thin">
        <color rgb="FFDDE3EA"/>
      </left>
      <right style="thin">
        <color rgb="FFDDE3EA"/>
      </right>
      <top/>
      <bottom/>
      <diagonal/>
    </border>
    <border>
      <left style="thin">
        <color rgb="FFDDE3EA"/>
      </left>
      <right style="thin">
        <color rgb="FFDDE3EA"/>
      </right>
      <top/>
      <bottom style="thin">
        <color rgb="FFDDE3EA"/>
      </bottom>
      <diagonal/>
    </border>
    <border>
      <left/>
      <right/>
      <top/>
      <bottom style="thin">
        <color rgb="FFE5E7EB"/>
      </bottom>
      <diagonal/>
    </border>
    <border>
      <left style="thin">
        <color rgb="FFDDE3EA"/>
      </left>
      <right style="thin">
        <color rgb="FFDDE3EA"/>
      </right>
      <top style="thick">
        <color rgb="FF00796B"/>
      </top>
      <bottom/>
      <diagonal/>
    </border>
    <border>
      <left style="thin">
        <color rgb="FFDDE3EA"/>
      </left>
      <right style="thin">
        <color rgb="FFDDE3EA"/>
      </right>
      <top style="thick">
        <color rgb="FF5E35B1"/>
      </top>
      <bottom/>
      <diagonal/>
    </border>
    <border>
      <left style="thin">
        <color rgb="FFDDE3EA"/>
      </left>
      <right style="thin">
        <color rgb="FFDDE3EA"/>
      </right>
      <top style="thick">
        <color rgb="FF455A64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B3DE"/>
      </left>
      <right style="thin">
        <color rgb="FF8FB3DE"/>
      </right>
      <top style="thin">
        <color rgb="FF8FB3DE"/>
      </top>
      <bottom style="thin">
        <color rgb="FF8FB3D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/>
    </xf>
    <xf numFmtId="0" fontId="18" fillId="12" borderId="0" xfId="0" applyFont="1" applyFill="1" applyAlignment="1">
      <alignment horizontal="center" vertical="center"/>
    </xf>
    <xf numFmtId="0" fontId="19" fillId="4" borderId="11" xfId="0" applyFont="1" applyFill="1" applyBorder="1" applyAlignment="1">
      <alignment horizontal="left" vertical="center" indent="1"/>
    </xf>
    <xf numFmtId="165" fontId="19" fillId="4" borderId="11" xfId="0" applyNumberFormat="1" applyFont="1" applyFill="1" applyBorder="1" applyAlignment="1">
      <alignment horizontal="right" vertical="center" indent="1"/>
    </xf>
    <xf numFmtId="166" fontId="19" fillId="4" borderId="11" xfId="0" applyNumberFormat="1" applyFont="1" applyFill="1" applyBorder="1" applyAlignment="1">
      <alignment horizontal="center" vertical="center"/>
    </xf>
    <xf numFmtId="0" fontId="20" fillId="4" borderId="11" xfId="0" applyFont="1" applyFill="1" applyBorder="1" applyAlignment="1">
      <alignment horizontal="center" vertical="center"/>
    </xf>
    <xf numFmtId="0" fontId="19" fillId="4" borderId="11" xfId="0" applyFont="1" applyFill="1" applyBorder="1" applyAlignment="1">
      <alignment horizontal="center" vertical="center"/>
    </xf>
    <xf numFmtId="168" fontId="19" fillId="4" borderId="11" xfId="0" applyNumberFormat="1" applyFont="1" applyFill="1" applyBorder="1" applyAlignment="1">
      <alignment horizontal="center" vertical="center"/>
    </xf>
    <xf numFmtId="169" fontId="19" fillId="4" borderId="11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25" fillId="12" borderId="15" xfId="0" applyFont="1" applyFill="1" applyBorder="1" applyAlignment="1">
      <alignment horizontal="center" vertical="center" wrapText="1"/>
    </xf>
    <xf numFmtId="0" fontId="25" fillId="13" borderId="15" xfId="0" applyFont="1" applyFill="1" applyBorder="1" applyAlignment="1">
      <alignment horizontal="center" vertical="center" wrapText="1"/>
    </xf>
    <xf numFmtId="0" fontId="26" fillId="0" borderId="2" xfId="0" applyFont="1" applyBorder="1" applyAlignment="1">
      <alignment horizontal="left" vertical="center" indent="1"/>
    </xf>
    <xf numFmtId="0" fontId="27" fillId="4" borderId="16" xfId="0" applyFont="1" applyFill="1" applyBorder="1" applyAlignment="1" applyProtection="1">
      <alignment horizontal="left" vertical="center" indent="1"/>
      <protection locked="0"/>
    </xf>
    <xf numFmtId="0" fontId="28" fillId="0" borderId="2" xfId="0" applyFont="1" applyBorder="1" applyAlignment="1">
      <alignment horizontal="left" vertical="center" wrapText="1" indent="1"/>
    </xf>
    <xf numFmtId="9" fontId="27" fillId="4" borderId="16" xfId="0" applyNumberFormat="1" applyFont="1" applyFill="1" applyBorder="1" applyAlignment="1" applyProtection="1">
      <alignment horizontal="left" vertical="center" indent="1"/>
      <protection locked="0"/>
    </xf>
    <xf numFmtId="167" fontId="27" fillId="4" borderId="16" xfId="0" applyNumberFormat="1" applyFont="1" applyFill="1" applyBorder="1" applyAlignment="1" applyProtection="1">
      <alignment horizontal="left" vertical="center" indent="1"/>
      <protection locked="0"/>
    </xf>
    <xf numFmtId="166" fontId="27" fillId="4" borderId="16" xfId="0" applyNumberFormat="1" applyFont="1" applyFill="1" applyBorder="1" applyAlignment="1" applyProtection="1">
      <alignment horizontal="left" vertical="center" indent="1"/>
      <protection locked="0"/>
    </xf>
    <xf numFmtId="170" fontId="27" fillId="4" borderId="16" xfId="0" applyNumberFormat="1" applyFont="1" applyFill="1" applyBorder="1" applyAlignment="1" applyProtection="1">
      <alignment horizontal="left" vertical="center" indent="1"/>
      <protection locked="0"/>
    </xf>
    <xf numFmtId="3" fontId="27" fillId="4" borderId="16" xfId="0" applyNumberFormat="1" applyFont="1" applyFill="1" applyBorder="1" applyAlignment="1" applyProtection="1">
      <alignment horizontal="left" vertical="center" indent="1"/>
      <protection locked="0"/>
    </xf>
    <xf numFmtId="171" fontId="26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 indent="1"/>
    </xf>
    <xf numFmtId="0" fontId="29" fillId="16" borderId="2" xfId="0" applyFont="1" applyFill="1" applyBorder="1" applyAlignment="1">
      <alignment horizontal="left" vertical="center" indent="1"/>
    </xf>
    <xf numFmtId="0" fontId="26" fillId="0" borderId="2" xfId="0" applyFont="1" applyBorder="1" applyAlignment="1">
      <alignment horizontal="center" vertical="center"/>
    </xf>
    <xf numFmtId="0" fontId="3" fillId="17" borderId="2" xfId="0" applyFont="1" applyFill="1" applyBorder="1" applyAlignment="1">
      <alignment horizontal="left" vertical="center" indent="1"/>
    </xf>
    <xf numFmtId="0" fontId="30" fillId="18" borderId="2" xfId="0" applyFont="1" applyFill="1" applyBorder="1" applyAlignment="1">
      <alignment horizontal="left" vertical="center" indent="1"/>
    </xf>
    <xf numFmtId="0" fontId="31" fillId="6" borderId="2" xfId="0" applyFont="1" applyFill="1" applyBorder="1" applyAlignment="1">
      <alignment horizontal="left" vertical="center" indent="1"/>
    </xf>
    <xf numFmtId="0" fontId="32" fillId="19" borderId="2" xfId="0" applyFont="1" applyFill="1" applyBorder="1" applyAlignment="1">
      <alignment horizontal="left" vertical="center" indent="1"/>
    </xf>
    <xf numFmtId="0" fontId="33" fillId="7" borderId="2" xfId="0" applyFont="1" applyFill="1" applyBorder="1" applyAlignment="1">
      <alignment horizontal="left" vertical="center" indent="1"/>
    </xf>
    <xf numFmtId="0" fontId="34" fillId="20" borderId="2" xfId="0" applyFont="1" applyFill="1" applyBorder="1" applyAlignment="1">
      <alignment horizontal="left" vertical="center" indent="1"/>
    </xf>
    <xf numFmtId="0" fontId="20" fillId="4" borderId="2" xfId="0" applyFont="1" applyFill="1" applyBorder="1" applyAlignment="1">
      <alignment horizontal="center" vertical="center"/>
    </xf>
    <xf numFmtId="0" fontId="35" fillId="5" borderId="0" xfId="0" applyFont="1" applyFill="1" applyAlignment="1">
      <alignment horizontal="left" vertical="center" indent="1"/>
    </xf>
    <xf numFmtId="0" fontId="1" fillId="4" borderId="16" xfId="0" applyFont="1" applyFill="1" applyBorder="1" applyAlignment="1">
      <alignment horizontal="left" vertical="center" indent="1"/>
    </xf>
    <xf numFmtId="0" fontId="1" fillId="4" borderId="16" xfId="0" applyFont="1" applyFill="1" applyBorder="1" applyAlignment="1">
      <alignment horizontal="center" vertical="center"/>
    </xf>
    <xf numFmtId="0" fontId="36" fillId="21" borderId="17" xfId="0" applyFont="1" applyFill="1" applyBorder="1" applyAlignment="1">
      <alignment horizontal="center" vertical="center"/>
    </xf>
    <xf numFmtId="0" fontId="37" fillId="21" borderId="17" xfId="0" applyFont="1" applyFill="1" applyBorder="1" applyAlignment="1">
      <alignment horizontal="left" vertical="center" indent="1"/>
    </xf>
    <xf numFmtId="0" fontId="1" fillId="0" borderId="2" xfId="0" applyFont="1" applyBorder="1" applyAlignment="1">
      <alignment horizontal="left" vertical="center" indent="1"/>
    </xf>
    <xf numFmtId="0" fontId="38" fillId="5" borderId="0" xfId="0" applyFont="1" applyFill="1" applyAlignment="1">
      <alignment horizontal="center" vertical="center"/>
    </xf>
    <xf numFmtId="0" fontId="39" fillId="5" borderId="0" xfId="0" applyFont="1" applyFill="1" applyAlignment="1">
      <alignment horizontal="center" vertical="center"/>
    </xf>
    <xf numFmtId="3" fontId="1" fillId="4" borderId="16" xfId="0" applyNumberFormat="1" applyFont="1" applyFill="1" applyBorder="1" applyAlignment="1">
      <alignment horizontal="right" vertical="center" indent="1"/>
    </xf>
    <xf numFmtId="164" fontId="1" fillId="4" borderId="16" xfId="0" applyNumberFormat="1" applyFont="1" applyFill="1" applyBorder="1" applyAlignment="1">
      <alignment horizontal="right" vertical="center" indent="1"/>
    </xf>
    <xf numFmtId="0" fontId="36" fillId="21" borderId="17" xfId="0" applyFont="1" applyFill="1" applyBorder="1" applyAlignment="1">
      <alignment horizontal="left" vertical="center" indent="1"/>
    </xf>
    <xf numFmtId="0" fontId="1" fillId="4" borderId="16" xfId="0" applyFont="1" applyFill="1" applyBorder="1" applyAlignment="1" applyProtection="1">
      <alignment horizontal="left" vertical="center" indent="1"/>
      <protection locked="0"/>
    </xf>
    <xf numFmtId="166" fontId="1" fillId="4" borderId="16" xfId="0" applyNumberFormat="1" applyFont="1" applyFill="1" applyBorder="1" applyAlignment="1" applyProtection="1">
      <alignment horizontal="center" vertical="center"/>
      <protection locked="0"/>
    </xf>
    <xf numFmtId="3" fontId="1" fillId="4" borderId="16" xfId="0" applyNumberFormat="1" applyFont="1" applyFill="1" applyBorder="1" applyAlignment="1" applyProtection="1">
      <alignment horizontal="right" vertical="center" indent="1"/>
      <protection locked="0"/>
    </xf>
    <xf numFmtId="3" fontId="37" fillId="21" borderId="17" xfId="0" applyNumberFormat="1" applyFont="1" applyFill="1" applyBorder="1" applyAlignment="1">
      <alignment horizontal="right" vertical="center" indent="1"/>
    </xf>
    <xf numFmtId="0" fontId="20" fillId="21" borderId="17" xfId="0" applyFont="1" applyFill="1" applyBorder="1" applyAlignment="1">
      <alignment horizontal="left" vertical="center" indent="1"/>
    </xf>
    <xf numFmtId="171" fontId="37" fillId="21" borderId="17" xfId="0" applyNumberFormat="1" applyFont="1" applyFill="1" applyBorder="1" applyAlignment="1">
      <alignment horizontal="center" vertical="center"/>
    </xf>
    <xf numFmtId="3" fontId="36" fillId="21" borderId="17" xfId="0" applyNumberFormat="1" applyFont="1" applyFill="1" applyBorder="1" applyAlignment="1">
      <alignment horizontal="right" vertical="center" indent="1"/>
    </xf>
    <xf numFmtId="0" fontId="40" fillId="21" borderId="17" xfId="0" applyFont="1" applyFill="1" applyBorder="1" applyAlignment="1">
      <alignment horizontal="center" vertical="center"/>
    </xf>
    <xf numFmtId="166" fontId="36" fillId="21" borderId="17" xfId="0" applyNumberFormat="1" applyFont="1" applyFill="1" applyBorder="1" applyAlignment="1">
      <alignment horizontal="center" vertical="center"/>
    </xf>
    <xf numFmtId="172" fontId="36" fillId="21" borderId="17" xfId="0" applyNumberFormat="1" applyFont="1" applyFill="1" applyBorder="1" applyAlignment="1">
      <alignment horizontal="right" vertical="center" indent="1"/>
    </xf>
    <xf numFmtId="173" fontId="41" fillId="21" borderId="17" xfId="0" applyNumberFormat="1" applyFont="1" applyFill="1" applyBorder="1" applyAlignment="1">
      <alignment horizontal="center" vertical="center"/>
    </xf>
    <xf numFmtId="0" fontId="1" fillId="4" borderId="16" xfId="0" applyFont="1" applyFill="1" applyBorder="1" applyAlignment="1" applyProtection="1">
      <alignment horizontal="center" vertical="center"/>
      <protection locked="0"/>
    </xf>
    <xf numFmtId="174" fontId="36" fillId="21" borderId="17" xfId="0" applyNumberFormat="1" applyFont="1" applyFill="1" applyBorder="1" applyAlignment="1">
      <alignment horizontal="right" vertical="center" indent="1"/>
    </xf>
    <xf numFmtId="173" fontId="19" fillId="21" borderId="17" xfId="0" applyNumberFormat="1" applyFont="1" applyFill="1" applyBorder="1" applyAlignment="1">
      <alignment horizontal="center" vertical="center"/>
    </xf>
    <xf numFmtId="0" fontId="41" fillId="21" borderId="17" xfId="0" applyFont="1" applyFill="1" applyBorder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3" fontId="1" fillId="0" borderId="0" xfId="0" applyNumberFormat="1" applyFont="1" applyAlignment="1">
      <alignment horizontal="right" vertical="center" indent="1"/>
    </xf>
    <xf numFmtId="3" fontId="26" fillId="0" borderId="0" xfId="0" applyNumberFormat="1" applyFont="1" applyAlignment="1">
      <alignment horizontal="right" vertical="center" indent="1"/>
    </xf>
    <xf numFmtId="9" fontId="1" fillId="0" borderId="0" xfId="0" applyNumberFormat="1" applyFont="1" applyAlignment="1">
      <alignment horizontal="right" vertical="center" indent="1"/>
    </xf>
    <xf numFmtId="0" fontId="26" fillId="0" borderId="0" xfId="0" applyFont="1" applyAlignment="1">
      <alignment horizontal="left" vertical="center" indent="1"/>
    </xf>
    <xf numFmtId="164" fontId="1" fillId="0" borderId="0" xfId="0" applyNumberFormat="1" applyFont="1" applyAlignment="1">
      <alignment horizontal="right" vertical="center" indent="1"/>
    </xf>
    <xf numFmtId="166" fontId="1" fillId="0" borderId="0" xfId="0" applyNumberFormat="1" applyFont="1" applyAlignment="1">
      <alignment horizontal="center" vertical="center"/>
    </xf>
    <xf numFmtId="168" fontId="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168" fontId="36" fillId="21" borderId="17" xfId="0" applyNumberFormat="1" applyFont="1" applyFill="1" applyBorder="1" applyAlignment="1">
      <alignment horizontal="center" vertical="center"/>
    </xf>
    <xf numFmtId="164" fontId="36" fillId="21" borderId="17" xfId="0" applyNumberFormat="1" applyFont="1" applyFill="1" applyBorder="1" applyAlignment="1">
      <alignment horizontal="right" vertical="center" indent="1"/>
    </xf>
    <xf numFmtId="0" fontId="1" fillId="0" borderId="2" xfId="0" applyFont="1" applyBorder="1" applyAlignment="1">
      <alignment vertical="center"/>
    </xf>
    <xf numFmtId="175" fontId="1" fillId="0" borderId="2" xfId="0" applyNumberFormat="1" applyFont="1" applyBorder="1" applyAlignment="1">
      <alignment vertical="center"/>
    </xf>
    <xf numFmtId="164" fontId="1" fillId="0" borderId="2" xfId="0" applyNumberFormat="1" applyFont="1" applyBorder="1" applyAlignment="1">
      <alignment vertical="center"/>
    </xf>
    <xf numFmtId="176" fontId="1" fillId="0" borderId="2" xfId="0" applyNumberFormat="1" applyFont="1" applyBorder="1" applyAlignment="1">
      <alignment vertical="center"/>
    </xf>
    <xf numFmtId="3" fontId="1" fillId="0" borderId="2" xfId="0" applyNumberFormat="1" applyFont="1" applyBorder="1" applyAlignment="1">
      <alignment horizontal="right" vertical="center"/>
    </xf>
    <xf numFmtId="1" fontId="1" fillId="0" borderId="2" xfId="0" applyNumberFormat="1" applyFont="1" applyBorder="1" applyAlignment="1">
      <alignment horizontal="right" vertical="center"/>
    </xf>
    <xf numFmtId="164" fontId="1" fillId="0" borderId="2" xfId="0" applyNumberFormat="1" applyFont="1" applyBorder="1" applyAlignment="1">
      <alignment horizontal="right" vertical="center"/>
    </xf>
    <xf numFmtId="177" fontId="1" fillId="0" borderId="2" xfId="0" applyNumberFormat="1" applyFont="1" applyBorder="1" applyAlignment="1">
      <alignment horizontal="right" vertical="center"/>
    </xf>
    <xf numFmtId="49" fontId="1" fillId="0" borderId="2" xfId="0" applyNumberFormat="1" applyFont="1" applyBorder="1" applyAlignment="1">
      <alignment horizontal="right" vertical="center"/>
    </xf>
    <xf numFmtId="0" fontId="46" fillId="0" borderId="0" xfId="0" applyFont="1" applyAlignment="1">
      <alignment vertical="center" wrapText="1"/>
    </xf>
    <xf numFmtId="0" fontId="48" fillId="4" borderId="2" xfId="0" applyFont="1" applyFill="1" applyBorder="1" applyAlignment="1">
      <alignment horizontal="center" vertical="center"/>
    </xf>
    <xf numFmtId="0" fontId="35" fillId="5" borderId="0" xfId="0" applyFont="1" applyFill="1" applyAlignment="1">
      <alignment vertical="center"/>
    </xf>
    <xf numFmtId="0" fontId="3" fillId="2" borderId="0" xfId="0" applyFont="1" applyFill="1" applyAlignment="1">
      <alignment horizontal="right" vertical="center"/>
    </xf>
    <xf numFmtId="0" fontId="1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8" fillId="4" borderId="2" xfId="0" applyFont="1" applyFill="1" applyBorder="1" applyAlignment="1">
      <alignment horizontal="left" vertical="center" indent="1"/>
    </xf>
    <xf numFmtId="0" fontId="9" fillId="6" borderId="3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left" vertical="center" indent="1"/>
    </xf>
    <xf numFmtId="0" fontId="11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11" fillId="11" borderId="4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left" vertical="center" indent="1"/>
    </xf>
    <xf numFmtId="3" fontId="13" fillId="4" borderId="9" xfId="0" applyNumberFormat="1" applyFont="1" applyFill="1" applyBorder="1" applyAlignment="1">
      <alignment horizontal="left" vertical="center" indent="1"/>
    </xf>
    <xf numFmtId="0" fontId="1" fillId="4" borderId="9" xfId="0" applyFont="1" applyFill="1" applyBorder="1" applyAlignment="1">
      <alignment vertical="center"/>
    </xf>
    <xf numFmtId="0" fontId="17" fillId="4" borderId="10" xfId="0" applyFont="1" applyFill="1" applyBorder="1" applyAlignment="1">
      <alignment horizontal="left" vertical="center" indent="1"/>
    </xf>
    <xf numFmtId="0" fontId="12" fillId="4" borderId="6" xfId="0" applyFont="1" applyFill="1" applyBorder="1" applyAlignment="1">
      <alignment horizontal="left" vertical="center" indent="1"/>
    </xf>
    <xf numFmtId="3" fontId="14" fillId="4" borderId="9" xfId="0" applyNumberFormat="1" applyFont="1" applyFill="1" applyBorder="1" applyAlignment="1">
      <alignment horizontal="left" vertical="center" indent="1"/>
    </xf>
    <xf numFmtId="0" fontId="12" fillId="4" borderId="7" xfId="0" applyFont="1" applyFill="1" applyBorder="1" applyAlignment="1">
      <alignment horizontal="left" vertical="center" indent="1"/>
    </xf>
    <xf numFmtId="3" fontId="15" fillId="4" borderId="9" xfId="0" applyNumberFormat="1" applyFont="1" applyFill="1" applyBorder="1" applyAlignment="1">
      <alignment horizontal="left" vertical="center" indent="1"/>
    </xf>
    <xf numFmtId="0" fontId="12" fillId="4" borderId="8" xfId="0" applyFont="1" applyFill="1" applyBorder="1" applyAlignment="1">
      <alignment horizontal="left" vertical="center" indent="1"/>
    </xf>
    <xf numFmtId="164" fontId="16" fillId="4" borderId="9" xfId="0" applyNumberFormat="1" applyFont="1" applyFill="1" applyBorder="1" applyAlignment="1">
      <alignment horizontal="left" vertical="center" indent="1"/>
    </xf>
    <xf numFmtId="0" fontId="18" fillId="12" borderId="0" xfId="0" applyFont="1" applyFill="1" applyAlignment="1">
      <alignment horizontal="center" vertical="center"/>
    </xf>
    <xf numFmtId="0" fontId="19" fillId="4" borderId="11" xfId="0" applyFont="1" applyFill="1" applyBorder="1" applyAlignment="1">
      <alignment horizontal="left" vertical="center" indent="1"/>
    </xf>
    <xf numFmtId="0" fontId="17" fillId="5" borderId="0" xfId="0" applyFont="1" applyFill="1" applyAlignment="1">
      <alignment horizontal="left" vertical="center" indent="1"/>
    </xf>
    <xf numFmtId="0" fontId="17" fillId="5" borderId="0" xfId="0" applyFont="1" applyFill="1" applyAlignment="1">
      <alignment horizontal="right" vertical="center"/>
    </xf>
    <xf numFmtId="0" fontId="11" fillId="13" borderId="4" xfId="0" applyFont="1" applyFill="1" applyBorder="1" applyAlignment="1">
      <alignment horizontal="center" vertical="center" wrapText="1"/>
    </xf>
    <xf numFmtId="0" fontId="11" fillId="14" borderId="4" xfId="0" applyFont="1" applyFill="1" applyBorder="1" applyAlignment="1">
      <alignment horizontal="center" vertical="center" wrapText="1"/>
    </xf>
    <xf numFmtId="0" fontId="11" fillId="15" borderId="4" xfId="0" applyFont="1" applyFill="1" applyBorder="1" applyAlignment="1">
      <alignment horizontal="center" vertical="center" wrapText="1"/>
    </xf>
    <xf numFmtId="3" fontId="16" fillId="4" borderId="9" xfId="0" applyNumberFormat="1" applyFont="1" applyFill="1" applyBorder="1" applyAlignment="1">
      <alignment horizontal="left" vertical="center" indent="1"/>
    </xf>
    <xf numFmtId="0" fontId="12" fillId="4" borderId="12" xfId="0" applyFont="1" applyFill="1" applyBorder="1" applyAlignment="1">
      <alignment horizontal="left" vertical="center" indent="1"/>
    </xf>
    <xf numFmtId="3" fontId="21" fillId="4" borderId="9" xfId="0" applyNumberFormat="1" applyFont="1" applyFill="1" applyBorder="1" applyAlignment="1">
      <alignment horizontal="left" vertical="center" indent="1"/>
    </xf>
    <xf numFmtId="0" fontId="11" fillId="11" borderId="4" xfId="0" applyFont="1" applyFill="1" applyBorder="1" applyAlignment="1">
      <alignment horizontal="center" vertical="center" wrapText="1"/>
    </xf>
    <xf numFmtId="164" fontId="15" fillId="4" borderId="9" xfId="0" applyNumberFormat="1" applyFont="1" applyFill="1" applyBorder="1" applyAlignment="1">
      <alignment horizontal="left" vertical="center" indent="1"/>
    </xf>
    <xf numFmtId="0" fontId="12" fillId="4" borderId="13" xfId="0" applyFont="1" applyFill="1" applyBorder="1" applyAlignment="1">
      <alignment horizontal="left" vertical="center" indent="1"/>
    </xf>
    <xf numFmtId="167" fontId="22" fillId="4" borderId="9" xfId="0" applyNumberFormat="1" applyFont="1" applyFill="1" applyBorder="1" applyAlignment="1">
      <alignment horizontal="left" vertical="center" indent="1"/>
    </xf>
    <xf numFmtId="0" fontId="12" fillId="4" borderId="14" xfId="0" applyFont="1" applyFill="1" applyBorder="1" applyAlignment="1">
      <alignment horizontal="left" vertical="center" indent="1"/>
    </xf>
    <xf numFmtId="3" fontId="23" fillId="4" borderId="9" xfId="0" applyNumberFormat="1" applyFont="1" applyFill="1" applyBorder="1" applyAlignment="1">
      <alignment horizontal="left" vertical="center" indent="1"/>
    </xf>
    <xf numFmtId="0" fontId="7" fillId="3" borderId="0" xfId="0" applyFont="1" applyFill="1" applyAlignment="1">
      <alignment horizontal="center" vertical="center"/>
    </xf>
    <xf numFmtId="0" fontId="20" fillId="4" borderId="2" xfId="0" applyFont="1" applyFill="1" applyBorder="1" applyAlignment="1">
      <alignment horizontal="center" vertical="center"/>
    </xf>
    <xf numFmtId="0" fontId="35" fillId="5" borderId="0" xfId="0" applyFont="1" applyFill="1" applyAlignment="1">
      <alignment horizontal="left" vertical="center" wrapText="1" indent="1"/>
    </xf>
    <xf numFmtId="0" fontId="42" fillId="5" borderId="0" xfId="0" applyFont="1" applyFill="1" applyAlignment="1">
      <alignment horizontal="right" vertical="center"/>
    </xf>
    <xf numFmtId="0" fontId="20" fillId="4" borderId="2" xfId="0" applyFont="1" applyFill="1" applyBorder="1" applyAlignment="1">
      <alignment horizontal="left" vertical="center" wrapText="1" indent="1"/>
    </xf>
    <xf numFmtId="0" fontId="44" fillId="4" borderId="2" xfId="0" applyFont="1" applyFill="1" applyBorder="1" applyAlignment="1">
      <alignment horizontal="left" vertical="center" indent="1"/>
    </xf>
    <xf numFmtId="0" fontId="45" fillId="4" borderId="2" xfId="0" applyFont="1" applyFill="1" applyBorder="1" applyAlignment="1">
      <alignment horizontal="center" vertical="center"/>
    </xf>
    <xf numFmtId="0" fontId="47" fillId="5" borderId="0" xfId="0" applyFont="1" applyFill="1" applyAlignment="1">
      <alignment vertical="center"/>
    </xf>
    <xf numFmtId="0" fontId="1" fillId="4" borderId="2" xfId="0" applyFont="1" applyFill="1" applyBorder="1" applyAlignment="1">
      <alignment horizontal="left" vertical="center" indent="1"/>
    </xf>
    <xf numFmtId="0" fontId="1" fillId="4" borderId="2" xfId="0" applyFont="1" applyFill="1" applyBorder="1" applyAlignment="1">
      <alignment horizontal="left" vertical="center" wrapText="1" indent="1"/>
    </xf>
  </cellXfs>
  <cellStyles count="1">
    <cellStyle name="Normal" xfId="0" builtinId="0"/>
  </cellStyles>
  <dxfs count="280">
    <dxf>
      <font>
        <color rgb="FFB45309"/>
      </font>
    </dxf>
    <dxf>
      <font>
        <color rgb="FF2E7D32"/>
      </font>
    </dxf>
    <dxf>
      <font>
        <color rgb="FFB45309"/>
      </font>
    </dxf>
    <dxf>
      <font>
        <color rgb="FF2E7D32"/>
      </font>
    </dxf>
    <dxf>
      <font>
        <color rgb="FFB45309"/>
      </font>
    </dxf>
    <dxf>
      <font>
        <color rgb="FF2E7D32"/>
      </font>
    </dxf>
    <dxf>
      <font>
        <color rgb="FFB45309"/>
      </font>
    </dxf>
    <dxf>
      <font>
        <color rgb="FF2E7D32"/>
      </font>
    </dxf>
    <dxf>
      <font>
        <color rgb="FFB45309"/>
      </font>
    </dxf>
    <dxf>
      <font>
        <color rgb="FF2E7D32"/>
      </font>
    </dxf>
    <dxf>
      <font>
        <color rgb="FFB45309"/>
      </font>
    </dxf>
    <dxf>
      <font>
        <color rgb="FF2E7D32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color rgb="FF555F6D"/>
      </font>
      <numFmt numFmtId="180" formatCode="&quot;● &quot;@"/>
      <fill>
        <patternFill>
          <bgColor rgb="FFF3F4F6"/>
        </patternFill>
      </fill>
    </dxf>
    <dxf>
      <font>
        <b/>
        <color rgb="FF1565C0"/>
      </font>
      <numFmt numFmtId="180" formatCode="&quot;● &quot;@"/>
      <fill>
        <patternFill>
          <bgColor rgb="FFE3F2FD"/>
        </patternFill>
      </fill>
    </dxf>
    <dxf>
      <font>
        <b/>
        <color rgb="FF2E7D32"/>
      </font>
      <numFmt numFmtId="180" formatCode="&quot;● &quot;@"/>
      <fill>
        <patternFill>
          <bgColor rgb="FFE8F5E9"/>
        </patternFill>
      </fill>
    </dxf>
    <dxf>
      <font>
        <b/>
        <color rgb="FFB45309"/>
      </font>
      <numFmt numFmtId="180" formatCode="&quot;● &quot;@"/>
      <fill>
        <patternFill>
          <bgColor rgb="FFFEF3C7"/>
        </patternFill>
      </fill>
    </dxf>
    <dxf>
      <font>
        <b/>
        <color rgb="FFC62828"/>
      </font>
      <numFmt numFmtId="180" formatCode="&quot;● &quot;@"/>
      <fill>
        <patternFill>
          <bgColor rgb="FFFDECEA"/>
        </patternFill>
      </fill>
    </dxf>
    <dxf>
      <font>
        <b/>
        <color rgb="FFFFFFFF"/>
      </font>
      <numFmt numFmtId="180" formatCode="&quot;● &quot;@"/>
      <fill>
        <patternFill>
          <bgColor rgb="FFB71C1C"/>
        </patternFill>
      </fill>
    </dxf>
    <dxf>
      <font>
        <b/>
        <color rgb="FF6A1B9A"/>
      </font>
      <numFmt numFmtId="180" formatCode="&quot;● &quot;@"/>
      <fill>
        <patternFill>
          <bgColor rgb="FFF3E5F5"/>
        </patternFill>
      </fill>
    </dxf>
    <dxf>
      <fill>
        <patternFill>
          <bgColor rgb="FFF8FAFC"/>
        </patternFill>
      </fill>
    </dxf>
    <dxf>
      <border>
        <left/>
        <right/>
        <top style="medium">
          <color rgb="FF1565C0"/>
        </top>
        <bottom/>
        <vertical/>
        <horizontal/>
      </border>
    </dxf>
    <dxf>
      <font>
        <b/>
        <color rgb="FF0D47A1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color rgb="FF555F6D"/>
      </font>
      <numFmt numFmtId="180" formatCode="&quot;● &quot;@"/>
      <fill>
        <patternFill>
          <bgColor rgb="FFF3F4F6"/>
        </patternFill>
      </fill>
    </dxf>
    <dxf>
      <font>
        <b/>
        <color rgb="FF1565C0"/>
      </font>
      <numFmt numFmtId="180" formatCode="&quot;● &quot;@"/>
      <fill>
        <patternFill>
          <bgColor rgb="FFE3F2FD"/>
        </patternFill>
      </fill>
    </dxf>
    <dxf>
      <font>
        <b/>
        <color rgb="FF2E7D32"/>
      </font>
      <numFmt numFmtId="180" formatCode="&quot;● &quot;@"/>
      <fill>
        <patternFill>
          <bgColor rgb="FFE8F5E9"/>
        </patternFill>
      </fill>
    </dxf>
    <dxf>
      <font>
        <b/>
        <color rgb="FFB45309"/>
      </font>
      <numFmt numFmtId="180" formatCode="&quot;● &quot;@"/>
      <fill>
        <patternFill>
          <bgColor rgb="FFFEF3C7"/>
        </patternFill>
      </fill>
    </dxf>
    <dxf>
      <font>
        <b/>
        <color rgb="FFC62828"/>
      </font>
      <numFmt numFmtId="180" formatCode="&quot;● &quot;@"/>
      <fill>
        <patternFill>
          <bgColor rgb="FFFDECEA"/>
        </patternFill>
      </fill>
    </dxf>
    <dxf>
      <font>
        <b/>
        <color rgb="FFFFFFFF"/>
      </font>
      <numFmt numFmtId="180" formatCode="&quot;● &quot;@"/>
      <fill>
        <patternFill>
          <bgColor rgb="FFB71C1C"/>
        </patternFill>
      </fill>
    </dxf>
    <dxf>
      <font>
        <b/>
        <color rgb="FF6A1B9A"/>
      </font>
      <numFmt numFmtId="180" formatCode="&quot;● &quot;@"/>
      <fill>
        <patternFill>
          <bgColor rgb="FFF3E5F5"/>
        </patternFill>
      </fill>
    </dxf>
    <dxf>
      <numFmt numFmtId="4" formatCode="#,##0.00"/>
    </dxf>
    <dxf>
      <font>
        <color rgb="FF5F6E84"/>
      </font>
      <fill>
        <patternFill>
          <bgColor rgb="FFF8FAFC"/>
        </patternFill>
      </fill>
    </dxf>
    <dxf>
      <font>
        <b/>
        <color rgb="FF0D47A1"/>
      </font>
    </dxf>
    <dxf>
      <numFmt numFmtId="178" formatCode=";;;&quot;(sin asignar)&quot;"/>
    </dxf>
    <dxf>
      <font>
        <b/>
        <color rgb="FF0D47A1"/>
      </font>
    </dxf>
    <dxf>
      <numFmt numFmtId="4" formatCode="#,##0.00"/>
    </dxf>
    <dxf>
      <numFmt numFmtId="4" formatCode="#,##0.00"/>
    </dxf>
    <dxf>
      <numFmt numFmtId="4" formatCode="#,##0.00"/>
    </dxf>
    <dxf>
      <font>
        <color rgb="FFB45309"/>
      </font>
      <fill>
        <patternFill>
          <bgColor rgb="FFFEF3C7"/>
        </patternFill>
      </fill>
    </dxf>
    <dxf>
      <font>
        <color rgb="FFFFFFFF"/>
      </font>
      <fill>
        <patternFill>
          <bgColor rgb="FF2E7D32"/>
        </patternFill>
      </fill>
    </dxf>
    <dxf>
      <font>
        <b/>
        <color rgb="FFFFFFFF"/>
      </font>
      <fill>
        <patternFill>
          <bgColor rgb="FF555F6D"/>
        </patternFill>
      </fill>
    </dxf>
    <dxf>
      <font>
        <b/>
        <color rgb="FFFFFFFF"/>
      </font>
      <fill>
        <patternFill>
          <bgColor rgb="FF1565C0"/>
        </patternFill>
      </fill>
    </dxf>
    <dxf>
      <font>
        <b/>
        <color rgb="FFFFFFFF"/>
      </font>
      <fill>
        <patternFill>
          <bgColor rgb="FF2E7D32"/>
        </patternFill>
      </fill>
    </dxf>
    <dxf>
      <font>
        <b/>
        <color rgb="FFFFFFFF"/>
      </font>
      <fill>
        <patternFill>
          <bgColor rgb="FFB45309"/>
        </patternFill>
      </fill>
    </dxf>
    <dxf>
      <font>
        <b/>
        <color rgb="FFFFFFFF"/>
      </font>
      <fill>
        <patternFill>
          <bgColor rgb="FFC62828"/>
        </patternFill>
      </fill>
    </dxf>
    <dxf>
      <font>
        <b/>
        <color rgb="FFFFFFFF"/>
      </font>
      <fill>
        <patternFill>
          <bgColor rgb="FFB71C1C"/>
        </patternFill>
      </fill>
    </dxf>
    <dxf>
      <font>
        <b/>
        <color rgb="FFFFFFFF"/>
      </font>
      <fill>
        <patternFill>
          <bgColor rgb="FF6A1B9A"/>
        </patternFill>
      </fill>
    </dxf>
    <dxf>
      <fill>
        <patternFill>
          <bgColor rgb="FFF8FAFC"/>
        </patternFill>
      </fill>
    </dxf>
    <dxf>
      <font>
        <b/>
        <color rgb="FF0D47A1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color rgb="FFB45309"/>
      </font>
      <fill>
        <patternFill>
          <bgColor rgb="FFFEF3C7"/>
        </patternFill>
      </fill>
    </dxf>
    <dxf>
      <font>
        <b/>
        <color rgb="FF555F6D"/>
      </font>
      <numFmt numFmtId="180" formatCode="&quot;● &quot;@"/>
      <fill>
        <patternFill>
          <bgColor rgb="FFF3F4F6"/>
        </patternFill>
      </fill>
    </dxf>
    <dxf>
      <font>
        <b/>
        <color rgb="FF1565C0"/>
      </font>
      <numFmt numFmtId="180" formatCode="&quot;● &quot;@"/>
      <fill>
        <patternFill>
          <bgColor rgb="FFE3F2FD"/>
        </patternFill>
      </fill>
    </dxf>
    <dxf>
      <font>
        <b/>
        <color rgb="FF2E7D32"/>
      </font>
      <numFmt numFmtId="180" formatCode="&quot;● &quot;@"/>
      <fill>
        <patternFill>
          <bgColor rgb="FFE8F5E9"/>
        </patternFill>
      </fill>
    </dxf>
    <dxf>
      <font>
        <b/>
        <color rgb="FFB45309"/>
      </font>
      <numFmt numFmtId="180" formatCode="&quot;● &quot;@"/>
      <fill>
        <patternFill>
          <bgColor rgb="FFFEF3C7"/>
        </patternFill>
      </fill>
    </dxf>
    <dxf>
      <font>
        <b/>
        <color rgb="FFC62828"/>
      </font>
      <numFmt numFmtId="180" formatCode="&quot;● &quot;@"/>
      <fill>
        <patternFill>
          <bgColor rgb="FFFDECEA"/>
        </patternFill>
      </fill>
    </dxf>
    <dxf>
      <font>
        <b/>
        <color rgb="FFFFFFFF"/>
      </font>
      <numFmt numFmtId="180" formatCode="&quot;● &quot;@"/>
      <fill>
        <patternFill>
          <bgColor rgb="FFB71C1C"/>
        </patternFill>
      </fill>
    </dxf>
    <dxf>
      <font>
        <b/>
        <color rgb="FF6A1B9A"/>
      </font>
      <numFmt numFmtId="180" formatCode="&quot;● &quot;@"/>
      <fill>
        <patternFill>
          <bgColor rgb="FFF3E5F5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color rgb="FFB45309"/>
      </font>
      <fill>
        <patternFill>
          <bgColor rgb="FFFEF3C7"/>
        </patternFill>
      </fill>
    </dxf>
    <dxf>
      <font>
        <color rgb="FFFFFFFF"/>
      </font>
      <fill>
        <patternFill>
          <bgColor rgb="FF2E7D32"/>
        </patternFill>
      </fill>
    </dxf>
    <dxf>
      <fill>
        <patternFill>
          <bgColor rgb="FFF8FAFC"/>
        </patternFill>
      </fill>
    </dxf>
    <dxf>
      <font>
        <color rgb="FF2E7D32"/>
      </font>
    </dxf>
    <dxf>
      <font>
        <color rgb="FFC62828"/>
      </font>
      <fill>
        <patternFill>
          <bgColor rgb="FFFDECEA"/>
        </patternFill>
      </fill>
    </dxf>
    <dxf>
      <font>
        <color rgb="FFC62828"/>
      </font>
      <fill>
        <patternFill>
          <bgColor rgb="FFFDECEA"/>
        </patternFill>
      </fill>
    </dxf>
    <dxf>
      <fill>
        <patternFill>
          <bgColor rgb="FFF8FAFC"/>
        </patternFill>
      </fill>
    </dxf>
    <dxf>
      <font>
        <b/>
        <color rgb="FF5E35B1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1565C0"/>
      </font>
    </dxf>
    <dxf>
      <font>
        <b/>
        <color rgb="FFC62828"/>
      </font>
      <fill>
        <patternFill>
          <bgColor rgb="FFFDECEA"/>
        </patternFill>
      </fill>
    </dxf>
    <dxf>
      <font>
        <b/>
        <color rgb="FF2E7D32"/>
      </font>
    </dxf>
    <dxf>
      <numFmt numFmtId="4" formatCode="#,##0.00"/>
    </dxf>
    <dxf>
      <font>
        <b/>
        <color rgb="FFC62828"/>
      </font>
    </dxf>
    <dxf>
      <font>
        <b/>
        <color rgb="FF1565C0"/>
      </font>
    </dxf>
    <dxf>
      <font>
        <color rgb="FFC62828"/>
      </font>
      <fill>
        <patternFill>
          <bgColor rgb="FFFDECEA"/>
        </patternFill>
      </fill>
    </dxf>
    <dxf>
      <font>
        <color rgb="FF2E7D32"/>
      </font>
      <fill>
        <patternFill>
          <bgColor rgb="FFE8F5E9"/>
        </patternFill>
      </fill>
    </dxf>
    <dxf>
      <numFmt numFmtId="4" formatCode="#,##0.00"/>
    </dxf>
    <dxf>
      <numFmt numFmtId="4" formatCode="#,##0.00"/>
    </dxf>
    <dxf>
      <font>
        <i/>
        <color rgb="FF5F6E84"/>
      </font>
    </dxf>
    <dxf>
      <font>
        <b/>
        <color rgb="FFC62828"/>
      </font>
    </dxf>
    <dxf>
      <font>
        <b/>
        <color rgb="FF2E7D32"/>
      </font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strike/>
        <color rgb="FFFFFFFF"/>
      </font>
      <fill>
        <patternFill>
          <bgColor rgb="FF8A0303"/>
        </patternFill>
      </fill>
    </dxf>
    <dxf>
      <numFmt numFmtId="179" formatCode="\+#,##0.00;\-#,##0.00;0"/>
    </dxf>
    <dxf>
      <font>
        <b/>
        <color rgb="FFC62828"/>
      </font>
    </dxf>
    <dxf>
      <font>
        <b/>
        <color rgb="FF2E7D32"/>
      </font>
    </dxf>
    <dxf>
      <numFmt numFmtId="4" formatCode="#,##0.00"/>
    </dxf>
    <dxf>
      <font>
        <b/>
        <strike/>
        <color rgb="FFFFFFFF"/>
      </font>
      <fill>
        <patternFill>
          <bgColor rgb="FF8A0303"/>
        </patternFill>
      </fill>
    </dxf>
    <dxf>
      <font>
        <b/>
        <strike/>
        <color rgb="FFFFFFFF"/>
      </font>
      <fill>
        <patternFill>
          <bgColor rgb="FF8A0303"/>
        </patternFill>
      </fill>
    </dxf>
    <dxf>
      <numFmt numFmtId="4" formatCode="#,##0.00"/>
    </dxf>
    <dxf>
      <font>
        <b/>
        <strike/>
        <color rgb="FFFFFFFF"/>
      </font>
      <fill>
        <patternFill>
          <bgColor rgb="FF8A0303"/>
        </patternFill>
      </fill>
    </dxf>
    <dxf>
      <numFmt numFmtId="4" formatCode="#,##0.00"/>
    </dxf>
    <dxf>
      <font>
        <b/>
        <color rgb="FFC62828"/>
      </font>
    </dxf>
    <dxf>
      <font>
        <b/>
        <color rgb="FF2E7D32"/>
      </font>
    </dxf>
    <dxf>
      <fill>
        <patternFill>
          <bgColor rgb="FFF8FAFC"/>
        </patternFill>
      </fill>
    </dxf>
    <dxf>
      <font>
        <color rgb="FF5F6E84"/>
      </font>
      <fill>
        <patternFill>
          <bgColor rgb="FFF8FAFC"/>
        </patternFill>
      </fill>
    </dxf>
    <dxf>
      <font>
        <b/>
        <color rgb="FF0D47A1"/>
      </font>
    </dxf>
    <dxf>
      <numFmt numFmtId="178" formatCode=";;;&quot;(sin asignar)&quot;"/>
    </dxf>
    <dxf>
      <font>
        <b/>
        <color rgb="FFC62828"/>
      </font>
    </dxf>
    <dxf>
      <font>
        <b/>
        <color rgb="FF2E7D32"/>
      </font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strike/>
        <color rgb="FFFFFFFF"/>
      </font>
      <fill>
        <patternFill>
          <bgColor rgb="FF8A0303"/>
        </patternFill>
      </fill>
    </dxf>
    <dxf>
      <numFmt numFmtId="179" formatCode="\+#,##0.00;\-#,##0.00;0"/>
    </dxf>
    <dxf>
      <font>
        <b/>
        <color rgb="FFC62828"/>
      </font>
    </dxf>
    <dxf>
      <font>
        <b/>
        <color rgb="FF2E7D32"/>
      </font>
    </dxf>
    <dxf>
      <numFmt numFmtId="4" formatCode="#,##0.00"/>
    </dxf>
    <dxf>
      <font>
        <b/>
        <strike/>
        <color rgb="FFFFFFFF"/>
      </font>
      <fill>
        <patternFill>
          <bgColor rgb="FF8A0303"/>
        </patternFill>
      </fill>
    </dxf>
    <dxf>
      <font>
        <b/>
        <strike/>
        <color rgb="FFFFFFFF"/>
      </font>
      <fill>
        <patternFill>
          <bgColor rgb="FF8A0303"/>
        </patternFill>
      </fill>
    </dxf>
    <dxf>
      <numFmt numFmtId="4" formatCode="#,##0.00"/>
    </dxf>
    <dxf>
      <font>
        <b/>
        <strike/>
        <color rgb="FFFFFFFF"/>
      </font>
      <fill>
        <patternFill>
          <bgColor rgb="FF8A0303"/>
        </patternFill>
      </fill>
    </dxf>
    <dxf>
      <numFmt numFmtId="4" formatCode="#,##0.00"/>
    </dxf>
    <dxf>
      <font>
        <b/>
        <color rgb="FFC62828"/>
      </font>
    </dxf>
    <dxf>
      <font>
        <b/>
        <color rgb="FF2E7D32"/>
      </font>
    </dxf>
    <dxf>
      <fill>
        <patternFill>
          <bgColor rgb="FFF8FAFC"/>
        </patternFill>
      </fill>
    </dxf>
    <dxf>
      <font>
        <color rgb="FF5F6E84"/>
      </font>
      <fill>
        <patternFill>
          <bgColor rgb="FFF8FAFC"/>
        </patternFill>
      </fill>
    </dxf>
    <dxf>
      <font>
        <b/>
        <color rgb="FF0D47A1"/>
      </font>
    </dxf>
    <dxf>
      <numFmt numFmtId="178" formatCode=";;;&quot;(sin asignar)&quot;"/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numFmt numFmtId="4" formatCode="#,##0.00"/>
    </dxf>
    <dxf>
      <numFmt numFmtId="4" formatCode="#,##0.00"/>
    </dxf>
    <dxf>
      <font>
        <i/>
        <color rgb="FF5F6E84"/>
      </font>
    </dxf>
    <dxf>
      <fill>
        <patternFill>
          <bgColor rgb="FFEAF3FE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color rgb="FFC62828"/>
      </font>
    </dxf>
    <dxf>
      <fill>
        <patternFill>
          <bgColor rgb="FFEAF3FE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ill>
        <patternFill>
          <bgColor rgb="FFEAF3FE"/>
        </patternFill>
      </fill>
    </dxf>
    <dxf>
      <font>
        <b/>
        <color rgb="FFC62828"/>
      </font>
    </dxf>
    <dxf>
      <font>
        <b/>
        <color rgb="FFB45309"/>
      </font>
    </dxf>
    <dxf>
      <numFmt numFmtId="4" formatCode="#,##0.00"/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C62828"/>
      </font>
      <fill>
        <patternFill>
          <bgColor rgb="FFFDECEA"/>
        </patternFill>
      </fill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2E7D32"/>
      </font>
    </dxf>
    <dxf>
      <font>
        <b/>
        <color rgb="FFC62828"/>
      </font>
    </dxf>
    <dxf>
      <numFmt numFmtId="4" formatCode="#,##0.00"/>
    </dxf>
    <dxf>
      <numFmt numFmtId="4" formatCode="#,##0.00"/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C62828"/>
      </font>
      <fill>
        <patternFill>
          <bgColor rgb="FFFDECEA"/>
        </patternFill>
      </fill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B45309"/>
      </font>
      <fill>
        <patternFill>
          <bgColor rgb="FFFEF3C7"/>
        </patternFill>
      </fill>
    </dxf>
    <dxf>
      <font>
        <b/>
        <color rgb="FFFFFFFF"/>
      </font>
      <fill>
        <patternFill>
          <bgColor rgb="FF555F6D"/>
        </patternFill>
      </fill>
    </dxf>
    <dxf>
      <font>
        <b/>
        <color rgb="FFFFFFFF"/>
      </font>
      <fill>
        <patternFill>
          <bgColor rgb="FF1565C0"/>
        </patternFill>
      </fill>
    </dxf>
    <dxf>
      <font>
        <b/>
        <color rgb="FFFFFFFF"/>
      </font>
      <fill>
        <patternFill>
          <bgColor rgb="FF2E7D32"/>
        </patternFill>
      </fill>
    </dxf>
    <dxf>
      <font>
        <b/>
        <color rgb="FFFFFFFF"/>
      </font>
      <fill>
        <patternFill>
          <bgColor rgb="FFB45309"/>
        </patternFill>
      </fill>
    </dxf>
    <dxf>
      <font>
        <b/>
        <color rgb="FFFFFFFF"/>
      </font>
      <fill>
        <patternFill>
          <bgColor rgb="FFC62828"/>
        </patternFill>
      </fill>
    </dxf>
    <dxf>
      <font>
        <b/>
        <color rgb="FFFFFFFF"/>
      </font>
      <fill>
        <patternFill>
          <bgColor rgb="FFB71C1C"/>
        </patternFill>
      </fill>
    </dxf>
    <dxf>
      <font>
        <b/>
        <color rgb="FFFFFFFF"/>
      </font>
      <fill>
        <patternFill>
          <bgColor rgb="FF6A1B9A"/>
        </patternFill>
      </fill>
    </dxf>
    <dxf>
      <font>
        <color rgb="FF2E7D32"/>
      </font>
    </dxf>
    <dxf>
      <font>
        <b/>
        <color rgb="FFC62828"/>
      </font>
    </dxf>
    <dxf>
      <numFmt numFmtId="4" formatCode="#,##0.00"/>
    </dxf>
    <dxf>
      <numFmt numFmtId="4" formatCode="#,##0.00"/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C62828"/>
      </font>
      <fill>
        <patternFill>
          <bgColor rgb="FFFDECEA"/>
        </patternFill>
      </fill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B45309"/>
      </font>
      <fill>
        <patternFill>
          <bgColor rgb="FFFEF3C7"/>
        </patternFill>
      </fill>
    </dxf>
    <dxf>
      <font>
        <b/>
        <color rgb="FFFFFFFF"/>
      </font>
      <fill>
        <patternFill>
          <bgColor rgb="FF555F6D"/>
        </patternFill>
      </fill>
    </dxf>
    <dxf>
      <font>
        <b/>
        <color rgb="FFFFFFFF"/>
      </font>
      <fill>
        <patternFill>
          <bgColor rgb="FF1565C0"/>
        </patternFill>
      </fill>
    </dxf>
    <dxf>
      <font>
        <b/>
        <color rgb="FFFFFFFF"/>
      </font>
      <fill>
        <patternFill>
          <bgColor rgb="FF2E7D32"/>
        </patternFill>
      </fill>
    </dxf>
    <dxf>
      <font>
        <b/>
        <color rgb="FFFFFFFF"/>
      </font>
      <fill>
        <patternFill>
          <bgColor rgb="FFB45309"/>
        </patternFill>
      </fill>
    </dxf>
    <dxf>
      <font>
        <b/>
        <color rgb="FFFFFFFF"/>
      </font>
      <fill>
        <patternFill>
          <bgColor rgb="FFC62828"/>
        </patternFill>
      </fill>
    </dxf>
    <dxf>
      <font>
        <b/>
        <color rgb="FFFFFFFF"/>
      </font>
      <fill>
        <patternFill>
          <bgColor rgb="FFB71C1C"/>
        </patternFill>
      </fill>
    </dxf>
    <dxf>
      <font>
        <b/>
        <color rgb="FFFFFFFF"/>
      </font>
      <fill>
        <patternFill>
          <bgColor rgb="FF6A1B9A"/>
        </patternFill>
      </fill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64" formatCode="\$\ 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68" formatCode="0&quot; d&quot;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74" formatCode="\$\ #,##0;\-\$\ #,##0;\$\ 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72" formatCode="\+#,##0;\-#,##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171" formatCode="\+0;\-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171" formatCode="\+0;\-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baseline="0">
                <a:solidFill>
                  <a:srgbClr val="1F2937"/>
                </a:solidFill>
              </a:defRPr>
            </a:pPr>
            <a:r>
              <a:rPr lang="en-US" sz="1000" b="1" baseline="0">
                <a:solidFill>
                  <a:srgbClr val="1F2937"/>
                </a:solidFill>
              </a:rPr>
              <a:t>Salud del inventario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Productos</c:v>
          </c:tx>
          <c:dPt>
            <c:idx val="0"/>
            <c:bubble3D val="0"/>
            <c:spPr>
              <a:solidFill>
                <a:srgbClr val="8E24AA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FAB0-4783-8D28-9C95A39B9D5C}"/>
              </c:ext>
            </c:extLst>
          </c:dPt>
          <c:dPt>
            <c:idx val="1"/>
            <c:bubble3D val="0"/>
            <c:spPr>
              <a:solidFill>
                <a:srgbClr val="9B1C1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FAB0-4783-8D28-9C95A39B9D5C}"/>
              </c:ext>
            </c:extLst>
          </c:dPt>
          <c:dPt>
            <c:idx val="2"/>
            <c:bubble3D val="0"/>
            <c:spPr>
              <a:solidFill>
                <a:srgbClr val="D32F2F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FAB0-4783-8D28-9C95A39B9D5C}"/>
              </c:ext>
            </c:extLst>
          </c:dPt>
          <c:dPt>
            <c:idx val="3"/>
            <c:bubble3D val="0"/>
            <c:spPr>
              <a:solidFill>
                <a:srgbClr val="F59E0B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FAB0-4783-8D28-9C95A39B9D5C}"/>
              </c:ext>
            </c:extLst>
          </c:dPt>
          <c:dPt>
            <c:idx val="4"/>
            <c:bubble3D val="0"/>
            <c:spPr>
              <a:solidFill>
                <a:srgbClr val="2E7D32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FAB0-4783-8D28-9C95A39B9D5C}"/>
              </c:ext>
            </c:extLst>
          </c:dPt>
          <c:dPt>
            <c:idx val="5"/>
            <c:bubble3D val="0"/>
            <c:spPr>
              <a:solidFill>
                <a:srgbClr val="1565C0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FAB0-4783-8D28-9C95A39B9D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'90_LISTAS'!$F$8:$F$13</c:f>
              <c:strCache>
                <c:ptCount val="6"/>
                <c:pt idx="0">
                  <c:v>INCONSISTENTE</c:v>
                </c:pt>
                <c:pt idx="1">
                  <c:v>AGOTADO</c:v>
                </c:pt>
                <c:pt idx="2">
                  <c:v>CRÍTICO</c:v>
                </c:pt>
                <c:pt idx="3">
                  <c:v>BAJO</c:v>
                </c:pt>
                <c:pt idx="4">
                  <c:v>ÓPTIMO</c:v>
                </c:pt>
                <c:pt idx="5">
                  <c:v>SOBRESTOCK</c:v>
                </c:pt>
              </c:strCache>
            </c:strRef>
          </c:cat>
          <c:val>
            <c:numRef>
              <c:f>'90_LISTAS'!$G$8:$G$13</c:f>
              <c:numCache>
                <c:formatCode>General</c:formatCode>
                <c:ptCount val="6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22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AB0-4783-8D28-9C95A39B9D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5"/>
      </c:doughnutChart>
    </c:plotArea>
    <c:legend>
      <c:legendPos val="r"/>
      <c:overlay val="0"/>
      <c:txPr>
        <a:bodyPr/>
        <a:lstStyle/>
        <a:p>
          <a:pPr rtl="0">
            <a:defRPr sz="800" baseline="0"/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>
      <a:solidFill>
        <a:srgbClr val="DDE3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baseline="0">
                <a:solidFill>
                  <a:srgbClr val="1F2937"/>
                </a:solidFill>
              </a:defRPr>
            </a:pPr>
            <a:r>
              <a:rPr lang="en-US" sz="1000" b="1" baseline="0">
                <a:solidFill>
                  <a:srgbClr val="1F2937"/>
                </a:solidFill>
              </a:rPr>
              <a:t>Unidades despachadas · últimos 7 días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Unidades despachadas</c:v>
          </c:tx>
          <c:spPr>
            <a:solidFill>
              <a:srgbClr val="1565C0"/>
            </a:solidFill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'90_LISTAS'!$F$17:$F$23</c:f>
              <c:numCache>
                <c:formatCode>dd/mm</c:formatCode>
                <c:ptCount val="7"/>
                <c:pt idx="0">
                  <c:v>46284</c:v>
                </c:pt>
                <c:pt idx="1">
                  <c:v>46285</c:v>
                </c:pt>
                <c:pt idx="2">
                  <c:v>46286</c:v>
                </c:pt>
                <c:pt idx="3">
                  <c:v>46287</c:v>
                </c:pt>
                <c:pt idx="4">
                  <c:v>46288</c:v>
                </c:pt>
                <c:pt idx="5">
                  <c:v>46289</c:v>
                </c:pt>
                <c:pt idx="6">
                  <c:v>46290</c:v>
                </c:pt>
              </c:numCache>
            </c:numRef>
          </c:cat>
          <c:val>
            <c:numRef>
              <c:f>'90_LISTAS'!$G$17:$G$23</c:f>
              <c:numCache>
                <c:formatCode>General</c:formatCode>
                <c:ptCount val="7"/>
                <c:pt idx="0">
                  <c:v>45</c:v>
                </c:pt>
                <c:pt idx="1">
                  <c:v>0</c:v>
                </c:pt>
                <c:pt idx="2">
                  <c:v>27.5</c:v>
                </c:pt>
                <c:pt idx="3">
                  <c:v>99.5</c:v>
                </c:pt>
                <c:pt idx="4">
                  <c:v>61</c:v>
                </c:pt>
                <c:pt idx="5">
                  <c:v>140.5</c:v>
                </c:pt>
                <c:pt idx="6">
                  <c:v>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22-4DDF-BC9D-3CB5412D3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0020001"/>
        <c:axId val="50020002"/>
      </c:barChart>
      <c:dateAx>
        <c:axId val="50020001"/>
        <c:scaling>
          <c:orientation val="minMax"/>
        </c:scaling>
        <c:delete val="0"/>
        <c:axPos val="b"/>
        <c:numFmt formatCode="dd/mm" sourceLinked="0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Offset val="100"/>
        <c:baseTimeUnit val="days"/>
      </c:dateAx>
      <c:valAx>
        <c:axId val="5002000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spPr>
    <a:solidFill>
      <a:srgbClr val="FFFFFF"/>
    </a:solidFill>
    <a:ln>
      <a:solidFill>
        <a:srgbClr val="DDE3E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baseline="0">
                <a:solidFill>
                  <a:srgbClr val="1F2937"/>
                </a:solidFill>
              </a:defRPr>
            </a:pPr>
            <a:r>
              <a:rPr lang="en-US" sz="1000" b="1" baseline="0">
                <a:solidFill>
                  <a:srgbClr val="1F2937"/>
                </a:solidFill>
              </a:rPr>
              <a:t>Unidades despachadas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Unidades despachadas</c:v>
          </c:tx>
          <c:spPr>
            <a:solidFill>
              <a:srgbClr val="00796B"/>
            </a:solidFill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'90_LISTAS'!$I$8:$I$13</c:f>
              <c:numCache>
                <c:formatCode>mmm\ yy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'90_LISTAS'!$J$8:$J$13</c:f>
              <c:numCache>
                <c:formatCode>General</c:formatCode>
                <c:ptCount val="6"/>
                <c:pt idx="0">
                  <c:v>1592.5</c:v>
                </c:pt>
                <c:pt idx="1">
                  <c:v>1962</c:v>
                </c:pt>
                <c:pt idx="2">
                  <c:v>1772</c:v>
                </c:pt>
                <c:pt idx="3">
                  <c:v>1651.5</c:v>
                </c:pt>
                <c:pt idx="4">
                  <c:v>1764.5</c:v>
                </c:pt>
                <c:pt idx="5">
                  <c:v>1582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EA-4017-9BD6-8930E8697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50030001"/>
        <c:axId val="50030002"/>
      </c:barChart>
      <c:dateAx>
        <c:axId val="5003000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2"/>
        <c:crosses val="autoZero"/>
        <c:auto val="1"/>
        <c:lblOffset val="100"/>
        <c:baseTimeUnit val="months"/>
      </c:dateAx>
      <c:valAx>
        <c:axId val="5003000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spPr>
    <a:solidFill>
      <a:srgbClr val="FFFFFF"/>
    </a:solidFill>
    <a:ln>
      <a:solidFill>
        <a:srgbClr val="DDE3EA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baseline="0">
                <a:solidFill>
                  <a:srgbClr val="1F2937"/>
                </a:solidFill>
              </a:defRPr>
            </a:pPr>
            <a:r>
              <a:rPr lang="en-US" sz="1000" b="1" baseline="0">
                <a:solidFill>
                  <a:srgbClr val="1F2937"/>
                </a:solidFill>
              </a:rPr>
              <a:t>Valor del inventario por categoría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Valor del inventario</c:v>
          </c:tx>
          <c:spPr>
            <a:solidFill>
              <a:srgbClr val="1565C0"/>
            </a:solidFill>
          </c:spPr>
          <c:invertIfNegative val="0"/>
          <c:dLbls>
            <c:numFmt formatCode="\$\ #,##0,,&quot;M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'90_LISTAS'!$L$8:$L$13</c:f>
              <c:strCache>
                <c:ptCount val="6"/>
                <c:pt idx="0">
                  <c:v>FERRETERÍA</c:v>
                </c:pt>
                <c:pt idx="1">
                  <c:v>ELÉCTRICOS</c:v>
                </c:pt>
                <c:pt idx="2">
                  <c:v>PLOMERÍA</c:v>
                </c:pt>
                <c:pt idx="3">
                  <c:v>PINTURAS</c:v>
                </c:pt>
                <c:pt idx="4">
                  <c:v>SEGURIDAD INDUSTRIAL</c:v>
                </c:pt>
                <c:pt idx="5">
                  <c:v>ASEO Y LIMPIEZA</c:v>
                </c:pt>
              </c:strCache>
            </c:strRef>
          </c:cat>
          <c:val>
            <c:numRef>
              <c:f>'90_LISTAS'!$M$8:$M$13</c:f>
              <c:numCache>
                <c:formatCode>\$\ #,##0</c:formatCode>
                <c:ptCount val="6"/>
                <c:pt idx="0">
                  <c:v>2014200</c:v>
                </c:pt>
                <c:pt idx="1">
                  <c:v>3363150</c:v>
                </c:pt>
                <c:pt idx="2">
                  <c:v>2104500</c:v>
                </c:pt>
                <c:pt idx="3">
                  <c:v>4547300</c:v>
                </c:pt>
                <c:pt idx="4">
                  <c:v>1313500</c:v>
                </c:pt>
                <c:pt idx="5">
                  <c:v>1651600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8A-45C5-9E49-E30CE4AC5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0040001"/>
        <c:axId val="50040002"/>
      </c:barChart>
      <c:catAx>
        <c:axId val="5004000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1"/>
        <c:axPos val="t"/>
        <c:numFmt formatCode="\$\ #,##0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plotVisOnly val="1"/>
    <c:dispBlanksAs val="gap"/>
    <c:showDLblsOverMax val="0"/>
  </c:chart>
  <c:spPr>
    <a:solidFill>
      <a:srgbClr val="FFFFFF"/>
    </a:solidFill>
    <a:ln>
      <a:solidFill>
        <a:srgbClr val="DDE3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19</xdr:row>
      <xdr:rowOff>0</xdr:rowOff>
    </xdr:from>
    <xdr:to>
      <xdr:col>13</xdr:col>
      <xdr:colOff>0</xdr:colOff>
      <xdr:row>30</xdr:row>
      <xdr:rowOff>171450</xdr:rowOff>
    </xdr:to>
    <xdr:graphicFrame macro="">
      <xdr:nvGraphicFramePr>
        <xdr:cNvPr id="2" name="Chart 1" descr="Gráfico: productos por estado (instantánea)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19</xdr:row>
      <xdr:rowOff>0</xdr:rowOff>
    </xdr:from>
    <xdr:to>
      <xdr:col>13</xdr:col>
      <xdr:colOff>0</xdr:colOff>
      <xdr:row>30</xdr:row>
      <xdr:rowOff>171450</xdr:rowOff>
    </xdr:to>
    <xdr:graphicFrame macro="">
      <xdr:nvGraphicFramePr>
        <xdr:cNvPr id="2" name="Chart 1" descr="Gráfico: unidades despachadas por día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24</xdr:row>
      <xdr:rowOff>19050</xdr:rowOff>
    </xdr:from>
    <xdr:to>
      <xdr:col>6</xdr:col>
      <xdr:colOff>876300</xdr:colOff>
      <xdr:row>36</xdr:row>
      <xdr:rowOff>190500</xdr:rowOff>
    </xdr:to>
    <xdr:graphicFrame macro="">
      <xdr:nvGraphicFramePr>
        <xdr:cNvPr id="2" name="Chart 1" descr="Gráfico: unidades despachadas por mes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19050</xdr:colOff>
      <xdr:row>24</xdr:row>
      <xdr:rowOff>19050</xdr:rowOff>
    </xdr:from>
    <xdr:to>
      <xdr:col>12</xdr:col>
      <xdr:colOff>876300</xdr:colOff>
      <xdr:row>36</xdr:row>
      <xdr:rowOff>190500</xdr:rowOff>
    </xdr:to>
    <xdr:graphicFrame macro="">
      <xdr:nvGraphicFramePr>
        <xdr:cNvPr id="3" name="Chart 2" descr="Gráfico: valor del inventario por categoría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iposMov" displayName="tblTiposMov" ref="B26:E31" totalsRowShown="0">
  <tableColumns count="4">
    <tableColumn id="1" xr3:uid="{00000000-0010-0000-0000-000001000000}" name="Tipo"/>
    <tableColumn id="2" xr3:uid="{00000000-0010-0000-0000-000002000000}" name="FactorStock"/>
    <tableColumn id="3" xr3:uid="{00000000-0010-0000-0000-000003000000}" name="Dominio"/>
    <tableColumn id="4" xr3:uid="{00000000-0010-0000-0000-000004000000}" name="Descripció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Estados" displayName="tblEstados" ref="B34:E41" totalsRowShown="0">
  <tableColumns count="4">
    <tableColumn id="1" xr3:uid="{00000000-0010-0000-0100-000001000000}" name="Estado"/>
    <tableColumn id="2" xr3:uid="{00000000-0010-0000-0100-000002000000}" name="Prioridad"/>
    <tableColumn id="3" xr3:uid="{00000000-0010-0000-0100-000003000000}" name="Regla"/>
    <tableColumn id="4" xr3:uid="{00000000-0010-0000-0100-000004000000}" name="Acción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Usuarios" displayName="tblUsuarios" ref="B7:I57" totalsRowShown="0">
  <autoFilter ref="B7:I57" xr:uid="{00000000-0009-0000-0100-000003000000}"/>
  <tableColumns count="8">
    <tableColumn id="1" xr3:uid="{00000000-0010-0000-0200-000001000000}" name="Correo"/>
    <tableColumn id="2" xr3:uid="{00000000-0010-0000-0200-000002000000}" name="Nombre"/>
    <tableColumn id="3" xr3:uid="{00000000-0010-0000-0200-000003000000}" name="Rol"/>
    <tableColumn id="4" xr3:uid="{00000000-0010-0000-0200-000004000000}" name="Activo"/>
    <tableColumn id="5" xr3:uid="{00000000-0010-0000-0200-000005000000}" name="OrdenBodega" dataDxfId="279">
      <calculatedColumnFormula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calculatedColumnFormula>
    </tableColumn>
    <tableColumn id="6" xr3:uid="{00000000-0010-0000-0200-000006000000}" name="OrdenVentas" dataDxfId="278">
      <calculatedColumnFormula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calculatedColumnFormula>
    </tableColumn>
    <tableColumn id="7" xr3:uid="{00000000-0010-0000-0200-000007000000}" name="OrdenConsulta" dataDxfId="277">
      <calculatedColumnFormula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calculatedColumnFormula>
    </tableColumn>
    <tableColumn id="8" xr3:uid="{00000000-0010-0000-0200-000008000000}" name="Validación" dataDxfId="276">
      <calculatedColumnFormula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tegorias" displayName="tblCategorias" ref="B7:D13" totalsRowShown="0">
  <tableColumns count="3">
    <tableColumn id="1" xr3:uid="{00000000-0010-0000-0300-000001000000}" name="Código"/>
    <tableColumn id="2" xr3:uid="{00000000-0010-0000-0300-000002000000}" name="Categoría"/>
    <tableColumn id="3" xr3:uid="{00000000-0010-0000-0300-000003000000}" name="Descripció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Proveedores" displayName="tblProveedores" ref="B7:J107" totalsRowShown="0">
  <autoFilter ref="B7:J107" xr:uid="{00000000-0009-0000-0100-000005000000}"/>
  <tableColumns count="9">
    <tableColumn id="1" xr3:uid="{00000000-0010-0000-0400-000001000000}" name="Proveedor"/>
    <tableColumn id="2" xr3:uid="{00000000-0010-0000-0400-000002000000}" name="NIT"/>
    <tableColumn id="3" xr3:uid="{00000000-0010-0000-0400-000003000000}" name="Contacto"/>
    <tableColumn id="4" xr3:uid="{00000000-0010-0000-0400-000004000000}" name="Teléfono"/>
    <tableColumn id="5" xr3:uid="{00000000-0010-0000-0400-000005000000}" name="Correo"/>
    <tableColumn id="6" xr3:uid="{00000000-0010-0000-0400-000006000000}" name="DiasEntrega"/>
    <tableColumn id="7" xr3:uid="{00000000-0010-0000-0400-000007000000}" name="Productos" dataDxfId="275">
      <calculatedColumnFormula>IF(tblProveedores[[#This Row],[Proveedor]]="","",COUNTIF(tblProductos[Proveedor],tblProveedores[[#This Row],[Proveedor]]))</calculatedColumnFormula>
    </tableColumn>
    <tableColumn id="8" xr3:uid="{00000000-0010-0000-0400-000008000000}" name="EnAlerta" dataDxfId="274">
      <calculatedColumnFormula>IF(tblProveedores[[#This Row],[Proveedor]]="","",SUMPRODUCT(COUNTIFS(tblStock[Proveedor],tblProveedores[[#This Row],[Proveedor]],tblStock[Estado],{"INCONSISTENTE","AGOTADO","CRÍTICO","BAJO"})))</calculatedColumnFormula>
    </tableColumn>
    <tableColumn id="9" xr3:uid="{00000000-0010-0000-0400-000009000000}" name="Validación" dataDxfId="273">
      <calculatedColumnFormula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Productos" displayName="tblProductos" ref="B7:N507" totalsRowShown="0">
  <autoFilter ref="B7:N507" xr:uid="{00000000-0009-0000-0100-000006000000}"/>
  <tableColumns count="13">
    <tableColumn id="1" xr3:uid="{00000000-0010-0000-0500-000001000000}" name="SKU"/>
    <tableColumn id="2" xr3:uid="{00000000-0010-0000-0500-000002000000}" name="Producto"/>
    <tableColumn id="3" xr3:uid="{00000000-0010-0000-0500-000003000000}" name="Categoría"/>
    <tableColumn id="4" xr3:uid="{00000000-0010-0000-0500-000004000000}" name="Unidad"/>
    <tableColumn id="5" xr3:uid="{00000000-0010-0000-0500-000005000000}" name="StockMin"/>
    <tableColumn id="6" xr3:uid="{00000000-0010-0000-0500-000006000000}" name="StockMax"/>
    <tableColumn id="7" xr3:uid="{00000000-0010-0000-0500-000007000000}" name="CostoUnitario"/>
    <tableColumn id="8" xr3:uid="{00000000-0010-0000-0500-000008000000}" name="Proveedor"/>
    <tableColumn id="9" xr3:uid="{00000000-0010-0000-0500-000009000000}" name="Ubicación"/>
    <tableColumn id="10" xr3:uid="{00000000-0010-0000-0500-00000A000000}" name="Activo"/>
    <tableColumn id="11" xr3:uid="{00000000-0010-0000-0500-00000B000000}" name="Etiqueta" dataDxfId="272">
      <calculatedColumnFormula>IF(OR(tblProductos[[#This Row],[SKU]]="",tblProductos[[#This Row],[Producto]]=""),"",tblProductos[[#This Row],[SKU]]&amp;" · "&amp;tblProductos[[#This Row],[Producto]]&amp;IF(tblProductos[[#This Row],[Activo]]="NO","  (inactivo)",""))</calculatedColumnFormula>
    </tableColumn>
    <tableColumn id="12" xr3:uid="{00000000-0010-0000-0500-00000C000000}" name="Movimientos" dataDxfId="271">
      <calculatedColumnFormula>IF(tblProductos[[#This Row],[SKU]]="","",COUNTIF(tblEntradas[SKU],tblProductos[[#This Row],[SKU]])+COUNTIF(tblSalidas[SKU],tblProductos[[#This Row],[SKU]]))</calculatedColumnFormula>
    </tableColumn>
    <tableColumn id="13" xr3:uid="{00000000-0010-0000-0500-00000D000000}" name="Validación" dataDxfId="270">
      <calculatedColumnFormula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Unidades" displayName="tblUnidades" ref="B7:E16" totalsRowShown="0">
  <tableColumns count="4">
    <tableColumn id="1" xr3:uid="{00000000-0010-0000-0600-000001000000}" name="Código"/>
    <tableColumn id="2" xr3:uid="{00000000-0010-0000-0600-000002000000}" name="Unidad"/>
    <tableColumn id="3" xr3:uid="{00000000-0010-0000-0600-000003000000}" name="Decimales"/>
    <tableColumn id="4" xr3:uid="{00000000-0010-0000-0600-000004000000}" name="Descripción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CapturaEntradas" displayName="tblCapturaEntradas" ref="B8:P23" totalsRowShown="0">
  <autoFilter ref="B8:P23" xr:uid="{00000000-0009-0000-0100-000008000000}"/>
  <tableColumns count="15">
    <tableColumn id="1" xr3:uid="{00000000-0010-0000-0700-000001000000}" name="Usuario" dataDxfId="269">
      <calculatedColumnFormula>IFERROR(INDEX(tblUsuarios[Nombre],MATCH(ROW()-ROW(tblCapturaEntradas[#Headers]),tblUsuarios[OrdenBodega],0)),"")</calculatedColumnFormula>
    </tableColumn>
    <tableColumn id="2" xr3:uid="{00000000-0010-0000-0700-000002000000}" name="Tipo"/>
    <tableColumn id="3" xr3:uid="{00000000-0010-0000-0700-000003000000}" name="Fecha"/>
    <tableColumn id="4" xr3:uid="{00000000-0010-0000-0700-000004000000}" name="Producto"/>
    <tableColumn id="5" xr3:uid="{00000000-0010-0000-0700-000005000000}" name="Cantidad"/>
    <tableColumn id="6" xr3:uid="{00000000-0010-0000-0700-000006000000}" name="Documento"/>
    <tableColumn id="7" xr3:uid="{00000000-0010-0000-0700-000007000000}" name="Observaciones"/>
    <tableColumn id="8" xr3:uid="{00000000-0010-0000-0700-000008000000}" name="Disponible" dataDxfId="268">
      <calculatedColumnFormula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calculatedColumnFormula>
    </tableColumn>
    <tableColumn id="9" xr3:uid="{00000000-0010-0000-0700-000009000000}" name="Validación" dataDxfId="267">
      <calculatedColumnFormula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calculatedColumnFormula>
    </tableColumn>
    <tableColumn id="10" xr3:uid="{00000000-0010-0000-0700-00000A000000}" name="Resultado"/>
    <tableColumn id="11" xr3:uid="{00000000-0010-0000-0700-00000B000000}" name="Unidad" dataDxfId="266">
      <calculatedColumnFormula>IF(tblCapturaEntradas[[#This Row],[SKU]]="","",IFERROR(INDEX(tblProductos[Unidad],MATCH(tblCapturaEntradas[[#This Row],[SKU]],tblProductos[SKU],0)),"?"))</calculatedColumnFormula>
    </tableColumn>
    <tableColumn id="12" xr3:uid="{00000000-0010-0000-0700-00000C000000}" name="Factor" dataDxfId="265">
      <calculatedColumnFormula>IF(tblCapturaEntradas[[#This Row],[Tipo]]="","",IFERROR(INDEX(tblTiposMov[FactorStock],MATCH(tblCapturaEntradas[[#This Row],[Tipo]],tblTiposMov[Tipo],0))*(INDEX(tblTiposMov[Dominio],MATCH(tblCapturaEntradas[[#This Row],[Tipo]],tblTiposMov[Tipo],0))="BODEGA"),0))</calculatedColumnFormula>
    </tableColumn>
    <tableColumn id="13" xr3:uid="{00000000-0010-0000-0700-00000D000000}" name="Correo" dataDxfId="264">
      <calculatedColumnFormula>IFERROR(INDEX(tblUsuarios[Correo],MATCH(ROW()-ROW(tblCapturaEntradas[#Headers]),tblUsuarios[OrdenBodega],0)),"")</calculatedColumnFormula>
    </tableColumn>
    <tableColumn id="14" xr3:uid="{00000000-0010-0000-0700-00000E000000}" name="SKU" dataDxfId="263">
      <calculatedColumnFormula>IF(tblCapturaEntradas[[#This Row],[Producto]]="","",TRIM(LEFT(tblCapturaEntradas[[#This Row],[Producto]],FIND(" · ",tblCapturaEntradas[[#This Row],[Producto]]&amp;" · ")-1)))</calculatedColumnFormula>
    </tableColumn>
    <tableColumn id="15" xr3:uid="{00000000-0010-0000-0700-00000F000000}" name="Queda" dataDxfId="262">
      <calculatedColumnFormula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Entradas" displayName="tblEntradas" ref="B27:P117" totalsRowShown="0">
  <autoFilter ref="B27:P117" xr:uid="{00000000-0009-0000-0100-000009000000}"/>
  <tableColumns count="15">
    <tableColumn id="1" xr3:uid="{00000000-0010-0000-0800-000001000000}" name="ID"/>
    <tableColumn id="2" xr3:uid="{00000000-0010-0000-0800-000002000000}" name="Tipo"/>
    <tableColumn id="3" xr3:uid="{00000000-0010-0000-0800-000003000000}" name="Fecha"/>
    <tableColumn id="4" xr3:uid="{00000000-0010-0000-0800-000004000000}" name="Producto"/>
    <tableColumn id="5" xr3:uid="{00000000-0010-0000-0800-000005000000}" name="Cantidad"/>
    <tableColumn id="6" xr3:uid="{00000000-0010-0000-0800-000006000000}" name="Documento"/>
    <tableColumn id="7" xr3:uid="{00000000-0010-0000-0800-000007000000}" name="Observaciones"/>
    <tableColumn id="8" xr3:uid="{00000000-0010-0000-0800-000008000000}" name="CantidadNeta"/>
    <tableColumn id="9" xr3:uid="{00000000-0010-0000-0800-000009000000}" name="Estado"/>
    <tableColumn id="10" xr3:uid="{00000000-0010-0000-0800-00000A000000}" name="Registró"/>
    <tableColumn id="11" xr3:uid="{00000000-0010-0000-0800-00000B000000}" name="Unidad"/>
    <tableColumn id="12" xr3:uid="{00000000-0010-0000-0800-00000C000000}" name="FactorStock"/>
    <tableColumn id="13" xr3:uid="{00000000-0010-0000-0800-00000D000000}" name="Usuario_O365"/>
    <tableColumn id="14" xr3:uid="{00000000-0010-0000-0800-00000E000000}" name="SKU"/>
    <tableColumn id="15" xr3:uid="{00000000-0010-0000-0800-00000F000000}" name="Timestamp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CapturaSalidas" displayName="tblCapturaSalidas" ref="B8:P23" totalsRowShown="0">
  <autoFilter ref="B8:P23" xr:uid="{00000000-0009-0000-0100-00000A000000}"/>
  <tableColumns count="15">
    <tableColumn id="1" xr3:uid="{00000000-0010-0000-0900-000001000000}" name="Usuario" dataDxfId="261">
      <calculatedColumnFormula>IFERROR(INDEX(tblUsuarios[Nombre],MATCH(ROW()-ROW(tblCapturaSalidas[#Headers]),tblUsuarios[OrdenVentas],0)),"")</calculatedColumnFormula>
    </tableColumn>
    <tableColumn id="2" xr3:uid="{00000000-0010-0000-0900-000002000000}" name="Tipo" dataDxfId="260">
      <calculatedColumnFormula>IF(tblCapturaSalidas[[#This Row],[Correo]]="","","SALIDA")</calculatedColumnFormula>
    </tableColumn>
    <tableColumn id="3" xr3:uid="{00000000-0010-0000-0900-000003000000}" name="Fecha"/>
    <tableColumn id="4" xr3:uid="{00000000-0010-0000-0900-000004000000}" name="Producto"/>
    <tableColumn id="5" xr3:uid="{00000000-0010-0000-0900-000005000000}" name="Cantidad"/>
    <tableColumn id="6" xr3:uid="{00000000-0010-0000-0900-000006000000}" name="Documento"/>
    <tableColumn id="7" xr3:uid="{00000000-0010-0000-0900-000007000000}" name="Observaciones"/>
    <tableColumn id="8" xr3:uid="{00000000-0010-0000-0900-000008000000}" name="Disponible" dataDxfId="259">
      <calculatedColumnFormula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calculatedColumnFormula>
    </tableColumn>
    <tableColumn id="9" xr3:uid="{00000000-0010-0000-0900-000009000000}" name="Validación" dataDxfId="258">
      <calculatedColumnFormula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calculatedColumnFormula>
    </tableColumn>
    <tableColumn id="10" xr3:uid="{00000000-0010-0000-0900-00000A000000}" name="Resultado"/>
    <tableColumn id="11" xr3:uid="{00000000-0010-0000-0900-00000B000000}" name="Unidad" dataDxfId="257">
      <calculatedColumnFormula>IF(tblCapturaSalidas[[#This Row],[SKU]]="","",IFERROR(INDEX(tblProductos[Unidad],MATCH(tblCapturaSalidas[[#This Row],[SKU]],tblProductos[SKU],0)),"?"))</calculatedColumnFormula>
    </tableColumn>
    <tableColumn id="12" xr3:uid="{00000000-0010-0000-0900-00000C000000}" name="Factor" dataDxfId="256">
      <calculatedColumnFormula>IF(tblCapturaSalidas[[#This Row],[Correo]]="","",-1)</calculatedColumnFormula>
    </tableColumn>
    <tableColumn id="13" xr3:uid="{00000000-0010-0000-0900-00000D000000}" name="Correo" dataDxfId="255">
      <calculatedColumnFormula>IFERROR(INDEX(tblUsuarios[Correo],MATCH(ROW()-ROW(tblCapturaSalidas[#Headers]),tblUsuarios[OrdenVentas],0)),"")</calculatedColumnFormula>
    </tableColumn>
    <tableColumn id="14" xr3:uid="{00000000-0010-0000-0900-00000E000000}" name="SKU" dataDxfId="254">
      <calculatedColumnFormula>IF(tblCapturaSalidas[[#This Row],[Producto]]="","",TRIM(LEFT(tblCapturaSalidas[[#This Row],[Producto]],FIND(" · ",tblCapturaSalidas[[#This Row],[Producto]]&amp;" · ")-1)))</calculatedColumnFormula>
    </tableColumn>
    <tableColumn id="15" xr3:uid="{00000000-0010-0000-0900-00000F000000}" name="Queda" dataDxfId="253">
      <calculatedColumnFormula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Salidas" displayName="tblSalidas" ref="B27:P410" totalsRowShown="0">
  <autoFilter ref="B27:P410" xr:uid="{00000000-0009-0000-0100-00000B000000}"/>
  <tableColumns count="15">
    <tableColumn id="1" xr3:uid="{00000000-0010-0000-0A00-000001000000}" name="ID"/>
    <tableColumn id="2" xr3:uid="{00000000-0010-0000-0A00-000002000000}" name="Tipo"/>
    <tableColumn id="3" xr3:uid="{00000000-0010-0000-0A00-000003000000}" name="Fecha"/>
    <tableColumn id="4" xr3:uid="{00000000-0010-0000-0A00-000004000000}" name="Producto"/>
    <tableColumn id="5" xr3:uid="{00000000-0010-0000-0A00-000005000000}" name="Cantidad"/>
    <tableColumn id="6" xr3:uid="{00000000-0010-0000-0A00-000006000000}" name="Documento"/>
    <tableColumn id="7" xr3:uid="{00000000-0010-0000-0A00-000007000000}" name="Observaciones"/>
    <tableColumn id="8" xr3:uid="{00000000-0010-0000-0A00-000008000000}" name="CantidadNeta"/>
    <tableColumn id="9" xr3:uid="{00000000-0010-0000-0A00-000009000000}" name="Estado"/>
    <tableColumn id="10" xr3:uid="{00000000-0010-0000-0A00-00000A000000}" name="Registró"/>
    <tableColumn id="11" xr3:uid="{00000000-0010-0000-0A00-00000B000000}" name="Unidad"/>
    <tableColumn id="12" xr3:uid="{00000000-0010-0000-0A00-00000C000000}" name="FactorStock"/>
    <tableColumn id="13" xr3:uid="{00000000-0010-0000-0A00-00000D000000}" name="Usuario_O365"/>
    <tableColumn id="14" xr3:uid="{00000000-0010-0000-0A00-00000E000000}" name="SKU"/>
    <tableColumn id="15" xr3:uid="{00000000-0010-0000-0A00-00000F000000}" name="Timestamp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Conteo" displayName="tblConteo" ref="B8:M508" totalsRowShown="0">
  <autoFilter ref="B8:M508" xr:uid="{00000000-0009-0000-0100-00000C000000}"/>
  <tableColumns count="12">
    <tableColumn id="1" xr3:uid="{00000000-0010-0000-0B00-000001000000}" name="SKU" dataDxfId="252">
      <calculatedColumnFormula>IF(INDEX(tblProductos[SKU],ROW()-ROW(tblConteo[#Headers]))="","",INDEX(tblProductos[SKU],ROW()-ROW(tblConteo[#Headers])))</calculatedColumnFormula>
    </tableColumn>
    <tableColumn id="2" xr3:uid="{00000000-0010-0000-0B00-000002000000}" name="Producto" dataDxfId="251">
      <calculatedColumnFormula>IF(tblConteo[[#This Row],[SKU]]="","",INDEX(tblProductos[Producto],ROW()-ROW(tblConteo[#Headers])))</calculatedColumnFormula>
    </tableColumn>
    <tableColumn id="3" xr3:uid="{00000000-0010-0000-0B00-000003000000}" name="Categoría" dataDxfId="250">
      <calculatedColumnFormula>IF(tblConteo[[#This Row],[SKU]]="","",INDEX(tblProductos[Categoría],ROW()-ROW(tblConteo[#Headers]))&amp;"")</calculatedColumnFormula>
    </tableColumn>
    <tableColumn id="4" xr3:uid="{00000000-0010-0000-0B00-000004000000}" name="Ubicación" dataDxfId="249">
      <calculatedColumnFormula>IF(tblConteo[[#This Row],[SKU]]="","",INDEX(tblProductos[Ubicación],ROW()-ROW(tblConteo[#Headers]))&amp;"")</calculatedColumnFormula>
    </tableColumn>
    <tableColumn id="5" xr3:uid="{00000000-0010-0000-0B00-000005000000}" name="Unidad" dataDxfId="248">
      <calculatedColumnFormula>IF(tblConteo[[#This Row],[SKU]]="","",INDEX(tblProductos[Unidad],ROW()-ROW(tblConteo[#Headers]))&amp;"")</calculatedColumnFormula>
    </tableColumn>
    <tableColumn id="6" xr3:uid="{00000000-0010-0000-0B00-000006000000}" name="Activo" dataDxfId="247">
      <calculatedColumnFormula>IF(tblConteo[[#This Row],[SKU]]="","",IF(INDEX(tblProductos[Activo],ROW()-ROW(tblConteo[#Headers]))="NO","NO","SI"))</calculatedColumnFormula>
    </tableColumn>
    <tableColumn id="7" xr3:uid="{00000000-0010-0000-0B00-000007000000}" name="Sistema" dataDxfId="246">
      <calculatedColumnFormula>IF(tblConteo[[#This Row],[SKU]]="","",IFERROR(N(INDEX(tblStock[StockActual],MATCH(tblConteo[[#This Row],[SKU]],tblStock[SKU],0))),0))</calculatedColumnFormula>
    </tableColumn>
    <tableColumn id="8" xr3:uid="{00000000-0010-0000-0B00-000008000000}" name="Conteo"/>
    <tableColumn id="9" xr3:uid="{00000000-0010-0000-0B00-000009000000}" name="Diferencia" dataDxfId="245">
      <calculatedColumnFormula>IF(OR(tblConteo[[#This Row],[SKU]]="",tblConteo[[#This Row],[Conteo]]=""),"",IF(ISNUMBER(tblConteo[[#This Row],[Conteo]]),tblConteo[[#This Row],[Conteo]]-N(tblConteo[[#This Row],[Sistema]]),""))</calculatedColumnFormula>
    </tableColumn>
    <tableColumn id="10" xr3:uid="{00000000-0010-0000-0B00-00000A000000}" name="ValorDiferencia" dataDxfId="244">
      <calculatedColumnFormula>IF(tblConteo[[#This Row],[Diferencia]]="","",tblConteo[[#This Row],[Diferencia]]*N(INDEX(tblProductos[CostoUnitario],ROW()-ROW(tblConteo[#Headers]))))</calculatedColumnFormula>
    </tableColumn>
    <tableColumn id="11" xr3:uid="{00000000-0010-0000-0B00-00000B000000}" name="Resultado" dataDxfId="243">
      <calculatedColumnFormula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calculatedColumnFormula>
    </tableColumn>
    <tableColumn id="12" xr3:uid="{00000000-0010-0000-0B00-00000C000000}" name="AjusteSugerido" dataDxfId="242">
      <calculatedColumnFormula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calculatedColumnFormula>
    </tableColumn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Actividad" displayName="tblActividad" ref="B7:H485" totalsRowShown="0">
  <autoFilter ref="B7:H485" xr:uid="{00000000-0009-0000-0100-00000D000000}"/>
  <tableColumns count="7">
    <tableColumn id="1" xr3:uid="{00000000-0010-0000-0C00-000001000000}" name="ID"/>
    <tableColumn id="2" xr3:uid="{00000000-0010-0000-0C00-000002000000}" name="Timestamp"/>
    <tableColumn id="3" xr3:uid="{00000000-0010-0000-0C00-000003000000}" name="Usuario_O365"/>
    <tableColumn id="4" xr3:uid="{00000000-0010-0000-0C00-000004000000}" name="Nombre"/>
    <tableColumn id="5" xr3:uid="{00000000-0010-0000-0C00-000005000000}" name="Script"/>
    <tableColumn id="6" xr3:uid="{00000000-0010-0000-0C00-000006000000}" name="Resultado"/>
    <tableColumn id="7" xr3:uid="{00000000-0010-0000-0C00-000007000000}" name="Detalle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Stock" displayName="tblStock" ref="B7:U507" totalsRowShown="0">
  <autoFilter ref="B7:U507" xr:uid="{00000000-0009-0000-0100-00000E000000}"/>
  <tableColumns count="20">
    <tableColumn id="1" xr3:uid="{00000000-0010-0000-0D00-000001000000}" name="SKU"/>
    <tableColumn id="2" xr3:uid="{00000000-0010-0000-0D00-000002000000}" name="Producto"/>
    <tableColumn id="3" xr3:uid="{00000000-0010-0000-0D00-000003000000}" name="Categoría"/>
    <tableColumn id="4" xr3:uid="{00000000-0010-0000-0D00-000004000000}" name="Proveedor"/>
    <tableColumn id="5" xr3:uid="{00000000-0010-0000-0D00-000005000000}" name="Unidad"/>
    <tableColumn id="6" xr3:uid="{00000000-0010-0000-0D00-000006000000}" name="Activo"/>
    <tableColumn id="7" xr3:uid="{00000000-0010-0000-0D00-000007000000}" name="Entradas"/>
    <tableColumn id="8" xr3:uid="{00000000-0010-0000-0D00-000008000000}" name="Salidas"/>
    <tableColumn id="9" xr3:uid="{00000000-0010-0000-0D00-000009000000}" name="StockActual"/>
    <tableColumn id="10" xr3:uid="{00000000-0010-0000-0D00-00000A000000}" name="StockMin"/>
    <tableColumn id="11" xr3:uid="{00000000-0010-0000-0D00-00000B000000}" name="StockMax"/>
    <tableColumn id="12" xr3:uid="{00000000-0010-0000-0D00-00000C000000}" name="Nivel"/>
    <tableColumn id="13" xr3:uid="{00000000-0010-0000-0D00-00000D000000}" name="Estado"/>
    <tableColumn id="14" xr3:uid="{00000000-0010-0000-0D00-00000E000000}" name="CostoUnitario"/>
    <tableColumn id="15" xr3:uid="{00000000-0010-0000-0D00-00000F000000}" name="ValorInventario"/>
    <tableColumn id="16" xr3:uid="{00000000-0010-0000-0D00-000010000000}" name="UltimoMov"/>
    <tableColumn id="17" xr3:uid="{00000000-0010-0000-0D00-000011000000}" name="DiasSinMov"/>
    <tableColumn id="18" xr3:uid="{00000000-0010-0000-0D00-000012000000}" name="Salidas30d"/>
    <tableColumn id="19" xr3:uid="{00000000-0010-0000-0D00-000013000000}" name="CoberturaDias"/>
    <tableColumn id="20" xr3:uid="{00000000-0010-0000-0D00-000014000000}" name="RankSalidas30d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Alertas" displayName="tblAlertas" ref="B7:O507" totalsRowShown="0">
  <autoFilter ref="B7:O507" xr:uid="{00000000-0009-0000-0100-00000F000000}"/>
  <tableColumns count="14">
    <tableColumn id="1" xr3:uid="{00000000-0010-0000-0E00-000001000000}" name="#"/>
    <tableColumn id="2" xr3:uid="{00000000-0010-0000-0E00-000002000000}" name="Estado"/>
    <tableColumn id="3" xr3:uid="{00000000-0010-0000-0E00-000003000000}" name="SKU"/>
    <tableColumn id="4" xr3:uid="{00000000-0010-0000-0E00-000004000000}" name="Producto"/>
    <tableColumn id="5" xr3:uid="{00000000-0010-0000-0E00-000005000000}" name="Categoría"/>
    <tableColumn id="6" xr3:uid="{00000000-0010-0000-0E00-000006000000}" name="Proveedor"/>
    <tableColumn id="7" xr3:uid="{00000000-0010-0000-0E00-000007000000}" name="Stock"/>
    <tableColumn id="8" xr3:uid="{00000000-0010-0000-0E00-000008000000}" name="Mínimo"/>
    <tableColumn id="9" xr3:uid="{00000000-0010-0000-0E00-000009000000}" name="Máximo"/>
    <tableColumn id="10" xr3:uid="{00000000-0010-0000-0E00-00000A000000}" name="Unidad"/>
    <tableColumn id="11" xr3:uid="{00000000-0010-0000-0E00-00000B000000}" name="Faltante"/>
    <tableColumn id="12" xr3:uid="{00000000-0010-0000-0E00-00000C000000}" name="SugeridoPedir"/>
    <tableColumn id="13" xr3:uid="{00000000-0010-0000-0E00-00000D000000}" name="AcciónSugerida"/>
    <tableColumn id="14" xr3:uid="{00000000-0010-0000-0E00-00000E000000}" name="UltimoMov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Consulta" displayName="tblConsulta" ref="B8:S28" totalsRowShown="0">
  <autoFilter ref="B8:S28" xr:uid="{00000000-0009-0000-0100-000010000000}"/>
  <tableColumns count="18">
    <tableColumn id="1" xr3:uid="{00000000-0010-0000-0F00-000001000000}" name="Usuario" dataDxfId="241">
      <calculatedColumnFormula>IFERROR(INDEX(tblUsuarios[Nombre],MATCH(ROW()-ROW(tblConsulta[#Headers]),tblUsuarios[OrdenConsulta],0)),"")</calculatedColumnFormula>
    </tableColumn>
    <tableColumn id="2" xr3:uid="{00000000-0010-0000-0F00-000002000000}" name="Producto"/>
    <tableColumn id="3" xr3:uid="{00000000-0010-0000-0F00-000003000000}" name="Disponible" dataDxfId="240">
      <calculatedColumnFormula>IF(tblConsulta[[#This Row],[SKU]]="","",SUMIFS(tblEntradas[CantidadNeta],tblEntradas[SKU],tblConsulta[[#This Row],[SKU]],tblEntradas[Estado],"✔*")+SUMIFS(tblSalidas[CantidadNeta],tblSalidas[SKU],tblConsulta[[#This Row],[SKU]],tblSalidas[Estado],"✔*"))</calculatedColumnFormula>
    </tableColumn>
    <tableColumn id="4" xr3:uid="{00000000-0010-0000-0F00-000004000000}" name="Estado" dataDxfId="239">
      <calculatedColumnFormula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calculatedColumnFormula>
    </tableColumn>
    <tableColumn id="5" xr3:uid="{00000000-0010-0000-0F00-000005000000}" name="Mínimo" dataDxfId="238">
      <calculatedColumnFormula>IF(tblConsulta[[#This Row],[SKU]]="","",IFERROR(N(INDEX(tblProductos[StockMin],MATCH(tblConsulta[[#This Row],[SKU]],tblProductos[SKU],0))),""))</calculatedColumnFormula>
    </tableColumn>
    <tableColumn id="6" xr3:uid="{00000000-0010-0000-0F00-000006000000}" name="Máximo" dataDxfId="237">
      <calculatedColumnFormula>IF(tblConsulta[[#This Row],[SKU]]="","",IFERROR(N(INDEX(tblProductos[StockMax],MATCH(tblConsulta[[#This Row],[SKU]],tblProductos[SKU],0))),""))</calculatedColumnFormula>
    </tableColumn>
    <tableColumn id="7" xr3:uid="{00000000-0010-0000-0F00-000007000000}" name="Sugerido" dataDxfId="236">
      <calculatedColumnFormula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calculatedColumnFormula>
    </tableColumn>
    <tableColumn id="8" xr3:uid="{00000000-0010-0000-0F00-000008000000}" name="Proveedor" dataDxfId="235">
      <calculatedColumnFormula>IF(tblConsulta[[#This Row],[SKU]]="","",IFERROR(INDEX(tblProductos[Proveedor],MATCH(tblConsulta[[#This Row],[SKU]],tblProductos[SKU],0))&amp;"",""))</calculatedColumnFormula>
    </tableColumn>
    <tableColumn id="9" xr3:uid="{00000000-0010-0000-0F00-000009000000}" name="Ubicación" dataDxfId="234">
      <calculatedColumnFormula>IF(tblConsulta[[#This Row],[SKU]]="","",IFERROR(INDEX(tblProductos[Ubicación],MATCH(tblConsulta[[#This Row],[SKU]],tblProductos[SKU],0))&amp;"",""))</calculatedColumnFormula>
    </tableColumn>
    <tableColumn id="10" xr3:uid="{00000000-0010-0000-0F00-00000A000000}" name="UltimoMovimiento" dataDxfId="233">
      <calculatedColumnFormula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calculatedColumnFormula>
    </tableColumn>
    <tableColumn id="11" xr3:uid="{00000000-0010-0000-0F00-00000B000000}" name="Entradas30d" dataDxfId="232">
      <calculatedColumnFormula>IF(tblConsulta[[#This Row],[SKU]]="","",SUMIFS(tblEntradas[CantidadNeta],tblEntradas[SKU],tblConsulta[[#This Row],[SKU]],tblEntradas[Estado],"✔*",tblEntradas[Fecha],"&gt;="&amp;(TODAY()-29),tblEntradas[CantidadNeta],"&gt;0"))</calculatedColumnFormula>
    </tableColumn>
    <tableColumn id="12" xr3:uid="{00000000-0010-0000-0F00-00000C000000}" name="Salidas30d" dataDxfId="231">
      <calculatedColumnFormula>IF(tblConsulta[[#This Row],[SKU]]="","",-SUMIFS(tblSalidas[CantidadNeta],tblSalidas[SKU],tblConsulta[[#This Row],[SKU]],tblSalidas[Estado],"✔*",tblSalidas[Fecha],"&gt;="&amp;(TODAY()-29)))</calculatedColumnFormula>
    </tableColumn>
    <tableColumn id="13" xr3:uid="{00000000-0010-0000-0F00-00000D000000}" name="CoberturaDias" dataDxfId="230">
      <calculatedColumnFormula>IF(OR(tblConsulta[[#This Row],[SKU]]="",N(tblConsulta[[#This Row],[Salidas30d]])&lt;=0),"",INT(MAX(0,tblConsulta[[#This Row],[Disponible]])/(tblConsulta[[#This Row],[Salidas30d]]/30)))</calculatedColumnFormula>
    </tableColumn>
    <tableColumn id="14" xr3:uid="{00000000-0010-0000-0F00-00000E000000}" name="Valor" dataDxfId="229">
      <calculatedColumnFormula>IF(tblConsulta[[#This Row],[SKU]]="","",MAX(0,N(tblConsulta[[#This Row],[Disponible]]))*IFERROR(N(INDEX(tblProductos[CostoUnitario],MATCH(tblConsulta[[#This Row],[SKU]],tblProductos[SKU],0))),0))</calculatedColumnFormula>
    </tableColumn>
    <tableColumn id="15" xr3:uid="{00000000-0010-0000-0F00-00000F000000}" name="Correo" dataDxfId="228">
      <calculatedColumnFormula>IFERROR(INDEX(tblUsuarios[Correo],MATCH(ROW()-ROW(tblConsulta[#Headers]),tblUsuarios[OrdenConsulta],0)),"")</calculatedColumnFormula>
    </tableColumn>
    <tableColumn id="16" xr3:uid="{00000000-0010-0000-0F00-000010000000}" name="SKU" dataDxfId="227">
      <calculatedColumnFormula>IF(tblConsulta[[#This Row],[Producto]]="","",TRIM(LEFT(tblConsulta[[#This Row],[Producto]],FIND(" · ",tblConsulta[[#This Row],[Producto]]&amp;" · ")-1)))</calculatedColumnFormula>
    </tableColumn>
    <tableColumn id="17" xr3:uid="{00000000-0010-0000-0F00-000011000000}" name="TsE" dataDxfId="226">
      <calculatedColumnFormula>IF(tblConsulta[[#This Row],[SKU]]="",0,IFERROR(_xlfn.AGGREGATE(14,6,tblEntradas[Timestamp]/((tblEntradas[SKU]=tblConsulta[[#This Row],[SKU]])*(LEFT(tblEntradas[Estado],1)="✔")),1),0))</calculatedColumnFormula>
    </tableColumn>
    <tableColumn id="18" xr3:uid="{00000000-0010-0000-0F00-000012000000}" name="TsS" dataDxfId="225">
      <calculatedColumnFormula>IF(tblConsulta[[#This Row],[SKU]]="",0,IFERROR(_xlfn.AGGREGATE(14,6,tblSalidas[Timestamp]/((tblSalidas[SKU]=tblConsulta[[#This Row],[SKU]])*(LEFT(tblSalidas[Estado],1)="✔")),1),0))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Pedido" displayName="tblPedido" ref="B7:Q507" totalsRowShown="0">
  <autoFilter ref="B7:Q507" xr:uid="{00000000-0009-0000-0100-000011000000}"/>
  <tableColumns count="16">
    <tableColumn id="1" xr3:uid="{00000000-0010-0000-1000-000001000000}" name="Proveedor"/>
    <tableColumn id="2" xr3:uid="{00000000-0010-0000-1000-000002000000}" name="SKU"/>
    <tableColumn id="3" xr3:uid="{00000000-0010-0000-1000-000003000000}" name="Producto"/>
    <tableColumn id="4" xr3:uid="{00000000-0010-0000-1000-000004000000}" name="Unidad"/>
    <tableColumn id="5" xr3:uid="{00000000-0010-0000-1000-000005000000}" name="Estado"/>
    <tableColumn id="6" xr3:uid="{00000000-0010-0000-1000-000006000000}" name="Stock"/>
    <tableColumn id="7" xr3:uid="{00000000-0010-0000-1000-000007000000}" name="Mínimo"/>
    <tableColumn id="8" xr3:uid="{00000000-0010-0000-1000-000008000000}" name="Máximo"/>
    <tableColumn id="9" xr3:uid="{00000000-0010-0000-1000-000009000000}" name="APedir"/>
    <tableColumn id="10" xr3:uid="{00000000-0010-0000-1000-00000A000000}" name="CostoUnitario"/>
    <tableColumn id="11" xr3:uid="{00000000-0010-0000-1000-00000B000000}" name="Subtotal"/>
    <tableColumn id="12" xr3:uid="{00000000-0010-0000-1000-00000C000000}" name="DiasEntrega"/>
    <tableColumn id="13" xr3:uid="{00000000-0010-0000-1000-00000D000000}" name="EntregaEstimada"/>
    <tableColumn id="14" xr3:uid="{00000000-0010-0000-1000-00000E000000}" name="Contacto"/>
    <tableColumn id="15" xr3:uid="{00000000-0010-0000-1000-00000F000000}" name="Teléfono"/>
    <tableColumn id="16" xr3:uid="{00000000-0010-0000-1000-000010000000}" name="Corre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D32"/>
  </sheetPr>
  <dimension ref="B1:M44"/>
  <sheetViews>
    <sheetView showGridLines="0" showRowColHeaders="0" tabSelected="1" workbookViewId="0">
      <selection activeCell="B12" sqref="B12:D13"/>
    </sheetView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3.42578125" customWidth="1"/>
    <col min="15" max="15" width="0" hidden="1" customWidth="1"/>
  </cols>
  <sheetData>
    <row r="1" spans="2:13" s="1" customFormat="1" ht="4.5" customHeight="1" x14ac:dyDescent="0.25"/>
    <row r="2" spans="2:13" s="1" customFormat="1" ht="22.5" customHeight="1" x14ac:dyDescent="0.25">
      <c r="B2" s="2" t="s">
        <v>2447</v>
      </c>
      <c r="J2" s="89" t="str">
        <f ca="1">txtHoy</f>
        <v>Hoy · 25/09/2026</v>
      </c>
      <c r="K2" s="90"/>
      <c r="L2" s="90"/>
      <c r="M2" s="90"/>
    </row>
    <row r="3" spans="2:13" s="1" customFormat="1" ht="14.25" x14ac:dyDescent="0.25">
      <c r="B3" s="3" t="str">
        <f>txtEmpresa</f>
        <v>Distribuidora Demo S.A.S.   ·   Bodega Principal</v>
      </c>
      <c r="J3" s="91" t="s">
        <v>2448</v>
      </c>
      <c r="K3" s="91"/>
      <c r="L3" s="91"/>
      <c r="M3" s="91"/>
    </row>
    <row r="4" spans="2:13" s="1" customFormat="1" ht="4.5" customHeight="1" x14ac:dyDescent="0.25"/>
    <row r="5" spans="2:13" s="4" customFormat="1" ht="21" customHeight="1" x14ac:dyDescent="0.25">
      <c r="B5" s="5" t="s">
        <v>85</v>
      </c>
      <c r="C5" s="6" t="s">
        <v>86</v>
      </c>
      <c r="D5" s="6" t="s">
        <v>87</v>
      </c>
      <c r="E5" s="6" t="s">
        <v>88</v>
      </c>
      <c r="F5" s="6" t="s">
        <v>89</v>
      </c>
      <c r="G5" s="6" t="s">
        <v>90</v>
      </c>
      <c r="H5" s="6" t="s">
        <v>91</v>
      </c>
      <c r="I5" s="6" t="s">
        <v>92</v>
      </c>
      <c r="J5" s="6" t="s">
        <v>93</v>
      </c>
      <c r="K5" s="6" t="s">
        <v>94</v>
      </c>
    </row>
    <row r="6" spans="2:13" s="7" customFormat="1" ht="7.5" customHeight="1" x14ac:dyDescent="0.25"/>
    <row r="7" spans="2:13" s="7" customFormat="1" ht="30" customHeight="1" x14ac:dyDescent="0.25">
      <c r="B7" s="92" t="str">
        <f>txtFrescura&amp;"      ·      "&amp;txtStockActualizado</f>
        <v>⚠ 3 movimiento(s) nuevo(s) desde el cálculo: recalcule      ·      Calculado el 25/09/2026 14:40 · Administrador M-INV</v>
      </c>
      <c r="C7" s="92"/>
      <c r="D7" s="92"/>
      <c r="E7" s="92"/>
      <c r="F7" s="92"/>
      <c r="G7" s="92"/>
      <c r="H7" s="92"/>
      <c r="I7" s="92"/>
      <c r="J7" s="93" t="s">
        <v>2346</v>
      </c>
      <c r="K7" s="93"/>
      <c r="L7" s="93"/>
      <c r="M7" s="93"/>
    </row>
    <row r="8" spans="2:13" s="7" customFormat="1" ht="6" customHeight="1" x14ac:dyDescent="0.25"/>
    <row r="9" spans="2:13" s="7" customFormat="1" ht="25.5" customHeight="1" x14ac:dyDescent="0.25">
      <c r="B9" s="94" t="str">
        <f>txtPasoBodega</f>
        <v>✓ Conteo en curso: 2 producto(s) contados · escriba SI en Confirmar y pulse Generar ajustes</v>
      </c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</row>
    <row r="10" spans="2:13" s="7" customFormat="1" ht="7.5" customHeight="1" x14ac:dyDescent="0.25"/>
    <row r="11" spans="2:13" s="7" customFormat="1" ht="16.5" customHeight="1" x14ac:dyDescent="0.25">
      <c r="B11" s="7" t="s">
        <v>2449</v>
      </c>
    </row>
    <row r="12" spans="2:13" s="7" customFormat="1" ht="27" customHeight="1" x14ac:dyDescent="0.25">
      <c r="B12" s="95" t="s">
        <v>2450</v>
      </c>
      <c r="C12" s="95"/>
      <c r="D12" s="95"/>
      <c r="E12" s="96" t="s">
        <v>2451</v>
      </c>
      <c r="F12" s="96"/>
      <c r="G12" s="96"/>
      <c r="H12" s="97" t="s">
        <v>2452</v>
      </c>
      <c r="I12" s="97"/>
      <c r="J12" s="97"/>
      <c r="K12" s="98" t="str">
        <f>HYPERLINK("#'16_ALERTAS'!A1",txtAlertasBtn)</f>
        <v>⚠  ALERTAS DE STOCK CRÍTICO (10)</v>
      </c>
      <c r="L12" s="98"/>
      <c r="M12" s="98"/>
    </row>
    <row r="13" spans="2:13" s="7" customFormat="1" ht="27" customHeight="1" x14ac:dyDescent="0.25">
      <c r="B13" s="95"/>
      <c r="C13" s="95"/>
      <c r="D13" s="95"/>
      <c r="E13" s="96"/>
      <c r="F13" s="96"/>
      <c r="G13" s="96"/>
      <c r="H13" s="97"/>
      <c r="I13" s="97"/>
      <c r="J13" s="97"/>
      <c r="K13" s="98"/>
      <c r="L13" s="98"/>
      <c r="M13" s="98"/>
    </row>
    <row r="14" spans="2:13" s="7" customFormat="1" ht="9" customHeight="1" x14ac:dyDescent="0.25"/>
    <row r="15" spans="2:13" s="7" customFormat="1" ht="16.5" customHeight="1" x14ac:dyDescent="0.25">
      <c r="B15" s="7" t="s">
        <v>2453</v>
      </c>
    </row>
    <row r="16" spans="2:13" s="7" customFormat="1" ht="14.25" x14ac:dyDescent="0.25">
      <c r="B16" s="99" t="s">
        <v>2454</v>
      </c>
      <c r="C16" s="99"/>
      <c r="D16" s="99"/>
      <c r="E16" s="103" t="s">
        <v>2455</v>
      </c>
      <c r="F16" s="103"/>
      <c r="G16" s="103"/>
      <c r="H16" s="105" t="s">
        <v>2456</v>
      </c>
      <c r="I16" s="105"/>
      <c r="J16" s="105"/>
      <c r="K16" s="107" t="s">
        <v>2457</v>
      </c>
      <c r="L16" s="107"/>
      <c r="M16" s="107"/>
    </row>
    <row r="17" spans="2:13" s="7" customFormat="1" ht="31.5" customHeight="1" x14ac:dyDescent="0.25">
      <c r="B17" s="100">
        <f ca="1">kpiEntradasHoy</f>
        <v>4</v>
      </c>
      <c r="C17" s="101"/>
      <c r="D17" s="101"/>
      <c r="E17" s="104">
        <f>kpiAgotados</f>
        <v>3</v>
      </c>
      <c r="F17" s="101"/>
      <c r="G17" s="101"/>
      <c r="H17" s="106">
        <f>kpiCriticos+kpiBajos</f>
        <v>7</v>
      </c>
      <c r="I17" s="101"/>
      <c r="J17" s="101"/>
      <c r="K17" s="108">
        <f>kpiValor</f>
        <v>14994250</v>
      </c>
      <c r="L17" s="101"/>
      <c r="M17" s="101"/>
    </row>
    <row r="18" spans="2:13" s="7" customFormat="1" ht="14.25" x14ac:dyDescent="0.25">
      <c r="B18" s="102" t="str">
        <f ca="1">"Ajustes del mes: "&amp;kpiAjustesMes</f>
        <v>Ajustes del mes: 2</v>
      </c>
      <c r="C18" s="101"/>
      <c r="D18" s="101"/>
      <c r="E18" s="102" t="str">
        <f>"sin stock en la instantánea"</f>
        <v>sin stock en la instantánea</v>
      </c>
      <c r="F18" s="101"/>
      <c r="G18" s="101"/>
      <c r="H18" s="102" t="str">
        <f>"en o cerca del mínimo"</f>
        <v>en o cerca del mínimo</v>
      </c>
      <c r="I18" s="101"/>
      <c r="J18" s="101"/>
      <c r="K18" s="102" t="str">
        <f>"a costo unitario de catálogo"</f>
        <v>a costo unitario de catálogo</v>
      </c>
      <c r="L18" s="101"/>
      <c r="M18" s="101"/>
    </row>
    <row r="19" spans="2:13" s="7" customFormat="1" ht="9" customHeight="1" x14ac:dyDescent="0.25"/>
    <row r="20" spans="2:13" s="7" customFormat="1" ht="16.5" customHeight="1" x14ac:dyDescent="0.25">
      <c r="B20" s="7" t="s">
        <v>2458</v>
      </c>
    </row>
    <row r="21" spans="2:13" s="7" customFormat="1" ht="18" customHeight="1" x14ac:dyDescent="0.25">
      <c r="B21" s="8" t="s">
        <v>59</v>
      </c>
      <c r="C21" s="109" t="s">
        <v>161</v>
      </c>
      <c r="D21" s="109"/>
      <c r="E21" s="109"/>
      <c r="F21" s="109"/>
      <c r="G21" s="8" t="s">
        <v>2350</v>
      </c>
      <c r="H21" s="8" t="s">
        <v>2351</v>
      </c>
      <c r="I21" s="8" t="s">
        <v>2360</v>
      </c>
    </row>
    <row r="22" spans="2:13" s="7" customFormat="1" ht="16.5" customHeight="1" x14ac:dyDescent="0.25">
      <c r="B22" s="9" t="str">
        <f>IF(INDEX(tblAlertas[Estado],1)&lt;&gt;"",INDEX(tblAlertas[Estado],1),"")</f>
        <v>AGOTADO</v>
      </c>
      <c r="C22" s="110" t="str">
        <f>IF(INDEX(tblAlertas[Estado],1)&lt;&gt;"",INDEX(tblAlertas[SKU],1)&amp;" · "&amp;INDEX(tblAlertas[Producto],1),"")</f>
        <v>ELE-001 · Cable THHN 12 AWG (rollo 100 m)</v>
      </c>
      <c r="D22" s="110"/>
      <c r="E22" s="110"/>
      <c r="F22" s="110"/>
      <c r="G22" s="10">
        <f>IF(INDEX(tblAlertas[Estado],1)&lt;&gt;"",INDEX(tblAlertas[Stock],1),"")</f>
        <v>0</v>
      </c>
      <c r="H22" s="10">
        <f>IF(INDEX(tblAlertas[Estado],1)&lt;&gt;"",INDEX(tblAlertas[Mínimo],1),"")</f>
        <v>4</v>
      </c>
      <c r="I22" s="10">
        <f>IF(INDEX(tblAlertas[Estado],1)&lt;&gt;"",INDEX(tblAlertas[SugeridoPedir],1),"")</f>
        <v>20</v>
      </c>
    </row>
    <row r="23" spans="2:13" s="7" customFormat="1" ht="16.5" customHeight="1" x14ac:dyDescent="0.25">
      <c r="B23" s="9" t="str">
        <f>IF(INDEX(tblAlertas[Estado],2)&lt;&gt;"",INDEX(tblAlertas[Estado],2),"")</f>
        <v>AGOTADO</v>
      </c>
      <c r="C23" s="110" t="str">
        <f>IF(INDEX(tblAlertas[Estado],2)&lt;&gt;"",INDEX(tblAlertas[SKU],2)&amp;" · "&amp;INDEX(tblAlertas[Producto],2),"")</f>
        <v>PIN-002 · Esmalte sintético negro</v>
      </c>
      <c r="D23" s="110"/>
      <c r="E23" s="110"/>
      <c r="F23" s="110"/>
      <c r="G23" s="10">
        <f>IF(INDEX(tblAlertas[Estado],2)&lt;&gt;"",INDEX(tblAlertas[Stock],2),"")</f>
        <v>0</v>
      </c>
      <c r="H23" s="10">
        <f>IF(INDEX(tblAlertas[Estado],2)&lt;&gt;"",INDEX(tblAlertas[Mínimo],2),"")</f>
        <v>6</v>
      </c>
      <c r="I23" s="10">
        <f>IF(INDEX(tblAlertas[Estado],2)&lt;&gt;"",INDEX(tblAlertas[SugeridoPedir],2),"")</f>
        <v>30</v>
      </c>
    </row>
    <row r="24" spans="2:13" s="7" customFormat="1" ht="16.5" customHeight="1" x14ac:dyDescent="0.25">
      <c r="B24" s="9" t="str">
        <f>IF(INDEX(tblAlertas[Estado],3)&lt;&gt;"",INDEX(tblAlertas[Estado],3),"")</f>
        <v>AGOTADO</v>
      </c>
      <c r="C24" s="110" t="str">
        <f>IF(INDEX(tblAlertas[Estado],3)&lt;&gt;"",INDEX(tblAlertas[SKU],3)&amp;" · "&amp;INDEX(tblAlertas[Producto],3),"")</f>
        <v>SEG-004 · Botas de seguridad punta de acero</v>
      </c>
      <c r="D24" s="110"/>
      <c r="E24" s="110"/>
      <c r="F24" s="110"/>
      <c r="G24" s="10">
        <f>IF(INDEX(tblAlertas[Estado],3)&lt;&gt;"",INDEX(tblAlertas[Stock],3),"")</f>
        <v>0</v>
      </c>
      <c r="H24" s="10">
        <f>IF(INDEX(tblAlertas[Estado],3)&lt;&gt;"",INDEX(tblAlertas[Mínimo],3),"")</f>
        <v>4</v>
      </c>
      <c r="I24" s="10">
        <f>IF(INDEX(tblAlertas[Estado],3)&lt;&gt;"",INDEX(tblAlertas[SugeridoPedir],3),"")</f>
        <v>24</v>
      </c>
    </row>
    <row r="25" spans="2:13" s="7" customFormat="1" ht="16.5" customHeight="1" x14ac:dyDescent="0.25">
      <c r="B25" s="9" t="str">
        <f>IF(INDEX(tblAlertas[Estado],4)&lt;&gt;"",INDEX(tblAlertas[Estado],4),"")</f>
        <v>CRÍTICO</v>
      </c>
      <c r="C25" s="110" t="str">
        <f>IF(INDEX(tblAlertas[Estado],4)&lt;&gt;"",INDEX(tblAlertas[SKU],4)&amp;" · "&amp;INDEX(tblAlertas[Producto],4),"")</f>
        <v>SEG-005 · Tapabocas N95 (caja x20)</v>
      </c>
      <c r="D25" s="110"/>
      <c r="E25" s="110"/>
      <c r="F25" s="110"/>
      <c r="G25" s="10">
        <f>IF(INDEX(tblAlertas[Estado],4)&lt;&gt;"",INDEX(tblAlertas[Stock],4),"")</f>
        <v>1</v>
      </c>
      <c r="H25" s="10">
        <f>IF(INDEX(tblAlertas[Estado],4)&lt;&gt;"",INDEX(tblAlertas[Mínimo],4),"")</f>
        <v>8</v>
      </c>
      <c r="I25" s="10">
        <f>IF(INDEX(tblAlertas[Estado],4)&lt;&gt;"",INDEX(tblAlertas[SugeridoPedir],4),"")</f>
        <v>49</v>
      </c>
    </row>
    <row r="26" spans="2:13" s="7" customFormat="1" ht="16.5" customHeight="1" x14ac:dyDescent="0.25">
      <c r="B26" s="9" t="str">
        <f>IF(INDEX(tblAlertas[Estado],5)&lt;&gt;"",INDEX(tblAlertas[Estado],5),"")</f>
        <v>CRÍTICO</v>
      </c>
      <c r="C26" s="110" t="str">
        <f>IF(INDEX(tblAlertas[Estado],5)&lt;&gt;"",INDEX(tblAlertas[SKU],5)&amp;" · "&amp;INDEX(tblAlertas[Producto],5),"")</f>
        <v>PLO-003 · Llave de paso 1/2" en bronce</v>
      </c>
      <c r="D26" s="110"/>
      <c r="E26" s="110"/>
      <c r="F26" s="110"/>
      <c r="G26" s="10">
        <f>IF(INDEX(tblAlertas[Estado],5)&lt;&gt;"",INDEX(tblAlertas[Stock],5),"")</f>
        <v>3</v>
      </c>
      <c r="H26" s="10">
        <f>IF(INDEX(tblAlertas[Estado],5)&lt;&gt;"",INDEX(tblAlertas[Mínimo],5),"")</f>
        <v>8</v>
      </c>
      <c r="I26" s="10">
        <f>IF(INDEX(tblAlertas[Estado],5)&lt;&gt;"",INDEX(tblAlertas[SugeridoPedir],5),"")</f>
        <v>37</v>
      </c>
    </row>
    <row r="27" spans="2:13" s="7" customFormat="1" ht="16.5" customHeight="1" x14ac:dyDescent="0.25">
      <c r="B27" s="9" t="str">
        <f>IF(INDEX(tblAlertas[Estado],6)&lt;&gt;"",INDEX(tblAlertas[Estado],6),"")</f>
        <v>CRÍTICO</v>
      </c>
      <c r="C27" s="110" t="str">
        <f>IF(INDEX(tblAlertas[Estado],6)&lt;&gt;"",INDEX(tblAlertas[SKU],6)&amp;" · "&amp;INDEX(tblAlertas[Producto],6),"")</f>
        <v>FER-005 · Disco de corte metal 4-1/2"</v>
      </c>
      <c r="D27" s="110"/>
      <c r="E27" s="110"/>
      <c r="F27" s="110"/>
      <c r="G27" s="10">
        <f>IF(INDEX(tblAlertas[Estado],6)&lt;&gt;"",INDEX(tblAlertas[Stock],6),"")</f>
        <v>14</v>
      </c>
      <c r="H27" s="10">
        <f>IF(INDEX(tblAlertas[Estado],6)&lt;&gt;"",INDEX(tblAlertas[Mínimo],6),"")</f>
        <v>25</v>
      </c>
      <c r="I27" s="10">
        <f>IF(INDEX(tblAlertas[Estado],6)&lt;&gt;"",INDEX(tblAlertas[SugeridoPedir],6),"")</f>
        <v>136</v>
      </c>
    </row>
    <row r="28" spans="2:13" s="7" customFormat="1" ht="16.5" customHeight="1" x14ac:dyDescent="0.25">
      <c r="B28" s="9" t="str">
        <f>IF(INDEX(tblAlertas[Estado],7)&lt;&gt;"",INDEX(tblAlertas[Estado],7),"")</f>
        <v>BAJO</v>
      </c>
      <c r="C28" s="110" t="str">
        <f>IF(INDEX(tblAlertas[Estado],7)&lt;&gt;"",INDEX(tblAlertas[SKU],7)&amp;" · "&amp;INDEX(tblAlertas[Producto],7),"")</f>
        <v>FER-001 · Tornillo drywall 6x1" (caja x100)</v>
      </c>
      <c r="D28" s="110"/>
      <c r="E28" s="110"/>
      <c r="F28" s="110"/>
      <c r="G28" s="10">
        <f>IF(INDEX(tblAlertas[Estado],7)&lt;&gt;"",INDEX(tblAlertas[Stock],7),"")</f>
        <v>22</v>
      </c>
      <c r="H28" s="10">
        <f>IF(INDEX(tblAlertas[Estado],7)&lt;&gt;"",INDEX(tblAlertas[Mínimo],7),"")</f>
        <v>20</v>
      </c>
      <c r="I28" s="10">
        <f>IF(INDEX(tblAlertas[Estado],7)&lt;&gt;"",INDEX(tblAlertas[SugeridoPedir],7),"")</f>
        <v>98</v>
      </c>
    </row>
    <row r="29" spans="2:13" s="7" customFormat="1" ht="16.5" customHeight="1" x14ac:dyDescent="0.25">
      <c r="B29" s="9" t="str">
        <f>IF(INDEX(tblAlertas[Estado],8)&lt;&gt;"",INDEX(tblAlertas[Estado],8),"")</f>
        <v>BAJO</v>
      </c>
      <c r="C29" s="110" t="str">
        <f>IF(INDEX(tblAlertas[Estado],8)&lt;&gt;"",INDEX(tblAlertas[SKU],8)&amp;" · "&amp;INDEX(tblAlertas[Producto],8),"")</f>
        <v>ELE-004 · Breaker enchufable 1x20 A</v>
      </c>
      <c r="D29" s="110"/>
      <c r="E29" s="110"/>
      <c r="F29" s="110"/>
      <c r="G29" s="10">
        <f>IF(INDEX(tblAlertas[Estado],8)&lt;&gt;"",INDEX(tblAlertas[Stock],8),"")</f>
        <v>11</v>
      </c>
      <c r="H29" s="10">
        <f>IF(INDEX(tblAlertas[Estado],8)&lt;&gt;"",INDEX(tblAlertas[Mínimo],8),"")</f>
        <v>10</v>
      </c>
      <c r="I29" s="10">
        <f>IF(INDEX(tblAlertas[Estado],8)&lt;&gt;"",INDEX(tblAlertas[SugeridoPedir],8),"")</f>
        <v>49</v>
      </c>
    </row>
    <row r="30" spans="2:13" s="7" customFormat="1" ht="16.5" customHeight="1" x14ac:dyDescent="0.25">
      <c r="B30" s="9" t="str">
        <f>IF(INDEX(tblAlertas[Estado],9)&lt;&gt;"",INDEX(tblAlertas[Estado],9),"")</f>
        <v>BAJO</v>
      </c>
      <c r="C30" s="110" t="str">
        <f>IF(INDEX(tblAlertas[Estado],9)&lt;&gt;"",INDEX(tblAlertas[SKU],9)&amp;" · "&amp;INDEX(tblAlertas[Producto],9),"")</f>
        <v>PIN-004 · Rodillo de felpa 9"</v>
      </c>
      <c r="D30" s="110"/>
      <c r="E30" s="110"/>
      <c r="F30" s="110"/>
      <c r="G30" s="10">
        <f>IF(INDEX(tblAlertas[Estado],9)&lt;&gt;"",INDEX(tblAlertas[Stock],9),"")</f>
        <v>11</v>
      </c>
      <c r="H30" s="10">
        <f>IF(INDEX(tblAlertas[Estado],9)&lt;&gt;"",INDEX(tblAlertas[Mínimo],9),"")</f>
        <v>10</v>
      </c>
      <c r="I30" s="10">
        <f>IF(INDEX(tblAlertas[Estado],9)&lt;&gt;"",INDEX(tblAlertas[SugeridoPedir],9),"")</f>
        <v>49</v>
      </c>
    </row>
    <row r="31" spans="2:13" s="7" customFormat="1" ht="16.5" customHeight="1" x14ac:dyDescent="0.25">
      <c r="B31" s="9" t="str">
        <f>IF(INDEX(tblAlertas[Estado],10)&lt;&gt;"",INDEX(tblAlertas[Estado],10),"")</f>
        <v>BAJO</v>
      </c>
      <c r="C31" s="110" t="str">
        <f>IF(INDEX(tblAlertas[Estado],10)&lt;&gt;"",INDEX(tblAlertas[SKU],10)&amp;" · "&amp;INDEX(tblAlertas[Producto],10),"")</f>
        <v>ASE-003 · Bolsa de basura negra 90x110 (paq x10)</v>
      </c>
      <c r="D31" s="110"/>
      <c r="E31" s="110"/>
      <c r="F31" s="110"/>
      <c r="G31" s="10">
        <f>IF(INDEX(tblAlertas[Estado],10)&lt;&gt;"",INDEX(tblAlertas[Stock],10),"")</f>
        <v>29</v>
      </c>
      <c r="H31" s="10">
        <f>IF(INDEX(tblAlertas[Estado],10)&lt;&gt;"",INDEX(tblAlertas[Mínimo],10),"")</f>
        <v>25</v>
      </c>
      <c r="I31" s="10">
        <f>IF(INDEX(tblAlertas[Estado],10)&lt;&gt;"",INDEX(tblAlertas[SugeridoPedir],10),"")</f>
        <v>121</v>
      </c>
    </row>
    <row r="32" spans="2:13" s="7" customFormat="1" ht="9" customHeight="1" x14ac:dyDescent="0.25"/>
    <row r="33" spans="2:13" s="7" customFormat="1" ht="16.5" customHeight="1" x14ac:dyDescent="0.25">
      <c r="B33" s="7" t="s">
        <v>2459</v>
      </c>
    </row>
    <row r="34" spans="2:13" s="7" customFormat="1" ht="18" customHeight="1" x14ac:dyDescent="0.25">
      <c r="B34" s="8" t="s">
        <v>327</v>
      </c>
      <c r="C34" s="8" t="s">
        <v>43</v>
      </c>
      <c r="D34" s="109" t="s">
        <v>161</v>
      </c>
      <c r="E34" s="109"/>
      <c r="F34" s="109"/>
      <c r="G34" s="109"/>
      <c r="H34" s="8" t="s">
        <v>328</v>
      </c>
      <c r="I34" s="109" t="s">
        <v>342</v>
      </c>
      <c r="J34" s="109"/>
      <c r="K34" s="109" t="s">
        <v>59</v>
      </c>
      <c r="L34" s="109"/>
      <c r="M34" s="8" t="s">
        <v>329</v>
      </c>
    </row>
    <row r="35" spans="2:13" s="7" customFormat="1" ht="16.5" customHeight="1" x14ac:dyDescent="0.25">
      <c r="B35" s="11">
        <f>IFERROR(IF(INDEX(tblEntradas[ID],ROWS(tblEntradas[ID])-0)="","",INDEX(tblEntradas[Fecha],ROWS(tblEntradas[ID])-0)),"")</f>
        <v>46290</v>
      </c>
      <c r="C35" s="12" t="str">
        <f>IFERROR(IF(INDEX(tblEntradas[ID],ROWS(tblEntradas[ID])-0)="","",INDEX(tblEntradas[Tipo],ROWS(tblEntradas[ID])-0)&amp;""),"")</f>
        <v>ENTRADA</v>
      </c>
      <c r="D35" s="110" t="str">
        <f>IFERROR(IF(INDEX(tblEntradas[ID],ROWS(tblEntradas[ID])-0)="","",INDEX(tblEntradas[Producto],ROWS(tblEntradas[ID])-0)&amp;""),"")</f>
        <v>ASE-003 · Bolsa de basura negra 90x110 (paq x10)</v>
      </c>
      <c r="E35" s="110"/>
      <c r="F35" s="110"/>
      <c r="G35" s="110"/>
      <c r="H35" s="10">
        <f>IFERROR(IF(INDEX(tblEntradas[ID],ROWS(tblEntradas[ID])-0)="","",INDEX(tblEntradas[Cantidad],ROWS(tblEntradas[ID])-0)),"")</f>
        <v>166</v>
      </c>
      <c r="I35" s="110" t="str">
        <f>IFERROR(IF(INDEX(tblEntradas[ID],ROWS(tblEntradas[ID])-0)="","",INDEX(tblEntradas[Registró],ROWS(tblEntradas[ID])-0)&amp;""),"")</f>
        <v>Ana Gómez</v>
      </c>
      <c r="J35" s="110"/>
      <c r="K35" s="110" t="str">
        <f>IFERROR(IF(INDEX(tblEntradas[ID],ROWS(tblEntradas[ID])-0)="","",INDEX(tblEntradas[Estado],ROWS(tblEntradas[ID])-0)&amp;""),"")</f>
        <v>✔ Consolidado</v>
      </c>
      <c r="L35" s="110"/>
      <c r="M35" s="9" t="str">
        <f>IFERROR(IF(INDEX(tblEntradas[ID],ROWS(tblEntradas[ID])-0)="","",INDEX(tblEntradas[Documento],ROWS(tblEntradas[ID])-0)&amp;""),"")</f>
        <v>FC-10274</v>
      </c>
    </row>
    <row r="36" spans="2:13" s="7" customFormat="1" ht="16.5" customHeight="1" x14ac:dyDescent="0.25">
      <c r="B36" s="11">
        <f>IFERROR(IF(INDEX(tblEntradas[ID],ROWS(tblEntradas[ID])-1)="","",INDEX(tblEntradas[Fecha],ROWS(tblEntradas[ID])-1)),"")</f>
        <v>46290</v>
      </c>
      <c r="C36" s="12" t="str">
        <f>IFERROR(IF(INDEX(tblEntradas[ID],ROWS(tblEntradas[ID])-1)="","",INDEX(tblEntradas[Tipo],ROWS(tblEntradas[ID])-1)&amp;""),"")</f>
        <v>ENTRADA</v>
      </c>
      <c r="D36" s="110" t="str">
        <f>IFERROR(IF(INDEX(tblEntradas[ID],ROWS(tblEntradas[ID])-1)="","",INDEX(tblEntradas[Producto],ROWS(tblEntradas[ID])-1)&amp;""),"")</f>
        <v>SEG-005 · Tapabocas N95 (caja x20)</v>
      </c>
      <c r="E36" s="110"/>
      <c r="F36" s="110"/>
      <c r="G36" s="110"/>
      <c r="H36" s="10">
        <f>IFERROR(IF(INDEX(tblEntradas[ID],ROWS(tblEntradas[ID])-1)="","",INDEX(tblEntradas[Cantidad],ROWS(tblEntradas[ID])-1)),"")</f>
        <v>4</v>
      </c>
      <c r="I36" s="110" t="str">
        <f>IFERROR(IF(INDEX(tblEntradas[ID],ROWS(tblEntradas[ID])-1)="","",INDEX(tblEntradas[Registró],ROWS(tblEntradas[ID])-1)&amp;""),"")</f>
        <v>Ana Gómez</v>
      </c>
      <c r="J36" s="110"/>
      <c r="K36" s="110" t="str">
        <f>IFERROR(IF(INDEX(tblEntradas[ID],ROWS(tblEntradas[ID])-1)="","",INDEX(tblEntradas[Estado],ROWS(tblEntradas[ID])-1)&amp;""),"")</f>
        <v>✔ Consolidado</v>
      </c>
      <c r="L36" s="110"/>
      <c r="M36" s="9" t="str">
        <f>IFERROR(IF(INDEX(tblEntradas[ID],ROWS(tblEntradas[ID])-1)="","",INDEX(tblEntradas[Documento],ROWS(tblEntradas[ID])-1)&amp;""),"")</f>
        <v>FC-10273</v>
      </c>
    </row>
    <row r="37" spans="2:13" s="7" customFormat="1" ht="16.5" customHeight="1" x14ac:dyDescent="0.25">
      <c r="B37" s="11">
        <f>IFERROR(IF(INDEX(tblEntradas[ID],ROWS(tblEntradas[ID])-2)="","",INDEX(tblEntradas[Fecha],ROWS(tblEntradas[ID])-2)),"")</f>
        <v>46290</v>
      </c>
      <c r="C37" s="12" t="str">
        <f>IFERROR(IF(INDEX(tblEntradas[ID],ROWS(tblEntradas[ID])-2)="","",INDEX(tblEntradas[Tipo],ROWS(tblEntradas[ID])-2)&amp;""),"")</f>
        <v>ENTRADA</v>
      </c>
      <c r="D37" s="110" t="str">
        <f>IFERROR(IF(INDEX(tblEntradas[ID],ROWS(tblEntradas[ID])-2)="","",INDEX(tblEntradas[Producto],ROWS(tblEntradas[ID])-2)&amp;""),"")</f>
        <v>PLO-005 · Cinta teflón 1/2" x 10 m</v>
      </c>
      <c r="E37" s="110"/>
      <c r="F37" s="110"/>
      <c r="G37" s="110"/>
      <c r="H37" s="10">
        <f>IFERROR(IF(INDEX(tblEntradas[ID],ROWS(tblEntradas[ID])-2)="","",INDEX(tblEntradas[Cantidad],ROWS(tblEntradas[ID])-2)),"")</f>
        <v>322</v>
      </c>
      <c r="I37" s="110" t="str">
        <f>IFERROR(IF(INDEX(tblEntradas[ID],ROWS(tblEntradas[ID])-2)="","",INDEX(tblEntradas[Registró],ROWS(tblEntradas[ID])-2)&amp;""),"")</f>
        <v>Ana Gómez</v>
      </c>
      <c r="J37" s="110"/>
      <c r="K37" s="110" t="str">
        <f>IFERROR(IF(INDEX(tblEntradas[ID],ROWS(tblEntradas[ID])-2)="","",INDEX(tblEntradas[Estado],ROWS(tblEntradas[ID])-2)&amp;""),"")</f>
        <v>✔ Consolidado</v>
      </c>
      <c r="L37" s="110"/>
      <c r="M37" s="9" t="str">
        <f>IFERROR(IF(INDEX(tblEntradas[ID],ROWS(tblEntradas[ID])-2)="","",INDEX(tblEntradas[Documento],ROWS(tblEntradas[ID])-2)&amp;""),"")</f>
        <v>FC-10272</v>
      </c>
    </row>
    <row r="38" spans="2:13" s="7" customFormat="1" ht="16.5" customHeight="1" x14ac:dyDescent="0.25">
      <c r="B38" s="11">
        <f>IFERROR(IF(INDEX(tblEntradas[ID],ROWS(tblEntradas[ID])-3)="","",INDEX(tblEntradas[Fecha],ROWS(tblEntradas[ID])-3)),"")</f>
        <v>46290</v>
      </c>
      <c r="C38" s="12" t="str">
        <f>IFERROR(IF(INDEX(tblEntradas[ID],ROWS(tblEntradas[ID])-3)="","",INDEX(tblEntradas[Tipo],ROWS(tblEntradas[ID])-3)&amp;""),"")</f>
        <v>ENTRADA</v>
      </c>
      <c r="D38" s="110" t="str">
        <f>IFERROR(IF(INDEX(tblEntradas[ID],ROWS(tblEntradas[ID])-3)="","",INDEX(tblEntradas[Producto],ROWS(tblEntradas[ID])-3)&amp;""),"")</f>
        <v>PLO-004 · Soldadura líquida PVC 1/4 gal</v>
      </c>
      <c r="E38" s="110"/>
      <c r="F38" s="110"/>
      <c r="G38" s="110"/>
      <c r="H38" s="10">
        <f>IFERROR(IF(INDEX(tblEntradas[ID],ROWS(tblEntradas[ID])-3)="","",INDEX(tblEntradas[Cantidad],ROWS(tblEntradas[ID])-3)),"")</f>
        <v>27</v>
      </c>
      <c r="I38" s="110" t="str">
        <f>IFERROR(IF(INDEX(tblEntradas[ID],ROWS(tblEntradas[ID])-3)="","",INDEX(tblEntradas[Registró],ROWS(tblEntradas[ID])-3)&amp;""),"")</f>
        <v>Ana Gómez</v>
      </c>
      <c r="J38" s="110"/>
      <c r="K38" s="110" t="str">
        <f>IFERROR(IF(INDEX(tblEntradas[ID],ROWS(tblEntradas[ID])-3)="","",INDEX(tblEntradas[Estado],ROWS(tblEntradas[ID])-3)&amp;""),"")</f>
        <v>✔ Consolidado</v>
      </c>
      <c r="L38" s="110"/>
      <c r="M38" s="9" t="str">
        <f>IFERROR(IF(INDEX(tblEntradas[ID],ROWS(tblEntradas[ID])-3)="","",INDEX(tblEntradas[Documento],ROWS(tblEntradas[ID])-3)&amp;""),"")</f>
        <v>FC-10271</v>
      </c>
    </row>
    <row r="39" spans="2:13" s="7" customFormat="1" ht="16.5" customHeight="1" x14ac:dyDescent="0.25">
      <c r="B39" s="11">
        <f>IFERROR(IF(INDEX(tblEntradas[ID],ROWS(tblEntradas[ID])-4)="","",INDEX(tblEntradas[Fecha],ROWS(tblEntradas[ID])-4)),"")</f>
        <v>46287</v>
      </c>
      <c r="C39" s="12" t="str">
        <f>IFERROR(IF(INDEX(tblEntradas[ID],ROWS(tblEntradas[ID])-4)="","",INDEX(tblEntradas[Tipo],ROWS(tblEntradas[ID])-4)&amp;""),"")</f>
        <v>ENTRADA</v>
      </c>
      <c r="D39" s="110" t="str">
        <f>IFERROR(IF(INDEX(tblEntradas[ID],ROWS(tblEntradas[ID])-4)="","",INDEX(tblEntradas[Producto],ROWS(tblEntradas[ID])-4)&amp;""),"")</f>
        <v>ELE-005 · Cinta aislante negra 3/4"</v>
      </c>
      <c r="E39" s="110"/>
      <c r="F39" s="110"/>
      <c r="G39" s="110"/>
      <c r="H39" s="10">
        <f>IFERROR(IF(INDEX(tblEntradas[ID],ROWS(tblEntradas[ID])-4)="","",INDEX(tblEntradas[Cantidad],ROWS(tblEntradas[ID])-4)),"")</f>
        <v>200</v>
      </c>
      <c r="I39" s="110" t="str">
        <f>IFERROR(IF(INDEX(tblEntradas[ID],ROWS(tblEntradas[ID])-4)="","",INDEX(tblEntradas[Registró],ROWS(tblEntradas[ID])-4)&amp;""),"")</f>
        <v>Ana Gómez</v>
      </c>
      <c r="J39" s="110"/>
      <c r="K39" s="110" t="str">
        <f>IFERROR(IF(INDEX(tblEntradas[ID],ROWS(tblEntradas[ID])-4)="","",INDEX(tblEntradas[Estado],ROWS(tblEntradas[ID])-4)&amp;""),"")</f>
        <v>✔ Consolidado</v>
      </c>
      <c r="L39" s="110"/>
      <c r="M39" s="9" t="str">
        <f>IFERROR(IF(INDEX(tblEntradas[ID],ROWS(tblEntradas[ID])-4)="","",INDEX(tblEntradas[Documento],ROWS(tblEntradas[ID])-4)&amp;""),"")</f>
        <v>FC-10270</v>
      </c>
    </row>
    <row r="40" spans="2:13" s="7" customFormat="1" ht="16.5" customHeight="1" x14ac:dyDescent="0.25">
      <c r="B40" s="11">
        <f>IFERROR(IF(INDEX(tblEntradas[ID],ROWS(tblEntradas[ID])-5)="","",INDEX(tblEntradas[Fecha],ROWS(tblEntradas[ID])-5)),"")</f>
        <v>46281</v>
      </c>
      <c r="C40" s="12" t="str">
        <f>IFERROR(IF(INDEX(tblEntradas[ID],ROWS(tblEntradas[ID])-5)="","",INDEX(tblEntradas[Tipo],ROWS(tblEntradas[ID])-5)&amp;""),"")</f>
        <v>AJUSTE (-)</v>
      </c>
      <c r="D40" s="110" t="str">
        <f>IFERROR(IF(INDEX(tblEntradas[ID],ROWS(tblEntradas[ID])-5)="","",INDEX(tblEntradas[Producto],ROWS(tblEntradas[ID])-5)&amp;""),"")</f>
        <v>SEG-005 · Tapabocas N95 (caja x20)</v>
      </c>
      <c r="E40" s="110"/>
      <c r="F40" s="110"/>
      <c r="G40" s="110"/>
      <c r="H40" s="10">
        <f>IFERROR(IF(INDEX(tblEntradas[ID],ROWS(tblEntradas[ID])-5)="","",INDEX(tblEntradas[Cantidad],ROWS(tblEntradas[ID])-5)),"")</f>
        <v>2</v>
      </c>
      <c r="I40" s="110" t="str">
        <f>IFERROR(IF(INDEX(tblEntradas[ID],ROWS(tblEntradas[ID])-5)="","",INDEX(tblEntradas[Registró],ROWS(tblEntradas[ID])-5)&amp;""),"")</f>
        <v>Ana Gómez</v>
      </c>
      <c r="J40" s="110"/>
      <c r="K40" s="110" t="str">
        <f>IFERROR(IF(INDEX(tblEntradas[ID],ROWS(tblEntradas[ID])-5)="","",INDEX(tblEntradas[Estado],ROWS(tblEntradas[ID])-5)&amp;""),"")</f>
        <v>✔ Consolidado</v>
      </c>
      <c r="L40" s="110"/>
      <c r="M40" s="9" t="str">
        <f>IFERROR(IF(INDEX(tblEntradas[ID],ROWS(tblEntradas[ID])-5)="","",INDEX(tblEntradas[Documento],ROWS(tblEntradas[ID])-5)&amp;""),"")</f>
        <v>AJ-012</v>
      </c>
    </row>
    <row r="41" spans="2:13" s="7" customFormat="1" ht="16.5" customHeight="1" x14ac:dyDescent="0.25">
      <c r="B41" s="11">
        <f>IFERROR(IF(INDEX(tblEntradas[ID],ROWS(tblEntradas[ID])-6)="","",INDEX(tblEntradas[Fecha],ROWS(tblEntradas[ID])-6)),"")</f>
        <v>46279</v>
      </c>
      <c r="C41" s="12" t="str">
        <f>IFERROR(IF(INDEX(tblEntradas[ID],ROWS(tblEntradas[ID])-6)="","",INDEX(tblEntradas[Tipo],ROWS(tblEntradas[ID])-6)&amp;""),"")</f>
        <v>ENTRADA</v>
      </c>
      <c r="D41" s="110" t="str">
        <f>IFERROR(IF(INDEX(tblEntradas[ID],ROWS(tblEntradas[ID])-6)="","",INDEX(tblEntradas[Producto],ROWS(tblEntradas[ID])-6)&amp;""),"")</f>
        <v>ELE-007 · Cable dúplex 2x14 AWG (por metro)</v>
      </c>
      <c r="E41" s="110"/>
      <c r="F41" s="110"/>
      <c r="G41" s="110"/>
      <c r="H41" s="10">
        <f>IFERROR(IF(INDEX(tblEntradas[ID],ROWS(tblEntradas[ID])-6)="","",INDEX(tblEntradas[Cantidad],ROWS(tblEntradas[ID])-6)),"")</f>
        <v>518.5</v>
      </c>
      <c r="I41" s="110" t="str">
        <f>IFERROR(IF(INDEX(tblEntradas[ID],ROWS(tblEntradas[ID])-6)="","",INDEX(tblEntradas[Registró],ROWS(tblEntradas[ID])-6)&amp;""),"")</f>
        <v>Ana Gómez</v>
      </c>
      <c r="J41" s="110"/>
      <c r="K41" s="110" t="str">
        <f>IFERROR(IF(INDEX(tblEntradas[ID],ROWS(tblEntradas[ID])-6)="","",INDEX(tblEntradas[Estado],ROWS(tblEntradas[ID])-6)&amp;""),"")</f>
        <v>✔ Consolidado</v>
      </c>
      <c r="L41" s="110"/>
      <c r="M41" s="9" t="str">
        <f>IFERROR(IF(INDEX(tblEntradas[ID],ROWS(tblEntradas[ID])-6)="","",INDEX(tblEntradas[Documento],ROWS(tblEntradas[ID])-6)&amp;""),"")</f>
        <v>FC-10269</v>
      </c>
    </row>
    <row r="42" spans="2:13" s="7" customFormat="1" ht="16.5" customHeight="1" x14ac:dyDescent="0.25">
      <c r="B42" s="11">
        <f>IFERROR(IF(INDEX(tblEntradas[ID],ROWS(tblEntradas[ID])-7)="","",INDEX(tblEntradas[Fecha],ROWS(tblEntradas[ID])-7)),"")</f>
        <v>46277</v>
      </c>
      <c r="C42" s="12" t="str">
        <f>IFERROR(IF(INDEX(tblEntradas[ID],ROWS(tblEntradas[ID])-7)="","",INDEX(tblEntradas[Tipo],ROWS(tblEntradas[ID])-7)&amp;""),"")</f>
        <v>ENTRADA</v>
      </c>
      <c r="D42" s="110" t="str">
        <f>IFERROR(IF(INDEX(tblEntradas[ID],ROWS(tblEntradas[ID])-7)="","",INDEX(tblEntradas[Producto],ROWS(tblEntradas[ID])-7)&amp;""),"")</f>
        <v>FER-005 · Disco de corte metal 4-1/2"</v>
      </c>
      <c r="E42" s="110"/>
      <c r="F42" s="110"/>
      <c r="G42" s="110"/>
      <c r="H42" s="10">
        <f>IFERROR(IF(INDEX(tblEntradas[ID],ROWS(tblEntradas[ID])-7)="","",INDEX(tblEntradas[Cantidad],ROWS(tblEntradas[ID])-7)),"")</f>
        <v>134</v>
      </c>
      <c r="I42" s="110" t="str">
        <f>IFERROR(IF(INDEX(tblEntradas[ID],ROWS(tblEntradas[ID])-7)="","",INDEX(tblEntradas[Registró],ROWS(tblEntradas[ID])-7)&amp;""),"")</f>
        <v>Ana Gómez</v>
      </c>
      <c r="J42" s="110"/>
      <c r="K42" s="110" t="str">
        <f>IFERROR(IF(INDEX(tblEntradas[ID],ROWS(tblEntradas[ID])-7)="","",INDEX(tblEntradas[Estado],ROWS(tblEntradas[ID])-7)&amp;""),"")</f>
        <v>✔ Consolidado</v>
      </c>
      <c r="L42" s="110"/>
      <c r="M42" s="9" t="str">
        <f>IFERROR(IF(INDEX(tblEntradas[ID],ROWS(tblEntradas[ID])-7)="","",INDEX(tblEntradas[Documento],ROWS(tblEntradas[ID])-7)&amp;""),"")</f>
        <v>FC-10268</v>
      </c>
    </row>
    <row r="43" spans="2:13" s="7" customFormat="1" ht="9" customHeight="1" x14ac:dyDescent="0.25"/>
    <row r="44" spans="2:13" s="7" customFormat="1" ht="19.5" customHeight="1" x14ac:dyDescent="0.25">
      <c r="B44" s="111" t="str">
        <f>txtBitacoras</f>
        <v>Bitácoras oficiales: 90 entradas/ajustes · 383 salidas</v>
      </c>
      <c r="C44" s="111"/>
      <c r="D44" s="111"/>
      <c r="E44" s="111"/>
      <c r="F44" s="111"/>
      <c r="G44" s="111"/>
      <c r="H44" s="111"/>
      <c r="I44" s="112" t="s">
        <v>2460</v>
      </c>
      <c r="J44" s="112"/>
      <c r="K44" s="112"/>
      <c r="L44" s="112"/>
      <c r="M44" s="112"/>
    </row>
  </sheetData>
  <sheetProtection password="930D" sheet="1" objects="1" scenarios="1"/>
  <mergeCells count="61">
    <mergeCell ref="D42:G42"/>
    <mergeCell ref="I42:J42"/>
    <mergeCell ref="K42:L42"/>
    <mergeCell ref="B44:H44"/>
    <mergeCell ref="I44:M44"/>
    <mergeCell ref="D40:G40"/>
    <mergeCell ref="I40:J40"/>
    <mergeCell ref="K40:L40"/>
    <mergeCell ref="D41:G41"/>
    <mergeCell ref="I41:J41"/>
    <mergeCell ref="K41:L41"/>
    <mergeCell ref="D38:G38"/>
    <mergeCell ref="I38:J38"/>
    <mergeCell ref="K38:L38"/>
    <mergeCell ref="D39:G39"/>
    <mergeCell ref="I39:J39"/>
    <mergeCell ref="K39:L39"/>
    <mergeCell ref="D36:G36"/>
    <mergeCell ref="I36:J36"/>
    <mergeCell ref="K36:L36"/>
    <mergeCell ref="D37:G37"/>
    <mergeCell ref="I37:J37"/>
    <mergeCell ref="K37:L37"/>
    <mergeCell ref="C31:F31"/>
    <mergeCell ref="D34:G34"/>
    <mergeCell ref="I34:J34"/>
    <mergeCell ref="K34:L34"/>
    <mergeCell ref="D35:G35"/>
    <mergeCell ref="I35:J35"/>
    <mergeCell ref="K35:L35"/>
    <mergeCell ref="C26:F26"/>
    <mergeCell ref="C27:F27"/>
    <mergeCell ref="C28:F28"/>
    <mergeCell ref="C29:F29"/>
    <mergeCell ref="C30:F30"/>
    <mergeCell ref="C21:F21"/>
    <mergeCell ref="C22:F22"/>
    <mergeCell ref="C23:F23"/>
    <mergeCell ref="C24:F24"/>
    <mergeCell ref="C25:F25"/>
    <mergeCell ref="H17:J17"/>
    <mergeCell ref="H18:J18"/>
    <mergeCell ref="K16:M16"/>
    <mergeCell ref="K17:M17"/>
    <mergeCell ref="K18:M18"/>
    <mergeCell ref="B17:D17"/>
    <mergeCell ref="B18:D18"/>
    <mergeCell ref="E16:G16"/>
    <mergeCell ref="E17:G17"/>
    <mergeCell ref="E18:G18"/>
    <mergeCell ref="B12:D13"/>
    <mergeCell ref="E12:G13"/>
    <mergeCell ref="H12:J13"/>
    <mergeCell ref="K12:M13"/>
    <mergeCell ref="B16:D16"/>
    <mergeCell ref="H16:J16"/>
    <mergeCell ref="J2:M2"/>
    <mergeCell ref="J3:M3"/>
    <mergeCell ref="B7:I7"/>
    <mergeCell ref="J7:M7"/>
    <mergeCell ref="B9:M9"/>
  </mergeCells>
  <conditionalFormatting sqref="B22:B31">
    <cfRule type="expression" dxfId="224" priority="7">
      <formula>$B22="INCONSISTENTE"</formula>
    </cfRule>
    <cfRule type="expression" dxfId="223" priority="8">
      <formula>$B22="AGOTADO"</formula>
    </cfRule>
    <cfRule type="expression" dxfId="222" priority="9">
      <formula>$B22="CRÍTICO"</formula>
    </cfRule>
    <cfRule type="expression" dxfId="221" priority="10">
      <formula>$B22="BAJO"</formula>
    </cfRule>
    <cfRule type="expression" dxfId="220" priority="11">
      <formula>$B22="ÓPTIMO"</formula>
    </cfRule>
    <cfRule type="expression" dxfId="219" priority="12">
      <formula>$B22="SOBRESTOCK"</formula>
    </cfRule>
    <cfRule type="expression" dxfId="218" priority="13">
      <formula>$B22="INACTIVO"</formula>
    </cfRule>
  </conditionalFormatting>
  <conditionalFormatting sqref="B7:I7">
    <cfRule type="expression" dxfId="217" priority="1" stopIfTrue="1">
      <formula>N(stkActualizado)=0</formula>
    </cfRule>
    <cfRule type="expression" dxfId="216" priority="2" stopIfTrue="1">
      <formula>kpiNuevosDesdeCalculo&gt;0</formula>
    </cfRule>
    <cfRule type="expression" dxfId="215" priority="3" stopIfTrue="1">
      <formula>kpiNuevosDesdeCalculo=0</formula>
    </cfRule>
  </conditionalFormatting>
  <conditionalFormatting sqref="B9:M9">
    <cfRule type="expression" dxfId="214" priority="4">
      <formula>LEFT(txtPasoBodega,1)="✖"</formula>
    </cfRule>
    <cfRule type="expression" dxfId="213" priority="5">
      <formula>LEFT(txtPasoBodega,1)="●"</formula>
    </cfRule>
    <cfRule type="expression" dxfId="212" priority="6">
      <formula>LEFT(txtPasoBodega,1)="✔"</formula>
    </cfRule>
  </conditionalFormatting>
  <conditionalFormatting sqref="G22:I31">
    <cfRule type="expression" dxfId="211" priority="14">
      <formula>AND(ISNUMBER(G22),G22&lt;&gt;INT(G22))</formula>
    </cfRule>
  </conditionalFormatting>
  <conditionalFormatting sqref="H35:H42">
    <cfRule type="expression" dxfId="210" priority="15">
      <formula>AND(ISNUMBER(H35),H35&lt;&gt;INT(H35))</formula>
    </cfRule>
  </conditionalFormatting>
  <conditionalFormatting sqref="K35:L42">
    <cfRule type="expression" dxfId="209" priority="16">
      <formula>LEFT($K35,1)="✖"</formula>
    </cfRule>
    <cfRule type="expression" dxfId="208" priority="17">
      <formula>LEFT($K35,1)="✔"</formula>
    </cfRule>
  </conditionalFormatting>
  <hyperlinks>
    <hyperlink ref="B5" location="'00_PORTADA_BODEGA'!A1" tooltip="Portada de Bodega" display="⌂ Bodega" xr:uid="{00000000-0004-0000-0000-000000000000}"/>
    <hyperlink ref="C5" location="'00_PORTADA_VENTAS'!A1" tooltip="Portada de Ventas" display="⌂ Ventas" xr:uid="{00000000-0004-0000-0000-000001000000}"/>
    <hyperlink ref="D5" location="'00_PORTADA_GERENCIA'!A1" tooltip="Portada de Gerencia: indicadores, pedido y actividad" display="◈ Gerencia" xr:uid="{00000000-0004-0000-0000-000002000000}"/>
    <hyperlink ref="E5" location="'10A_ENTRADAS'!C9" tooltip="Registrar entradas y ajustes (Bodega)" display="⇩ Entradas" xr:uid="{00000000-0004-0000-0000-000003000000}"/>
    <hyperlink ref="F5" location="'10B_SALIDAS'!E9" tooltip="Registrar salidas (Ventas)" display="⇧ Salidas" xr:uid="{00000000-0004-0000-0000-000004000000}"/>
    <hyperlink ref="G5" location="'17_CONSULTA'!C9" tooltip="Consultar un producto en su fila" display="⌕ Consulta" xr:uid="{00000000-0004-0000-0000-000005000000}"/>
    <hyperlink ref="H5" location="'15_STOCK'!A1" tooltip="Stock (instantánea recalculada a demanda)" display="▦ Stock" xr:uid="{00000000-0004-0000-0000-000006000000}"/>
    <hyperlink ref="I5" location="'18_PEDIDO'!A1" tooltip="Pedido sugerido por proveedor" display="✚ Pedido" xr:uid="{00000000-0004-0000-0000-000007000000}"/>
    <hyperlink ref="J5" location="'13_CONTEO'!I9" tooltip="Toma física (conteo) colaborativa" display="✓ Conteo" xr:uid="{00000000-0004-0000-0000-000008000000}"/>
    <hyperlink ref="K5" location="'99_AYUDA'!A1" tooltip="Guía de uso, acceso e instalación" display="? Guía" xr:uid="{00000000-0004-0000-0000-000009000000}"/>
    <hyperlink ref="B12" location="'10A_ENTRADAS'!C9" tooltip="Ir a su fila de captura en 10A_ENTRADAS (tipo ENTRADA o SALDO INICIAL)" display="⇩  REGISTRAR ENTRADA" xr:uid="{00000000-0004-0000-0000-00000A000000}"/>
    <hyperlink ref="E12" location="'10A_ENTRADAS'!C9" tooltip="Ir a su fila de captura en 10A_ENTRADAS y elegir AJUSTE (+) o AJUSTE (-)" display="±  REGISTRAR AJUSTE" xr:uid="{00000000-0004-0000-0000-00000B000000}"/>
    <hyperlink ref="H12" location="'13_CONTEO'!I9" tooltip="Conteo colaborativo: cada quien su zona; el script genera los ajustes" display="✓  TOMA FÍSICA" xr:uid="{00000000-0004-0000-0000-00000C000000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565C0"/>
  </sheetPr>
  <dimension ref="B1:M44"/>
  <sheetViews>
    <sheetView showGridLines="0" showRowColHeaders="0" workbookViewId="0">
      <selection activeCell="B12" sqref="B12"/>
    </sheetView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3.42578125" customWidth="1"/>
    <col min="15" max="15" width="0" hidden="1" customWidth="1"/>
  </cols>
  <sheetData>
    <row r="1" spans="2:13" s="1" customFormat="1" ht="4.5" customHeight="1" x14ac:dyDescent="0.25"/>
    <row r="2" spans="2:13" s="1" customFormat="1" ht="22.5" customHeight="1" x14ac:dyDescent="0.25">
      <c r="B2" s="2" t="s">
        <v>2461</v>
      </c>
      <c r="J2" s="89" t="str">
        <f ca="1">txtHoy</f>
        <v>Hoy · 25/09/2026</v>
      </c>
      <c r="K2" s="90"/>
      <c r="L2" s="90"/>
      <c r="M2" s="90"/>
    </row>
    <row r="3" spans="2:13" s="1" customFormat="1" ht="14.25" x14ac:dyDescent="0.25">
      <c r="B3" s="3" t="str">
        <f>txtEmpresa</f>
        <v>Distribuidora Demo S.A.S.   ·   Bodega Principal</v>
      </c>
      <c r="J3" s="91" t="s">
        <v>2448</v>
      </c>
      <c r="K3" s="91"/>
      <c r="L3" s="91"/>
      <c r="M3" s="91"/>
    </row>
    <row r="4" spans="2:13" s="1" customFormat="1" ht="4.5" customHeight="1" x14ac:dyDescent="0.25"/>
    <row r="5" spans="2:13" s="4" customFormat="1" ht="21" customHeight="1" x14ac:dyDescent="0.25">
      <c r="B5" s="6" t="s">
        <v>85</v>
      </c>
      <c r="C5" s="5" t="s">
        <v>86</v>
      </c>
      <c r="D5" s="6" t="s">
        <v>87</v>
      </c>
      <c r="E5" s="6" t="s">
        <v>88</v>
      </c>
      <c r="F5" s="6" t="s">
        <v>89</v>
      </c>
      <c r="G5" s="6" t="s">
        <v>90</v>
      </c>
      <c r="H5" s="6" t="s">
        <v>91</v>
      </c>
      <c r="I5" s="6" t="s">
        <v>92</v>
      </c>
      <c r="J5" s="6" t="s">
        <v>93</v>
      </c>
      <c r="K5" s="6" t="s">
        <v>94</v>
      </c>
    </row>
    <row r="6" spans="2:13" s="7" customFormat="1" ht="7.5" customHeight="1" x14ac:dyDescent="0.25"/>
    <row r="7" spans="2:13" s="7" customFormat="1" ht="30" customHeight="1" x14ac:dyDescent="0.25">
      <c r="B7" s="92" t="str">
        <f>txtFrescura&amp;"      ·      "&amp;txtStockActualizado</f>
        <v>⚠ 3 movimiento(s) nuevo(s) desde el cálculo: recalcule      ·      Calculado el 25/09/2026 14:40 · Administrador M-INV</v>
      </c>
      <c r="C7" s="92"/>
      <c r="D7" s="92"/>
      <c r="E7" s="92"/>
      <c r="F7" s="92"/>
      <c r="G7" s="92"/>
      <c r="H7" s="92"/>
      <c r="I7" s="92"/>
      <c r="J7" s="93" t="s">
        <v>2346</v>
      </c>
      <c r="K7" s="93"/>
      <c r="L7" s="93"/>
      <c r="M7" s="93"/>
    </row>
    <row r="8" spans="2:13" s="7" customFormat="1" ht="6" customHeight="1" x14ac:dyDescent="0.25"/>
    <row r="9" spans="2:13" s="7" customFormat="1" ht="25.5" customHeight="1" x14ac:dyDescent="0.25">
      <c r="B9" s="94" t="str">
        <f>txtPasoVentas</f>
        <v>● 3 producto(s) agotado(s): no los ofrezca sin confirmar con Bodega</v>
      </c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</row>
    <row r="10" spans="2:13" s="7" customFormat="1" ht="7.5" customHeight="1" x14ac:dyDescent="0.25"/>
    <row r="11" spans="2:13" s="7" customFormat="1" ht="16.5" customHeight="1" x14ac:dyDescent="0.25">
      <c r="B11" s="7" t="s">
        <v>2449</v>
      </c>
    </row>
    <row r="12" spans="2:13" s="7" customFormat="1" ht="27" customHeight="1" x14ac:dyDescent="0.25">
      <c r="B12" s="113" t="s">
        <v>2462</v>
      </c>
      <c r="C12" s="113"/>
      <c r="D12" s="113"/>
      <c r="E12" s="113"/>
      <c r="F12" s="114" t="s">
        <v>2463</v>
      </c>
      <c r="G12" s="114"/>
      <c r="H12" s="114"/>
      <c r="I12" s="114"/>
      <c r="J12" s="115" t="s">
        <v>2464</v>
      </c>
      <c r="K12" s="115"/>
      <c r="L12" s="115"/>
      <c r="M12" s="115"/>
    </row>
    <row r="13" spans="2:13" s="7" customFormat="1" ht="27" customHeight="1" x14ac:dyDescent="0.25">
      <c r="B13" s="113"/>
      <c r="C13" s="113"/>
      <c r="D13" s="113"/>
      <c r="E13" s="113"/>
      <c r="F13" s="114"/>
      <c r="G13" s="114"/>
      <c r="H13" s="114"/>
      <c r="I13" s="114"/>
      <c r="J13" s="115"/>
      <c r="K13" s="115"/>
      <c r="L13" s="115"/>
      <c r="M13" s="115"/>
    </row>
    <row r="14" spans="2:13" s="7" customFormat="1" ht="9" customHeight="1" x14ac:dyDescent="0.25"/>
    <row r="15" spans="2:13" s="7" customFormat="1" ht="16.5" customHeight="1" x14ac:dyDescent="0.25">
      <c r="B15" s="7" t="s">
        <v>2453</v>
      </c>
    </row>
    <row r="16" spans="2:13" s="7" customFormat="1" ht="14.25" x14ac:dyDescent="0.25">
      <c r="B16" s="107" t="s">
        <v>2465</v>
      </c>
      <c r="C16" s="107"/>
      <c r="D16" s="107"/>
      <c r="E16" s="117" t="s">
        <v>2466</v>
      </c>
      <c r="F16" s="117"/>
      <c r="G16" s="117"/>
      <c r="H16" s="99" t="s">
        <v>2467</v>
      </c>
      <c r="I16" s="99"/>
      <c r="J16" s="99"/>
      <c r="K16" s="103" t="s">
        <v>2468</v>
      </c>
      <c r="L16" s="103"/>
      <c r="M16" s="103"/>
    </row>
    <row r="17" spans="2:13" s="7" customFormat="1" ht="31.5" customHeight="1" x14ac:dyDescent="0.25">
      <c r="B17" s="116">
        <f ca="1">kpiSalidasHoy</f>
        <v>9</v>
      </c>
      <c r="C17" s="101"/>
      <c r="D17" s="101"/>
      <c r="E17" s="118">
        <f ca="1">kpiSalidasMes</f>
        <v>61</v>
      </c>
      <c r="F17" s="101"/>
      <c r="G17" s="101"/>
      <c r="H17" s="100">
        <f>kpiDisponibles</f>
        <v>30</v>
      </c>
      <c r="I17" s="101"/>
      <c r="J17" s="101"/>
      <c r="K17" s="104">
        <f>kpiAgotados</f>
        <v>3</v>
      </c>
      <c r="L17" s="101"/>
      <c r="M17" s="101"/>
    </row>
    <row r="18" spans="2:13" s="7" customFormat="1" ht="14.25" x14ac:dyDescent="0.25">
      <c r="B18" s="102" t="str">
        <f ca="1">"Unidades despachadas: "&amp;kpiUnidadesHoy</f>
        <v>Unidades despachadas: 262</v>
      </c>
      <c r="C18" s="101"/>
      <c r="D18" s="101"/>
      <c r="E18" s="102" t="str">
        <f>"registros consolidados en 10B"</f>
        <v>registros consolidados en 10B</v>
      </c>
      <c r="F18" s="101"/>
      <c r="G18" s="101"/>
      <c r="H18" s="102" t="str">
        <f>"de "&amp;kpiActivos&amp;" activos"</f>
        <v>de 33 activos</v>
      </c>
      <c r="I18" s="101"/>
      <c r="J18" s="101"/>
      <c r="K18" s="102" t="str">
        <f>"confirme con Bodega"</f>
        <v>confirme con Bodega</v>
      </c>
      <c r="L18" s="101"/>
      <c r="M18" s="101"/>
    </row>
    <row r="19" spans="2:13" s="7" customFormat="1" ht="9" customHeight="1" x14ac:dyDescent="0.25"/>
    <row r="20" spans="2:13" s="7" customFormat="1" ht="16.5" customHeight="1" x14ac:dyDescent="0.25">
      <c r="B20" s="7" t="s">
        <v>2469</v>
      </c>
    </row>
    <row r="21" spans="2:13" s="7" customFormat="1" ht="18" customHeight="1" x14ac:dyDescent="0.25">
      <c r="B21" s="8" t="s">
        <v>59</v>
      </c>
      <c r="C21" s="109" t="s">
        <v>161</v>
      </c>
      <c r="D21" s="109"/>
      <c r="E21" s="109"/>
      <c r="F21" s="109"/>
      <c r="G21" s="8" t="s">
        <v>2350</v>
      </c>
      <c r="H21" s="8" t="s">
        <v>163</v>
      </c>
      <c r="I21" s="8" t="s">
        <v>2470</v>
      </c>
    </row>
    <row r="22" spans="2:13" s="7" customFormat="1" ht="16.5" customHeight="1" x14ac:dyDescent="0.25">
      <c r="B22" s="9" t="str">
        <f>IF(OR(INDEX(tblAlertas[Estado],1)={"INCONSISTENTE","AGOTADO","CRÍTICO"}),INDEX(tblAlertas[Estado],1),"")</f>
        <v>AGOTADO</v>
      </c>
      <c r="C22" s="110" t="str">
        <f>IF(OR(INDEX(tblAlertas[Estado],1)={"INCONSISTENTE","AGOTADO","CRÍTICO"}),INDEX(tblAlertas[SKU],1)&amp;" · "&amp;INDEX(tblAlertas[Producto],1),"")</f>
        <v>ELE-001 · Cable THHN 12 AWG (rollo 100 m)</v>
      </c>
      <c r="D22" s="110"/>
      <c r="E22" s="110"/>
      <c r="F22" s="110"/>
      <c r="G22" s="10">
        <f>IF(OR(INDEX(tblAlertas[Estado],1)={"INCONSISTENTE","AGOTADO","CRÍTICO"}),INDEX(tblAlertas[Stock],1),"")</f>
        <v>0</v>
      </c>
      <c r="H22" s="9" t="str">
        <f>IF(OR(INDEX(tblAlertas[Estado],1)={"INCONSISTENTE","AGOTADO","CRÍTICO"}),INDEX(tblAlertas[Unidad],1),"")</f>
        <v>ROLLO</v>
      </c>
      <c r="I22" s="11">
        <f>IF(OR(INDEX(tblAlertas[Estado],1)={"INCONSISTENTE","AGOTADO","CRÍTICO"}),INDEX(tblAlertas[UltimoMov],1),"")</f>
        <v>46290</v>
      </c>
    </row>
    <row r="23" spans="2:13" s="7" customFormat="1" ht="16.5" customHeight="1" x14ac:dyDescent="0.25">
      <c r="B23" s="9" t="str">
        <f>IF(OR(INDEX(tblAlertas[Estado],2)={"INCONSISTENTE","AGOTADO","CRÍTICO"}),INDEX(tblAlertas[Estado],2),"")</f>
        <v>AGOTADO</v>
      </c>
      <c r="C23" s="110" t="str">
        <f>IF(OR(INDEX(tblAlertas[Estado],2)={"INCONSISTENTE","AGOTADO","CRÍTICO"}),INDEX(tblAlertas[SKU],2)&amp;" · "&amp;INDEX(tblAlertas[Producto],2),"")</f>
        <v>PIN-002 · Esmalte sintético negro</v>
      </c>
      <c r="D23" s="110"/>
      <c r="E23" s="110"/>
      <c r="F23" s="110"/>
      <c r="G23" s="10">
        <f>IF(OR(INDEX(tblAlertas[Estado],2)={"INCONSISTENTE","AGOTADO","CRÍTICO"}),INDEX(tblAlertas[Stock],2),"")</f>
        <v>0</v>
      </c>
      <c r="H23" s="9" t="str">
        <f>IF(OR(INDEX(tblAlertas[Estado],2)={"INCONSISTENTE","AGOTADO","CRÍTICO"}),INDEX(tblAlertas[Unidad],2),"")</f>
        <v>GL</v>
      </c>
      <c r="I23" s="11">
        <f>IF(OR(INDEX(tblAlertas[Estado],2)={"INCONSISTENTE","AGOTADO","CRÍTICO"}),INDEX(tblAlertas[UltimoMov],2),"")</f>
        <v>46290</v>
      </c>
    </row>
    <row r="24" spans="2:13" s="7" customFormat="1" ht="16.5" customHeight="1" x14ac:dyDescent="0.25">
      <c r="B24" s="9" t="str">
        <f>IF(OR(INDEX(tblAlertas[Estado],3)={"INCONSISTENTE","AGOTADO","CRÍTICO"}),INDEX(tblAlertas[Estado],3),"")</f>
        <v>AGOTADO</v>
      </c>
      <c r="C24" s="110" t="str">
        <f>IF(OR(INDEX(tblAlertas[Estado],3)={"INCONSISTENTE","AGOTADO","CRÍTICO"}),INDEX(tblAlertas[SKU],3)&amp;" · "&amp;INDEX(tblAlertas[Producto],3),"")</f>
        <v>SEG-004 · Botas de seguridad punta de acero</v>
      </c>
      <c r="D24" s="110"/>
      <c r="E24" s="110"/>
      <c r="F24" s="110"/>
      <c r="G24" s="10">
        <f>IF(OR(INDEX(tblAlertas[Estado],3)={"INCONSISTENTE","AGOTADO","CRÍTICO"}),INDEX(tblAlertas[Stock],3),"")</f>
        <v>0</v>
      </c>
      <c r="H24" s="9" t="str">
        <f>IF(OR(INDEX(tblAlertas[Estado],3)={"INCONSISTENTE","AGOTADO","CRÍTICO"}),INDEX(tblAlertas[Unidad],3),"")</f>
        <v>PAR</v>
      </c>
      <c r="I24" s="11">
        <f>IF(OR(INDEX(tblAlertas[Estado],3)={"INCONSISTENTE","AGOTADO","CRÍTICO"}),INDEX(tblAlertas[UltimoMov],3),"")</f>
        <v>46290</v>
      </c>
    </row>
    <row r="25" spans="2:13" s="7" customFormat="1" ht="16.5" customHeight="1" x14ac:dyDescent="0.25">
      <c r="B25" s="9" t="str">
        <f>IF(OR(INDEX(tblAlertas[Estado],4)={"INCONSISTENTE","AGOTADO","CRÍTICO"}),INDEX(tblAlertas[Estado],4),"")</f>
        <v>CRÍTICO</v>
      </c>
      <c r="C25" s="110" t="str">
        <f>IF(OR(INDEX(tblAlertas[Estado],4)={"INCONSISTENTE","AGOTADO","CRÍTICO"}),INDEX(tblAlertas[SKU],4)&amp;" · "&amp;INDEX(tblAlertas[Producto],4),"")</f>
        <v>SEG-005 · Tapabocas N95 (caja x20)</v>
      </c>
      <c r="D25" s="110"/>
      <c r="E25" s="110"/>
      <c r="F25" s="110"/>
      <c r="G25" s="10">
        <f>IF(OR(INDEX(tblAlertas[Estado],4)={"INCONSISTENTE","AGOTADO","CRÍTICO"}),INDEX(tblAlertas[Stock],4),"")</f>
        <v>1</v>
      </c>
      <c r="H25" s="9" t="str">
        <f>IF(OR(INDEX(tblAlertas[Estado],4)={"INCONSISTENTE","AGOTADO","CRÍTICO"}),INDEX(tblAlertas[Unidad],4),"")</f>
        <v>CAJA</v>
      </c>
      <c r="I25" s="11">
        <f>IF(OR(INDEX(tblAlertas[Estado],4)={"INCONSISTENTE","AGOTADO","CRÍTICO"}),INDEX(tblAlertas[UltimoMov],4),"")</f>
        <v>46284</v>
      </c>
    </row>
    <row r="26" spans="2:13" s="7" customFormat="1" ht="16.5" customHeight="1" x14ac:dyDescent="0.25">
      <c r="B26" s="9" t="str">
        <f>IF(OR(INDEX(tblAlertas[Estado],5)={"INCONSISTENTE","AGOTADO","CRÍTICO"}),INDEX(tblAlertas[Estado],5),"")</f>
        <v>CRÍTICO</v>
      </c>
      <c r="C26" s="110" t="str">
        <f>IF(OR(INDEX(tblAlertas[Estado],5)={"INCONSISTENTE","AGOTADO","CRÍTICO"}),INDEX(tblAlertas[SKU],5)&amp;" · "&amp;INDEX(tblAlertas[Producto],5),"")</f>
        <v>PLO-003 · Llave de paso 1/2" en bronce</v>
      </c>
      <c r="D26" s="110"/>
      <c r="E26" s="110"/>
      <c r="F26" s="110"/>
      <c r="G26" s="10">
        <f>IF(OR(INDEX(tblAlertas[Estado],5)={"INCONSISTENTE","AGOTADO","CRÍTICO"}),INDEX(tblAlertas[Stock],5),"")</f>
        <v>3</v>
      </c>
      <c r="H26" s="9" t="str">
        <f>IF(OR(INDEX(tblAlertas[Estado],5)={"INCONSISTENTE","AGOTADO","CRÍTICO"}),INDEX(tblAlertas[Unidad],5),"")</f>
        <v>UND</v>
      </c>
      <c r="I26" s="11">
        <f>IF(OR(INDEX(tblAlertas[Estado],5)={"INCONSISTENTE","AGOTADO","CRÍTICO"}),INDEX(tblAlertas[UltimoMov],5),"")</f>
        <v>46290</v>
      </c>
    </row>
    <row r="27" spans="2:13" s="7" customFormat="1" ht="16.5" customHeight="1" x14ac:dyDescent="0.25">
      <c r="B27" s="9" t="str">
        <f>IF(OR(INDEX(tblAlertas[Estado],6)={"INCONSISTENTE","AGOTADO","CRÍTICO"}),INDEX(tblAlertas[Estado],6),"")</f>
        <v>CRÍTICO</v>
      </c>
      <c r="C27" s="110" t="str">
        <f>IF(OR(INDEX(tblAlertas[Estado],6)={"INCONSISTENTE","AGOTADO","CRÍTICO"}),INDEX(tblAlertas[SKU],6)&amp;" · "&amp;INDEX(tblAlertas[Producto],6),"")</f>
        <v>FER-005 · Disco de corte metal 4-1/2"</v>
      </c>
      <c r="D27" s="110"/>
      <c r="E27" s="110"/>
      <c r="F27" s="110"/>
      <c r="G27" s="10">
        <f>IF(OR(INDEX(tblAlertas[Estado],6)={"INCONSISTENTE","AGOTADO","CRÍTICO"}),INDEX(tblAlertas[Stock],6),"")</f>
        <v>14</v>
      </c>
      <c r="H27" s="9" t="str">
        <f>IF(OR(INDEX(tblAlertas[Estado],6)={"INCONSISTENTE","AGOTADO","CRÍTICO"}),INDEX(tblAlertas[Unidad],6),"")</f>
        <v>UND</v>
      </c>
      <c r="I27" s="11">
        <f>IF(OR(INDEX(tblAlertas[Estado],6)={"INCONSISTENTE","AGOTADO","CRÍTICO"}),INDEX(tblAlertas[UltimoMov],6),"")</f>
        <v>46290</v>
      </c>
    </row>
    <row r="28" spans="2:13" s="7" customFormat="1" ht="16.5" customHeight="1" x14ac:dyDescent="0.25">
      <c r="B28" s="9" t="str">
        <f>IF(OR(INDEX(tblAlertas[Estado],7)={"INCONSISTENTE","AGOTADO","CRÍTICO"}),INDEX(tblAlertas[Estado],7),"")</f>
        <v/>
      </c>
      <c r="C28" s="110" t="str">
        <f>IF(OR(INDEX(tblAlertas[Estado],7)={"INCONSISTENTE","AGOTADO","CRÍTICO"}),INDEX(tblAlertas[SKU],7)&amp;" · "&amp;INDEX(tblAlertas[Producto],7),"")</f>
        <v/>
      </c>
      <c r="D28" s="110"/>
      <c r="E28" s="110"/>
      <c r="F28" s="110"/>
      <c r="G28" s="10" t="str">
        <f>IF(OR(INDEX(tblAlertas[Estado],7)={"INCONSISTENTE","AGOTADO","CRÍTICO"}),INDEX(tblAlertas[Stock],7),"")</f>
        <v/>
      </c>
      <c r="H28" s="9" t="str">
        <f>IF(OR(INDEX(tblAlertas[Estado],7)={"INCONSISTENTE","AGOTADO","CRÍTICO"}),INDEX(tblAlertas[Unidad],7),"")</f>
        <v/>
      </c>
      <c r="I28" s="11" t="str">
        <f>IF(OR(INDEX(tblAlertas[Estado],7)={"INCONSISTENTE","AGOTADO","CRÍTICO"}),INDEX(tblAlertas[UltimoMov],7),"")</f>
        <v/>
      </c>
    </row>
    <row r="29" spans="2:13" s="7" customFormat="1" ht="16.5" customHeight="1" x14ac:dyDescent="0.25">
      <c r="B29" s="9" t="str">
        <f>IF(OR(INDEX(tblAlertas[Estado],8)={"INCONSISTENTE","AGOTADO","CRÍTICO"}),INDEX(tblAlertas[Estado],8),"")</f>
        <v/>
      </c>
      <c r="C29" s="110" t="str">
        <f>IF(OR(INDEX(tblAlertas[Estado],8)={"INCONSISTENTE","AGOTADO","CRÍTICO"}),INDEX(tblAlertas[SKU],8)&amp;" · "&amp;INDEX(tblAlertas[Producto],8),"")</f>
        <v/>
      </c>
      <c r="D29" s="110"/>
      <c r="E29" s="110"/>
      <c r="F29" s="110"/>
      <c r="G29" s="10" t="str">
        <f>IF(OR(INDEX(tblAlertas[Estado],8)={"INCONSISTENTE","AGOTADO","CRÍTICO"}),INDEX(tblAlertas[Stock],8),"")</f>
        <v/>
      </c>
      <c r="H29" s="9" t="str">
        <f>IF(OR(INDEX(tblAlertas[Estado],8)={"INCONSISTENTE","AGOTADO","CRÍTICO"}),INDEX(tblAlertas[Unidad],8),"")</f>
        <v/>
      </c>
      <c r="I29" s="11" t="str">
        <f>IF(OR(INDEX(tblAlertas[Estado],8)={"INCONSISTENTE","AGOTADO","CRÍTICO"}),INDEX(tblAlertas[UltimoMov],8),"")</f>
        <v/>
      </c>
    </row>
    <row r="30" spans="2:13" s="7" customFormat="1" ht="16.5" customHeight="1" x14ac:dyDescent="0.25">
      <c r="B30" s="9" t="str">
        <f>IF(OR(INDEX(tblAlertas[Estado],9)={"INCONSISTENTE","AGOTADO","CRÍTICO"}),INDEX(tblAlertas[Estado],9),"")</f>
        <v/>
      </c>
      <c r="C30" s="110" t="str">
        <f>IF(OR(INDEX(tblAlertas[Estado],9)={"INCONSISTENTE","AGOTADO","CRÍTICO"}),INDEX(tblAlertas[SKU],9)&amp;" · "&amp;INDEX(tblAlertas[Producto],9),"")</f>
        <v/>
      </c>
      <c r="D30" s="110"/>
      <c r="E30" s="110"/>
      <c r="F30" s="110"/>
      <c r="G30" s="10" t="str">
        <f>IF(OR(INDEX(tblAlertas[Estado],9)={"INCONSISTENTE","AGOTADO","CRÍTICO"}),INDEX(tblAlertas[Stock],9),"")</f>
        <v/>
      </c>
      <c r="H30" s="9" t="str">
        <f>IF(OR(INDEX(tblAlertas[Estado],9)={"INCONSISTENTE","AGOTADO","CRÍTICO"}),INDEX(tblAlertas[Unidad],9),"")</f>
        <v/>
      </c>
      <c r="I30" s="11" t="str">
        <f>IF(OR(INDEX(tblAlertas[Estado],9)={"INCONSISTENTE","AGOTADO","CRÍTICO"}),INDEX(tblAlertas[UltimoMov],9),"")</f>
        <v/>
      </c>
    </row>
    <row r="31" spans="2:13" s="7" customFormat="1" ht="16.5" customHeight="1" x14ac:dyDescent="0.25">
      <c r="B31" s="9" t="str">
        <f>IF(OR(INDEX(tblAlertas[Estado],10)={"INCONSISTENTE","AGOTADO","CRÍTICO"}),INDEX(tblAlertas[Estado],10),"")</f>
        <v/>
      </c>
      <c r="C31" s="110" t="str">
        <f>IF(OR(INDEX(tblAlertas[Estado],10)={"INCONSISTENTE","AGOTADO","CRÍTICO"}),INDEX(tblAlertas[SKU],10)&amp;" · "&amp;INDEX(tblAlertas[Producto],10),"")</f>
        <v/>
      </c>
      <c r="D31" s="110"/>
      <c r="E31" s="110"/>
      <c r="F31" s="110"/>
      <c r="G31" s="10" t="str">
        <f>IF(OR(INDEX(tblAlertas[Estado],10)={"INCONSISTENTE","AGOTADO","CRÍTICO"}),INDEX(tblAlertas[Stock],10),"")</f>
        <v/>
      </c>
      <c r="H31" s="9" t="str">
        <f>IF(OR(INDEX(tblAlertas[Estado],10)={"INCONSISTENTE","AGOTADO","CRÍTICO"}),INDEX(tblAlertas[Unidad],10),"")</f>
        <v/>
      </c>
      <c r="I31" s="11" t="str">
        <f>IF(OR(INDEX(tblAlertas[Estado],10)={"INCONSISTENTE","AGOTADO","CRÍTICO"}),INDEX(tblAlertas[UltimoMov],10),"")</f>
        <v/>
      </c>
    </row>
    <row r="32" spans="2:13" s="7" customFormat="1" ht="9" customHeight="1" x14ac:dyDescent="0.25"/>
    <row r="33" spans="2:13" s="7" customFormat="1" ht="16.5" customHeight="1" x14ac:dyDescent="0.25">
      <c r="B33" s="7" t="s">
        <v>2471</v>
      </c>
    </row>
    <row r="34" spans="2:13" s="7" customFormat="1" ht="18" customHeight="1" x14ac:dyDescent="0.25">
      <c r="B34" s="8" t="s">
        <v>327</v>
      </c>
      <c r="C34" s="8" t="s">
        <v>43</v>
      </c>
      <c r="D34" s="109" t="s">
        <v>161</v>
      </c>
      <c r="E34" s="109"/>
      <c r="F34" s="109"/>
      <c r="G34" s="109"/>
      <c r="H34" s="8" t="s">
        <v>328</v>
      </c>
      <c r="I34" s="109" t="s">
        <v>342</v>
      </c>
      <c r="J34" s="109"/>
      <c r="K34" s="109" t="s">
        <v>59</v>
      </c>
      <c r="L34" s="109"/>
      <c r="M34" s="8" t="s">
        <v>329</v>
      </c>
    </row>
    <row r="35" spans="2:13" s="7" customFormat="1" ht="16.5" customHeight="1" x14ac:dyDescent="0.25">
      <c r="B35" s="11">
        <f>IFERROR(IF(INDEX(tblSalidas[ID],ROWS(tblSalidas[ID])-0)="","",INDEX(tblSalidas[Fecha],ROWS(tblSalidas[ID])-0)),"")</f>
        <v>46290</v>
      </c>
      <c r="C35" s="12" t="str">
        <f>IFERROR(IF(INDEX(tblSalidas[ID],ROWS(tblSalidas[ID])-0)="","",INDEX(tblSalidas[Tipo],ROWS(tblSalidas[ID])-0)&amp;""),"")</f>
        <v>SALIDA</v>
      </c>
      <c r="D35" s="110" t="str">
        <f>IFERROR(IF(INDEX(tblSalidas[ID],ROWS(tblSalidas[ID])-0)="","",INDEX(tblSalidas[Producto],ROWS(tblSalidas[ID])-0)&amp;""),"")</f>
        <v>ASE-002 · Hipoclorito de sodio 5%</v>
      </c>
      <c r="E35" s="110"/>
      <c r="F35" s="110"/>
      <c r="G35" s="110"/>
      <c r="H35" s="10">
        <f>IFERROR(IF(INDEX(tblSalidas[ID],ROWS(tblSalidas[ID])-0)="","",INDEX(tblSalidas[Cantidad],ROWS(tblSalidas[ID])-0)),"")</f>
        <v>54.5</v>
      </c>
      <c r="I35" s="110" t="str">
        <f>IFERROR(IF(INDEX(tblSalidas[ID],ROWS(tblSalidas[ID])-0)="","",INDEX(tblSalidas[Registró],ROWS(tblSalidas[ID])-0)&amp;""),"")</f>
        <v>Carlos Ruiz</v>
      </c>
      <c r="J35" s="110"/>
      <c r="K35" s="110" t="str">
        <f>IFERROR(IF(INDEX(tblSalidas[ID],ROWS(tblSalidas[ID])-0)="","",INDEX(tblSalidas[Estado],ROWS(tblSalidas[ID])-0)&amp;""),"")</f>
        <v>✔ Consolidado</v>
      </c>
      <c r="L35" s="110"/>
      <c r="M35" s="9" t="str">
        <f>IFERROR(IF(INDEX(tblSalidas[ID],ROWS(tblSalidas[ID])-0)="","",INDEX(tblSalidas[Documento],ROWS(tblSalidas[ID])-0)&amp;""),"")</f>
        <v>RM-5923</v>
      </c>
    </row>
    <row r="36" spans="2:13" s="7" customFormat="1" ht="16.5" customHeight="1" x14ac:dyDescent="0.25">
      <c r="B36" s="11">
        <f>IFERROR(IF(INDEX(tblSalidas[ID],ROWS(tblSalidas[ID])-1)="","",INDEX(tblSalidas[Fecha],ROWS(tblSalidas[ID])-1)),"")</f>
        <v>46290</v>
      </c>
      <c r="C36" s="12" t="str">
        <f>IFERROR(IF(INDEX(tblSalidas[ID],ROWS(tblSalidas[ID])-1)="","",INDEX(tblSalidas[Tipo],ROWS(tblSalidas[ID])-1)&amp;""),"")</f>
        <v>SALIDA</v>
      </c>
      <c r="D36" s="110" t="str">
        <f>IFERROR(IF(INDEX(tblSalidas[ID],ROWS(tblSalidas[ID])-1)="","",INDEX(tblSalidas[Producto],ROWS(tblSalidas[ID])-1)&amp;""),"")</f>
        <v>SEG-004 · Botas de seguridad punta de acero</v>
      </c>
      <c r="E36" s="110"/>
      <c r="F36" s="110"/>
      <c r="G36" s="110"/>
      <c r="H36" s="10">
        <f>IFERROR(IF(INDEX(tblSalidas[ID],ROWS(tblSalidas[ID])-1)="","",INDEX(tblSalidas[Cantidad],ROWS(tblSalidas[ID])-1)),"")</f>
        <v>13</v>
      </c>
      <c r="I36" s="110" t="str">
        <f>IFERROR(IF(INDEX(tblSalidas[ID],ROWS(tblSalidas[ID])-1)="","",INDEX(tblSalidas[Registró],ROWS(tblSalidas[ID])-1)&amp;""),"")</f>
        <v>Sofía López</v>
      </c>
      <c r="J36" s="110"/>
      <c r="K36" s="110" t="str">
        <f>IFERROR(IF(INDEX(tblSalidas[ID],ROWS(tblSalidas[ID])-1)="","",INDEX(tblSalidas[Estado],ROWS(tblSalidas[ID])-1)&amp;""),"")</f>
        <v>✔ Consolidado</v>
      </c>
      <c r="L36" s="110"/>
      <c r="M36" s="9" t="str">
        <f>IFERROR(IF(INDEX(tblSalidas[ID],ROWS(tblSalidas[ID])-1)="","",INDEX(tblSalidas[Documento],ROWS(tblSalidas[ID])-1)&amp;""),"")</f>
        <v>RM-5922</v>
      </c>
    </row>
    <row r="37" spans="2:13" s="7" customFormat="1" ht="16.5" customHeight="1" x14ac:dyDescent="0.25">
      <c r="B37" s="11">
        <f>IFERROR(IF(INDEX(tblSalidas[ID],ROWS(tblSalidas[ID])-2)="","",INDEX(tblSalidas[Fecha],ROWS(tblSalidas[ID])-2)),"")</f>
        <v>46290</v>
      </c>
      <c r="C37" s="12" t="str">
        <f>IFERROR(IF(INDEX(tblSalidas[ID],ROWS(tblSalidas[ID])-2)="","",INDEX(tblSalidas[Tipo],ROWS(tblSalidas[ID])-2)&amp;""),"")</f>
        <v>SALIDA</v>
      </c>
      <c r="D37" s="110" t="str">
        <f>IFERROR(IF(INDEX(tblSalidas[ID],ROWS(tblSalidas[ID])-2)="","",INDEX(tblSalidas[Producto],ROWS(tblSalidas[ID])-2)&amp;""),"")</f>
        <v>PIN-004 · Rodillo de felpa 9"</v>
      </c>
      <c r="E37" s="110"/>
      <c r="F37" s="110"/>
      <c r="G37" s="110"/>
      <c r="H37" s="10">
        <f>IFERROR(IF(INDEX(tblSalidas[ID],ROWS(tblSalidas[ID])-2)="","",INDEX(tblSalidas[Cantidad],ROWS(tblSalidas[ID])-2)),"")</f>
        <v>9</v>
      </c>
      <c r="I37" s="110" t="str">
        <f>IFERROR(IF(INDEX(tblSalidas[ID],ROWS(tblSalidas[ID])-2)="","",INDEX(tblSalidas[Registró],ROWS(tblSalidas[ID])-2)&amp;""),"")</f>
        <v>Sofía López</v>
      </c>
      <c r="J37" s="110"/>
      <c r="K37" s="110" t="str">
        <f>IFERROR(IF(INDEX(tblSalidas[ID],ROWS(tblSalidas[ID])-2)="","",INDEX(tblSalidas[Estado],ROWS(tblSalidas[ID])-2)&amp;""),"")</f>
        <v>✔ Consolidado</v>
      </c>
      <c r="L37" s="110"/>
      <c r="M37" s="9" t="str">
        <f>IFERROR(IF(INDEX(tblSalidas[ID],ROWS(tblSalidas[ID])-2)="","",INDEX(tblSalidas[Documento],ROWS(tblSalidas[ID])-2)&amp;""),"")</f>
        <v>RM-5921</v>
      </c>
    </row>
    <row r="38" spans="2:13" s="7" customFormat="1" ht="16.5" customHeight="1" x14ac:dyDescent="0.25">
      <c r="B38" s="11">
        <f>IFERROR(IF(INDEX(tblSalidas[ID],ROWS(tblSalidas[ID])-3)="","",INDEX(tblSalidas[Fecha],ROWS(tblSalidas[ID])-3)),"")</f>
        <v>46290</v>
      </c>
      <c r="C38" s="12" t="str">
        <f>IFERROR(IF(INDEX(tblSalidas[ID],ROWS(tblSalidas[ID])-3)="","",INDEX(tblSalidas[Tipo],ROWS(tblSalidas[ID])-3)&amp;""),"")</f>
        <v>SALIDA</v>
      </c>
      <c r="D38" s="110" t="str">
        <f>IFERROR(IF(INDEX(tblSalidas[ID],ROWS(tblSalidas[ID])-3)="","",INDEX(tblSalidas[Producto],ROWS(tblSalidas[ID])-3)&amp;""),"")</f>
        <v>PIN-002 · Esmalte sintético negro</v>
      </c>
      <c r="E38" s="110"/>
      <c r="F38" s="110"/>
      <c r="G38" s="110"/>
      <c r="H38" s="10">
        <f>IFERROR(IF(INDEX(tblSalidas[ID],ROWS(tblSalidas[ID])-3)="","",INDEX(tblSalidas[Cantidad],ROWS(tblSalidas[ID])-3)),"")</f>
        <v>8.5</v>
      </c>
      <c r="I38" s="110" t="str">
        <f>IFERROR(IF(INDEX(tblSalidas[ID],ROWS(tblSalidas[ID])-3)="","",INDEX(tblSalidas[Registró],ROWS(tblSalidas[ID])-3)&amp;""),"")</f>
        <v>Carlos Ruiz</v>
      </c>
      <c r="J38" s="110"/>
      <c r="K38" s="110" t="str">
        <f>IFERROR(IF(INDEX(tblSalidas[ID],ROWS(tblSalidas[ID])-3)="","",INDEX(tblSalidas[Estado],ROWS(tblSalidas[ID])-3)&amp;""),"")</f>
        <v>✔ Consolidado</v>
      </c>
      <c r="L38" s="110"/>
      <c r="M38" s="9" t="str">
        <f>IFERROR(IF(INDEX(tblSalidas[ID],ROWS(tblSalidas[ID])-3)="","",INDEX(tblSalidas[Documento],ROWS(tblSalidas[ID])-3)&amp;""),"")</f>
        <v>RM-5920</v>
      </c>
    </row>
    <row r="39" spans="2:13" s="7" customFormat="1" ht="16.5" customHeight="1" x14ac:dyDescent="0.25">
      <c r="B39" s="11">
        <f>IFERROR(IF(INDEX(tblSalidas[ID],ROWS(tblSalidas[ID])-4)="","",INDEX(tblSalidas[Fecha],ROWS(tblSalidas[ID])-4)),"")</f>
        <v>46290</v>
      </c>
      <c r="C39" s="12" t="str">
        <f>IFERROR(IF(INDEX(tblSalidas[ID],ROWS(tblSalidas[ID])-4)="","",INDEX(tblSalidas[Tipo],ROWS(tblSalidas[ID])-4)&amp;""),"")</f>
        <v>SALIDA</v>
      </c>
      <c r="D39" s="110" t="str">
        <f>IFERROR(IF(INDEX(tblSalidas[ID],ROWS(tblSalidas[ID])-4)="","",INDEX(tblSalidas[Producto],ROWS(tblSalidas[ID])-4)&amp;""),"")</f>
        <v>PLO-003 · Llave de paso 1/2" en bronce</v>
      </c>
      <c r="E39" s="110"/>
      <c r="F39" s="110"/>
      <c r="G39" s="110"/>
      <c r="H39" s="10">
        <f>IFERROR(IF(INDEX(tblSalidas[ID],ROWS(tblSalidas[ID])-4)="","",INDEX(tblSalidas[Cantidad],ROWS(tblSalidas[ID])-4)),"")</f>
        <v>31</v>
      </c>
      <c r="I39" s="110" t="str">
        <f>IFERROR(IF(INDEX(tblSalidas[ID],ROWS(tblSalidas[ID])-4)="","",INDEX(tblSalidas[Registró],ROWS(tblSalidas[ID])-4)&amp;""),"")</f>
        <v>Carlos Ruiz</v>
      </c>
      <c r="J39" s="110"/>
      <c r="K39" s="110" t="str">
        <f>IFERROR(IF(INDEX(tblSalidas[ID],ROWS(tblSalidas[ID])-4)="","",INDEX(tblSalidas[Estado],ROWS(tblSalidas[ID])-4)&amp;""),"")</f>
        <v>✔ Consolidado</v>
      </c>
      <c r="L39" s="110"/>
      <c r="M39" s="9" t="str">
        <f>IFERROR(IF(INDEX(tblSalidas[ID],ROWS(tblSalidas[ID])-4)="","",INDEX(tblSalidas[Documento],ROWS(tblSalidas[ID])-4)&amp;""),"")</f>
        <v>RM-5919</v>
      </c>
    </row>
    <row r="40" spans="2:13" s="7" customFormat="1" ht="16.5" customHeight="1" x14ac:dyDescent="0.25">
      <c r="B40" s="11">
        <f>IFERROR(IF(INDEX(tblSalidas[ID],ROWS(tblSalidas[ID])-5)="","",INDEX(tblSalidas[Fecha],ROWS(tblSalidas[ID])-5)),"")</f>
        <v>46290</v>
      </c>
      <c r="C40" s="12" t="str">
        <f>IFERROR(IF(INDEX(tblSalidas[ID],ROWS(tblSalidas[ID])-5)="","",INDEX(tblSalidas[Tipo],ROWS(tblSalidas[ID])-5)&amp;""),"")</f>
        <v>SALIDA</v>
      </c>
      <c r="D40" s="110" t="str">
        <f>IFERROR(IF(INDEX(tblSalidas[ID],ROWS(tblSalidas[ID])-5)="","",INDEX(tblSalidas[Producto],ROWS(tblSalidas[ID])-5)&amp;""),"")</f>
        <v>ELE-004 · Breaker enchufable 1x20 A</v>
      </c>
      <c r="E40" s="110"/>
      <c r="F40" s="110"/>
      <c r="G40" s="110"/>
      <c r="H40" s="10">
        <f>IFERROR(IF(INDEX(tblSalidas[ID],ROWS(tblSalidas[ID])-5)="","",INDEX(tblSalidas[Cantidad],ROWS(tblSalidas[ID])-5)),"")</f>
        <v>9</v>
      </c>
      <c r="I40" s="110" t="str">
        <f>IFERROR(IF(INDEX(tblSalidas[ID],ROWS(tblSalidas[ID])-5)="","",INDEX(tblSalidas[Registró],ROWS(tblSalidas[ID])-5)&amp;""),"")</f>
        <v>Carlos Ruiz</v>
      </c>
      <c r="J40" s="110"/>
      <c r="K40" s="110" t="str">
        <f>IFERROR(IF(INDEX(tblSalidas[ID],ROWS(tblSalidas[ID])-5)="","",INDEX(tblSalidas[Estado],ROWS(tblSalidas[ID])-5)&amp;""),"")</f>
        <v>✔ Consolidado</v>
      </c>
      <c r="L40" s="110"/>
      <c r="M40" s="9" t="str">
        <f>IFERROR(IF(INDEX(tblSalidas[ID],ROWS(tblSalidas[ID])-5)="","",INDEX(tblSalidas[Documento],ROWS(tblSalidas[ID])-5)&amp;""),"")</f>
        <v>RM-5918</v>
      </c>
    </row>
    <row r="41" spans="2:13" s="7" customFormat="1" ht="16.5" customHeight="1" x14ac:dyDescent="0.25">
      <c r="B41" s="11">
        <f>IFERROR(IF(INDEX(tblSalidas[ID],ROWS(tblSalidas[ID])-6)="","",INDEX(tblSalidas[Fecha],ROWS(tblSalidas[ID])-6)),"")</f>
        <v>46290</v>
      </c>
      <c r="C41" s="12" t="str">
        <f>IFERROR(IF(INDEX(tblSalidas[ID],ROWS(tblSalidas[ID])-6)="","",INDEX(tblSalidas[Tipo],ROWS(tblSalidas[ID])-6)&amp;""),"")</f>
        <v>SALIDA</v>
      </c>
      <c r="D41" s="110" t="str">
        <f>IFERROR(IF(INDEX(tblSalidas[ID],ROWS(tblSalidas[ID])-6)="","",INDEX(tblSalidas[Producto],ROWS(tblSalidas[ID])-6)&amp;""),"")</f>
        <v>ELE-001 · Cable THHN 12 AWG (rollo 100 m)</v>
      </c>
      <c r="E41" s="110"/>
      <c r="F41" s="110"/>
      <c r="G41" s="110"/>
      <c r="H41" s="10">
        <f>IFERROR(IF(INDEX(tblSalidas[ID],ROWS(tblSalidas[ID])-6)="","",INDEX(tblSalidas[Cantidad],ROWS(tblSalidas[ID])-6)),"")</f>
        <v>9</v>
      </c>
      <c r="I41" s="110" t="str">
        <f>IFERROR(IF(INDEX(tblSalidas[ID],ROWS(tblSalidas[ID])-6)="","",INDEX(tblSalidas[Registró],ROWS(tblSalidas[ID])-6)&amp;""),"")</f>
        <v>Sofía López</v>
      </c>
      <c r="J41" s="110"/>
      <c r="K41" s="110" t="str">
        <f>IFERROR(IF(INDEX(tblSalidas[ID],ROWS(tblSalidas[ID])-6)="","",INDEX(tblSalidas[Estado],ROWS(tblSalidas[ID])-6)&amp;""),"")</f>
        <v>✔ Consolidado</v>
      </c>
      <c r="L41" s="110"/>
      <c r="M41" s="9" t="str">
        <f>IFERROR(IF(INDEX(tblSalidas[ID],ROWS(tblSalidas[ID])-6)="","",INDEX(tblSalidas[Documento],ROWS(tblSalidas[ID])-6)&amp;""),"")</f>
        <v>RM-5917</v>
      </c>
    </row>
    <row r="42" spans="2:13" s="7" customFormat="1" ht="16.5" customHeight="1" x14ac:dyDescent="0.25">
      <c r="B42" s="11">
        <f>IFERROR(IF(INDEX(tblSalidas[ID],ROWS(tblSalidas[ID])-7)="","",INDEX(tblSalidas[Fecha],ROWS(tblSalidas[ID])-7)),"")</f>
        <v>46290</v>
      </c>
      <c r="C42" s="12" t="str">
        <f>IFERROR(IF(INDEX(tblSalidas[ID],ROWS(tblSalidas[ID])-7)="","",INDEX(tblSalidas[Tipo],ROWS(tblSalidas[ID])-7)&amp;""),"")</f>
        <v>SALIDA</v>
      </c>
      <c r="D42" s="110" t="str">
        <f>IFERROR(IF(INDEX(tblSalidas[ID],ROWS(tblSalidas[ID])-7)="","",INDEX(tblSalidas[Producto],ROWS(tblSalidas[ID])-7)&amp;""),"")</f>
        <v>FER-005 · Disco de corte metal 4-1/2"</v>
      </c>
      <c r="E42" s="110"/>
      <c r="F42" s="110"/>
      <c r="G42" s="110"/>
      <c r="H42" s="10">
        <f>IFERROR(IF(INDEX(tblSalidas[ID],ROWS(tblSalidas[ID])-7)="","",INDEX(tblSalidas[Cantidad],ROWS(tblSalidas[ID])-7)),"")</f>
        <v>121</v>
      </c>
      <c r="I42" s="110" t="str">
        <f>IFERROR(IF(INDEX(tblSalidas[ID],ROWS(tblSalidas[ID])-7)="","",INDEX(tblSalidas[Registró],ROWS(tblSalidas[ID])-7)&amp;""),"")</f>
        <v>Carlos Ruiz</v>
      </c>
      <c r="J42" s="110"/>
      <c r="K42" s="110" t="str">
        <f>IFERROR(IF(INDEX(tblSalidas[ID],ROWS(tblSalidas[ID])-7)="","",INDEX(tblSalidas[Estado],ROWS(tblSalidas[ID])-7)&amp;""),"")</f>
        <v>✔ Consolidado</v>
      </c>
      <c r="L42" s="110"/>
      <c r="M42" s="9" t="str">
        <f>IFERROR(IF(INDEX(tblSalidas[ID],ROWS(tblSalidas[ID])-7)="","",INDEX(tblSalidas[Documento],ROWS(tblSalidas[ID])-7)&amp;""),"")</f>
        <v>RM-5916</v>
      </c>
    </row>
    <row r="43" spans="2:13" s="7" customFormat="1" ht="9" customHeight="1" x14ac:dyDescent="0.25"/>
    <row r="44" spans="2:13" s="7" customFormat="1" ht="19.5" customHeight="1" x14ac:dyDescent="0.25">
      <c r="B44" s="111" t="str">
        <f>txtBitacoras</f>
        <v>Bitácoras oficiales: 90 entradas/ajustes · 383 salidas</v>
      </c>
      <c r="C44" s="111"/>
      <c r="D44" s="111"/>
      <c r="E44" s="111"/>
      <c r="F44" s="111"/>
      <c r="G44" s="111"/>
      <c r="H44" s="111"/>
      <c r="I44" s="112" t="s">
        <v>2460</v>
      </c>
      <c r="J44" s="112"/>
      <c r="K44" s="112"/>
      <c r="L44" s="112"/>
      <c r="M44" s="112"/>
    </row>
  </sheetData>
  <sheetProtection password="930D" sheet="1" objects="1" scenarios="1"/>
  <mergeCells count="60">
    <mergeCell ref="B44:H44"/>
    <mergeCell ref="I44:M44"/>
    <mergeCell ref="D41:G41"/>
    <mergeCell ref="I41:J41"/>
    <mergeCell ref="K41:L41"/>
    <mergeCell ref="D42:G42"/>
    <mergeCell ref="I42:J42"/>
    <mergeCell ref="K42:L42"/>
    <mergeCell ref="D39:G39"/>
    <mergeCell ref="I39:J39"/>
    <mergeCell ref="K39:L39"/>
    <mergeCell ref="D40:G40"/>
    <mergeCell ref="I40:J40"/>
    <mergeCell ref="K40:L40"/>
    <mergeCell ref="D37:G37"/>
    <mergeCell ref="I37:J37"/>
    <mergeCell ref="K37:L37"/>
    <mergeCell ref="D38:G38"/>
    <mergeCell ref="I38:J38"/>
    <mergeCell ref="K38:L38"/>
    <mergeCell ref="D35:G35"/>
    <mergeCell ref="I35:J35"/>
    <mergeCell ref="K35:L35"/>
    <mergeCell ref="D36:G36"/>
    <mergeCell ref="I36:J36"/>
    <mergeCell ref="K36:L36"/>
    <mergeCell ref="C30:F30"/>
    <mergeCell ref="C31:F31"/>
    <mergeCell ref="D34:G34"/>
    <mergeCell ref="I34:J34"/>
    <mergeCell ref="K34:L34"/>
    <mergeCell ref="C25:F25"/>
    <mergeCell ref="C26:F26"/>
    <mergeCell ref="C27:F27"/>
    <mergeCell ref="C28:F28"/>
    <mergeCell ref="C29:F29"/>
    <mergeCell ref="K18:M18"/>
    <mergeCell ref="C21:F21"/>
    <mergeCell ref="C22:F22"/>
    <mergeCell ref="C23:F23"/>
    <mergeCell ref="C24:F24"/>
    <mergeCell ref="B18:D18"/>
    <mergeCell ref="E16:G16"/>
    <mergeCell ref="E17:G17"/>
    <mergeCell ref="E18:G18"/>
    <mergeCell ref="H16:J16"/>
    <mergeCell ref="H17:J17"/>
    <mergeCell ref="H18:J18"/>
    <mergeCell ref="B12:E13"/>
    <mergeCell ref="F12:I13"/>
    <mergeCell ref="J12:M13"/>
    <mergeCell ref="B16:D16"/>
    <mergeCell ref="B17:D17"/>
    <mergeCell ref="K16:M16"/>
    <mergeCell ref="K17:M17"/>
    <mergeCell ref="J2:M2"/>
    <mergeCell ref="J3:M3"/>
    <mergeCell ref="B7:I7"/>
    <mergeCell ref="J7:M7"/>
    <mergeCell ref="B9:M9"/>
  </mergeCells>
  <conditionalFormatting sqref="B22:B31">
    <cfRule type="expression" dxfId="207" priority="7">
      <formula>$B22="INCONSISTENTE"</formula>
    </cfRule>
    <cfRule type="expression" dxfId="206" priority="8">
      <formula>$B22="AGOTADO"</formula>
    </cfRule>
    <cfRule type="expression" dxfId="205" priority="9">
      <formula>$B22="CRÍTICO"</formula>
    </cfRule>
    <cfRule type="expression" dxfId="204" priority="10">
      <formula>$B22="BAJO"</formula>
    </cfRule>
    <cfRule type="expression" dxfId="203" priority="11">
      <formula>$B22="ÓPTIMO"</formula>
    </cfRule>
    <cfRule type="expression" dxfId="202" priority="12">
      <formula>$B22="SOBRESTOCK"</formula>
    </cfRule>
    <cfRule type="expression" dxfId="201" priority="13">
      <formula>$B22="INACTIVO"</formula>
    </cfRule>
  </conditionalFormatting>
  <conditionalFormatting sqref="B7:I7">
    <cfRule type="expression" dxfId="200" priority="1" stopIfTrue="1">
      <formula>N(stkActualizado)=0</formula>
    </cfRule>
    <cfRule type="expression" dxfId="199" priority="2" stopIfTrue="1">
      <formula>kpiNuevosDesdeCalculo&gt;0</formula>
    </cfRule>
    <cfRule type="expression" dxfId="198" priority="3" stopIfTrue="1">
      <formula>kpiNuevosDesdeCalculo=0</formula>
    </cfRule>
  </conditionalFormatting>
  <conditionalFormatting sqref="B9:M9">
    <cfRule type="expression" dxfId="197" priority="4">
      <formula>LEFT(txtPasoVentas,1)="✖"</formula>
    </cfRule>
    <cfRule type="expression" dxfId="196" priority="5">
      <formula>LEFT(txtPasoVentas,1)="●"</formula>
    </cfRule>
    <cfRule type="expression" dxfId="195" priority="6">
      <formula>LEFT(txtPasoVentas,1)="✔"</formula>
    </cfRule>
  </conditionalFormatting>
  <conditionalFormatting sqref="G22:I31">
    <cfRule type="expression" dxfId="194" priority="14">
      <formula>AND(ISNUMBER(G22),G22&lt;&gt;INT(G22))</formula>
    </cfRule>
  </conditionalFormatting>
  <conditionalFormatting sqref="H35:H42">
    <cfRule type="expression" dxfId="193" priority="15">
      <formula>AND(ISNUMBER(H35),H35&lt;&gt;INT(H35))</formula>
    </cfRule>
  </conditionalFormatting>
  <conditionalFormatting sqref="K35:L42">
    <cfRule type="expression" dxfId="192" priority="16">
      <formula>LEFT($K35,1)="✖"</formula>
    </cfRule>
    <cfRule type="expression" dxfId="191" priority="17">
      <formula>LEFT($K35,1)="✔"</formula>
    </cfRule>
  </conditionalFormatting>
  <hyperlinks>
    <hyperlink ref="B5" location="'00_PORTADA_BODEGA'!A1" tooltip="Portada de Bodega" display="⌂ Bodega" xr:uid="{00000000-0004-0000-0100-000000000000}"/>
    <hyperlink ref="C5" location="'00_PORTADA_VENTAS'!A1" tooltip="Portada de Ventas" display="⌂ Ventas" xr:uid="{00000000-0004-0000-0100-000001000000}"/>
    <hyperlink ref="D5" location="'00_PORTADA_GERENCIA'!A1" tooltip="Portada de Gerencia: indicadores, pedido y actividad" display="◈ Gerencia" xr:uid="{00000000-0004-0000-0100-000002000000}"/>
    <hyperlink ref="E5" location="'10A_ENTRADAS'!C9" tooltip="Registrar entradas y ajustes (Bodega)" display="⇩ Entradas" xr:uid="{00000000-0004-0000-0100-000003000000}"/>
    <hyperlink ref="F5" location="'10B_SALIDAS'!E9" tooltip="Registrar salidas (Ventas)" display="⇧ Salidas" xr:uid="{00000000-0004-0000-0100-000004000000}"/>
    <hyperlink ref="G5" location="'17_CONSULTA'!C9" tooltip="Consultar un producto en su fila" display="⌕ Consulta" xr:uid="{00000000-0004-0000-0100-000005000000}"/>
    <hyperlink ref="H5" location="'15_STOCK'!A1" tooltip="Stock (instantánea recalculada a demanda)" display="▦ Stock" xr:uid="{00000000-0004-0000-0100-000006000000}"/>
    <hyperlink ref="I5" location="'18_PEDIDO'!A1" tooltip="Pedido sugerido por proveedor" display="✚ Pedido" xr:uid="{00000000-0004-0000-0100-000007000000}"/>
    <hyperlink ref="J5" location="'13_CONTEO'!I9" tooltip="Toma física (conteo) colaborativa" display="✓ Conteo" xr:uid="{00000000-0004-0000-0100-000008000000}"/>
    <hyperlink ref="K5" location="'99_AYUDA'!A1" tooltip="Guía de uso, acceso e instalación" display="? Guía" xr:uid="{00000000-0004-0000-0100-000009000000}"/>
    <hyperlink ref="B12" location="'10B_SALIDAS'!E9" tooltip="Ir a su fila de captura en 10B_SALIDAS" display="⇧  REGISTRAR SALIDA" xr:uid="{00000000-0004-0000-0100-00000A000000}"/>
    <hyperlink ref="F12" location="'17_CONSULTA'!C9" tooltip="Ficha al instante en su fila de 17_CONSULTA: disponible exacto, estado, cobertura y último movimiento" display="⌕  CONSULTAR PRODUCTO" xr:uid="{00000000-0004-0000-0100-00000B000000}"/>
    <hyperlink ref="J12" location="'15_STOCK'!B8" tooltip="Instantánea de stock de todos los productos (filtre en su Vista de hoja)" display="▦  STOCK COMPLETO" xr:uid="{00000000-0004-0000-0100-00000C00000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6324F"/>
  </sheetPr>
  <dimension ref="B1:M52"/>
  <sheetViews>
    <sheetView showGridLines="0" showRowColHeaders="0" workbookViewId="0">
      <selection activeCell="B12" sqref="B12"/>
    </sheetView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3.42578125" customWidth="1"/>
    <col min="15" max="15" width="0" hidden="1" customWidth="1"/>
  </cols>
  <sheetData>
    <row r="1" spans="2:13" s="1" customFormat="1" ht="4.5" customHeight="1" x14ac:dyDescent="0.25"/>
    <row r="2" spans="2:13" s="1" customFormat="1" ht="22.5" customHeight="1" x14ac:dyDescent="0.25">
      <c r="B2" s="2" t="s">
        <v>2472</v>
      </c>
      <c r="J2" s="89" t="str">
        <f ca="1">txtHoy</f>
        <v>Hoy · 25/09/2026</v>
      </c>
      <c r="K2" s="90"/>
      <c r="L2" s="90"/>
      <c r="M2" s="90"/>
    </row>
    <row r="3" spans="2:13" s="1" customFormat="1" ht="14.25" x14ac:dyDescent="0.25">
      <c r="B3" s="3" t="str">
        <f>txtEmpresa</f>
        <v>Distribuidora Demo S.A.S.   ·   Bodega Principal</v>
      </c>
      <c r="J3" s="91" t="s">
        <v>2448</v>
      </c>
      <c r="K3" s="91"/>
      <c r="L3" s="91"/>
      <c r="M3" s="91"/>
    </row>
    <row r="4" spans="2:13" s="1" customFormat="1" ht="4.5" customHeight="1" x14ac:dyDescent="0.25"/>
    <row r="5" spans="2:13" s="4" customFormat="1" ht="21" customHeight="1" x14ac:dyDescent="0.25">
      <c r="B5" s="6" t="s">
        <v>85</v>
      </c>
      <c r="C5" s="6" t="s">
        <v>86</v>
      </c>
      <c r="D5" s="5" t="s">
        <v>87</v>
      </c>
      <c r="E5" s="6" t="s">
        <v>88</v>
      </c>
      <c r="F5" s="6" t="s">
        <v>89</v>
      </c>
      <c r="G5" s="6" t="s">
        <v>90</v>
      </c>
      <c r="H5" s="6" t="s">
        <v>91</v>
      </c>
      <c r="I5" s="6" t="s">
        <v>92</v>
      </c>
      <c r="J5" s="6" t="s">
        <v>93</v>
      </c>
      <c r="K5" s="6" t="s">
        <v>94</v>
      </c>
    </row>
    <row r="6" spans="2:13" s="7" customFormat="1" ht="7.5" customHeight="1" x14ac:dyDescent="0.25"/>
    <row r="7" spans="2:13" s="7" customFormat="1" ht="30" customHeight="1" x14ac:dyDescent="0.25">
      <c r="B7" s="92" t="str">
        <f>txtFrescura&amp;"      ·      "&amp;txtStockActualizado</f>
        <v>⚠ 3 movimiento(s) nuevo(s) desde el cálculo: recalcule      ·      Calculado el 25/09/2026 14:40 · Administrador M-INV</v>
      </c>
      <c r="C7" s="92"/>
      <c r="D7" s="92"/>
      <c r="E7" s="92"/>
      <c r="F7" s="92"/>
      <c r="G7" s="92"/>
      <c r="H7" s="92"/>
      <c r="I7" s="92"/>
      <c r="J7" s="93" t="s">
        <v>2346</v>
      </c>
      <c r="K7" s="93"/>
      <c r="L7" s="93"/>
      <c r="M7" s="93"/>
    </row>
    <row r="8" spans="2:13" s="7" customFormat="1" ht="6" customHeight="1" x14ac:dyDescent="0.25"/>
    <row r="9" spans="2:13" s="7" customFormat="1" ht="25.5" customHeight="1" x14ac:dyDescent="0.25">
      <c r="B9" s="94" t="str">
        <f>txtPasoGerencia</f>
        <v>● 10 producto(s) requieren acción · pedido sugerido $ 15.285.000 en 10 línea(s)</v>
      </c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</row>
    <row r="10" spans="2:13" s="7" customFormat="1" ht="7.5" customHeight="1" x14ac:dyDescent="0.25"/>
    <row r="11" spans="2:13" s="7" customFormat="1" ht="16.5" customHeight="1" x14ac:dyDescent="0.25">
      <c r="B11" s="7" t="s">
        <v>2473</v>
      </c>
    </row>
    <row r="12" spans="2:13" s="7" customFormat="1" ht="27" customHeight="1" x14ac:dyDescent="0.25">
      <c r="B12" s="114" t="s">
        <v>2474</v>
      </c>
      <c r="C12" s="114"/>
      <c r="D12" s="114"/>
      <c r="E12" s="119" t="str">
        <f>HYPERLINK("#'16_ALERTAS'!A1",txtAlertasBtn)</f>
        <v>⚠  ALERTAS DE STOCK CRÍTICO (10)</v>
      </c>
      <c r="F12" s="119"/>
      <c r="G12" s="119"/>
      <c r="H12" s="113" t="str">
        <f>HYPERLINK("#'18_PEDIDO'!A1",txtPedidoBtn)</f>
        <v>✚  PEDIDO SUGERIDO  ·  $ 15.285.000</v>
      </c>
      <c r="I12" s="113"/>
      <c r="J12" s="113"/>
      <c r="K12" s="115" t="s">
        <v>2475</v>
      </c>
      <c r="L12" s="115"/>
      <c r="M12" s="115"/>
    </row>
    <row r="13" spans="2:13" s="7" customFormat="1" ht="27" customHeight="1" x14ac:dyDescent="0.25">
      <c r="B13" s="114"/>
      <c r="C13" s="114"/>
      <c r="D13" s="114"/>
      <c r="E13" s="119"/>
      <c r="F13" s="119"/>
      <c r="G13" s="119"/>
      <c r="H13" s="113"/>
      <c r="I13" s="113"/>
      <c r="J13" s="113"/>
      <c r="K13" s="115"/>
      <c r="L13" s="115"/>
      <c r="M13" s="115"/>
    </row>
    <row r="14" spans="2:13" s="7" customFormat="1" ht="9" customHeight="1" x14ac:dyDescent="0.25"/>
    <row r="15" spans="2:13" s="7" customFormat="1" ht="16.5" customHeight="1" x14ac:dyDescent="0.25">
      <c r="B15" s="7" t="s">
        <v>2453</v>
      </c>
    </row>
    <row r="16" spans="2:13" s="7" customFormat="1" ht="14.25" x14ac:dyDescent="0.25">
      <c r="B16" s="107" t="s">
        <v>2457</v>
      </c>
      <c r="C16" s="107"/>
      <c r="D16" s="107"/>
      <c r="E16" s="103" t="s">
        <v>2476</v>
      </c>
      <c r="F16" s="103"/>
      <c r="G16" s="103"/>
      <c r="H16" s="105" t="s">
        <v>2477</v>
      </c>
      <c r="I16" s="105"/>
      <c r="J16" s="105"/>
      <c r="K16" s="117" t="s">
        <v>2478</v>
      </c>
      <c r="L16" s="117"/>
      <c r="M16" s="117"/>
    </row>
    <row r="17" spans="2:13" s="7" customFormat="1" ht="31.5" customHeight="1" x14ac:dyDescent="0.25">
      <c r="B17" s="108">
        <f>kpiValor</f>
        <v>14994250</v>
      </c>
      <c r="C17" s="101"/>
      <c r="D17" s="101"/>
      <c r="E17" s="104">
        <f>kpiEnAlerta</f>
        <v>10</v>
      </c>
      <c r="F17" s="101"/>
      <c r="G17" s="101"/>
      <c r="H17" s="120">
        <f>kpiPedidoTotal</f>
        <v>15285000</v>
      </c>
      <c r="I17" s="101"/>
      <c r="J17" s="101"/>
      <c r="K17" s="118">
        <f ca="1">kpiMovMes</f>
        <v>71</v>
      </c>
      <c r="L17" s="101"/>
      <c r="M17" s="101"/>
    </row>
    <row r="18" spans="2:13" s="7" customFormat="1" ht="14.25" x14ac:dyDescent="0.25">
      <c r="B18" s="102" t="str">
        <f>"a costo unitario de catálogo"</f>
        <v>a costo unitario de catálogo</v>
      </c>
      <c r="C18" s="101"/>
      <c r="D18" s="101"/>
      <c r="E18" s="102" t="str">
        <f>"agotados "&amp;kpiAgotados&amp;" · críticos "&amp;kpiCriticos&amp;" · bajos "&amp;kpiBajos</f>
        <v>agotados 3 · críticos 3 · bajos 4</v>
      </c>
      <c r="F18" s="101"/>
      <c r="G18" s="101"/>
      <c r="H18" s="102" t="str">
        <f>kpiPedidoLineas&amp;" línea(s) · "&amp;kpiPedidoProv&amp;" proveedor(es)"</f>
        <v>10 línea(s) · 5 proveedor(es)</v>
      </c>
      <c r="I18" s="101"/>
      <c r="J18" s="101"/>
      <c r="K18" s="102" t="str">
        <f>"entradas, ajustes y salidas consolidadas"</f>
        <v>entradas, ajustes y salidas consolidadas</v>
      </c>
      <c r="L18" s="101"/>
      <c r="M18" s="101"/>
    </row>
    <row r="19" spans="2:13" s="7" customFormat="1" ht="6" customHeight="1" x14ac:dyDescent="0.25"/>
    <row r="20" spans="2:13" s="7" customFormat="1" ht="14.25" x14ac:dyDescent="0.25">
      <c r="B20" s="99" t="s">
        <v>2479</v>
      </c>
      <c r="C20" s="99"/>
      <c r="D20" s="99"/>
      <c r="E20" s="121" t="s">
        <v>2480</v>
      </c>
      <c r="F20" s="121"/>
      <c r="G20" s="121"/>
      <c r="H20" s="103" t="s">
        <v>2481</v>
      </c>
      <c r="I20" s="103"/>
      <c r="J20" s="103"/>
      <c r="K20" s="123" t="s">
        <v>2482</v>
      </c>
      <c r="L20" s="123"/>
      <c r="M20" s="123"/>
    </row>
    <row r="21" spans="2:13" s="7" customFormat="1" ht="31.5" customHeight="1" x14ac:dyDescent="0.25">
      <c r="B21" s="100">
        <f>kpiUnid30</f>
        <v>1879.5</v>
      </c>
      <c r="C21" s="101"/>
      <c r="D21" s="101"/>
      <c r="E21" s="122">
        <f>IF(kpiCobMed="","—",kpiCobMed)</f>
        <v>37</v>
      </c>
      <c r="F21" s="101"/>
      <c r="G21" s="101"/>
      <c r="H21" s="104">
        <f ca="1">kpiBloqMes</f>
        <v>4</v>
      </c>
      <c r="I21" s="101"/>
      <c r="J21" s="101"/>
      <c r="K21" s="124">
        <f>kpiUsuarios</f>
        <v>6</v>
      </c>
      <c r="L21" s="101"/>
      <c r="M21" s="101"/>
    </row>
    <row r="22" spans="2:13" s="7" customFormat="1" ht="14.25" x14ac:dyDescent="0.25">
      <c r="B22" s="102" t="str">
        <f>"salidas consolidadas de 10B"</f>
        <v>salidas consolidadas de 10B</v>
      </c>
      <c r="C22" s="101"/>
      <c r="D22" s="101"/>
      <c r="E22" s="102" t="str">
        <f>"días de stock al ritmo de venta actual"</f>
        <v>días de stock al ritmo de venta actual</v>
      </c>
      <c r="F22" s="101"/>
      <c r="G22" s="101"/>
      <c r="H22" s="102" t="str">
        <f>"intentos rechazados por los scripts"</f>
        <v>intentos rechazados por los scripts</v>
      </c>
      <c r="I22" s="101"/>
      <c r="J22" s="101"/>
      <c r="K22" s="102" t="str">
        <f>"administradores: "&amp;kpiAdmins</f>
        <v>administradores: 1</v>
      </c>
      <c r="L22" s="101"/>
      <c r="M22" s="101"/>
    </row>
    <row r="23" spans="2:13" s="7" customFormat="1" ht="9" customHeight="1" x14ac:dyDescent="0.25"/>
    <row r="24" spans="2:13" s="7" customFormat="1" ht="16.5" customHeight="1" x14ac:dyDescent="0.25">
      <c r="B24" s="7" t="s">
        <v>2483</v>
      </c>
    </row>
    <row r="25" spans="2:13" s="7" customFormat="1" ht="16.5" customHeight="1" x14ac:dyDescent="0.25"/>
    <row r="26" spans="2:13" s="7" customFormat="1" ht="16.5" customHeight="1" x14ac:dyDescent="0.25"/>
    <row r="27" spans="2:13" s="7" customFormat="1" ht="16.5" customHeight="1" x14ac:dyDescent="0.25"/>
    <row r="28" spans="2:13" s="7" customFormat="1" ht="16.5" customHeight="1" x14ac:dyDescent="0.25"/>
    <row r="29" spans="2:13" s="7" customFormat="1" ht="16.5" customHeight="1" x14ac:dyDescent="0.25"/>
    <row r="30" spans="2:13" s="7" customFormat="1" ht="16.5" customHeight="1" x14ac:dyDescent="0.25"/>
    <row r="31" spans="2:13" s="7" customFormat="1" ht="16.5" customHeight="1" x14ac:dyDescent="0.25"/>
    <row r="32" spans="2:13" s="7" customFormat="1" ht="16.5" customHeight="1" x14ac:dyDescent="0.25"/>
    <row r="33" spans="2:13" s="7" customFormat="1" ht="16.5" customHeight="1" x14ac:dyDescent="0.25"/>
    <row r="34" spans="2:13" s="7" customFormat="1" ht="16.5" customHeight="1" x14ac:dyDescent="0.25"/>
    <row r="35" spans="2:13" s="7" customFormat="1" ht="16.5" customHeight="1" x14ac:dyDescent="0.25"/>
    <row r="36" spans="2:13" s="7" customFormat="1" ht="16.5" customHeight="1" x14ac:dyDescent="0.25"/>
    <row r="37" spans="2:13" s="7" customFormat="1" ht="16.5" customHeight="1" x14ac:dyDescent="0.25"/>
    <row r="38" spans="2:13" s="7" customFormat="1" ht="9" customHeight="1" x14ac:dyDescent="0.25"/>
    <row r="39" spans="2:13" s="7" customFormat="1" ht="16.5" customHeight="1" x14ac:dyDescent="0.25">
      <c r="B39" s="7" t="s">
        <v>2484</v>
      </c>
      <c r="H39" s="7" t="s">
        <v>2485</v>
      </c>
    </row>
    <row r="40" spans="2:13" s="7" customFormat="1" ht="18" customHeight="1" x14ac:dyDescent="0.25">
      <c r="B40" s="8" t="s">
        <v>2349</v>
      </c>
      <c r="C40" s="109" t="s">
        <v>161</v>
      </c>
      <c r="D40" s="109"/>
      <c r="E40" s="109"/>
      <c r="F40" s="8" t="s">
        <v>2486</v>
      </c>
      <c r="G40" s="8" t="s">
        <v>2487</v>
      </c>
      <c r="H40" s="109" t="s">
        <v>326</v>
      </c>
      <c r="I40" s="109"/>
      <c r="J40" s="8" t="s">
        <v>97</v>
      </c>
      <c r="K40" s="8" t="s">
        <v>2488</v>
      </c>
      <c r="L40" s="8" t="s">
        <v>2489</v>
      </c>
      <c r="M40" s="8" t="s">
        <v>2490</v>
      </c>
    </row>
    <row r="41" spans="2:13" s="7" customFormat="1" ht="16.5" customHeight="1" x14ac:dyDescent="0.25">
      <c r="B41" s="13">
        <f>IF(ISNA(MATCH(1,tblStock[RankSalidas30d],0)),"",1)</f>
        <v>1</v>
      </c>
      <c r="C41" s="110" t="str">
        <f>IFERROR(INDEX(tblStock[SKU],MATCH(1,tblStock[RankSalidas30d],0))&amp;" · "&amp;INDEX(tblStock[Producto],MATCH(1,tblStock[RankSalidas30d],0)),"")</f>
        <v>ELE-007 · Cable dúplex 2x14 AWG (por metro)</v>
      </c>
      <c r="D41" s="110"/>
      <c r="E41" s="110"/>
      <c r="F41" s="10">
        <f>IFERROR(INDEX(tblStock[Salidas30d],MATCH(1,tblStock[RankSalidas30d],0)),"")</f>
        <v>700</v>
      </c>
      <c r="G41" s="14">
        <f>IFERROR(INDEX(tblStock[CoberturaDias],MATCH(1,tblStock[RankSalidas30d],0)),"")</f>
        <v>15</v>
      </c>
      <c r="H41" s="110" t="str">
        <f>IF(INDEX(tblUsuarios[Correo],1)="","",INDEX(tblUsuarios[Nombre],1))</f>
        <v>Administrador M-INV</v>
      </c>
      <c r="I41" s="110"/>
      <c r="J41" s="13" t="str">
        <f>IF(INDEX(tblUsuarios[Correo],1)="","",INDEX(tblUsuarios[Rol],1))</f>
        <v>ADMIN</v>
      </c>
      <c r="K41" s="10">
        <f ca="1">IF(INDEX(tblUsuarios[Correo],1)="","",COUNTIFS(tblEntradas[Usuario_O365],INDEX(tblUsuarios[Correo],1),tblEntradas[Fecha],"&gt;="&amp;DATE(YEAR(TODAY()),MONTH(TODAY()),1),tblEntradas[Estado],"✔*")+COUNTIFS(tblSalidas[Usuario_O365],INDEX(tblUsuarios[Correo],1),tblSalidas[Fecha],"&gt;="&amp;DATE(YEAR(TODAY()),MONTH(TODAY()),1),tblSalidas[Estado],"✔*"))</f>
        <v>0</v>
      </c>
      <c r="L41" s="10">
        <f ca="1">IF(INDEX(tblUsuarios[Correo],1)="","",COUNTIFS(tblActividad[Usuario_O365],INDEX(tblUsuarios[Correo],1),tblActividad[Resultado],"✖*",tblActividad[Timestamp],"&gt;="&amp;DATE(YEAR(TODAY()),MONTH(TODAY()),1)))</f>
        <v>0</v>
      </c>
      <c r="M41" s="15" t="str">
        <f>IF(INDEX(tblUsuarios[Correo],1)="","",IF(MAX(IFERROR(_xlfn.AGGREGATE(14,6,tblEntradas[Timestamp]/(tblEntradas[Usuario_O365]=INDEX(tblUsuarios[Correo],1)),1),0),IFERROR(_xlfn.AGGREGATE(14,6,tblSalidas[Timestamp]/(tblSalidas[Usuario_O365]=INDEX(tblUsuarios[Correo],1)),1),0))=0,"—",MAX(IFERROR(_xlfn.AGGREGATE(14,6,tblEntradas[Timestamp]/(tblEntradas[Usuario_O365]=INDEX(tblUsuarios[Correo],1)),1),0),IFERROR(_xlfn.AGGREGATE(14,6,tblSalidas[Timestamp]/(tblSalidas[Usuario_O365]=INDEX(tblUsuarios[Correo],1)),1),0))))</f>
        <v>—</v>
      </c>
    </row>
    <row r="42" spans="2:13" s="7" customFormat="1" ht="16.5" customHeight="1" x14ac:dyDescent="0.25">
      <c r="B42" s="13">
        <f>IF(ISNA(MATCH(2,tblStock[RankSalidas30d],0)),"",2)</f>
        <v>2</v>
      </c>
      <c r="C42" s="110" t="str">
        <f>IFERROR(INDEX(tblStock[SKU],MATCH(2,tblStock[RankSalidas30d],0))&amp;" · "&amp;INDEX(tblStock[Producto],MATCH(2,tblStock[RankSalidas30d],0)),"")</f>
        <v>PLO-002 · Codo PVC 1/2" x 90°</v>
      </c>
      <c r="D42" s="110"/>
      <c r="E42" s="110"/>
      <c r="F42" s="10">
        <f>IFERROR(INDEX(tblStock[Salidas30d],MATCH(2,tblStock[RankSalidas30d],0)),"")</f>
        <v>215</v>
      </c>
      <c r="G42" s="14">
        <f>IFERROR(INDEX(tblStock[CoberturaDias],MATCH(2,tblStock[RankSalidas30d],0)),"")</f>
        <v>11</v>
      </c>
      <c r="H42" s="110" t="str">
        <f>IF(INDEX(tblUsuarios[Correo],2)="","",INDEX(tblUsuarios[Nombre],2))</f>
        <v>Ana Gómez</v>
      </c>
      <c r="I42" s="110"/>
      <c r="J42" s="13" t="str">
        <f>IF(INDEX(tblUsuarios[Correo],2)="","",INDEX(tblUsuarios[Rol],2))</f>
        <v>BODEGA</v>
      </c>
      <c r="K42" s="10">
        <f ca="1">IF(INDEX(tblUsuarios[Correo],2)="","",COUNTIFS(tblEntradas[Usuario_O365],INDEX(tblUsuarios[Correo],2),tblEntradas[Fecha],"&gt;="&amp;DATE(YEAR(TODAY()),MONTH(TODAY()),1),tblEntradas[Estado],"✔*")+COUNTIFS(tblSalidas[Usuario_O365],INDEX(tblUsuarios[Correo],2),tblSalidas[Fecha],"&gt;="&amp;DATE(YEAR(TODAY()),MONTH(TODAY()),1),tblSalidas[Estado],"✔*"))</f>
        <v>9</v>
      </c>
      <c r="L42" s="10">
        <f ca="1">IF(INDEX(tblUsuarios[Correo],2)="","",COUNTIFS(tblActividad[Usuario_O365],INDEX(tblUsuarios[Correo],2),tblActividad[Resultado],"✖*",tblActividad[Timestamp],"&gt;="&amp;DATE(YEAR(TODAY()),MONTH(TODAY()),1)))</f>
        <v>0</v>
      </c>
      <c r="M42" s="15">
        <f>IF(INDEX(tblUsuarios[Correo],2)="","",IF(MAX(IFERROR(_xlfn.AGGREGATE(14,6,tblEntradas[Timestamp]/(tblEntradas[Usuario_O365]=INDEX(tblUsuarios[Correo],2)),1),0),IFERROR(_xlfn.AGGREGATE(14,6,tblSalidas[Timestamp]/(tblSalidas[Usuario_O365]=INDEX(tblUsuarios[Correo],2)),1),0))=0,"—",MAX(IFERROR(_xlfn.AGGREGATE(14,6,tblEntradas[Timestamp]/(tblEntradas[Usuario_O365]=INDEX(tblUsuarios[Correo],2)),1),0),IFERROR(_xlfn.AGGREGATE(14,6,tblSalidas[Timestamp]/(tblSalidas[Usuario_O365]=INDEX(tblUsuarios[Correo],2)),1),0))))</f>
        <v>46290.692650462966</v>
      </c>
    </row>
    <row r="43" spans="2:13" s="7" customFormat="1" ht="16.5" customHeight="1" x14ac:dyDescent="0.25">
      <c r="B43" s="13">
        <f>IF(ISNA(MATCH(3,tblStock[RankSalidas30d],0)),"",3)</f>
        <v>3</v>
      </c>
      <c r="C43" s="110" t="str">
        <f>IFERROR(INDEX(tblStock[SKU],MATCH(3,tblStock[RankSalidas30d],0))&amp;" · "&amp;INDEX(tblStock[Producto],MATCH(3,tblStock[RankSalidas30d],0)),"")</f>
        <v>ELE-005 · Cinta aislante negra 3/4"</v>
      </c>
      <c r="D43" s="110"/>
      <c r="E43" s="110"/>
      <c r="F43" s="10">
        <f>IFERROR(INDEX(tblStock[Salidas30d],MATCH(3,tblStock[RankSalidas30d],0)),"")</f>
        <v>186</v>
      </c>
      <c r="G43" s="14">
        <f>IFERROR(INDEX(tblStock[CoberturaDias],MATCH(3,tblStock[RankSalidas30d],0)),"")</f>
        <v>27</v>
      </c>
      <c r="H43" s="110" t="str">
        <f>IF(INDEX(tblUsuarios[Correo],3)="","",INDEX(tblUsuarios[Nombre],3))</f>
        <v>Laura Méndez</v>
      </c>
      <c r="I43" s="110"/>
      <c r="J43" s="13" t="str">
        <f>IF(INDEX(tblUsuarios[Correo],3)="","",INDEX(tblUsuarios[Rol],3))</f>
        <v>BODEGA</v>
      </c>
      <c r="K43" s="10">
        <f ca="1">IF(INDEX(tblUsuarios[Correo],3)="","",COUNTIFS(tblEntradas[Usuario_O365],INDEX(tblUsuarios[Correo],3),tblEntradas[Fecha],"&gt;="&amp;DATE(YEAR(TODAY()),MONTH(TODAY()),1),tblEntradas[Estado],"✔*")+COUNTIFS(tblSalidas[Usuario_O365],INDEX(tblUsuarios[Correo],3),tblSalidas[Fecha],"&gt;="&amp;DATE(YEAR(TODAY()),MONTH(TODAY()),1),tblSalidas[Estado],"✔*"))</f>
        <v>1</v>
      </c>
      <c r="L43" s="10">
        <f ca="1">IF(INDEX(tblUsuarios[Correo],3)="","",COUNTIFS(tblActividad[Usuario_O365],INDEX(tblUsuarios[Correo],3),tblActividad[Resultado],"✖*",tblActividad[Timestamp],"&gt;="&amp;DATE(YEAR(TODAY()),MONTH(TODAY()),1)))</f>
        <v>0</v>
      </c>
      <c r="M43" s="15">
        <f>IF(INDEX(tblUsuarios[Correo],3)="","",IF(MAX(IFERROR(_xlfn.AGGREGATE(14,6,tblEntradas[Timestamp]/(tblEntradas[Usuario_O365]=INDEX(tblUsuarios[Correo],3)),1),0),IFERROR(_xlfn.AGGREGATE(14,6,tblSalidas[Timestamp]/(tblSalidas[Usuario_O365]=INDEX(tblUsuarios[Correo],3)),1),0))=0,"—",MAX(IFERROR(_xlfn.AGGREGATE(14,6,tblEntradas[Timestamp]/(tblEntradas[Usuario_O365]=INDEX(tblUsuarios[Correo],3)),1),0),IFERROR(_xlfn.AGGREGATE(14,6,tblSalidas[Timestamp]/(tblSalidas[Usuario_O365]=INDEX(tblUsuarios[Correo],3)),1),0))))</f>
        <v>46272.326898148152</v>
      </c>
    </row>
    <row r="44" spans="2:13" s="7" customFormat="1" ht="16.5" customHeight="1" x14ac:dyDescent="0.25">
      <c r="B44" s="13">
        <f>IF(ISNA(MATCH(4,tblStock[RankSalidas30d],0)),"",4)</f>
        <v>4</v>
      </c>
      <c r="C44" s="110" t="str">
        <f>IFERROR(INDEX(tblStock[SKU],MATCH(4,tblStock[RankSalidas30d],0))&amp;" · "&amp;INDEX(tblStock[Producto],MATCH(4,tblStock[RankSalidas30d],0)),"")</f>
        <v>FER-005 · Disco de corte metal 4-1/2"</v>
      </c>
      <c r="D44" s="110"/>
      <c r="E44" s="110"/>
      <c r="F44" s="10">
        <f>IFERROR(INDEX(tblStock[Salidas30d],MATCH(4,tblStock[RankSalidas30d],0)),"")</f>
        <v>171</v>
      </c>
      <c r="G44" s="14">
        <f>IFERROR(INDEX(tblStock[CoberturaDias],MATCH(4,tblStock[RankSalidas30d],0)),"")</f>
        <v>2</v>
      </c>
      <c r="H44" s="110" t="str">
        <f>IF(INDEX(tblUsuarios[Correo],4)="","",INDEX(tblUsuarios[Nombre],4))</f>
        <v>Carlos Ruiz</v>
      </c>
      <c r="I44" s="110"/>
      <c r="J44" s="13" t="str">
        <f>IF(INDEX(tblUsuarios[Correo],4)="","",INDEX(tblUsuarios[Rol],4))</f>
        <v>VENTAS</v>
      </c>
      <c r="K44" s="10">
        <f ca="1">IF(INDEX(tblUsuarios[Correo],4)="","",COUNTIFS(tblEntradas[Usuario_O365],INDEX(tblUsuarios[Correo],4),tblEntradas[Fecha],"&gt;="&amp;DATE(YEAR(TODAY()),MONTH(TODAY()),1),tblEntradas[Estado],"✔*")+COUNTIFS(tblSalidas[Usuario_O365],INDEX(tblUsuarios[Correo],4),tblSalidas[Fecha],"&gt;="&amp;DATE(YEAR(TODAY()),MONTH(TODAY()),1),tblSalidas[Estado],"✔*"))</f>
        <v>30</v>
      </c>
      <c r="L44" s="10">
        <f ca="1">IF(INDEX(tblUsuarios[Correo],4)="","",COUNTIFS(tblActividad[Usuario_O365],INDEX(tblUsuarios[Correo],4),tblActividad[Resultado],"✖*",tblActividad[Timestamp],"&gt;="&amp;DATE(YEAR(TODAY()),MONTH(TODAY()),1)))</f>
        <v>4</v>
      </c>
      <c r="M44" s="15">
        <f>IF(INDEX(tblUsuarios[Correo],4)="","",IF(MAX(IFERROR(_xlfn.AGGREGATE(14,6,tblEntradas[Timestamp]/(tblEntradas[Usuario_O365]=INDEX(tblUsuarios[Correo],4)),1),0),IFERROR(_xlfn.AGGREGATE(14,6,tblSalidas[Timestamp]/(tblSalidas[Usuario_O365]=INDEX(tblUsuarios[Correo],4)),1),0))=0,"—",MAX(IFERROR(_xlfn.AGGREGATE(14,6,tblEntradas[Timestamp]/(tblEntradas[Usuario_O365]=INDEX(tblUsuarios[Correo],4)),1),0),IFERROR(_xlfn.AGGREGATE(14,6,tblSalidas[Timestamp]/(tblSalidas[Usuario_O365]=INDEX(tblUsuarios[Correo],4)),1),0))))</f>
        <v>46290.63009259259</v>
      </c>
    </row>
    <row r="45" spans="2:13" s="7" customFormat="1" ht="16.5" customHeight="1" x14ac:dyDescent="0.25">
      <c r="B45" s="13">
        <f>IF(ISNA(MATCH(5,tblStock[RankSalidas30d],0)),"",5)</f>
        <v>5</v>
      </c>
      <c r="C45" s="110" t="str">
        <f>IFERROR(INDEX(tblStock[SKU],MATCH(5,tblStock[RankSalidas30d],0))&amp;" · "&amp;INDEX(tblStock[Producto],MATCH(5,tblStock[RankSalidas30d],0)),"")</f>
        <v>PLO-005 · Cinta teflón 1/2" x 10 m</v>
      </c>
      <c r="D45" s="110"/>
      <c r="E45" s="110"/>
      <c r="F45" s="10">
        <f>IFERROR(INDEX(tblStock[Salidas30d],MATCH(5,tblStock[RankSalidas30d],0)),"")</f>
        <v>123</v>
      </c>
      <c r="G45" s="14">
        <f>IFERROR(INDEX(tblStock[CoberturaDias],MATCH(5,tblStock[RankSalidas30d],0)),"")</f>
        <v>79</v>
      </c>
      <c r="H45" s="110" t="str">
        <f>IF(INDEX(tblUsuarios[Correo],5)="","",INDEX(tblUsuarios[Nombre],5))</f>
        <v>Sofía López</v>
      </c>
      <c r="I45" s="110"/>
      <c r="J45" s="13" t="str">
        <f>IF(INDEX(tblUsuarios[Correo],5)="","",INDEX(tblUsuarios[Rol],5))</f>
        <v>VENTAS</v>
      </c>
      <c r="K45" s="10">
        <f ca="1">IF(INDEX(tblUsuarios[Correo],5)="","",COUNTIFS(tblEntradas[Usuario_O365],INDEX(tblUsuarios[Correo],5),tblEntradas[Fecha],"&gt;="&amp;DATE(YEAR(TODAY()),MONTH(TODAY()),1),tblEntradas[Estado],"✔*")+COUNTIFS(tblSalidas[Usuario_O365],INDEX(tblUsuarios[Correo],5),tblSalidas[Fecha],"&gt;="&amp;DATE(YEAR(TODAY()),MONTH(TODAY()),1),tblSalidas[Estado],"✔*"))</f>
        <v>31</v>
      </c>
      <c r="L45" s="10">
        <f ca="1">IF(INDEX(tblUsuarios[Correo],5)="","",COUNTIFS(tblActividad[Usuario_O365],INDEX(tblUsuarios[Correo],5),tblActividad[Resultado],"✖*",tblActividad[Timestamp],"&gt;="&amp;DATE(YEAR(TODAY()),MONTH(TODAY()),1)))</f>
        <v>0</v>
      </c>
      <c r="M45" s="15">
        <f>IF(INDEX(tblUsuarios[Correo],5)="","",IF(MAX(IFERROR(_xlfn.AGGREGATE(14,6,tblEntradas[Timestamp]/(tblEntradas[Usuario_O365]=INDEX(tblUsuarios[Correo],5)),1),0),IFERROR(_xlfn.AGGREGATE(14,6,tblSalidas[Timestamp]/(tblSalidas[Usuario_O365]=INDEX(tblUsuarios[Correo],5)),1),0))=0,"—",MAX(IFERROR(_xlfn.AGGREGATE(14,6,tblEntradas[Timestamp]/(tblEntradas[Usuario_O365]=INDEX(tblUsuarios[Correo],5)),1),0),IFERROR(_xlfn.AGGREGATE(14,6,tblSalidas[Timestamp]/(tblSalidas[Usuario_O365]=INDEX(tblUsuarios[Correo],5)),1),0))))</f>
        <v>46290.610497685193</v>
      </c>
    </row>
    <row r="46" spans="2:13" s="7" customFormat="1" ht="16.5" customHeight="1" x14ac:dyDescent="0.25">
      <c r="B46" s="13">
        <f>IF(ISNA(MATCH(6,tblStock[RankSalidas30d],0)),"",6)</f>
        <v>6</v>
      </c>
      <c r="C46" s="110" t="str">
        <f>IFERROR(INDEX(tblStock[SKU],MATCH(6,tblStock[RankSalidas30d],0))&amp;" · "&amp;INDEX(tblStock[Producto],MATCH(6,tblStock[RankSalidas30d],0)),"")</f>
        <v>ELE-002 · Bombillo LED 9 W luz blanca</v>
      </c>
      <c r="D46" s="110"/>
      <c r="E46" s="110"/>
      <c r="F46" s="10">
        <f>IFERROR(INDEX(tblStock[Salidas30d],MATCH(6,tblStock[RankSalidas30d],0)),"")</f>
        <v>122</v>
      </c>
      <c r="G46" s="14">
        <f>IFERROR(INDEX(tblStock[CoberturaDias],MATCH(6,tblStock[RankSalidas30d],0)),"")</f>
        <v>38</v>
      </c>
      <c r="H46" s="110" t="str">
        <f>IF(INDEX(tblUsuarios[Correo],6)="","",INDEX(tblUsuarios[Nombre],6))</f>
        <v>Gerencia</v>
      </c>
      <c r="I46" s="110"/>
      <c r="J46" s="13" t="str">
        <f>IF(INDEX(tblUsuarios[Correo],6)="","",INDEX(tblUsuarios[Rol],6))</f>
        <v>CONSULTA</v>
      </c>
      <c r="K46" s="10">
        <f ca="1">IF(INDEX(tblUsuarios[Correo],6)="","",COUNTIFS(tblEntradas[Usuario_O365],INDEX(tblUsuarios[Correo],6),tblEntradas[Fecha],"&gt;="&amp;DATE(YEAR(TODAY()),MONTH(TODAY()),1),tblEntradas[Estado],"✔*")+COUNTIFS(tblSalidas[Usuario_O365],INDEX(tblUsuarios[Correo],6),tblSalidas[Fecha],"&gt;="&amp;DATE(YEAR(TODAY()),MONTH(TODAY()),1),tblSalidas[Estado],"✔*"))</f>
        <v>0</v>
      </c>
      <c r="L46" s="10">
        <f ca="1">IF(INDEX(tblUsuarios[Correo],6)="","",COUNTIFS(tblActividad[Usuario_O365],INDEX(tblUsuarios[Correo],6),tblActividad[Resultado],"✖*",tblActividad[Timestamp],"&gt;="&amp;DATE(YEAR(TODAY()),MONTH(TODAY()),1)))</f>
        <v>0</v>
      </c>
      <c r="M46" s="15" t="str">
        <f>IF(INDEX(tblUsuarios[Correo],6)="","",IF(MAX(IFERROR(_xlfn.AGGREGATE(14,6,tblEntradas[Timestamp]/(tblEntradas[Usuario_O365]=INDEX(tblUsuarios[Correo],6)),1),0),IFERROR(_xlfn.AGGREGATE(14,6,tblSalidas[Timestamp]/(tblSalidas[Usuario_O365]=INDEX(tblUsuarios[Correo],6)),1),0))=0,"—",MAX(IFERROR(_xlfn.AGGREGATE(14,6,tblEntradas[Timestamp]/(tblEntradas[Usuario_O365]=INDEX(tblUsuarios[Correo],6)),1),0),IFERROR(_xlfn.AGGREGATE(14,6,tblSalidas[Timestamp]/(tblSalidas[Usuario_O365]=INDEX(tblUsuarios[Correo],6)),1),0))))</f>
        <v>—</v>
      </c>
    </row>
    <row r="47" spans="2:13" s="7" customFormat="1" ht="16.5" customHeight="1" x14ac:dyDescent="0.25">
      <c r="B47" s="13">
        <f>IF(ISNA(MATCH(7,tblStock[RankSalidas30d],0)),"",7)</f>
        <v>7</v>
      </c>
      <c r="C47" s="110" t="str">
        <f>IFERROR(INDEX(tblStock[SKU],MATCH(7,tblStock[RankSalidas30d],0))&amp;" · "&amp;INDEX(tblStock[Producto],MATCH(7,tblStock[RankSalidas30d],0)),"")</f>
        <v>FER-001 · Tornillo drywall 6x1" (caja x100)</v>
      </c>
      <c r="D47" s="110"/>
      <c r="E47" s="110"/>
      <c r="F47" s="10">
        <f>IFERROR(INDEX(tblStock[Salidas30d],MATCH(7,tblStock[RankSalidas30d],0)),"")</f>
        <v>54</v>
      </c>
      <c r="G47" s="14">
        <f>IFERROR(INDEX(tblStock[CoberturaDias],MATCH(7,tblStock[RankSalidas30d],0)),"")</f>
        <v>12</v>
      </c>
      <c r="H47" s="110" t="str">
        <f>IF(INDEX(tblUsuarios[Correo],7)="","",INDEX(tblUsuarios[Nombre],7))</f>
        <v/>
      </c>
      <c r="I47" s="110"/>
      <c r="J47" s="13" t="str">
        <f>IF(INDEX(tblUsuarios[Correo],7)="","",INDEX(tblUsuarios[Rol],7))</f>
        <v/>
      </c>
      <c r="K47" s="10" t="str">
        <f ca="1">IF(INDEX(tblUsuarios[Correo],7)="","",COUNTIFS(tblEntradas[Usuario_O365],INDEX(tblUsuarios[Correo],7),tblEntradas[Fecha],"&gt;="&amp;DATE(YEAR(TODAY()),MONTH(TODAY()),1),tblEntradas[Estado],"✔*")+COUNTIFS(tblSalidas[Usuario_O365],INDEX(tblUsuarios[Correo],7),tblSalidas[Fecha],"&gt;="&amp;DATE(YEAR(TODAY()),MONTH(TODAY()),1),tblSalidas[Estado],"✔*"))</f>
        <v/>
      </c>
      <c r="L47" s="10" t="str">
        <f ca="1">IF(INDEX(tblUsuarios[Correo],7)="","",COUNTIFS(tblActividad[Usuario_O365],INDEX(tblUsuarios[Correo],7),tblActividad[Resultado],"✖*",tblActividad[Timestamp],"&gt;="&amp;DATE(YEAR(TODAY()),MONTH(TODAY()),1)))</f>
        <v/>
      </c>
      <c r="M47" s="15" t="str">
        <f>IF(INDEX(tblUsuarios[Correo],7)="","",IF(MAX(IFERROR(_xlfn.AGGREGATE(14,6,tblEntradas[Timestamp]/(tblEntradas[Usuario_O365]=INDEX(tblUsuarios[Correo],7)),1),0),IFERROR(_xlfn.AGGREGATE(14,6,tblSalidas[Timestamp]/(tblSalidas[Usuario_O365]=INDEX(tblUsuarios[Correo],7)),1),0))=0,"—",MAX(IFERROR(_xlfn.AGGREGATE(14,6,tblEntradas[Timestamp]/(tblEntradas[Usuario_O365]=INDEX(tblUsuarios[Correo],7)),1),0),IFERROR(_xlfn.AGGREGATE(14,6,tblSalidas[Timestamp]/(tblSalidas[Usuario_O365]=INDEX(tblUsuarios[Correo],7)),1),0))))</f>
        <v/>
      </c>
    </row>
    <row r="48" spans="2:13" s="7" customFormat="1" ht="16.5" customHeight="1" x14ac:dyDescent="0.25">
      <c r="B48" s="13">
        <f>IF(ISNA(MATCH(8,tblStock[RankSalidas30d],0)),"",8)</f>
        <v>8</v>
      </c>
      <c r="C48" s="110" t="str">
        <f>IFERROR(INDEX(tblStock[SKU],MATCH(8,tblStock[RankSalidas30d],0))&amp;" · "&amp;INDEX(tblStock[Producto],MATCH(8,tblStock[RankSalidas30d],0)),"")</f>
        <v>ASE-005 · Detergente en polvo</v>
      </c>
      <c r="D48" s="110"/>
      <c r="E48" s="110"/>
      <c r="F48" s="10">
        <f>IFERROR(INDEX(tblStock[Salidas30d],MATCH(8,tblStock[RankSalidas30d],0)),"")</f>
        <v>38</v>
      </c>
      <c r="G48" s="14">
        <f>IFERROR(INDEX(tblStock[CoberturaDias],MATCH(8,tblStock[RankSalidas30d],0)),"")</f>
        <v>39</v>
      </c>
      <c r="H48" s="110" t="str">
        <f>IF(INDEX(tblUsuarios[Correo],8)="","",INDEX(tblUsuarios[Nombre],8))</f>
        <v/>
      </c>
      <c r="I48" s="110"/>
      <c r="J48" s="13" t="str">
        <f>IF(INDEX(tblUsuarios[Correo],8)="","",INDEX(tblUsuarios[Rol],8))</f>
        <v/>
      </c>
      <c r="K48" s="10" t="str">
        <f ca="1">IF(INDEX(tblUsuarios[Correo],8)="","",COUNTIFS(tblEntradas[Usuario_O365],INDEX(tblUsuarios[Correo],8),tblEntradas[Fecha],"&gt;="&amp;DATE(YEAR(TODAY()),MONTH(TODAY()),1),tblEntradas[Estado],"✔*")+COUNTIFS(tblSalidas[Usuario_O365],INDEX(tblUsuarios[Correo],8),tblSalidas[Fecha],"&gt;="&amp;DATE(YEAR(TODAY()),MONTH(TODAY()),1),tblSalidas[Estado],"✔*"))</f>
        <v/>
      </c>
      <c r="L48" s="10" t="str">
        <f ca="1">IF(INDEX(tblUsuarios[Correo],8)="","",COUNTIFS(tblActividad[Usuario_O365],INDEX(tblUsuarios[Correo],8),tblActividad[Resultado],"✖*",tblActividad[Timestamp],"&gt;="&amp;DATE(YEAR(TODAY()),MONTH(TODAY()),1)))</f>
        <v/>
      </c>
      <c r="M48" s="15" t="str">
        <f>IF(INDEX(tblUsuarios[Correo],8)="","",IF(MAX(IFERROR(_xlfn.AGGREGATE(14,6,tblEntradas[Timestamp]/(tblEntradas[Usuario_O365]=INDEX(tblUsuarios[Correo],8)),1),0),IFERROR(_xlfn.AGGREGATE(14,6,tblSalidas[Timestamp]/(tblSalidas[Usuario_O365]=INDEX(tblUsuarios[Correo],8)),1),0))=0,"—",MAX(IFERROR(_xlfn.AGGREGATE(14,6,tblEntradas[Timestamp]/(tblEntradas[Usuario_O365]=INDEX(tblUsuarios[Correo],8)),1),0),IFERROR(_xlfn.AGGREGATE(14,6,tblSalidas[Timestamp]/(tblSalidas[Usuario_O365]=INDEX(tblUsuarios[Correo],8)),1),0))))</f>
        <v/>
      </c>
    </row>
    <row r="49" spans="2:13" s="7" customFormat="1" ht="16.5" customHeight="1" x14ac:dyDescent="0.25">
      <c r="B49" s="13">
        <f>IF(ISNA(MATCH(9,tblStock[RankSalidas30d],0)),"",9)</f>
        <v>9</v>
      </c>
      <c r="C49" s="110" t="str">
        <f>IFERROR(INDEX(tblStock[SKU],MATCH(9,tblStock[RankSalidas30d],0))&amp;" · "&amp;INDEX(tblStock[Producto],MATCH(9,tblStock[RankSalidas30d],0)),"")</f>
        <v>PLO-003 · Llave de paso 1/2" en bronce</v>
      </c>
      <c r="D49" s="110"/>
      <c r="E49" s="110"/>
      <c r="F49" s="10">
        <f>IFERROR(INDEX(tblStock[Salidas30d],MATCH(9,tblStock[RankSalidas30d],0)),"")</f>
        <v>37</v>
      </c>
      <c r="G49" s="14">
        <f>IFERROR(INDEX(tblStock[CoberturaDias],MATCH(9,tblStock[RankSalidas30d],0)),"")</f>
        <v>2</v>
      </c>
      <c r="H49" s="110" t="str">
        <f>IF(INDEX(tblUsuarios[Correo],9)="","",INDEX(tblUsuarios[Nombre],9))</f>
        <v/>
      </c>
      <c r="I49" s="110"/>
      <c r="J49" s="13" t="str">
        <f>IF(INDEX(tblUsuarios[Correo],9)="","",INDEX(tblUsuarios[Rol],9))</f>
        <v/>
      </c>
      <c r="K49" s="10" t="str">
        <f ca="1">IF(INDEX(tblUsuarios[Correo],9)="","",COUNTIFS(tblEntradas[Usuario_O365],INDEX(tblUsuarios[Correo],9),tblEntradas[Fecha],"&gt;="&amp;DATE(YEAR(TODAY()),MONTH(TODAY()),1),tblEntradas[Estado],"✔*")+COUNTIFS(tblSalidas[Usuario_O365],INDEX(tblUsuarios[Correo],9),tblSalidas[Fecha],"&gt;="&amp;DATE(YEAR(TODAY()),MONTH(TODAY()),1),tblSalidas[Estado],"✔*"))</f>
        <v/>
      </c>
      <c r="L49" s="10" t="str">
        <f ca="1">IF(INDEX(tblUsuarios[Correo],9)="","",COUNTIFS(tblActividad[Usuario_O365],INDEX(tblUsuarios[Correo],9),tblActividad[Resultado],"✖*",tblActividad[Timestamp],"&gt;="&amp;DATE(YEAR(TODAY()),MONTH(TODAY()),1)))</f>
        <v/>
      </c>
      <c r="M49" s="15" t="str">
        <f>IF(INDEX(tblUsuarios[Correo],9)="","",IF(MAX(IFERROR(_xlfn.AGGREGATE(14,6,tblEntradas[Timestamp]/(tblEntradas[Usuario_O365]=INDEX(tblUsuarios[Correo],9)),1),0),IFERROR(_xlfn.AGGREGATE(14,6,tblSalidas[Timestamp]/(tblSalidas[Usuario_O365]=INDEX(tblUsuarios[Correo],9)),1),0))=0,"—",MAX(IFERROR(_xlfn.AGGREGATE(14,6,tblEntradas[Timestamp]/(tblEntradas[Usuario_O365]=INDEX(tblUsuarios[Correo],9)),1),0),IFERROR(_xlfn.AGGREGATE(14,6,tblSalidas[Timestamp]/(tblSalidas[Usuario_O365]=INDEX(tblUsuarios[Correo],9)),1),0))))</f>
        <v/>
      </c>
    </row>
    <row r="50" spans="2:13" s="7" customFormat="1" ht="16.5" customHeight="1" x14ac:dyDescent="0.25">
      <c r="B50" s="13">
        <f>IF(ISNA(MATCH(10,tblStock[RankSalidas30d],0)),"",10)</f>
        <v>10</v>
      </c>
      <c r="C50" s="110" t="str">
        <f>IFERROR(INDEX(tblStock[SKU],MATCH(10,tblStock[RankSalidas30d],0))&amp;" · "&amp;INDEX(tblStock[Producto],MATCH(10,tblStock[RankSalidas30d],0)),"")</f>
        <v>ASE-002 · Hipoclorito de sodio 5%</v>
      </c>
      <c r="D50" s="110"/>
      <c r="E50" s="110"/>
      <c r="F50" s="10">
        <f>IFERROR(INDEX(tblStock[Salidas30d],MATCH(10,tblStock[RankSalidas30d],0)),"")</f>
        <v>32</v>
      </c>
      <c r="G50" s="14">
        <f>IFERROR(INDEX(tblStock[CoberturaDias],MATCH(10,tblStock[RankSalidas30d],0)),"")</f>
        <v>64</v>
      </c>
      <c r="H50" s="110" t="str">
        <f>IF(INDEX(tblUsuarios[Correo],10)="","",INDEX(tblUsuarios[Nombre],10))</f>
        <v/>
      </c>
      <c r="I50" s="110"/>
      <c r="J50" s="13" t="str">
        <f>IF(INDEX(tblUsuarios[Correo],10)="","",INDEX(tblUsuarios[Rol],10))</f>
        <v/>
      </c>
      <c r="K50" s="10" t="str">
        <f ca="1">IF(INDEX(tblUsuarios[Correo],10)="","",COUNTIFS(tblEntradas[Usuario_O365],INDEX(tblUsuarios[Correo],10),tblEntradas[Fecha],"&gt;="&amp;DATE(YEAR(TODAY()),MONTH(TODAY()),1),tblEntradas[Estado],"✔*")+COUNTIFS(tblSalidas[Usuario_O365],INDEX(tblUsuarios[Correo],10),tblSalidas[Fecha],"&gt;="&amp;DATE(YEAR(TODAY()),MONTH(TODAY()),1),tblSalidas[Estado],"✔*"))</f>
        <v/>
      </c>
      <c r="L50" s="10" t="str">
        <f ca="1">IF(INDEX(tblUsuarios[Correo],10)="","",COUNTIFS(tblActividad[Usuario_O365],INDEX(tblUsuarios[Correo],10),tblActividad[Resultado],"✖*",tblActividad[Timestamp],"&gt;="&amp;DATE(YEAR(TODAY()),MONTH(TODAY()),1)))</f>
        <v/>
      </c>
      <c r="M50" s="15" t="str">
        <f>IF(INDEX(tblUsuarios[Correo],10)="","",IF(MAX(IFERROR(_xlfn.AGGREGATE(14,6,tblEntradas[Timestamp]/(tblEntradas[Usuario_O365]=INDEX(tblUsuarios[Correo],10)),1),0),IFERROR(_xlfn.AGGREGATE(14,6,tblSalidas[Timestamp]/(tblSalidas[Usuario_O365]=INDEX(tblUsuarios[Correo],10)),1),0))=0,"—",MAX(IFERROR(_xlfn.AGGREGATE(14,6,tblEntradas[Timestamp]/(tblEntradas[Usuario_O365]=INDEX(tblUsuarios[Correo],10)),1),0),IFERROR(_xlfn.AGGREGATE(14,6,tblSalidas[Timestamp]/(tblSalidas[Usuario_O365]=INDEX(tblUsuarios[Correo],10)),1),0))))</f>
        <v/>
      </c>
    </row>
    <row r="51" spans="2:13" s="7" customFormat="1" ht="9" customHeight="1" x14ac:dyDescent="0.25"/>
    <row r="52" spans="2:13" s="7" customFormat="1" ht="19.5" customHeight="1" x14ac:dyDescent="0.25">
      <c r="B52" s="111" t="str">
        <f>txtBitacoras</f>
        <v>Bitácoras oficiales: 90 entradas/ajustes · 383 salidas</v>
      </c>
      <c r="C52" s="111"/>
      <c r="D52" s="111"/>
      <c r="E52" s="111"/>
      <c r="F52" s="111"/>
      <c r="G52" s="111"/>
      <c r="H52" s="111"/>
      <c r="I52" s="112" t="s">
        <v>2460</v>
      </c>
      <c r="J52" s="112"/>
      <c r="K52" s="112"/>
      <c r="L52" s="112"/>
      <c r="M52" s="112"/>
    </row>
  </sheetData>
  <sheetProtection password="930D" sheet="1" objects="1" scenarios="1"/>
  <mergeCells count="57">
    <mergeCell ref="C49:E49"/>
    <mergeCell ref="H49:I49"/>
    <mergeCell ref="C50:E50"/>
    <mergeCell ref="H50:I50"/>
    <mergeCell ref="B52:H52"/>
    <mergeCell ref="I52:M52"/>
    <mergeCell ref="C46:E46"/>
    <mergeCell ref="H46:I46"/>
    <mergeCell ref="C47:E47"/>
    <mergeCell ref="H47:I47"/>
    <mergeCell ref="C48:E48"/>
    <mergeCell ref="H48:I48"/>
    <mergeCell ref="C43:E43"/>
    <mergeCell ref="H43:I43"/>
    <mergeCell ref="C44:E44"/>
    <mergeCell ref="H44:I44"/>
    <mergeCell ref="C45:E45"/>
    <mergeCell ref="H45:I45"/>
    <mergeCell ref="C40:E40"/>
    <mergeCell ref="H40:I40"/>
    <mergeCell ref="C41:E41"/>
    <mergeCell ref="H41:I41"/>
    <mergeCell ref="C42:E42"/>
    <mergeCell ref="H42:I42"/>
    <mergeCell ref="H20:J20"/>
    <mergeCell ref="H21:J21"/>
    <mergeCell ref="H22:J22"/>
    <mergeCell ref="K20:M20"/>
    <mergeCell ref="K21:M21"/>
    <mergeCell ref="K22:M22"/>
    <mergeCell ref="B20:D20"/>
    <mergeCell ref="B21:D21"/>
    <mergeCell ref="B22:D22"/>
    <mergeCell ref="E20:G20"/>
    <mergeCell ref="E21:G21"/>
    <mergeCell ref="E22:G22"/>
    <mergeCell ref="H17:J17"/>
    <mergeCell ref="H18:J18"/>
    <mergeCell ref="K16:M16"/>
    <mergeCell ref="K17:M17"/>
    <mergeCell ref="K18:M18"/>
    <mergeCell ref="B17:D17"/>
    <mergeCell ref="B18:D18"/>
    <mergeCell ref="E16:G16"/>
    <mergeCell ref="E17:G17"/>
    <mergeCell ref="E18:G18"/>
    <mergeCell ref="B12:D13"/>
    <mergeCell ref="E12:G13"/>
    <mergeCell ref="H12:J13"/>
    <mergeCell ref="K12:M13"/>
    <mergeCell ref="B16:D16"/>
    <mergeCell ref="H16:J16"/>
    <mergeCell ref="J2:M2"/>
    <mergeCell ref="J3:M3"/>
    <mergeCell ref="B7:I7"/>
    <mergeCell ref="J7:M7"/>
    <mergeCell ref="B9:M9"/>
  </mergeCells>
  <conditionalFormatting sqref="B7:I7">
    <cfRule type="expression" dxfId="190" priority="1" stopIfTrue="1">
      <formula>N(stkActualizado)=0</formula>
    </cfRule>
    <cfRule type="expression" dxfId="189" priority="2" stopIfTrue="1">
      <formula>kpiNuevosDesdeCalculo&gt;0</formula>
    </cfRule>
    <cfRule type="expression" dxfId="188" priority="3" stopIfTrue="1">
      <formula>kpiNuevosDesdeCalculo=0</formula>
    </cfRule>
  </conditionalFormatting>
  <conditionalFormatting sqref="B9:M9">
    <cfRule type="expression" dxfId="187" priority="4">
      <formula>LEFT(txtPasoGerencia,1)="✖"</formula>
    </cfRule>
    <cfRule type="expression" dxfId="186" priority="5">
      <formula>LEFT(txtPasoGerencia,1)="●"</formula>
    </cfRule>
    <cfRule type="expression" dxfId="185" priority="6">
      <formula>LEFT(txtPasoGerencia,1)="✔"</formula>
    </cfRule>
  </conditionalFormatting>
  <conditionalFormatting sqref="F41:F50">
    <cfRule type="expression" dxfId="184" priority="7">
      <formula>AND(ISNUMBER(F41),F41&lt;&gt;INT(F41))</formula>
    </cfRule>
  </conditionalFormatting>
  <conditionalFormatting sqref="G41:G50">
    <cfRule type="expression" dxfId="183" priority="9">
      <formula>AND(ISNUMBER($G41),$G41&lt;7)</formula>
    </cfRule>
  </conditionalFormatting>
  <conditionalFormatting sqref="L41:L50">
    <cfRule type="cellIs" dxfId="182" priority="8" operator="greaterThan">
      <formula>0</formula>
    </cfRule>
  </conditionalFormatting>
  <hyperlinks>
    <hyperlink ref="B5" location="'00_PORTADA_BODEGA'!A1" tooltip="Portada de Bodega" display="⌂ Bodega" xr:uid="{00000000-0004-0000-0200-000000000000}"/>
    <hyperlink ref="C5" location="'00_PORTADA_VENTAS'!A1" tooltip="Portada de Ventas" display="⌂ Ventas" xr:uid="{00000000-0004-0000-0200-000001000000}"/>
    <hyperlink ref="D5" location="'00_PORTADA_GERENCIA'!A1" tooltip="Portada de Gerencia: indicadores, pedido y actividad" display="◈ Gerencia" xr:uid="{00000000-0004-0000-0200-000002000000}"/>
    <hyperlink ref="E5" location="'10A_ENTRADAS'!C9" tooltip="Registrar entradas y ajustes (Bodega)" display="⇩ Entradas" xr:uid="{00000000-0004-0000-0200-000003000000}"/>
    <hyperlink ref="F5" location="'10B_SALIDAS'!E9" tooltip="Registrar salidas (Ventas)" display="⇧ Salidas" xr:uid="{00000000-0004-0000-0200-000004000000}"/>
    <hyperlink ref="G5" location="'17_CONSULTA'!C9" tooltip="Consultar un producto en su fila" display="⌕ Consulta" xr:uid="{00000000-0004-0000-0200-000005000000}"/>
    <hyperlink ref="H5" location="'15_STOCK'!A1" tooltip="Stock (instantánea recalculada a demanda)" display="▦ Stock" xr:uid="{00000000-0004-0000-0200-000006000000}"/>
    <hyperlink ref="I5" location="'18_PEDIDO'!A1" tooltip="Pedido sugerido por proveedor" display="✚ Pedido" xr:uid="{00000000-0004-0000-0200-000007000000}"/>
    <hyperlink ref="J5" location="'13_CONTEO'!I9" tooltip="Toma física (conteo) colaborativa" display="✓ Conteo" xr:uid="{00000000-0004-0000-0200-000008000000}"/>
    <hyperlink ref="K5" location="'99_AYUDA'!A1" tooltip="Guía de uso, acceso e instalación" display="? Guía" xr:uid="{00000000-0004-0000-0200-000009000000}"/>
    <hyperlink ref="B12" location="'15_STOCK'!B8" tooltip="Instantánea de stock con cobertura en días y ranking de ventas" display="▦  STOCK Y COBERTURA" xr:uid="{00000000-0004-0000-0200-00000A000000}"/>
    <hyperlink ref="K12" location="'14_ACTIVIDAD'!B8" tooltip="Quién registró, recalculó o fue bloqueado, y cuándo" display="☰  ACTIVIDAD Y AUDITORÍA" xr:uid="{00000000-0004-0000-0200-00000B000000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4A3B8"/>
  </sheetPr>
  <dimension ref="B1:E41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35.7109375" customWidth="1"/>
    <col min="3" max="3" width="37.140625" customWidth="1"/>
    <col min="4" max="4" width="74.28515625" customWidth="1"/>
    <col min="5" max="5" width="31.42578125" customWidth="1"/>
  </cols>
  <sheetData>
    <row r="1" spans="2:4" s="1" customFormat="1" ht="6" customHeight="1" x14ac:dyDescent="0.25"/>
    <row r="2" spans="2:4" s="1" customFormat="1" ht="24" customHeight="1" x14ac:dyDescent="0.25">
      <c r="B2" s="2" t="s">
        <v>0</v>
      </c>
    </row>
    <row r="3" spans="2:4" s="1" customFormat="1" ht="14.25" x14ac:dyDescent="0.25">
      <c r="B3" s="3" t="s">
        <v>1</v>
      </c>
    </row>
    <row r="4" spans="2:4" s="1" customFormat="1" ht="7.5" customHeight="1" x14ac:dyDescent="0.25"/>
    <row r="5" spans="2:4" s="7" customFormat="1" ht="18" customHeight="1" x14ac:dyDescent="0.25"/>
    <row r="6" spans="2:4" s="7" customFormat="1" ht="12" customHeight="1" x14ac:dyDescent="0.25"/>
    <row r="7" spans="2:4" ht="15.75" x14ac:dyDescent="0.25">
      <c r="B7" s="16" t="s">
        <v>2</v>
      </c>
    </row>
    <row r="8" spans="2:4" x14ac:dyDescent="0.25">
      <c r="B8" s="17" t="s">
        <v>3</v>
      </c>
      <c r="C8" s="18" t="s">
        <v>4</v>
      </c>
      <c r="D8" s="17" t="s">
        <v>5</v>
      </c>
    </row>
    <row r="9" spans="2:4" x14ac:dyDescent="0.25">
      <c r="B9" s="19" t="s">
        <v>6</v>
      </c>
      <c r="C9" s="20" t="s">
        <v>7</v>
      </c>
      <c r="D9" s="21" t="s">
        <v>8</v>
      </c>
    </row>
    <row r="10" spans="2:4" x14ac:dyDescent="0.25">
      <c r="B10" s="19" t="s">
        <v>9</v>
      </c>
      <c r="C10" s="20" t="s">
        <v>10</v>
      </c>
      <c r="D10" s="21" t="s">
        <v>11</v>
      </c>
    </row>
    <row r="11" spans="2:4" x14ac:dyDescent="0.25">
      <c r="B11" s="19" t="s">
        <v>12</v>
      </c>
      <c r="C11" s="20" t="s">
        <v>13</v>
      </c>
      <c r="D11" s="21" t="s">
        <v>14</v>
      </c>
    </row>
    <row r="12" spans="2:4" x14ac:dyDescent="0.25">
      <c r="B12" s="19" t="s">
        <v>15</v>
      </c>
      <c r="C12" s="20" t="s">
        <v>16</v>
      </c>
      <c r="D12" s="21" t="s">
        <v>17</v>
      </c>
    </row>
    <row r="13" spans="2:4" x14ac:dyDescent="0.25">
      <c r="B13" s="19" t="s">
        <v>18</v>
      </c>
      <c r="C13" s="22">
        <v>0.2</v>
      </c>
      <c r="D13" s="21" t="s">
        <v>19</v>
      </c>
    </row>
    <row r="14" spans="2:4" x14ac:dyDescent="0.25">
      <c r="B14" s="19" t="s">
        <v>20</v>
      </c>
      <c r="C14" s="23">
        <v>60</v>
      </c>
      <c r="D14" s="21" t="s">
        <v>21</v>
      </c>
    </row>
    <row r="15" spans="2:4" x14ac:dyDescent="0.25">
      <c r="B15" s="19" t="s">
        <v>22</v>
      </c>
      <c r="C15" s="24">
        <v>43831</v>
      </c>
      <c r="D15" s="21" t="s">
        <v>23</v>
      </c>
    </row>
    <row r="16" spans="2:4" x14ac:dyDescent="0.25">
      <c r="B16" s="19" t="s">
        <v>24</v>
      </c>
      <c r="C16" s="20" t="s">
        <v>25</v>
      </c>
      <c r="D16" s="21" t="s">
        <v>26</v>
      </c>
    </row>
    <row r="17" spans="2:5" x14ac:dyDescent="0.25">
      <c r="B17" s="19" t="s">
        <v>27</v>
      </c>
      <c r="C17" s="20" t="s">
        <v>28</v>
      </c>
      <c r="D17" s="21" t="s">
        <v>29</v>
      </c>
    </row>
    <row r="18" spans="2:5" x14ac:dyDescent="0.25">
      <c r="B18" s="19" t="s">
        <v>30</v>
      </c>
      <c r="C18" s="24">
        <v>46290</v>
      </c>
      <c r="D18" s="21" t="s">
        <v>31</v>
      </c>
    </row>
    <row r="19" spans="2:5" x14ac:dyDescent="0.25">
      <c r="B19" s="19" t="s">
        <v>32</v>
      </c>
      <c r="C19" s="20" t="s">
        <v>33</v>
      </c>
      <c r="D19" s="21" t="s">
        <v>34</v>
      </c>
    </row>
    <row r="20" spans="2:5" x14ac:dyDescent="0.25">
      <c r="B20" s="19" t="s">
        <v>35</v>
      </c>
      <c r="C20" s="25">
        <v>46290.611192129632</v>
      </c>
      <c r="D20" s="21" t="s">
        <v>36</v>
      </c>
    </row>
    <row r="21" spans="2:5" x14ac:dyDescent="0.25">
      <c r="B21" s="19" t="s">
        <v>37</v>
      </c>
      <c r="C21" s="20" t="s">
        <v>38</v>
      </c>
      <c r="D21" s="21" t="s">
        <v>36</v>
      </c>
    </row>
    <row r="22" spans="2:5" x14ac:dyDescent="0.25">
      <c r="B22" s="19" t="s">
        <v>39</v>
      </c>
      <c r="C22" s="20" t="s">
        <v>40</v>
      </c>
      <c r="D22" s="21" t="s">
        <v>36</v>
      </c>
    </row>
    <row r="23" spans="2:5" x14ac:dyDescent="0.25">
      <c r="B23" s="19" t="s">
        <v>41</v>
      </c>
      <c r="C23" s="26">
        <v>470</v>
      </c>
      <c r="D23" s="21" t="s">
        <v>36</v>
      </c>
    </row>
    <row r="25" spans="2:5" ht="15.75" x14ac:dyDescent="0.25">
      <c r="B25" s="16" t="s">
        <v>42</v>
      </c>
    </row>
    <row r="26" spans="2:5" ht="22.5" customHeight="1" x14ac:dyDescent="0.25">
      <c r="B26" s="17" t="s">
        <v>43</v>
      </c>
      <c r="C26" s="17" t="s">
        <v>44</v>
      </c>
      <c r="D26" s="17" t="s">
        <v>45</v>
      </c>
      <c r="E26" s="17" t="s">
        <v>5</v>
      </c>
    </row>
    <row r="27" spans="2:5" ht="42.75" x14ac:dyDescent="0.25">
      <c r="B27" s="19" t="s">
        <v>46</v>
      </c>
      <c r="C27" s="27">
        <v>1</v>
      </c>
      <c r="D27" s="28" t="s">
        <v>47</v>
      </c>
      <c r="E27" s="29" t="s">
        <v>48</v>
      </c>
    </row>
    <row r="28" spans="2:5" ht="28.5" x14ac:dyDescent="0.25">
      <c r="B28" s="19" t="s">
        <v>49</v>
      </c>
      <c r="C28" s="27">
        <v>1</v>
      </c>
      <c r="D28" s="28" t="s">
        <v>47</v>
      </c>
      <c r="E28" s="29" t="s">
        <v>50</v>
      </c>
    </row>
    <row r="29" spans="2:5" ht="28.5" x14ac:dyDescent="0.25">
      <c r="B29" s="19" t="s">
        <v>51</v>
      </c>
      <c r="C29" s="27">
        <v>1</v>
      </c>
      <c r="D29" s="28" t="s">
        <v>47</v>
      </c>
      <c r="E29" s="29" t="s">
        <v>52</v>
      </c>
    </row>
    <row r="30" spans="2:5" ht="28.5" x14ac:dyDescent="0.25">
      <c r="B30" s="19" t="s">
        <v>53</v>
      </c>
      <c r="C30" s="27">
        <v>-1</v>
      </c>
      <c r="D30" s="28" t="s">
        <v>47</v>
      </c>
      <c r="E30" s="29" t="s">
        <v>54</v>
      </c>
    </row>
    <row r="31" spans="2:5" ht="28.5" x14ac:dyDescent="0.25">
      <c r="B31" s="19" t="s">
        <v>55</v>
      </c>
      <c r="C31" s="27">
        <v>-1</v>
      </c>
      <c r="D31" s="28" t="s">
        <v>56</v>
      </c>
      <c r="E31" s="29" t="s">
        <v>57</v>
      </c>
    </row>
    <row r="33" spans="2:5" ht="15.75" x14ac:dyDescent="0.25">
      <c r="B33" s="16" t="s">
        <v>58</v>
      </c>
    </row>
    <row r="34" spans="2:5" ht="22.5" customHeight="1" x14ac:dyDescent="0.25">
      <c r="B34" s="17" t="s">
        <v>59</v>
      </c>
      <c r="C34" s="17" t="s">
        <v>60</v>
      </c>
      <c r="D34" s="17" t="s">
        <v>61</v>
      </c>
      <c r="E34" s="17" t="s">
        <v>62</v>
      </c>
    </row>
    <row r="35" spans="2:5" ht="28.5" x14ac:dyDescent="0.25">
      <c r="B35" s="30" t="s">
        <v>63</v>
      </c>
      <c r="C35" s="31">
        <v>1</v>
      </c>
      <c r="D35" s="29" t="s">
        <v>64</v>
      </c>
      <c r="E35" s="29" t="s">
        <v>65</v>
      </c>
    </row>
    <row r="36" spans="2:5" x14ac:dyDescent="0.25">
      <c r="B36" s="32" t="s">
        <v>66</v>
      </c>
      <c r="C36" s="31">
        <v>2</v>
      </c>
      <c r="D36" s="29" t="s">
        <v>67</v>
      </c>
      <c r="E36" s="29" t="s">
        <v>68</v>
      </c>
    </row>
    <row r="37" spans="2:5" x14ac:dyDescent="0.25">
      <c r="B37" s="33" t="s">
        <v>69</v>
      </c>
      <c r="C37" s="31">
        <v>3</v>
      </c>
      <c r="D37" s="29" t="s">
        <v>70</v>
      </c>
      <c r="E37" s="29" t="s">
        <v>71</v>
      </c>
    </row>
    <row r="38" spans="2:5" x14ac:dyDescent="0.25">
      <c r="B38" s="34" t="s">
        <v>72</v>
      </c>
      <c r="C38" s="31">
        <v>4</v>
      </c>
      <c r="D38" s="29" t="s">
        <v>73</v>
      </c>
      <c r="E38" s="29" t="s">
        <v>74</v>
      </c>
    </row>
    <row r="39" spans="2:5" x14ac:dyDescent="0.25">
      <c r="B39" s="35" t="s">
        <v>75</v>
      </c>
      <c r="C39" s="31">
        <v>5</v>
      </c>
      <c r="D39" s="29" t="s">
        <v>76</v>
      </c>
      <c r="E39" s="29" t="s">
        <v>77</v>
      </c>
    </row>
    <row r="40" spans="2:5" x14ac:dyDescent="0.25">
      <c r="B40" s="36" t="s">
        <v>78</v>
      </c>
      <c r="C40" s="31">
        <v>6</v>
      </c>
      <c r="D40" s="29" t="s">
        <v>79</v>
      </c>
      <c r="E40" s="29" t="s">
        <v>80</v>
      </c>
    </row>
    <row r="41" spans="2:5" x14ac:dyDescent="0.25">
      <c r="B41" s="37" t="s">
        <v>81</v>
      </c>
      <c r="C41" s="31">
        <v>7</v>
      </c>
      <c r="D41" s="29" t="s">
        <v>82</v>
      </c>
      <c r="E41" s="29" t="s">
        <v>77</v>
      </c>
    </row>
  </sheetData>
  <sheetProtection password="930D" sheet="1" objects="1" scenarios="1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55A64"/>
  </sheetPr>
  <dimension ref="B1:L57"/>
  <sheetViews>
    <sheetView showGridLines="0" showRowColHeaders="0" zoomScale="90" zoomScaleNormal="90" workbookViewId="0">
      <pane ySplit="7" topLeftCell="A8" activePane="bottomLeft" state="frozen"/>
      <selection pane="bottomLeft" activeCell="B14" sqref="B14"/>
    </sheetView>
  </sheetViews>
  <sheetFormatPr baseColWidth="10" defaultColWidth="0" defaultRowHeight="15" zeroHeight="1" x14ac:dyDescent="0.25"/>
  <cols>
    <col min="1" max="1" width="2.28515625" customWidth="1"/>
    <col min="2" max="2" width="42.85546875" customWidth="1"/>
    <col min="3" max="3" width="28.5703125" customWidth="1"/>
    <col min="4" max="4" width="15.7109375" customWidth="1"/>
    <col min="5" max="5" width="10.85546875" customWidth="1"/>
    <col min="6" max="6" width="18.28515625" customWidth="1"/>
    <col min="7" max="7" width="17.7109375" customWidth="1"/>
    <col min="8" max="8" width="19.42578125" customWidth="1"/>
    <col min="9" max="9" width="24.28515625" customWidth="1"/>
    <col min="10" max="12" width="13.7109375" customWidth="1"/>
    <col min="13" max="13" width="2.28515625" customWidth="1"/>
    <col min="14" max="14" width="0" hidden="1" customWidth="1"/>
  </cols>
  <sheetData>
    <row r="1" spans="2:12" s="1" customFormat="1" ht="4.5" customHeight="1" x14ac:dyDescent="0.25"/>
    <row r="2" spans="2:12" s="1" customFormat="1" ht="22.5" customHeight="1" x14ac:dyDescent="0.25">
      <c r="B2" s="2" t="s">
        <v>83</v>
      </c>
    </row>
    <row r="3" spans="2:12" s="1" customFormat="1" ht="14.25" x14ac:dyDescent="0.25">
      <c r="B3" s="3" t="s">
        <v>84</v>
      </c>
    </row>
    <row r="4" spans="2:12" s="1" customFormat="1" ht="4.5" customHeight="1" x14ac:dyDescent="0.25"/>
    <row r="5" spans="2:12" s="4" customFormat="1" ht="21" customHeight="1" x14ac:dyDescent="0.25">
      <c r="B5" s="6" t="s">
        <v>85</v>
      </c>
      <c r="C5" s="6" t="s">
        <v>86</v>
      </c>
      <c r="D5" s="6" t="s">
        <v>87</v>
      </c>
      <c r="E5" s="125" t="s">
        <v>88</v>
      </c>
      <c r="F5" s="125"/>
      <c r="G5" s="6" t="s">
        <v>89</v>
      </c>
      <c r="H5" s="6" t="s">
        <v>90</v>
      </c>
      <c r="I5" s="6" t="s">
        <v>91</v>
      </c>
      <c r="J5" s="6" t="s">
        <v>92</v>
      </c>
      <c r="K5" s="6" t="s">
        <v>93</v>
      </c>
      <c r="L5" s="6" t="s">
        <v>94</v>
      </c>
    </row>
    <row r="6" spans="2:12" s="7" customFormat="1" ht="22.5" customHeight="1" x14ac:dyDescent="0.25">
      <c r="B6" s="38" t="str">
        <f>"Usuarios activos: "&amp;kpiUsuarios</f>
        <v>Usuarios activos: 6</v>
      </c>
      <c r="C6" s="39" t="s">
        <v>116</v>
      </c>
    </row>
    <row r="7" spans="2:12" ht="24" customHeight="1" x14ac:dyDescent="0.25">
      <c r="B7" s="18" t="s">
        <v>95</v>
      </c>
      <c r="C7" s="18" t="s">
        <v>96</v>
      </c>
      <c r="D7" s="18" t="s">
        <v>97</v>
      </c>
      <c r="E7" s="18" t="s">
        <v>98</v>
      </c>
      <c r="F7" s="17" t="s">
        <v>99</v>
      </c>
      <c r="G7" s="17" t="s">
        <v>100</v>
      </c>
      <c r="H7" s="17" t="s">
        <v>101</v>
      </c>
      <c r="I7" s="17" t="s">
        <v>102</v>
      </c>
    </row>
    <row r="8" spans="2:12" x14ac:dyDescent="0.25">
      <c r="B8" s="40" t="s">
        <v>38</v>
      </c>
      <c r="C8" s="40" t="s">
        <v>40</v>
      </c>
      <c r="D8" s="41" t="s">
        <v>103</v>
      </c>
      <c r="E8" s="41" t="s">
        <v>104</v>
      </c>
      <c r="F8" s="42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>1</v>
      </c>
      <c r="G8" s="42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>1</v>
      </c>
      <c r="H8" s="42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>1</v>
      </c>
      <c r="I8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>✔ Autorizado</v>
      </c>
    </row>
    <row r="9" spans="2:12" x14ac:dyDescent="0.25">
      <c r="B9" s="40" t="s">
        <v>105</v>
      </c>
      <c r="C9" s="40" t="s">
        <v>106</v>
      </c>
      <c r="D9" s="41" t="s">
        <v>47</v>
      </c>
      <c r="E9" s="41" t="s">
        <v>104</v>
      </c>
      <c r="F9" s="42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>2</v>
      </c>
      <c r="G9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9" s="42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>2</v>
      </c>
      <c r="I9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>✔ Autorizado</v>
      </c>
    </row>
    <row r="10" spans="2:12" x14ac:dyDescent="0.25">
      <c r="B10" s="40" t="s">
        <v>107</v>
      </c>
      <c r="C10" s="40" t="s">
        <v>108</v>
      </c>
      <c r="D10" s="41" t="s">
        <v>47</v>
      </c>
      <c r="E10" s="41" t="s">
        <v>104</v>
      </c>
      <c r="F10" s="42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>3</v>
      </c>
      <c r="G10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0" s="42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>3</v>
      </c>
      <c r="I10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>✔ Autorizado</v>
      </c>
    </row>
    <row r="11" spans="2:12" x14ac:dyDescent="0.25">
      <c r="B11" s="40" t="s">
        <v>109</v>
      </c>
      <c r="C11" s="40" t="s">
        <v>110</v>
      </c>
      <c r="D11" s="41" t="s">
        <v>56</v>
      </c>
      <c r="E11" s="41" t="s">
        <v>104</v>
      </c>
      <c r="F11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1" s="42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>2</v>
      </c>
      <c r="H11" s="42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>4</v>
      </c>
      <c r="I11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>✔ Autorizado</v>
      </c>
    </row>
    <row r="12" spans="2:12" x14ac:dyDescent="0.25">
      <c r="B12" s="40" t="s">
        <v>111</v>
      </c>
      <c r="C12" s="40" t="s">
        <v>112</v>
      </c>
      <c r="D12" s="41" t="s">
        <v>56</v>
      </c>
      <c r="E12" s="41" t="s">
        <v>104</v>
      </c>
      <c r="F12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2" s="42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>3</v>
      </c>
      <c r="H12" s="42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>5</v>
      </c>
      <c r="I12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>✔ Autorizado</v>
      </c>
    </row>
    <row r="13" spans="2:12" x14ac:dyDescent="0.25">
      <c r="B13" s="40" t="s">
        <v>113</v>
      </c>
      <c r="C13" s="40" t="s">
        <v>114</v>
      </c>
      <c r="D13" s="41" t="s">
        <v>115</v>
      </c>
      <c r="E13" s="41" t="s">
        <v>104</v>
      </c>
      <c r="F13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3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3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3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>✔ Autorizado</v>
      </c>
    </row>
    <row r="14" spans="2:12" x14ac:dyDescent="0.25">
      <c r="B14" s="40"/>
      <c r="C14" s="40"/>
      <c r="D14" s="41"/>
      <c r="E14" s="41"/>
      <c r="F14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4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4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4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5" spans="2:12" x14ac:dyDescent="0.25">
      <c r="B15" s="40"/>
      <c r="C15" s="40"/>
      <c r="D15" s="41"/>
      <c r="E15" s="41"/>
      <c r="F15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5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5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5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6" spans="2:12" x14ac:dyDescent="0.25">
      <c r="B16" s="40"/>
      <c r="C16" s="40"/>
      <c r="D16" s="41"/>
      <c r="E16" s="41"/>
      <c r="F16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6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6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6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7" spans="2:9" x14ac:dyDescent="0.25">
      <c r="B17" s="40"/>
      <c r="C17" s="40"/>
      <c r="D17" s="41"/>
      <c r="E17" s="41"/>
      <c r="F17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7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7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7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8" spans="2:9" x14ac:dyDescent="0.25">
      <c r="B18" s="40"/>
      <c r="C18" s="40"/>
      <c r="D18" s="41"/>
      <c r="E18" s="41"/>
      <c r="F18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8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8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8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9" spans="2:9" x14ac:dyDescent="0.25">
      <c r="B19" s="40"/>
      <c r="C19" s="40"/>
      <c r="D19" s="41"/>
      <c r="E19" s="41"/>
      <c r="F19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9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9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9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0" spans="2:9" x14ac:dyDescent="0.25">
      <c r="B20" s="40"/>
      <c r="C20" s="40"/>
      <c r="D20" s="41"/>
      <c r="E20" s="41"/>
      <c r="F20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0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0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0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1" spans="2:9" x14ac:dyDescent="0.25">
      <c r="B21" s="40"/>
      <c r="C21" s="40"/>
      <c r="D21" s="41"/>
      <c r="E21" s="41"/>
      <c r="F21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1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1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1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2" spans="2:9" x14ac:dyDescent="0.25">
      <c r="B22" s="40"/>
      <c r="C22" s="40"/>
      <c r="D22" s="41"/>
      <c r="E22" s="41"/>
      <c r="F22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2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2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2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3" spans="2:9" x14ac:dyDescent="0.25">
      <c r="B23" s="40"/>
      <c r="C23" s="40"/>
      <c r="D23" s="41"/>
      <c r="E23" s="41"/>
      <c r="F23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3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3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3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4" spans="2:9" x14ac:dyDescent="0.25">
      <c r="B24" s="40"/>
      <c r="C24" s="40"/>
      <c r="D24" s="41"/>
      <c r="E24" s="41"/>
      <c r="F24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4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4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4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5" spans="2:9" x14ac:dyDescent="0.25">
      <c r="B25" s="40"/>
      <c r="C25" s="40"/>
      <c r="D25" s="41"/>
      <c r="E25" s="41"/>
      <c r="F25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5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5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5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6" spans="2:9" x14ac:dyDescent="0.25">
      <c r="B26" s="40"/>
      <c r="C26" s="40"/>
      <c r="D26" s="41"/>
      <c r="E26" s="41"/>
      <c r="F26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6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6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6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7" spans="2:9" x14ac:dyDescent="0.25">
      <c r="B27" s="40"/>
      <c r="C27" s="40"/>
      <c r="D27" s="41"/>
      <c r="E27" s="41"/>
      <c r="F27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7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7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7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8" spans="2:9" x14ac:dyDescent="0.25">
      <c r="B28" s="40"/>
      <c r="C28" s="40"/>
      <c r="D28" s="41"/>
      <c r="E28" s="41"/>
      <c r="F28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8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8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8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9" spans="2:9" x14ac:dyDescent="0.25">
      <c r="B29" s="40"/>
      <c r="C29" s="40"/>
      <c r="D29" s="41"/>
      <c r="E29" s="41"/>
      <c r="F29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9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9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9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0" spans="2:9" x14ac:dyDescent="0.25">
      <c r="B30" s="40"/>
      <c r="C30" s="40"/>
      <c r="D30" s="41"/>
      <c r="E30" s="41"/>
      <c r="F30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0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0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0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1" spans="2:9" x14ac:dyDescent="0.25">
      <c r="B31" s="40"/>
      <c r="C31" s="40"/>
      <c r="D31" s="41"/>
      <c r="E31" s="41"/>
      <c r="F31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1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1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1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2" spans="2:9" x14ac:dyDescent="0.25">
      <c r="B32" s="40"/>
      <c r="C32" s="40"/>
      <c r="D32" s="41"/>
      <c r="E32" s="41"/>
      <c r="F32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2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2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2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3" spans="2:9" x14ac:dyDescent="0.25">
      <c r="B33" s="40"/>
      <c r="C33" s="40"/>
      <c r="D33" s="41"/>
      <c r="E33" s="41"/>
      <c r="F33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3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3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3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4" spans="2:9" x14ac:dyDescent="0.25">
      <c r="B34" s="40"/>
      <c r="C34" s="40"/>
      <c r="D34" s="41"/>
      <c r="E34" s="41"/>
      <c r="F34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4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4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4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5" spans="2:9" x14ac:dyDescent="0.25">
      <c r="B35" s="40"/>
      <c r="C35" s="40"/>
      <c r="D35" s="41"/>
      <c r="E35" s="41"/>
      <c r="F35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5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5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5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6" spans="2:9" x14ac:dyDescent="0.25">
      <c r="B36" s="40"/>
      <c r="C36" s="40"/>
      <c r="D36" s="41"/>
      <c r="E36" s="41"/>
      <c r="F36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6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6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6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7" spans="2:9" x14ac:dyDescent="0.25">
      <c r="B37" s="40"/>
      <c r="C37" s="40"/>
      <c r="D37" s="41"/>
      <c r="E37" s="41"/>
      <c r="F37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7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7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7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8" spans="2:9" x14ac:dyDescent="0.25">
      <c r="B38" s="40"/>
      <c r="C38" s="40"/>
      <c r="D38" s="41"/>
      <c r="E38" s="41"/>
      <c r="F38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8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8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8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9" spans="2:9" x14ac:dyDescent="0.25">
      <c r="B39" s="40"/>
      <c r="C39" s="40"/>
      <c r="D39" s="41"/>
      <c r="E39" s="41"/>
      <c r="F39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9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9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9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0" spans="2:9" x14ac:dyDescent="0.25">
      <c r="B40" s="40"/>
      <c r="C40" s="40"/>
      <c r="D40" s="41"/>
      <c r="E40" s="41"/>
      <c r="F40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0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0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0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1" spans="2:9" x14ac:dyDescent="0.25">
      <c r="B41" s="40"/>
      <c r="C41" s="40"/>
      <c r="D41" s="41"/>
      <c r="E41" s="41"/>
      <c r="F41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1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1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1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2" spans="2:9" x14ac:dyDescent="0.25">
      <c r="B42" s="40"/>
      <c r="C42" s="40"/>
      <c r="D42" s="41"/>
      <c r="E42" s="41"/>
      <c r="F42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2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2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2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3" spans="2:9" x14ac:dyDescent="0.25">
      <c r="B43" s="40"/>
      <c r="C43" s="40"/>
      <c r="D43" s="41"/>
      <c r="E43" s="41"/>
      <c r="F43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3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3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3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4" spans="2:9" x14ac:dyDescent="0.25">
      <c r="B44" s="40"/>
      <c r="C44" s="40"/>
      <c r="D44" s="41"/>
      <c r="E44" s="41"/>
      <c r="F44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4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4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4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5" spans="2:9" x14ac:dyDescent="0.25">
      <c r="B45" s="40"/>
      <c r="C45" s="40"/>
      <c r="D45" s="41"/>
      <c r="E45" s="41"/>
      <c r="F45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5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5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5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6" spans="2:9" x14ac:dyDescent="0.25">
      <c r="B46" s="40"/>
      <c r="C46" s="40"/>
      <c r="D46" s="41"/>
      <c r="E46" s="41"/>
      <c r="F46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6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6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6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7" spans="2:9" x14ac:dyDescent="0.25">
      <c r="B47" s="40"/>
      <c r="C47" s="40"/>
      <c r="D47" s="41"/>
      <c r="E47" s="41"/>
      <c r="F47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7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7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7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8" spans="2:9" x14ac:dyDescent="0.25">
      <c r="B48" s="40"/>
      <c r="C48" s="40"/>
      <c r="D48" s="41"/>
      <c r="E48" s="41"/>
      <c r="F48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8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8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8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9" spans="2:9" x14ac:dyDescent="0.25">
      <c r="B49" s="40"/>
      <c r="C49" s="40"/>
      <c r="D49" s="41"/>
      <c r="E49" s="41"/>
      <c r="F49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9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9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9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0" spans="2:9" x14ac:dyDescent="0.25">
      <c r="B50" s="40"/>
      <c r="C50" s="40"/>
      <c r="D50" s="41"/>
      <c r="E50" s="41"/>
      <c r="F50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0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0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0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1" spans="2:9" x14ac:dyDescent="0.25">
      <c r="B51" s="40"/>
      <c r="C51" s="40"/>
      <c r="D51" s="41"/>
      <c r="E51" s="41"/>
      <c r="F51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1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1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1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2" spans="2:9" x14ac:dyDescent="0.25">
      <c r="B52" s="40"/>
      <c r="C52" s="40"/>
      <c r="D52" s="41"/>
      <c r="E52" s="41"/>
      <c r="F52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2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2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2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3" spans="2:9" x14ac:dyDescent="0.25">
      <c r="B53" s="40"/>
      <c r="C53" s="40"/>
      <c r="D53" s="41"/>
      <c r="E53" s="41"/>
      <c r="F53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3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3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3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4" spans="2:9" x14ac:dyDescent="0.25">
      <c r="B54" s="40"/>
      <c r="C54" s="40"/>
      <c r="D54" s="41"/>
      <c r="E54" s="41"/>
      <c r="F54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4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4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4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5" spans="2:9" x14ac:dyDescent="0.25">
      <c r="B55" s="40"/>
      <c r="C55" s="40"/>
      <c r="D55" s="41"/>
      <c r="E55" s="41"/>
      <c r="F55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5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5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5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6" spans="2:9" x14ac:dyDescent="0.25">
      <c r="B56" s="40"/>
      <c r="C56" s="40"/>
      <c r="D56" s="41"/>
      <c r="E56" s="41"/>
      <c r="F56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6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6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6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7" spans="2:9" x14ac:dyDescent="0.25">
      <c r="B57" s="40"/>
      <c r="C57" s="40"/>
      <c r="D57" s="41"/>
      <c r="E57" s="41"/>
      <c r="F57" s="42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7" s="42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7" s="42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7" s="43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</sheetData>
  <sheetProtection password="930D" sheet="1" objects="1" scenarios="1" formatColumns="0" autoFilter="0"/>
  <mergeCells count="1">
    <mergeCell ref="E5:F5"/>
  </mergeCells>
  <conditionalFormatting sqref="B8:E57">
    <cfRule type="expression" dxfId="181" priority="6">
      <formula>AND($B8="",$B7&lt;&gt;"")</formula>
    </cfRule>
  </conditionalFormatting>
  <conditionalFormatting sqref="I8:I57">
    <cfRule type="expression" dxfId="180" priority="1">
      <formula>LEFT($I8,1)="✖"</formula>
    </cfRule>
    <cfRule type="expression" dxfId="179" priority="2">
      <formula>LEFT($I8,1)="⚠"</formula>
    </cfRule>
    <cfRule type="expression" dxfId="178" priority="3">
      <formula>LEFT($I8,1)="✔"</formula>
    </cfRule>
    <cfRule type="expression" dxfId="177" priority="4">
      <formula>LEFT($I8,1)="●"</formula>
    </cfRule>
    <cfRule type="expression" dxfId="176" priority="5">
      <formula>LEFT($I8,1)="○"</formula>
    </cfRule>
  </conditionalFormatting>
  <dataValidations count="12">
    <dataValidation allowBlank="1" showInputMessage="1" showErrorMessage="1" promptTitle="✎ Correo" prompt="Correo de Microsoft 365 con el que la persona inicia sesión. Los scripts lo comparan con el usuario que ejecuta el botón." sqref="B7" xr:uid="{00000000-0002-0000-0400-000000000000}"/>
    <dataValidation allowBlank="1" showInputMessage="1" showErrorMessage="1" promptTitle="✎ Nombre" prompt="Nombre visible en la captura y en la bitácora." sqref="C7" xr:uid="{00000000-0002-0000-0400-000001000000}"/>
    <dataValidation allowBlank="1" showInputMessage="1" showErrorMessage="1" promptTitle="✎ Rol" prompt="ADMIN (todo), BODEGA (10A: entradas y ajustes), VENTAS (10B: salidas), CONSULTA (solo lectura)." sqref="D7" xr:uid="{00000000-0002-0000-0400-000002000000}"/>
    <dataValidation allowBlank="1" showInputMessage="1" showErrorMessage="1" promptTitle="✎ Activo" prompt="Escriba NO para retirar el acceso sin borrar la fila (auditoría)." sqref="E7" xr:uid="{00000000-0002-0000-0400-000003000000}"/>
    <dataValidation allowBlank="1" showInputMessage="1" showErrorMessage="1" promptTitle="ƒx OrdenBodega" prompt="Fila de captura que le corresponde en 10A_ENTRADAS." sqref="F7" xr:uid="{00000000-0002-0000-0400-000004000000}"/>
    <dataValidation allowBlank="1" showInputMessage="1" showErrorMessage="1" promptTitle="ƒx OrdenVentas" prompt="Fila de captura que le corresponde en 10B_SALIDAS." sqref="G7" xr:uid="{00000000-0002-0000-0400-000005000000}"/>
    <dataValidation allowBlank="1" showInputMessage="1" showErrorMessage="1" promptTitle="ƒx OrdenConsulta" prompt="Fila que le corresponde en 17_CONSULTA (ADMIN, BODEGA y VENTAS)." sqref="H7" xr:uid="{00000000-0002-0000-0400-000006000000}"/>
    <dataValidation allowBlank="1" showInputMessage="1" showErrorMessage="1" promptTitle="ƒx Validación" prompt="Control del registro." sqref="I7" xr:uid="{00000000-0002-0000-0400-000007000000}"/>
    <dataValidation type="custom" allowBlank="1" showInputMessage="1" showErrorMessage="1" errorTitle="Correo no válido" error="Escriba un correo válido, sin espacios y sin repetir." promptTitle="Correo de Microsoft 365" prompt="El mismo con que la persona inicia sesión (ej: ana@empresa.com). Único." sqref="B8:B57" xr:uid="{00000000-0002-0000-0400-000008000000}">
      <formula1>AND(ISNUMBER(FIND("@",B8)),ISERROR(FIND(" ",B8)),LEN(B8)&lt;=120,COUNTIF($B$8:$B$57,B8)=1)</formula1>
    </dataValidation>
    <dataValidation type="textLength" allowBlank="1" showInputMessage="1" showErrorMessage="1" errorTitle="Nombre no válido" error="Entre 2 y 60 caracteres." promptTitle="Nombre" prompt="Nombre visible (2 a 60 caracteres)." sqref="C8:C57" xr:uid="{00000000-0002-0000-0400-000009000000}">
      <formula1>2</formula1>
      <formula2>60</formula2>
    </dataValidation>
    <dataValidation type="list" allowBlank="1" showInputMessage="1" showErrorMessage="1" errorTitle="Rol no válido" error="Elija un rol de la lista." promptTitle="Rol" prompt="ADMIN, BODEGA, VENTAS o CONSULTA (Alt + ↓)." sqref="D8:D57" xr:uid="{00000000-0002-0000-0400-00000A000000}">
      <formula1>lstRoles</formula1>
    </dataValidation>
    <dataValidation type="list" allowBlank="1" showInputMessage="1" showErrorMessage="1" errorTitle="Valor no válido" error="Escriba SI o NO." promptTitle="¿Activo?" prompt="NO = sin acceso (la fila se conserva para auditoría)." sqref="E8:E57" xr:uid="{00000000-0002-0000-0400-00000B000000}">
      <formula1>"SI,NO"</formula1>
    </dataValidation>
  </dataValidations>
  <hyperlinks>
    <hyperlink ref="B5" location="'00_PORTADA_BODEGA'!A1" tooltip="Portada de Bodega" display="⌂ Bodega" xr:uid="{00000000-0004-0000-0400-000000000000}"/>
    <hyperlink ref="C5" location="'00_PORTADA_VENTAS'!A1" tooltip="Portada de Ventas" display="⌂ Ventas" xr:uid="{00000000-0004-0000-0400-000001000000}"/>
    <hyperlink ref="D5" location="'00_PORTADA_GERENCIA'!A1" tooltip="Portada de Gerencia: indicadores, pedido y actividad" display="◈ Gerencia" xr:uid="{00000000-0004-0000-0400-000002000000}"/>
    <hyperlink ref="E5" location="'10A_ENTRADAS'!C9" tooltip="Registrar entradas y ajustes (Bodega)" display="⇩ Entradas" xr:uid="{00000000-0004-0000-0400-000003000000}"/>
    <hyperlink ref="G5" location="'10B_SALIDAS'!E9" tooltip="Registrar salidas (Ventas)" display="⇧ Salidas" xr:uid="{00000000-0004-0000-0400-000004000000}"/>
    <hyperlink ref="H5" location="'17_CONSULTA'!C9" tooltip="Consultar un producto en su fila" display="⌕ Consulta" xr:uid="{00000000-0004-0000-0400-000005000000}"/>
    <hyperlink ref="I5" location="'15_STOCK'!A1" tooltip="Stock (instantánea recalculada a demanda)" display="▦ Stock" xr:uid="{00000000-0004-0000-0400-000006000000}"/>
    <hyperlink ref="J5" location="'18_PEDIDO'!A1" tooltip="Pedido sugerido por proveedor" display="✚ Pedido" xr:uid="{00000000-0004-0000-0400-000007000000}"/>
    <hyperlink ref="K5" location="'13_CONTEO'!I9" tooltip="Toma física (conteo) colaborativa" display="✓ Conteo" xr:uid="{00000000-0004-0000-0400-000008000000}"/>
    <hyperlink ref="L5" location="'99_AYUDA'!A1" tooltip="Guía de uso, acceso e instalación" display="? Guía" xr:uid="{00000000-0004-0000-0400-000009000000}"/>
  </hyperlink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4A3B8"/>
  </sheetPr>
  <dimension ref="B1:D13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15.7109375" customWidth="1"/>
    <col min="3" max="3" width="34.28515625" customWidth="1"/>
    <col min="4" max="4" width="60" customWidth="1"/>
    <col min="5" max="5" width="3.42578125" customWidth="1"/>
  </cols>
  <sheetData>
    <row r="1" spans="2:4" s="1" customFormat="1" ht="6" customHeight="1" x14ac:dyDescent="0.25"/>
    <row r="2" spans="2:4" s="1" customFormat="1" ht="24" customHeight="1" x14ac:dyDescent="0.25">
      <c r="B2" s="2" t="s">
        <v>288</v>
      </c>
    </row>
    <row r="3" spans="2:4" s="1" customFormat="1" ht="14.25" x14ac:dyDescent="0.25">
      <c r="B3" s="3" t="s">
        <v>289</v>
      </c>
    </row>
    <row r="4" spans="2:4" s="1" customFormat="1" ht="7.5" customHeight="1" x14ac:dyDescent="0.25"/>
    <row r="5" spans="2:4" s="7" customFormat="1" ht="18" customHeight="1" x14ac:dyDescent="0.25"/>
    <row r="6" spans="2:4" s="7" customFormat="1" ht="12" customHeight="1" x14ac:dyDescent="0.25"/>
    <row r="7" spans="2:4" ht="22.5" customHeight="1" x14ac:dyDescent="0.25">
      <c r="B7" s="17" t="s">
        <v>290</v>
      </c>
      <c r="C7" s="17" t="s">
        <v>162</v>
      </c>
      <c r="D7" s="17" t="s">
        <v>5</v>
      </c>
    </row>
    <row r="8" spans="2:4" x14ac:dyDescent="0.25">
      <c r="B8" s="31" t="s">
        <v>291</v>
      </c>
      <c r="C8" s="19" t="s">
        <v>172</v>
      </c>
      <c r="D8" s="44" t="s">
        <v>292</v>
      </c>
    </row>
    <row r="9" spans="2:4" x14ac:dyDescent="0.25">
      <c r="B9" s="31" t="s">
        <v>293</v>
      </c>
      <c r="C9" s="19" t="s">
        <v>198</v>
      </c>
      <c r="D9" s="44" t="s">
        <v>294</v>
      </c>
    </row>
    <row r="10" spans="2:4" x14ac:dyDescent="0.25">
      <c r="B10" s="31" t="s">
        <v>295</v>
      </c>
      <c r="C10" s="19" t="s">
        <v>222</v>
      </c>
      <c r="D10" s="44" t="s">
        <v>296</v>
      </c>
    </row>
    <row r="11" spans="2:4" x14ac:dyDescent="0.25">
      <c r="B11" s="31" t="s">
        <v>297</v>
      </c>
      <c r="C11" s="19" t="s">
        <v>238</v>
      </c>
      <c r="D11" s="44" t="s">
        <v>298</v>
      </c>
    </row>
    <row r="12" spans="2:4" x14ac:dyDescent="0.25">
      <c r="B12" s="31" t="s">
        <v>299</v>
      </c>
      <c r="C12" s="19" t="s">
        <v>255</v>
      </c>
      <c r="D12" s="44" t="s">
        <v>300</v>
      </c>
    </row>
    <row r="13" spans="2:4" x14ac:dyDescent="0.25">
      <c r="B13" s="31" t="s">
        <v>301</v>
      </c>
      <c r="C13" s="19" t="s">
        <v>272</v>
      </c>
      <c r="D13" s="44" t="s">
        <v>302</v>
      </c>
    </row>
  </sheetData>
  <sheetProtection password="930D" sheet="1" objects="1" scenarios="1"/>
  <dataValidations count="3">
    <dataValidation allowBlank="1" showInputMessage="1" showErrorMessage="1" promptTitle="Código" prompt="Abreviatura interna (opcional)." sqref="B7" xr:uid="{00000000-0002-0000-0500-000000000000}"/>
    <dataValidation allowBlank="1" showInputMessage="1" showErrorMessage="1" promptTitle="Categoría" prompt="Nombre visible en las listas. No lo cambie si ya tiene productos asociados." sqref="C7" xr:uid="{00000000-0002-0000-0500-000001000000}"/>
    <dataValidation allowBlank="1" showInputMessage="1" showErrorMessage="1" promptTitle="Descripción" prompt="Texto de apoyo." sqref="D7" xr:uid="{00000000-0002-0000-0500-000002000000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D6E63"/>
    <pageSetUpPr fitToPage="1"/>
  </sheetPr>
  <dimension ref="B1:K107"/>
  <sheetViews>
    <sheetView showGridLines="0" showRowColHeaders="0" zoomScale="90" zoomScaleNormal="90" workbookViewId="0">
      <pane ySplit="7" topLeftCell="A8" activePane="bottomLeft" state="frozen"/>
      <selection pane="bottomLeft" activeCell="B14" sqref="B14"/>
    </sheetView>
  </sheetViews>
  <sheetFormatPr baseColWidth="10" defaultColWidth="0" defaultRowHeight="15" zeroHeight="1" x14ac:dyDescent="0.25"/>
  <cols>
    <col min="1" max="1" width="2.28515625" customWidth="1"/>
    <col min="2" max="2" width="34.28515625" customWidth="1"/>
    <col min="3" max="3" width="18.5703125" customWidth="1"/>
    <col min="4" max="4" width="24.28515625" customWidth="1"/>
    <col min="5" max="5" width="17.7109375" customWidth="1"/>
    <col min="6" max="6" width="35.7109375" customWidth="1"/>
    <col min="7" max="7" width="14.85546875" customWidth="1"/>
    <col min="8" max="9" width="14.28515625" customWidth="1"/>
    <col min="10" max="10" width="27.140625" customWidth="1"/>
    <col min="11" max="11" width="13.7109375" customWidth="1"/>
    <col min="12" max="12" width="2.28515625" customWidth="1"/>
    <col min="13" max="13" width="0" hidden="1" customWidth="1"/>
  </cols>
  <sheetData>
    <row r="1" spans="2:11" s="1" customFormat="1" ht="4.5" customHeight="1" x14ac:dyDescent="0.25"/>
    <row r="2" spans="2:11" s="1" customFormat="1" ht="22.5" customHeight="1" x14ac:dyDescent="0.25">
      <c r="B2" s="2" t="s">
        <v>117</v>
      </c>
    </row>
    <row r="3" spans="2:11" s="1" customFormat="1" ht="14.25" x14ac:dyDescent="0.25">
      <c r="B3" s="3" t="s">
        <v>118</v>
      </c>
    </row>
    <row r="4" spans="2:11" s="1" customFormat="1" ht="4.5" customHeight="1" x14ac:dyDescent="0.25"/>
    <row r="5" spans="2:11" s="4" customFormat="1" ht="21" customHeight="1" x14ac:dyDescent="0.25">
      <c r="B5" s="6" t="s">
        <v>85</v>
      </c>
      <c r="C5" s="6" t="s">
        <v>86</v>
      </c>
      <c r="D5" s="6" t="s">
        <v>87</v>
      </c>
      <c r="E5" s="6" t="s">
        <v>88</v>
      </c>
      <c r="F5" s="6" t="s">
        <v>89</v>
      </c>
      <c r="G5" s="6" t="s">
        <v>90</v>
      </c>
      <c r="H5" s="6" t="s">
        <v>91</v>
      </c>
      <c r="I5" s="6" t="s">
        <v>92</v>
      </c>
      <c r="J5" s="6" t="s">
        <v>93</v>
      </c>
      <c r="K5" s="6" t="s">
        <v>94</v>
      </c>
    </row>
    <row r="6" spans="2:11" x14ac:dyDescent="0.25">
      <c r="B6" s="45" t="s">
        <v>126</v>
      </c>
      <c r="C6" s="45" t="s">
        <v>126</v>
      </c>
      <c r="D6" s="45" t="s">
        <v>126</v>
      </c>
      <c r="E6" s="45" t="s">
        <v>126</v>
      </c>
      <c r="F6" s="45" t="s">
        <v>126</v>
      </c>
      <c r="G6" s="45" t="s">
        <v>126</v>
      </c>
      <c r="H6" s="46" t="s">
        <v>127</v>
      </c>
      <c r="I6" s="46" t="s">
        <v>127</v>
      </c>
      <c r="J6" s="46" t="s">
        <v>127</v>
      </c>
    </row>
    <row r="7" spans="2:11" ht="25.5" customHeight="1" x14ac:dyDescent="0.25">
      <c r="B7" s="18" t="s">
        <v>119</v>
      </c>
      <c r="C7" s="18" t="s">
        <v>120</v>
      </c>
      <c r="D7" s="18" t="s">
        <v>121</v>
      </c>
      <c r="E7" s="18" t="s">
        <v>122</v>
      </c>
      <c r="F7" s="18" t="s">
        <v>95</v>
      </c>
      <c r="G7" s="18" t="s">
        <v>123</v>
      </c>
      <c r="H7" s="17" t="s">
        <v>124</v>
      </c>
      <c r="I7" s="17" t="s">
        <v>125</v>
      </c>
      <c r="J7" s="17" t="s">
        <v>102</v>
      </c>
    </row>
    <row r="8" spans="2:11" x14ac:dyDescent="0.25">
      <c r="B8" s="40" t="s">
        <v>128</v>
      </c>
      <c r="C8" s="41" t="s">
        <v>129</v>
      </c>
      <c r="D8" s="40" t="s">
        <v>130</v>
      </c>
      <c r="E8" s="41" t="s">
        <v>131</v>
      </c>
      <c r="F8" s="40" t="s">
        <v>132</v>
      </c>
      <c r="G8" s="47">
        <v>5</v>
      </c>
      <c r="H8" s="42">
        <f>IF(tblProveedores[[#This Row],[Proveedor]]="","",COUNTIF(tblProductos[Proveedor],tblProveedores[[#This Row],[Proveedor]]))</f>
        <v>8</v>
      </c>
      <c r="I8" s="42">
        <f>IF(tblProveedores[[#This Row],[Proveedor]]="","",SUMPRODUCT(COUNTIFS(tblStock[Proveedor],tblProveedores[[#This Row],[Proveedor]],tblStock[Estado],{"INCONSISTENTE","AGOTADO","CRÍTICO","BAJO"})))</f>
        <v>2</v>
      </c>
      <c r="J8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9" spans="2:11" x14ac:dyDescent="0.25">
      <c r="B9" s="40" t="s">
        <v>133</v>
      </c>
      <c r="C9" s="41" t="s">
        <v>134</v>
      </c>
      <c r="D9" s="40" t="s">
        <v>135</v>
      </c>
      <c r="E9" s="41" t="s">
        <v>136</v>
      </c>
      <c r="F9" s="40" t="s">
        <v>137</v>
      </c>
      <c r="G9" s="47">
        <v>3</v>
      </c>
      <c r="H9" s="42">
        <f>IF(tblProveedores[[#This Row],[Proveedor]]="","",COUNTIF(tblProductos[Proveedor],tblProveedores[[#This Row],[Proveedor]]))</f>
        <v>6</v>
      </c>
      <c r="I9" s="42">
        <f>IF(tblProveedores[[#This Row],[Proveedor]]="","",SUMPRODUCT(COUNTIFS(tblStock[Proveedor],tblProveedores[[#This Row],[Proveedor]],tblStock[Estado],{"INCONSISTENTE","AGOTADO","CRÍTICO","BAJO"})))</f>
        <v>2</v>
      </c>
      <c r="J9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10" spans="2:11" x14ac:dyDescent="0.25">
      <c r="B10" s="40" t="s">
        <v>138</v>
      </c>
      <c r="C10" s="41" t="s">
        <v>139</v>
      </c>
      <c r="D10" s="40" t="s">
        <v>140</v>
      </c>
      <c r="E10" s="41" t="s">
        <v>141</v>
      </c>
      <c r="F10" s="40" t="s">
        <v>142</v>
      </c>
      <c r="G10" s="47">
        <v>4</v>
      </c>
      <c r="H10" s="42">
        <f>IF(tblProveedores[[#This Row],[Proveedor]]="","",COUNTIF(tblProductos[Proveedor],tblProveedores[[#This Row],[Proveedor]]))</f>
        <v>5</v>
      </c>
      <c r="I10" s="42">
        <f>IF(tblProveedores[[#This Row],[Proveedor]]="","",SUMPRODUCT(COUNTIFS(tblStock[Proveedor],tblProveedores[[#This Row],[Proveedor]],tblStock[Estado],{"INCONSISTENTE","AGOTADO","CRÍTICO","BAJO"})))</f>
        <v>1</v>
      </c>
      <c r="J10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11" spans="2:11" x14ac:dyDescent="0.25">
      <c r="B11" s="40" t="s">
        <v>143</v>
      </c>
      <c r="C11" s="41" t="s">
        <v>144</v>
      </c>
      <c r="D11" s="40" t="s">
        <v>145</v>
      </c>
      <c r="E11" s="41" t="s">
        <v>146</v>
      </c>
      <c r="F11" s="40" t="s">
        <v>147</v>
      </c>
      <c r="G11" s="47">
        <v>7</v>
      </c>
      <c r="H11" s="42">
        <f>IF(tblProveedores[[#This Row],[Proveedor]]="","",COUNTIF(tblProductos[Proveedor],tblProveedores[[#This Row],[Proveedor]]))</f>
        <v>5</v>
      </c>
      <c r="I11" s="42">
        <f>IF(tblProveedores[[#This Row],[Proveedor]]="","",SUMPRODUCT(COUNTIFS(tblStock[Proveedor],tblProveedores[[#This Row],[Proveedor]],tblStock[Estado],{"INCONSISTENTE","AGOTADO","CRÍTICO","BAJO"})))</f>
        <v>2</v>
      </c>
      <c r="J11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12" spans="2:11" x14ac:dyDescent="0.25">
      <c r="B12" s="40" t="s">
        <v>148</v>
      </c>
      <c r="C12" s="41" t="s">
        <v>149</v>
      </c>
      <c r="D12" s="40" t="s">
        <v>150</v>
      </c>
      <c r="E12" s="41" t="s">
        <v>151</v>
      </c>
      <c r="F12" s="40" t="s">
        <v>152</v>
      </c>
      <c r="G12" s="47">
        <v>6</v>
      </c>
      <c r="H12" s="42">
        <f>IF(tblProveedores[[#This Row],[Proveedor]]="","",COUNTIF(tblProductos[Proveedor],tblProveedores[[#This Row],[Proveedor]]))</f>
        <v>6</v>
      </c>
      <c r="I12" s="42">
        <f>IF(tblProveedores[[#This Row],[Proveedor]]="","",SUMPRODUCT(COUNTIFS(tblStock[Proveedor],tblProveedores[[#This Row],[Proveedor]],tblStock[Estado],{"INCONSISTENTE","AGOTADO","CRÍTICO","BAJO"})))</f>
        <v>3</v>
      </c>
      <c r="J12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13" spans="2:11" x14ac:dyDescent="0.25">
      <c r="B13" s="40" t="s">
        <v>153</v>
      </c>
      <c r="C13" s="41" t="s">
        <v>154</v>
      </c>
      <c r="D13" s="40" t="s">
        <v>155</v>
      </c>
      <c r="E13" s="41" t="s">
        <v>156</v>
      </c>
      <c r="F13" s="40" t="s">
        <v>157</v>
      </c>
      <c r="G13" s="47">
        <v>4</v>
      </c>
      <c r="H13" s="42">
        <f>IF(tblProveedores[[#This Row],[Proveedor]]="","",COUNTIF(tblProductos[Proveedor],tblProveedores[[#This Row],[Proveedor]]))</f>
        <v>4</v>
      </c>
      <c r="I13" s="42">
        <f>IF(tblProveedores[[#This Row],[Proveedor]]="","",SUMPRODUCT(COUNTIFS(tblStock[Proveedor],tblProveedores[[#This Row],[Proveedor]],tblStock[Estado],{"INCONSISTENTE","AGOTADO","CRÍTICO","BAJO"})))</f>
        <v>0</v>
      </c>
      <c r="J13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14" spans="2:11" x14ac:dyDescent="0.25">
      <c r="B14" s="40"/>
      <c r="C14" s="41"/>
      <c r="D14" s="40"/>
      <c r="E14" s="41"/>
      <c r="F14" s="40"/>
      <c r="G14" s="47"/>
      <c r="H14" s="42" t="str">
        <f>IF(tblProveedores[[#This Row],[Proveedor]]="","",COUNTIF(tblProductos[Proveedor],tblProveedores[[#This Row],[Proveedor]]))</f>
        <v/>
      </c>
      <c r="I14" s="42" t="str">
        <f>IF(tblProveedores[[#This Row],[Proveedor]]="","",SUMPRODUCT(COUNTIFS(tblStock[Proveedor],tblProveedores[[#This Row],[Proveedor]],tblStock[Estado],{"INCONSISTENTE","AGOTADO","CRÍTICO","BAJO"})))</f>
        <v/>
      </c>
      <c r="J14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5" spans="2:11" x14ac:dyDescent="0.25">
      <c r="B15" s="40"/>
      <c r="C15" s="41"/>
      <c r="D15" s="40"/>
      <c r="E15" s="41"/>
      <c r="F15" s="40"/>
      <c r="G15" s="47"/>
      <c r="H15" s="42" t="str">
        <f>IF(tblProveedores[[#This Row],[Proveedor]]="","",COUNTIF(tblProductos[Proveedor],tblProveedores[[#This Row],[Proveedor]]))</f>
        <v/>
      </c>
      <c r="I15" s="42" t="str">
        <f>IF(tblProveedores[[#This Row],[Proveedor]]="","",SUMPRODUCT(COUNTIFS(tblStock[Proveedor],tblProveedores[[#This Row],[Proveedor]],tblStock[Estado],{"INCONSISTENTE","AGOTADO","CRÍTICO","BAJO"})))</f>
        <v/>
      </c>
      <c r="J15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6" spans="2:11" x14ac:dyDescent="0.25">
      <c r="B16" s="40"/>
      <c r="C16" s="41"/>
      <c r="D16" s="40"/>
      <c r="E16" s="41"/>
      <c r="F16" s="40"/>
      <c r="G16" s="47"/>
      <c r="H16" s="42" t="str">
        <f>IF(tblProveedores[[#This Row],[Proveedor]]="","",COUNTIF(tblProductos[Proveedor],tblProveedores[[#This Row],[Proveedor]]))</f>
        <v/>
      </c>
      <c r="I16" s="42" t="str">
        <f>IF(tblProveedores[[#This Row],[Proveedor]]="","",SUMPRODUCT(COUNTIFS(tblStock[Proveedor],tblProveedores[[#This Row],[Proveedor]],tblStock[Estado],{"INCONSISTENTE","AGOTADO","CRÍTICO","BAJO"})))</f>
        <v/>
      </c>
      <c r="J16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7" spans="2:10" x14ac:dyDescent="0.25">
      <c r="B17" s="40"/>
      <c r="C17" s="41"/>
      <c r="D17" s="40"/>
      <c r="E17" s="41"/>
      <c r="F17" s="40"/>
      <c r="G17" s="47"/>
      <c r="H17" s="42" t="str">
        <f>IF(tblProveedores[[#This Row],[Proveedor]]="","",COUNTIF(tblProductos[Proveedor],tblProveedores[[#This Row],[Proveedor]]))</f>
        <v/>
      </c>
      <c r="I17" s="42" t="str">
        <f>IF(tblProveedores[[#This Row],[Proveedor]]="","",SUMPRODUCT(COUNTIFS(tblStock[Proveedor],tblProveedores[[#This Row],[Proveedor]],tblStock[Estado],{"INCONSISTENTE","AGOTADO","CRÍTICO","BAJO"})))</f>
        <v/>
      </c>
      <c r="J17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8" spans="2:10" x14ac:dyDescent="0.25">
      <c r="B18" s="40"/>
      <c r="C18" s="41"/>
      <c r="D18" s="40"/>
      <c r="E18" s="41"/>
      <c r="F18" s="40"/>
      <c r="G18" s="47"/>
      <c r="H18" s="42" t="str">
        <f>IF(tblProveedores[[#This Row],[Proveedor]]="","",COUNTIF(tblProductos[Proveedor],tblProveedores[[#This Row],[Proveedor]]))</f>
        <v/>
      </c>
      <c r="I18" s="42" t="str">
        <f>IF(tblProveedores[[#This Row],[Proveedor]]="","",SUMPRODUCT(COUNTIFS(tblStock[Proveedor],tblProveedores[[#This Row],[Proveedor]],tblStock[Estado],{"INCONSISTENTE","AGOTADO","CRÍTICO","BAJO"})))</f>
        <v/>
      </c>
      <c r="J18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9" spans="2:10" x14ac:dyDescent="0.25">
      <c r="B19" s="40"/>
      <c r="C19" s="41"/>
      <c r="D19" s="40"/>
      <c r="E19" s="41"/>
      <c r="F19" s="40"/>
      <c r="G19" s="47"/>
      <c r="H19" s="42" t="str">
        <f>IF(tblProveedores[[#This Row],[Proveedor]]="","",COUNTIF(tblProductos[Proveedor],tblProveedores[[#This Row],[Proveedor]]))</f>
        <v/>
      </c>
      <c r="I19" s="42" t="str">
        <f>IF(tblProveedores[[#This Row],[Proveedor]]="","",SUMPRODUCT(COUNTIFS(tblStock[Proveedor],tblProveedores[[#This Row],[Proveedor]],tblStock[Estado],{"INCONSISTENTE","AGOTADO","CRÍTICO","BAJO"})))</f>
        <v/>
      </c>
      <c r="J19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0" spans="2:10" x14ac:dyDescent="0.25">
      <c r="B20" s="40"/>
      <c r="C20" s="41"/>
      <c r="D20" s="40"/>
      <c r="E20" s="41"/>
      <c r="F20" s="40"/>
      <c r="G20" s="47"/>
      <c r="H20" s="42" t="str">
        <f>IF(tblProveedores[[#This Row],[Proveedor]]="","",COUNTIF(tblProductos[Proveedor],tblProveedores[[#This Row],[Proveedor]]))</f>
        <v/>
      </c>
      <c r="I20" s="42" t="str">
        <f>IF(tblProveedores[[#This Row],[Proveedor]]="","",SUMPRODUCT(COUNTIFS(tblStock[Proveedor],tblProveedores[[#This Row],[Proveedor]],tblStock[Estado],{"INCONSISTENTE","AGOTADO","CRÍTICO","BAJO"})))</f>
        <v/>
      </c>
      <c r="J20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1" spans="2:10" x14ac:dyDescent="0.25">
      <c r="B21" s="40"/>
      <c r="C21" s="41"/>
      <c r="D21" s="40"/>
      <c r="E21" s="41"/>
      <c r="F21" s="40"/>
      <c r="G21" s="47"/>
      <c r="H21" s="42" t="str">
        <f>IF(tblProveedores[[#This Row],[Proveedor]]="","",COUNTIF(tblProductos[Proveedor],tblProveedores[[#This Row],[Proveedor]]))</f>
        <v/>
      </c>
      <c r="I21" s="42" t="str">
        <f>IF(tblProveedores[[#This Row],[Proveedor]]="","",SUMPRODUCT(COUNTIFS(tblStock[Proveedor],tblProveedores[[#This Row],[Proveedor]],tblStock[Estado],{"INCONSISTENTE","AGOTADO","CRÍTICO","BAJO"})))</f>
        <v/>
      </c>
      <c r="J21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2" spans="2:10" x14ac:dyDescent="0.25">
      <c r="B22" s="40"/>
      <c r="C22" s="41"/>
      <c r="D22" s="40"/>
      <c r="E22" s="41"/>
      <c r="F22" s="40"/>
      <c r="G22" s="47"/>
      <c r="H22" s="42" t="str">
        <f>IF(tblProveedores[[#This Row],[Proveedor]]="","",COUNTIF(tblProductos[Proveedor],tblProveedores[[#This Row],[Proveedor]]))</f>
        <v/>
      </c>
      <c r="I22" s="42" t="str">
        <f>IF(tblProveedores[[#This Row],[Proveedor]]="","",SUMPRODUCT(COUNTIFS(tblStock[Proveedor],tblProveedores[[#This Row],[Proveedor]],tblStock[Estado],{"INCONSISTENTE","AGOTADO","CRÍTICO","BAJO"})))</f>
        <v/>
      </c>
      <c r="J22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3" spans="2:10" x14ac:dyDescent="0.25">
      <c r="B23" s="40"/>
      <c r="C23" s="41"/>
      <c r="D23" s="40"/>
      <c r="E23" s="41"/>
      <c r="F23" s="40"/>
      <c r="G23" s="47"/>
      <c r="H23" s="42" t="str">
        <f>IF(tblProveedores[[#This Row],[Proveedor]]="","",COUNTIF(tblProductos[Proveedor],tblProveedores[[#This Row],[Proveedor]]))</f>
        <v/>
      </c>
      <c r="I23" s="42" t="str">
        <f>IF(tblProveedores[[#This Row],[Proveedor]]="","",SUMPRODUCT(COUNTIFS(tblStock[Proveedor],tblProveedores[[#This Row],[Proveedor]],tblStock[Estado],{"INCONSISTENTE","AGOTADO","CRÍTICO","BAJO"})))</f>
        <v/>
      </c>
      <c r="J23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4" spans="2:10" x14ac:dyDescent="0.25">
      <c r="B24" s="40"/>
      <c r="C24" s="41"/>
      <c r="D24" s="40"/>
      <c r="E24" s="41"/>
      <c r="F24" s="40"/>
      <c r="G24" s="47"/>
      <c r="H24" s="42" t="str">
        <f>IF(tblProveedores[[#This Row],[Proveedor]]="","",COUNTIF(tblProductos[Proveedor],tblProveedores[[#This Row],[Proveedor]]))</f>
        <v/>
      </c>
      <c r="I24" s="42" t="str">
        <f>IF(tblProveedores[[#This Row],[Proveedor]]="","",SUMPRODUCT(COUNTIFS(tblStock[Proveedor],tblProveedores[[#This Row],[Proveedor]],tblStock[Estado],{"INCONSISTENTE","AGOTADO","CRÍTICO","BAJO"})))</f>
        <v/>
      </c>
      <c r="J24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5" spans="2:10" x14ac:dyDescent="0.25">
      <c r="B25" s="40"/>
      <c r="C25" s="41"/>
      <c r="D25" s="40"/>
      <c r="E25" s="41"/>
      <c r="F25" s="40"/>
      <c r="G25" s="47"/>
      <c r="H25" s="42" t="str">
        <f>IF(tblProveedores[[#This Row],[Proveedor]]="","",COUNTIF(tblProductos[Proveedor],tblProveedores[[#This Row],[Proveedor]]))</f>
        <v/>
      </c>
      <c r="I25" s="42" t="str">
        <f>IF(tblProveedores[[#This Row],[Proveedor]]="","",SUMPRODUCT(COUNTIFS(tblStock[Proveedor],tblProveedores[[#This Row],[Proveedor]],tblStock[Estado],{"INCONSISTENTE","AGOTADO","CRÍTICO","BAJO"})))</f>
        <v/>
      </c>
      <c r="J25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6" spans="2:10" x14ac:dyDescent="0.25">
      <c r="B26" s="40"/>
      <c r="C26" s="41"/>
      <c r="D26" s="40"/>
      <c r="E26" s="41"/>
      <c r="F26" s="40"/>
      <c r="G26" s="47"/>
      <c r="H26" s="42" t="str">
        <f>IF(tblProveedores[[#This Row],[Proveedor]]="","",COUNTIF(tblProductos[Proveedor],tblProveedores[[#This Row],[Proveedor]]))</f>
        <v/>
      </c>
      <c r="I26" s="42" t="str">
        <f>IF(tblProveedores[[#This Row],[Proveedor]]="","",SUMPRODUCT(COUNTIFS(tblStock[Proveedor],tblProveedores[[#This Row],[Proveedor]],tblStock[Estado],{"INCONSISTENTE","AGOTADO","CRÍTICO","BAJO"})))</f>
        <v/>
      </c>
      <c r="J26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7" spans="2:10" x14ac:dyDescent="0.25">
      <c r="B27" s="40"/>
      <c r="C27" s="41"/>
      <c r="D27" s="40"/>
      <c r="E27" s="41"/>
      <c r="F27" s="40"/>
      <c r="G27" s="47"/>
      <c r="H27" s="42" t="str">
        <f>IF(tblProveedores[[#This Row],[Proveedor]]="","",COUNTIF(tblProductos[Proveedor],tblProveedores[[#This Row],[Proveedor]]))</f>
        <v/>
      </c>
      <c r="I27" s="42" t="str">
        <f>IF(tblProveedores[[#This Row],[Proveedor]]="","",SUMPRODUCT(COUNTIFS(tblStock[Proveedor],tblProveedores[[#This Row],[Proveedor]],tblStock[Estado],{"INCONSISTENTE","AGOTADO","CRÍTICO","BAJO"})))</f>
        <v/>
      </c>
      <c r="J27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8" spans="2:10" x14ac:dyDescent="0.25">
      <c r="B28" s="40"/>
      <c r="C28" s="41"/>
      <c r="D28" s="40"/>
      <c r="E28" s="41"/>
      <c r="F28" s="40"/>
      <c r="G28" s="47"/>
      <c r="H28" s="42" t="str">
        <f>IF(tblProveedores[[#This Row],[Proveedor]]="","",COUNTIF(tblProductos[Proveedor],tblProveedores[[#This Row],[Proveedor]]))</f>
        <v/>
      </c>
      <c r="I28" s="42" t="str">
        <f>IF(tblProveedores[[#This Row],[Proveedor]]="","",SUMPRODUCT(COUNTIFS(tblStock[Proveedor],tblProveedores[[#This Row],[Proveedor]],tblStock[Estado],{"INCONSISTENTE","AGOTADO","CRÍTICO","BAJO"})))</f>
        <v/>
      </c>
      <c r="J28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9" spans="2:10" x14ac:dyDescent="0.25">
      <c r="B29" s="40"/>
      <c r="C29" s="41"/>
      <c r="D29" s="40"/>
      <c r="E29" s="41"/>
      <c r="F29" s="40"/>
      <c r="G29" s="47"/>
      <c r="H29" s="42" t="str">
        <f>IF(tblProveedores[[#This Row],[Proveedor]]="","",COUNTIF(tblProductos[Proveedor],tblProveedores[[#This Row],[Proveedor]]))</f>
        <v/>
      </c>
      <c r="I29" s="42" t="str">
        <f>IF(tblProveedores[[#This Row],[Proveedor]]="","",SUMPRODUCT(COUNTIFS(tblStock[Proveedor],tblProveedores[[#This Row],[Proveedor]],tblStock[Estado],{"INCONSISTENTE","AGOTADO","CRÍTICO","BAJO"})))</f>
        <v/>
      </c>
      <c r="J29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0" spans="2:10" x14ac:dyDescent="0.25">
      <c r="B30" s="40"/>
      <c r="C30" s="41"/>
      <c r="D30" s="40"/>
      <c r="E30" s="41"/>
      <c r="F30" s="40"/>
      <c r="G30" s="47"/>
      <c r="H30" s="42" t="str">
        <f>IF(tblProveedores[[#This Row],[Proveedor]]="","",COUNTIF(tblProductos[Proveedor],tblProveedores[[#This Row],[Proveedor]]))</f>
        <v/>
      </c>
      <c r="I30" s="42" t="str">
        <f>IF(tblProveedores[[#This Row],[Proveedor]]="","",SUMPRODUCT(COUNTIFS(tblStock[Proveedor],tblProveedores[[#This Row],[Proveedor]],tblStock[Estado],{"INCONSISTENTE","AGOTADO","CRÍTICO","BAJO"})))</f>
        <v/>
      </c>
      <c r="J30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1" spans="2:10" x14ac:dyDescent="0.25">
      <c r="B31" s="40"/>
      <c r="C31" s="41"/>
      <c r="D31" s="40"/>
      <c r="E31" s="41"/>
      <c r="F31" s="40"/>
      <c r="G31" s="47"/>
      <c r="H31" s="42" t="str">
        <f>IF(tblProveedores[[#This Row],[Proveedor]]="","",COUNTIF(tblProductos[Proveedor],tblProveedores[[#This Row],[Proveedor]]))</f>
        <v/>
      </c>
      <c r="I31" s="42" t="str">
        <f>IF(tblProveedores[[#This Row],[Proveedor]]="","",SUMPRODUCT(COUNTIFS(tblStock[Proveedor],tblProveedores[[#This Row],[Proveedor]],tblStock[Estado],{"INCONSISTENTE","AGOTADO","CRÍTICO","BAJO"})))</f>
        <v/>
      </c>
      <c r="J31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2" spans="2:10" x14ac:dyDescent="0.25">
      <c r="B32" s="40"/>
      <c r="C32" s="41"/>
      <c r="D32" s="40"/>
      <c r="E32" s="41"/>
      <c r="F32" s="40"/>
      <c r="G32" s="47"/>
      <c r="H32" s="42" t="str">
        <f>IF(tblProveedores[[#This Row],[Proveedor]]="","",COUNTIF(tblProductos[Proveedor],tblProveedores[[#This Row],[Proveedor]]))</f>
        <v/>
      </c>
      <c r="I32" s="42" t="str">
        <f>IF(tblProveedores[[#This Row],[Proveedor]]="","",SUMPRODUCT(COUNTIFS(tblStock[Proveedor],tblProveedores[[#This Row],[Proveedor]],tblStock[Estado],{"INCONSISTENTE","AGOTADO","CRÍTICO","BAJO"})))</f>
        <v/>
      </c>
      <c r="J32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3" spans="2:10" x14ac:dyDescent="0.25">
      <c r="B33" s="40"/>
      <c r="C33" s="41"/>
      <c r="D33" s="40"/>
      <c r="E33" s="41"/>
      <c r="F33" s="40"/>
      <c r="G33" s="47"/>
      <c r="H33" s="42" t="str">
        <f>IF(tblProveedores[[#This Row],[Proveedor]]="","",COUNTIF(tblProductos[Proveedor],tblProveedores[[#This Row],[Proveedor]]))</f>
        <v/>
      </c>
      <c r="I33" s="42" t="str">
        <f>IF(tblProveedores[[#This Row],[Proveedor]]="","",SUMPRODUCT(COUNTIFS(tblStock[Proveedor],tblProveedores[[#This Row],[Proveedor]],tblStock[Estado],{"INCONSISTENTE","AGOTADO","CRÍTICO","BAJO"})))</f>
        <v/>
      </c>
      <c r="J33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4" spans="2:10" x14ac:dyDescent="0.25">
      <c r="B34" s="40"/>
      <c r="C34" s="41"/>
      <c r="D34" s="40"/>
      <c r="E34" s="41"/>
      <c r="F34" s="40"/>
      <c r="G34" s="47"/>
      <c r="H34" s="42" t="str">
        <f>IF(tblProveedores[[#This Row],[Proveedor]]="","",COUNTIF(tblProductos[Proveedor],tblProveedores[[#This Row],[Proveedor]]))</f>
        <v/>
      </c>
      <c r="I34" s="42" t="str">
        <f>IF(tblProveedores[[#This Row],[Proveedor]]="","",SUMPRODUCT(COUNTIFS(tblStock[Proveedor],tblProveedores[[#This Row],[Proveedor]],tblStock[Estado],{"INCONSISTENTE","AGOTADO","CRÍTICO","BAJO"})))</f>
        <v/>
      </c>
      <c r="J34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5" spans="2:10" x14ac:dyDescent="0.25">
      <c r="B35" s="40"/>
      <c r="C35" s="41"/>
      <c r="D35" s="40"/>
      <c r="E35" s="41"/>
      <c r="F35" s="40"/>
      <c r="G35" s="47"/>
      <c r="H35" s="42" t="str">
        <f>IF(tblProveedores[[#This Row],[Proveedor]]="","",COUNTIF(tblProductos[Proveedor],tblProveedores[[#This Row],[Proveedor]]))</f>
        <v/>
      </c>
      <c r="I35" s="42" t="str">
        <f>IF(tblProveedores[[#This Row],[Proveedor]]="","",SUMPRODUCT(COUNTIFS(tblStock[Proveedor],tblProveedores[[#This Row],[Proveedor]],tblStock[Estado],{"INCONSISTENTE","AGOTADO","CRÍTICO","BAJO"})))</f>
        <v/>
      </c>
      <c r="J35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6" spans="2:10" x14ac:dyDescent="0.25">
      <c r="B36" s="40"/>
      <c r="C36" s="41"/>
      <c r="D36" s="40"/>
      <c r="E36" s="41"/>
      <c r="F36" s="40"/>
      <c r="G36" s="47"/>
      <c r="H36" s="42" t="str">
        <f>IF(tblProveedores[[#This Row],[Proveedor]]="","",COUNTIF(tblProductos[Proveedor],tblProveedores[[#This Row],[Proveedor]]))</f>
        <v/>
      </c>
      <c r="I36" s="42" t="str">
        <f>IF(tblProveedores[[#This Row],[Proveedor]]="","",SUMPRODUCT(COUNTIFS(tblStock[Proveedor],tblProveedores[[#This Row],[Proveedor]],tblStock[Estado],{"INCONSISTENTE","AGOTADO","CRÍTICO","BAJO"})))</f>
        <v/>
      </c>
      <c r="J36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7" spans="2:10" x14ac:dyDescent="0.25">
      <c r="B37" s="40"/>
      <c r="C37" s="41"/>
      <c r="D37" s="40"/>
      <c r="E37" s="41"/>
      <c r="F37" s="40"/>
      <c r="G37" s="47"/>
      <c r="H37" s="42" t="str">
        <f>IF(tblProveedores[[#This Row],[Proveedor]]="","",COUNTIF(tblProductos[Proveedor],tblProveedores[[#This Row],[Proveedor]]))</f>
        <v/>
      </c>
      <c r="I37" s="42" t="str">
        <f>IF(tblProveedores[[#This Row],[Proveedor]]="","",SUMPRODUCT(COUNTIFS(tblStock[Proveedor],tblProveedores[[#This Row],[Proveedor]],tblStock[Estado],{"INCONSISTENTE","AGOTADO","CRÍTICO","BAJO"})))</f>
        <v/>
      </c>
      <c r="J37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8" spans="2:10" x14ac:dyDescent="0.25">
      <c r="B38" s="40"/>
      <c r="C38" s="41"/>
      <c r="D38" s="40"/>
      <c r="E38" s="41"/>
      <c r="F38" s="40"/>
      <c r="G38" s="47"/>
      <c r="H38" s="42" t="str">
        <f>IF(tblProveedores[[#This Row],[Proveedor]]="","",COUNTIF(tblProductos[Proveedor],tblProveedores[[#This Row],[Proveedor]]))</f>
        <v/>
      </c>
      <c r="I38" s="42" t="str">
        <f>IF(tblProveedores[[#This Row],[Proveedor]]="","",SUMPRODUCT(COUNTIFS(tblStock[Proveedor],tblProveedores[[#This Row],[Proveedor]],tblStock[Estado],{"INCONSISTENTE","AGOTADO","CRÍTICO","BAJO"})))</f>
        <v/>
      </c>
      <c r="J38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9" spans="2:10" x14ac:dyDescent="0.25">
      <c r="B39" s="40"/>
      <c r="C39" s="41"/>
      <c r="D39" s="40"/>
      <c r="E39" s="41"/>
      <c r="F39" s="40"/>
      <c r="G39" s="47"/>
      <c r="H39" s="42" t="str">
        <f>IF(tblProveedores[[#This Row],[Proveedor]]="","",COUNTIF(tblProductos[Proveedor],tblProveedores[[#This Row],[Proveedor]]))</f>
        <v/>
      </c>
      <c r="I39" s="42" t="str">
        <f>IF(tblProveedores[[#This Row],[Proveedor]]="","",SUMPRODUCT(COUNTIFS(tblStock[Proveedor],tblProveedores[[#This Row],[Proveedor]],tblStock[Estado],{"INCONSISTENTE","AGOTADO","CRÍTICO","BAJO"})))</f>
        <v/>
      </c>
      <c r="J39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0" spans="2:10" x14ac:dyDescent="0.25">
      <c r="B40" s="40"/>
      <c r="C40" s="41"/>
      <c r="D40" s="40"/>
      <c r="E40" s="41"/>
      <c r="F40" s="40"/>
      <c r="G40" s="47"/>
      <c r="H40" s="42" t="str">
        <f>IF(tblProveedores[[#This Row],[Proveedor]]="","",COUNTIF(tblProductos[Proveedor],tblProveedores[[#This Row],[Proveedor]]))</f>
        <v/>
      </c>
      <c r="I40" s="42" t="str">
        <f>IF(tblProveedores[[#This Row],[Proveedor]]="","",SUMPRODUCT(COUNTIFS(tblStock[Proveedor],tblProveedores[[#This Row],[Proveedor]],tblStock[Estado],{"INCONSISTENTE","AGOTADO","CRÍTICO","BAJO"})))</f>
        <v/>
      </c>
      <c r="J40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1" spans="2:10" x14ac:dyDescent="0.25">
      <c r="B41" s="40"/>
      <c r="C41" s="41"/>
      <c r="D41" s="40"/>
      <c r="E41" s="41"/>
      <c r="F41" s="40"/>
      <c r="G41" s="47"/>
      <c r="H41" s="42" t="str">
        <f>IF(tblProveedores[[#This Row],[Proveedor]]="","",COUNTIF(tblProductos[Proveedor],tblProveedores[[#This Row],[Proveedor]]))</f>
        <v/>
      </c>
      <c r="I41" s="42" t="str">
        <f>IF(tblProveedores[[#This Row],[Proveedor]]="","",SUMPRODUCT(COUNTIFS(tblStock[Proveedor],tblProveedores[[#This Row],[Proveedor]],tblStock[Estado],{"INCONSISTENTE","AGOTADO","CRÍTICO","BAJO"})))</f>
        <v/>
      </c>
      <c r="J41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2" spans="2:10" x14ac:dyDescent="0.25">
      <c r="B42" s="40"/>
      <c r="C42" s="41"/>
      <c r="D42" s="40"/>
      <c r="E42" s="41"/>
      <c r="F42" s="40"/>
      <c r="G42" s="47"/>
      <c r="H42" s="42" t="str">
        <f>IF(tblProveedores[[#This Row],[Proveedor]]="","",COUNTIF(tblProductos[Proveedor],tblProveedores[[#This Row],[Proveedor]]))</f>
        <v/>
      </c>
      <c r="I42" s="42" t="str">
        <f>IF(tblProveedores[[#This Row],[Proveedor]]="","",SUMPRODUCT(COUNTIFS(tblStock[Proveedor],tblProveedores[[#This Row],[Proveedor]],tblStock[Estado],{"INCONSISTENTE","AGOTADO","CRÍTICO","BAJO"})))</f>
        <v/>
      </c>
      <c r="J42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3" spans="2:10" x14ac:dyDescent="0.25">
      <c r="B43" s="40"/>
      <c r="C43" s="41"/>
      <c r="D43" s="40"/>
      <c r="E43" s="41"/>
      <c r="F43" s="40"/>
      <c r="G43" s="47"/>
      <c r="H43" s="42" t="str">
        <f>IF(tblProveedores[[#This Row],[Proveedor]]="","",COUNTIF(tblProductos[Proveedor],tblProveedores[[#This Row],[Proveedor]]))</f>
        <v/>
      </c>
      <c r="I43" s="42" t="str">
        <f>IF(tblProveedores[[#This Row],[Proveedor]]="","",SUMPRODUCT(COUNTIFS(tblStock[Proveedor],tblProveedores[[#This Row],[Proveedor]],tblStock[Estado],{"INCONSISTENTE","AGOTADO","CRÍTICO","BAJO"})))</f>
        <v/>
      </c>
      <c r="J43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4" spans="2:10" x14ac:dyDescent="0.25">
      <c r="B44" s="40"/>
      <c r="C44" s="41"/>
      <c r="D44" s="40"/>
      <c r="E44" s="41"/>
      <c r="F44" s="40"/>
      <c r="G44" s="47"/>
      <c r="H44" s="42" t="str">
        <f>IF(tblProveedores[[#This Row],[Proveedor]]="","",COUNTIF(tblProductos[Proveedor],tblProveedores[[#This Row],[Proveedor]]))</f>
        <v/>
      </c>
      <c r="I44" s="42" t="str">
        <f>IF(tblProveedores[[#This Row],[Proveedor]]="","",SUMPRODUCT(COUNTIFS(tblStock[Proveedor],tblProveedores[[#This Row],[Proveedor]],tblStock[Estado],{"INCONSISTENTE","AGOTADO","CRÍTICO","BAJO"})))</f>
        <v/>
      </c>
      <c r="J44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5" spans="2:10" x14ac:dyDescent="0.25">
      <c r="B45" s="40"/>
      <c r="C45" s="41"/>
      <c r="D45" s="40"/>
      <c r="E45" s="41"/>
      <c r="F45" s="40"/>
      <c r="G45" s="47"/>
      <c r="H45" s="42" t="str">
        <f>IF(tblProveedores[[#This Row],[Proveedor]]="","",COUNTIF(tblProductos[Proveedor],tblProveedores[[#This Row],[Proveedor]]))</f>
        <v/>
      </c>
      <c r="I45" s="42" t="str">
        <f>IF(tblProveedores[[#This Row],[Proveedor]]="","",SUMPRODUCT(COUNTIFS(tblStock[Proveedor],tblProveedores[[#This Row],[Proveedor]],tblStock[Estado],{"INCONSISTENTE","AGOTADO","CRÍTICO","BAJO"})))</f>
        <v/>
      </c>
      <c r="J45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6" spans="2:10" x14ac:dyDescent="0.25">
      <c r="B46" s="40"/>
      <c r="C46" s="41"/>
      <c r="D46" s="40"/>
      <c r="E46" s="41"/>
      <c r="F46" s="40"/>
      <c r="G46" s="47"/>
      <c r="H46" s="42" t="str">
        <f>IF(tblProveedores[[#This Row],[Proveedor]]="","",COUNTIF(tblProductos[Proveedor],tblProveedores[[#This Row],[Proveedor]]))</f>
        <v/>
      </c>
      <c r="I46" s="42" t="str">
        <f>IF(tblProveedores[[#This Row],[Proveedor]]="","",SUMPRODUCT(COUNTIFS(tblStock[Proveedor],tblProveedores[[#This Row],[Proveedor]],tblStock[Estado],{"INCONSISTENTE","AGOTADO","CRÍTICO","BAJO"})))</f>
        <v/>
      </c>
      <c r="J46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7" spans="2:10" x14ac:dyDescent="0.25">
      <c r="B47" s="40"/>
      <c r="C47" s="41"/>
      <c r="D47" s="40"/>
      <c r="E47" s="41"/>
      <c r="F47" s="40"/>
      <c r="G47" s="47"/>
      <c r="H47" s="42" t="str">
        <f>IF(tblProveedores[[#This Row],[Proveedor]]="","",COUNTIF(tblProductos[Proveedor],tblProveedores[[#This Row],[Proveedor]]))</f>
        <v/>
      </c>
      <c r="I47" s="42" t="str">
        <f>IF(tblProveedores[[#This Row],[Proveedor]]="","",SUMPRODUCT(COUNTIFS(tblStock[Proveedor],tblProveedores[[#This Row],[Proveedor]],tblStock[Estado],{"INCONSISTENTE","AGOTADO","CRÍTICO","BAJO"})))</f>
        <v/>
      </c>
      <c r="J47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8" spans="2:10" x14ac:dyDescent="0.25">
      <c r="B48" s="40"/>
      <c r="C48" s="41"/>
      <c r="D48" s="40"/>
      <c r="E48" s="41"/>
      <c r="F48" s="40"/>
      <c r="G48" s="47"/>
      <c r="H48" s="42" t="str">
        <f>IF(tblProveedores[[#This Row],[Proveedor]]="","",COUNTIF(tblProductos[Proveedor],tblProveedores[[#This Row],[Proveedor]]))</f>
        <v/>
      </c>
      <c r="I48" s="42" t="str">
        <f>IF(tblProveedores[[#This Row],[Proveedor]]="","",SUMPRODUCT(COUNTIFS(tblStock[Proveedor],tblProveedores[[#This Row],[Proveedor]],tblStock[Estado],{"INCONSISTENTE","AGOTADO","CRÍTICO","BAJO"})))</f>
        <v/>
      </c>
      <c r="J48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9" spans="2:10" x14ac:dyDescent="0.25">
      <c r="B49" s="40"/>
      <c r="C49" s="41"/>
      <c r="D49" s="40"/>
      <c r="E49" s="41"/>
      <c r="F49" s="40"/>
      <c r="G49" s="47"/>
      <c r="H49" s="42" t="str">
        <f>IF(tblProveedores[[#This Row],[Proveedor]]="","",COUNTIF(tblProductos[Proveedor],tblProveedores[[#This Row],[Proveedor]]))</f>
        <v/>
      </c>
      <c r="I49" s="42" t="str">
        <f>IF(tblProveedores[[#This Row],[Proveedor]]="","",SUMPRODUCT(COUNTIFS(tblStock[Proveedor],tblProveedores[[#This Row],[Proveedor]],tblStock[Estado],{"INCONSISTENTE","AGOTADO","CRÍTICO","BAJO"})))</f>
        <v/>
      </c>
      <c r="J49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0" spans="2:10" x14ac:dyDescent="0.25">
      <c r="B50" s="40"/>
      <c r="C50" s="41"/>
      <c r="D50" s="40"/>
      <c r="E50" s="41"/>
      <c r="F50" s="40"/>
      <c r="G50" s="47"/>
      <c r="H50" s="42" t="str">
        <f>IF(tblProveedores[[#This Row],[Proveedor]]="","",COUNTIF(tblProductos[Proveedor],tblProveedores[[#This Row],[Proveedor]]))</f>
        <v/>
      </c>
      <c r="I50" s="42" t="str">
        <f>IF(tblProveedores[[#This Row],[Proveedor]]="","",SUMPRODUCT(COUNTIFS(tblStock[Proveedor],tblProveedores[[#This Row],[Proveedor]],tblStock[Estado],{"INCONSISTENTE","AGOTADO","CRÍTICO","BAJO"})))</f>
        <v/>
      </c>
      <c r="J50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1" spans="2:10" x14ac:dyDescent="0.25">
      <c r="B51" s="40"/>
      <c r="C51" s="41"/>
      <c r="D51" s="40"/>
      <c r="E51" s="41"/>
      <c r="F51" s="40"/>
      <c r="G51" s="47"/>
      <c r="H51" s="42" t="str">
        <f>IF(tblProveedores[[#This Row],[Proveedor]]="","",COUNTIF(tblProductos[Proveedor],tblProveedores[[#This Row],[Proveedor]]))</f>
        <v/>
      </c>
      <c r="I51" s="42" t="str">
        <f>IF(tblProveedores[[#This Row],[Proveedor]]="","",SUMPRODUCT(COUNTIFS(tblStock[Proveedor],tblProveedores[[#This Row],[Proveedor]],tblStock[Estado],{"INCONSISTENTE","AGOTADO","CRÍTICO","BAJO"})))</f>
        <v/>
      </c>
      <c r="J51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2" spans="2:10" x14ac:dyDescent="0.25">
      <c r="B52" s="40"/>
      <c r="C52" s="41"/>
      <c r="D52" s="40"/>
      <c r="E52" s="41"/>
      <c r="F52" s="40"/>
      <c r="G52" s="47"/>
      <c r="H52" s="42" t="str">
        <f>IF(tblProveedores[[#This Row],[Proveedor]]="","",COUNTIF(tblProductos[Proveedor],tblProveedores[[#This Row],[Proveedor]]))</f>
        <v/>
      </c>
      <c r="I52" s="42" t="str">
        <f>IF(tblProveedores[[#This Row],[Proveedor]]="","",SUMPRODUCT(COUNTIFS(tblStock[Proveedor],tblProveedores[[#This Row],[Proveedor]],tblStock[Estado],{"INCONSISTENTE","AGOTADO","CRÍTICO","BAJO"})))</f>
        <v/>
      </c>
      <c r="J52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3" spans="2:10" x14ac:dyDescent="0.25">
      <c r="B53" s="40"/>
      <c r="C53" s="41"/>
      <c r="D53" s="40"/>
      <c r="E53" s="41"/>
      <c r="F53" s="40"/>
      <c r="G53" s="47"/>
      <c r="H53" s="42" t="str">
        <f>IF(tblProveedores[[#This Row],[Proveedor]]="","",COUNTIF(tblProductos[Proveedor],tblProveedores[[#This Row],[Proveedor]]))</f>
        <v/>
      </c>
      <c r="I53" s="42" t="str">
        <f>IF(tblProveedores[[#This Row],[Proveedor]]="","",SUMPRODUCT(COUNTIFS(tblStock[Proveedor],tblProveedores[[#This Row],[Proveedor]],tblStock[Estado],{"INCONSISTENTE","AGOTADO","CRÍTICO","BAJO"})))</f>
        <v/>
      </c>
      <c r="J53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4" spans="2:10" x14ac:dyDescent="0.25">
      <c r="B54" s="40"/>
      <c r="C54" s="41"/>
      <c r="D54" s="40"/>
      <c r="E54" s="41"/>
      <c r="F54" s="40"/>
      <c r="G54" s="47"/>
      <c r="H54" s="42" t="str">
        <f>IF(tblProveedores[[#This Row],[Proveedor]]="","",COUNTIF(tblProductos[Proveedor],tblProveedores[[#This Row],[Proveedor]]))</f>
        <v/>
      </c>
      <c r="I54" s="42" t="str">
        <f>IF(tblProveedores[[#This Row],[Proveedor]]="","",SUMPRODUCT(COUNTIFS(tblStock[Proveedor],tblProveedores[[#This Row],[Proveedor]],tblStock[Estado],{"INCONSISTENTE","AGOTADO","CRÍTICO","BAJO"})))</f>
        <v/>
      </c>
      <c r="J54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5" spans="2:10" x14ac:dyDescent="0.25">
      <c r="B55" s="40"/>
      <c r="C55" s="41"/>
      <c r="D55" s="40"/>
      <c r="E55" s="41"/>
      <c r="F55" s="40"/>
      <c r="G55" s="47"/>
      <c r="H55" s="42" t="str">
        <f>IF(tblProveedores[[#This Row],[Proveedor]]="","",COUNTIF(tblProductos[Proveedor],tblProveedores[[#This Row],[Proveedor]]))</f>
        <v/>
      </c>
      <c r="I55" s="42" t="str">
        <f>IF(tblProveedores[[#This Row],[Proveedor]]="","",SUMPRODUCT(COUNTIFS(tblStock[Proveedor],tblProveedores[[#This Row],[Proveedor]],tblStock[Estado],{"INCONSISTENTE","AGOTADO","CRÍTICO","BAJO"})))</f>
        <v/>
      </c>
      <c r="J55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6" spans="2:10" x14ac:dyDescent="0.25">
      <c r="B56" s="40"/>
      <c r="C56" s="41"/>
      <c r="D56" s="40"/>
      <c r="E56" s="41"/>
      <c r="F56" s="40"/>
      <c r="G56" s="47"/>
      <c r="H56" s="42" t="str">
        <f>IF(tblProveedores[[#This Row],[Proveedor]]="","",COUNTIF(tblProductos[Proveedor],tblProveedores[[#This Row],[Proveedor]]))</f>
        <v/>
      </c>
      <c r="I56" s="42" t="str">
        <f>IF(tblProveedores[[#This Row],[Proveedor]]="","",SUMPRODUCT(COUNTIFS(tblStock[Proveedor],tblProveedores[[#This Row],[Proveedor]],tblStock[Estado],{"INCONSISTENTE","AGOTADO","CRÍTICO","BAJO"})))</f>
        <v/>
      </c>
      <c r="J56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7" spans="2:10" x14ac:dyDescent="0.25">
      <c r="B57" s="40"/>
      <c r="C57" s="41"/>
      <c r="D57" s="40"/>
      <c r="E57" s="41"/>
      <c r="F57" s="40"/>
      <c r="G57" s="47"/>
      <c r="H57" s="42" t="str">
        <f>IF(tblProveedores[[#This Row],[Proveedor]]="","",COUNTIF(tblProductos[Proveedor],tblProveedores[[#This Row],[Proveedor]]))</f>
        <v/>
      </c>
      <c r="I57" s="42" t="str">
        <f>IF(tblProveedores[[#This Row],[Proveedor]]="","",SUMPRODUCT(COUNTIFS(tblStock[Proveedor],tblProveedores[[#This Row],[Proveedor]],tblStock[Estado],{"INCONSISTENTE","AGOTADO","CRÍTICO","BAJO"})))</f>
        <v/>
      </c>
      <c r="J57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8" spans="2:10" x14ac:dyDescent="0.25">
      <c r="B58" s="40"/>
      <c r="C58" s="41"/>
      <c r="D58" s="40"/>
      <c r="E58" s="41"/>
      <c r="F58" s="40"/>
      <c r="G58" s="47"/>
      <c r="H58" s="42" t="str">
        <f>IF(tblProveedores[[#This Row],[Proveedor]]="","",COUNTIF(tblProductos[Proveedor],tblProveedores[[#This Row],[Proveedor]]))</f>
        <v/>
      </c>
      <c r="I58" s="42" t="str">
        <f>IF(tblProveedores[[#This Row],[Proveedor]]="","",SUMPRODUCT(COUNTIFS(tblStock[Proveedor],tblProveedores[[#This Row],[Proveedor]],tblStock[Estado],{"INCONSISTENTE","AGOTADO","CRÍTICO","BAJO"})))</f>
        <v/>
      </c>
      <c r="J58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9" spans="2:10" x14ac:dyDescent="0.25">
      <c r="B59" s="40"/>
      <c r="C59" s="41"/>
      <c r="D59" s="40"/>
      <c r="E59" s="41"/>
      <c r="F59" s="40"/>
      <c r="G59" s="47"/>
      <c r="H59" s="42" t="str">
        <f>IF(tblProveedores[[#This Row],[Proveedor]]="","",COUNTIF(tblProductos[Proveedor],tblProveedores[[#This Row],[Proveedor]]))</f>
        <v/>
      </c>
      <c r="I59" s="42" t="str">
        <f>IF(tblProveedores[[#This Row],[Proveedor]]="","",SUMPRODUCT(COUNTIFS(tblStock[Proveedor],tblProveedores[[#This Row],[Proveedor]],tblStock[Estado],{"INCONSISTENTE","AGOTADO","CRÍTICO","BAJO"})))</f>
        <v/>
      </c>
      <c r="J59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0" spans="2:10" x14ac:dyDescent="0.25">
      <c r="B60" s="40"/>
      <c r="C60" s="41"/>
      <c r="D60" s="40"/>
      <c r="E60" s="41"/>
      <c r="F60" s="40"/>
      <c r="G60" s="47"/>
      <c r="H60" s="42" t="str">
        <f>IF(tblProveedores[[#This Row],[Proveedor]]="","",COUNTIF(tblProductos[Proveedor],tblProveedores[[#This Row],[Proveedor]]))</f>
        <v/>
      </c>
      <c r="I60" s="42" t="str">
        <f>IF(tblProveedores[[#This Row],[Proveedor]]="","",SUMPRODUCT(COUNTIFS(tblStock[Proveedor],tblProveedores[[#This Row],[Proveedor]],tblStock[Estado],{"INCONSISTENTE","AGOTADO","CRÍTICO","BAJO"})))</f>
        <v/>
      </c>
      <c r="J60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1" spans="2:10" x14ac:dyDescent="0.25">
      <c r="B61" s="40"/>
      <c r="C61" s="41"/>
      <c r="D61" s="40"/>
      <c r="E61" s="41"/>
      <c r="F61" s="40"/>
      <c r="G61" s="47"/>
      <c r="H61" s="42" t="str">
        <f>IF(tblProveedores[[#This Row],[Proveedor]]="","",COUNTIF(tblProductos[Proveedor],tblProveedores[[#This Row],[Proveedor]]))</f>
        <v/>
      </c>
      <c r="I61" s="42" t="str">
        <f>IF(tblProveedores[[#This Row],[Proveedor]]="","",SUMPRODUCT(COUNTIFS(tblStock[Proveedor],tblProveedores[[#This Row],[Proveedor]],tblStock[Estado],{"INCONSISTENTE","AGOTADO","CRÍTICO","BAJO"})))</f>
        <v/>
      </c>
      <c r="J61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2" spans="2:10" x14ac:dyDescent="0.25">
      <c r="B62" s="40"/>
      <c r="C62" s="41"/>
      <c r="D62" s="40"/>
      <c r="E62" s="41"/>
      <c r="F62" s="40"/>
      <c r="G62" s="47"/>
      <c r="H62" s="42" t="str">
        <f>IF(tblProveedores[[#This Row],[Proveedor]]="","",COUNTIF(tblProductos[Proveedor],tblProveedores[[#This Row],[Proveedor]]))</f>
        <v/>
      </c>
      <c r="I62" s="42" t="str">
        <f>IF(tblProveedores[[#This Row],[Proveedor]]="","",SUMPRODUCT(COUNTIFS(tblStock[Proveedor],tblProveedores[[#This Row],[Proveedor]],tblStock[Estado],{"INCONSISTENTE","AGOTADO","CRÍTICO","BAJO"})))</f>
        <v/>
      </c>
      <c r="J62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3" spans="2:10" x14ac:dyDescent="0.25">
      <c r="B63" s="40"/>
      <c r="C63" s="41"/>
      <c r="D63" s="40"/>
      <c r="E63" s="41"/>
      <c r="F63" s="40"/>
      <c r="G63" s="47"/>
      <c r="H63" s="42" t="str">
        <f>IF(tblProveedores[[#This Row],[Proveedor]]="","",COUNTIF(tblProductos[Proveedor],tblProveedores[[#This Row],[Proveedor]]))</f>
        <v/>
      </c>
      <c r="I63" s="42" t="str">
        <f>IF(tblProveedores[[#This Row],[Proveedor]]="","",SUMPRODUCT(COUNTIFS(tblStock[Proveedor],tblProveedores[[#This Row],[Proveedor]],tblStock[Estado],{"INCONSISTENTE","AGOTADO","CRÍTICO","BAJO"})))</f>
        <v/>
      </c>
      <c r="J63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4" spans="2:10" x14ac:dyDescent="0.25">
      <c r="B64" s="40"/>
      <c r="C64" s="41"/>
      <c r="D64" s="40"/>
      <c r="E64" s="41"/>
      <c r="F64" s="40"/>
      <c r="G64" s="47"/>
      <c r="H64" s="42" t="str">
        <f>IF(tblProveedores[[#This Row],[Proveedor]]="","",COUNTIF(tblProductos[Proveedor],tblProveedores[[#This Row],[Proveedor]]))</f>
        <v/>
      </c>
      <c r="I64" s="42" t="str">
        <f>IF(tblProveedores[[#This Row],[Proveedor]]="","",SUMPRODUCT(COUNTIFS(tblStock[Proveedor],tblProveedores[[#This Row],[Proveedor]],tblStock[Estado],{"INCONSISTENTE","AGOTADO","CRÍTICO","BAJO"})))</f>
        <v/>
      </c>
      <c r="J64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5" spans="2:10" x14ac:dyDescent="0.25">
      <c r="B65" s="40"/>
      <c r="C65" s="41"/>
      <c r="D65" s="40"/>
      <c r="E65" s="41"/>
      <c r="F65" s="40"/>
      <c r="G65" s="47"/>
      <c r="H65" s="42" t="str">
        <f>IF(tblProveedores[[#This Row],[Proveedor]]="","",COUNTIF(tblProductos[Proveedor],tblProveedores[[#This Row],[Proveedor]]))</f>
        <v/>
      </c>
      <c r="I65" s="42" t="str">
        <f>IF(tblProveedores[[#This Row],[Proveedor]]="","",SUMPRODUCT(COUNTIFS(tblStock[Proveedor],tblProveedores[[#This Row],[Proveedor]],tblStock[Estado],{"INCONSISTENTE","AGOTADO","CRÍTICO","BAJO"})))</f>
        <v/>
      </c>
      <c r="J65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6" spans="2:10" x14ac:dyDescent="0.25">
      <c r="B66" s="40"/>
      <c r="C66" s="41"/>
      <c r="D66" s="40"/>
      <c r="E66" s="41"/>
      <c r="F66" s="40"/>
      <c r="G66" s="47"/>
      <c r="H66" s="42" t="str">
        <f>IF(tblProveedores[[#This Row],[Proveedor]]="","",COUNTIF(tblProductos[Proveedor],tblProveedores[[#This Row],[Proveedor]]))</f>
        <v/>
      </c>
      <c r="I66" s="42" t="str">
        <f>IF(tblProveedores[[#This Row],[Proveedor]]="","",SUMPRODUCT(COUNTIFS(tblStock[Proveedor],tblProveedores[[#This Row],[Proveedor]],tblStock[Estado],{"INCONSISTENTE","AGOTADO","CRÍTICO","BAJO"})))</f>
        <v/>
      </c>
      <c r="J66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7" spans="2:10" x14ac:dyDescent="0.25">
      <c r="B67" s="40"/>
      <c r="C67" s="41"/>
      <c r="D67" s="40"/>
      <c r="E67" s="41"/>
      <c r="F67" s="40"/>
      <c r="G67" s="47"/>
      <c r="H67" s="42" t="str">
        <f>IF(tblProveedores[[#This Row],[Proveedor]]="","",COUNTIF(tblProductos[Proveedor],tblProveedores[[#This Row],[Proveedor]]))</f>
        <v/>
      </c>
      <c r="I67" s="42" t="str">
        <f>IF(tblProveedores[[#This Row],[Proveedor]]="","",SUMPRODUCT(COUNTIFS(tblStock[Proveedor],tblProveedores[[#This Row],[Proveedor]],tblStock[Estado],{"INCONSISTENTE","AGOTADO","CRÍTICO","BAJO"})))</f>
        <v/>
      </c>
      <c r="J67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8" spans="2:10" x14ac:dyDescent="0.25">
      <c r="B68" s="40"/>
      <c r="C68" s="41"/>
      <c r="D68" s="40"/>
      <c r="E68" s="41"/>
      <c r="F68" s="40"/>
      <c r="G68" s="47"/>
      <c r="H68" s="42" t="str">
        <f>IF(tblProveedores[[#This Row],[Proveedor]]="","",COUNTIF(tblProductos[Proveedor],tblProveedores[[#This Row],[Proveedor]]))</f>
        <v/>
      </c>
      <c r="I68" s="42" t="str">
        <f>IF(tblProveedores[[#This Row],[Proveedor]]="","",SUMPRODUCT(COUNTIFS(tblStock[Proveedor],tblProveedores[[#This Row],[Proveedor]],tblStock[Estado],{"INCONSISTENTE","AGOTADO","CRÍTICO","BAJO"})))</f>
        <v/>
      </c>
      <c r="J68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9" spans="2:10" x14ac:dyDescent="0.25">
      <c r="B69" s="40"/>
      <c r="C69" s="41"/>
      <c r="D69" s="40"/>
      <c r="E69" s="41"/>
      <c r="F69" s="40"/>
      <c r="G69" s="47"/>
      <c r="H69" s="42" t="str">
        <f>IF(tblProveedores[[#This Row],[Proveedor]]="","",COUNTIF(tblProductos[Proveedor],tblProveedores[[#This Row],[Proveedor]]))</f>
        <v/>
      </c>
      <c r="I69" s="42" t="str">
        <f>IF(tblProveedores[[#This Row],[Proveedor]]="","",SUMPRODUCT(COUNTIFS(tblStock[Proveedor],tblProveedores[[#This Row],[Proveedor]],tblStock[Estado],{"INCONSISTENTE","AGOTADO","CRÍTICO","BAJO"})))</f>
        <v/>
      </c>
      <c r="J69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0" spans="2:10" x14ac:dyDescent="0.25">
      <c r="B70" s="40"/>
      <c r="C70" s="41"/>
      <c r="D70" s="40"/>
      <c r="E70" s="41"/>
      <c r="F70" s="40"/>
      <c r="G70" s="47"/>
      <c r="H70" s="42" t="str">
        <f>IF(tblProveedores[[#This Row],[Proveedor]]="","",COUNTIF(tblProductos[Proveedor],tblProveedores[[#This Row],[Proveedor]]))</f>
        <v/>
      </c>
      <c r="I70" s="42" t="str">
        <f>IF(tblProveedores[[#This Row],[Proveedor]]="","",SUMPRODUCT(COUNTIFS(tblStock[Proveedor],tblProveedores[[#This Row],[Proveedor]],tblStock[Estado],{"INCONSISTENTE","AGOTADO","CRÍTICO","BAJO"})))</f>
        <v/>
      </c>
      <c r="J70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1" spans="2:10" x14ac:dyDescent="0.25">
      <c r="B71" s="40"/>
      <c r="C71" s="41"/>
      <c r="D71" s="40"/>
      <c r="E71" s="41"/>
      <c r="F71" s="40"/>
      <c r="G71" s="47"/>
      <c r="H71" s="42" t="str">
        <f>IF(tblProveedores[[#This Row],[Proveedor]]="","",COUNTIF(tblProductos[Proveedor],tblProveedores[[#This Row],[Proveedor]]))</f>
        <v/>
      </c>
      <c r="I71" s="42" t="str">
        <f>IF(tblProveedores[[#This Row],[Proveedor]]="","",SUMPRODUCT(COUNTIFS(tblStock[Proveedor],tblProveedores[[#This Row],[Proveedor]],tblStock[Estado],{"INCONSISTENTE","AGOTADO","CRÍTICO","BAJO"})))</f>
        <v/>
      </c>
      <c r="J71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2" spans="2:10" x14ac:dyDescent="0.25">
      <c r="B72" s="40"/>
      <c r="C72" s="41"/>
      <c r="D72" s="40"/>
      <c r="E72" s="41"/>
      <c r="F72" s="40"/>
      <c r="G72" s="47"/>
      <c r="H72" s="42" t="str">
        <f>IF(tblProveedores[[#This Row],[Proveedor]]="","",COUNTIF(tblProductos[Proveedor],tblProveedores[[#This Row],[Proveedor]]))</f>
        <v/>
      </c>
      <c r="I72" s="42" t="str">
        <f>IF(tblProveedores[[#This Row],[Proveedor]]="","",SUMPRODUCT(COUNTIFS(tblStock[Proveedor],tblProveedores[[#This Row],[Proveedor]],tblStock[Estado],{"INCONSISTENTE","AGOTADO","CRÍTICO","BAJO"})))</f>
        <v/>
      </c>
      <c r="J72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3" spans="2:10" x14ac:dyDescent="0.25">
      <c r="B73" s="40"/>
      <c r="C73" s="41"/>
      <c r="D73" s="40"/>
      <c r="E73" s="41"/>
      <c r="F73" s="40"/>
      <c r="G73" s="47"/>
      <c r="H73" s="42" t="str">
        <f>IF(tblProveedores[[#This Row],[Proveedor]]="","",COUNTIF(tblProductos[Proveedor],tblProveedores[[#This Row],[Proveedor]]))</f>
        <v/>
      </c>
      <c r="I73" s="42" t="str">
        <f>IF(tblProveedores[[#This Row],[Proveedor]]="","",SUMPRODUCT(COUNTIFS(tblStock[Proveedor],tblProveedores[[#This Row],[Proveedor]],tblStock[Estado],{"INCONSISTENTE","AGOTADO","CRÍTICO","BAJO"})))</f>
        <v/>
      </c>
      <c r="J73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4" spans="2:10" x14ac:dyDescent="0.25">
      <c r="B74" s="40"/>
      <c r="C74" s="41"/>
      <c r="D74" s="40"/>
      <c r="E74" s="41"/>
      <c r="F74" s="40"/>
      <c r="G74" s="47"/>
      <c r="H74" s="42" t="str">
        <f>IF(tblProveedores[[#This Row],[Proveedor]]="","",COUNTIF(tblProductos[Proveedor],tblProveedores[[#This Row],[Proveedor]]))</f>
        <v/>
      </c>
      <c r="I74" s="42" t="str">
        <f>IF(tblProveedores[[#This Row],[Proveedor]]="","",SUMPRODUCT(COUNTIFS(tblStock[Proveedor],tblProveedores[[#This Row],[Proveedor]],tblStock[Estado],{"INCONSISTENTE","AGOTADO","CRÍTICO","BAJO"})))</f>
        <v/>
      </c>
      <c r="J74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5" spans="2:10" x14ac:dyDescent="0.25">
      <c r="B75" s="40"/>
      <c r="C75" s="41"/>
      <c r="D75" s="40"/>
      <c r="E75" s="41"/>
      <c r="F75" s="40"/>
      <c r="G75" s="47"/>
      <c r="H75" s="42" t="str">
        <f>IF(tblProveedores[[#This Row],[Proveedor]]="","",COUNTIF(tblProductos[Proveedor],tblProveedores[[#This Row],[Proveedor]]))</f>
        <v/>
      </c>
      <c r="I75" s="42" t="str">
        <f>IF(tblProveedores[[#This Row],[Proveedor]]="","",SUMPRODUCT(COUNTIFS(tblStock[Proveedor],tblProveedores[[#This Row],[Proveedor]],tblStock[Estado],{"INCONSISTENTE","AGOTADO","CRÍTICO","BAJO"})))</f>
        <v/>
      </c>
      <c r="J75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6" spans="2:10" x14ac:dyDescent="0.25">
      <c r="B76" s="40"/>
      <c r="C76" s="41"/>
      <c r="D76" s="40"/>
      <c r="E76" s="41"/>
      <c r="F76" s="40"/>
      <c r="G76" s="47"/>
      <c r="H76" s="42" t="str">
        <f>IF(tblProveedores[[#This Row],[Proveedor]]="","",COUNTIF(tblProductos[Proveedor],tblProveedores[[#This Row],[Proveedor]]))</f>
        <v/>
      </c>
      <c r="I76" s="42" t="str">
        <f>IF(tblProveedores[[#This Row],[Proveedor]]="","",SUMPRODUCT(COUNTIFS(tblStock[Proveedor],tblProveedores[[#This Row],[Proveedor]],tblStock[Estado],{"INCONSISTENTE","AGOTADO","CRÍTICO","BAJO"})))</f>
        <v/>
      </c>
      <c r="J76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7" spans="2:10" x14ac:dyDescent="0.25">
      <c r="B77" s="40"/>
      <c r="C77" s="41"/>
      <c r="D77" s="40"/>
      <c r="E77" s="41"/>
      <c r="F77" s="40"/>
      <c r="G77" s="47"/>
      <c r="H77" s="42" t="str">
        <f>IF(tblProveedores[[#This Row],[Proveedor]]="","",COUNTIF(tblProductos[Proveedor],tblProveedores[[#This Row],[Proveedor]]))</f>
        <v/>
      </c>
      <c r="I77" s="42" t="str">
        <f>IF(tblProveedores[[#This Row],[Proveedor]]="","",SUMPRODUCT(COUNTIFS(tblStock[Proveedor],tblProveedores[[#This Row],[Proveedor]],tblStock[Estado],{"INCONSISTENTE","AGOTADO","CRÍTICO","BAJO"})))</f>
        <v/>
      </c>
      <c r="J77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8" spans="2:10" x14ac:dyDescent="0.25">
      <c r="B78" s="40"/>
      <c r="C78" s="41"/>
      <c r="D78" s="40"/>
      <c r="E78" s="41"/>
      <c r="F78" s="40"/>
      <c r="G78" s="47"/>
      <c r="H78" s="42" t="str">
        <f>IF(tblProveedores[[#This Row],[Proveedor]]="","",COUNTIF(tblProductos[Proveedor],tblProveedores[[#This Row],[Proveedor]]))</f>
        <v/>
      </c>
      <c r="I78" s="42" t="str">
        <f>IF(tblProveedores[[#This Row],[Proveedor]]="","",SUMPRODUCT(COUNTIFS(tblStock[Proveedor],tblProveedores[[#This Row],[Proveedor]],tblStock[Estado],{"INCONSISTENTE","AGOTADO","CRÍTICO","BAJO"})))</f>
        <v/>
      </c>
      <c r="J78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9" spans="2:10" x14ac:dyDescent="0.25">
      <c r="B79" s="40"/>
      <c r="C79" s="41"/>
      <c r="D79" s="40"/>
      <c r="E79" s="41"/>
      <c r="F79" s="40"/>
      <c r="G79" s="47"/>
      <c r="H79" s="42" t="str">
        <f>IF(tblProveedores[[#This Row],[Proveedor]]="","",COUNTIF(tblProductos[Proveedor],tblProveedores[[#This Row],[Proveedor]]))</f>
        <v/>
      </c>
      <c r="I79" s="42" t="str">
        <f>IF(tblProveedores[[#This Row],[Proveedor]]="","",SUMPRODUCT(COUNTIFS(tblStock[Proveedor],tblProveedores[[#This Row],[Proveedor]],tblStock[Estado],{"INCONSISTENTE","AGOTADO","CRÍTICO","BAJO"})))</f>
        <v/>
      </c>
      <c r="J79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0" spans="2:10" x14ac:dyDescent="0.25">
      <c r="B80" s="40"/>
      <c r="C80" s="41"/>
      <c r="D80" s="40"/>
      <c r="E80" s="41"/>
      <c r="F80" s="40"/>
      <c r="G80" s="47"/>
      <c r="H80" s="42" t="str">
        <f>IF(tblProveedores[[#This Row],[Proveedor]]="","",COUNTIF(tblProductos[Proveedor],tblProveedores[[#This Row],[Proveedor]]))</f>
        <v/>
      </c>
      <c r="I80" s="42" t="str">
        <f>IF(tblProveedores[[#This Row],[Proveedor]]="","",SUMPRODUCT(COUNTIFS(tblStock[Proveedor],tblProveedores[[#This Row],[Proveedor]],tblStock[Estado],{"INCONSISTENTE","AGOTADO","CRÍTICO","BAJO"})))</f>
        <v/>
      </c>
      <c r="J80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1" spans="2:10" x14ac:dyDescent="0.25">
      <c r="B81" s="40"/>
      <c r="C81" s="41"/>
      <c r="D81" s="40"/>
      <c r="E81" s="41"/>
      <c r="F81" s="40"/>
      <c r="G81" s="47"/>
      <c r="H81" s="42" t="str">
        <f>IF(tblProveedores[[#This Row],[Proveedor]]="","",COUNTIF(tblProductos[Proveedor],tblProveedores[[#This Row],[Proveedor]]))</f>
        <v/>
      </c>
      <c r="I81" s="42" t="str">
        <f>IF(tblProveedores[[#This Row],[Proveedor]]="","",SUMPRODUCT(COUNTIFS(tblStock[Proveedor],tblProveedores[[#This Row],[Proveedor]],tblStock[Estado],{"INCONSISTENTE","AGOTADO","CRÍTICO","BAJO"})))</f>
        <v/>
      </c>
      <c r="J81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2" spans="2:10" x14ac:dyDescent="0.25">
      <c r="B82" s="40"/>
      <c r="C82" s="41"/>
      <c r="D82" s="40"/>
      <c r="E82" s="41"/>
      <c r="F82" s="40"/>
      <c r="G82" s="47"/>
      <c r="H82" s="42" t="str">
        <f>IF(tblProveedores[[#This Row],[Proveedor]]="","",COUNTIF(tblProductos[Proveedor],tblProveedores[[#This Row],[Proveedor]]))</f>
        <v/>
      </c>
      <c r="I82" s="42" t="str">
        <f>IF(tblProveedores[[#This Row],[Proveedor]]="","",SUMPRODUCT(COUNTIFS(tblStock[Proveedor],tblProveedores[[#This Row],[Proveedor]],tblStock[Estado],{"INCONSISTENTE","AGOTADO","CRÍTICO","BAJO"})))</f>
        <v/>
      </c>
      <c r="J82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3" spans="2:10" x14ac:dyDescent="0.25">
      <c r="B83" s="40"/>
      <c r="C83" s="41"/>
      <c r="D83" s="40"/>
      <c r="E83" s="41"/>
      <c r="F83" s="40"/>
      <c r="G83" s="47"/>
      <c r="H83" s="42" t="str">
        <f>IF(tblProveedores[[#This Row],[Proveedor]]="","",COUNTIF(tblProductos[Proveedor],tblProveedores[[#This Row],[Proveedor]]))</f>
        <v/>
      </c>
      <c r="I83" s="42" t="str">
        <f>IF(tblProveedores[[#This Row],[Proveedor]]="","",SUMPRODUCT(COUNTIFS(tblStock[Proveedor],tblProveedores[[#This Row],[Proveedor]],tblStock[Estado],{"INCONSISTENTE","AGOTADO","CRÍTICO","BAJO"})))</f>
        <v/>
      </c>
      <c r="J83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4" spans="2:10" x14ac:dyDescent="0.25">
      <c r="B84" s="40"/>
      <c r="C84" s="41"/>
      <c r="D84" s="40"/>
      <c r="E84" s="41"/>
      <c r="F84" s="40"/>
      <c r="G84" s="47"/>
      <c r="H84" s="42" t="str">
        <f>IF(tblProveedores[[#This Row],[Proveedor]]="","",COUNTIF(tblProductos[Proveedor],tblProveedores[[#This Row],[Proveedor]]))</f>
        <v/>
      </c>
      <c r="I84" s="42" t="str">
        <f>IF(tblProveedores[[#This Row],[Proveedor]]="","",SUMPRODUCT(COUNTIFS(tblStock[Proveedor],tblProveedores[[#This Row],[Proveedor]],tblStock[Estado],{"INCONSISTENTE","AGOTADO","CRÍTICO","BAJO"})))</f>
        <v/>
      </c>
      <c r="J84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5" spans="2:10" x14ac:dyDescent="0.25">
      <c r="B85" s="40"/>
      <c r="C85" s="41"/>
      <c r="D85" s="40"/>
      <c r="E85" s="41"/>
      <c r="F85" s="40"/>
      <c r="G85" s="47"/>
      <c r="H85" s="42" t="str">
        <f>IF(tblProveedores[[#This Row],[Proveedor]]="","",COUNTIF(tblProductos[Proveedor],tblProveedores[[#This Row],[Proveedor]]))</f>
        <v/>
      </c>
      <c r="I85" s="42" t="str">
        <f>IF(tblProveedores[[#This Row],[Proveedor]]="","",SUMPRODUCT(COUNTIFS(tblStock[Proveedor],tblProveedores[[#This Row],[Proveedor]],tblStock[Estado],{"INCONSISTENTE","AGOTADO","CRÍTICO","BAJO"})))</f>
        <v/>
      </c>
      <c r="J85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6" spans="2:10" x14ac:dyDescent="0.25">
      <c r="B86" s="40"/>
      <c r="C86" s="41"/>
      <c r="D86" s="40"/>
      <c r="E86" s="41"/>
      <c r="F86" s="40"/>
      <c r="G86" s="47"/>
      <c r="H86" s="42" t="str">
        <f>IF(tblProveedores[[#This Row],[Proveedor]]="","",COUNTIF(tblProductos[Proveedor],tblProveedores[[#This Row],[Proveedor]]))</f>
        <v/>
      </c>
      <c r="I86" s="42" t="str">
        <f>IF(tblProveedores[[#This Row],[Proveedor]]="","",SUMPRODUCT(COUNTIFS(tblStock[Proveedor],tblProveedores[[#This Row],[Proveedor]],tblStock[Estado],{"INCONSISTENTE","AGOTADO","CRÍTICO","BAJO"})))</f>
        <v/>
      </c>
      <c r="J86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7" spans="2:10" x14ac:dyDescent="0.25">
      <c r="B87" s="40"/>
      <c r="C87" s="41"/>
      <c r="D87" s="40"/>
      <c r="E87" s="41"/>
      <c r="F87" s="40"/>
      <c r="G87" s="47"/>
      <c r="H87" s="42" t="str">
        <f>IF(tblProveedores[[#This Row],[Proveedor]]="","",COUNTIF(tblProductos[Proveedor],tblProveedores[[#This Row],[Proveedor]]))</f>
        <v/>
      </c>
      <c r="I87" s="42" t="str">
        <f>IF(tblProveedores[[#This Row],[Proveedor]]="","",SUMPRODUCT(COUNTIFS(tblStock[Proveedor],tblProveedores[[#This Row],[Proveedor]],tblStock[Estado],{"INCONSISTENTE","AGOTADO","CRÍTICO","BAJO"})))</f>
        <v/>
      </c>
      <c r="J87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8" spans="2:10" x14ac:dyDescent="0.25">
      <c r="B88" s="40"/>
      <c r="C88" s="41"/>
      <c r="D88" s="40"/>
      <c r="E88" s="41"/>
      <c r="F88" s="40"/>
      <c r="G88" s="47"/>
      <c r="H88" s="42" t="str">
        <f>IF(tblProveedores[[#This Row],[Proveedor]]="","",COUNTIF(tblProductos[Proveedor],tblProveedores[[#This Row],[Proveedor]]))</f>
        <v/>
      </c>
      <c r="I88" s="42" t="str">
        <f>IF(tblProveedores[[#This Row],[Proveedor]]="","",SUMPRODUCT(COUNTIFS(tblStock[Proveedor],tblProveedores[[#This Row],[Proveedor]],tblStock[Estado],{"INCONSISTENTE","AGOTADO","CRÍTICO","BAJO"})))</f>
        <v/>
      </c>
      <c r="J88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9" spans="2:10" x14ac:dyDescent="0.25">
      <c r="B89" s="40"/>
      <c r="C89" s="41"/>
      <c r="D89" s="40"/>
      <c r="E89" s="41"/>
      <c r="F89" s="40"/>
      <c r="G89" s="47"/>
      <c r="H89" s="42" t="str">
        <f>IF(tblProveedores[[#This Row],[Proveedor]]="","",COUNTIF(tblProductos[Proveedor],tblProveedores[[#This Row],[Proveedor]]))</f>
        <v/>
      </c>
      <c r="I89" s="42" t="str">
        <f>IF(tblProveedores[[#This Row],[Proveedor]]="","",SUMPRODUCT(COUNTIFS(tblStock[Proveedor],tblProveedores[[#This Row],[Proveedor]],tblStock[Estado],{"INCONSISTENTE","AGOTADO","CRÍTICO","BAJO"})))</f>
        <v/>
      </c>
      <c r="J89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0" spans="2:10" x14ac:dyDescent="0.25">
      <c r="B90" s="40"/>
      <c r="C90" s="41"/>
      <c r="D90" s="40"/>
      <c r="E90" s="41"/>
      <c r="F90" s="40"/>
      <c r="G90" s="47"/>
      <c r="H90" s="42" t="str">
        <f>IF(tblProveedores[[#This Row],[Proveedor]]="","",COUNTIF(tblProductos[Proveedor],tblProveedores[[#This Row],[Proveedor]]))</f>
        <v/>
      </c>
      <c r="I90" s="42" t="str">
        <f>IF(tblProveedores[[#This Row],[Proveedor]]="","",SUMPRODUCT(COUNTIFS(tblStock[Proveedor],tblProveedores[[#This Row],[Proveedor]],tblStock[Estado],{"INCONSISTENTE","AGOTADO","CRÍTICO","BAJO"})))</f>
        <v/>
      </c>
      <c r="J90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1" spans="2:10" x14ac:dyDescent="0.25">
      <c r="B91" s="40"/>
      <c r="C91" s="41"/>
      <c r="D91" s="40"/>
      <c r="E91" s="41"/>
      <c r="F91" s="40"/>
      <c r="G91" s="47"/>
      <c r="H91" s="42" t="str">
        <f>IF(tblProveedores[[#This Row],[Proveedor]]="","",COUNTIF(tblProductos[Proveedor],tblProveedores[[#This Row],[Proveedor]]))</f>
        <v/>
      </c>
      <c r="I91" s="42" t="str">
        <f>IF(tblProveedores[[#This Row],[Proveedor]]="","",SUMPRODUCT(COUNTIFS(tblStock[Proveedor],tblProveedores[[#This Row],[Proveedor]],tblStock[Estado],{"INCONSISTENTE","AGOTADO","CRÍTICO","BAJO"})))</f>
        <v/>
      </c>
      <c r="J91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2" spans="2:10" x14ac:dyDescent="0.25">
      <c r="B92" s="40"/>
      <c r="C92" s="41"/>
      <c r="D92" s="40"/>
      <c r="E92" s="41"/>
      <c r="F92" s="40"/>
      <c r="G92" s="47"/>
      <c r="H92" s="42" t="str">
        <f>IF(tblProveedores[[#This Row],[Proveedor]]="","",COUNTIF(tblProductos[Proveedor],tblProveedores[[#This Row],[Proveedor]]))</f>
        <v/>
      </c>
      <c r="I92" s="42" t="str">
        <f>IF(tblProveedores[[#This Row],[Proveedor]]="","",SUMPRODUCT(COUNTIFS(tblStock[Proveedor],tblProveedores[[#This Row],[Proveedor]],tblStock[Estado],{"INCONSISTENTE","AGOTADO","CRÍTICO","BAJO"})))</f>
        <v/>
      </c>
      <c r="J92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3" spans="2:10" x14ac:dyDescent="0.25">
      <c r="B93" s="40"/>
      <c r="C93" s="41"/>
      <c r="D93" s="40"/>
      <c r="E93" s="41"/>
      <c r="F93" s="40"/>
      <c r="G93" s="47"/>
      <c r="H93" s="42" t="str">
        <f>IF(tblProveedores[[#This Row],[Proveedor]]="","",COUNTIF(tblProductos[Proveedor],tblProveedores[[#This Row],[Proveedor]]))</f>
        <v/>
      </c>
      <c r="I93" s="42" t="str">
        <f>IF(tblProveedores[[#This Row],[Proveedor]]="","",SUMPRODUCT(COUNTIFS(tblStock[Proveedor],tblProveedores[[#This Row],[Proveedor]],tblStock[Estado],{"INCONSISTENTE","AGOTADO","CRÍTICO","BAJO"})))</f>
        <v/>
      </c>
      <c r="J93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4" spans="2:10" x14ac:dyDescent="0.25">
      <c r="B94" s="40"/>
      <c r="C94" s="41"/>
      <c r="D94" s="40"/>
      <c r="E94" s="41"/>
      <c r="F94" s="40"/>
      <c r="G94" s="47"/>
      <c r="H94" s="42" t="str">
        <f>IF(tblProveedores[[#This Row],[Proveedor]]="","",COUNTIF(tblProductos[Proveedor],tblProveedores[[#This Row],[Proveedor]]))</f>
        <v/>
      </c>
      <c r="I94" s="42" t="str">
        <f>IF(tblProveedores[[#This Row],[Proveedor]]="","",SUMPRODUCT(COUNTIFS(tblStock[Proveedor],tblProveedores[[#This Row],[Proveedor]],tblStock[Estado],{"INCONSISTENTE","AGOTADO","CRÍTICO","BAJO"})))</f>
        <v/>
      </c>
      <c r="J94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5" spans="2:10" x14ac:dyDescent="0.25">
      <c r="B95" s="40"/>
      <c r="C95" s="41"/>
      <c r="D95" s="40"/>
      <c r="E95" s="41"/>
      <c r="F95" s="40"/>
      <c r="G95" s="47"/>
      <c r="H95" s="42" t="str">
        <f>IF(tblProveedores[[#This Row],[Proveedor]]="","",COUNTIF(tblProductos[Proveedor],tblProveedores[[#This Row],[Proveedor]]))</f>
        <v/>
      </c>
      <c r="I95" s="42" t="str">
        <f>IF(tblProveedores[[#This Row],[Proveedor]]="","",SUMPRODUCT(COUNTIFS(tblStock[Proveedor],tblProveedores[[#This Row],[Proveedor]],tblStock[Estado],{"INCONSISTENTE","AGOTADO","CRÍTICO","BAJO"})))</f>
        <v/>
      </c>
      <c r="J95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6" spans="2:10" x14ac:dyDescent="0.25">
      <c r="B96" s="40"/>
      <c r="C96" s="41"/>
      <c r="D96" s="40"/>
      <c r="E96" s="41"/>
      <c r="F96" s="40"/>
      <c r="G96" s="47"/>
      <c r="H96" s="42" t="str">
        <f>IF(tblProveedores[[#This Row],[Proveedor]]="","",COUNTIF(tblProductos[Proveedor],tblProveedores[[#This Row],[Proveedor]]))</f>
        <v/>
      </c>
      <c r="I96" s="42" t="str">
        <f>IF(tblProveedores[[#This Row],[Proveedor]]="","",SUMPRODUCT(COUNTIFS(tblStock[Proveedor],tblProveedores[[#This Row],[Proveedor]],tblStock[Estado],{"INCONSISTENTE","AGOTADO","CRÍTICO","BAJO"})))</f>
        <v/>
      </c>
      <c r="J96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7" spans="2:10" x14ac:dyDescent="0.25">
      <c r="B97" s="40"/>
      <c r="C97" s="41"/>
      <c r="D97" s="40"/>
      <c r="E97" s="41"/>
      <c r="F97" s="40"/>
      <c r="G97" s="47"/>
      <c r="H97" s="42" t="str">
        <f>IF(tblProveedores[[#This Row],[Proveedor]]="","",COUNTIF(tblProductos[Proveedor],tblProveedores[[#This Row],[Proveedor]]))</f>
        <v/>
      </c>
      <c r="I97" s="42" t="str">
        <f>IF(tblProveedores[[#This Row],[Proveedor]]="","",SUMPRODUCT(COUNTIFS(tblStock[Proveedor],tblProveedores[[#This Row],[Proveedor]],tblStock[Estado],{"INCONSISTENTE","AGOTADO","CRÍTICO","BAJO"})))</f>
        <v/>
      </c>
      <c r="J97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8" spans="2:10" x14ac:dyDescent="0.25">
      <c r="B98" s="40"/>
      <c r="C98" s="41"/>
      <c r="D98" s="40"/>
      <c r="E98" s="41"/>
      <c r="F98" s="40"/>
      <c r="G98" s="47"/>
      <c r="H98" s="42" t="str">
        <f>IF(tblProveedores[[#This Row],[Proveedor]]="","",COUNTIF(tblProductos[Proveedor],tblProveedores[[#This Row],[Proveedor]]))</f>
        <v/>
      </c>
      <c r="I98" s="42" t="str">
        <f>IF(tblProveedores[[#This Row],[Proveedor]]="","",SUMPRODUCT(COUNTIFS(tblStock[Proveedor],tblProveedores[[#This Row],[Proveedor]],tblStock[Estado],{"INCONSISTENTE","AGOTADO","CRÍTICO","BAJO"})))</f>
        <v/>
      </c>
      <c r="J98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9" spans="2:10" x14ac:dyDescent="0.25">
      <c r="B99" s="40"/>
      <c r="C99" s="41"/>
      <c r="D99" s="40"/>
      <c r="E99" s="41"/>
      <c r="F99" s="40"/>
      <c r="G99" s="47"/>
      <c r="H99" s="42" t="str">
        <f>IF(tblProveedores[[#This Row],[Proveedor]]="","",COUNTIF(tblProductos[Proveedor],tblProveedores[[#This Row],[Proveedor]]))</f>
        <v/>
      </c>
      <c r="I99" s="42" t="str">
        <f>IF(tblProveedores[[#This Row],[Proveedor]]="","",SUMPRODUCT(COUNTIFS(tblStock[Proveedor],tblProveedores[[#This Row],[Proveedor]],tblStock[Estado],{"INCONSISTENTE","AGOTADO","CRÍTICO","BAJO"})))</f>
        <v/>
      </c>
      <c r="J99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0" spans="2:10" x14ac:dyDescent="0.25">
      <c r="B100" s="40"/>
      <c r="C100" s="41"/>
      <c r="D100" s="40"/>
      <c r="E100" s="41"/>
      <c r="F100" s="40"/>
      <c r="G100" s="47"/>
      <c r="H100" s="42" t="str">
        <f>IF(tblProveedores[[#This Row],[Proveedor]]="","",COUNTIF(tblProductos[Proveedor],tblProveedores[[#This Row],[Proveedor]]))</f>
        <v/>
      </c>
      <c r="I100" s="42" t="str">
        <f>IF(tblProveedores[[#This Row],[Proveedor]]="","",SUMPRODUCT(COUNTIFS(tblStock[Proveedor],tblProveedores[[#This Row],[Proveedor]],tblStock[Estado],{"INCONSISTENTE","AGOTADO","CRÍTICO","BAJO"})))</f>
        <v/>
      </c>
      <c r="J100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1" spans="2:10" x14ac:dyDescent="0.25">
      <c r="B101" s="40"/>
      <c r="C101" s="41"/>
      <c r="D101" s="40"/>
      <c r="E101" s="41"/>
      <c r="F101" s="40"/>
      <c r="G101" s="47"/>
      <c r="H101" s="42" t="str">
        <f>IF(tblProveedores[[#This Row],[Proveedor]]="","",COUNTIF(tblProductos[Proveedor],tblProveedores[[#This Row],[Proveedor]]))</f>
        <v/>
      </c>
      <c r="I101" s="42" t="str">
        <f>IF(tblProveedores[[#This Row],[Proveedor]]="","",SUMPRODUCT(COUNTIFS(tblStock[Proveedor],tblProveedores[[#This Row],[Proveedor]],tblStock[Estado],{"INCONSISTENTE","AGOTADO","CRÍTICO","BAJO"})))</f>
        <v/>
      </c>
      <c r="J101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2" spans="2:10" x14ac:dyDescent="0.25">
      <c r="B102" s="40"/>
      <c r="C102" s="41"/>
      <c r="D102" s="40"/>
      <c r="E102" s="41"/>
      <c r="F102" s="40"/>
      <c r="G102" s="47"/>
      <c r="H102" s="42" t="str">
        <f>IF(tblProveedores[[#This Row],[Proveedor]]="","",COUNTIF(tblProductos[Proveedor],tblProveedores[[#This Row],[Proveedor]]))</f>
        <v/>
      </c>
      <c r="I102" s="42" t="str">
        <f>IF(tblProveedores[[#This Row],[Proveedor]]="","",SUMPRODUCT(COUNTIFS(tblStock[Proveedor],tblProveedores[[#This Row],[Proveedor]],tblStock[Estado],{"INCONSISTENTE","AGOTADO","CRÍTICO","BAJO"})))</f>
        <v/>
      </c>
      <c r="J102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3" spans="2:10" x14ac:dyDescent="0.25">
      <c r="B103" s="40"/>
      <c r="C103" s="41"/>
      <c r="D103" s="40"/>
      <c r="E103" s="41"/>
      <c r="F103" s="40"/>
      <c r="G103" s="47"/>
      <c r="H103" s="42" t="str">
        <f>IF(tblProveedores[[#This Row],[Proveedor]]="","",COUNTIF(tblProductos[Proveedor],tblProveedores[[#This Row],[Proveedor]]))</f>
        <v/>
      </c>
      <c r="I103" s="42" t="str">
        <f>IF(tblProveedores[[#This Row],[Proveedor]]="","",SUMPRODUCT(COUNTIFS(tblStock[Proveedor],tblProveedores[[#This Row],[Proveedor]],tblStock[Estado],{"INCONSISTENTE","AGOTADO","CRÍTICO","BAJO"})))</f>
        <v/>
      </c>
      <c r="J103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4" spans="2:10" x14ac:dyDescent="0.25">
      <c r="B104" s="40"/>
      <c r="C104" s="41"/>
      <c r="D104" s="40"/>
      <c r="E104" s="41"/>
      <c r="F104" s="40"/>
      <c r="G104" s="47"/>
      <c r="H104" s="42" t="str">
        <f>IF(tblProveedores[[#This Row],[Proveedor]]="","",COUNTIF(tblProductos[Proveedor],tblProveedores[[#This Row],[Proveedor]]))</f>
        <v/>
      </c>
      <c r="I104" s="42" t="str">
        <f>IF(tblProveedores[[#This Row],[Proveedor]]="","",SUMPRODUCT(COUNTIFS(tblStock[Proveedor],tblProveedores[[#This Row],[Proveedor]],tblStock[Estado],{"INCONSISTENTE","AGOTADO","CRÍTICO","BAJO"})))</f>
        <v/>
      </c>
      <c r="J104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5" spans="2:10" x14ac:dyDescent="0.25">
      <c r="B105" s="40"/>
      <c r="C105" s="41"/>
      <c r="D105" s="40"/>
      <c r="E105" s="41"/>
      <c r="F105" s="40"/>
      <c r="G105" s="47"/>
      <c r="H105" s="42" t="str">
        <f>IF(tblProveedores[[#This Row],[Proveedor]]="","",COUNTIF(tblProductos[Proveedor],tblProveedores[[#This Row],[Proveedor]]))</f>
        <v/>
      </c>
      <c r="I105" s="42" t="str">
        <f>IF(tblProveedores[[#This Row],[Proveedor]]="","",SUMPRODUCT(COUNTIFS(tblStock[Proveedor],tblProveedores[[#This Row],[Proveedor]],tblStock[Estado],{"INCONSISTENTE","AGOTADO","CRÍTICO","BAJO"})))</f>
        <v/>
      </c>
      <c r="J105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6" spans="2:10" x14ac:dyDescent="0.25">
      <c r="B106" s="40"/>
      <c r="C106" s="41"/>
      <c r="D106" s="40"/>
      <c r="E106" s="41"/>
      <c r="F106" s="40"/>
      <c r="G106" s="47"/>
      <c r="H106" s="42" t="str">
        <f>IF(tblProveedores[[#This Row],[Proveedor]]="","",COUNTIF(tblProductos[Proveedor],tblProveedores[[#This Row],[Proveedor]]))</f>
        <v/>
      </c>
      <c r="I106" s="42" t="str">
        <f>IF(tblProveedores[[#This Row],[Proveedor]]="","",SUMPRODUCT(COUNTIFS(tblStock[Proveedor],tblProveedores[[#This Row],[Proveedor]],tblStock[Estado],{"INCONSISTENTE","AGOTADO","CRÍTICO","BAJO"})))</f>
        <v/>
      </c>
      <c r="J106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7" spans="2:10" x14ac:dyDescent="0.25">
      <c r="B107" s="40"/>
      <c r="C107" s="41"/>
      <c r="D107" s="40"/>
      <c r="E107" s="41"/>
      <c r="F107" s="40"/>
      <c r="G107" s="47"/>
      <c r="H107" s="42" t="str">
        <f>IF(tblProveedores[[#This Row],[Proveedor]]="","",COUNTIF(tblProductos[Proveedor],tblProveedores[[#This Row],[Proveedor]]))</f>
        <v/>
      </c>
      <c r="I107" s="42" t="str">
        <f>IF(tblProveedores[[#This Row],[Proveedor]]="","",SUMPRODUCT(COUNTIFS(tblStock[Proveedor],tblProveedores[[#This Row],[Proveedor]],tblStock[Estado],{"INCONSISTENTE","AGOTADO","CRÍTICO","BAJO"})))</f>
        <v/>
      </c>
      <c r="J107" s="43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</sheetData>
  <sheetProtection password="930D" sheet="1" objects="1" scenarios="1" formatColumns="0" autoFilter="0"/>
  <conditionalFormatting sqref="B8:G107">
    <cfRule type="expression" dxfId="175" priority="1">
      <formula>AND($B8="",$B7&lt;&gt;"")</formula>
    </cfRule>
  </conditionalFormatting>
  <conditionalFormatting sqref="I8:I107">
    <cfRule type="cellIs" dxfId="174" priority="7" operator="greaterThan">
      <formula>0</formula>
    </cfRule>
  </conditionalFormatting>
  <conditionalFormatting sqref="J8:J107">
    <cfRule type="expression" dxfId="173" priority="2">
      <formula>LEFT($J8,1)="✖"</formula>
    </cfRule>
    <cfRule type="expression" dxfId="172" priority="3">
      <formula>LEFT($J8,1)="⚠"</formula>
    </cfRule>
    <cfRule type="expression" dxfId="171" priority="4">
      <formula>LEFT($J8,1)="✔"</formula>
    </cfRule>
    <cfRule type="expression" dxfId="170" priority="5">
      <formula>LEFT($J8,1)="●"</formula>
    </cfRule>
    <cfRule type="expression" dxfId="169" priority="6">
      <formula>LEFT($J8,1)="○"</formula>
    </cfRule>
  </conditionalFormatting>
  <dataValidations count="15">
    <dataValidation allowBlank="1" showInputMessage="1" showErrorMessage="1" promptTitle="✎ Proveedor" prompt="Razón social o nombre comercial (único). Aparece en el catálogo y en el pedido sugerido." sqref="B7" xr:uid="{00000000-0002-0000-0600-000000000000}"/>
    <dataValidation allowBlank="1" showInputMessage="1" showErrorMessage="1" promptTitle="✎ NIT" prompt="Identificación tributaria (opcional)." sqref="C7" xr:uid="{00000000-0002-0000-0600-000001000000}"/>
    <dataValidation allowBlank="1" showInputMessage="1" showErrorMessage="1" promptTitle="✎ Contacto" prompt="Persona de contacto para pedidos." sqref="D7" xr:uid="{00000000-0002-0000-0600-000002000000}"/>
    <dataValidation allowBlank="1" showInputMessage="1" showErrorMessage="1" promptTitle="✎ Teléfono" prompt="Teléfono o celular del contacto." sqref="E7" xr:uid="{00000000-0002-0000-0600-000003000000}"/>
    <dataValidation allowBlank="1" showInputMessage="1" showErrorMessage="1" promptTitle="✎ Correo" prompt="Correo para enviar el pedido sugerido." sqref="F7" xr:uid="{00000000-0002-0000-0600-000004000000}"/>
    <dataValidation allowBlank="1" showInputMessage="1" showErrorMessage="1" promptTitle="✎ DiasEntrega" prompt="Días que tarda en entregar desde el pedido (lead time). Se usa para la fecha estimada de llegada." sqref="G7" xr:uid="{00000000-0002-0000-0600-000005000000}"/>
    <dataValidation allowBlank="1" showInputMessage="1" showErrorMessage="1" promptTitle="ƒx Productos" prompt="Productos del catálogo asignados a este proveedor." sqref="H7" xr:uid="{00000000-0002-0000-0600-000006000000}"/>
    <dataValidation allowBlank="1" showInputMessage="1" showErrorMessage="1" promptTitle="ƒx EnAlerta" prompt="Productos de este proveedor que requieren reposición." sqref="I7" xr:uid="{00000000-0002-0000-0600-000007000000}"/>
    <dataValidation allowBlank="1" showInputMessage="1" showErrorMessage="1" promptTitle="ƒx Validación" prompt="Control de calidad del registro." sqref="J7" xr:uid="{00000000-0002-0000-0600-000008000000}"/>
    <dataValidation type="custom" allowBlank="1" showInputMessage="1" showErrorMessage="1" errorTitle="Proveedor no válido" error="El nombre debe tener entre 3 y 60 caracteres y no puede repetirse." promptTitle="Proveedor" prompt="Nombre único de 3 a 60 caracteres." sqref="B8:B107" xr:uid="{00000000-0002-0000-0600-000009000000}">
      <formula1>AND(LEN(B8)&gt;=3,LEN(B8)&lt;=60,COUNTIF($B$8:$B$107,B8)=1)</formula1>
    </dataValidation>
    <dataValidation type="textLength" operator="lessThanOrEqual" allowBlank="1" showInputMessage="1" showErrorMessage="1" errorTitle="Texto muy largo" error="Máximo 20 caracteres." promptTitle="NIT" prompt="Máximo 20 caracteres." sqref="C8:C107" xr:uid="{00000000-0002-0000-0600-00000A000000}">
      <formula1>20</formula1>
    </dataValidation>
    <dataValidation type="textLength" operator="lessThanOrEqual" allowBlank="1" showInputMessage="1" showErrorMessage="1" errorTitle="Texto muy largo" error="Máximo 60 caracteres." promptTitle="Contacto" prompt="Máximo 60 caracteres." sqref="D8:D107" xr:uid="{00000000-0002-0000-0600-00000B000000}">
      <formula1>60</formula1>
    </dataValidation>
    <dataValidation type="textLength" operator="lessThanOrEqual" allowBlank="1" showInputMessage="1" showErrorMessage="1" errorTitle="Texto muy largo" error="Máximo 20 caracteres." promptTitle="Teléfono" prompt="Máximo 20 caracteres." sqref="E8:E107" xr:uid="{00000000-0002-0000-0600-00000C000000}">
      <formula1>20</formula1>
    </dataValidation>
    <dataValidation type="custom" allowBlank="1" showInputMessage="1" showErrorMessage="1" errorTitle="Correo no válido" error="Escriba un correo válido, sin espacios." promptTitle="Correo" prompt="Ej: pedidos@proveedor.com" sqref="F8:F107" xr:uid="{00000000-0002-0000-0600-00000D000000}">
      <formula1>AND(ISNUMBER(FIND("@",F8)),ISERROR(FIND(" ",F8)),LEN(F8)&lt;=80)</formula1>
    </dataValidation>
    <dataValidation type="whole" allowBlank="1" showInputMessage="1" showErrorMessage="1" errorTitle="Valor no válido" error="Escriba un número entero entre 0 y 365." promptTitle="Días de entrega" prompt="Número entero de días (0 a 365)." sqref="G8:G107" xr:uid="{00000000-0002-0000-0600-00000E000000}">
      <formula1>0</formula1>
      <formula2>365</formula2>
    </dataValidation>
  </dataValidations>
  <hyperlinks>
    <hyperlink ref="B5" location="'00_PORTADA_BODEGA'!A1" tooltip="Portada de Bodega" display="⌂ Bodega" xr:uid="{00000000-0004-0000-0600-000000000000}"/>
    <hyperlink ref="C5" location="'00_PORTADA_VENTAS'!A1" tooltip="Portada de Ventas" display="⌂ Ventas" xr:uid="{00000000-0004-0000-0600-000001000000}"/>
    <hyperlink ref="D5" location="'00_PORTADA_GERENCIA'!A1" tooltip="Portada de Gerencia: indicadores, pedido y actividad" display="◈ Gerencia" xr:uid="{00000000-0004-0000-0600-000002000000}"/>
    <hyperlink ref="E5" location="'10A_ENTRADAS'!C9" tooltip="Registrar entradas y ajustes (Bodega)" display="⇩ Entradas" xr:uid="{00000000-0004-0000-0600-000003000000}"/>
    <hyperlink ref="F5" location="'10B_SALIDAS'!E9" tooltip="Registrar salidas (Ventas)" display="⇧ Salidas" xr:uid="{00000000-0004-0000-0600-000004000000}"/>
    <hyperlink ref="G5" location="'17_CONSULTA'!C9" tooltip="Consultar un producto en su fila" display="⌕ Consulta" xr:uid="{00000000-0004-0000-0600-000005000000}"/>
    <hyperlink ref="H5" location="'15_STOCK'!A1" tooltip="Stock (instantánea recalculada a demanda)" display="▦ Stock" xr:uid="{00000000-0004-0000-0600-000006000000}"/>
    <hyperlink ref="I5" location="'18_PEDIDO'!A1" tooltip="Pedido sugerido por proveedor" display="✚ Pedido" xr:uid="{00000000-0004-0000-0600-000007000000}"/>
    <hyperlink ref="J5" location="'13_CONTEO'!I9" tooltip="Toma física (conteo) colaborativa" display="✓ Conteo" xr:uid="{00000000-0004-0000-0600-000008000000}"/>
    <hyperlink ref="K5" location="'99_AYUDA'!A1" tooltip="Guía de uso, acceso e instalación" display="? Guía" xr:uid="{00000000-0004-0000-0600-000009000000}"/>
  </hyperlinks>
  <pageMargins left="0.4" right="0.4" top="0.7" bottom="0.6" header="0.3" footer="0.3"/>
  <pageSetup fitToHeight="0" orientation="landscape"/>
  <headerFooter>
    <oddHeader>&amp;L&amp;"Segoe UI,Bold"&amp;9M-INV · Proveedores&amp;R&amp;"Segoe UI,Regular"&amp;8&amp;D</oddHeader>
    <oddFooter>&amp;L&amp;"Segoe UI,Regular"&amp;8Z&amp;&amp;P Software Fast Solutions&amp;R&amp;"Segoe UI,Regular"&amp;8Página &amp;P de &amp;N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E35B1"/>
    <pageSetUpPr fitToPage="1"/>
  </sheetPr>
  <dimension ref="B1:N507"/>
  <sheetViews>
    <sheetView showGridLines="0" showRowColHeaders="0" zoomScale="90" zoomScaleNormal="90" workbookViewId="0">
      <pane ySplit="7" topLeftCell="A8" activePane="bottomLeft" state="frozen"/>
      <selection pane="bottomLeft" activeCell="B42" sqref="B42"/>
    </sheetView>
  </sheetViews>
  <sheetFormatPr baseColWidth="10" defaultColWidth="0" defaultRowHeight="15" zeroHeight="1" x14ac:dyDescent="0.25"/>
  <cols>
    <col min="1" max="1" width="2.28515625" customWidth="1"/>
    <col min="2" max="2" width="13.140625" customWidth="1"/>
    <col min="3" max="3" width="41.42578125" customWidth="1"/>
    <col min="4" max="4" width="24" customWidth="1"/>
    <col min="5" max="5" width="12" customWidth="1"/>
    <col min="6" max="7" width="13.7109375" customWidth="1"/>
    <col min="8" max="8" width="17.140625" customWidth="1"/>
    <col min="9" max="9" width="30" customWidth="1"/>
    <col min="10" max="10" width="13.7109375" customWidth="1"/>
    <col min="11" max="11" width="9.42578125" customWidth="1"/>
    <col min="12" max="12" width="42.85546875" customWidth="1"/>
    <col min="13" max="13" width="16" customWidth="1"/>
    <col min="14" max="14" width="25.7109375" customWidth="1"/>
    <col min="15" max="15" width="2.28515625" customWidth="1"/>
    <col min="16" max="16" width="0" hidden="1" customWidth="1"/>
  </cols>
  <sheetData>
    <row r="1" spans="2:14" s="1" customFormat="1" ht="4.5" customHeight="1" x14ac:dyDescent="0.25"/>
    <row r="2" spans="2:14" s="1" customFormat="1" ht="22.5" customHeight="1" x14ac:dyDescent="0.25">
      <c r="B2" s="2" t="s">
        <v>158</v>
      </c>
    </row>
    <row r="3" spans="2:14" s="1" customFormat="1" ht="14.25" x14ac:dyDescent="0.25">
      <c r="B3" s="3" t="s">
        <v>159</v>
      </c>
    </row>
    <row r="4" spans="2:14" s="1" customFormat="1" ht="4.5" customHeight="1" x14ac:dyDescent="0.25"/>
    <row r="5" spans="2:14" s="4" customFormat="1" ht="21" customHeight="1" x14ac:dyDescent="0.25">
      <c r="B5" s="6" t="s">
        <v>85</v>
      </c>
      <c r="C5" s="6" t="s">
        <v>86</v>
      </c>
      <c r="D5" s="6" t="s">
        <v>87</v>
      </c>
      <c r="E5" s="6" t="s">
        <v>88</v>
      </c>
      <c r="F5" s="6" t="s">
        <v>89</v>
      </c>
      <c r="G5" s="6" t="s">
        <v>90</v>
      </c>
      <c r="H5" s="6" t="s">
        <v>91</v>
      </c>
      <c r="I5" s="6" t="s">
        <v>92</v>
      </c>
      <c r="J5" s="6" t="s">
        <v>93</v>
      </c>
      <c r="K5" s="125" t="s">
        <v>94</v>
      </c>
      <c r="L5" s="125"/>
    </row>
    <row r="6" spans="2:14" x14ac:dyDescent="0.25">
      <c r="B6" s="45" t="s">
        <v>126</v>
      </c>
      <c r="C6" s="45" t="s">
        <v>126</v>
      </c>
      <c r="D6" s="45" t="s">
        <v>126</v>
      </c>
      <c r="E6" s="45" t="s">
        <v>126</v>
      </c>
      <c r="F6" s="45" t="s">
        <v>126</v>
      </c>
      <c r="G6" s="45" t="s">
        <v>126</v>
      </c>
      <c r="H6" s="45" t="s">
        <v>126</v>
      </c>
      <c r="I6" s="45" t="s">
        <v>126</v>
      </c>
      <c r="J6" s="45" t="s">
        <v>126</v>
      </c>
      <c r="K6" s="45" t="s">
        <v>126</v>
      </c>
      <c r="L6" s="46" t="s">
        <v>127</v>
      </c>
      <c r="M6" s="46" t="s">
        <v>127</v>
      </c>
      <c r="N6" s="46" t="s">
        <v>127</v>
      </c>
    </row>
    <row r="7" spans="2:14" ht="25.5" customHeight="1" x14ac:dyDescent="0.25">
      <c r="B7" s="18" t="s">
        <v>160</v>
      </c>
      <c r="C7" s="18" t="s">
        <v>161</v>
      </c>
      <c r="D7" s="18" t="s">
        <v>162</v>
      </c>
      <c r="E7" s="18" t="s">
        <v>163</v>
      </c>
      <c r="F7" s="18" t="s">
        <v>164</v>
      </c>
      <c r="G7" s="18" t="s">
        <v>165</v>
      </c>
      <c r="H7" s="18" t="s">
        <v>166</v>
      </c>
      <c r="I7" s="18" t="s">
        <v>119</v>
      </c>
      <c r="J7" s="18" t="s">
        <v>167</v>
      </c>
      <c r="K7" s="18" t="s">
        <v>98</v>
      </c>
      <c r="L7" s="17" t="s">
        <v>168</v>
      </c>
      <c r="M7" s="17" t="s">
        <v>169</v>
      </c>
      <c r="N7" s="17" t="s">
        <v>102</v>
      </c>
    </row>
    <row r="8" spans="2:14" x14ac:dyDescent="0.25">
      <c r="B8" s="40" t="s">
        <v>170</v>
      </c>
      <c r="C8" s="40" t="s">
        <v>171</v>
      </c>
      <c r="D8" s="40" t="s">
        <v>172</v>
      </c>
      <c r="E8" s="41" t="s">
        <v>173</v>
      </c>
      <c r="F8" s="47">
        <v>20</v>
      </c>
      <c r="G8" s="47">
        <v>120</v>
      </c>
      <c r="H8" s="48">
        <v>9800</v>
      </c>
      <c r="I8" s="40" t="s">
        <v>128</v>
      </c>
      <c r="J8" s="41" t="s">
        <v>174</v>
      </c>
      <c r="K8" s="41" t="s">
        <v>104</v>
      </c>
      <c r="L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FER-001 · Tornillo drywall 6x1" (caja x100)</v>
      </c>
      <c r="M8" s="42">
        <f>IF(tblProductos[[#This Row],[SKU]]="","",COUNTIF(tblEntradas[SKU],tblProductos[[#This Row],[SKU]])+COUNTIF(tblSalidas[SKU],tblProductos[[#This Row],[SKU]]))</f>
        <v>15</v>
      </c>
      <c r="N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9" spans="2:14" x14ac:dyDescent="0.25">
      <c r="B9" s="40" t="s">
        <v>175</v>
      </c>
      <c r="C9" s="40" t="s">
        <v>176</v>
      </c>
      <c r="D9" s="40" t="s">
        <v>172</v>
      </c>
      <c r="E9" s="41" t="s">
        <v>177</v>
      </c>
      <c r="F9" s="47">
        <v>15</v>
      </c>
      <c r="G9" s="47">
        <v>80</v>
      </c>
      <c r="H9" s="48">
        <v>6500</v>
      </c>
      <c r="I9" s="40" t="s">
        <v>128</v>
      </c>
      <c r="J9" s="41" t="s">
        <v>178</v>
      </c>
      <c r="K9" s="41" t="s">
        <v>104</v>
      </c>
      <c r="L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FER-002 · Chazo plástico 1/4" (bolsa x100)</v>
      </c>
      <c r="M9" s="42">
        <f>IF(tblProductos[[#This Row],[SKU]]="","",COUNTIF(tblEntradas[SKU],tblProductos[[#This Row],[SKU]])+COUNTIF(tblSalidas[SKU],tblProductos[[#This Row],[SKU]]))</f>
        <v>12</v>
      </c>
      <c r="N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0" spans="2:14" x14ac:dyDescent="0.25">
      <c r="B10" s="40" t="s">
        <v>179</v>
      </c>
      <c r="C10" s="40" t="s">
        <v>180</v>
      </c>
      <c r="D10" s="40" t="s">
        <v>172</v>
      </c>
      <c r="E10" s="41" t="s">
        <v>181</v>
      </c>
      <c r="F10" s="47">
        <v>5</v>
      </c>
      <c r="G10" s="47">
        <v>30</v>
      </c>
      <c r="H10" s="48">
        <v>28000</v>
      </c>
      <c r="I10" s="40" t="s">
        <v>128</v>
      </c>
      <c r="J10" s="41" t="s">
        <v>182</v>
      </c>
      <c r="K10" s="41" t="s">
        <v>104</v>
      </c>
      <c r="L1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FER-003 · Martillo uña 16 oz mango fibra</v>
      </c>
      <c r="M10" s="42">
        <f>IF(tblProductos[[#This Row],[SKU]]="","",COUNTIF(tblEntradas[SKU],tblProductos[[#This Row],[SKU]])+COUNTIF(tblSalidas[SKU],tblProductos[[#This Row],[SKU]]))</f>
        <v>9</v>
      </c>
      <c r="N1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1" spans="2:14" x14ac:dyDescent="0.25">
      <c r="B11" s="40" t="s">
        <v>183</v>
      </c>
      <c r="C11" s="40" t="s">
        <v>184</v>
      </c>
      <c r="D11" s="40" t="s">
        <v>172</v>
      </c>
      <c r="E11" s="41" t="s">
        <v>181</v>
      </c>
      <c r="F11" s="47">
        <v>8</v>
      </c>
      <c r="G11" s="47">
        <v>40</v>
      </c>
      <c r="H11" s="48">
        <v>14500</v>
      </c>
      <c r="I11" s="40" t="s">
        <v>128</v>
      </c>
      <c r="J11" s="41" t="s">
        <v>185</v>
      </c>
      <c r="K11" s="41" t="s">
        <v>104</v>
      </c>
      <c r="L1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FER-004 · Cinta métrica 5 m</v>
      </c>
      <c r="M11" s="42">
        <f>IF(tblProductos[[#This Row],[SKU]]="","",COUNTIF(tblEntradas[SKU],tblProductos[[#This Row],[SKU]])+COUNTIF(tblSalidas[SKU],tblProductos[[#This Row],[SKU]]))</f>
        <v>3</v>
      </c>
      <c r="N1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2" spans="2:14" x14ac:dyDescent="0.25">
      <c r="B12" s="40" t="s">
        <v>186</v>
      </c>
      <c r="C12" s="40" t="s">
        <v>187</v>
      </c>
      <c r="D12" s="40" t="s">
        <v>172</v>
      </c>
      <c r="E12" s="41" t="s">
        <v>181</v>
      </c>
      <c r="F12" s="47">
        <v>25</v>
      </c>
      <c r="G12" s="47">
        <v>150</v>
      </c>
      <c r="H12" s="48">
        <v>3900</v>
      </c>
      <c r="I12" s="40" t="s">
        <v>128</v>
      </c>
      <c r="J12" s="41" t="s">
        <v>188</v>
      </c>
      <c r="K12" s="41" t="s">
        <v>104</v>
      </c>
      <c r="L1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FER-005 · Disco de corte metal 4-1/2"</v>
      </c>
      <c r="M12" s="42">
        <f>IF(tblProductos[[#This Row],[SKU]]="","",COUNTIF(tblEntradas[SKU],tblProductos[[#This Row],[SKU]])+COUNTIF(tblSalidas[SKU],tblProductos[[#This Row],[SKU]]))</f>
        <v>19</v>
      </c>
      <c r="N1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3" spans="2:14" x14ac:dyDescent="0.25">
      <c r="B13" s="40" t="s">
        <v>189</v>
      </c>
      <c r="C13" s="40" t="s">
        <v>190</v>
      </c>
      <c r="D13" s="40" t="s">
        <v>172</v>
      </c>
      <c r="E13" s="41" t="s">
        <v>181</v>
      </c>
      <c r="F13" s="47">
        <v>6</v>
      </c>
      <c r="G13" s="47">
        <v>36</v>
      </c>
      <c r="H13" s="48">
        <v>22000</v>
      </c>
      <c r="I13" s="40" t="s">
        <v>128</v>
      </c>
      <c r="J13" s="41" t="s">
        <v>191</v>
      </c>
      <c r="K13" s="41" t="s">
        <v>104</v>
      </c>
      <c r="L1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FER-006 · Candado de seguridad 40 mm</v>
      </c>
      <c r="M13" s="42">
        <f>IF(tblProductos[[#This Row],[SKU]]="","",COUNTIF(tblEntradas[SKU],tblProductos[[#This Row],[SKU]])+COUNTIF(tblSalidas[SKU],tblProductos[[#This Row],[SKU]]))</f>
        <v>2</v>
      </c>
      <c r="N1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4" spans="2:14" x14ac:dyDescent="0.25">
      <c r="B14" s="40" t="s">
        <v>192</v>
      </c>
      <c r="C14" s="40" t="s">
        <v>193</v>
      </c>
      <c r="D14" s="40" t="s">
        <v>172</v>
      </c>
      <c r="E14" s="41" t="s">
        <v>181</v>
      </c>
      <c r="F14" s="47">
        <v>0</v>
      </c>
      <c r="G14" s="47">
        <v>0</v>
      </c>
      <c r="H14" s="48">
        <v>31000</v>
      </c>
      <c r="I14" s="40" t="s">
        <v>128</v>
      </c>
      <c r="J14" s="41" t="s">
        <v>194</v>
      </c>
      <c r="K14" s="41" t="s">
        <v>195</v>
      </c>
      <c r="L1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FER-007 · Serrucho 20" (descontinuado)  (inactivo)</v>
      </c>
      <c r="M14" s="42">
        <f>IF(tblProductos[[#This Row],[SKU]]="","",COUNTIF(tblEntradas[SKU],tblProductos[[#This Row],[SKU]])+COUNTIF(tblSalidas[SKU],tblProductos[[#This Row],[SKU]]))</f>
        <v>4</v>
      </c>
      <c r="N1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● Inactivo</v>
      </c>
    </row>
    <row r="15" spans="2:14" x14ac:dyDescent="0.25">
      <c r="B15" s="40" t="s">
        <v>196</v>
      </c>
      <c r="C15" s="40" t="s">
        <v>197</v>
      </c>
      <c r="D15" s="40" t="s">
        <v>198</v>
      </c>
      <c r="E15" s="41" t="s">
        <v>199</v>
      </c>
      <c r="F15" s="47">
        <v>4</v>
      </c>
      <c r="G15" s="47">
        <v>20</v>
      </c>
      <c r="H15" s="48">
        <v>185000</v>
      </c>
      <c r="I15" s="40" t="s">
        <v>133</v>
      </c>
      <c r="J15" s="41" t="s">
        <v>200</v>
      </c>
      <c r="K15" s="41" t="s">
        <v>104</v>
      </c>
      <c r="L1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ELE-001 · Cable THHN 12 AWG (rollo 100 m)</v>
      </c>
      <c r="M15" s="42">
        <f>IF(tblProductos[[#This Row],[SKU]]="","",COUNTIF(tblEntradas[SKU],tblProductos[[#This Row],[SKU]])+COUNTIF(tblSalidas[SKU],tblProductos[[#This Row],[SKU]]))</f>
        <v>6</v>
      </c>
      <c r="N1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6" spans="2:14" x14ac:dyDescent="0.25">
      <c r="B16" s="40" t="s">
        <v>201</v>
      </c>
      <c r="C16" s="40" t="s">
        <v>202</v>
      </c>
      <c r="D16" s="40" t="s">
        <v>198</v>
      </c>
      <c r="E16" s="41" t="s">
        <v>181</v>
      </c>
      <c r="F16" s="47">
        <v>40</v>
      </c>
      <c r="G16" s="47">
        <v>250</v>
      </c>
      <c r="H16" s="48">
        <v>4200</v>
      </c>
      <c r="I16" s="40" t="s">
        <v>133</v>
      </c>
      <c r="J16" s="41" t="s">
        <v>203</v>
      </c>
      <c r="K16" s="41" t="s">
        <v>104</v>
      </c>
      <c r="L1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ELE-002 · Bombillo LED 9 W luz blanca</v>
      </c>
      <c r="M16" s="42">
        <f>IF(tblProductos[[#This Row],[SKU]]="","",COUNTIF(tblEntradas[SKU],tblProductos[[#This Row],[SKU]])+COUNTIF(tblSalidas[SKU],tblProductos[[#This Row],[SKU]]))</f>
        <v>28</v>
      </c>
      <c r="N1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7" spans="2:14" x14ac:dyDescent="0.25">
      <c r="B17" s="40" t="s">
        <v>204</v>
      </c>
      <c r="C17" s="40" t="s">
        <v>205</v>
      </c>
      <c r="D17" s="40" t="s">
        <v>198</v>
      </c>
      <c r="E17" s="41" t="s">
        <v>181</v>
      </c>
      <c r="F17" s="47">
        <v>20</v>
      </c>
      <c r="G17" s="47">
        <v>120</v>
      </c>
      <c r="H17" s="48">
        <v>7800</v>
      </c>
      <c r="I17" s="40" t="s">
        <v>133</v>
      </c>
      <c r="J17" s="41" t="s">
        <v>206</v>
      </c>
      <c r="K17" s="41" t="s">
        <v>104</v>
      </c>
      <c r="L1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ELE-003 · Toma doble con polo a tierra</v>
      </c>
      <c r="M17" s="42">
        <f>IF(tblProductos[[#This Row],[SKU]]="","",COUNTIF(tblEntradas[SKU],tblProductos[[#This Row],[SKU]])+COUNTIF(tblSalidas[SKU],tblProductos[[#This Row],[SKU]]))</f>
        <v>18</v>
      </c>
      <c r="N1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8" spans="2:14" x14ac:dyDescent="0.25">
      <c r="B18" s="40" t="s">
        <v>207</v>
      </c>
      <c r="C18" s="40" t="s">
        <v>208</v>
      </c>
      <c r="D18" s="40" t="s">
        <v>198</v>
      </c>
      <c r="E18" s="41" t="s">
        <v>181</v>
      </c>
      <c r="F18" s="47">
        <v>10</v>
      </c>
      <c r="G18" s="47">
        <v>60</v>
      </c>
      <c r="H18" s="48">
        <v>16500</v>
      </c>
      <c r="I18" s="40" t="s">
        <v>133</v>
      </c>
      <c r="J18" s="41" t="s">
        <v>209</v>
      </c>
      <c r="K18" s="41" t="s">
        <v>104</v>
      </c>
      <c r="L1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ELE-004 · Breaker enchufable 1x20 A</v>
      </c>
      <c r="M18" s="42">
        <f>IF(tblProductos[[#This Row],[SKU]]="","",COUNTIF(tblEntradas[SKU],tblProductos[[#This Row],[SKU]])+COUNTIF(tblSalidas[SKU],tblProductos[[#This Row],[SKU]]))</f>
        <v>7</v>
      </c>
      <c r="N1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9" spans="2:14" x14ac:dyDescent="0.25">
      <c r="B19" s="40" t="s">
        <v>210</v>
      </c>
      <c r="C19" s="40" t="s">
        <v>211</v>
      </c>
      <c r="D19" s="40" t="s">
        <v>198</v>
      </c>
      <c r="E19" s="41" t="s">
        <v>181</v>
      </c>
      <c r="F19" s="47">
        <v>30</v>
      </c>
      <c r="G19" s="47">
        <v>200</v>
      </c>
      <c r="H19" s="48">
        <v>3500</v>
      </c>
      <c r="I19" s="40" t="s">
        <v>133</v>
      </c>
      <c r="J19" s="41" t="s">
        <v>212</v>
      </c>
      <c r="K19" s="41" t="s">
        <v>104</v>
      </c>
      <c r="L1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ELE-005 · Cinta aislante negra 3/4"</v>
      </c>
      <c r="M19" s="42">
        <f>IF(tblProductos[[#This Row],[SKU]]="","",COUNTIF(tblEntradas[SKU],tblProductos[[#This Row],[SKU]])+COUNTIF(tblSalidas[SKU],tblProductos[[#This Row],[SKU]]))</f>
        <v>28</v>
      </c>
      <c r="N1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0" spans="2:14" x14ac:dyDescent="0.25">
      <c r="B20" s="40" t="s">
        <v>213</v>
      </c>
      <c r="C20" s="40" t="s">
        <v>214</v>
      </c>
      <c r="D20" s="40" t="s">
        <v>198</v>
      </c>
      <c r="E20" s="41" t="s">
        <v>181</v>
      </c>
      <c r="F20" s="47">
        <v>20</v>
      </c>
      <c r="G20" s="47">
        <v>100</v>
      </c>
      <c r="H20" s="48">
        <v>6900</v>
      </c>
      <c r="I20" s="40" t="s">
        <v>133</v>
      </c>
      <c r="J20" s="41" t="s">
        <v>215</v>
      </c>
      <c r="K20" s="41" t="s">
        <v>104</v>
      </c>
      <c r="L2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ELE-006 · Canaleta plástica 20x12 mm x 2 m</v>
      </c>
      <c r="M20" s="42">
        <f>IF(tblProductos[[#This Row],[SKU]]="","",COUNTIF(tblEntradas[SKU],tblProductos[[#This Row],[SKU]])+COUNTIF(tblSalidas[SKU],tblProductos[[#This Row],[SKU]]))</f>
        <v>12</v>
      </c>
      <c r="N2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1" spans="2:14" x14ac:dyDescent="0.25">
      <c r="B21" s="40" t="s">
        <v>216</v>
      </c>
      <c r="C21" s="40" t="s">
        <v>217</v>
      </c>
      <c r="D21" s="40" t="s">
        <v>198</v>
      </c>
      <c r="E21" s="41" t="s">
        <v>218</v>
      </c>
      <c r="F21" s="47">
        <v>100</v>
      </c>
      <c r="G21" s="47">
        <v>600</v>
      </c>
      <c r="H21" s="48">
        <v>2300</v>
      </c>
      <c r="I21" s="40" t="s">
        <v>128</v>
      </c>
      <c r="J21" s="41" t="s">
        <v>219</v>
      </c>
      <c r="K21" s="41" t="s">
        <v>104</v>
      </c>
      <c r="L2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ELE-007 · Cable dúplex 2x14 AWG (por metro)</v>
      </c>
      <c r="M21" s="42">
        <f>IF(tblProductos[[#This Row],[SKU]]="","",COUNTIF(tblEntradas[SKU],tblProductos[[#This Row],[SKU]])+COUNTIF(tblSalidas[SKU],tblProductos[[#This Row],[SKU]]))</f>
        <v>70</v>
      </c>
      <c r="N2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2" spans="2:14" x14ac:dyDescent="0.25">
      <c r="B22" s="40" t="s">
        <v>220</v>
      </c>
      <c r="C22" s="40" t="s">
        <v>221</v>
      </c>
      <c r="D22" s="40" t="s">
        <v>222</v>
      </c>
      <c r="E22" s="41" t="s">
        <v>181</v>
      </c>
      <c r="F22" s="47">
        <v>15</v>
      </c>
      <c r="G22" s="47">
        <v>80</v>
      </c>
      <c r="H22" s="48">
        <v>17500</v>
      </c>
      <c r="I22" s="40" t="s">
        <v>138</v>
      </c>
      <c r="J22" s="41" t="s">
        <v>223</v>
      </c>
      <c r="K22" s="41" t="s">
        <v>104</v>
      </c>
      <c r="L2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PLO-001 · Tubo PVC presión 1/2" x 6 m</v>
      </c>
      <c r="M22" s="42">
        <f>IF(tblProductos[[#This Row],[SKU]]="","",COUNTIF(tblEntradas[SKU],tblProductos[[#This Row],[SKU]])+COUNTIF(tblSalidas[SKU],tblProductos[[#This Row],[SKU]]))</f>
        <v>6</v>
      </c>
      <c r="N2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3" spans="2:14" x14ac:dyDescent="0.25">
      <c r="B23" s="40" t="s">
        <v>224</v>
      </c>
      <c r="C23" s="40" t="s">
        <v>225</v>
      </c>
      <c r="D23" s="40" t="s">
        <v>222</v>
      </c>
      <c r="E23" s="41" t="s">
        <v>181</v>
      </c>
      <c r="F23" s="47">
        <v>50</v>
      </c>
      <c r="G23" s="47">
        <v>300</v>
      </c>
      <c r="H23" s="48">
        <v>900</v>
      </c>
      <c r="I23" s="40" t="s">
        <v>138</v>
      </c>
      <c r="J23" s="41" t="s">
        <v>226</v>
      </c>
      <c r="K23" s="41" t="s">
        <v>104</v>
      </c>
      <c r="L2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PLO-002 · Codo PVC 1/2" x 90°</v>
      </c>
      <c r="M23" s="42">
        <f>IF(tblProductos[[#This Row],[SKU]]="","",COUNTIF(tblEntradas[SKU],tblProductos[[#This Row],[SKU]])+COUNTIF(tblSalidas[SKU],tblProductos[[#This Row],[SKU]]))</f>
        <v>40</v>
      </c>
      <c r="N2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4" spans="2:14" x14ac:dyDescent="0.25">
      <c r="B24" s="40" t="s">
        <v>227</v>
      </c>
      <c r="C24" s="40" t="s">
        <v>228</v>
      </c>
      <c r="D24" s="40" t="s">
        <v>222</v>
      </c>
      <c r="E24" s="41" t="s">
        <v>181</v>
      </c>
      <c r="F24" s="47">
        <v>8</v>
      </c>
      <c r="G24" s="47">
        <v>40</v>
      </c>
      <c r="H24" s="48">
        <v>24000</v>
      </c>
      <c r="I24" s="40" t="s">
        <v>138</v>
      </c>
      <c r="J24" s="41" t="s">
        <v>229</v>
      </c>
      <c r="K24" s="41" t="s">
        <v>104</v>
      </c>
      <c r="L2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PLO-003 · Llave de paso 1/2" en bronce</v>
      </c>
      <c r="M24" s="42">
        <f>IF(tblProductos[[#This Row],[SKU]]="","",COUNTIF(tblEntradas[SKU],tblProductos[[#This Row],[SKU]])+COUNTIF(tblSalidas[SKU],tblProductos[[#This Row],[SKU]]))</f>
        <v>10</v>
      </c>
      <c r="N2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5" spans="2:14" x14ac:dyDescent="0.25">
      <c r="B25" s="40" t="s">
        <v>230</v>
      </c>
      <c r="C25" s="40" t="s">
        <v>231</v>
      </c>
      <c r="D25" s="40" t="s">
        <v>222</v>
      </c>
      <c r="E25" s="41" t="s">
        <v>181</v>
      </c>
      <c r="F25" s="47">
        <v>10</v>
      </c>
      <c r="G25" s="47">
        <v>50</v>
      </c>
      <c r="H25" s="48">
        <v>32000</v>
      </c>
      <c r="I25" s="40" t="s">
        <v>138</v>
      </c>
      <c r="J25" s="41" t="s">
        <v>232</v>
      </c>
      <c r="K25" s="41" t="s">
        <v>104</v>
      </c>
      <c r="L2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PLO-004 · Soldadura líquida PVC 1/4 gal</v>
      </c>
      <c r="M25" s="42">
        <f>IF(tblProductos[[#This Row],[SKU]]="","",COUNTIF(tblEntradas[SKU],tblProductos[[#This Row],[SKU]])+COUNTIF(tblSalidas[SKU],tblProductos[[#This Row],[SKU]]))</f>
        <v>5</v>
      </c>
      <c r="N2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6" spans="2:14" x14ac:dyDescent="0.25">
      <c r="B26" s="40" t="s">
        <v>233</v>
      </c>
      <c r="C26" s="40" t="s">
        <v>234</v>
      </c>
      <c r="D26" s="40" t="s">
        <v>222</v>
      </c>
      <c r="E26" s="41" t="s">
        <v>181</v>
      </c>
      <c r="F26" s="47">
        <v>40</v>
      </c>
      <c r="G26" s="47">
        <v>250</v>
      </c>
      <c r="H26" s="48">
        <v>1200</v>
      </c>
      <c r="I26" s="40" t="s">
        <v>138</v>
      </c>
      <c r="J26" s="41" t="s">
        <v>235</v>
      </c>
      <c r="K26" s="41" t="s">
        <v>104</v>
      </c>
      <c r="L2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PLO-005 · Cinta teflón 1/2" x 10 m</v>
      </c>
      <c r="M26" s="42">
        <f>IF(tblProductos[[#This Row],[SKU]]="","",COUNTIF(tblEntradas[SKU],tblProductos[[#This Row],[SKU]])+COUNTIF(tblSalidas[SKU],tblProductos[[#This Row],[SKU]]))</f>
        <v>27</v>
      </c>
      <c r="N2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7" spans="2:14" x14ac:dyDescent="0.25">
      <c r="B27" s="40" t="s">
        <v>236</v>
      </c>
      <c r="C27" s="40" t="s">
        <v>237</v>
      </c>
      <c r="D27" s="40" t="s">
        <v>238</v>
      </c>
      <c r="E27" s="41" t="s">
        <v>239</v>
      </c>
      <c r="F27" s="47">
        <v>12</v>
      </c>
      <c r="G27" s="47">
        <v>60</v>
      </c>
      <c r="H27" s="48">
        <v>58000</v>
      </c>
      <c r="I27" s="40" t="s">
        <v>143</v>
      </c>
      <c r="J27" s="41" t="s">
        <v>240</v>
      </c>
      <c r="K27" s="41" t="s">
        <v>104</v>
      </c>
      <c r="L2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PIN-001 · Vinilo tipo 1 blanco</v>
      </c>
      <c r="M27" s="42">
        <f>IF(tblProductos[[#This Row],[SKU]]="","",COUNTIF(tblEntradas[SKU],tblProductos[[#This Row],[SKU]])+COUNTIF(tblSalidas[SKU],tblProductos[[#This Row],[SKU]]))</f>
        <v>9</v>
      </c>
      <c r="N2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8" spans="2:14" x14ac:dyDescent="0.25">
      <c r="B28" s="40" t="s">
        <v>241</v>
      </c>
      <c r="C28" s="40" t="s">
        <v>242</v>
      </c>
      <c r="D28" s="40" t="s">
        <v>238</v>
      </c>
      <c r="E28" s="41" t="s">
        <v>239</v>
      </c>
      <c r="F28" s="47">
        <v>6</v>
      </c>
      <c r="G28" s="47">
        <v>30</v>
      </c>
      <c r="H28" s="48">
        <v>74000</v>
      </c>
      <c r="I28" s="40" t="s">
        <v>143</v>
      </c>
      <c r="J28" s="41" t="s">
        <v>243</v>
      </c>
      <c r="K28" s="41" t="s">
        <v>104</v>
      </c>
      <c r="L2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PIN-002 · Esmalte sintético negro</v>
      </c>
      <c r="M28" s="42">
        <f>IF(tblProductos[[#This Row],[SKU]]="","",COUNTIF(tblEntradas[SKU],tblProductos[[#This Row],[SKU]])+COUNTIF(tblSalidas[SKU],tblProductos[[#This Row],[SKU]]))</f>
        <v>6</v>
      </c>
      <c r="N2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9" spans="2:14" x14ac:dyDescent="0.25">
      <c r="B29" s="40" t="s">
        <v>244</v>
      </c>
      <c r="C29" s="40" t="s">
        <v>245</v>
      </c>
      <c r="D29" s="40" t="s">
        <v>238</v>
      </c>
      <c r="E29" s="41" t="s">
        <v>239</v>
      </c>
      <c r="F29" s="47">
        <v>8</v>
      </c>
      <c r="G29" s="47">
        <v>40</v>
      </c>
      <c r="H29" s="48">
        <v>26000</v>
      </c>
      <c r="I29" s="40" t="s">
        <v>143</v>
      </c>
      <c r="J29" s="41" t="s">
        <v>246</v>
      </c>
      <c r="K29" s="41" t="s">
        <v>104</v>
      </c>
      <c r="L2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PIN-003 · Thinner corriente</v>
      </c>
      <c r="M29" s="42">
        <f>IF(tblProductos[[#This Row],[SKU]]="","",COUNTIF(tblEntradas[SKU],tblProductos[[#This Row],[SKU]])+COUNTIF(tblSalidas[SKU],tblProductos[[#This Row],[SKU]]))</f>
        <v>7</v>
      </c>
      <c r="N2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0" spans="2:14" x14ac:dyDescent="0.25">
      <c r="B30" s="40" t="s">
        <v>247</v>
      </c>
      <c r="C30" s="40" t="s">
        <v>248</v>
      </c>
      <c r="D30" s="40" t="s">
        <v>238</v>
      </c>
      <c r="E30" s="41" t="s">
        <v>181</v>
      </c>
      <c r="F30" s="47">
        <v>10</v>
      </c>
      <c r="G30" s="47">
        <v>60</v>
      </c>
      <c r="H30" s="48">
        <v>12500</v>
      </c>
      <c r="I30" s="40" t="s">
        <v>143</v>
      </c>
      <c r="J30" s="41" t="s">
        <v>249</v>
      </c>
      <c r="K30" s="41" t="s">
        <v>104</v>
      </c>
      <c r="L3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PIN-004 · Rodillo de felpa 9"</v>
      </c>
      <c r="M30" s="42">
        <f>IF(tblProductos[[#This Row],[SKU]]="","",COUNTIF(tblEntradas[SKU],tblProductos[[#This Row],[SKU]])+COUNTIF(tblSalidas[SKU],tblProductos[[#This Row],[SKU]]))</f>
        <v>5</v>
      </c>
      <c r="N3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1" spans="2:14" x14ac:dyDescent="0.25">
      <c r="B31" s="40" t="s">
        <v>250</v>
      </c>
      <c r="C31" s="40" t="s">
        <v>251</v>
      </c>
      <c r="D31" s="40" t="s">
        <v>238</v>
      </c>
      <c r="E31" s="41" t="s">
        <v>181</v>
      </c>
      <c r="F31" s="47">
        <v>12</v>
      </c>
      <c r="G31" s="47">
        <v>70</v>
      </c>
      <c r="H31" s="48">
        <v>5800</v>
      </c>
      <c r="I31" s="40" t="s">
        <v>143</v>
      </c>
      <c r="J31" s="41" t="s">
        <v>252</v>
      </c>
      <c r="K31" s="41" t="s">
        <v>104</v>
      </c>
      <c r="L3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PIN-005 · Brocha 3" cerda natural</v>
      </c>
      <c r="M31" s="42">
        <f>IF(tblProductos[[#This Row],[SKU]]="","",COUNTIF(tblEntradas[SKU],tblProductos[[#This Row],[SKU]])+COUNTIF(tblSalidas[SKU],tblProductos[[#This Row],[SKU]]))</f>
        <v>10</v>
      </c>
      <c r="N3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2" spans="2:14" x14ac:dyDescent="0.25">
      <c r="B32" s="40" t="s">
        <v>253</v>
      </c>
      <c r="C32" s="40" t="s">
        <v>254</v>
      </c>
      <c r="D32" s="40" t="s">
        <v>255</v>
      </c>
      <c r="E32" s="41" t="s">
        <v>256</v>
      </c>
      <c r="F32" s="47">
        <v>30</v>
      </c>
      <c r="G32" s="47">
        <v>200</v>
      </c>
      <c r="H32" s="48">
        <v>4500</v>
      </c>
      <c r="I32" s="40" t="s">
        <v>148</v>
      </c>
      <c r="J32" s="41" t="s">
        <v>257</v>
      </c>
      <c r="K32" s="41" t="s">
        <v>104</v>
      </c>
      <c r="L3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SEG-001 · Guantes de nitrilo</v>
      </c>
      <c r="M32" s="42">
        <f>IF(tblProductos[[#This Row],[SKU]]="","",COUNTIF(tblEntradas[SKU],tblProductos[[#This Row],[SKU]])+COUNTIF(tblSalidas[SKU],tblProductos[[#This Row],[SKU]]))</f>
        <v>20</v>
      </c>
      <c r="N3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3" spans="2:14" x14ac:dyDescent="0.25">
      <c r="B33" s="40" t="s">
        <v>258</v>
      </c>
      <c r="C33" s="40" t="s">
        <v>259</v>
      </c>
      <c r="D33" s="40" t="s">
        <v>255</v>
      </c>
      <c r="E33" s="41" t="s">
        <v>181</v>
      </c>
      <c r="F33" s="47">
        <v>6</v>
      </c>
      <c r="G33" s="47">
        <v>40</v>
      </c>
      <c r="H33" s="48">
        <v>24500</v>
      </c>
      <c r="I33" s="40" t="s">
        <v>148</v>
      </c>
      <c r="J33" s="41" t="s">
        <v>260</v>
      </c>
      <c r="K33" s="41" t="s">
        <v>104</v>
      </c>
      <c r="L3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SEG-002 · Casco de seguridad blanco</v>
      </c>
      <c r="M33" s="42">
        <f>IF(tblProductos[[#This Row],[SKU]]="","",COUNTIF(tblEntradas[SKU],tblProductos[[#This Row],[SKU]])+COUNTIF(tblSalidas[SKU],tblProductos[[#This Row],[SKU]]))</f>
        <v>1</v>
      </c>
      <c r="N3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4" spans="2:14" x14ac:dyDescent="0.25">
      <c r="B34" s="40" t="s">
        <v>261</v>
      </c>
      <c r="C34" s="40" t="s">
        <v>262</v>
      </c>
      <c r="D34" s="40" t="s">
        <v>255</v>
      </c>
      <c r="E34" s="41" t="s">
        <v>181</v>
      </c>
      <c r="F34" s="47">
        <v>15</v>
      </c>
      <c r="G34" s="47">
        <v>90</v>
      </c>
      <c r="H34" s="48">
        <v>6200</v>
      </c>
      <c r="I34" s="40" t="s">
        <v>148</v>
      </c>
      <c r="J34" s="41" t="s">
        <v>263</v>
      </c>
      <c r="K34" s="41" t="s">
        <v>104</v>
      </c>
      <c r="L3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SEG-003 · Gafas de seguridad lente claro</v>
      </c>
      <c r="M34" s="42">
        <f>IF(tblProductos[[#This Row],[SKU]]="","",COUNTIF(tblEntradas[SKU],tblProductos[[#This Row],[SKU]])+COUNTIF(tblSalidas[SKU],tblProductos[[#This Row],[SKU]]))</f>
        <v>7</v>
      </c>
      <c r="N3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5" spans="2:14" x14ac:dyDescent="0.25">
      <c r="B35" s="40" t="s">
        <v>264</v>
      </c>
      <c r="C35" s="40" t="s">
        <v>265</v>
      </c>
      <c r="D35" s="40" t="s">
        <v>255</v>
      </c>
      <c r="E35" s="41" t="s">
        <v>256</v>
      </c>
      <c r="F35" s="47">
        <v>4</v>
      </c>
      <c r="G35" s="47">
        <v>24</v>
      </c>
      <c r="H35" s="48">
        <v>118000</v>
      </c>
      <c r="I35" s="40" t="s">
        <v>148</v>
      </c>
      <c r="J35" s="41" t="s">
        <v>266</v>
      </c>
      <c r="K35" s="41" t="s">
        <v>104</v>
      </c>
      <c r="L3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SEG-004 · Botas de seguridad punta de acero</v>
      </c>
      <c r="M35" s="42">
        <f>IF(tblProductos[[#This Row],[SKU]]="","",COUNTIF(tblEntradas[SKU],tblProductos[[#This Row],[SKU]])+COUNTIF(tblSalidas[SKU],tblProductos[[#This Row],[SKU]]))</f>
        <v>5</v>
      </c>
      <c r="N3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6" spans="2:14" x14ac:dyDescent="0.25">
      <c r="B36" s="40" t="s">
        <v>267</v>
      </c>
      <c r="C36" s="40" t="s">
        <v>268</v>
      </c>
      <c r="D36" s="40" t="s">
        <v>255</v>
      </c>
      <c r="E36" s="41" t="s">
        <v>173</v>
      </c>
      <c r="F36" s="47">
        <v>8</v>
      </c>
      <c r="G36" s="47">
        <v>50</v>
      </c>
      <c r="H36" s="48">
        <v>38000</v>
      </c>
      <c r="I36" s="40" t="s">
        <v>148</v>
      </c>
      <c r="J36" s="41" t="s">
        <v>269</v>
      </c>
      <c r="K36" s="41" t="s">
        <v>104</v>
      </c>
      <c r="L3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SEG-005 · Tapabocas N95 (caja x20)</v>
      </c>
      <c r="M36" s="42">
        <f>IF(tblProductos[[#This Row],[SKU]]="","",COUNTIF(tblEntradas[SKU],tblProductos[[#This Row],[SKU]])+COUNTIF(tblSalidas[SKU],tblProductos[[#This Row],[SKU]]))</f>
        <v>9</v>
      </c>
      <c r="N3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7" spans="2:14" x14ac:dyDescent="0.25">
      <c r="B37" s="40" t="s">
        <v>270</v>
      </c>
      <c r="C37" s="40" t="s">
        <v>271</v>
      </c>
      <c r="D37" s="40" t="s">
        <v>272</v>
      </c>
      <c r="E37" s="41" t="s">
        <v>239</v>
      </c>
      <c r="F37" s="47">
        <v>6</v>
      </c>
      <c r="G37" s="47">
        <v>40</v>
      </c>
      <c r="H37" s="48">
        <v>36000</v>
      </c>
      <c r="I37" s="40" t="s">
        <v>153</v>
      </c>
      <c r="J37" s="41" t="s">
        <v>273</v>
      </c>
      <c r="K37" s="41" t="s">
        <v>104</v>
      </c>
      <c r="L3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ASE-001 · Desengrasante industrial</v>
      </c>
      <c r="M37" s="42">
        <f>IF(tblProductos[[#This Row],[SKU]]="","",COUNTIF(tblEntradas[SKU],tblProductos[[#This Row],[SKU]])+COUNTIF(tblSalidas[SKU],tblProductos[[#This Row],[SKU]]))</f>
        <v>4</v>
      </c>
      <c r="N3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8" spans="2:14" x14ac:dyDescent="0.25">
      <c r="B38" s="40" t="s">
        <v>274</v>
      </c>
      <c r="C38" s="40" t="s">
        <v>275</v>
      </c>
      <c r="D38" s="40" t="s">
        <v>272</v>
      </c>
      <c r="E38" s="41" t="s">
        <v>276</v>
      </c>
      <c r="F38" s="47">
        <v>20</v>
      </c>
      <c r="G38" s="47">
        <v>120</v>
      </c>
      <c r="H38" s="48">
        <v>3800</v>
      </c>
      <c r="I38" s="40" t="s">
        <v>153</v>
      </c>
      <c r="J38" s="41" t="s">
        <v>277</v>
      </c>
      <c r="K38" s="41" t="s">
        <v>104</v>
      </c>
      <c r="L3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ASE-002 · Hipoclorito de sodio 5%</v>
      </c>
      <c r="M38" s="42">
        <f>IF(tblProductos[[#This Row],[SKU]]="","",COUNTIF(tblEntradas[SKU],tblProductos[[#This Row],[SKU]])+COUNTIF(tblSalidas[SKU],tblProductos[[#This Row],[SKU]]))</f>
        <v>16</v>
      </c>
      <c r="N3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9" spans="2:14" x14ac:dyDescent="0.25">
      <c r="B39" s="40" t="s">
        <v>278</v>
      </c>
      <c r="C39" s="40" t="s">
        <v>279</v>
      </c>
      <c r="D39" s="40" t="s">
        <v>272</v>
      </c>
      <c r="E39" s="41" t="s">
        <v>177</v>
      </c>
      <c r="F39" s="47">
        <v>25</v>
      </c>
      <c r="G39" s="47">
        <v>150</v>
      </c>
      <c r="H39" s="48">
        <v>7200</v>
      </c>
      <c r="I39" s="40" t="s">
        <v>148</v>
      </c>
      <c r="J39" s="41" t="s">
        <v>280</v>
      </c>
      <c r="K39" s="41" t="s">
        <v>104</v>
      </c>
      <c r="L3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ASE-003 · Bolsa de basura negra 90x110 (paq x10)</v>
      </c>
      <c r="M39" s="42">
        <f>IF(tblProductos[[#This Row],[SKU]]="","",COUNTIF(tblEntradas[SKU],tblProductos[[#This Row],[SKU]])+COUNTIF(tblSalidas[SKU],tblProductos[[#This Row],[SKU]]))</f>
        <v>23</v>
      </c>
      <c r="N3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40" spans="2:14" x14ac:dyDescent="0.25">
      <c r="B40" s="40" t="s">
        <v>281</v>
      </c>
      <c r="C40" s="40" t="s">
        <v>282</v>
      </c>
      <c r="D40" s="40" t="s">
        <v>272</v>
      </c>
      <c r="E40" s="41" t="s">
        <v>181</v>
      </c>
      <c r="F40" s="47">
        <v>8</v>
      </c>
      <c r="G40" s="47">
        <v>50</v>
      </c>
      <c r="H40" s="48">
        <v>11500</v>
      </c>
      <c r="I40" s="40" t="s">
        <v>153</v>
      </c>
      <c r="J40" s="41" t="s">
        <v>283</v>
      </c>
      <c r="K40" s="41" t="s">
        <v>104</v>
      </c>
      <c r="L4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ASE-004 · Trapero industrial en algodón</v>
      </c>
      <c r="M40" s="42">
        <f>IF(tblProductos[[#This Row],[SKU]]="","",COUNTIF(tblEntradas[SKU],tblProductos[[#This Row],[SKU]])+COUNTIF(tblSalidas[SKU],tblProductos[[#This Row],[SKU]]))</f>
        <v>11</v>
      </c>
      <c r="N4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41" spans="2:14" x14ac:dyDescent="0.25">
      <c r="B41" s="40" t="s">
        <v>284</v>
      </c>
      <c r="C41" s="40" t="s">
        <v>285</v>
      </c>
      <c r="D41" s="40" t="s">
        <v>272</v>
      </c>
      <c r="E41" s="41" t="s">
        <v>286</v>
      </c>
      <c r="F41" s="47">
        <v>25</v>
      </c>
      <c r="G41" s="47">
        <v>150</v>
      </c>
      <c r="H41" s="48">
        <v>6800</v>
      </c>
      <c r="I41" s="40" t="s">
        <v>153</v>
      </c>
      <c r="J41" s="41" t="s">
        <v>287</v>
      </c>
      <c r="K41" s="41" t="s">
        <v>104</v>
      </c>
      <c r="L4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>ASE-005 · Detergente en polvo</v>
      </c>
      <c r="M41" s="42">
        <f>IF(tblProductos[[#This Row],[SKU]]="","",COUNTIF(tblEntradas[SKU],tblProductos[[#This Row],[SKU]])+COUNTIF(tblSalidas[SKU],tblProductos[[#This Row],[SKU]]))</f>
        <v>19</v>
      </c>
      <c r="N4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42" spans="2:14" x14ac:dyDescent="0.25">
      <c r="B42" s="40"/>
      <c r="C42" s="40"/>
      <c r="D42" s="40"/>
      <c r="E42" s="41"/>
      <c r="F42" s="47"/>
      <c r="G42" s="47"/>
      <c r="H42" s="48"/>
      <c r="I42" s="40"/>
      <c r="J42" s="41"/>
      <c r="K42" s="41"/>
      <c r="L4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" s="42" t="str">
        <f>IF(tblProductos[[#This Row],[SKU]]="","",COUNTIF(tblEntradas[SKU],tblProductos[[#This Row],[SKU]])+COUNTIF(tblSalidas[SKU],tblProductos[[#This Row],[SKU]]))</f>
        <v/>
      </c>
      <c r="N4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" spans="2:14" x14ac:dyDescent="0.25">
      <c r="B43" s="40"/>
      <c r="C43" s="40"/>
      <c r="D43" s="40"/>
      <c r="E43" s="41"/>
      <c r="F43" s="47"/>
      <c r="G43" s="47"/>
      <c r="H43" s="48"/>
      <c r="I43" s="40"/>
      <c r="J43" s="41"/>
      <c r="K43" s="41"/>
      <c r="L4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" s="42" t="str">
        <f>IF(tblProductos[[#This Row],[SKU]]="","",COUNTIF(tblEntradas[SKU],tblProductos[[#This Row],[SKU]])+COUNTIF(tblSalidas[SKU],tblProductos[[#This Row],[SKU]]))</f>
        <v/>
      </c>
      <c r="N4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" spans="2:14" x14ac:dyDescent="0.25">
      <c r="B44" s="40"/>
      <c r="C44" s="40"/>
      <c r="D44" s="40"/>
      <c r="E44" s="41"/>
      <c r="F44" s="47"/>
      <c r="G44" s="47"/>
      <c r="H44" s="48"/>
      <c r="I44" s="40"/>
      <c r="J44" s="41"/>
      <c r="K44" s="41"/>
      <c r="L4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" s="42" t="str">
        <f>IF(tblProductos[[#This Row],[SKU]]="","",COUNTIF(tblEntradas[SKU],tblProductos[[#This Row],[SKU]])+COUNTIF(tblSalidas[SKU],tblProductos[[#This Row],[SKU]]))</f>
        <v/>
      </c>
      <c r="N4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" spans="2:14" x14ac:dyDescent="0.25">
      <c r="B45" s="40"/>
      <c r="C45" s="40"/>
      <c r="D45" s="40"/>
      <c r="E45" s="41"/>
      <c r="F45" s="47"/>
      <c r="G45" s="47"/>
      <c r="H45" s="48"/>
      <c r="I45" s="40"/>
      <c r="J45" s="41"/>
      <c r="K45" s="41"/>
      <c r="L4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" s="42" t="str">
        <f>IF(tblProductos[[#This Row],[SKU]]="","",COUNTIF(tblEntradas[SKU],tblProductos[[#This Row],[SKU]])+COUNTIF(tblSalidas[SKU],tblProductos[[#This Row],[SKU]]))</f>
        <v/>
      </c>
      <c r="N4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" spans="2:14" x14ac:dyDescent="0.25">
      <c r="B46" s="40"/>
      <c r="C46" s="40"/>
      <c r="D46" s="40"/>
      <c r="E46" s="41"/>
      <c r="F46" s="47"/>
      <c r="G46" s="47"/>
      <c r="H46" s="48"/>
      <c r="I46" s="40"/>
      <c r="J46" s="41"/>
      <c r="K46" s="41"/>
      <c r="L4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" s="42" t="str">
        <f>IF(tblProductos[[#This Row],[SKU]]="","",COUNTIF(tblEntradas[SKU],tblProductos[[#This Row],[SKU]])+COUNTIF(tblSalidas[SKU],tblProductos[[#This Row],[SKU]]))</f>
        <v/>
      </c>
      <c r="N4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" spans="2:14" x14ac:dyDescent="0.25">
      <c r="B47" s="40"/>
      <c r="C47" s="40"/>
      <c r="D47" s="40"/>
      <c r="E47" s="41"/>
      <c r="F47" s="47"/>
      <c r="G47" s="47"/>
      <c r="H47" s="48"/>
      <c r="I47" s="40"/>
      <c r="J47" s="41"/>
      <c r="K47" s="41"/>
      <c r="L4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" s="42" t="str">
        <f>IF(tblProductos[[#This Row],[SKU]]="","",COUNTIF(tblEntradas[SKU],tblProductos[[#This Row],[SKU]])+COUNTIF(tblSalidas[SKU],tblProductos[[#This Row],[SKU]]))</f>
        <v/>
      </c>
      <c r="N4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" spans="2:14" x14ac:dyDescent="0.25">
      <c r="B48" s="40"/>
      <c r="C48" s="40"/>
      <c r="D48" s="40"/>
      <c r="E48" s="41"/>
      <c r="F48" s="47"/>
      <c r="G48" s="47"/>
      <c r="H48" s="48"/>
      <c r="I48" s="40"/>
      <c r="J48" s="41"/>
      <c r="K48" s="41"/>
      <c r="L4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" s="42" t="str">
        <f>IF(tblProductos[[#This Row],[SKU]]="","",COUNTIF(tblEntradas[SKU],tblProductos[[#This Row],[SKU]])+COUNTIF(tblSalidas[SKU],tblProductos[[#This Row],[SKU]]))</f>
        <v/>
      </c>
      <c r="N4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" spans="2:14" x14ac:dyDescent="0.25">
      <c r="B49" s="40"/>
      <c r="C49" s="40"/>
      <c r="D49" s="40"/>
      <c r="E49" s="41"/>
      <c r="F49" s="47"/>
      <c r="G49" s="47"/>
      <c r="H49" s="48"/>
      <c r="I49" s="40"/>
      <c r="J49" s="41"/>
      <c r="K49" s="41"/>
      <c r="L4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" s="42" t="str">
        <f>IF(tblProductos[[#This Row],[SKU]]="","",COUNTIF(tblEntradas[SKU],tblProductos[[#This Row],[SKU]])+COUNTIF(tblSalidas[SKU],tblProductos[[#This Row],[SKU]]))</f>
        <v/>
      </c>
      <c r="N4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" spans="2:14" x14ac:dyDescent="0.25">
      <c r="B50" s="40"/>
      <c r="C50" s="40"/>
      <c r="D50" s="40"/>
      <c r="E50" s="41"/>
      <c r="F50" s="47"/>
      <c r="G50" s="47"/>
      <c r="H50" s="48"/>
      <c r="I50" s="40"/>
      <c r="J50" s="41"/>
      <c r="K50" s="41"/>
      <c r="L5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" s="42" t="str">
        <f>IF(tblProductos[[#This Row],[SKU]]="","",COUNTIF(tblEntradas[SKU],tblProductos[[#This Row],[SKU]])+COUNTIF(tblSalidas[SKU],tblProductos[[#This Row],[SKU]]))</f>
        <v/>
      </c>
      <c r="N5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1" spans="2:14" x14ac:dyDescent="0.25">
      <c r="B51" s="40"/>
      <c r="C51" s="40"/>
      <c r="D51" s="40"/>
      <c r="E51" s="41"/>
      <c r="F51" s="47"/>
      <c r="G51" s="47"/>
      <c r="H51" s="48"/>
      <c r="I51" s="40"/>
      <c r="J51" s="41"/>
      <c r="K51" s="41"/>
      <c r="L5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1" s="42" t="str">
        <f>IF(tblProductos[[#This Row],[SKU]]="","",COUNTIF(tblEntradas[SKU],tblProductos[[#This Row],[SKU]])+COUNTIF(tblSalidas[SKU],tblProductos[[#This Row],[SKU]]))</f>
        <v/>
      </c>
      <c r="N5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2" spans="2:14" x14ac:dyDescent="0.25">
      <c r="B52" s="40"/>
      <c r="C52" s="40"/>
      <c r="D52" s="40"/>
      <c r="E52" s="41"/>
      <c r="F52" s="47"/>
      <c r="G52" s="47"/>
      <c r="H52" s="48"/>
      <c r="I52" s="40"/>
      <c r="J52" s="41"/>
      <c r="K52" s="41"/>
      <c r="L5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2" s="42" t="str">
        <f>IF(tblProductos[[#This Row],[SKU]]="","",COUNTIF(tblEntradas[SKU],tblProductos[[#This Row],[SKU]])+COUNTIF(tblSalidas[SKU],tblProductos[[#This Row],[SKU]]))</f>
        <v/>
      </c>
      <c r="N5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3" spans="2:14" x14ac:dyDescent="0.25">
      <c r="B53" s="40"/>
      <c r="C53" s="40"/>
      <c r="D53" s="40"/>
      <c r="E53" s="41"/>
      <c r="F53" s="47"/>
      <c r="G53" s="47"/>
      <c r="H53" s="48"/>
      <c r="I53" s="40"/>
      <c r="J53" s="41"/>
      <c r="K53" s="41"/>
      <c r="L5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3" s="42" t="str">
        <f>IF(tblProductos[[#This Row],[SKU]]="","",COUNTIF(tblEntradas[SKU],tblProductos[[#This Row],[SKU]])+COUNTIF(tblSalidas[SKU],tblProductos[[#This Row],[SKU]]))</f>
        <v/>
      </c>
      <c r="N5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4" spans="2:14" x14ac:dyDescent="0.25">
      <c r="B54" s="40"/>
      <c r="C54" s="40"/>
      <c r="D54" s="40"/>
      <c r="E54" s="41"/>
      <c r="F54" s="47"/>
      <c r="G54" s="47"/>
      <c r="H54" s="48"/>
      <c r="I54" s="40"/>
      <c r="J54" s="41"/>
      <c r="K54" s="41"/>
      <c r="L5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4" s="42" t="str">
        <f>IF(tblProductos[[#This Row],[SKU]]="","",COUNTIF(tblEntradas[SKU],tblProductos[[#This Row],[SKU]])+COUNTIF(tblSalidas[SKU],tblProductos[[#This Row],[SKU]]))</f>
        <v/>
      </c>
      <c r="N5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5" spans="2:14" x14ac:dyDescent="0.25">
      <c r="B55" s="40"/>
      <c r="C55" s="40"/>
      <c r="D55" s="40"/>
      <c r="E55" s="41"/>
      <c r="F55" s="47"/>
      <c r="G55" s="47"/>
      <c r="H55" s="48"/>
      <c r="I55" s="40"/>
      <c r="J55" s="41"/>
      <c r="K55" s="41"/>
      <c r="L5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5" s="42" t="str">
        <f>IF(tblProductos[[#This Row],[SKU]]="","",COUNTIF(tblEntradas[SKU],tblProductos[[#This Row],[SKU]])+COUNTIF(tblSalidas[SKU],tblProductos[[#This Row],[SKU]]))</f>
        <v/>
      </c>
      <c r="N5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6" spans="2:14" x14ac:dyDescent="0.25">
      <c r="B56" s="40"/>
      <c r="C56" s="40"/>
      <c r="D56" s="40"/>
      <c r="E56" s="41"/>
      <c r="F56" s="47"/>
      <c r="G56" s="47"/>
      <c r="H56" s="48"/>
      <c r="I56" s="40"/>
      <c r="J56" s="41"/>
      <c r="K56" s="41"/>
      <c r="L5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6" s="42" t="str">
        <f>IF(tblProductos[[#This Row],[SKU]]="","",COUNTIF(tblEntradas[SKU],tblProductos[[#This Row],[SKU]])+COUNTIF(tblSalidas[SKU],tblProductos[[#This Row],[SKU]]))</f>
        <v/>
      </c>
      <c r="N5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7" spans="2:14" x14ac:dyDescent="0.25">
      <c r="B57" s="40"/>
      <c r="C57" s="40"/>
      <c r="D57" s="40"/>
      <c r="E57" s="41"/>
      <c r="F57" s="47"/>
      <c r="G57" s="47"/>
      <c r="H57" s="48"/>
      <c r="I57" s="40"/>
      <c r="J57" s="41"/>
      <c r="K57" s="41"/>
      <c r="L5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7" s="42" t="str">
        <f>IF(tblProductos[[#This Row],[SKU]]="","",COUNTIF(tblEntradas[SKU],tblProductos[[#This Row],[SKU]])+COUNTIF(tblSalidas[SKU],tblProductos[[#This Row],[SKU]]))</f>
        <v/>
      </c>
      <c r="N5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8" spans="2:14" x14ac:dyDescent="0.25">
      <c r="B58" s="40"/>
      <c r="C58" s="40"/>
      <c r="D58" s="40"/>
      <c r="E58" s="41"/>
      <c r="F58" s="47"/>
      <c r="G58" s="47"/>
      <c r="H58" s="48"/>
      <c r="I58" s="40"/>
      <c r="J58" s="41"/>
      <c r="K58" s="41"/>
      <c r="L5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8" s="42" t="str">
        <f>IF(tblProductos[[#This Row],[SKU]]="","",COUNTIF(tblEntradas[SKU],tblProductos[[#This Row],[SKU]])+COUNTIF(tblSalidas[SKU],tblProductos[[#This Row],[SKU]]))</f>
        <v/>
      </c>
      <c r="N5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9" spans="2:14" x14ac:dyDescent="0.25">
      <c r="B59" s="40"/>
      <c r="C59" s="40"/>
      <c r="D59" s="40"/>
      <c r="E59" s="41"/>
      <c r="F59" s="47"/>
      <c r="G59" s="47"/>
      <c r="H59" s="48"/>
      <c r="I59" s="40"/>
      <c r="J59" s="41"/>
      <c r="K59" s="41"/>
      <c r="L5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9" s="42" t="str">
        <f>IF(tblProductos[[#This Row],[SKU]]="","",COUNTIF(tblEntradas[SKU],tblProductos[[#This Row],[SKU]])+COUNTIF(tblSalidas[SKU],tblProductos[[#This Row],[SKU]]))</f>
        <v/>
      </c>
      <c r="N5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0" spans="2:14" x14ac:dyDescent="0.25">
      <c r="B60" s="40"/>
      <c r="C60" s="40"/>
      <c r="D60" s="40"/>
      <c r="E60" s="41"/>
      <c r="F60" s="47"/>
      <c r="G60" s="47"/>
      <c r="H60" s="48"/>
      <c r="I60" s="40"/>
      <c r="J60" s="41"/>
      <c r="K60" s="41"/>
      <c r="L6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0" s="42" t="str">
        <f>IF(tblProductos[[#This Row],[SKU]]="","",COUNTIF(tblEntradas[SKU],tblProductos[[#This Row],[SKU]])+COUNTIF(tblSalidas[SKU],tblProductos[[#This Row],[SKU]]))</f>
        <v/>
      </c>
      <c r="N6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1" spans="2:14" x14ac:dyDescent="0.25">
      <c r="B61" s="40"/>
      <c r="C61" s="40"/>
      <c r="D61" s="40"/>
      <c r="E61" s="41"/>
      <c r="F61" s="47"/>
      <c r="G61" s="47"/>
      <c r="H61" s="48"/>
      <c r="I61" s="40"/>
      <c r="J61" s="41"/>
      <c r="K61" s="41"/>
      <c r="L6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1" s="42" t="str">
        <f>IF(tblProductos[[#This Row],[SKU]]="","",COUNTIF(tblEntradas[SKU],tblProductos[[#This Row],[SKU]])+COUNTIF(tblSalidas[SKU],tblProductos[[#This Row],[SKU]]))</f>
        <v/>
      </c>
      <c r="N6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2" spans="2:14" x14ac:dyDescent="0.25">
      <c r="B62" s="40"/>
      <c r="C62" s="40"/>
      <c r="D62" s="40"/>
      <c r="E62" s="41"/>
      <c r="F62" s="47"/>
      <c r="G62" s="47"/>
      <c r="H62" s="48"/>
      <c r="I62" s="40"/>
      <c r="J62" s="41"/>
      <c r="K62" s="41"/>
      <c r="L6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2" s="42" t="str">
        <f>IF(tblProductos[[#This Row],[SKU]]="","",COUNTIF(tblEntradas[SKU],tblProductos[[#This Row],[SKU]])+COUNTIF(tblSalidas[SKU],tblProductos[[#This Row],[SKU]]))</f>
        <v/>
      </c>
      <c r="N6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3" spans="2:14" x14ac:dyDescent="0.25">
      <c r="B63" s="40"/>
      <c r="C63" s="40"/>
      <c r="D63" s="40"/>
      <c r="E63" s="41"/>
      <c r="F63" s="47"/>
      <c r="G63" s="47"/>
      <c r="H63" s="48"/>
      <c r="I63" s="40"/>
      <c r="J63" s="41"/>
      <c r="K63" s="41"/>
      <c r="L6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3" s="42" t="str">
        <f>IF(tblProductos[[#This Row],[SKU]]="","",COUNTIF(tblEntradas[SKU],tblProductos[[#This Row],[SKU]])+COUNTIF(tblSalidas[SKU],tblProductos[[#This Row],[SKU]]))</f>
        <v/>
      </c>
      <c r="N6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4" spans="2:14" x14ac:dyDescent="0.25">
      <c r="B64" s="40"/>
      <c r="C64" s="40"/>
      <c r="D64" s="40"/>
      <c r="E64" s="41"/>
      <c r="F64" s="47"/>
      <c r="G64" s="47"/>
      <c r="H64" s="48"/>
      <c r="I64" s="40"/>
      <c r="J64" s="41"/>
      <c r="K64" s="41"/>
      <c r="L6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4" s="42" t="str">
        <f>IF(tblProductos[[#This Row],[SKU]]="","",COUNTIF(tblEntradas[SKU],tblProductos[[#This Row],[SKU]])+COUNTIF(tblSalidas[SKU],tblProductos[[#This Row],[SKU]]))</f>
        <v/>
      </c>
      <c r="N6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5" spans="2:14" x14ac:dyDescent="0.25">
      <c r="B65" s="40"/>
      <c r="C65" s="40"/>
      <c r="D65" s="40"/>
      <c r="E65" s="41"/>
      <c r="F65" s="47"/>
      <c r="G65" s="47"/>
      <c r="H65" s="48"/>
      <c r="I65" s="40"/>
      <c r="J65" s="41"/>
      <c r="K65" s="41"/>
      <c r="L6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5" s="42" t="str">
        <f>IF(tblProductos[[#This Row],[SKU]]="","",COUNTIF(tblEntradas[SKU],tblProductos[[#This Row],[SKU]])+COUNTIF(tblSalidas[SKU],tblProductos[[#This Row],[SKU]]))</f>
        <v/>
      </c>
      <c r="N6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6" spans="2:14" x14ac:dyDescent="0.25">
      <c r="B66" s="40"/>
      <c r="C66" s="40"/>
      <c r="D66" s="40"/>
      <c r="E66" s="41"/>
      <c r="F66" s="47"/>
      <c r="G66" s="47"/>
      <c r="H66" s="48"/>
      <c r="I66" s="40"/>
      <c r="J66" s="41"/>
      <c r="K66" s="41"/>
      <c r="L6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6" s="42" t="str">
        <f>IF(tblProductos[[#This Row],[SKU]]="","",COUNTIF(tblEntradas[SKU],tblProductos[[#This Row],[SKU]])+COUNTIF(tblSalidas[SKU],tblProductos[[#This Row],[SKU]]))</f>
        <v/>
      </c>
      <c r="N6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7" spans="2:14" x14ac:dyDescent="0.25">
      <c r="B67" s="40"/>
      <c r="C67" s="40"/>
      <c r="D67" s="40"/>
      <c r="E67" s="41"/>
      <c r="F67" s="47"/>
      <c r="G67" s="47"/>
      <c r="H67" s="48"/>
      <c r="I67" s="40"/>
      <c r="J67" s="41"/>
      <c r="K67" s="41"/>
      <c r="L6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7" s="42" t="str">
        <f>IF(tblProductos[[#This Row],[SKU]]="","",COUNTIF(tblEntradas[SKU],tblProductos[[#This Row],[SKU]])+COUNTIF(tblSalidas[SKU],tblProductos[[#This Row],[SKU]]))</f>
        <v/>
      </c>
      <c r="N6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8" spans="2:14" x14ac:dyDescent="0.25">
      <c r="B68" s="40"/>
      <c r="C68" s="40"/>
      <c r="D68" s="40"/>
      <c r="E68" s="41"/>
      <c r="F68" s="47"/>
      <c r="G68" s="47"/>
      <c r="H68" s="48"/>
      <c r="I68" s="40"/>
      <c r="J68" s="41"/>
      <c r="K68" s="41"/>
      <c r="L6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8" s="42" t="str">
        <f>IF(tblProductos[[#This Row],[SKU]]="","",COUNTIF(tblEntradas[SKU],tblProductos[[#This Row],[SKU]])+COUNTIF(tblSalidas[SKU],tblProductos[[#This Row],[SKU]]))</f>
        <v/>
      </c>
      <c r="N6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9" spans="2:14" x14ac:dyDescent="0.25">
      <c r="B69" s="40"/>
      <c r="C69" s="40"/>
      <c r="D69" s="40"/>
      <c r="E69" s="41"/>
      <c r="F69" s="47"/>
      <c r="G69" s="47"/>
      <c r="H69" s="48"/>
      <c r="I69" s="40"/>
      <c r="J69" s="41"/>
      <c r="K69" s="41"/>
      <c r="L6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9" s="42" t="str">
        <f>IF(tblProductos[[#This Row],[SKU]]="","",COUNTIF(tblEntradas[SKU],tblProductos[[#This Row],[SKU]])+COUNTIF(tblSalidas[SKU],tblProductos[[#This Row],[SKU]]))</f>
        <v/>
      </c>
      <c r="N6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0" spans="2:14" x14ac:dyDescent="0.25">
      <c r="B70" s="40"/>
      <c r="C70" s="40"/>
      <c r="D70" s="40"/>
      <c r="E70" s="41"/>
      <c r="F70" s="47"/>
      <c r="G70" s="47"/>
      <c r="H70" s="48"/>
      <c r="I70" s="40"/>
      <c r="J70" s="41"/>
      <c r="K70" s="41"/>
      <c r="L7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0" s="42" t="str">
        <f>IF(tblProductos[[#This Row],[SKU]]="","",COUNTIF(tblEntradas[SKU],tblProductos[[#This Row],[SKU]])+COUNTIF(tblSalidas[SKU],tblProductos[[#This Row],[SKU]]))</f>
        <v/>
      </c>
      <c r="N7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1" spans="2:14" x14ac:dyDescent="0.25">
      <c r="B71" s="40"/>
      <c r="C71" s="40"/>
      <c r="D71" s="40"/>
      <c r="E71" s="41"/>
      <c r="F71" s="47"/>
      <c r="G71" s="47"/>
      <c r="H71" s="48"/>
      <c r="I71" s="40"/>
      <c r="J71" s="41"/>
      <c r="K71" s="41"/>
      <c r="L7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1" s="42" t="str">
        <f>IF(tblProductos[[#This Row],[SKU]]="","",COUNTIF(tblEntradas[SKU],tblProductos[[#This Row],[SKU]])+COUNTIF(tblSalidas[SKU],tblProductos[[#This Row],[SKU]]))</f>
        <v/>
      </c>
      <c r="N7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2" spans="2:14" x14ac:dyDescent="0.25">
      <c r="B72" s="40"/>
      <c r="C72" s="40"/>
      <c r="D72" s="40"/>
      <c r="E72" s="41"/>
      <c r="F72" s="47"/>
      <c r="G72" s="47"/>
      <c r="H72" s="48"/>
      <c r="I72" s="40"/>
      <c r="J72" s="41"/>
      <c r="K72" s="41"/>
      <c r="L7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2" s="42" t="str">
        <f>IF(tblProductos[[#This Row],[SKU]]="","",COUNTIF(tblEntradas[SKU],tblProductos[[#This Row],[SKU]])+COUNTIF(tblSalidas[SKU],tblProductos[[#This Row],[SKU]]))</f>
        <v/>
      </c>
      <c r="N7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3" spans="2:14" x14ac:dyDescent="0.25">
      <c r="B73" s="40"/>
      <c r="C73" s="40"/>
      <c r="D73" s="40"/>
      <c r="E73" s="41"/>
      <c r="F73" s="47"/>
      <c r="G73" s="47"/>
      <c r="H73" s="48"/>
      <c r="I73" s="40"/>
      <c r="J73" s="41"/>
      <c r="K73" s="41"/>
      <c r="L7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3" s="42" t="str">
        <f>IF(tblProductos[[#This Row],[SKU]]="","",COUNTIF(tblEntradas[SKU],tblProductos[[#This Row],[SKU]])+COUNTIF(tblSalidas[SKU],tblProductos[[#This Row],[SKU]]))</f>
        <v/>
      </c>
      <c r="N7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4" spans="2:14" x14ac:dyDescent="0.25">
      <c r="B74" s="40"/>
      <c r="C74" s="40"/>
      <c r="D74" s="40"/>
      <c r="E74" s="41"/>
      <c r="F74" s="47"/>
      <c r="G74" s="47"/>
      <c r="H74" s="48"/>
      <c r="I74" s="40"/>
      <c r="J74" s="41"/>
      <c r="K74" s="41"/>
      <c r="L7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4" s="42" t="str">
        <f>IF(tblProductos[[#This Row],[SKU]]="","",COUNTIF(tblEntradas[SKU],tblProductos[[#This Row],[SKU]])+COUNTIF(tblSalidas[SKU],tblProductos[[#This Row],[SKU]]))</f>
        <v/>
      </c>
      <c r="N7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5" spans="2:14" x14ac:dyDescent="0.25">
      <c r="B75" s="40"/>
      <c r="C75" s="40"/>
      <c r="D75" s="40"/>
      <c r="E75" s="41"/>
      <c r="F75" s="47"/>
      <c r="G75" s="47"/>
      <c r="H75" s="48"/>
      <c r="I75" s="40"/>
      <c r="J75" s="41"/>
      <c r="K75" s="41"/>
      <c r="L7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5" s="42" t="str">
        <f>IF(tblProductos[[#This Row],[SKU]]="","",COUNTIF(tblEntradas[SKU],tblProductos[[#This Row],[SKU]])+COUNTIF(tblSalidas[SKU],tblProductos[[#This Row],[SKU]]))</f>
        <v/>
      </c>
      <c r="N7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6" spans="2:14" x14ac:dyDescent="0.25">
      <c r="B76" s="40"/>
      <c r="C76" s="40"/>
      <c r="D76" s="40"/>
      <c r="E76" s="41"/>
      <c r="F76" s="47"/>
      <c r="G76" s="47"/>
      <c r="H76" s="48"/>
      <c r="I76" s="40"/>
      <c r="J76" s="41"/>
      <c r="K76" s="41"/>
      <c r="L7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6" s="42" t="str">
        <f>IF(tblProductos[[#This Row],[SKU]]="","",COUNTIF(tblEntradas[SKU],tblProductos[[#This Row],[SKU]])+COUNTIF(tblSalidas[SKU],tblProductos[[#This Row],[SKU]]))</f>
        <v/>
      </c>
      <c r="N7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7" spans="2:14" x14ac:dyDescent="0.25">
      <c r="B77" s="40"/>
      <c r="C77" s="40"/>
      <c r="D77" s="40"/>
      <c r="E77" s="41"/>
      <c r="F77" s="47"/>
      <c r="G77" s="47"/>
      <c r="H77" s="48"/>
      <c r="I77" s="40"/>
      <c r="J77" s="41"/>
      <c r="K77" s="41"/>
      <c r="L7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7" s="42" t="str">
        <f>IF(tblProductos[[#This Row],[SKU]]="","",COUNTIF(tblEntradas[SKU],tblProductos[[#This Row],[SKU]])+COUNTIF(tblSalidas[SKU],tblProductos[[#This Row],[SKU]]))</f>
        <v/>
      </c>
      <c r="N7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8" spans="2:14" x14ac:dyDescent="0.25">
      <c r="B78" s="40"/>
      <c r="C78" s="40"/>
      <c r="D78" s="40"/>
      <c r="E78" s="41"/>
      <c r="F78" s="47"/>
      <c r="G78" s="47"/>
      <c r="H78" s="48"/>
      <c r="I78" s="40"/>
      <c r="J78" s="41"/>
      <c r="K78" s="41"/>
      <c r="L7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8" s="42" t="str">
        <f>IF(tblProductos[[#This Row],[SKU]]="","",COUNTIF(tblEntradas[SKU],tblProductos[[#This Row],[SKU]])+COUNTIF(tblSalidas[SKU],tblProductos[[#This Row],[SKU]]))</f>
        <v/>
      </c>
      <c r="N7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9" spans="2:14" x14ac:dyDescent="0.25">
      <c r="B79" s="40"/>
      <c r="C79" s="40"/>
      <c r="D79" s="40"/>
      <c r="E79" s="41"/>
      <c r="F79" s="47"/>
      <c r="G79" s="47"/>
      <c r="H79" s="48"/>
      <c r="I79" s="40"/>
      <c r="J79" s="41"/>
      <c r="K79" s="41"/>
      <c r="L7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9" s="42" t="str">
        <f>IF(tblProductos[[#This Row],[SKU]]="","",COUNTIF(tblEntradas[SKU],tblProductos[[#This Row],[SKU]])+COUNTIF(tblSalidas[SKU],tblProductos[[#This Row],[SKU]]))</f>
        <v/>
      </c>
      <c r="N7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0" spans="2:14" x14ac:dyDescent="0.25">
      <c r="B80" s="40"/>
      <c r="C80" s="40"/>
      <c r="D80" s="40"/>
      <c r="E80" s="41"/>
      <c r="F80" s="47"/>
      <c r="G80" s="47"/>
      <c r="H80" s="48"/>
      <c r="I80" s="40"/>
      <c r="J80" s="41"/>
      <c r="K80" s="41"/>
      <c r="L8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0" s="42" t="str">
        <f>IF(tblProductos[[#This Row],[SKU]]="","",COUNTIF(tblEntradas[SKU],tblProductos[[#This Row],[SKU]])+COUNTIF(tblSalidas[SKU],tblProductos[[#This Row],[SKU]]))</f>
        <v/>
      </c>
      <c r="N8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1" spans="2:14" x14ac:dyDescent="0.25">
      <c r="B81" s="40"/>
      <c r="C81" s="40"/>
      <c r="D81" s="40"/>
      <c r="E81" s="41"/>
      <c r="F81" s="47"/>
      <c r="G81" s="47"/>
      <c r="H81" s="48"/>
      <c r="I81" s="40"/>
      <c r="J81" s="41"/>
      <c r="K81" s="41"/>
      <c r="L8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1" s="42" t="str">
        <f>IF(tblProductos[[#This Row],[SKU]]="","",COUNTIF(tblEntradas[SKU],tblProductos[[#This Row],[SKU]])+COUNTIF(tblSalidas[SKU],tblProductos[[#This Row],[SKU]]))</f>
        <v/>
      </c>
      <c r="N8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2" spans="2:14" x14ac:dyDescent="0.25">
      <c r="B82" s="40"/>
      <c r="C82" s="40"/>
      <c r="D82" s="40"/>
      <c r="E82" s="41"/>
      <c r="F82" s="47"/>
      <c r="G82" s="47"/>
      <c r="H82" s="48"/>
      <c r="I82" s="40"/>
      <c r="J82" s="41"/>
      <c r="K82" s="41"/>
      <c r="L8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2" s="42" t="str">
        <f>IF(tblProductos[[#This Row],[SKU]]="","",COUNTIF(tblEntradas[SKU],tblProductos[[#This Row],[SKU]])+COUNTIF(tblSalidas[SKU],tblProductos[[#This Row],[SKU]]))</f>
        <v/>
      </c>
      <c r="N8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3" spans="2:14" x14ac:dyDescent="0.25">
      <c r="B83" s="40"/>
      <c r="C83" s="40"/>
      <c r="D83" s="40"/>
      <c r="E83" s="41"/>
      <c r="F83" s="47"/>
      <c r="G83" s="47"/>
      <c r="H83" s="48"/>
      <c r="I83" s="40"/>
      <c r="J83" s="41"/>
      <c r="K83" s="41"/>
      <c r="L8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3" s="42" t="str">
        <f>IF(tblProductos[[#This Row],[SKU]]="","",COUNTIF(tblEntradas[SKU],tblProductos[[#This Row],[SKU]])+COUNTIF(tblSalidas[SKU],tblProductos[[#This Row],[SKU]]))</f>
        <v/>
      </c>
      <c r="N8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4" spans="2:14" x14ac:dyDescent="0.25">
      <c r="B84" s="40"/>
      <c r="C84" s="40"/>
      <c r="D84" s="40"/>
      <c r="E84" s="41"/>
      <c r="F84" s="47"/>
      <c r="G84" s="47"/>
      <c r="H84" s="48"/>
      <c r="I84" s="40"/>
      <c r="J84" s="41"/>
      <c r="K84" s="41"/>
      <c r="L8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4" s="42" t="str">
        <f>IF(tblProductos[[#This Row],[SKU]]="","",COUNTIF(tblEntradas[SKU],tblProductos[[#This Row],[SKU]])+COUNTIF(tblSalidas[SKU],tblProductos[[#This Row],[SKU]]))</f>
        <v/>
      </c>
      <c r="N8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5" spans="2:14" x14ac:dyDescent="0.25">
      <c r="B85" s="40"/>
      <c r="C85" s="40"/>
      <c r="D85" s="40"/>
      <c r="E85" s="41"/>
      <c r="F85" s="47"/>
      <c r="G85" s="47"/>
      <c r="H85" s="48"/>
      <c r="I85" s="40"/>
      <c r="J85" s="41"/>
      <c r="K85" s="41"/>
      <c r="L8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5" s="42" t="str">
        <f>IF(tblProductos[[#This Row],[SKU]]="","",COUNTIF(tblEntradas[SKU],tblProductos[[#This Row],[SKU]])+COUNTIF(tblSalidas[SKU],tblProductos[[#This Row],[SKU]]))</f>
        <v/>
      </c>
      <c r="N8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6" spans="2:14" x14ac:dyDescent="0.25">
      <c r="B86" s="40"/>
      <c r="C86" s="40"/>
      <c r="D86" s="40"/>
      <c r="E86" s="41"/>
      <c r="F86" s="47"/>
      <c r="G86" s="47"/>
      <c r="H86" s="48"/>
      <c r="I86" s="40"/>
      <c r="J86" s="41"/>
      <c r="K86" s="41"/>
      <c r="L8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6" s="42" t="str">
        <f>IF(tblProductos[[#This Row],[SKU]]="","",COUNTIF(tblEntradas[SKU],tblProductos[[#This Row],[SKU]])+COUNTIF(tblSalidas[SKU],tblProductos[[#This Row],[SKU]]))</f>
        <v/>
      </c>
      <c r="N8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7" spans="2:14" x14ac:dyDescent="0.25">
      <c r="B87" s="40"/>
      <c r="C87" s="40"/>
      <c r="D87" s="40"/>
      <c r="E87" s="41"/>
      <c r="F87" s="47"/>
      <c r="G87" s="47"/>
      <c r="H87" s="48"/>
      <c r="I87" s="40"/>
      <c r="J87" s="41"/>
      <c r="K87" s="41"/>
      <c r="L8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7" s="42" t="str">
        <f>IF(tblProductos[[#This Row],[SKU]]="","",COUNTIF(tblEntradas[SKU],tblProductos[[#This Row],[SKU]])+COUNTIF(tblSalidas[SKU],tblProductos[[#This Row],[SKU]]))</f>
        <v/>
      </c>
      <c r="N8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8" spans="2:14" x14ac:dyDescent="0.25">
      <c r="B88" s="40"/>
      <c r="C88" s="40"/>
      <c r="D88" s="40"/>
      <c r="E88" s="41"/>
      <c r="F88" s="47"/>
      <c r="G88" s="47"/>
      <c r="H88" s="48"/>
      <c r="I88" s="40"/>
      <c r="J88" s="41"/>
      <c r="K88" s="41"/>
      <c r="L8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8" s="42" t="str">
        <f>IF(tblProductos[[#This Row],[SKU]]="","",COUNTIF(tblEntradas[SKU],tblProductos[[#This Row],[SKU]])+COUNTIF(tblSalidas[SKU],tblProductos[[#This Row],[SKU]]))</f>
        <v/>
      </c>
      <c r="N8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9" spans="2:14" x14ac:dyDescent="0.25">
      <c r="B89" s="40"/>
      <c r="C89" s="40"/>
      <c r="D89" s="40"/>
      <c r="E89" s="41"/>
      <c r="F89" s="47"/>
      <c r="G89" s="47"/>
      <c r="H89" s="48"/>
      <c r="I89" s="40"/>
      <c r="J89" s="41"/>
      <c r="K89" s="41"/>
      <c r="L8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9" s="42" t="str">
        <f>IF(tblProductos[[#This Row],[SKU]]="","",COUNTIF(tblEntradas[SKU],tblProductos[[#This Row],[SKU]])+COUNTIF(tblSalidas[SKU],tblProductos[[#This Row],[SKU]]))</f>
        <v/>
      </c>
      <c r="N8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0" spans="2:14" x14ac:dyDescent="0.25">
      <c r="B90" s="40"/>
      <c r="C90" s="40"/>
      <c r="D90" s="40"/>
      <c r="E90" s="41"/>
      <c r="F90" s="47"/>
      <c r="G90" s="47"/>
      <c r="H90" s="48"/>
      <c r="I90" s="40"/>
      <c r="J90" s="41"/>
      <c r="K90" s="41"/>
      <c r="L9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0" s="42" t="str">
        <f>IF(tblProductos[[#This Row],[SKU]]="","",COUNTIF(tblEntradas[SKU],tblProductos[[#This Row],[SKU]])+COUNTIF(tblSalidas[SKU],tblProductos[[#This Row],[SKU]]))</f>
        <v/>
      </c>
      <c r="N9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1" spans="2:14" x14ac:dyDescent="0.25">
      <c r="B91" s="40"/>
      <c r="C91" s="40"/>
      <c r="D91" s="40"/>
      <c r="E91" s="41"/>
      <c r="F91" s="47"/>
      <c r="G91" s="47"/>
      <c r="H91" s="48"/>
      <c r="I91" s="40"/>
      <c r="J91" s="41"/>
      <c r="K91" s="41"/>
      <c r="L9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1" s="42" t="str">
        <f>IF(tblProductos[[#This Row],[SKU]]="","",COUNTIF(tblEntradas[SKU],tblProductos[[#This Row],[SKU]])+COUNTIF(tblSalidas[SKU],tblProductos[[#This Row],[SKU]]))</f>
        <v/>
      </c>
      <c r="N9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2" spans="2:14" x14ac:dyDescent="0.25">
      <c r="B92" s="40"/>
      <c r="C92" s="40"/>
      <c r="D92" s="40"/>
      <c r="E92" s="41"/>
      <c r="F92" s="47"/>
      <c r="G92" s="47"/>
      <c r="H92" s="48"/>
      <c r="I92" s="40"/>
      <c r="J92" s="41"/>
      <c r="K92" s="41"/>
      <c r="L9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2" s="42" t="str">
        <f>IF(tblProductos[[#This Row],[SKU]]="","",COUNTIF(tblEntradas[SKU],tblProductos[[#This Row],[SKU]])+COUNTIF(tblSalidas[SKU],tblProductos[[#This Row],[SKU]]))</f>
        <v/>
      </c>
      <c r="N9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3" spans="2:14" x14ac:dyDescent="0.25">
      <c r="B93" s="40"/>
      <c r="C93" s="40"/>
      <c r="D93" s="40"/>
      <c r="E93" s="41"/>
      <c r="F93" s="47"/>
      <c r="G93" s="47"/>
      <c r="H93" s="48"/>
      <c r="I93" s="40"/>
      <c r="J93" s="41"/>
      <c r="K93" s="41"/>
      <c r="L9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3" s="42" t="str">
        <f>IF(tblProductos[[#This Row],[SKU]]="","",COUNTIF(tblEntradas[SKU],tblProductos[[#This Row],[SKU]])+COUNTIF(tblSalidas[SKU],tblProductos[[#This Row],[SKU]]))</f>
        <v/>
      </c>
      <c r="N9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4" spans="2:14" x14ac:dyDescent="0.25">
      <c r="B94" s="40"/>
      <c r="C94" s="40"/>
      <c r="D94" s="40"/>
      <c r="E94" s="41"/>
      <c r="F94" s="47"/>
      <c r="G94" s="47"/>
      <c r="H94" s="48"/>
      <c r="I94" s="40"/>
      <c r="J94" s="41"/>
      <c r="K94" s="41"/>
      <c r="L9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4" s="42" t="str">
        <f>IF(tblProductos[[#This Row],[SKU]]="","",COUNTIF(tblEntradas[SKU],tblProductos[[#This Row],[SKU]])+COUNTIF(tblSalidas[SKU],tblProductos[[#This Row],[SKU]]))</f>
        <v/>
      </c>
      <c r="N9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5" spans="2:14" x14ac:dyDescent="0.25">
      <c r="B95" s="40"/>
      <c r="C95" s="40"/>
      <c r="D95" s="40"/>
      <c r="E95" s="41"/>
      <c r="F95" s="47"/>
      <c r="G95" s="47"/>
      <c r="H95" s="48"/>
      <c r="I95" s="40"/>
      <c r="J95" s="41"/>
      <c r="K95" s="41"/>
      <c r="L9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5" s="42" t="str">
        <f>IF(tblProductos[[#This Row],[SKU]]="","",COUNTIF(tblEntradas[SKU],tblProductos[[#This Row],[SKU]])+COUNTIF(tblSalidas[SKU],tblProductos[[#This Row],[SKU]]))</f>
        <v/>
      </c>
      <c r="N9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6" spans="2:14" x14ac:dyDescent="0.25">
      <c r="B96" s="40"/>
      <c r="C96" s="40"/>
      <c r="D96" s="40"/>
      <c r="E96" s="41"/>
      <c r="F96" s="47"/>
      <c r="G96" s="47"/>
      <c r="H96" s="48"/>
      <c r="I96" s="40"/>
      <c r="J96" s="41"/>
      <c r="K96" s="41"/>
      <c r="L9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6" s="42" t="str">
        <f>IF(tblProductos[[#This Row],[SKU]]="","",COUNTIF(tblEntradas[SKU],tblProductos[[#This Row],[SKU]])+COUNTIF(tblSalidas[SKU],tblProductos[[#This Row],[SKU]]))</f>
        <v/>
      </c>
      <c r="N9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7" spans="2:14" x14ac:dyDescent="0.25">
      <c r="B97" s="40"/>
      <c r="C97" s="40"/>
      <c r="D97" s="40"/>
      <c r="E97" s="41"/>
      <c r="F97" s="47"/>
      <c r="G97" s="47"/>
      <c r="H97" s="48"/>
      <c r="I97" s="40"/>
      <c r="J97" s="41"/>
      <c r="K97" s="41"/>
      <c r="L9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7" s="42" t="str">
        <f>IF(tblProductos[[#This Row],[SKU]]="","",COUNTIF(tblEntradas[SKU],tblProductos[[#This Row],[SKU]])+COUNTIF(tblSalidas[SKU],tblProductos[[#This Row],[SKU]]))</f>
        <v/>
      </c>
      <c r="N9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8" spans="2:14" x14ac:dyDescent="0.25">
      <c r="B98" s="40"/>
      <c r="C98" s="40"/>
      <c r="D98" s="40"/>
      <c r="E98" s="41"/>
      <c r="F98" s="47"/>
      <c r="G98" s="47"/>
      <c r="H98" s="48"/>
      <c r="I98" s="40"/>
      <c r="J98" s="41"/>
      <c r="K98" s="41"/>
      <c r="L9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8" s="42" t="str">
        <f>IF(tblProductos[[#This Row],[SKU]]="","",COUNTIF(tblEntradas[SKU],tblProductos[[#This Row],[SKU]])+COUNTIF(tblSalidas[SKU],tblProductos[[#This Row],[SKU]]))</f>
        <v/>
      </c>
      <c r="N9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9" spans="2:14" x14ac:dyDescent="0.25">
      <c r="B99" s="40"/>
      <c r="C99" s="40"/>
      <c r="D99" s="40"/>
      <c r="E99" s="41"/>
      <c r="F99" s="47"/>
      <c r="G99" s="47"/>
      <c r="H99" s="48"/>
      <c r="I99" s="40"/>
      <c r="J99" s="41"/>
      <c r="K99" s="41"/>
      <c r="L9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9" s="42" t="str">
        <f>IF(tblProductos[[#This Row],[SKU]]="","",COUNTIF(tblEntradas[SKU],tblProductos[[#This Row],[SKU]])+COUNTIF(tblSalidas[SKU],tblProductos[[#This Row],[SKU]]))</f>
        <v/>
      </c>
      <c r="N9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0" spans="2:14" x14ac:dyDescent="0.25">
      <c r="B100" s="40"/>
      <c r="C100" s="40"/>
      <c r="D100" s="40"/>
      <c r="E100" s="41"/>
      <c r="F100" s="47"/>
      <c r="G100" s="47"/>
      <c r="H100" s="48"/>
      <c r="I100" s="40"/>
      <c r="J100" s="41"/>
      <c r="K100" s="41"/>
      <c r="L10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0" s="42" t="str">
        <f>IF(tblProductos[[#This Row],[SKU]]="","",COUNTIF(tblEntradas[SKU],tblProductos[[#This Row],[SKU]])+COUNTIF(tblSalidas[SKU],tblProductos[[#This Row],[SKU]]))</f>
        <v/>
      </c>
      <c r="N10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1" spans="2:14" x14ac:dyDescent="0.25">
      <c r="B101" s="40"/>
      <c r="C101" s="40"/>
      <c r="D101" s="40"/>
      <c r="E101" s="41"/>
      <c r="F101" s="47"/>
      <c r="G101" s="47"/>
      <c r="H101" s="48"/>
      <c r="I101" s="40"/>
      <c r="J101" s="41"/>
      <c r="K101" s="41"/>
      <c r="L10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1" s="42" t="str">
        <f>IF(tblProductos[[#This Row],[SKU]]="","",COUNTIF(tblEntradas[SKU],tblProductos[[#This Row],[SKU]])+COUNTIF(tblSalidas[SKU],tblProductos[[#This Row],[SKU]]))</f>
        <v/>
      </c>
      <c r="N10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2" spans="2:14" x14ac:dyDescent="0.25">
      <c r="B102" s="40"/>
      <c r="C102" s="40"/>
      <c r="D102" s="40"/>
      <c r="E102" s="41"/>
      <c r="F102" s="47"/>
      <c r="G102" s="47"/>
      <c r="H102" s="48"/>
      <c r="I102" s="40"/>
      <c r="J102" s="41"/>
      <c r="K102" s="41"/>
      <c r="L10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2" s="42" t="str">
        <f>IF(tblProductos[[#This Row],[SKU]]="","",COUNTIF(tblEntradas[SKU],tblProductos[[#This Row],[SKU]])+COUNTIF(tblSalidas[SKU],tblProductos[[#This Row],[SKU]]))</f>
        <v/>
      </c>
      <c r="N10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3" spans="2:14" x14ac:dyDescent="0.25">
      <c r="B103" s="40"/>
      <c r="C103" s="40"/>
      <c r="D103" s="40"/>
      <c r="E103" s="41"/>
      <c r="F103" s="47"/>
      <c r="G103" s="47"/>
      <c r="H103" s="48"/>
      <c r="I103" s="40"/>
      <c r="J103" s="41"/>
      <c r="K103" s="41"/>
      <c r="L10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3" s="42" t="str">
        <f>IF(tblProductos[[#This Row],[SKU]]="","",COUNTIF(tblEntradas[SKU],tblProductos[[#This Row],[SKU]])+COUNTIF(tblSalidas[SKU],tblProductos[[#This Row],[SKU]]))</f>
        <v/>
      </c>
      <c r="N10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4" spans="2:14" x14ac:dyDescent="0.25">
      <c r="B104" s="40"/>
      <c r="C104" s="40"/>
      <c r="D104" s="40"/>
      <c r="E104" s="41"/>
      <c r="F104" s="47"/>
      <c r="G104" s="47"/>
      <c r="H104" s="48"/>
      <c r="I104" s="40"/>
      <c r="J104" s="41"/>
      <c r="K104" s="41"/>
      <c r="L10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4" s="42" t="str">
        <f>IF(tblProductos[[#This Row],[SKU]]="","",COUNTIF(tblEntradas[SKU],tblProductos[[#This Row],[SKU]])+COUNTIF(tblSalidas[SKU],tblProductos[[#This Row],[SKU]]))</f>
        <v/>
      </c>
      <c r="N10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5" spans="2:14" x14ac:dyDescent="0.25">
      <c r="B105" s="40"/>
      <c r="C105" s="40"/>
      <c r="D105" s="40"/>
      <c r="E105" s="41"/>
      <c r="F105" s="47"/>
      <c r="G105" s="47"/>
      <c r="H105" s="48"/>
      <c r="I105" s="40"/>
      <c r="J105" s="41"/>
      <c r="K105" s="41"/>
      <c r="L10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5" s="42" t="str">
        <f>IF(tblProductos[[#This Row],[SKU]]="","",COUNTIF(tblEntradas[SKU],tblProductos[[#This Row],[SKU]])+COUNTIF(tblSalidas[SKU],tblProductos[[#This Row],[SKU]]))</f>
        <v/>
      </c>
      <c r="N10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6" spans="2:14" x14ac:dyDescent="0.25">
      <c r="B106" s="40"/>
      <c r="C106" s="40"/>
      <c r="D106" s="40"/>
      <c r="E106" s="41"/>
      <c r="F106" s="47"/>
      <c r="G106" s="47"/>
      <c r="H106" s="48"/>
      <c r="I106" s="40"/>
      <c r="J106" s="41"/>
      <c r="K106" s="41"/>
      <c r="L10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6" s="42" t="str">
        <f>IF(tblProductos[[#This Row],[SKU]]="","",COUNTIF(tblEntradas[SKU],tblProductos[[#This Row],[SKU]])+COUNTIF(tblSalidas[SKU],tblProductos[[#This Row],[SKU]]))</f>
        <v/>
      </c>
      <c r="N10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7" spans="2:14" x14ac:dyDescent="0.25">
      <c r="B107" s="40"/>
      <c r="C107" s="40"/>
      <c r="D107" s="40"/>
      <c r="E107" s="41"/>
      <c r="F107" s="47"/>
      <c r="G107" s="47"/>
      <c r="H107" s="48"/>
      <c r="I107" s="40"/>
      <c r="J107" s="41"/>
      <c r="K107" s="41"/>
      <c r="L10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7" s="42" t="str">
        <f>IF(tblProductos[[#This Row],[SKU]]="","",COUNTIF(tblEntradas[SKU],tblProductos[[#This Row],[SKU]])+COUNTIF(tblSalidas[SKU],tblProductos[[#This Row],[SKU]]))</f>
        <v/>
      </c>
      <c r="N10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8" spans="2:14" x14ac:dyDescent="0.25">
      <c r="B108" s="40"/>
      <c r="C108" s="40"/>
      <c r="D108" s="40"/>
      <c r="E108" s="41"/>
      <c r="F108" s="47"/>
      <c r="G108" s="47"/>
      <c r="H108" s="48"/>
      <c r="I108" s="40"/>
      <c r="J108" s="41"/>
      <c r="K108" s="41"/>
      <c r="L10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8" s="42" t="str">
        <f>IF(tblProductos[[#This Row],[SKU]]="","",COUNTIF(tblEntradas[SKU],tblProductos[[#This Row],[SKU]])+COUNTIF(tblSalidas[SKU],tblProductos[[#This Row],[SKU]]))</f>
        <v/>
      </c>
      <c r="N10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9" spans="2:14" x14ac:dyDescent="0.25">
      <c r="B109" s="40"/>
      <c r="C109" s="40"/>
      <c r="D109" s="40"/>
      <c r="E109" s="41"/>
      <c r="F109" s="47"/>
      <c r="G109" s="47"/>
      <c r="H109" s="48"/>
      <c r="I109" s="40"/>
      <c r="J109" s="41"/>
      <c r="K109" s="41"/>
      <c r="L10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9" s="42" t="str">
        <f>IF(tblProductos[[#This Row],[SKU]]="","",COUNTIF(tblEntradas[SKU],tblProductos[[#This Row],[SKU]])+COUNTIF(tblSalidas[SKU],tblProductos[[#This Row],[SKU]]))</f>
        <v/>
      </c>
      <c r="N10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0" spans="2:14" x14ac:dyDescent="0.25">
      <c r="B110" s="40"/>
      <c r="C110" s="40"/>
      <c r="D110" s="40"/>
      <c r="E110" s="41"/>
      <c r="F110" s="47"/>
      <c r="G110" s="47"/>
      <c r="H110" s="48"/>
      <c r="I110" s="40"/>
      <c r="J110" s="41"/>
      <c r="K110" s="41"/>
      <c r="L11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0" s="42" t="str">
        <f>IF(tblProductos[[#This Row],[SKU]]="","",COUNTIF(tblEntradas[SKU],tblProductos[[#This Row],[SKU]])+COUNTIF(tblSalidas[SKU],tblProductos[[#This Row],[SKU]]))</f>
        <v/>
      </c>
      <c r="N11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1" spans="2:14" x14ac:dyDescent="0.25">
      <c r="B111" s="40"/>
      <c r="C111" s="40"/>
      <c r="D111" s="40"/>
      <c r="E111" s="41"/>
      <c r="F111" s="47"/>
      <c r="G111" s="47"/>
      <c r="H111" s="48"/>
      <c r="I111" s="40"/>
      <c r="J111" s="41"/>
      <c r="K111" s="41"/>
      <c r="L11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1" s="42" t="str">
        <f>IF(tblProductos[[#This Row],[SKU]]="","",COUNTIF(tblEntradas[SKU],tblProductos[[#This Row],[SKU]])+COUNTIF(tblSalidas[SKU],tblProductos[[#This Row],[SKU]]))</f>
        <v/>
      </c>
      <c r="N11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2" spans="2:14" x14ac:dyDescent="0.25">
      <c r="B112" s="40"/>
      <c r="C112" s="40"/>
      <c r="D112" s="40"/>
      <c r="E112" s="41"/>
      <c r="F112" s="47"/>
      <c r="G112" s="47"/>
      <c r="H112" s="48"/>
      <c r="I112" s="40"/>
      <c r="J112" s="41"/>
      <c r="K112" s="41"/>
      <c r="L11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2" s="42" t="str">
        <f>IF(tblProductos[[#This Row],[SKU]]="","",COUNTIF(tblEntradas[SKU],tblProductos[[#This Row],[SKU]])+COUNTIF(tblSalidas[SKU],tblProductos[[#This Row],[SKU]]))</f>
        <v/>
      </c>
      <c r="N11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3" spans="2:14" x14ac:dyDescent="0.25">
      <c r="B113" s="40"/>
      <c r="C113" s="40"/>
      <c r="D113" s="40"/>
      <c r="E113" s="41"/>
      <c r="F113" s="47"/>
      <c r="G113" s="47"/>
      <c r="H113" s="48"/>
      <c r="I113" s="40"/>
      <c r="J113" s="41"/>
      <c r="K113" s="41"/>
      <c r="L11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3" s="42" t="str">
        <f>IF(tblProductos[[#This Row],[SKU]]="","",COUNTIF(tblEntradas[SKU],tblProductos[[#This Row],[SKU]])+COUNTIF(tblSalidas[SKU],tblProductos[[#This Row],[SKU]]))</f>
        <v/>
      </c>
      <c r="N11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4" spans="2:14" x14ac:dyDescent="0.25">
      <c r="B114" s="40"/>
      <c r="C114" s="40"/>
      <c r="D114" s="40"/>
      <c r="E114" s="41"/>
      <c r="F114" s="47"/>
      <c r="G114" s="47"/>
      <c r="H114" s="48"/>
      <c r="I114" s="40"/>
      <c r="J114" s="41"/>
      <c r="K114" s="41"/>
      <c r="L11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4" s="42" t="str">
        <f>IF(tblProductos[[#This Row],[SKU]]="","",COUNTIF(tblEntradas[SKU],tblProductos[[#This Row],[SKU]])+COUNTIF(tblSalidas[SKU],tblProductos[[#This Row],[SKU]]))</f>
        <v/>
      </c>
      <c r="N11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5" spans="2:14" x14ac:dyDescent="0.25">
      <c r="B115" s="40"/>
      <c r="C115" s="40"/>
      <c r="D115" s="40"/>
      <c r="E115" s="41"/>
      <c r="F115" s="47"/>
      <c r="G115" s="47"/>
      <c r="H115" s="48"/>
      <c r="I115" s="40"/>
      <c r="J115" s="41"/>
      <c r="K115" s="41"/>
      <c r="L11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5" s="42" t="str">
        <f>IF(tblProductos[[#This Row],[SKU]]="","",COUNTIF(tblEntradas[SKU],tblProductos[[#This Row],[SKU]])+COUNTIF(tblSalidas[SKU],tblProductos[[#This Row],[SKU]]))</f>
        <v/>
      </c>
      <c r="N11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6" spans="2:14" x14ac:dyDescent="0.25">
      <c r="B116" s="40"/>
      <c r="C116" s="40"/>
      <c r="D116" s="40"/>
      <c r="E116" s="41"/>
      <c r="F116" s="47"/>
      <c r="G116" s="47"/>
      <c r="H116" s="48"/>
      <c r="I116" s="40"/>
      <c r="J116" s="41"/>
      <c r="K116" s="41"/>
      <c r="L11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6" s="42" t="str">
        <f>IF(tblProductos[[#This Row],[SKU]]="","",COUNTIF(tblEntradas[SKU],tblProductos[[#This Row],[SKU]])+COUNTIF(tblSalidas[SKU],tblProductos[[#This Row],[SKU]]))</f>
        <v/>
      </c>
      <c r="N11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7" spans="2:14" x14ac:dyDescent="0.25">
      <c r="B117" s="40"/>
      <c r="C117" s="40"/>
      <c r="D117" s="40"/>
      <c r="E117" s="41"/>
      <c r="F117" s="47"/>
      <c r="G117" s="47"/>
      <c r="H117" s="48"/>
      <c r="I117" s="40"/>
      <c r="J117" s="41"/>
      <c r="K117" s="41"/>
      <c r="L11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7" s="42" t="str">
        <f>IF(tblProductos[[#This Row],[SKU]]="","",COUNTIF(tblEntradas[SKU],tblProductos[[#This Row],[SKU]])+COUNTIF(tblSalidas[SKU],tblProductos[[#This Row],[SKU]]))</f>
        <v/>
      </c>
      <c r="N11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8" spans="2:14" x14ac:dyDescent="0.25">
      <c r="B118" s="40"/>
      <c r="C118" s="40"/>
      <c r="D118" s="40"/>
      <c r="E118" s="41"/>
      <c r="F118" s="47"/>
      <c r="G118" s="47"/>
      <c r="H118" s="48"/>
      <c r="I118" s="40"/>
      <c r="J118" s="41"/>
      <c r="K118" s="41"/>
      <c r="L11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8" s="42" t="str">
        <f>IF(tblProductos[[#This Row],[SKU]]="","",COUNTIF(tblEntradas[SKU],tblProductos[[#This Row],[SKU]])+COUNTIF(tblSalidas[SKU],tblProductos[[#This Row],[SKU]]))</f>
        <v/>
      </c>
      <c r="N11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9" spans="2:14" x14ac:dyDescent="0.25">
      <c r="B119" s="40"/>
      <c r="C119" s="40"/>
      <c r="D119" s="40"/>
      <c r="E119" s="41"/>
      <c r="F119" s="47"/>
      <c r="G119" s="47"/>
      <c r="H119" s="48"/>
      <c r="I119" s="40"/>
      <c r="J119" s="41"/>
      <c r="K119" s="41"/>
      <c r="L11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9" s="42" t="str">
        <f>IF(tblProductos[[#This Row],[SKU]]="","",COUNTIF(tblEntradas[SKU],tblProductos[[#This Row],[SKU]])+COUNTIF(tblSalidas[SKU],tblProductos[[#This Row],[SKU]]))</f>
        <v/>
      </c>
      <c r="N11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0" spans="2:14" x14ac:dyDescent="0.25">
      <c r="B120" s="40"/>
      <c r="C120" s="40"/>
      <c r="D120" s="40"/>
      <c r="E120" s="41"/>
      <c r="F120" s="47"/>
      <c r="G120" s="47"/>
      <c r="H120" s="48"/>
      <c r="I120" s="40"/>
      <c r="J120" s="41"/>
      <c r="K120" s="41"/>
      <c r="L12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0" s="42" t="str">
        <f>IF(tblProductos[[#This Row],[SKU]]="","",COUNTIF(tblEntradas[SKU],tblProductos[[#This Row],[SKU]])+COUNTIF(tblSalidas[SKU],tblProductos[[#This Row],[SKU]]))</f>
        <v/>
      </c>
      <c r="N12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1" spans="2:14" x14ac:dyDescent="0.25">
      <c r="B121" s="40"/>
      <c r="C121" s="40"/>
      <c r="D121" s="40"/>
      <c r="E121" s="41"/>
      <c r="F121" s="47"/>
      <c r="G121" s="47"/>
      <c r="H121" s="48"/>
      <c r="I121" s="40"/>
      <c r="J121" s="41"/>
      <c r="K121" s="41"/>
      <c r="L12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1" s="42" t="str">
        <f>IF(tblProductos[[#This Row],[SKU]]="","",COUNTIF(tblEntradas[SKU],tblProductos[[#This Row],[SKU]])+COUNTIF(tblSalidas[SKU],tblProductos[[#This Row],[SKU]]))</f>
        <v/>
      </c>
      <c r="N12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2" spans="2:14" x14ac:dyDescent="0.25">
      <c r="B122" s="40"/>
      <c r="C122" s="40"/>
      <c r="D122" s="40"/>
      <c r="E122" s="41"/>
      <c r="F122" s="47"/>
      <c r="G122" s="47"/>
      <c r="H122" s="48"/>
      <c r="I122" s="40"/>
      <c r="J122" s="41"/>
      <c r="K122" s="41"/>
      <c r="L12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2" s="42" t="str">
        <f>IF(tblProductos[[#This Row],[SKU]]="","",COUNTIF(tblEntradas[SKU],tblProductos[[#This Row],[SKU]])+COUNTIF(tblSalidas[SKU],tblProductos[[#This Row],[SKU]]))</f>
        <v/>
      </c>
      <c r="N12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3" spans="2:14" x14ac:dyDescent="0.25">
      <c r="B123" s="40"/>
      <c r="C123" s="40"/>
      <c r="D123" s="40"/>
      <c r="E123" s="41"/>
      <c r="F123" s="47"/>
      <c r="G123" s="47"/>
      <c r="H123" s="48"/>
      <c r="I123" s="40"/>
      <c r="J123" s="41"/>
      <c r="K123" s="41"/>
      <c r="L12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3" s="42" t="str">
        <f>IF(tblProductos[[#This Row],[SKU]]="","",COUNTIF(tblEntradas[SKU],tblProductos[[#This Row],[SKU]])+COUNTIF(tblSalidas[SKU],tblProductos[[#This Row],[SKU]]))</f>
        <v/>
      </c>
      <c r="N12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4" spans="2:14" x14ac:dyDescent="0.25">
      <c r="B124" s="40"/>
      <c r="C124" s="40"/>
      <c r="D124" s="40"/>
      <c r="E124" s="41"/>
      <c r="F124" s="47"/>
      <c r="G124" s="47"/>
      <c r="H124" s="48"/>
      <c r="I124" s="40"/>
      <c r="J124" s="41"/>
      <c r="K124" s="41"/>
      <c r="L12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4" s="42" t="str">
        <f>IF(tblProductos[[#This Row],[SKU]]="","",COUNTIF(tblEntradas[SKU],tblProductos[[#This Row],[SKU]])+COUNTIF(tblSalidas[SKU],tblProductos[[#This Row],[SKU]]))</f>
        <v/>
      </c>
      <c r="N12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5" spans="2:14" x14ac:dyDescent="0.25">
      <c r="B125" s="40"/>
      <c r="C125" s="40"/>
      <c r="D125" s="40"/>
      <c r="E125" s="41"/>
      <c r="F125" s="47"/>
      <c r="G125" s="47"/>
      <c r="H125" s="48"/>
      <c r="I125" s="40"/>
      <c r="J125" s="41"/>
      <c r="K125" s="41"/>
      <c r="L12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5" s="42" t="str">
        <f>IF(tblProductos[[#This Row],[SKU]]="","",COUNTIF(tblEntradas[SKU],tblProductos[[#This Row],[SKU]])+COUNTIF(tblSalidas[SKU],tblProductos[[#This Row],[SKU]]))</f>
        <v/>
      </c>
      <c r="N12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6" spans="2:14" x14ac:dyDescent="0.25">
      <c r="B126" s="40"/>
      <c r="C126" s="40"/>
      <c r="D126" s="40"/>
      <c r="E126" s="41"/>
      <c r="F126" s="47"/>
      <c r="G126" s="47"/>
      <c r="H126" s="48"/>
      <c r="I126" s="40"/>
      <c r="J126" s="41"/>
      <c r="K126" s="41"/>
      <c r="L12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6" s="42" t="str">
        <f>IF(tblProductos[[#This Row],[SKU]]="","",COUNTIF(tblEntradas[SKU],tblProductos[[#This Row],[SKU]])+COUNTIF(tblSalidas[SKU],tblProductos[[#This Row],[SKU]]))</f>
        <v/>
      </c>
      <c r="N12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7" spans="2:14" x14ac:dyDescent="0.25">
      <c r="B127" s="40"/>
      <c r="C127" s="40"/>
      <c r="D127" s="40"/>
      <c r="E127" s="41"/>
      <c r="F127" s="47"/>
      <c r="G127" s="47"/>
      <c r="H127" s="48"/>
      <c r="I127" s="40"/>
      <c r="J127" s="41"/>
      <c r="K127" s="41"/>
      <c r="L12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7" s="42" t="str">
        <f>IF(tblProductos[[#This Row],[SKU]]="","",COUNTIF(tblEntradas[SKU],tblProductos[[#This Row],[SKU]])+COUNTIF(tblSalidas[SKU],tblProductos[[#This Row],[SKU]]))</f>
        <v/>
      </c>
      <c r="N12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8" spans="2:14" x14ac:dyDescent="0.25">
      <c r="B128" s="40"/>
      <c r="C128" s="40"/>
      <c r="D128" s="40"/>
      <c r="E128" s="41"/>
      <c r="F128" s="47"/>
      <c r="G128" s="47"/>
      <c r="H128" s="48"/>
      <c r="I128" s="40"/>
      <c r="J128" s="41"/>
      <c r="K128" s="41"/>
      <c r="L12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8" s="42" t="str">
        <f>IF(tblProductos[[#This Row],[SKU]]="","",COUNTIF(tblEntradas[SKU],tblProductos[[#This Row],[SKU]])+COUNTIF(tblSalidas[SKU],tblProductos[[#This Row],[SKU]]))</f>
        <v/>
      </c>
      <c r="N12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9" spans="2:14" x14ac:dyDescent="0.25">
      <c r="B129" s="40"/>
      <c r="C129" s="40"/>
      <c r="D129" s="40"/>
      <c r="E129" s="41"/>
      <c r="F129" s="47"/>
      <c r="G129" s="47"/>
      <c r="H129" s="48"/>
      <c r="I129" s="40"/>
      <c r="J129" s="41"/>
      <c r="K129" s="41"/>
      <c r="L12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9" s="42" t="str">
        <f>IF(tblProductos[[#This Row],[SKU]]="","",COUNTIF(tblEntradas[SKU],tblProductos[[#This Row],[SKU]])+COUNTIF(tblSalidas[SKU],tblProductos[[#This Row],[SKU]]))</f>
        <v/>
      </c>
      <c r="N12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0" spans="2:14" x14ac:dyDescent="0.25">
      <c r="B130" s="40"/>
      <c r="C130" s="40"/>
      <c r="D130" s="40"/>
      <c r="E130" s="41"/>
      <c r="F130" s="47"/>
      <c r="G130" s="47"/>
      <c r="H130" s="48"/>
      <c r="I130" s="40"/>
      <c r="J130" s="41"/>
      <c r="K130" s="41"/>
      <c r="L13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0" s="42" t="str">
        <f>IF(tblProductos[[#This Row],[SKU]]="","",COUNTIF(tblEntradas[SKU],tblProductos[[#This Row],[SKU]])+COUNTIF(tblSalidas[SKU],tblProductos[[#This Row],[SKU]]))</f>
        <v/>
      </c>
      <c r="N13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1" spans="2:14" x14ac:dyDescent="0.25">
      <c r="B131" s="40"/>
      <c r="C131" s="40"/>
      <c r="D131" s="40"/>
      <c r="E131" s="41"/>
      <c r="F131" s="47"/>
      <c r="G131" s="47"/>
      <c r="H131" s="48"/>
      <c r="I131" s="40"/>
      <c r="J131" s="41"/>
      <c r="K131" s="41"/>
      <c r="L13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1" s="42" t="str">
        <f>IF(tblProductos[[#This Row],[SKU]]="","",COUNTIF(tblEntradas[SKU],tblProductos[[#This Row],[SKU]])+COUNTIF(tblSalidas[SKU],tblProductos[[#This Row],[SKU]]))</f>
        <v/>
      </c>
      <c r="N13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2" spans="2:14" x14ac:dyDescent="0.25">
      <c r="B132" s="40"/>
      <c r="C132" s="40"/>
      <c r="D132" s="40"/>
      <c r="E132" s="41"/>
      <c r="F132" s="47"/>
      <c r="G132" s="47"/>
      <c r="H132" s="48"/>
      <c r="I132" s="40"/>
      <c r="J132" s="41"/>
      <c r="K132" s="41"/>
      <c r="L13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2" s="42" t="str">
        <f>IF(tblProductos[[#This Row],[SKU]]="","",COUNTIF(tblEntradas[SKU],tblProductos[[#This Row],[SKU]])+COUNTIF(tblSalidas[SKU],tblProductos[[#This Row],[SKU]]))</f>
        <v/>
      </c>
      <c r="N13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3" spans="2:14" x14ac:dyDescent="0.25">
      <c r="B133" s="40"/>
      <c r="C133" s="40"/>
      <c r="D133" s="40"/>
      <c r="E133" s="41"/>
      <c r="F133" s="47"/>
      <c r="G133" s="47"/>
      <c r="H133" s="48"/>
      <c r="I133" s="40"/>
      <c r="J133" s="41"/>
      <c r="K133" s="41"/>
      <c r="L13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3" s="42" t="str">
        <f>IF(tblProductos[[#This Row],[SKU]]="","",COUNTIF(tblEntradas[SKU],tblProductos[[#This Row],[SKU]])+COUNTIF(tblSalidas[SKU],tblProductos[[#This Row],[SKU]]))</f>
        <v/>
      </c>
      <c r="N13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4" spans="2:14" x14ac:dyDescent="0.25">
      <c r="B134" s="40"/>
      <c r="C134" s="40"/>
      <c r="D134" s="40"/>
      <c r="E134" s="41"/>
      <c r="F134" s="47"/>
      <c r="G134" s="47"/>
      <c r="H134" s="48"/>
      <c r="I134" s="40"/>
      <c r="J134" s="41"/>
      <c r="K134" s="41"/>
      <c r="L13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4" s="42" t="str">
        <f>IF(tblProductos[[#This Row],[SKU]]="","",COUNTIF(tblEntradas[SKU],tblProductos[[#This Row],[SKU]])+COUNTIF(tblSalidas[SKU],tblProductos[[#This Row],[SKU]]))</f>
        <v/>
      </c>
      <c r="N13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5" spans="2:14" x14ac:dyDescent="0.25">
      <c r="B135" s="40"/>
      <c r="C135" s="40"/>
      <c r="D135" s="40"/>
      <c r="E135" s="41"/>
      <c r="F135" s="47"/>
      <c r="G135" s="47"/>
      <c r="H135" s="48"/>
      <c r="I135" s="40"/>
      <c r="J135" s="41"/>
      <c r="K135" s="41"/>
      <c r="L13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5" s="42" t="str">
        <f>IF(tblProductos[[#This Row],[SKU]]="","",COUNTIF(tblEntradas[SKU],tblProductos[[#This Row],[SKU]])+COUNTIF(tblSalidas[SKU],tblProductos[[#This Row],[SKU]]))</f>
        <v/>
      </c>
      <c r="N13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6" spans="2:14" x14ac:dyDescent="0.25">
      <c r="B136" s="40"/>
      <c r="C136" s="40"/>
      <c r="D136" s="40"/>
      <c r="E136" s="41"/>
      <c r="F136" s="47"/>
      <c r="G136" s="47"/>
      <c r="H136" s="48"/>
      <c r="I136" s="40"/>
      <c r="J136" s="41"/>
      <c r="K136" s="41"/>
      <c r="L13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6" s="42" t="str">
        <f>IF(tblProductos[[#This Row],[SKU]]="","",COUNTIF(tblEntradas[SKU],tblProductos[[#This Row],[SKU]])+COUNTIF(tblSalidas[SKU],tblProductos[[#This Row],[SKU]]))</f>
        <v/>
      </c>
      <c r="N13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7" spans="2:14" x14ac:dyDescent="0.25">
      <c r="B137" s="40"/>
      <c r="C137" s="40"/>
      <c r="D137" s="40"/>
      <c r="E137" s="41"/>
      <c r="F137" s="47"/>
      <c r="G137" s="47"/>
      <c r="H137" s="48"/>
      <c r="I137" s="40"/>
      <c r="J137" s="41"/>
      <c r="K137" s="41"/>
      <c r="L13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7" s="42" t="str">
        <f>IF(tblProductos[[#This Row],[SKU]]="","",COUNTIF(tblEntradas[SKU],tblProductos[[#This Row],[SKU]])+COUNTIF(tblSalidas[SKU],tblProductos[[#This Row],[SKU]]))</f>
        <v/>
      </c>
      <c r="N13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8" spans="2:14" x14ac:dyDescent="0.25">
      <c r="B138" s="40"/>
      <c r="C138" s="40"/>
      <c r="D138" s="40"/>
      <c r="E138" s="41"/>
      <c r="F138" s="47"/>
      <c r="G138" s="47"/>
      <c r="H138" s="48"/>
      <c r="I138" s="40"/>
      <c r="J138" s="41"/>
      <c r="K138" s="41"/>
      <c r="L13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8" s="42" t="str">
        <f>IF(tblProductos[[#This Row],[SKU]]="","",COUNTIF(tblEntradas[SKU],tblProductos[[#This Row],[SKU]])+COUNTIF(tblSalidas[SKU],tblProductos[[#This Row],[SKU]]))</f>
        <v/>
      </c>
      <c r="N13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9" spans="2:14" x14ac:dyDescent="0.25">
      <c r="B139" s="40"/>
      <c r="C139" s="40"/>
      <c r="D139" s="40"/>
      <c r="E139" s="41"/>
      <c r="F139" s="47"/>
      <c r="G139" s="47"/>
      <c r="H139" s="48"/>
      <c r="I139" s="40"/>
      <c r="J139" s="41"/>
      <c r="K139" s="41"/>
      <c r="L13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9" s="42" t="str">
        <f>IF(tblProductos[[#This Row],[SKU]]="","",COUNTIF(tblEntradas[SKU],tblProductos[[#This Row],[SKU]])+COUNTIF(tblSalidas[SKU],tblProductos[[#This Row],[SKU]]))</f>
        <v/>
      </c>
      <c r="N13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0" spans="2:14" x14ac:dyDescent="0.25">
      <c r="B140" s="40"/>
      <c r="C140" s="40"/>
      <c r="D140" s="40"/>
      <c r="E140" s="41"/>
      <c r="F140" s="47"/>
      <c r="G140" s="47"/>
      <c r="H140" s="48"/>
      <c r="I140" s="40"/>
      <c r="J140" s="41"/>
      <c r="K140" s="41"/>
      <c r="L14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0" s="42" t="str">
        <f>IF(tblProductos[[#This Row],[SKU]]="","",COUNTIF(tblEntradas[SKU],tblProductos[[#This Row],[SKU]])+COUNTIF(tblSalidas[SKU],tblProductos[[#This Row],[SKU]]))</f>
        <v/>
      </c>
      <c r="N14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1" spans="2:14" x14ac:dyDescent="0.25">
      <c r="B141" s="40"/>
      <c r="C141" s="40"/>
      <c r="D141" s="40"/>
      <c r="E141" s="41"/>
      <c r="F141" s="47"/>
      <c r="G141" s="47"/>
      <c r="H141" s="48"/>
      <c r="I141" s="40"/>
      <c r="J141" s="41"/>
      <c r="K141" s="41"/>
      <c r="L14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1" s="42" t="str">
        <f>IF(tblProductos[[#This Row],[SKU]]="","",COUNTIF(tblEntradas[SKU],tblProductos[[#This Row],[SKU]])+COUNTIF(tblSalidas[SKU],tblProductos[[#This Row],[SKU]]))</f>
        <v/>
      </c>
      <c r="N14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2" spans="2:14" x14ac:dyDescent="0.25">
      <c r="B142" s="40"/>
      <c r="C142" s="40"/>
      <c r="D142" s="40"/>
      <c r="E142" s="41"/>
      <c r="F142" s="47"/>
      <c r="G142" s="47"/>
      <c r="H142" s="48"/>
      <c r="I142" s="40"/>
      <c r="J142" s="41"/>
      <c r="K142" s="41"/>
      <c r="L14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2" s="42" t="str">
        <f>IF(tblProductos[[#This Row],[SKU]]="","",COUNTIF(tblEntradas[SKU],tblProductos[[#This Row],[SKU]])+COUNTIF(tblSalidas[SKU],tblProductos[[#This Row],[SKU]]))</f>
        <v/>
      </c>
      <c r="N14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3" spans="2:14" x14ac:dyDescent="0.25">
      <c r="B143" s="40"/>
      <c r="C143" s="40"/>
      <c r="D143" s="40"/>
      <c r="E143" s="41"/>
      <c r="F143" s="47"/>
      <c r="G143" s="47"/>
      <c r="H143" s="48"/>
      <c r="I143" s="40"/>
      <c r="J143" s="41"/>
      <c r="K143" s="41"/>
      <c r="L14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3" s="42" t="str">
        <f>IF(tblProductos[[#This Row],[SKU]]="","",COUNTIF(tblEntradas[SKU],tblProductos[[#This Row],[SKU]])+COUNTIF(tblSalidas[SKU],tblProductos[[#This Row],[SKU]]))</f>
        <v/>
      </c>
      <c r="N14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4" spans="2:14" x14ac:dyDescent="0.25">
      <c r="B144" s="40"/>
      <c r="C144" s="40"/>
      <c r="D144" s="40"/>
      <c r="E144" s="41"/>
      <c r="F144" s="47"/>
      <c r="G144" s="47"/>
      <c r="H144" s="48"/>
      <c r="I144" s="40"/>
      <c r="J144" s="41"/>
      <c r="K144" s="41"/>
      <c r="L14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4" s="42" t="str">
        <f>IF(tblProductos[[#This Row],[SKU]]="","",COUNTIF(tblEntradas[SKU],tblProductos[[#This Row],[SKU]])+COUNTIF(tblSalidas[SKU],tblProductos[[#This Row],[SKU]]))</f>
        <v/>
      </c>
      <c r="N14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5" spans="2:14" x14ac:dyDescent="0.25">
      <c r="B145" s="40"/>
      <c r="C145" s="40"/>
      <c r="D145" s="40"/>
      <c r="E145" s="41"/>
      <c r="F145" s="47"/>
      <c r="G145" s="47"/>
      <c r="H145" s="48"/>
      <c r="I145" s="40"/>
      <c r="J145" s="41"/>
      <c r="K145" s="41"/>
      <c r="L14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5" s="42" t="str">
        <f>IF(tblProductos[[#This Row],[SKU]]="","",COUNTIF(tblEntradas[SKU],tblProductos[[#This Row],[SKU]])+COUNTIF(tblSalidas[SKU],tblProductos[[#This Row],[SKU]]))</f>
        <v/>
      </c>
      <c r="N14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6" spans="2:14" x14ac:dyDescent="0.25">
      <c r="B146" s="40"/>
      <c r="C146" s="40"/>
      <c r="D146" s="40"/>
      <c r="E146" s="41"/>
      <c r="F146" s="47"/>
      <c r="G146" s="47"/>
      <c r="H146" s="48"/>
      <c r="I146" s="40"/>
      <c r="J146" s="41"/>
      <c r="K146" s="41"/>
      <c r="L14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6" s="42" t="str">
        <f>IF(tblProductos[[#This Row],[SKU]]="","",COUNTIF(tblEntradas[SKU],tblProductos[[#This Row],[SKU]])+COUNTIF(tblSalidas[SKU],tblProductos[[#This Row],[SKU]]))</f>
        <v/>
      </c>
      <c r="N14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7" spans="2:14" x14ac:dyDescent="0.25">
      <c r="B147" s="40"/>
      <c r="C147" s="40"/>
      <c r="D147" s="40"/>
      <c r="E147" s="41"/>
      <c r="F147" s="47"/>
      <c r="G147" s="47"/>
      <c r="H147" s="48"/>
      <c r="I147" s="40"/>
      <c r="J147" s="41"/>
      <c r="K147" s="41"/>
      <c r="L14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7" s="42" t="str">
        <f>IF(tblProductos[[#This Row],[SKU]]="","",COUNTIF(tblEntradas[SKU],tblProductos[[#This Row],[SKU]])+COUNTIF(tblSalidas[SKU],tblProductos[[#This Row],[SKU]]))</f>
        <v/>
      </c>
      <c r="N14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8" spans="2:14" x14ac:dyDescent="0.25">
      <c r="B148" s="40"/>
      <c r="C148" s="40"/>
      <c r="D148" s="40"/>
      <c r="E148" s="41"/>
      <c r="F148" s="47"/>
      <c r="G148" s="47"/>
      <c r="H148" s="48"/>
      <c r="I148" s="40"/>
      <c r="J148" s="41"/>
      <c r="K148" s="41"/>
      <c r="L14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8" s="42" t="str">
        <f>IF(tblProductos[[#This Row],[SKU]]="","",COUNTIF(tblEntradas[SKU],tblProductos[[#This Row],[SKU]])+COUNTIF(tblSalidas[SKU],tblProductos[[#This Row],[SKU]]))</f>
        <v/>
      </c>
      <c r="N14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9" spans="2:14" x14ac:dyDescent="0.25">
      <c r="B149" s="40"/>
      <c r="C149" s="40"/>
      <c r="D149" s="40"/>
      <c r="E149" s="41"/>
      <c r="F149" s="47"/>
      <c r="G149" s="47"/>
      <c r="H149" s="48"/>
      <c r="I149" s="40"/>
      <c r="J149" s="41"/>
      <c r="K149" s="41"/>
      <c r="L14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9" s="42" t="str">
        <f>IF(tblProductos[[#This Row],[SKU]]="","",COUNTIF(tblEntradas[SKU],tblProductos[[#This Row],[SKU]])+COUNTIF(tblSalidas[SKU],tblProductos[[#This Row],[SKU]]))</f>
        <v/>
      </c>
      <c r="N14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0" spans="2:14" x14ac:dyDescent="0.25">
      <c r="B150" s="40"/>
      <c r="C150" s="40"/>
      <c r="D150" s="40"/>
      <c r="E150" s="41"/>
      <c r="F150" s="47"/>
      <c r="G150" s="47"/>
      <c r="H150" s="48"/>
      <c r="I150" s="40"/>
      <c r="J150" s="41"/>
      <c r="K150" s="41"/>
      <c r="L15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0" s="42" t="str">
        <f>IF(tblProductos[[#This Row],[SKU]]="","",COUNTIF(tblEntradas[SKU],tblProductos[[#This Row],[SKU]])+COUNTIF(tblSalidas[SKU],tblProductos[[#This Row],[SKU]]))</f>
        <v/>
      </c>
      <c r="N15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1" spans="2:14" x14ac:dyDescent="0.25">
      <c r="B151" s="40"/>
      <c r="C151" s="40"/>
      <c r="D151" s="40"/>
      <c r="E151" s="41"/>
      <c r="F151" s="47"/>
      <c r="G151" s="47"/>
      <c r="H151" s="48"/>
      <c r="I151" s="40"/>
      <c r="J151" s="41"/>
      <c r="K151" s="41"/>
      <c r="L15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1" s="42" t="str">
        <f>IF(tblProductos[[#This Row],[SKU]]="","",COUNTIF(tblEntradas[SKU],tblProductos[[#This Row],[SKU]])+COUNTIF(tblSalidas[SKU],tblProductos[[#This Row],[SKU]]))</f>
        <v/>
      </c>
      <c r="N15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2" spans="2:14" x14ac:dyDescent="0.25">
      <c r="B152" s="40"/>
      <c r="C152" s="40"/>
      <c r="D152" s="40"/>
      <c r="E152" s="41"/>
      <c r="F152" s="47"/>
      <c r="G152" s="47"/>
      <c r="H152" s="48"/>
      <c r="I152" s="40"/>
      <c r="J152" s="41"/>
      <c r="K152" s="41"/>
      <c r="L15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2" s="42" t="str">
        <f>IF(tblProductos[[#This Row],[SKU]]="","",COUNTIF(tblEntradas[SKU],tblProductos[[#This Row],[SKU]])+COUNTIF(tblSalidas[SKU],tblProductos[[#This Row],[SKU]]))</f>
        <v/>
      </c>
      <c r="N15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3" spans="2:14" x14ac:dyDescent="0.25">
      <c r="B153" s="40"/>
      <c r="C153" s="40"/>
      <c r="D153" s="40"/>
      <c r="E153" s="41"/>
      <c r="F153" s="47"/>
      <c r="G153" s="47"/>
      <c r="H153" s="48"/>
      <c r="I153" s="40"/>
      <c r="J153" s="41"/>
      <c r="K153" s="41"/>
      <c r="L15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3" s="42" t="str">
        <f>IF(tblProductos[[#This Row],[SKU]]="","",COUNTIF(tblEntradas[SKU],tblProductos[[#This Row],[SKU]])+COUNTIF(tblSalidas[SKU],tblProductos[[#This Row],[SKU]]))</f>
        <v/>
      </c>
      <c r="N15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4" spans="2:14" x14ac:dyDescent="0.25">
      <c r="B154" s="40"/>
      <c r="C154" s="40"/>
      <c r="D154" s="40"/>
      <c r="E154" s="41"/>
      <c r="F154" s="47"/>
      <c r="G154" s="47"/>
      <c r="H154" s="48"/>
      <c r="I154" s="40"/>
      <c r="J154" s="41"/>
      <c r="K154" s="41"/>
      <c r="L15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4" s="42" t="str">
        <f>IF(tblProductos[[#This Row],[SKU]]="","",COUNTIF(tblEntradas[SKU],tblProductos[[#This Row],[SKU]])+COUNTIF(tblSalidas[SKU],tblProductos[[#This Row],[SKU]]))</f>
        <v/>
      </c>
      <c r="N15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5" spans="2:14" x14ac:dyDescent="0.25">
      <c r="B155" s="40"/>
      <c r="C155" s="40"/>
      <c r="D155" s="40"/>
      <c r="E155" s="41"/>
      <c r="F155" s="47"/>
      <c r="G155" s="47"/>
      <c r="H155" s="48"/>
      <c r="I155" s="40"/>
      <c r="J155" s="41"/>
      <c r="K155" s="41"/>
      <c r="L15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5" s="42" t="str">
        <f>IF(tblProductos[[#This Row],[SKU]]="","",COUNTIF(tblEntradas[SKU],tblProductos[[#This Row],[SKU]])+COUNTIF(tblSalidas[SKU],tblProductos[[#This Row],[SKU]]))</f>
        <v/>
      </c>
      <c r="N15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6" spans="2:14" x14ac:dyDescent="0.25">
      <c r="B156" s="40"/>
      <c r="C156" s="40"/>
      <c r="D156" s="40"/>
      <c r="E156" s="41"/>
      <c r="F156" s="47"/>
      <c r="G156" s="47"/>
      <c r="H156" s="48"/>
      <c r="I156" s="40"/>
      <c r="J156" s="41"/>
      <c r="K156" s="41"/>
      <c r="L15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6" s="42" t="str">
        <f>IF(tblProductos[[#This Row],[SKU]]="","",COUNTIF(tblEntradas[SKU],tblProductos[[#This Row],[SKU]])+COUNTIF(tblSalidas[SKU],tblProductos[[#This Row],[SKU]]))</f>
        <v/>
      </c>
      <c r="N15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7" spans="2:14" x14ac:dyDescent="0.25">
      <c r="B157" s="40"/>
      <c r="C157" s="40"/>
      <c r="D157" s="40"/>
      <c r="E157" s="41"/>
      <c r="F157" s="47"/>
      <c r="G157" s="47"/>
      <c r="H157" s="48"/>
      <c r="I157" s="40"/>
      <c r="J157" s="41"/>
      <c r="K157" s="41"/>
      <c r="L15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7" s="42" t="str">
        <f>IF(tblProductos[[#This Row],[SKU]]="","",COUNTIF(tblEntradas[SKU],tblProductos[[#This Row],[SKU]])+COUNTIF(tblSalidas[SKU],tblProductos[[#This Row],[SKU]]))</f>
        <v/>
      </c>
      <c r="N15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8" spans="2:14" x14ac:dyDescent="0.25">
      <c r="B158" s="40"/>
      <c r="C158" s="40"/>
      <c r="D158" s="40"/>
      <c r="E158" s="41"/>
      <c r="F158" s="47"/>
      <c r="G158" s="47"/>
      <c r="H158" s="48"/>
      <c r="I158" s="40"/>
      <c r="J158" s="41"/>
      <c r="K158" s="41"/>
      <c r="L15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8" s="42" t="str">
        <f>IF(tblProductos[[#This Row],[SKU]]="","",COUNTIF(tblEntradas[SKU],tblProductos[[#This Row],[SKU]])+COUNTIF(tblSalidas[SKU],tblProductos[[#This Row],[SKU]]))</f>
        <v/>
      </c>
      <c r="N15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9" spans="2:14" x14ac:dyDescent="0.25">
      <c r="B159" s="40"/>
      <c r="C159" s="40"/>
      <c r="D159" s="40"/>
      <c r="E159" s="41"/>
      <c r="F159" s="47"/>
      <c r="G159" s="47"/>
      <c r="H159" s="48"/>
      <c r="I159" s="40"/>
      <c r="J159" s="41"/>
      <c r="K159" s="41"/>
      <c r="L15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9" s="42" t="str">
        <f>IF(tblProductos[[#This Row],[SKU]]="","",COUNTIF(tblEntradas[SKU],tblProductos[[#This Row],[SKU]])+COUNTIF(tblSalidas[SKU],tblProductos[[#This Row],[SKU]]))</f>
        <v/>
      </c>
      <c r="N15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0" spans="2:14" x14ac:dyDescent="0.25">
      <c r="B160" s="40"/>
      <c r="C160" s="40"/>
      <c r="D160" s="40"/>
      <c r="E160" s="41"/>
      <c r="F160" s="47"/>
      <c r="G160" s="47"/>
      <c r="H160" s="48"/>
      <c r="I160" s="40"/>
      <c r="J160" s="41"/>
      <c r="K160" s="41"/>
      <c r="L16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0" s="42" t="str">
        <f>IF(tblProductos[[#This Row],[SKU]]="","",COUNTIF(tblEntradas[SKU],tblProductos[[#This Row],[SKU]])+COUNTIF(tblSalidas[SKU],tblProductos[[#This Row],[SKU]]))</f>
        <v/>
      </c>
      <c r="N16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1" spans="2:14" x14ac:dyDescent="0.25">
      <c r="B161" s="40"/>
      <c r="C161" s="40"/>
      <c r="D161" s="40"/>
      <c r="E161" s="41"/>
      <c r="F161" s="47"/>
      <c r="G161" s="47"/>
      <c r="H161" s="48"/>
      <c r="I161" s="40"/>
      <c r="J161" s="41"/>
      <c r="K161" s="41"/>
      <c r="L16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1" s="42" t="str">
        <f>IF(tblProductos[[#This Row],[SKU]]="","",COUNTIF(tblEntradas[SKU],tblProductos[[#This Row],[SKU]])+COUNTIF(tblSalidas[SKU],tblProductos[[#This Row],[SKU]]))</f>
        <v/>
      </c>
      <c r="N16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2" spans="2:14" x14ac:dyDescent="0.25">
      <c r="B162" s="40"/>
      <c r="C162" s="40"/>
      <c r="D162" s="40"/>
      <c r="E162" s="41"/>
      <c r="F162" s="47"/>
      <c r="G162" s="47"/>
      <c r="H162" s="48"/>
      <c r="I162" s="40"/>
      <c r="J162" s="41"/>
      <c r="K162" s="41"/>
      <c r="L16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2" s="42" t="str">
        <f>IF(tblProductos[[#This Row],[SKU]]="","",COUNTIF(tblEntradas[SKU],tblProductos[[#This Row],[SKU]])+COUNTIF(tblSalidas[SKU],tblProductos[[#This Row],[SKU]]))</f>
        <v/>
      </c>
      <c r="N16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3" spans="2:14" x14ac:dyDescent="0.25">
      <c r="B163" s="40"/>
      <c r="C163" s="40"/>
      <c r="D163" s="40"/>
      <c r="E163" s="41"/>
      <c r="F163" s="47"/>
      <c r="G163" s="47"/>
      <c r="H163" s="48"/>
      <c r="I163" s="40"/>
      <c r="J163" s="41"/>
      <c r="K163" s="41"/>
      <c r="L16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3" s="42" t="str">
        <f>IF(tblProductos[[#This Row],[SKU]]="","",COUNTIF(tblEntradas[SKU],tblProductos[[#This Row],[SKU]])+COUNTIF(tblSalidas[SKU],tblProductos[[#This Row],[SKU]]))</f>
        <v/>
      </c>
      <c r="N16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4" spans="2:14" x14ac:dyDescent="0.25">
      <c r="B164" s="40"/>
      <c r="C164" s="40"/>
      <c r="D164" s="40"/>
      <c r="E164" s="41"/>
      <c r="F164" s="47"/>
      <c r="G164" s="47"/>
      <c r="H164" s="48"/>
      <c r="I164" s="40"/>
      <c r="J164" s="41"/>
      <c r="K164" s="41"/>
      <c r="L16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4" s="42" t="str">
        <f>IF(tblProductos[[#This Row],[SKU]]="","",COUNTIF(tblEntradas[SKU],tblProductos[[#This Row],[SKU]])+COUNTIF(tblSalidas[SKU],tblProductos[[#This Row],[SKU]]))</f>
        <v/>
      </c>
      <c r="N16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5" spans="2:14" x14ac:dyDescent="0.25">
      <c r="B165" s="40"/>
      <c r="C165" s="40"/>
      <c r="D165" s="40"/>
      <c r="E165" s="41"/>
      <c r="F165" s="47"/>
      <c r="G165" s="47"/>
      <c r="H165" s="48"/>
      <c r="I165" s="40"/>
      <c r="J165" s="41"/>
      <c r="K165" s="41"/>
      <c r="L16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5" s="42" t="str">
        <f>IF(tblProductos[[#This Row],[SKU]]="","",COUNTIF(tblEntradas[SKU],tblProductos[[#This Row],[SKU]])+COUNTIF(tblSalidas[SKU],tblProductos[[#This Row],[SKU]]))</f>
        <v/>
      </c>
      <c r="N16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6" spans="2:14" x14ac:dyDescent="0.25">
      <c r="B166" s="40"/>
      <c r="C166" s="40"/>
      <c r="D166" s="40"/>
      <c r="E166" s="41"/>
      <c r="F166" s="47"/>
      <c r="G166" s="47"/>
      <c r="H166" s="48"/>
      <c r="I166" s="40"/>
      <c r="J166" s="41"/>
      <c r="K166" s="41"/>
      <c r="L16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6" s="42" t="str">
        <f>IF(tblProductos[[#This Row],[SKU]]="","",COUNTIF(tblEntradas[SKU],tblProductos[[#This Row],[SKU]])+COUNTIF(tblSalidas[SKU],tblProductos[[#This Row],[SKU]]))</f>
        <v/>
      </c>
      <c r="N16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7" spans="2:14" x14ac:dyDescent="0.25">
      <c r="B167" s="40"/>
      <c r="C167" s="40"/>
      <c r="D167" s="40"/>
      <c r="E167" s="41"/>
      <c r="F167" s="47"/>
      <c r="G167" s="47"/>
      <c r="H167" s="48"/>
      <c r="I167" s="40"/>
      <c r="J167" s="41"/>
      <c r="K167" s="41"/>
      <c r="L16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7" s="42" t="str">
        <f>IF(tblProductos[[#This Row],[SKU]]="","",COUNTIF(tblEntradas[SKU],tblProductos[[#This Row],[SKU]])+COUNTIF(tblSalidas[SKU],tblProductos[[#This Row],[SKU]]))</f>
        <v/>
      </c>
      <c r="N16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8" spans="2:14" x14ac:dyDescent="0.25">
      <c r="B168" s="40"/>
      <c r="C168" s="40"/>
      <c r="D168" s="40"/>
      <c r="E168" s="41"/>
      <c r="F168" s="47"/>
      <c r="G168" s="47"/>
      <c r="H168" s="48"/>
      <c r="I168" s="40"/>
      <c r="J168" s="41"/>
      <c r="K168" s="41"/>
      <c r="L16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8" s="42" t="str">
        <f>IF(tblProductos[[#This Row],[SKU]]="","",COUNTIF(tblEntradas[SKU],tblProductos[[#This Row],[SKU]])+COUNTIF(tblSalidas[SKU],tblProductos[[#This Row],[SKU]]))</f>
        <v/>
      </c>
      <c r="N16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9" spans="2:14" x14ac:dyDescent="0.25">
      <c r="B169" s="40"/>
      <c r="C169" s="40"/>
      <c r="D169" s="40"/>
      <c r="E169" s="41"/>
      <c r="F169" s="47"/>
      <c r="G169" s="47"/>
      <c r="H169" s="48"/>
      <c r="I169" s="40"/>
      <c r="J169" s="41"/>
      <c r="K169" s="41"/>
      <c r="L16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9" s="42" t="str">
        <f>IF(tblProductos[[#This Row],[SKU]]="","",COUNTIF(tblEntradas[SKU],tblProductos[[#This Row],[SKU]])+COUNTIF(tblSalidas[SKU],tblProductos[[#This Row],[SKU]]))</f>
        <v/>
      </c>
      <c r="N16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0" spans="2:14" x14ac:dyDescent="0.25">
      <c r="B170" s="40"/>
      <c r="C170" s="40"/>
      <c r="D170" s="40"/>
      <c r="E170" s="41"/>
      <c r="F170" s="47"/>
      <c r="G170" s="47"/>
      <c r="H170" s="48"/>
      <c r="I170" s="40"/>
      <c r="J170" s="41"/>
      <c r="K170" s="41"/>
      <c r="L17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0" s="42" t="str">
        <f>IF(tblProductos[[#This Row],[SKU]]="","",COUNTIF(tblEntradas[SKU],tblProductos[[#This Row],[SKU]])+COUNTIF(tblSalidas[SKU],tblProductos[[#This Row],[SKU]]))</f>
        <v/>
      </c>
      <c r="N17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1" spans="2:14" x14ac:dyDescent="0.25">
      <c r="B171" s="40"/>
      <c r="C171" s="40"/>
      <c r="D171" s="40"/>
      <c r="E171" s="41"/>
      <c r="F171" s="47"/>
      <c r="G171" s="47"/>
      <c r="H171" s="48"/>
      <c r="I171" s="40"/>
      <c r="J171" s="41"/>
      <c r="K171" s="41"/>
      <c r="L17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1" s="42" t="str">
        <f>IF(tblProductos[[#This Row],[SKU]]="","",COUNTIF(tblEntradas[SKU],tblProductos[[#This Row],[SKU]])+COUNTIF(tblSalidas[SKU],tblProductos[[#This Row],[SKU]]))</f>
        <v/>
      </c>
      <c r="N17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2" spans="2:14" x14ac:dyDescent="0.25">
      <c r="B172" s="40"/>
      <c r="C172" s="40"/>
      <c r="D172" s="40"/>
      <c r="E172" s="41"/>
      <c r="F172" s="47"/>
      <c r="G172" s="47"/>
      <c r="H172" s="48"/>
      <c r="I172" s="40"/>
      <c r="J172" s="41"/>
      <c r="K172" s="41"/>
      <c r="L17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2" s="42" t="str">
        <f>IF(tblProductos[[#This Row],[SKU]]="","",COUNTIF(tblEntradas[SKU],tblProductos[[#This Row],[SKU]])+COUNTIF(tblSalidas[SKU],tblProductos[[#This Row],[SKU]]))</f>
        <v/>
      </c>
      <c r="N17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3" spans="2:14" x14ac:dyDescent="0.25">
      <c r="B173" s="40"/>
      <c r="C173" s="40"/>
      <c r="D173" s="40"/>
      <c r="E173" s="41"/>
      <c r="F173" s="47"/>
      <c r="G173" s="47"/>
      <c r="H173" s="48"/>
      <c r="I173" s="40"/>
      <c r="J173" s="41"/>
      <c r="K173" s="41"/>
      <c r="L17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3" s="42" t="str">
        <f>IF(tblProductos[[#This Row],[SKU]]="","",COUNTIF(tblEntradas[SKU],tblProductos[[#This Row],[SKU]])+COUNTIF(tblSalidas[SKU],tblProductos[[#This Row],[SKU]]))</f>
        <v/>
      </c>
      <c r="N17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4" spans="2:14" x14ac:dyDescent="0.25">
      <c r="B174" s="40"/>
      <c r="C174" s="40"/>
      <c r="D174" s="40"/>
      <c r="E174" s="41"/>
      <c r="F174" s="47"/>
      <c r="G174" s="47"/>
      <c r="H174" s="48"/>
      <c r="I174" s="40"/>
      <c r="J174" s="41"/>
      <c r="K174" s="41"/>
      <c r="L17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4" s="42" t="str">
        <f>IF(tblProductos[[#This Row],[SKU]]="","",COUNTIF(tblEntradas[SKU],tblProductos[[#This Row],[SKU]])+COUNTIF(tblSalidas[SKU],tblProductos[[#This Row],[SKU]]))</f>
        <v/>
      </c>
      <c r="N17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5" spans="2:14" x14ac:dyDescent="0.25">
      <c r="B175" s="40"/>
      <c r="C175" s="40"/>
      <c r="D175" s="40"/>
      <c r="E175" s="41"/>
      <c r="F175" s="47"/>
      <c r="G175" s="47"/>
      <c r="H175" s="48"/>
      <c r="I175" s="40"/>
      <c r="J175" s="41"/>
      <c r="K175" s="41"/>
      <c r="L17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5" s="42" t="str">
        <f>IF(tblProductos[[#This Row],[SKU]]="","",COUNTIF(tblEntradas[SKU],tblProductos[[#This Row],[SKU]])+COUNTIF(tblSalidas[SKU],tblProductos[[#This Row],[SKU]]))</f>
        <v/>
      </c>
      <c r="N17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6" spans="2:14" x14ac:dyDescent="0.25">
      <c r="B176" s="40"/>
      <c r="C176" s="40"/>
      <c r="D176" s="40"/>
      <c r="E176" s="41"/>
      <c r="F176" s="47"/>
      <c r="G176" s="47"/>
      <c r="H176" s="48"/>
      <c r="I176" s="40"/>
      <c r="J176" s="41"/>
      <c r="K176" s="41"/>
      <c r="L17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6" s="42" t="str">
        <f>IF(tblProductos[[#This Row],[SKU]]="","",COUNTIF(tblEntradas[SKU],tblProductos[[#This Row],[SKU]])+COUNTIF(tblSalidas[SKU],tblProductos[[#This Row],[SKU]]))</f>
        <v/>
      </c>
      <c r="N17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7" spans="2:14" x14ac:dyDescent="0.25">
      <c r="B177" s="40"/>
      <c r="C177" s="40"/>
      <c r="D177" s="40"/>
      <c r="E177" s="41"/>
      <c r="F177" s="47"/>
      <c r="G177" s="47"/>
      <c r="H177" s="48"/>
      <c r="I177" s="40"/>
      <c r="J177" s="41"/>
      <c r="K177" s="41"/>
      <c r="L17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7" s="42" t="str">
        <f>IF(tblProductos[[#This Row],[SKU]]="","",COUNTIF(tblEntradas[SKU],tblProductos[[#This Row],[SKU]])+COUNTIF(tblSalidas[SKU],tblProductos[[#This Row],[SKU]]))</f>
        <v/>
      </c>
      <c r="N17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8" spans="2:14" x14ac:dyDescent="0.25">
      <c r="B178" s="40"/>
      <c r="C178" s="40"/>
      <c r="D178" s="40"/>
      <c r="E178" s="41"/>
      <c r="F178" s="47"/>
      <c r="G178" s="47"/>
      <c r="H178" s="48"/>
      <c r="I178" s="40"/>
      <c r="J178" s="41"/>
      <c r="K178" s="41"/>
      <c r="L17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8" s="42" t="str">
        <f>IF(tblProductos[[#This Row],[SKU]]="","",COUNTIF(tblEntradas[SKU],tblProductos[[#This Row],[SKU]])+COUNTIF(tblSalidas[SKU],tblProductos[[#This Row],[SKU]]))</f>
        <v/>
      </c>
      <c r="N17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9" spans="2:14" x14ac:dyDescent="0.25">
      <c r="B179" s="40"/>
      <c r="C179" s="40"/>
      <c r="D179" s="40"/>
      <c r="E179" s="41"/>
      <c r="F179" s="47"/>
      <c r="G179" s="47"/>
      <c r="H179" s="48"/>
      <c r="I179" s="40"/>
      <c r="J179" s="41"/>
      <c r="K179" s="41"/>
      <c r="L17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9" s="42" t="str">
        <f>IF(tblProductos[[#This Row],[SKU]]="","",COUNTIF(tblEntradas[SKU],tblProductos[[#This Row],[SKU]])+COUNTIF(tblSalidas[SKU],tblProductos[[#This Row],[SKU]]))</f>
        <v/>
      </c>
      <c r="N17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0" spans="2:14" x14ac:dyDescent="0.25">
      <c r="B180" s="40"/>
      <c r="C180" s="40"/>
      <c r="D180" s="40"/>
      <c r="E180" s="41"/>
      <c r="F180" s="47"/>
      <c r="G180" s="47"/>
      <c r="H180" s="48"/>
      <c r="I180" s="40"/>
      <c r="J180" s="41"/>
      <c r="K180" s="41"/>
      <c r="L18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0" s="42" t="str">
        <f>IF(tblProductos[[#This Row],[SKU]]="","",COUNTIF(tblEntradas[SKU],tblProductos[[#This Row],[SKU]])+COUNTIF(tblSalidas[SKU],tblProductos[[#This Row],[SKU]]))</f>
        <v/>
      </c>
      <c r="N18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1" spans="2:14" x14ac:dyDescent="0.25">
      <c r="B181" s="40"/>
      <c r="C181" s="40"/>
      <c r="D181" s="40"/>
      <c r="E181" s="41"/>
      <c r="F181" s="47"/>
      <c r="G181" s="47"/>
      <c r="H181" s="48"/>
      <c r="I181" s="40"/>
      <c r="J181" s="41"/>
      <c r="K181" s="41"/>
      <c r="L18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1" s="42" t="str">
        <f>IF(tblProductos[[#This Row],[SKU]]="","",COUNTIF(tblEntradas[SKU],tblProductos[[#This Row],[SKU]])+COUNTIF(tblSalidas[SKU],tblProductos[[#This Row],[SKU]]))</f>
        <v/>
      </c>
      <c r="N18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2" spans="2:14" x14ac:dyDescent="0.25">
      <c r="B182" s="40"/>
      <c r="C182" s="40"/>
      <c r="D182" s="40"/>
      <c r="E182" s="41"/>
      <c r="F182" s="47"/>
      <c r="G182" s="47"/>
      <c r="H182" s="48"/>
      <c r="I182" s="40"/>
      <c r="J182" s="41"/>
      <c r="K182" s="41"/>
      <c r="L18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2" s="42" t="str">
        <f>IF(tblProductos[[#This Row],[SKU]]="","",COUNTIF(tblEntradas[SKU],tblProductos[[#This Row],[SKU]])+COUNTIF(tblSalidas[SKU],tblProductos[[#This Row],[SKU]]))</f>
        <v/>
      </c>
      <c r="N18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3" spans="2:14" x14ac:dyDescent="0.25">
      <c r="B183" s="40"/>
      <c r="C183" s="40"/>
      <c r="D183" s="40"/>
      <c r="E183" s="41"/>
      <c r="F183" s="47"/>
      <c r="G183" s="47"/>
      <c r="H183" s="48"/>
      <c r="I183" s="40"/>
      <c r="J183" s="41"/>
      <c r="K183" s="41"/>
      <c r="L18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3" s="42" t="str">
        <f>IF(tblProductos[[#This Row],[SKU]]="","",COUNTIF(tblEntradas[SKU],tblProductos[[#This Row],[SKU]])+COUNTIF(tblSalidas[SKU],tblProductos[[#This Row],[SKU]]))</f>
        <v/>
      </c>
      <c r="N18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4" spans="2:14" x14ac:dyDescent="0.25">
      <c r="B184" s="40"/>
      <c r="C184" s="40"/>
      <c r="D184" s="40"/>
      <c r="E184" s="41"/>
      <c r="F184" s="47"/>
      <c r="G184" s="47"/>
      <c r="H184" s="48"/>
      <c r="I184" s="40"/>
      <c r="J184" s="41"/>
      <c r="K184" s="41"/>
      <c r="L18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4" s="42" t="str">
        <f>IF(tblProductos[[#This Row],[SKU]]="","",COUNTIF(tblEntradas[SKU],tblProductos[[#This Row],[SKU]])+COUNTIF(tblSalidas[SKU],tblProductos[[#This Row],[SKU]]))</f>
        <v/>
      </c>
      <c r="N18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5" spans="2:14" x14ac:dyDescent="0.25">
      <c r="B185" s="40"/>
      <c r="C185" s="40"/>
      <c r="D185" s="40"/>
      <c r="E185" s="41"/>
      <c r="F185" s="47"/>
      <c r="G185" s="47"/>
      <c r="H185" s="48"/>
      <c r="I185" s="40"/>
      <c r="J185" s="41"/>
      <c r="K185" s="41"/>
      <c r="L18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5" s="42" t="str">
        <f>IF(tblProductos[[#This Row],[SKU]]="","",COUNTIF(tblEntradas[SKU],tblProductos[[#This Row],[SKU]])+COUNTIF(tblSalidas[SKU],tblProductos[[#This Row],[SKU]]))</f>
        <v/>
      </c>
      <c r="N18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6" spans="2:14" x14ac:dyDescent="0.25">
      <c r="B186" s="40"/>
      <c r="C186" s="40"/>
      <c r="D186" s="40"/>
      <c r="E186" s="41"/>
      <c r="F186" s="47"/>
      <c r="G186" s="47"/>
      <c r="H186" s="48"/>
      <c r="I186" s="40"/>
      <c r="J186" s="41"/>
      <c r="K186" s="41"/>
      <c r="L18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6" s="42" t="str">
        <f>IF(tblProductos[[#This Row],[SKU]]="","",COUNTIF(tblEntradas[SKU],tblProductos[[#This Row],[SKU]])+COUNTIF(tblSalidas[SKU],tblProductos[[#This Row],[SKU]]))</f>
        <v/>
      </c>
      <c r="N18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7" spans="2:14" x14ac:dyDescent="0.25">
      <c r="B187" s="40"/>
      <c r="C187" s="40"/>
      <c r="D187" s="40"/>
      <c r="E187" s="41"/>
      <c r="F187" s="47"/>
      <c r="G187" s="47"/>
      <c r="H187" s="48"/>
      <c r="I187" s="40"/>
      <c r="J187" s="41"/>
      <c r="K187" s="41"/>
      <c r="L18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7" s="42" t="str">
        <f>IF(tblProductos[[#This Row],[SKU]]="","",COUNTIF(tblEntradas[SKU],tblProductos[[#This Row],[SKU]])+COUNTIF(tblSalidas[SKU],tblProductos[[#This Row],[SKU]]))</f>
        <v/>
      </c>
      <c r="N18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8" spans="2:14" x14ac:dyDescent="0.25">
      <c r="B188" s="40"/>
      <c r="C188" s="40"/>
      <c r="D188" s="40"/>
      <c r="E188" s="41"/>
      <c r="F188" s="47"/>
      <c r="G188" s="47"/>
      <c r="H188" s="48"/>
      <c r="I188" s="40"/>
      <c r="J188" s="41"/>
      <c r="K188" s="41"/>
      <c r="L18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8" s="42" t="str">
        <f>IF(tblProductos[[#This Row],[SKU]]="","",COUNTIF(tblEntradas[SKU],tblProductos[[#This Row],[SKU]])+COUNTIF(tblSalidas[SKU],tblProductos[[#This Row],[SKU]]))</f>
        <v/>
      </c>
      <c r="N18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9" spans="2:14" x14ac:dyDescent="0.25">
      <c r="B189" s="40"/>
      <c r="C189" s="40"/>
      <c r="D189" s="40"/>
      <c r="E189" s="41"/>
      <c r="F189" s="47"/>
      <c r="G189" s="47"/>
      <c r="H189" s="48"/>
      <c r="I189" s="40"/>
      <c r="J189" s="41"/>
      <c r="K189" s="41"/>
      <c r="L18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9" s="42" t="str">
        <f>IF(tblProductos[[#This Row],[SKU]]="","",COUNTIF(tblEntradas[SKU],tblProductos[[#This Row],[SKU]])+COUNTIF(tblSalidas[SKU],tblProductos[[#This Row],[SKU]]))</f>
        <v/>
      </c>
      <c r="N18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0" spans="2:14" x14ac:dyDescent="0.25">
      <c r="B190" s="40"/>
      <c r="C190" s="40"/>
      <c r="D190" s="40"/>
      <c r="E190" s="41"/>
      <c r="F190" s="47"/>
      <c r="G190" s="47"/>
      <c r="H190" s="48"/>
      <c r="I190" s="40"/>
      <c r="J190" s="41"/>
      <c r="K190" s="41"/>
      <c r="L19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0" s="42" t="str">
        <f>IF(tblProductos[[#This Row],[SKU]]="","",COUNTIF(tblEntradas[SKU],tblProductos[[#This Row],[SKU]])+COUNTIF(tblSalidas[SKU],tblProductos[[#This Row],[SKU]]))</f>
        <v/>
      </c>
      <c r="N19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1" spans="2:14" x14ac:dyDescent="0.25">
      <c r="B191" s="40"/>
      <c r="C191" s="40"/>
      <c r="D191" s="40"/>
      <c r="E191" s="41"/>
      <c r="F191" s="47"/>
      <c r="G191" s="47"/>
      <c r="H191" s="48"/>
      <c r="I191" s="40"/>
      <c r="J191" s="41"/>
      <c r="K191" s="41"/>
      <c r="L19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1" s="42" t="str">
        <f>IF(tblProductos[[#This Row],[SKU]]="","",COUNTIF(tblEntradas[SKU],tblProductos[[#This Row],[SKU]])+COUNTIF(tblSalidas[SKU],tblProductos[[#This Row],[SKU]]))</f>
        <v/>
      </c>
      <c r="N19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2" spans="2:14" x14ac:dyDescent="0.25">
      <c r="B192" s="40"/>
      <c r="C192" s="40"/>
      <c r="D192" s="40"/>
      <c r="E192" s="41"/>
      <c r="F192" s="47"/>
      <c r="G192" s="47"/>
      <c r="H192" s="48"/>
      <c r="I192" s="40"/>
      <c r="J192" s="41"/>
      <c r="K192" s="41"/>
      <c r="L19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2" s="42" t="str">
        <f>IF(tblProductos[[#This Row],[SKU]]="","",COUNTIF(tblEntradas[SKU],tblProductos[[#This Row],[SKU]])+COUNTIF(tblSalidas[SKU],tblProductos[[#This Row],[SKU]]))</f>
        <v/>
      </c>
      <c r="N19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3" spans="2:14" x14ac:dyDescent="0.25">
      <c r="B193" s="40"/>
      <c r="C193" s="40"/>
      <c r="D193" s="40"/>
      <c r="E193" s="41"/>
      <c r="F193" s="47"/>
      <c r="G193" s="47"/>
      <c r="H193" s="48"/>
      <c r="I193" s="40"/>
      <c r="J193" s="41"/>
      <c r="K193" s="41"/>
      <c r="L19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3" s="42" t="str">
        <f>IF(tblProductos[[#This Row],[SKU]]="","",COUNTIF(tblEntradas[SKU],tblProductos[[#This Row],[SKU]])+COUNTIF(tblSalidas[SKU],tblProductos[[#This Row],[SKU]]))</f>
        <v/>
      </c>
      <c r="N19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4" spans="2:14" x14ac:dyDescent="0.25">
      <c r="B194" s="40"/>
      <c r="C194" s="40"/>
      <c r="D194" s="40"/>
      <c r="E194" s="41"/>
      <c r="F194" s="47"/>
      <c r="G194" s="47"/>
      <c r="H194" s="48"/>
      <c r="I194" s="40"/>
      <c r="J194" s="41"/>
      <c r="K194" s="41"/>
      <c r="L19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4" s="42" t="str">
        <f>IF(tblProductos[[#This Row],[SKU]]="","",COUNTIF(tblEntradas[SKU],tblProductos[[#This Row],[SKU]])+COUNTIF(tblSalidas[SKU],tblProductos[[#This Row],[SKU]]))</f>
        <v/>
      </c>
      <c r="N19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5" spans="2:14" x14ac:dyDescent="0.25">
      <c r="B195" s="40"/>
      <c r="C195" s="40"/>
      <c r="D195" s="40"/>
      <c r="E195" s="41"/>
      <c r="F195" s="47"/>
      <c r="G195" s="47"/>
      <c r="H195" s="48"/>
      <c r="I195" s="40"/>
      <c r="J195" s="41"/>
      <c r="K195" s="41"/>
      <c r="L19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5" s="42" t="str">
        <f>IF(tblProductos[[#This Row],[SKU]]="","",COUNTIF(tblEntradas[SKU],tblProductos[[#This Row],[SKU]])+COUNTIF(tblSalidas[SKU],tblProductos[[#This Row],[SKU]]))</f>
        <v/>
      </c>
      <c r="N19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6" spans="2:14" x14ac:dyDescent="0.25">
      <c r="B196" s="40"/>
      <c r="C196" s="40"/>
      <c r="D196" s="40"/>
      <c r="E196" s="41"/>
      <c r="F196" s="47"/>
      <c r="G196" s="47"/>
      <c r="H196" s="48"/>
      <c r="I196" s="40"/>
      <c r="J196" s="41"/>
      <c r="K196" s="41"/>
      <c r="L19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6" s="42" t="str">
        <f>IF(tblProductos[[#This Row],[SKU]]="","",COUNTIF(tblEntradas[SKU],tblProductos[[#This Row],[SKU]])+COUNTIF(tblSalidas[SKU],tblProductos[[#This Row],[SKU]]))</f>
        <v/>
      </c>
      <c r="N19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7" spans="2:14" x14ac:dyDescent="0.25">
      <c r="B197" s="40"/>
      <c r="C197" s="40"/>
      <c r="D197" s="40"/>
      <c r="E197" s="41"/>
      <c r="F197" s="47"/>
      <c r="G197" s="47"/>
      <c r="H197" s="48"/>
      <c r="I197" s="40"/>
      <c r="J197" s="41"/>
      <c r="K197" s="41"/>
      <c r="L19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7" s="42" t="str">
        <f>IF(tblProductos[[#This Row],[SKU]]="","",COUNTIF(tblEntradas[SKU],tblProductos[[#This Row],[SKU]])+COUNTIF(tblSalidas[SKU],tblProductos[[#This Row],[SKU]]))</f>
        <v/>
      </c>
      <c r="N19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8" spans="2:14" x14ac:dyDescent="0.25">
      <c r="B198" s="40"/>
      <c r="C198" s="40"/>
      <c r="D198" s="40"/>
      <c r="E198" s="41"/>
      <c r="F198" s="47"/>
      <c r="G198" s="47"/>
      <c r="H198" s="48"/>
      <c r="I198" s="40"/>
      <c r="J198" s="41"/>
      <c r="K198" s="41"/>
      <c r="L19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8" s="42" t="str">
        <f>IF(tblProductos[[#This Row],[SKU]]="","",COUNTIF(tblEntradas[SKU],tblProductos[[#This Row],[SKU]])+COUNTIF(tblSalidas[SKU],tblProductos[[#This Row],[SKU]]))</f>
        <v/>
      </c>
      <c r="N19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9" spans="2:14" x14ac:dyDescent="0.25">
      <c r="B199" s="40"/>
      <c r="C199" s="40"/>
      <c r="D199" s="40"/>
      <c r="E199" s="41"/>
      <c r="F199" s="47"/>
      <c r="G199" s="47"/>
      <c r="H199" s="48"/>
      <c r="I199" s="40"/>
      <c r="J199" s="41"/>
      <c r="K199" s="41"/>
      <c r="L19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9" s="42" t="str">
        <f>IF(tblProductos[[#This Row],[SKU]]="","",COUNTIF(tblEntradas[SKU],tblProductos[[#This Row],[SKU]])+COUNTIF(tblSalidas[SKU],tblProductos[[#This Row],[SKU]]))</f>
        <v/>
      </c>
      <c r="N19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0" spans="2:14" x14ac:dyDescent="0.25">
      <c r="B200" s="40"/>
      <c r="C200" s="40"/>
      <c r="D200" s="40"/>
      <c r="E200" s="41"/>
      <c r="F200" s="47"/>
      <c r="G200" s="47"/>
      <c r="H200" s="48"/>
      <c r="I200" s="40"/>
      <c r="J200" s="41"/>
      <c r="K200" s="41"/>
      <c r="L20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0" s="42" t="str">
        <f>IF(tblProductos[[#This Row],[SKU]]="","",COUNTIF(tblEntradas[SKU],tblProductos[[#This Row],[SKU]])+COUNTIF(tblSalidas[SKU],tblProductos[[#This Row],[SKU]]))</f>
        <v/>
      </c>
      <c r="N20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1" spans="2:14" x14ac:dyDescent="0.25">
      <c r="B201" s="40"/>
      <c r="C201" s="40"/>
      <c r="D201" s="40"/>
      <c r="E201" s="41"/>
      <c r="F201" s="47"/>
      <c r="G201" s="47"/>
      <c r="H201" s="48"/>
      <c r="I201" s="40"/>
      <c r="J201" s="41"/>
      <c r="K201" s="41"/>
      <c r="L20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1" s="42" t="str">
        <f>IF(tblProductos[[#This Row],[SKU]]="","",COUNTIF(tblEntradas[SKU],tblProductos[[#This Row],[SKU]])+COUNTIF(tblSalidas[SKU],tblProductos[[#This Row],[SKU]]))</f>
        <v/>
      </c>
      <c r="N20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2" spans="2:14" x14ac:dyDescent="0.25">
      <c r="B202" s="40"/>
      <c r="C202" s="40"/>
      <c r="D202" s="40"/>
      <c r="E202" s="41"/>
      <c r="F202" s="47"/>
      <c r="G202" s="47"/>
      <c r="H202" s="48"/>
      <c r="I202" s="40"/>
      <c r="J202" s="41"/>
      <c r="K202" s="41"/>
      <c r="L20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2" s="42" t="str">
        <f>IF(tblProductos[[#This Row],[SKU]]="","",COUNTIF(tblEntradas[SKU],tblProductos[[#This Row],[SKU]])+COUNTIF(tblSalidas[SKU],tblProductos[[#This Row],[SKU]]))</f>
        <v/>
      </c>
      <c r="N20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3" spans="2:14" x14ac:dyDescent="0.25">
      <c r="B203" s="40"/>
      <c r="C203" s="40"/>
      <c r="D203" s="40"/>
      <c r="E203" s="41"/>
      <c r="F203" s="47"/>
      <c r="G203" s="47"/>
      <c r="H203" s="48"/>
      <c r="I203" s="40"/>
      <c r="J203" s="41"/>
      <c r="K203" s="41"/>
      <c r="L20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3" s="42" t="str">
        <f>IF(tblProductos[[#This Row],[SKU]]="","",COUNTIF(tblEntradas[SKU],tblProductos[[#This Row],[SKU]])+COUNTIF(tblSalidas[SKU],tblProductos[[#This Row],[SKU]]))</f>
        <v/>
      </c>
      <c r="N20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4" spans="2:14" x14ac:dyDescent="0.25">
      <c r="B204" s="40"/>
      <c r="C204" s="40"/>
      <c r="D204" s="40"/>
      <c r="E204" s="41"/>
      <c r="F204" s="47"/>
      <c r="G204" s="47"/>
      <c r="H204" s="48"/>
      <c r="I204" s="40"/>
      <c r="J204" s="41"/>
      <c r="K204" s="41"/>
      <c r="L20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4" s="42" t="str">
        <f>IF(tblProductos[[#This Row],[SKU]]="","",COUNTIF(tblEntradas[SKU],tblProductos[[#This Row],[SKU]])+COUNTIF(tblSalidas[SKU],tblProductos[[#This Row],[SKU]]))</f>
        <v/>
      </c>
      <c r="N20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5" spans="2:14" x14ac:dyDescent="0.25">
      <c r="B205" s="40"/>
      <c r="C205" s="40"/>
      <c r="D205" s="40"/>
      <c r="E205" s="41"/>
      <c r="F205" s="47"/>
      <c r="G205" s="47"/>
      <c r="H205" s="48"/>
      <c r="I205" s="40"/>
      <c r="J205" s="41"/>
      <c r="K205" s="41"/>
      <c r="L20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5" s="42" t="str">
        <f>IF(tblProductos[[#This Row],[SKU]]="","",COUNTIF(tblEntradas[SKU],tblProductos[[#This Row],[SKU]])+COUNTIF(tblSalidas[SKU],tblProductos[[#This Row],[SKU]]))</f>
        <v/>
      </c>
      <c r="N20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6" spans="2:14" x14ac:dyDescent="0.25">
      <c r="B206" s="40"/>
      <c r="C206" s="40"/>
      <c r="D206" s="40"/>
      <c r="E206" s="41"/>
      <c r="F206" s="47"/>
      <c r="G206" s="47"/>
      <c r="H206" s="48"/>
      <c r="I206" s="40"/>
      <c r="J206" s="41"/>
      <c r="K206" s="41"/>
      <c r="L20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6" s="42" t="str">
        <f>IF(tblProductos[[#This Row],[SKU]]="","",COUNTIF(tblEntradas[SKU],tblProductos[[#This Row],[SKU]])+COUNTIF(tblSalidas[SKU],tblProductos[[#This Row],[SKU]]))</f>
        <v/>
      </c>
      <c r="N20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7" spans="2:14" x14ac:dyDescent="0.25">
      <c r="B207" s="40"/>
      <c r="C207" s="40"/>
      <c r="D207" s="40"/>
      <c r="E207" s="41"/>
      <c r="F207" s="47"/>
      <c r="G207" s="47"/>
      <c r="H207" s="48"/>
      <c r="I207" s="40"/>
      <c r="J207" s="41"/>
      <c r="K207" s="41"/>
      <c r="L20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7" s="42" t="str">
        <f>IF(tblProductos[[#This Row],[SKU]]="","",COUNTIF(tblEntradas[SKU],tblProductos[[#This Row],[SKU]])+COUNTIF(tblSalidas[SKU],tblProductos[[#This Row],[SKU]]))</f>
        <v/>
      </c>
      <c r="N20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8" spans="2:14" x14ac:dyDescent="0.25">
      <c r="B208" s="40"/>
      <c r="C208" s="40"/>
      <c r="D208" s="40"/>
      <c r="E208" s="41"/>
      <c r="F208" s="47"/>
      <c r="G208" s="47"/>
      <c r="H208" s="48"/>
      <c r="I208" s="40"/>
      <c r="J208" s="41"/>
      <c r="K208" s="41"/>
      <c r="L20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8" s="42" t="str">
        <f>IF(tblProductos[[#This Row],[SKU]]="","",COUNTIF(tblEntradas[SKU],tblProductos[[#This Row],[SKU]])+COUNTIF(tblSalidas[SKU],tblProductos[[#This Row],[SKU]]))</f>
        <v/>
      </c>
      <c r="N20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9" spans="2:14" x14ac:dyDescent="0.25">
      <c r="B209" s="40"/>
      <c r="C209" s="40"/>
      <c r="D209" s="40"/>
      <c r="E209" s="41"/>
      <c r="F209" s="47"/>
      <c r="G209" s="47"/>
      <c r="H209" s="48"/>
      <c r="I209" s="40"/>
      <c r="J209" s="41"/>
      <c r="K209" s="41"/>
      <c r="L20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9" s="42" t="str">
        <f>IF(tblProductos[[#This Row],[SKU]]="","",COUNTIF(tblEntradas[SKU],tblProductos[[#This Row],[SKU]])+COUNTIF(tblSalidas[SKU],tblProductos[[#This Row],[SKU]]))</f>
        <v/>
      </c>
      <c r="N20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0" spans="2:14" x14ac:dyDescent="0.25">
      <c r="B210" s="40"/>
      <c r="C210" s="40"/>
      <c r="D210" s="40"/>
      <c r="E210" s="41"/>
      <c r="F210" s="47"/>
      <c r="G210" s="47"/>
      <c r="H210" s="48"/>
      <c r="I210" s="40"/>
      <c r="J210" s="41"/>
      <c r="K210" s="41"/>
      <c r="L21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0" s="42" t="str">
        <f>IF(tblProductos[[#This Row],[SKU]]="","",COUNTIF(tblEntradas[SKU],tblProductos[[#This Row],[SKU]])+COUNTIF(tblSalidas[SKU],tblProductos[[#This Row],[SKU]]))</f>
        <v/>
      </c>
      <c r="N21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1" spans="2:14" x14ac:dyDescent="0.25">
      <c r="B211" s="40"/>
      <c r="C211" s="40"/>
      <c r="D211" s="40"/>
      <c r="E211" s="41"/>
      <c r="F211" s="47"/>
      <c r="G211" s="47"/>
      <c r="H211" s="48"/>
      <c r="I211" s="40"/>
      <c r="J211" s="41"/>
      <c r="K211" s="41"/>
      <c r="L21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1" s="42" t="str">
        <f>IF(tblProductos[[#This Row],[SKU]]="","",COUNTIF(tblEntradas[SKU],tblProductos[[#This Row],[SKU]])+COUNTIF(tblSalidas[SKU],tblProductos[[#This Row],[SKU]]))</f>
        <v/>
      </c>
      <c r="N21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2" spans="2:14" x14ac:dyDescent="0.25">
      <c r="B212" s="40"/>
      <c r="C212" s="40"/>
      <c r="D212" s="40"/>
      <c r="E212" s="41"/>
      <c r="F212" s="47"/>
      <c r="G212" s="47"/>
      <c r="H212" s="48"/>
      <c r="I212" s="40"/>
      <c r="J212" s="41"/>
      <c r="K212" s="41"/>
      <c r="L21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2" s="42" t="str">
        <f>IF(tblProductos[[#This Row],[SKU]]="","",COUNTIF(tblEntradas[SKU],tblProductos[[#This Row],[SKU]])+COUNTIF(tblSalidas[SKU],tblProductos[[#This Row],[SKU]]))</f>
        <v/>
      </c>
      <c r="N21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3" spans="2:14" x14ac:dyDescent="0.25">
      <c r="B213" s="40"/>
      <c r="C213" s="40"/>
      <c r="D213" s="40"/>
      <c r="E213" s="41"/>
      <c r="F213" s="47"/>
      <c r="G213" s="47"/>
      <c r="H213" s="48"/>
      <c r="I213" s="40"/>
      <c r="J213" s="41"/>
      <c r="K213" s="41"/>
      <c r="L21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3" s="42" t="str">
        <f>IF(tblProductos[[#This Row],[SKU]]="","",COUNTIF(tblEntradas[SKU],tblProductos[[#This Row],[SKU]])+COUNTIF(tblSalidas[SKU],tblProductos[[#This Row],[SKU]]))</f>
        <v/>
      </c>
      <c r="N21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4" spans="2:14" x14ac:dyDescent="0.25">
      <c r="B214" s="40"/>
      <c r="C214" s="40"/>
      <c r="D214" s="40"/>
      <c r="E214" s="41"/>
      <c r="F214" s="47"/>
      <c r="G214" s="47"/>
      <c r="H214" s="48"/>
      <c r="I214" s="40"/>
      <c r="J214" s="41"/>
      <c r="K214" s="41"/>
      <c r="L21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4" s="42" t="str">
        <f>IF(tblProductos[[#This Row],[SKU]]="","",COUNTIF(tblEntradas[SKU],tblProductos[[#This Row],[SKU]])+COUNTIF(tblSalidas[SKU],tblProductos[[#This Row],[SKU]]))</f>
        <v/>
      </c>
      <c r="N21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5" spans="2:14" x14ac:dyDescent="0.25">
      <c r="B215" s="40"/>
      <c r="C215" s="40"/>
      <c r="D215" s="40"/>
      <c r="E215" s="41"/>
      <c r="F215" s="47"/>
      <c r="G215" s="47"/>
      <c r="H215" s="48"/>
      <c r="I215" s="40"/>
      <c r="J215" s="41"/>
      <c r="K215" s="41"/>
      <c r="L21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5" s="42" t="str">
        <f>IF(tblProductos[[#This Row],[SKU]]="","",COUNTIF(tblEntradas[SKU],tblProductos[[#This Row],[SKU]])+COUNTIF(tblSalidas[SKU],tblProductos[[#This Row],[SKU]]))</f>
        <v/>
      </c>
      <c r="N21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6" spans="2:14" x14ac:dyDescent="0.25">
      <c r="B216" s="40"/>
      <c r="C216" s="40"/>
      <c r="D216" s="40"/>
      <c r="E216" s="41"/>
      <c r="F216" s="47"/>
      <c r="G216" s="47"/>
      <c r="H216" s="48"/>
      <c r="I216" s="40"/>
      <c r="J216" s="41"/>
      <c r="K216" s="41"/>
      <c r="L21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6" s="42" t="str">
        <f>IF(tblProductos[[#This Row],[SKU]]="","",COUNTIF(tblEntradas[SKU],tblProductos[[#This Row],[SKU]])+COUNTIF(tblSalidas[SKU],tblProductos[[#This Row],[SKU]]))</f>
        <v/>
      </c>
      <c r="N21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7" spans="2:14" x14ac:dyDescent="0.25">
      <c r="B217" s="40"/>
      <c r="C217" s="40"/>
      <c r="D217" s="40"/>
      <c r="E217" s="41"/>
      <c r="F217" s="47"/>
      <c r="G217" s="47"/>
      <c r="H217" s="48"/>
      <c r="I217" s="40"/>
      <c r="J217" s="41"/>
      <c r="K217" s="41"/>
      <c r="L21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7" s="42" t="str">
        <f>IF(tblProductos[[#This Row],[SKU]]="","",COUNTIF(tblEntradas[SKU],tblProductos[[#This Row],[SKU]])+COUNTIF(tblSalidas[SKU],tblProductos[[#This Row],[SKU]]))</f>
        <v/>
      </c>
      <c r="N21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8" spans="2:14" x14ac:dyDescent="0.25">
      <c r="B218" s="40"/>
      <c r="C218" s="40"/>
      <c r="D218" s="40"/>
      <c r="E218" s="41"/>
      <c r="F218" s="47"/>
      <c r="G218" s="47"/>
      <c r="H218" s="48"/>
      <c r="I218" s="40"/>
      <c r="J218" s="41"/>
      <c r="K218" s="41"/>
      <c r="L21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8" s="42" t="str">
        <f>IF(tblProductos[[#This Row],[SKU]]="","",COUNTIF(tblEntradas[SKU],tblProductos[[#This Row],[SKU]])+COUNTIF(tblSalidas[SKU],tblProductos[[#This Row],[SKU]]))</f>
        <v/>
      </c>
      <c r="N21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9" spans="2:14" x14ac:dyDescent="0.25">
      <c r="B219" s="40"/>
      <c r="C219" s="40"/>
      <c r="D219" s="40"/>
      <c r="E219" s="41"/>
      <c r="F219" s="47"/>
      <c r="G219" s="47"/>
      <c r="H219" s="48"/>
      <c r="I219" s="40"/>
      <c r="J219" s="41"/>
      <c r="K219" s="41"/>
      <c r="L21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9" s="42" t="str">
        <f>IF(tblProductos[[#This Row],[SKU]]="","",COUNTIF(tblEntradas[SKU],tblProductos[[#This Row],[SKU]])+COUNTIF(tblSalidas[SKU],tblProductos[[#This Row],[SKU]]))</f>
        <v/>
      </c>
      <c r="N21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0" spans="2:14" x14ac:dyDescent="0.25">
      <c r="B220" s="40"/>
      <c r="C220" s="40"/>
      <c r="D220" s="40"/>
      <c r="E220" s="41"/>
      <c r="F220" s="47"/>
      <c r="G220" s="47"/>
      <c r="H220" s="48"/>
      <c r="I220" s="40"/>
      <c r="J220" s="41"/>
      <c r="K220" s="41"/>
      <c r="L22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0" s="42" t="str">
        <f>IF(tblProductos[[#This Row],[SKU]]="","",COUNTIF(tblEntradas[SKU],tblProductos[[#This Row],[SKU]])+COUNTIF(tblSalidas[SKU],tblProductos[[#This Row],[SKU]]))</f>
        <v/>
      </c>
      <c r="N22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1" spans="2:14" x14ac:dyDescent="0.25">
      <c r="B221" s="40"/>
      <c r="C221" s="40"/>
      <c r="D221" s="40"/>
      <c r="E221" s="41"/>
      <c r="F221" s="47"/>
      <c r="G221" s="47"/>
      <c r="H221" s="48"/>
      <c r="I221" s="40"/>
      <c r="J221" s="41"/>
      <c r="K221" s="41"/>
      <c r="L22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1" s="42" t="str">
        <f>IF(tblProductos[[#This Row],[SKU]]="","",COUNTIF(tblEntradas[SKU],tblProductos[[#This Row],[SKU]])+COUNTIF(tblSalidas[SKU],tblProductos[[#This Row],[SKU]]))</f>
        <v/>
      </c>
      <c r="N22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2" spans="2:14" x14ac:dyDescent="0.25">
      <c r="B222" s="40"/>
      <c r="C222" s="40"/>
      <c r="D222" s="40"/>
      <c r="E222" s="41"/>
      <c r="F222" s="47"/>
      <c r="G222" s="47"/>
      <c r="H222" s="48"/>
      <c r="I222" s="40"/>
      <c r="J222" s="41"/>
      <c r="K222" s="41"/>
      <c r="L22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2" s="42" t="str">
        <f>IF(tblProductos[[#This Row],[SKU]]="","",COUNTIF(tblEntradas[SKU],tblProductos[[#This Row],[SKU]])+COUNTIF(tblSalidas[SKU],tblProductos[[#This Row],[SKU]]))</f>
        <v/>
      </c>
      <c r="N22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3" spans="2:14" x14ac:dyDescent="0.25">
      <c r="B223" s="40"/>
      <c r="C223" s="40"/>
      <c r="D223" s="40"/>
      <c r="E223" s="41"/>
      <c r="F223" s="47"/>
      <c r="G223" s="47"/>
      <c r="H223" s="48"/>
      <c r="I223" s="40"/>
      <c r="J223" s="41"/>
      <c r="K223" s="41"/>
      <c r="L22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3" s="42" t="str">
        <f>IF(tblProductos[[#This Row],[SKU]]="","",COUNTIF(tblEntradas[SKU],tblProductos[[#This Row],[SKU]])+COUNTIF(tblSalidas[SKU],tblProductos[[#This Row],[SKU]]))</f>
        <v/>
      </c>
      <c r="N22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4" spans="2:14" x14ac:dyDescent="0.25">
      <c r="B224" s="40"/>
      <c r="C224" s="40"/>
      <c r="D224" s="40"/>
      <c r="E224" s="41"/>
      <c r="F224" s="47"/>
      <c r="G224" s="47"/>
      <c r="H224" s="48"/>
      <c r="I224" s="40"/>
      <c r="J224" s="41"/>
      <c r="K224" s="41"/>
      <c r="L22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4" s="42" t="str">
        <f>IF(tblProductos[[#This Row],[SKU]]="","",COUNTIF(tblEntradas[SKU],tblProductos[[#This Row],[SKU]])+COUNTIF(tblSalidas[SKU],tblProductos[[#This Row],[SKU]]))</f>
        <v/>
      </c>
      <c r="N22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5" spans="2:14" x14ac:dyDescent="0.25">
      <c r="B225" s="40"/>
      <c r="C225" s="40"/>
      <c r="D225" s="40"/>
      <c r="E225" s="41"/>
      <c r="F225" s="47"/>
      <c r="G225" s="47"/>
      <c r="H225" s="48"/>
      <c r="I225" s="40"/>
      <c r="J225" s="41"/>
      <c r="K225" s="41"/>
      <c r="L22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5" s="42" t="str">
        <f>IF(tblProductos[[#This Row],[SKU]]="","",COUNTIF(tblEntradas[SKU],tblProductos[[#This Row],[SKU]])+COUNTIF(tblSalidas[SKU],tblProductos[[#This Row],[SKU]]))</f>
        <v/>
      </c>
      <c r="N22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6" spans="2:14" x14ac:dyDescent="0.25">
      <c r="B226" s="40"/>
      <c r="C226" s="40"/>
      <c r="D226" s="40"/>
      <c r="E226" s="41"/>
      <c r="F226" s="47"/>
      <c r="G226" s="47"/>
      <c r="H226" s="48"/>
      <c r="I226" s="40"/>
      <c r="J226" s="41"/>
      <c r="K226" s="41"/>
      <c r="L22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6" s="42" t="str">
        <f>IF(tblProductos[[#This Row],[SKU]]="","",COUNTIF(tblEntradas[SKU],tblProductos[[#This Row],[SKU]])+COUNTIF(tblSalidas[SKU],tblProductos[[#This Row],[SKU]]))</f>
        <v/>
      </c>
      <c r="N22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7" spans="2:14" x14ac:dyDescent="0.25">
      <c r="B227" s="40"/>
      <c r="C227" s="40"/>
      <c r="D227" s="40"/>
      <c r="E227" s="41"/>
      <c r="F227" s="47"/>
      <c r="G227" s="47"/>
      <c r="H227" s="48"/>
      <c r="I227" s="40"/>
      <c r="J227" s="41"/>
      <c r="K227" s="41"/>
      <c r="L22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7" s="42" t="str">
        <f>IF(tblProductos[[#This Row],[SKU]]="","",COUNTIF(tblEntradas[SKU],tblProductos[[#This Row],[SKU]])+COUNTIF(tblSalidas[SKU],tblProductos[[#This Row],[SKU]]))</f>
        <v/>
      </c>
      <c r="N22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8" spans="2:14" x14ac:dyDescent="0.25">
      <c r="B228" s="40"/>
      <c r="C228" s="40"/>
      <c r="D228" s="40"/>
      <c r="E228" s="41"/>
      <c r="F228" s="47"/>
      <c r="G228" s="47"/>
      <c r="H228" s="48"/>
      <c r="I228" s="40"/>
      <c r="J228" s="41"/>
      <c r="K228" s="41"/>
      <c r="L22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8" s="42" t="str">
        <f>IF(tblProductos[[#This Row],[SKU]]="","",COUNTIF(tblEntradas[SKU],tblProductos[[#This Row],[SKU]])+COUNTIF(tblSalidas[SKU],tblProductos[[#This Row],[SKU]]))</f>
        <v/>
      </c>
      <c r="N22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9" spans="2:14" x14ac:dyDescent="0.25">
      <c r="B229" s="40"/>
      <c r="C229" s="40"/>
      <c r="D229" s="40"/>
      <c r="E229" s="41"/>
      <c r="F229" s="47"/>
      <c r="G229" s="47"/>
      <c r="H229" s="48"/>
      <c r="I229" s="40"/>
      <c r="J229" s="41"/>
      <c r="K229" s="41"/>
      <c r="L22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9" s="42" t="str">
        <f>IF(tblProductos[[#This Row],[SKU]]="","",COUNTIF(tblEntradas[SKU],tblProductos[[#This Row],[SKU]])+COUNTIF(tblSalidas[SKU],tblProductos[[#This Row],[SKU]]))</f>
        <v/>
      </c>
      <c r="N22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0" spans="2:14" x14ac:dyDescent="0.25">
      <c r="B230" s="40"/>
      <c r="C230" s="40"/>
      <c r="D230" s="40"/>
      <c r="E230" s="41"/>
      <c r="F230" s="47"/>
      <c r="G230" s="47"/>
      <c r="H230" s="48"/>
      <c r="I230" s="40"/>
      <c r="J230" s="41"/>
      <c r="K230" s="41"/>
      <c r="L23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0" s="42" t="str">
        <f>IF(tblProductos[[#This Row],[SKU]]="","",COUNTIF(tblEntradas[SKU],tblProductos[[#This Row],[SKU]])+COUNTIF(tblSalidas[SKU],tblProductos[[#This Row],[SKU]]))</f>
        <v/>
      </c>
      <c r="N23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1" spans="2:14" x14ac:dyDescent="0.25">
      <c r="B231" s="40"/>
      <c r="C231" s="40"/>
      <c r="D231" s="40"/>
      <c r="E231" s="41"/>
      <c r="F231" s="47"/>
      <c r="G231" s="47"/>
      <c r="H231" s="48"/>
      <c r="I231" s="40"/>
      <c r="J231" s="41"/>
      <c r="K231" s="41"/>
      <c r="L23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1" s="42" t="str">
        <f>IF(tblProductos[[#This Row],[SKU]]="","",COUNTIF(tblEntradas[SKU],tblProductos[[#This Row],[SKU]])+COUNTIF(tblSalidas[SKU],tblProductos[[#This Row],[SKU]]))</f>
        <v/>
      </c>
      <c r="N23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2" spans="2:14" x14ac:dyDescent="0.25">
      <c r="B232" s="40"/>
      <c r="C232" s="40"/>
      <c r="D232" s="40"/>
      <c r="E232" s="41"/>
      <c r="F232" s="47"/>
      <c r="G232" s="47"/>
      <c r="H232" s="48"/>
      <c r="I232" s="40"/>
      <c r="J232" s="41"/>
      <c r="K232" s="41"/>
      <c r="L23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2" s="42" t="str">
        <f>IF(tblProductos[[#This Row],[SKU]]="","",COUNTIF(tblEntradas[SKU],tblProductos[[#This Row],[SKU]])+COUNTIF(tblSalidas[SKU],tblProductos[[#This Row],[SKU]]))</f>
        <v/>
      </c>
      <c r="N23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3" spans="2:14" x14ac:dyDescent="0.25">
      <c r="B233" s="40"/>
      <c r="C233" s="40"/>
      <c r="D233" s="40"/>
      <c r="E233" s="41"/>
      <c r="F233" s="47"/>
      <c r="G233" s="47"/>
      <c r="H233" s="48"/>
      <c r="I233" s="40"/>
      <c r="J233" s="41"/>
      <c r="K233" s="41"/>
      <c r="L23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3" s="42" t="str">
        <f>IF(tblProductos[[#This Row],[SKU]]="","",COUNTIF(tblEntradas[SKU],tblProductos[[#This Row],[SKU]])+COUNTIF(tblSalidas[SKU],tblProductos[[#This Row],[SKU]]))</f>
        <v/>
      </c>
      <c r="N23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4" spans="2:14" x14ac:dyDescent="0.25">
      <c r="B234" s="40"/>
      <c r="C234" s="40"/>
      <c r="D234" s="40"/>
      <c r="E234" s="41"/>
      <c r="F234" s="47"/>
      <c r="G234" s="47"/>
      <c r="H234" s="48"/>
      <c r="I234" s="40"/>
      <c r="J234" s="41"/>
      <c r="K234" s="41"/>
      <c r="L23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4" s="42" t="str">
        <f>IF(tblProductos[[#This Row],[SKU]]="","",COUNTIF(tblEntradas[SKU],tblProductos[[#This Row],[SKU]])+COUNTIF(tblSalidas[SKU],tblProductos[[#This Row],[SKU]]))</f>
        <v/>
      </c>
      <c r="N23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5" spans="2:14" x14ac:dyDescent="0.25">
      <c r="B235" s="40"/>
      <c r="C235" s="40"/>
      <c r="D235" s="40"/>
      <c r="E235" s="41"/>
      <c r="F235" s="47"/>
      <c r="G235" s="47"/>
      <c r="H235" s="48"/>
      <c r="I235" s="40"/>
      <c r="J235" s="41"/>
      <c r="K235" s="41"/>
      <c r="L23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5" s="42" t="str">
        <f>IF(tblProductos[[#This Row],[SKU]]="","",COUNTIF(tblEntradas[SKU],tblProductos[[#This Row],[SKU]])+COUNTIF(tblSalidas[SKU],tblProductos[[#This Row],[SKU]]))</f>
        <v/>
      </c>
      <c r="N23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6" spans="2:14" x14ac:dyDescent="0.25">
      <c r="B236" s="40"/>
      <c r="C236" s="40"/>
      <c r="D236" s="40"/>
      <c r="E236" s="41"/>
      <c r="F236" s="47"/>
      <c r="G236" s="47"/>
      <c r="H236" s="48"/>
      <c r="I236" s="40"/>
      <c r="J236" s="41"/>
      <c r="K236" s="41"/>
      <c r="L23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6" s="42" t="str">
        <f>IF(tblProductos[[#This Row],[SKU]]="","",COUNTIF(tblEntradas[SKU],tblProductos[[#This Row],[SKU]])+COUNTIF(tblSalidas[SKU],tblProductos[[#This Row],[SKU]]))</f>
        <v/>
      </c>
      <c r="N23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7" spans="2:14" x14ac:dyDescent="0.25">
      <c r="B237" s="40"/>
      <c r="C237" s="40"/>
      <c r="D237" s="40"/>
      <c r="E237" s="41"/>
      <c r="F237" s="47"/>
      <c r="G237" s="47"/>
      <c r="H237" s="48"/>
      <c r="I237" s="40"/>
      <c r="J237" s="41"/>
      <c r="K237" s="41"/>
      <c r="L23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7" s="42" t="str">
        <f>IF(tblProductos[[#This Row],[SKU]]="","",COUNTIF(tblEntradas[SKU],tblProductos[[#This Row],[SKU]])+COUNTIF(tblSalidas[SKU],tblProductos[[#This Row],[SKU]]))</f>
        <v/>
      </c>
      <c r="N23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8" spans="2:14" x14ac:dyDescent="0.25">
      <c r="B238" s="40"/>
      <c r="C238" s="40"/>
      <c r="D238" s="40"/>
      <c r="E238" s="41"/>
      <c r="F238" s="47"/>
      <c r="G238" s="47"/>
      <c r="H238" s="48"/>
      <c r="I238" s="40"/>
      <c r="J238" s="41"/>
      <c r="K238" s="41"/>
      <c r="L23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8" s="42" t="str">
        <f>IF(tblProductos[[#This Row],[SKU]]="","",COUNTIF(tblEntradas[SKU],tblProductos[[#This Row],[SKU]])+COUNTIF(tblSalidas[SKU],tblProductos[[#This Row],[SKU]]))</f>
        <v/>
      </c>
      <c r="N23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9" spans="2:14" x14ac:dyDescent="0.25">
      <c r="B239" s="40"/>
      <c r="C239" s="40"/>
      <c r="D239" s="40"/>
      <c r="E239" s="41"/>
      <c r="F239" s="47"/>
      <c r="G239" s="47"/>
      <c r="H239" s="48"/>
      <c r="I239" s="40"/>
      <c r="J239" s="41"/>
      <c r="K239" s="41"/>
      <c r="L23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9" s="42" t="str">
        <f>IF(tblProductos[[#This Row],[SKU]]="","",COUNTIF(tblEntradas[SKU],tblProductos[[#This Row],[SKU]])+COUNTIF(tblSalidas[SKU],tblProductos[[#This Row],[SKU]]))</f>
        <v/>
      </c>
      <c r="N23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0" spans="2:14" x14ac:dyDescent="0.25">
      <c r="B240" s="40"/>
      <c r="C240" s="40"/>
      <c r="D240" s="40"/>
      <c r="E240" s="41"/>
      <c r="F240" s="47"/>
      <c r="G240" s="47"/>
      <c r="H240" s="48"/>
      <c r="I240" s="40"/>
      <c r="J240" s="41"/>
      <c r="K240" s="41"/>
      <c r="L24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0" s="42" t="str">
        <f>IF(tblProductos[[#This Row],[SKU]]="","",COUNTIF(tblEntradas[SKU],tblProductos[[#This Row],[SKU]])+COUNTIF(tblSalidas[SKU],tblProductos[[#This Row],[SKU]]))</f>
        <v/>
      </c>
      <c r="N24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1" spans="2:14" x14ac:dyDescent="0.25">
      <c r="B241" s="40"/>
      <c r="C241" s="40"/>
      <c r="D241" s="40"/>
      <c r="E241" s="41"/>
      <c r="F241" s="47"/>
      <c r="G241" s="47"/>
      <c r="H241" s="48"/>
      <c r="I241" s="40"/>
      <c r="J241" s="41"/>
      <c r="K241" s="41"/>
      <c r="L24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1" s="42" t="str">
        <f>IF(tblProductos[[#This Row],[SKU]]="","",COUNTIF(tblEntradas[SKU],tblProductos[[#This Row],[SKU]])+COUNTIF(tblSalidas[SKU],tblProductos[[#This Row],[SKU]]))</f>
        <v/>
      </c>
      <c r="N24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2" spans="2:14" x14ac:dyDescent="0.25">
      <c r="B242" s="40"/>
      <c r="C242" s="40"/>
      <c r="D242" s="40"/>
      <c r="E242" s="41"/>
      <c r="F242" s="47"/>
      <c r="G242" s="47"/>
      <c r="H242" s="48"/>
      <c r="I242" s="40"/>
      <c r="J242" s="41"/>
      <c r="K242" s="41"/>
      <c r="L24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2" s="42" t="str">
        <f>IF(tblProductos[[#This Row],[SKU]]="","",COUNTIF(tblEntradas[SKU],tblProductos[[#This Row],[SKU]])+COUNTIF(tblSalidas[SKU],tblProductos[[#This Row],[SKU]]))</f>
        <v/>
      </c>
      <c r="N24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3" spans="2:14" x14ac:dyDescent="0.25">
      <c r="B243" s="40"/>
      <c r="C243" s="40"/>
      <c r="D243" s="40"/>
      <c r="E243" s="41"/>
      <c r="F243" s="47"/>
      <c r="G243" s="47"/>
      <c r="H243" s="48"/>
      <c r="I243" s="40"/>
      <c r="J243" s="41"/>
      <c r="K243" s="41"/>
      <c r="L24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3" s="42" t="str">
        <f>IF(tblProductos[[#This Row],[SKU]]="","",COUNTIF(tblEntradas[SKU],tblProductos[[#This Row],[SKU]])+COUNTIF(tblSalidas[SKU],tblProductos[[#This Row],[SKU]]))</f>
        <v/>
      </c>
      <c r="N24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4" spans="2:14" x14ac:dyDescent="0.25">
      <c r="B244" s="40"/>
      <c r="C244" s="40"/>
      <c r="D244" s="40"/>
      <c r="E244" s="41"/>
      <c r="F244" s="47"/>
      <c r="G244" s="47"/>
      <c r="H244" s="48"/>
      <c r="I244" s="40"/>
      <c r="J244" s="41"/>
      <c r="K244" s="41"/>
      <c r="L24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4" s="42" t="str">
        <f>IF(tblProductos[[#This Row],[SKU]]="","",COUNTIF(tblEntradas[SKU],tblProductos[[#This Row],[SKU]])+COUNTIF(tblSalidas[SKU],tblProductos[[#This Row],[SKU]]))</f>
        <v/>
      </c>
      <c r="N24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5" spans="2:14" x14ac:dyDescent="0.25">
      <c r="B245" s="40"/>
      <c r="C245" s="40"/>
      <c r="D245" s="40"/>
      <c r="E245" s="41"/>
      <c r="F245" s="47"/>
      <c r="G245" s="47"/>
      <c r="H245" s="48"/>
      <c r="I245" s="40"/>
      <c r="J245" s="41"/>
      <c r="K245" s="41"/>
      <c r="L24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5" s="42" t="str">
        <f>IF(tblProductos[[#This Row],[SKU]]="","",COUNTIF(tblEntradas[SKU],tblProductos[[#This Row],[SKU]])+COUNTIF(tblSalidas[SKU],tblProductos[[#This Row],[SKU]]))</f>
        <v/>
      </c>
      <c r="N24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6" spans="2:14" x14ac:dyDescent="0.25">
      <c r="B246" s="40"/>
      <c r="C246" s="40"/>
      <c r="D246" s="40"/>
      <c r="E246" s="41"/>
      <c r="F246" s="47"/>
      <c r="G246" s="47"/>
      <c r="H246" s="48"/>
      <c r="I246" s="40"/>
      <c r="J246" s="41"/>
      <c r="K246" s="41"/>
      <c r="L24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6" s="42" t="str">
        <f>IF(tblProductos[[#This Row],[SKU]]="","",COUNTIF(tblEntradas[SKU],tblProductos[[#This Row],[SKU]])+COUNTIF(tblSalidas[SKU],tblProductos[[#This Row],[SKU]]))</f>
        <v/>
      </c>
      <c r="N24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7" spans="2:14" x14ac:dyDescent="0.25">
      <c r="B247" s="40"/>
      <c r="C247" s="40"/>
      <c r="D247" s="40"/>
      <c r="E247" s="41"/>
      <c r="F247" s="47"/>
      <c r="G247" s="47"/>
      <c r="H247" s="48"/>
      <c r="I247" s="40"/>
      <c r="J247" s="41"/>
      <c r="K247" s="41"/>
      <c r="L24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7" s="42" t="str">
        <f>IF(tblProductos[[#This Row],[SKU]]="","",COUNTIF(tblEntradas[SKU],tblProductos[[#This Row],[SKU]])+COUNTIF(tblSalidas[SKU],tblProductos[[#This Row],[SKU]]))</f>
        <v/>
      </c>
      <c r="N24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8" spans="2:14" x14ac:dyDescent="0.25">
      <c r="B248" s="40"/>
      <c r="C248" s="40"/>
      <c r="D248" s="40"/>
      <c r="E248" s="41"/>
      <c r="F248" s="47"/>
      <c r="G248" s="47"/>
      <c r="H248" s="48"/>
      <c r="I248" s="40"/>
      <c r="J248" s="41"/>
      <c r="K248" s="41"/>
      <c r="L24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8" s="42" t="str">
        <f>IF(tblProductos[[#This Row],[SKU]]="","",COUNTIF(tblEntradas[SKU],tblProductos[[#This Row],[SKU]])+COUNTIF(tblSalidas[SKU],tblProductos[[#This Row],[SKU]]))</f>
        <v/>
      </c>
      <c r="N24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9" spans="2:14" x14ac:dyDescent="0.25">
      <c r="B249" s="40"/>
      <c r="C249" s="40"/>
      <c r="D249" s="40"/>
      <c r="E249" s="41"/>
      <c r="F249" s="47"/>
      <c r="G249" s="47"/>
      <c r="H249" s="48"/>
      <c r="I249" s="40"/>
      <c r="J249" s="41"/>
      <c r="K249" s="41"/>
      <c r="L24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9" s="42" t="str">
        <f>IF(tblProductos[[#This Row],[SKU]]="","",COUNTIF(tblEntradas[SKU],tblProductos[[#This Row],[SKU]])+COUNTIF(tblSalidas[SKU],tblProductos[[#This Row],[SKU]]))</f>
        <v/>
      </c>
      <c r="N24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0" spans="2:14" x14ac:dyDescent="0.25">
      <c r="B250" s="40"/>
      <c r="C250" s="40"/>
      <c r="D250" s="40"/>
      <c r="E250" s="41"/>
      <c r="F250" s="47"/>
      <c r="G250" s="47"/>
      <c r="H250" s="48"/>
      <c r="I250" s="40"/>
      <c r="J250" s="41"/>
      <c r="K250" s="41"/>
      <c r="L25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0" s="42" t="str">
        <f>IF(tblProductos[[#This Row],[SKU]]="","",COUNTIF(tblEntradas[SKU],tblProductos[[#This Row],[SKU]])+COUNTIF(tblSalidas[SKU],tblProductos[[#This Row],[SKU]]))</f>
        <v/>
      </c>
      <c r="N25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1" spans="2:14" x14ac:dyDescent="0.25">
      <c r="B251" s="40"/>
      <c r="C251" s="40"/>
      <c r="D251" s="40"/>
      <c r="E251" s="41"/>
      <c r="F251" s="47"/>
      <c r="G251" s="47"/>
      <c r="H251" s="48"/>
      <c r="I251" s="40"/>
      <c r="J251" s="41"/>
      <c r="K251" s="41"/>
      <c r="L25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1" s="42" t="str">
        <f>IF(tblProductos[[#This Row],[SKU]]="","",COUNTIF(tblEntradas[SKU],tblProductos[[#This Row],[SKU]])+COUNTIF(tblSalidas[SKU],tblProductos[[#This Row],[SKU]]))</f>
        <v/>
      </c>
      <c r="N25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2" spans="2:14" x14ac:dyDescent="0.25">
      <c r="B252" s="40"/>
      <c r="C252" s="40"/>
      <c r="D252" s="40"/>
      <c r="E252" s="41"/>
      <c r="F252" s="47"/>
      <c r="G252" s="47"/>
      <c r="H252" s="48"/>
      <c r="I252" s="40"/>
      <c r="J252" s="41"/>
      <c r="K252" s="41"/>
      <c r="L25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2" s="42" t="str">
        <f>IF(tblProductos[[#This Row],[SKU]]="","",COUNTIF(tblEntradas[SKU],tblProductos[[#This Row],[SKU]])+COUNTIF(tblSalidas[SKU],tblProductos[[#This Row],[SKU]]))</f>
        <v/>
      </c>
      <c r="N25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3" spans="2:14" x14ac:dyDescent="0.25">
      <c r="B253" s="40"/>
      <c r="C253" s="40"/>
      <c r="D253" s="40"/>
      <c r="E253" s="41"/>
      <c r="F253" s="47"/>
      <c r="G253" s="47"/>
      <c r="H253" s="48"/>
      <c r="I253" s="40"/>
      <c r="J253" s="41"/>
      <c r="K253" s="41"/>
      <c r="L25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3" s="42" t="str">
        <f>IF(tblProductos[[#This Row],[SKU]]="","",COUNTIF(tblEntradas[SKU],tblProductos[[#This Row],[SKU]])+COUNTIF(tblSalidas[SKU],tblProductos[[#This Row],[SKU]]))</f>
        <v/>
      </c>
      <c r="N25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4" spans="2:14" x14ac:dyDescent="0.25">
      <c r="B254" s="40"/>
      <c r="C254" s="40"/>
      <c r="D254" s="40"/>
      <c r="E254" s="41"/>
      <c r="F254" s="47"/>
      <c r="G254" s="47"/>
      <c r="H254" s="48"/>
      <c r="I254" s="40"/>
      <c r="J254" s="41"/>
      <c r="K254" s="41"/>
      <c r="L25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4" s="42" t="str">
        <f>IF(tblProductos[[#This Row],[SKU]]="","",COUNTIF(tblEntradas[SKU],tblProductos[[#This Row],[SKU]])+COUNTIF(tblSalidas[SKU],tblProductos[[#This Row],[SKU]]))</f>
        <v/>
      </c>
      <c r="N25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5" spans="2:14" x14ac:dyDescent="0.25">
      <c r="B255" s="40"/>
      <c r="C255" s="40"/>
      <c r="D255" s="40"/>
      <c r="E255" s="41"/>
      <c r="F255" s="47"/>
      <c r="G255" s="47"/>
      <c r="H255" s="48"/>
      <c r="I255" s="40"/>
      <c r="J255" s="41"/>
      <c r="K255" s="41"/>
      <c r="L25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5" s="42" t="str">
        <f>IF(tblProductos[[#This Row],[SKU]]="","",COUNTIF(tblEntradas[SKU],tblProductos[[#This Row],[SKU]])+COUNTIF(tblSalidas[SKU],tblProductos[[#This Row],[SKU]]))</f>
        <v/>
      </c>
      <c r="N25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6" spans="2:14" x14ac:dyDescent="0.25">
      <c r="B256" s="40"/>
      <c r="C256" s="40"/>
      <c r="D256" s="40"/>
      <c r="E256" s="41"/>
      <c r="F256" s="47"/>
      <c r="G256" s="47"/>
      <c r="H256" s="48"/>
      <c r="I256" s="40"/>
      <c r="J256" s="41"/>
      <c r="K256" s="41"/>
      <c r="L25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6" s="42" t="str">
        <f>IF(tblProductos[[#This Row],[SKU]]="","",COUNTIF(tblEntradas[SKU],tblProductos[[#This Row],[SKU]])+COUNTIF(tblSalidas[SKU],tblProductos[[#This Row],[SKU]]))</f>
        <v/>
      </c>
      <c r="N25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7" spans="2:14" x14ac:dyDescent="0.25">
      <c r="B257" s="40"/>
      <c r="C257" s="40"/>
      <c r="D257" s="40"/>
      <c r="E257" s="41"/>
      <c r="F257" s="47"/>
      <c r="G257" s="47"/>
      <c r="H257" s="48"/>
      <c r="I257" s="40"/>
      <c r="J257" s="41"/>
      <c r="K257" s="41"/>
      <c r="L25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7" s="42" t="str">
        <f>IF(tblProductos[[#This Row],[SKU]]="","",COUNTIF(tblEntradas[SKU],tblProductos[[#This Row],[SKU]])+COUNTIF(tblSalidas[SKU],tblProductos[[#This Row],[SKU]]))</f>
        <v/>
      </c>
      <c r="N25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8" spans="2:14" x14ac:dyDescent="0.25">
      <c r="B258" s="40"/>
      <c r="C258" s="40"/>
      <c r="D258" s="40"/>
      <c r="E258" s="41"/>
      <c r="F258" s="47"/>
      <c r="G258" s="47"/>
      <c r="H258" s="48"/>
      <c r="I258" s="40"/>
      <c r="J258" s="41"/>
      <c r="K258" s="41"/>
      <c r="L25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8" s="42" t="str">
        <f>IF(tblProductos[[#This Row],[SKU]]="","",COUNTIF(tblEntradas[SKU],tblProductos[[#This Row],[SKU]])+COUNTIF(tblSalidas[SKU],tblProductos[[#This Row],[SKU]]))</f>
        <v/>
      </c>
      <c r="N25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9" spans="2:14" x14ac:dyDescent="0.25">
      <c r="B259" s="40"/>
      <c r="C259" s="40"/>
      <c r="D259" s="40"/>
      <c r="E259" s="41"/>
      <c r="F259" s="47"/>
      <c r="G259" s="47"/>
      <c r="H259" s="48"/>
      <c r="I259" s="40"/>
      <c r="J259" s="41"/>
      <c r="K259" s="41"/>
      <c r="L25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9" s="42" t="str">
        <f>IF(tblProductos[[#This Row],[SKU]]="","",COUNTIF(tblEntradas[SKU],tblProductos[[#This Row],[SKU]])+COUNTIF(tblSalidas[SKU],tblProductos[[#This Row],[SKU]]))</f>
        <v/>
      </c>
      <c r="N25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0" spans="2:14" x14ac:dyDescent="0.25">
      <c r="B260" s="40"/>
      <c r="C260" s="40"/>
      <c r="D260" s="40"/>
      <c r="E260" s="41"/>
      <c r="F260" s="47"/>
      <c r="G260" s="47"/>
      <c r="H260" s="48"/>
      <c r="I260" s="40"/>
      <c r="J260" s="41"/>
      <c r="K260" s="41"/>
      <c r="L26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0" s="42" t="str">
        <f>IF(tblProductos[[#This Row],[SKU]]="","",COUNTIF(tblEntradas[SKU],tblProductos[[#This Row],[SKU]])+COUNTIF(tblSalidas[SKU],tblProductos[[#This Row],[SKU]]))</f>
        <v/>
      </c>
      <c r="N26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1" spans="2:14" x14ac:dyDescent="0.25">
      <c r="B261" s="40"/>
      <c r="C261" s="40"/>
      <c r="D261" s="40"/>
      <c r="E261" s="41"/>
      <c r="F261" s="47"/>
      <c r="G261" s="47"/>
      <c r="H261" s="48"/>
      <c r="I261" s="40"/>
      <c r="J261" s="41"/>
      <c r="K261" s="41"/>
      <c r="L26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1" s="42" t="str">
        <f>IF(tblProductos[[#This Row],[SKU]]="","",COUNTIF(tblEntradas[SKU],tblProductos[[#This Row],[SKU]])+COUNTIF(tblSalidas[SKU],tblProductos[[#This Row],[SKU]]))</f>
        <v/>
      </c>
      <c r="N26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2" spans="2:14" x14ac:dyDescent="0.25">
      <c r="B262" s="40"/>
      <c r="C262" s="40"/>
      <c r="D262" s="40"/>
      <c r="E262" s="41"/>
      <c r="F262" s="47"/>
      <c r="G262" s="47"/>
      <c r="H262" s="48"/>
      <c r="I262" s="40"/>
      <c r="J262" s="41"/>
      <c r="K262" s="41"/>
      <c r="L26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2" s="42" t="str">
        <f>IF(tblProductos[[#This Row],[SKU]]="","",COUNTIF(tblEntradas[SKU],tblProductos[[#This Row],[SKU]])+COUNTIF(tblSalidas[SKU],tblProductos[[#This Row],[SKU]]))</f>
        <v/>
      </c>
      <c r="N26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3" spans="2:14" x14ac:dyDescent="0.25">
      <c r="B263" s="40"/>
      <c r="C263" s="40"/>
      <c r="D263" s="40"/>
      <c r="E263" s="41"/>
      <c r="F263" s="47"/>
      <c r="G263" s="47"/>
      <c r="H263" s="48"/>
      <c r="I263" s="40"/>
      <c r="J263" s="41"/>
      <c r="K263" s="41"/>
      <c r="L26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3" s="42" t="str">
        <f>IF(tblProductos[[#This Row],[SKU]]="","",COUNTIF(tblEntradas[SKU],tblProductos[[#This Row],[SKU]])+COUNTIF(tblSalidas[SKU],tblProductos[[#This Row],[SKU]]))</f>
        <v/>
      </c>
      <c r="N26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4" spans="2:14" x14ac:dyDescent="0.25">
      <c r="B264" s="40"/>
      <c r="C264" s="40"/>
      <c r="D264" s="40"/>
      <c r="E264" s="41"/>
      <c r="F264" s="47"/>
      <c r="G264" s="47"/>
      <c r="H264" s="48"/>
      <c r="I264" s="40"/>
      <c r="J264" s="41"/>
      <c r="K264" s="41"/>
      <c r="L26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4" s="42" t="str">
        <f>IF(tblProductos[[#This Row],[SKU]]="","",COUNTIF(tblEntradas[SKU],tblProductos[[#This Row],[SKU]])+COUNTIF(tblSalidas[SKU],tblProductos[[#This Row],[SKU]]))</f>
        <v/>
      </c>
      <c r="N26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5" spans="2:14" x14ac:dyDescent="0.25">
      <c r="B265" s="40"/>
      <c r="C265" s="40"/>
      <c r="D265" s="40"/>
      <c r="E265" s="41"/>
      <c r="F265" s="47"/>
      <c r="G265" s="47"/>
      <c r="H265" s="48"/>
      <c r="I265" s="40"/>
      <c r="J265" s="41"/>
      <c r="K265" s="41"/>
      <c r="L26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5" s="42" t="str">
        <f>IF(tblProductos[[#This Row],[SKU]]="","",COUNTIF(tblEntradas[SKU],tblProductos[[#This Row],[SKU]])+COUNTIF(tblSalidas[SKU],tblProductos[[#This Row],[SKU]]))</f>
        <v/>
      </c>
      <c r="N26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6" spans="2:14" x14ac:dyDescent="0.25">
      <c r="B266" s="40"/>
      <c r="C266" s="40"/>
      <c r="D266" s="40"/>
      <c r="E266" s="41"/>
      <c r="F266" s="47"/>
      <c r="G266" s="47"/>
      <c r="H266" s="48"/>
      <c r="I266" s="40"/>
      <c r="J266" s="41"/>
      <c r="K266" s="41"/>
      <c r="L26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6" s="42" t="str">
        <f>IF(tblProductos[[#This Row],[SKU]]="","",COUNTIF(tblEntradas[SKU],tblProductos[[#This Row],[SKU]])+COUNTIF(tblSalidas[SKU],tblProductos[[#This Row],[SKU]]))</f>
        <v/>
      </c>
      <c r="N26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7" spans="2:14" x14ac:dyDescent="0.25">
      <c r="B267" s="40"/>
      <c r="C267" s="40"/>
      <c r="D267" s="40"/>
      <c r="E267" s="41"/>
      <c r="F267" s="47"/>
      <c r="G267" s="47"/>
      <c r="H267" s="48"/>
      <c r="I267" s="40"/>
      <c r="J267" s="41"/>
      <c r="K267" s="41"/>
      <c r="L26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7" s="42" t="str">
        <f>IF(tblProductos[[#This Row],[SKU]]="","",COUNTIF(tblEntradas[SKU],tblProductos[[#This Row],[SKU]])+COUNTIF(tblSalidas[SKU],tblProductos[[#This Row],[SKU]]))</f>
        <v/>
      </c>
      <c r="N26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8" spans="2:14" x14ac:dyDescent="0.25">
      <c r="B268" s="40"/>
      <c r="C268" s="40"/>
      <c r="D268" s="40"/>
      <c r="E268" s="41"/>
      <c r="F268" s="47"/>
      <c r="G268" s="47"/>
      <c r="H268" s="48"/>
      <c r="I268" s="40"/>
      <c r="J268" s="41"/>
      <c r="K268" s="41"/>
      <c r="L26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8" s="42" t="str">
        <f>IF(tblProductos[[#This Row],[SKU]]="","",COUNTIF(tblEntradas[SKU],tblProductos[[#This Row],[SKU]])+COUNTIF(tblSalidas[SKU],tblProductos[[#This Row],[SKU]]))</f>
        <v/>
      </c>
      <c r="N26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9" spans="2:14" x14ac:dyDescent="0.25">
      <c r="B269" s="40"/>
      <c r="C269" s="40"/>
      <c r="D269" s="40"/>
      <c r="E269" s="41"/>
      <c r="F269" s="47"/>
      <c r="G269" s="47"/>
      <c r="H269" s="48"/>
      <c r="I269" s="40"/>
      <c r="J269" s="41"/>
      <c r="K269" s="41"/>
      <c r="L26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9" s="42" t="str">
        <f>IF(tblProductos[[#This Row],[SKU]]="","",COUNTIF(tblEntradas[SKU],tblProductos[[#This Row],[SKU]])+COUNTIF(tblSalidas[SKU],tblProductos[[#This Row],[SKU]]))</f>
        <v/>
      </c>
      <c r="N26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0" spans="2:14" x14ac:dyDescent="0.25">
      <c r="B270" s="40"/>
      <c r="C270" s="40"/>
      <c r="D270" s="40"/>
      <c r="E270" s="41"/>
      <c r="F270" s="47"/>
      <c r="G270" s="47"/>
      <c r="H270" s="48"/>
      <c r="I270" s="40"/>
      <c r="J270" s="41"/>
      <c r="K270" s="41"/>
      <c r="L27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0" s="42" t="str">
        <f>IF(tblProductos[[#This Row],[SKU]]="","",COUNTIF(tblEntradas[SKU],tblProductos[[#This Row],[SKU]])+COUNTIF(tblSalidas[SKU],tblProductos[[#This Row],[SKU]]))</f>
        <v/>
      </c>
      <c r="N27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1" spans="2:14" x14ac:dyDescent="0.25">
      <c r="B271" s="40"/>
      <c r="C271" s="40"/>
      <c r="D271" s="40"/>
      <c r="E271" s="41"/>
      <c r="F271" s="47"/>
      <c r="G271" s="47"/>
      <c r="H271" s="48"/>
      <c r="I271" s="40"/>
      <c r="J271" s="41"/>
      <c r="K271" s="41"/>
      <c r="L27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1" s="42" t="str">
        <f>IF(tblProductos[[#This Row],[SKU]]="","",COUNTIF(tblEntradas[SKU],tblProductos[[#This Row],[SKU]])+COUNTIF(tblSalidas[SKU],tblProductos[[#This Row],[SKU]]))</f>
        <v/>
      </c>
      <c r="N27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2" spans="2:14" x14ac:dyDescent="0.25">
      <c r="B272" s="40"/>
      <c r="C272" s="40"/>
      <c r="D272" s="40"/>
      <c r="E272" s="41"/>
      <c r="F272" s="47"/>
      <c r="G272" s="47"/>
      <c r="H272" s="48"/>
      <c r="I272" s="40"/>
      <c r="J272" s="41"/>
      <c r="K272" s="41"/>
      <c r="L27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2" s="42" t="str">
        <f>IF(tblProductos[[#This Row],[SKU]]="","",COUNTIF(tblEntradas[SKU],tblProductos[[#This Row],[SKU]])+COUNTIF(tblSalidas[SKU],tblProductos[[#This Row],[SKU]]))</f>
        <v/>
      </c>
      <c r="N27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3" spans="2:14" x14ac:dyDescent="0.25">
      <c r="B273" s="40"/>
      <c r="C273" s="40"/>
      <c r="D273" s="40"/>
      <c r="E273" s="41"/>
      <c r="F273" s="47"/>
      <c r="G273" s="47"/>
      <c r="H273" s="48"/>
      <c r="I273" s="40"/>
      <c r="J273" s="41"/>
      <c r="K273" s="41"/>
      <c r="L27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3" s="42" t="str">
        <f>IF(tblProductos[[#This Row],[SKU]]="","",COUNTIF(tblEntradas[SKU],tblProductos[[#This Row],[SKU]])+COUNTIF(tblSalidas[SKU],tblProductos[[#This Row],[SKU]]))</f>
        <v/>
      </c>
      <c r="N27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4" spans="2:14" x14ac:dyDescent="0.25">
      <c r="B274" s="40"/>
      <c r="C274" s="40"/>
      <c r="D274" s="40"/>
      <c r="E274" s="41"/>
      <c r="F274" s="47"/>
      <c r="G274" s="47"/>
      <c r="H274" s="48"/>
      <c r="I274" s="40"/>
      <c r="J274" s="41"/>
      <c r="K274" s="41"/>
      <c r="L27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4" s="42" t="str">
        <f>IF(tblProductos[[#This Row],[SKU]]="","",COUNTIF(tblEntradas[SKU],tblProductos[[#This Row],[SKU]])+COUNTIF(tblSalidas[SKU],tblProductos[[#This Row],[SKU]]))</f>
        <v/>
      </c>
      <c r="N27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5" spans="2:14" x14ac:dyDescent="0.25">
      <c r="B275" s="40"/>
      <c r="C275" s="40"/>
      <c r="D275" s="40"/>
      <c r="E275" s="41"/>
      <c r="F275" s="47"/>
      <c r="G275" s="47"/>
      <c r="H275" s="48"/>
      <c r="I275" s="40"/>
      <c r="J275" s="41"/>
      <c r="K275" s="41"/>
      <c r="L27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5" s="42" t="str">
        <f>IF(tblProductos[[#This Row],[SKU]]="","",COUNTIF(tblEntradas[SKU],tblProductos[[#This Row],[SKU]])+COUNTIF(tblSalidas[SKU],tblProductos[[#This Row],[SKU]]))</f>
        <v/>
      </c>
      <c r="N27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6" spans="2:14" x14ac:dyDescent="0.25">
      <c r="B276" s="40"/>
      <c r="C276" s="40"/>
      <c r="D276" s="40"/>
      <c r="E276" s="41"/>
      <c r="F276" s="47"/>
      <c r="G276" s="47"/>
      <c r="H276" s="48"/>
      <c r="I276" s="40"/>
      <c r="J276" s="41"/>
      <c r="K276" s="41"/>
      <c r="L27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6" s="42" t="str">
        <f>IF(tblProductos[[#This Row],[SKU]]="","",COUNTIF(tblEntradas[SKU],tblProductos[[#This Row],[SKU]])+COUNTIF(tblSalidas[SKU],tblProductos[[#This Row],[SKU]]))</f>
        <v/>
      </c>
      <c r="N27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7" spans="2:14" x14ac:dyDescent="0.25">
      <c r="B277" s="40"/>
      <c r="C277" s="40"/>
      <c r="D277" s="40"/>
      <c r="E277" s="41"/>
      <c r="F277" s="47"/>
      <c r="G277" s="47"/>
      <c r="H277" s="48"/>
      <c r="I277" s="40"/>
      <c r="J277" s="41"/>
      <c r="K277" s="41"/>
      <c r="L27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7" s="42" t="str">
        <f>IF(tblProductos[[#This Row],[SKU]]="","",COUNTIF(tblEntradas[SKU],tblProductos[[#This Row],[SKU]])+COUNTIF(tblSalidas[SKU],tblProductos[[#This Row],[SKU]]))</f>
        <v/>
      </c>
      <c r="N27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8" spans="2:14" x14ac:dyDescent="0.25">
      <c r="B278" s="40"/>
      <c r="C278" s="40"/>
      <c r="D278" s="40"/>
      <c r="E278" s="41"/>
      <c r="F278" s="47"/>
      <c r="G278" s="47"/>
      <c r="H278" s="48"/>
      <c r="I278" s="40"/>
      <c r="J278" s="41"/>
      <c r="K278" s="41"/>
      <c r="L27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8" s="42" t="str">
        <f>IF(tblProductos[[#This Row],[SKU]]="","",COUNTIF(tblEntradas[SKU],tblProductos[[#This Row],[SKU]])+COUNTIF(tblSalidas[SKU],tblProductos[[#This Row],[SKU]]))</f>
        <v/>
      </c>
      <c r="N27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9" spans="2:14" x14ac:dyDescent="0.25">
      <c r="B279" s="40"/>
      <c r="C279" s="40"/>
      <c r="D279" s="40"/>
      <c r="E279" s="41"/>
      <c r="F279" s="47"/>
      <c r="G279" s="47"/>
      <c r="H279" s="48"/>
      <c r="I279" s="40"/>
      <c r="J279" s="41"/>
      <c r="K279" s="41"/>
      <c r="L27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9" s="42" t="str">
        <f>IF(tblProductos[[#This Row],[SKU]]="","",COUNTIF(tblEntradas[SKU],tblProductos[[#This Row],[SKU]])+COUNTIF(tblSalidas[SKU],tblProductos[[#This Row],[SKU]]))</f>
        <v/>
      </c>
      <c r="N27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0" spans="2:14" x14ac:dyDescent="0.25">
      <c r="B280" s="40"/>
      <c r="C280" s="40"/>
      <c r="D280" s="40"/>
      <c r="E280" s="41"/>
      <c r="F280" s="47"/>
      <c r="G280" s="47"/>
      <c r="H280" s="48"/>
      <c r="I280" s="40"/>
      <c r="J280" s="41"/>
      <c r="K280" s="41"/>
      <c r="L28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0" s="42" t="str">
        <f>IF(tblProductos[[#This Row],[SKU]]="","",COUNTIF(tblEntradas[SKU],tblProductos[[#This Row],[SKU]])+COUNTIF(tblSalidas[SKU],tblProductos[[#This Row],[SKU]]))</f>
        <v/>
      </c>
      <c r="N28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1" spans="2:14" x14ac:dyDescent="0.25">
      <c r="B281" s="40"/>
      <c r="C281" s="40"/>
      <c r="D281" s="40"/>
      <c r="E281" s="41"/>
      <c r="F281" s="47"/>
      <c r="G281" s="47"/>
      <c r="H281" s="48"/>
      <c r="I281" s="40"/>
      <c r="J281" s="41"/>
      <c r="K281" s="41"/>
      <c r="L28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1" s="42" t="str">
        <f>IF(tblProductos[[#This Row],[SKU]]="","",COUNTIF(tblEntradas[SKU],tblProductos[[#This Row],[SKU]])+COUNTIF(tblSalidas[SKU],tblProductos[[#This Row],[SKU]]))</f>
        <v/>
      </c>
      <c r="N28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2" spans="2:14" x14ac:dyDescent="0.25">
      <c r="B282" s="40"/>
      <c r="C282" s="40"/>
      <c r="D282" s="40"/>
      <c r="E282" s="41"/>
      <c r="F282" s="47"/>
      <c r="G282" s="47"/>
      <c r="H282" s="48"/>
      <c r="I282" s="40"/>
      <c r="J282" s="41"/>
      <c r="K282" s="41"/>
      <c r="L28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2" s="42" t="str">
        <f>IF(tblProductos[[#This Row],[SKU]]="","",COUNTIF(tblEntradas[SKU],tblProductos[[#This Row],[SKU]])+COUNTIF(tblSalidas[SKU],tblProductos[[#This Row],[SKU]]))</f>
        <v/>
      </c>
      <c r="N28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3" spans="2:14" x14ac:dyDescent="0.25">
      <c r="B283" s="40"/>
      <c r="C283" s="40"/>
      <c r="D283" s="40"/>
      <c r="E283" s="41"/>
      <c r="F283" s="47"/>
      <c r="G283" s="47"/>
      <c r="H283" s="48"/>
      <c r="I283" s="40"/>
      <c r="J283" s="41"/>
      <c r="K283" s="41"/>
      <c r="L28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3" s="42" t="str">
        <f>IF(tblProductos[[#This Row],[SKU]]="","",COUNTIF(tblEntradas[SKU],tblProductos[[#This Row],[SKU]])+COUNTIF(tblSalidas[SKU],tblProductos[[#This Row],[SKU]]))</f>
        <v/>
      </c>
      <c r="N28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4" spans="2:14" x14ac:dyDescent="0.25">
      <c r="B284" s="40"/>
      <c r="C284" s="40"/>
      <c r="D284" s="40"/>
      <c r="E284" s="41"/>
      <c r="F284" s="47"/>
      <c r="G284" s="47"/>
      <c r="H284" s="48"/>
      <c r="I284" s="40"/>
      <c r="J284" s="41"/>
      <c r="K284" s="41"/>
      <c r="L28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4" s="42" t="str">
        <f>IF(tblProductos[[#This Row],[SKU]]="","",COUNTIF(tblEntradas[SKU],tblProductos[[#This Row],[SKU]])+COUNTIF(tblSalidas[SKU],tblProductos[[#This Row],[SKU]]))</f>
        <v/>
      </c>
      <c r="N28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5" spans="2:14" x14ac:dyDescent="0.25">
      <c r="B285" s="40"/>
      <c r="C285" s="40"/>
      <c r="D285" s="40"/>
      <c r="E285" s="41"/>
      <c r="F285" s="47"/>
      <c r="G285" s="47"/>
      <c r="H285" s="48"/>
      <c r="I285" s="40"/>
      <c r="J285" s="41"/>
      <c r="K285" s="41"/>
      <c r="L28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5" s="42" t="str">
        <f>IF(tblProductos[[#This Row],[SKU]]="","",COUNTIF(tblEntradas[SKU],tblProductos[[#This Row],[SKU]])+COUNTIF(tblSalidas[SKU],tblProductos[[#This Row],[SKU]]))</f>
        <v/>
      </c>
      <c r="N28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6" spans="2:14" x14ac:dyDescent="0.25">
      <c r="B286" s="40"/>
      <c r="C286" s="40"/>
      <c r="D286" s="40"/>
      <c r="E286" s="41"/>
      <c r="F286" s="47"/>
      <c r="G286" s="47"/>
      <c r="H286" s="48"/>
      <c r="I286" s="40"/>
      <c r="J286" s="41"/>
      <c r="K286" s="41"/>
      <c r="L28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6" s="42" t="str">
        <f>IF(tblProductos[[#This Row],[SKU]]="","",COUNTIF(tblEntradas[SKU],tblProductos[[#This Row],[SKU]])+COUNTIF(tblSalidas[SKU],tblProductos[[#This Row],[SKU]]))</f>
        <v/>
      </c>
      <c r="N28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7" spans="2:14" x14ac:dyDescent="0.25">
      <c r="B287" s="40"/>
      <c r="C287" s="40"/>
      <c r="D287" s="40"/>
      <c r="E287" s="41"/>
      <c r="F287" s="47"/>
      <c r="G287" s="47"/>
      <c r="H287" s="48"/>
      <c r="I287" s="40"/>
      <c r="J287" s="41"/>
      <c r="K287" s="41"/>
      <c r="L28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7" s="42" t="str">
        <f>IF(tblProductos[[#This Row],[SKU]]="","",COUNTIF(tblEntradas[SKU],tblProductos[[#This Row],[SKU]])+COUNTIF(tblSalidas[SKU],tblProductos[[#This Row],[SKU]]))</f>
        <v/>
      </c>
      <c r="N28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8" spans="2:14" x14ac:dyDescent="0.25">
      <c r="B288" s="40"/>
      <c r="C288" s="40"/>
      <c r="D288" s="40"/>
      <c r="E288" s="41"/>
      <c r="F288" s="47"/>
      <c r="G288" s="47"/>
      <c r="H288" s="48"/>
      <c r="I288" s="40"/>
      <c r="J288" s="41"/>
      <c r="K288" s="41"/>
      <c r="L28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8" s="42" t="str">
        <f>IF(tblProductos[[#This Row],[SKU]]="","",COUNTIF(tblEntradas[SKU],tblProductos[[#This Row],[SKU]])+COUNTIF(tblSalidas[SKU],tblProductos[[#This Row],[SKU]]))</f>
        <v/>
      </c>
      <c r="N28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9" spans="2:14" x14ac:dyDescent="0.25">
      <c r="B289" s="40"/>
      <c r="C289" s="40"/>
      <c r="D289" s="40"/>
      <c r="E289" s="41"/>
      <c r="F289" s="47"/>
      <c r="G289" s="47"/>
      <c r="H289" s="48"/>
      <c r="I289" s="40"/>
      <c r="J289" s="41"/>
      <c r="K289" s="41"/>
      <c r="L28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9" s="42" t="str">
        <f>IF(tblProductos[[#This Row],[SKU]]="","",COUNTIF(tblEntradas[SKU],tblProductos[[#This Row],[SKU]])+COUNTIF(tblSalidas[SKU],tblProductos[[#This Row],[SKU]]))</f>
        <v/>
      </c>
      <c r="N28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0" spans="2:14" x14ac:dyDescent="0.25">
      <c r="B290" s="40"/>
      <c r="C290" s="40"/>
      <c r="D290" s="40"/>
      <c r="E290" s="41"/>
      <c r="F290" s="47"/>
      <c r="G290" s="47"/>
      <c r="H290" s="48"/>
      <c r="I290" s="40"/>
      <c r="J290" s="41"/>
      <c r="K290" s="41"/>
      <c r="L29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0" s="42" t="str">
        <f>IF(tblProductos[[#This Row],[SKU]]="","",COUNTIF(tblEntradas[SKU],tblProductos[[#This Row],[SKU]])+COUNTIF(tblSalidas[SKU],tblProductos[[#This Row],[SKU]]))</f>
        <v/>
      </c>
      <c r="N29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1" spans="2:14" x14ac:dyDescent="0.25">
      <c r="B291" s="40"/>
      <c r="C291" s="40"/>
      <c r="D291" s="40"/>
      <c r="E291" s="41"/>
      <c r="F291" s="47"/>
      <c r="G291" s="47"/>
      <c r="H291" s="48"/>
      <c r="I291" s="40"/>
      <c r="J291" s="41"/>
      <c r="K291" s="41"/>
      <c r="L29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1" s="42" t="str">
        <f>IF(tblProductos[[#This Row],[SKU]]="","",COUNTIF(tblEntradas[SKU],tblProductos[[#This Row],[SKU]])+COUNTIF(tblSalidas[SKU],tblProductos[[#This Row],[SKU]]))</f>
        <v/>
      </c>
      <c r="N29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2" spans="2:14" x14ac:dyDescent="0.25">
      <c r="B292" s="40"/>
      <c r="C292" s="40"/>
      <c r="D292" s="40"/>
      <c r="E292" s="41"/>
      <c r="F292" s="47"/>
      <c r="G292" s="47"/>
      <c r="H292" s="48"/>
      <c r="I292" s="40"/>
      <c r="J292" s="41"/>
      <c r="K292" s="41"/>
      <c r="L29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2" s="42" t="str">
        <f>IF(tblProductos[[#This Row],[SKU]]="","",COUNTIF(tblEntradas[SKU],tblProductos[[#This Row],[SKU]])+COUNTIF(tblSalidas[SKU],tblProductos[[#This Row],[SKU]]))</f>
        <v/>
      </c>
      <c r="N29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3" spans="2:14" x14ac:dyDescent="0.25">
      <c r="B293" s="40"/>
      <c r="C293" s="40"/>
      <c r="D293" s="40"/>
      <c r="E293" s="41"/>
      <c r="F293" s="47"/>
      <c r="G293" s="47"/>
      <c r="H293" s="48"/>
      <c r="I293" s="40"/>
      <c r="J293" s="41"/>
      <c r="K293" s="41"/>
      <c r="L29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3" s="42" t="str">
        <f>IF(tblProductos[[#This Row],[SKU]]="","",COUNTIF(tblEntradas[SKU],tblProductos[[#This Row],[SKU]])+COUNTIF(tblSalidas[SKU],tblProductos[[#This Row],[SKU]]))</f>
        <v/>
      </c>
      <c r="N29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4" spans="2:14" x14ac:dyDescent="0.25">
      <c r="B294" s="40"/>
      <c r="C294" s="40"/>
      <c r="D294" s="40"/>
      <c r="E294" s="41"/>
      <c r="F294" s="47"/>
      <c r="G294" s="47"/>
      <c r="H294" s="48"/>
      <c r="I294" s="40"/>
      <c r="J294" s="41"/>
      <c r="K294" s="41"/>
      <c r="L29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4" s="42" t="str">
        <f>IF(tblProductos[[#This Row],[SKU]]="","",COUNTIF(tblEntradas[SKU],tblProductos[[#This Row],[SKU]])+COUNTIF(tblSalidas[SKU],tblProductos[[#This Row],[SKU]]))</f>
        <v/>
      </c>
      <c r="N29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5" spans="2:14" x14ac:dyDescent="0.25">
      <c r="B295" s="40"/>
      <c r="C295" s="40"/>
      <c r="D295" s="40"/>
      <c r="E295" s="41"/>
      <c r="F295" s="47"/>
      <c r="G295" s="47"/>
      <c r="H295" s="48"/>
      <c r="I295" s="40"/>
      <c r="J295" s="41"/>
      <c r="K295" s="41"/>
      <c r="L29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5" s="42" t="str">
        <f>IF(tblProductos[[#This Row],[SKU]]="","",COUNTIF(tblEntradas[SKU],tblProductos[[#This Row],[SKU]])+COUNTIF(tblSalidas[SKU],tblProductos[[#This Row],[SKU]]))</f>
        <v/>
      </c>
      <c r="N29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6" spans="2:14" x14ac:dyDescent="0.25">
      <c r="B296" s="40"/>
      <c r="C296" s="40"/>
      <c r="D296" s="40"/>
      <c r="E296" s="41"/>
      <c r="F296" s="47"/>
      <c r="G296" s="47"/>
      <c r="H296" s="48"/>
      <c r="I296" s="40"/>
      <c r="J296" s="41"/>
      <c r="K296" s="41"/>
      <c r="L29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6" s="42" t="str">
        <f>IF(tblProductos[[#This Row],[SKU]]="","",COUNTIF(tblEntradas[SKU],tblProductos[[#This Row],[SKU]])+COUNTIF(tblSalidas[SKU],tblProductos[[#This Row],[SKU]]))</f>
        <v/>
      </c>
      <c r="N29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7" spans="2:14" x14ac:dyDescent="0.25">
      <c r="B297" s="40"/>
      <c r="C297" s="40"/>
      <c r="D297" s="40"/>
      <c r="E297" s="41"/>
      <c r="F297" s="47"/>
      <c r="G297" s="47"/>
      <c r="H297" s="48"/>
      <c r="I297" s="40"/>
      <c r="J297" s="41"/>
      <c r="K297" s="41"/>
      <c r="L29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7" s="42" t="str">
        <f>IF(tblProductos[[#This Row],[SKU]]="","",COUNTIF(tblEntradas[SKU],tblProductos[[#This Row],[SKU]])+COUNTIF(tblSalidas[SKU],tblProductos[[#This Row],[SKU]]))</f>
        <v/>
      </c>
      <c r="N29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8" spans="2:14" x14ac:dyDescent="0.25">
      <c r="B298" s="40"/>
      <c r="C298" s="40"/>
      <c r="D298" s="40"/>
      <c r="E298" s="41"/>
      <c r="F298" s="47"/>
      <c r="G298" s="47"/>
      <c r="H298" s="48"/>
      <c r="I298" s="40"/>
      <c r="J298" s="41"/>
      <c r="K298" s="41"/>
      <c r="L29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8" s="42" t="str">
        <f>IF(tblProductos[[#This Row],[SKU]]="","",COUNTIF(tblEntradas[SKU],tblProductos[[#This Row],[SKU]])+COUNTIF(tblSalidas[SKU],tblProductos[[#This Row],[SKU]]))</f>
        <v/>
      </c>
      <c r="N29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9" spans="2:14" x14ac:dyDescent="0.25">
      <c r="B299" s="40"/>
      <c r="C299" s="40"/>
      <c r="D299" s="40"/>
      <c r="E299" s="41"/>
      <c r="F299" s="47"/>
      <c r="G299" s="47"/>
      <c r="H299" s="48"/>
      <c r="I299" s="40"/>
      <c r="J299" s="41"/>
      <c r="K299" s="41"/>
      <c r="L29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9" s="42" t="str">
        <f>IF(tblProductos[[#This Row],[SKU]]="","",COUNTIF(tblEntradas[SKU],tblProductos[[#This Row],[SKU]])+COUNTIF(tblSalidas[SKU],tblProductos[[#This Row],[SKU]]))</f>
        <v/>
      </c>
      <c r="N29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0" spans="2:14" x14ac:dyDescent="0.25">
      <c r="B300" s="40"/>
      <c r="C300" s="40"/>
      <c r="D300" s="40"/>
      <c r="E300" s="41"/>
      <c r="F300" s="47"/>
      <c r="G300" s="47"/>
      <c r="H300" s="48"/>
      <c r="I300" s="40"/>
      <c r="J300" s="41"/>
      <c r="K300" s="41"/>
      <c r="L30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0" s="42" t="str">
        <f>IF(tblProductos[[#This Row],[SKU]]="","",COUNTIF(tblEntradas[SKU],tblProductos[[#This Row],[SKU]])+COUNTIF(tblSalidas[SKU],tblProductos[[#This Row],[SKU]]))</f>
        <v/>
      </c>
      <c r="N30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1" spans="2:14" x14ac:dyDescent="0.25">
      <c r="B301" s="40"/>
      <c r="C301" s="40"/>
      <c r="D301" s="40"/>
      <c r="E301" s="41"/>
      <c r="F301" s="47"/>
      <c r="G301" s="47"/>
      <c r="H301" s="48"/>
      <c r="I301" s="40"/>
      <c r="J301" s="41"/>
      <c r="K301" s="41"/>
      <c r="L30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1" s="42" t="str">
        <f>IF(tblProductos[[#This Row],[SKU]]="","",COUNTIF(tblEntradas[SKU],tblProductos[[#This Row],[SKU]])+COUNTIF(tblSalidas[SKU],tblProductos[[#This Row],[SKU]]))</f>
        <v/>
      </c>
      <c r="N30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2" spans="2:14" x14ac:dyDescent="0.25">
      <c r="B302" s="40"/>
      <c r="C302" s="40"/>
      <c r="D302" s="40"/>
      <c r="E302" s="41"/>
      <c r="F302" s="47"/>
      <c r="G302" s="47"/>
      <c r="H302" s="48"/>
      <c r="I302" s="40"/>
      <c r="J302" s="41"/>
      <c r="K302" s="41"/>
      <c r="L30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2" s="42" t="str">
        <f>IF(tblProductos[[#This Row],[SKU]]="","",COUNTIF(tblEntradas[SKU],tblProductos[[#This Row],[SKU]])+COUNTIF(tblSalidas[SKU],tblProductos[[#This Row],[SKU]]))</f>
        <v/>
      </c>
      <c r="N30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3" spans="2:14" x14ac:dyDescent="0.25">
      <c r="B303" s="40"/>
      <c r="C303" s="40"/>
      <c r="D303" s="40"/>
      <c r="E303" s="41"/>
      <c r="F303" s="47"/>
      <c r="G303" s="47"/>
      <c r="H303" s="48"/>
      <c r="I303" s="40"/>
      <c r="J303" s="41"/>
      <c r="K303" s="41"/>
      <c r="L30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3" s="42" t="str">
        <f>IF(tblProductos[[#This Row],[SKU]]="","",COUNTIF(tblEntradas[SKU],tblProductos[[#This Row],[SKU]])+COUNTIF(tblSalidas[SKU],tblProductos[[#This Row],[SKU]]))</f>
        <v/>
      </c>
      <c r="N30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4" spans="2:14" x14ac:dyDescent="0.25">
      <c r="B304" s="40"/>
      <c r="C304" s="40"/>
      <c r="D304" s="40"/>
      <c r="E304" s="41"/>
      <c r="F304" s="47"/>
      <c r="G304" s="47"/>
      <c r="H304" s="48"/>
      <c r="I304" s="40"/>
      <c r="J304" s="41"/>
      <c r="K304" s="41"/>
      <c r="L30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4" s="42" t="str">
        <f>IF(tblProductos[[#This Row],[SKU]]="","",COUNTIF(tblEntradas[SKU],tblProductos[[#This Row],[SKU]])+COUNTIF(tblSalidas[SKU],tblProductos[[#This Row],[SKU]]))</f>
        <v/>
      </c>
      <c r="N30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5" spans="2:14" x14ac:dyDescent="0.25">
      <c r="B305" s="40"/>
      <c r="C305" s="40"/>
      <c r="D305" s="40"/>
      <c r="E305" s="41"/>
      <c r="F305" s="47"/>
      <c r="G305" s="47"/>
      <c r="H305" s="48"/>
      <c r="I305" s="40"/>
      <c r="J305" s="41"/>
      <c r="K305" s="41"/>
      <c r="L30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5" s="42" t="str">
        <f>IF(tblProductos[[#This Row],[SKU]]="","",COUNTIF(tblEntradas[SKU],tblProductos[[#This Row],[SKU]])+COUNTIF(tblSalidas[SKU],tblProductos[[#This Row],[SKU]]))</f>
        <v/>
      </c>
      <c r="N30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6" spans="2:14" x14ac:dyDescent="0.25">
      <c r="B306" s="40"/>
      <c r="C306" s="40"/>
      <c r="D306" s="40"/>
      <c r="E306" s="41"/>
      <c r="F306" s="47"/>
      <c r="G306" s="47"/>
      <c r="H306" s="48"/>
      <c r="I306" s="40"/>
      <c r="J306" s="41"/>
      <c r="K306" s="41"/>
      <c r="L30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6" s="42" t="str">
        <f>IF(tblProductos[[#This Row],[SKU]]="","",COUNTIF(tblEntradas[SKU],tblProductos[[#This Row],[SKU]])+COUNTIF(tblSalidas[SKU],tblProductos[[#This Row],[SKU]]))</f>
        <v/>
      </c>
      <c r="N30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7" spans="2:14" x14ac:dyDescent="0.25">
      <c r="B307" s="40"/>
      <c r="C307" s="40"/>
      <c r="D307" s="40"/>
      <c r="E307" s="41"/>
      <c r="F307" s="47"/>
      <c r="G307" s="47"/>
      <c r="H307" s="48"/>
      <c r="I307" s="40"/>
      <c r="J307" s="41"/>
      <c r="K307" s="41"/>
      <c r="L30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7" s="42" t="str">
        <f>IF(tblProductos[[#This Row],[SKU]]="","",COUNTIF(tblEntradas[SKU],tblProductos[[#This Row],[SKU]])+COUNTIF(tblSalidas[SKU],tblProductos[[#This Row],[SKU]]))</f>
        <v/>
      </c>
      <c r="N30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8" spans="2:14" x14ac:dyDescent="0.25">
      <c r="B308" s="40"/>
      <c r="C308" s="40"/>
      <c r="D308" s="40"/>
      <c r="E308" s="41"/>
      <c r="F308" s="47"/>
      <c r="G308" s="47"/>
      <c r="H308" s="48"/>
      <c r="I308" s="40"/>
      <c r="J308" s="41"/>
      <c r="K308" s="41"/>
      <c r="L30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8" s="42" t="str">
        <f>IF(tblProductos[[#This Row],[SKU]]="","",COUNTIF(tblEntradas[SKU],tblProductos[[#This Row],[SKU]])+COUNTIF(tblSalidas[SKU],tblProductos[[#This Row],[SKU]]))</f>
        <v/>
      </c>
      <c r="N30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9" spans="2:14" x14ac:dyDescent="0.25">
      <c r="B309" s="40"/>
      <c r="C309" s="40"/>
      <c r="D309" s="40"/>
      <c r="E309" s="41"/>
      <c r="F309" s="47"/>
      <c r="G309" s="47"/>
      <c r="H309" s="48"/>
      <c r="I309" s="40"/>
      <c r="J309" s="41"/>
      <c r="K309" s="41"/>
      <c r="L30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9" s="42" t="str">
        <f>IF(tblProductos[[#This Row],[SKU]]="","",COUNTIF(tblEntradas[SKU],tblProductos[[#This Row],[SKU]])+COUNTIF(tblSalidas[SKU],tblProductos[[#This Row],[SKU]]))</f>
        <v/>
      </c>
      <c r="N30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0" spans="2:14" x14ac:dyDescent="0.25">
      <c r="B310" s="40"/>
      <c r="C310" s="40"/>
      <c r="D310" s="40"/>
      <c r="E310" s="41"/>
      <c r="F310" s="47"/>
      <c r="G310" s="47"/>
      <c r="H310" s="48"/>
      <c r="I310" s="40"/>
      <c r="J310" s="41"/>
      <c r="K310" s="41"/>
      <c r="L31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0" s="42" t="str">
        <f>IF(tblProductos[[#This Row],[SKU]]="","",COUNTIF(tblEntradas[SKU],tblProductos[[#This Row],[SKU]])+COUNTIF(tblSalidas[SKU],tblProductos[[#This Row],[SKU]]))</f>
        <v/>
      </c>
      <c r="N31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1" spans="2:14" x14ac:dyDescent="0.25">
      <c r="B311" s="40"/>
      <c r="C311" s="40"/>
      <c r="D311" s="40"/>
      <c r="E311" s="41"/>
      <c r="F311" s="47"/>
      <c r="G311" s="47"/>
      <c r="H311" s="48"/>
      <c r="I311" s="40"/>
      <c r="J311" s="41"/>
      <c r="K311" s="41"/>
      <c r="L31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1" s="42" t="str">
        <f>IF(tblProductos[[#This Row],[SKU]]="","",COUNTIF(tblEntradas[SKU],tblProductos[[#This Row],[SKU]])+COUNTIF(tblSalidas[SKU],tblProductos[[#This Row],[SKU]]))</f>
        <v/>
      </c>
      <c r="N31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2" spans="2:14" x14ac:dyDescent="0.25">
      <c r="B312" s="40"/>
      <c r="C312" s="40"/>
      <c r="D312" s="40"/>
      <c r="E312" s="41"/>
      <c r="F312" s="47"/>
      <c r="G312" s="47"/>
      <c r="H312" s="48"/>
      <c r="I312" s="40"/>
      <c r="J312" s="41"/>
      <c r="K312" s="41"/>
      <c r="L31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2" s="42" t="str">
        <f>IF(tblProductos[[#This Row],[SKU]]="","",COUNTIF(tblEntradas[SKU],tblProductos[[#This Row],[SKU]])+COUNTIF(tblSalidas[SKU],tblProductos[[#This Row],[SKU]]))</f>
        <v/>
      </c>
      <c r="N31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3" spans="2:14" x14ac:dyDescent="0.25">
      <c r="B313" s="40"/>
      <c r="C313" s="40"/>
      <c r="D313" s="40"/>
      <c r="E313" s="41"/>
      <c r="F313" s="47"/>
      <c r="G313" s="47"/>
      <c r="H313" s="48"/>
      <c r="I313" s="40"/>
      <c r="J313" s="41"/>
      <c r="K313" s="41"/>
      <c r="L31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3" s="42" t="str">
        <f>IF(tblProductos[[#This Row],[SKU]]="","",COUNTIF(tblEntradas[SKU],tblProductos[[#This Row],[SKU]])+COUNTIF(tblSalidas[SKU],tblProductos[[#This Row],[SKU]]))</f>
        <v/>
      </c>
      <c r="N31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4" spans="2:14" x14ac:dyDescent="0.25">
      <c r="B314" s="40"/>
      <c r="C314" s="40"/>
      <c r="D314" s="40"/>
      <c r="E314" s="41"/>
      <c r="F314" s="47"/>
      <c r="G314" s="47"/>
      <c r="H314" s="48"/>
      <c r="I314" s="40"/>
      <c r="J314" s="41"/>
      <c r="K314" s="41"/>
      <c r="L31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4" s="42" t="str">
        <f>IF(tblProductos[[#This Row],[SKU]]="","",COUNTIF(tblEntradas[SKU],tblProductos[[#This Row],[SKU]])+COUNTIF(tblSalidas[SKU],tblProductos[[#This Row],[SKU]]))</f>
        <v/>
      </c>
      <c r="N31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5" spans="2:14" x14ac:dyDescent="0.25">
      <c r="B315" s="40"/>
      <c r="C315" s="40"/>
      <c r="D315" s="40"/>
      <c r="E315" s="41"/>
      <c r="F315" s="47"/>
      <c r="G315" s="47"/>
      <c r="H315" s="48"/>
      <c r="I315" s="40"/>
      <c r="J315" s="41"/>
      <c r="K315" s="41"/>
      <c r="L31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5" s="42" t="str">
        <f>IF(tblProductos[[#This Row],[SKU]]="","",COUNTIF(tblEntradas[SKU],tblProductos[[#This Row],[SKU]])+COUNTIF(tblSalidas[SKU],tblProductos[[#This Row],[SKU]]))</f>
        <v/>
      </c>
      <c r="N31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6" spans="2:14" x14ac:dyDescent="0.25">
      <c r="B316" s="40"/>
      <c r="C316" s="40"/>
      <c r="D316" s="40"/>
      <c r="E316" s="41"/>
      <c r="F316" s="47"/>
      <c r="G316" s="47"/>
      <c r="H316" s="48"/>
      <c r="I316" s="40"/>
      <c r="J316" s="41"/>
      <c r="K316" s="41"/>
      <c r="L31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6" s="42" t="str">
        <f>IF(tblProductos[[#This Row],[SKU]]="","",COUNTIF(tblEntradas[SKU],tblProductos[[#This Row],[SKU]])+COUNTIF(tblSalidas[SKU],tblProductos[[#This Row],[SKU]]))</f>
        <v/>
      </c>
      <c r="N31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7" spans="2:14" x14ac:dyDescent="0.25">
      <c r="B317" s="40"/>
      <c r="C317" s="40"/>
      <c r="D317" s="40"/>
      <c r="E317" s="41"/>
      <c r="F317" s="47"/>
      <c r="G317" s="47"/>
      <c r="H317" s="48"/>
      <c r="I317" s="40"/>
      <c r="J317" s="41"/>
      <c r="K317" s="41"/>
      <c r="L31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7" s="42" t="str">
        <f>IF(tblProductos[[#This Row],[SKU]]="","",COUNTIF(tblEntradas[SKU],tblProductos[[#This Row],[SKU]])+COUNTIF(tblSalidas[SKU],tblProductos[[#This Row],[SKU]]))</f>
        <v/>
      </c>
      <c r="N31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8" spans="2:14" x14ac:dyDescent="0.25">
      <c r="B318" s="40"/>
      <c r="C318" s="40"/>
      <c r="D318" s="40"/>
      <c r="E318" s="41"/>
      <c r="F318" s="47"/>
      <c r="G318" s="47"/>
      <c r="H318" s="48"/>
      <c r="I318" s="40"/>
      <c r="J318" s="41"/>
      <c r="K318" s="41"/>
      <c r="L31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8" s="42" t="str">
        <f>IF(tblProductos[[#This Row],[SKU]]="","",COUNTIF(tblEntradas[SKU],tblProductos[[#This Row],[SKU]])+COUNTIF(tblSalidas[SKU],tblProductos[[#This Row],[SKU]]))</f>
        <v/>
      </c>
      <c r="N31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9" spans="2:14" x14ac:dyDescent="0.25">
      <c r="B319" s="40"/>
      <c r="C319" s="40"/>
      <c r="D319" s="40"/>
      <c r="E319" s="41"/>
      <c r="F319" s="47"/>
      <c r="G319" s="47"/>
      <c r="H319" s="48"/>
      <c r="I319" s="40"/>
      <c r="J319" s="41"/>
      <c r="K319" s="41"/>
      <c r="L31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9" s="42" t="str">
        <f>IF(tblProductos[[#This Row],[SKU]]="","",COUNTIF(tblEntradas[SKU],tblProductos[[#This Row],[SKU]])+COUNTIF(tblSalidas[SKU],tblProductos[[#This Row],[SKU]]))</f>
        <v/>
      </c>
      <c r="N31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0" spans="2:14" x14ac:dyDescent="0.25">
      <c r="B320" s="40"/>
      <c r="C320" s="40"/>
      <c r="D320" s="40"/>
      <c r="E320" s="41"/>
      <c r="F320" s="47"/>
      <c r="G320" s="47"/>
      <c r="H320" s="48"/>
      <c r="I320" s="40"/>
      <c r="J320" s="41"/>
      <c r="K320" s="41"/>
      <c r="L32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0" s="42" t="str">
        <f>IF(tblProductos[[#This Row],[SKU]]="","",COUNTIF(tblEntradas[SKU],tblProductos[[#This Row],[SKU]])+COUNTIF(tblSalidas[SKU],tblProductos[[#This Row],[SKU]]))</f>
        <v/>
      </c>
      <c r="N32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1" spans="2:14" x14ac:dyDescent="0.25">
      <c r="B321" s="40"/>
      <c r="C321" s="40"/>
      <c r="D321" s="40"/>
      <c r="E321" s="41"/>
      <c r="F321" s="47"/>
      <c r="G321" s="47"/>
      <c r="H321" s="48"/>
      <c r="I321" s="40"/>
      <c r="J321" s="41"/>
      <c r="K321" s="41"/>
      <c r="L32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1" s="42" t="str">
        <f>IF(tblProductos[[#This Row],[SKU]]="","",COUNTIF(tblEntradas[SKU],tblProductos[[#This Row],[SKU]])+COUNTIF(tblSalidas[SKU],tblProductos[[#This Row],[SKU]]))</f>
        <v/>
      </c>
      <c r="N32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2" spans="2:14" x14ac:dyDescent="0.25">
      <c r="B322" s="40"/>
      <c r="C322" s="40"/>
      <c r="D322" s="40"/>
      <c r="E322" s="41"/>
      <c r="F322" s="47"/>
      <c r="G322" s="47"/>
      <c r="H322" s="48"/>
      <c r="I322" s="40"/>
      <c r="J322" s="41"/>
      <c r="K322" s="41"/>
      <c r="L32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2" s="42" t="str">
        <f>IF(tblProductos[[#This Row],[SKU]]="","",COUNTIF(tblEntradas[SKU],tblProductos[[#This Row],[SKU]])+COUNTIF(tblSalidas[SKU],tblProductos[[#This Row],[SKU]]))</f>
        <v/>
      </c>
      <c r="N32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3" spans="2:14" x14ac:dyDescent="0.25">
      <c r="B323" s="40"/>
      <c r="C323" s="40"/>
      <c r="D323" s="40"/>
      <c r="E323" s="41"/>
      <c r="F323" s="47"/>
      <c r="G323" s="47"/>
      <c r="H323" s="48"/>
      <c r="I323" s="40"/>
      <c r="J323" s="41"/>
      <c r="K323" s="41"/>
      <c r="L32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3" s="42" t="str">
        <f>IF(tblProductos[[#This Row],[SKU]]="","",COUNTIF(tblEntradas[SKU],tblProductos[[#This Row],[SKU]])+COUNTIF(tblSalidas[SKU],tblProductos[[#This Row],[SKU]]))</f>
        <v/>
      </c>
      <c r="N32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4" spans="2:14" x14ac:dyDescent="0.25">
      <c r="B324" s="40"/>
      <c r="C324" s="40"/>
      <c r="D324" s="40"/>
      <c r="E324" s="41"/>
      <c r="F324" s="47"/>
      <c r="G324" s="47"/>
      <c r="H324" s="48"/>
      <c r="I324" s="40"/>
      <c r="J324" s="41"/>
      <c r="K324" s="41"/>
      <c r="L32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4" s="42" t="str">
        <f>IF(tblProductos[[#This Row],[SKU]]="","",COUNTIF(tblEntradas[SKU],tblProductos[[#This Row],[SKU]])+COUNTIF(tblSalidas[SKU],tblProductos[[#This Row],[SKU]]))</f>
        <v/>
      </c>
      <c r="N32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5" spans="2:14" x14ac:dyDescent="0.25">
      <c r="B325" s="40"/>
      <c r="C325" s="40"/>
      <c r="D325" s="40"/>
      <c r="E325" s="41"/>
      <c r="F325" s="47"/>
      <c r="G325" s="47"/>
      <c r="H325" s="48"/>
      <c r="I325" s="40"/>
      <c r="J325" s="41"/>
      <c r="K325" s="41"/>
      <c r="L32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5" s="42" t="str">
        <f>IF(tblProductos[[#This Row],[SKU]]="","",COUNTIF(tblEntradas[SKU],tblProductos[[#This Row],[SKU]])+COUNTIF(tblSalidas[SKU],tblProductos[[#This Row],[SKU]]))</f>
        <v/>
      </c>
      <c r="N32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6" spans="2:14" x14ac:dyDescent="0.25">
      <c r="B326" s="40"/>
      <c r="C326" s="40"/>
      <c r="D326" s="40"/>
      <c r="E326" s="41"/>
      <c r="F326" s="47"/>
      <c r="G326" s="47"/>
      <c r="H326" s="48"/>
      <c r="I326" s="40"/>
      <c r="J326" s="41"/>
      <c r="K326" s="41"/>
      <c r="L32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6" s="42" t="str">
        <f>IF(tblProductos[[#This Row],[SKU]]="","",COUNTIF(tblEntradas[SKU],tblProductos[[#This Row],[SKU]])+COUNTIF(tblSalidas[SKU],tblProductos[[#This Row],[SKU]]))</f>
        <v/>
      </c>
      <c r="N32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7" spans="2:14" x14ac:dyDescent="0.25">
      <c r="B327" s="40"/>
      <c r="C327" s="40"/>
      <c r="D327" s="40"/>
      <c r="E327" s="41"/>
      <c r="F327" s="47"/>
      <c r="G327" s="47"/>
      <c r="H327" s="48"/>
      <c r="I327" s="40"/>
      <c r="J327" s="41"/>
      <c r="K327" s="41"/>
      <c r="L32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7" s="42" t="str">
        <f>IF(tblProductos[[#This Row],[SKU]]="","",COUNTIF(tblEntradas[SKU],tblProductos[[#This Row],[SKU]])+COUNTIF(tblSalidas[SKU],tblProductos[[#This Row],[SKU]]))</f>
        <v/>
      </c>
      <c r="N32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8" spans="2:14" x14ac:dyDescent="0.25">
      <c r="B328" s="40"/>
      <c r="C328" s="40"/>
      <c r="D328" s="40"/>
      <c r="E328" s="41"/>
      <c r="F328" s="47"/>
      <c r="G328" s="47"/>
      <c r="H328" s="48"/>
      <c r="I328" s="40"/>
      <c r="J328" s="41"/>
      <c r="K328" s="41"/>
      <c r="L32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8" s="42" t="str">
        <f>IF(tblProductos[[#This Row],[SKU]]="","",COUNTIF(tblEntradas[SKU],tblProductos[[#This Row],[SKU]])+COUNTIF(tblSalidas[SKU],tblProductos[[#This Row],[SKU]]))</f>
        <v/>
      </c>
      <c r="N32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9" spans="2:14" x14ac:dyDescent="0.25">
      <c r="B329" s="40"/>
      <c r="C329" s="40"/>
      <c r="D329" s="40"/>
      <c r="E329" s="41"/>
      <c r="F329" s="47"/>
      <c r="G329" s="47"/>
      <c r="H329" s="48"/>
      <c r="I329" s="40"/>
      <c r="J329" s="41"/>
      <c r="K329" s="41"/>
      <c r="L32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9" s="42" t="str">
        <f>IF(tblProductos[[#This Row],[SKU]]="","",COUNTIF(tblEntradas[SKU],tblProductos[[#This Row],[SKU]])+COUNTIF(tblSalidas[SKU],tblProductos[[#This Row],[SKU]]))</f>
        <v/>
      </c>
      <c r="N32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0" spans="2:14" x14ac:dyDescent="0.25">
      <c r="B330" s="40"/>
      <c r="C330" s="40"/>
      <c r="D330" s="40"/>
      <c r="E330" s="41"/>
      <c r="F330" s="47"/>
      <c r="G330" s="47"/>
      <c r="H330" s="48"/>
      <c r="I330" s="40"/>
      <c r="J330" s="41"/>
      <c r="K330" s="41"/>
      <c r="L33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0" s="42" t="str">
        <f>IF(tblProductos[[#This Row],[SKU]]="","",COUNTIF(tblEntradas[SKU],tblProductos[[#This Row],[SKU]])+COUNTIF(tblSalidas[SKU],tblProductos[[#This Row],[SKU]]))</f>
        <v/>
      </c>
      <c r="N33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1" spans="2:14" x14ac:dyDescent="0.25">
      <c r="B331" s="40"/>
      <c r="C331" s="40"/>
      <c r="D331" s="40"/>
      <c r="E331" s="41"/>
      <c r="F331" s="47"/>
      <c r="G331" s="47"/>
      <c r="H331" s="48"/>
      <c r="I331" s="40"/>
      <c r="J331" s="41"/>
      <c r="K331" s="41"/>
      <c r="L33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1" s="42" t="str">
        <f>IF(tblProductos[[#This Row],[SKU]]="","",COUNTIF(tblEntradas[SKU],tblProductos[[#This Row],[SKU]])+COUNTIF(tblSalidas[SKU],tblProductos[[#This Row],[SKU]]))</f>
        <v/>
      </c>
      <c r="N33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2" spans="2:14" x14ac:dyDescent="0.25">
      <c r="B332" s="40"/>
      <c r="C332" s="40"/>
      <c r="D332" s="40"/>
      <c r="E332" s="41"/>
      <c r="F332" s="47"/>
      <c r="G332" s="47"/>
      <c r="H332" s="48"/>
      <c r="I332" s="40"/>
      <c r="J332" s="41"/>
      <c r="K332" s="41"/>
      <c r="L33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2" s="42" t="str">
        <f>IF(tblProductos[[#This Row],[SKU]]="","",COUNTIF(tblEntradas[SKU],tblProductos[[#This Row],[SKU]])+COUNTIF(tblSalidas[SKU],tblProductos[[#This Row],[SKU]]))</f>
        <v/>
      </c>
      <c r="N33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3" spans="2:14" x14ac:dyDescent="0.25">
      <c r="B333" s="40"/>
      <c r="C333" s="40"/>
      <c r="D333" s="40"/>
      <c r="E333" s="41"/>
      <c r="F333" s="47"/>
      <c r="G333" s="47"/>
      <c r="H333" s="48"/>
      <c r="I333" s="40"/>
      <c r="J333" s="41"/>
      <c r="K333" s="41"/>
      <c r="L33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3" s="42" t="str">
        <f>IF(tblProductos[[#This Row],[SKU]]="","",COUNTIF(tblEntradas[SKU],tblProductos[[#This Row],[SKU]])+COUNTIF(tblSalidas[SKU],tblProductos[[#This Row],[SKU]]))</f>
        <v/>
      </c>
      <c r="N33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4" spans="2:14" x14ac:dyDescent="0.25">
      <c r="B334" s="40"/>
      <c r="C334" s="40"/>
      <c r="D334" s="40"/>
      <c r="E334" s="41"/>
      <c r="F334" s="47"/>
      <c r="G334" s="47"/>
      <c r="H334" s="48"/>
      <c r="I334" s="40"/>
      <c r="J334" s="41"/>
      <c r="K334" s="41"/>
      <c r="L33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4" s="42" t="str">
        <f>IF(tblProductos[[#This Row],[SKU]]="","",COUNTIF(tblEntradas[SKU],tblProductos[[#This Row],[SKU]])+COUNTIF(tblSalidas[SKU],tblProductos[[#This Row],[SKU]]))</f>
        <v/>
      </c>
      <c r="N33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5" spans="2:14" x14ac:dyDescent="0.25">
      <c r="B335" s="40"/>
      <c r="C335" s="40"/>
      <c r="D335" s="40"/>
      <c r="E335" s="41"/>
      <c r="F335" s="47"/>
      <c r="G335" s="47"/>
      <c r="H335" s="48"/>
      <c r="I335" s="40"/>
      <c r="J335" s="41"/>
      <c r="K335" s="41"/>
      <c r="L33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5" s="42" t="str">
        <f>IF(tblProductos[[#This Row],[SKU]]="","",COUNTIF(tblEntradas[SKU],tblProductos[[#This Row],[SKU]])+COUNTIF(tblSalidas[SKU],tblProductos[[#This Row],[SKU]]))</f>
        <v/>
      </c>
      <c r="N33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6" spans="2:14" x14ac:dyDescent="0.25">
      <c r="B336" s="40"/>
      <c r="C336" s="40"/>
      <c r="D336" s="40"/>
      <c r="E336" s="41"/>
      <c r="F336" s="47"/>
      <c r="G336" s="47"/>
      <c r="H336" s="48"/>
      <c r="I336" s="40"/>
      <c r="J336" s="41"/>
      <c r="K336" s="41"/>
      <c r="L33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6" s="42" t="str">
        <f>IF(tblProductos[[#This Row],[SKU]]="","",COUNTIF(tblEntradas[SKU],tblProductos[[#This Row],[SKU]])+COUNTIF(tblSalidas[SKU],tblProductos[[#This Row],[SKU]]))</f>
        <v/>
      </c>
      <c r="N33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7" spans="2:14" x14ac:dyDescent="0.25">
      <c r="B337" s="40"/>
      <c r="C337" s="40"/>
      <c r="D337" s="40"/>
      <c r="E337" s="41"/>
      <c r="F337" s="47"/>
      <c r="G337" s="47"/>
      <c r="H337" s="48"/>
      <c r="I337" s="40"/>
      <c r="J337" s="41"/>
      <c r="K337" s="41"/>
      <c r="L33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7" s="42" t="str">
        <f>IF(tblProductos[[#This Row],[SKU]]="","",COUNTIF(tblEntradas[SKU],tblProductos[[#This Row],[SKU]])+COUNTIF(tblSalidas[SKU],tblProductos[[#This Row],[SKU]]))</f>
        <v/>
      </c>
      <c r="N33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8" spans="2:14" x14ac:dyDescent="0.25">
      <c r="B338" s="40"/>
      <c r="C338" s="40"/>
      <c r="D338" s="40"/>
      <c r="E338" s="41"/>
      <c r="F338" s="47"/>
      <c r="G338" s="47"/>
      <c r="H338" s="48"/>
      <c r="I338" s="40"/>
      <c r="J338" s="41"/>
      <c r="K338" s="41"/>
      <c r="L33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8" s="42" t="str">
        <f>IF(tblProductos[[#This Row],[SKU]]="","",COUNTIF(tblEntradas[SKU],tblProductos[[#This Row],[SKU]])+COUNTIF(tblSalidas[SKU],tblProductos[[#This Row],[SKU]]))</f>
        <v/>
      </c>
      <c r="N33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9" spans="2:14" x14ac:dyDescent="0.25">
      <c r="B339" s="40"/>
      <c r="C339" s="40"/>
      <c r="D339" s="40"/>
      <c r="E339" s="41"/>
      <c r="F339" s="47"/>
      <c r="G339" s="47"/>
      <c r="H339" s="48"/>
      <c r="I339" s="40"/>
      <c r="J339" s="41"/>
      <c r="K339" s="41"/>
      <c r="L33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9" s="42" t="str">
        <f>IF(tblProductos[[#This Row],[SKU]]="","",COUNTIF(tblEntradas[SKU],tblProductos[[#This Row],[SKU]])+COUNTIF(tblSalidas[SKU],tblProductos[[#This Row],[SKU]]))</f>
        <v/>
      </c>
      <c r="N33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0" spans="2:14" x14ac:dyDescent="0.25">
      <c r="B340" s="40"/>
      <c r="C340" s="40"/>
      <c r="D340" s="40"/>
      <c r="E340" s="41"/>
      <c r="F340" s="47"/>
      <c r="G340" s="47"/>
      <c r="H340" s="48"/>
      <c r="I340" s="40"/>
      <c r="J340" s="41"/>
      <c r="K340" s="41"/>
      <c r="L34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0" s="42" t="str">
        <f>IF(tblProductos[[#This Row],[SKU]]="","",COUNTIF(tblEntradas[SKU],tblProductos[[#This Row],[SKU]])+COUNTIF(tblSalidas[SKU],tblProductos[[#This Row],[SKU]]))</f>
        <v/>
      </c>
      <c r="N34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1" spans="2:14" x14ac:dyDescent="0.25">
      <c r="B341" s="40"/>
      <c r="C341" s="40"/>
      <c r="D341" s="40"/>
      <c r="E341" s="41"/>
      <c r="F341" s="47"/>
      <c r="G341" s="47"/>
      <c r="H341" s="48"/>
      <c r="I341" s="40"/>
      <c r="J341" s="41"/>
      <c r="K341" s="41"/>
      <c r="L34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1" s="42" t="str">
        <f>IF(tblProductos[[#This Row],[SKU]]="","",COUNTIF(tblEntradas[SKU],tblProductos[[#This Row],[SKU]])+COUNTIF(tblSalidas[SKU],tblProductos[[#This Row],[SKU]]))</f>
        <v/>
      </c>
      <c r="N34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2" spans="2:14" x14ac:dyDescent="0.25">
      <c r="B342" s="40"/>
      <c r="C342" s="40"/>
      <c r="D342" s="40"/>
      <c r="E342" s="41"/>
      <c r="F342" s="47"/>
      <c r="G342" s="47"/>
      <c r="H342" s="48"/>
      <c r="I342" s="40"/>
      <c r="J342" s="41"/>
      <c r="K342" s="41"/>
      <c r="L34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2" s="42" t="str">
        <f>IF(tblProductos[[#This Row],[SKU]]="","",COUNTIF(tblEntradas[SKU],tblProductos[[#This Row],[SKU]])+COUNTIF(tblSalidas[SKU],tblProductos[[#This Row],[SKU]]))</f>
        <v/>
      </c>
      <c r="N34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3" spans="2:14" x14ac:dyDescent="0.25">
      <c r="B343" s="40"/>
      <c r="C343" s="40"/>
      <c r="D343" s="40"/>
      <c r="E343" s="41"/>
      <c r="F343" s="47"/>
      <c r="G343" s="47"/>
      <c r="H343" s="48"/>
      <c r="I343" s="40"/>
      <c r="J343" s="41"/>
      <c r="K343" s="41"/>
      <c r="L34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3" s="42" t="str">
        <f>IF(tblProductos[[#This Row],[SKU]]="","",COUNTIF(tblEntradas[SKU],tblProductos[[#This Row],[SKU]])+COUNTIF(tblSalidas[SKU],tblProductos[[#This Row],[SKU]]))</f>
        <v/>
      </c>
      <c r="N34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4" spans="2:14" x14ac:dyDescent="0.25">
      <c r="B344" s="40"/>
      <c r="C344" s="40"/>
      <c r="D344" s="40"/>
      <c r="E344" s="41"/>
      <c r="F344" s="47"/>
      <c r="G344" s="47"/>
      <c r="H344" s="48"/>
      <c r="I344" s="40"/>
      <c r="J344" s="41"/>
      <c r="K344" s="41"/>
      <c r="L34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4" s="42" t="str">
        <f>IF(tblProductos[[#This Row],[SKU]]="","",COUNTIF(tblEntradas[SKU],tblProductos[[#This Row],[SKU]])+COUNTIF(tblSalidas[SKU],tblProductos[[#This Row],[SKU]]))</f>
        <v/>
      </c>
      <c r="N34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5" spans="2:14" x14ac:dyDescent="0.25">
      <c r="B345" s="40"/>
      <c r="C345" s="40"/>
      <c r="D345" s="40"/>
      <c r="E345" s="41"/>
      <c r="F345" s="47"/>
      <c r="G345" s="47"/>
      <c r="H345" s="48"/>
      <c r="I345" s="40"/>
      <c r="J345" s="41"/>
      <c r="K345" s="41"/>
      <c r="L34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5" s="42" t="str">
        <f>IF(tblProductos[[#This Row],[SKU]]="","",COUNTIF(tblEntradas[SKU],tblProductos[[#This Row],[SKU]])+COUNTIF(tblSalidas[SKU],tblProductos[[#This Row],[SKU]]))</f>
        <v/>
      </c>
      <c r="N34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6" spans="2:14" x14ac:dyDescent="0.25">
      <c r="B346" s="40"/>
      <c r="C346" s="40"/>
      <c r="D346" s="40"/>
      <c r="E346" s="41"/>
      <c r="F346" s="47"/>
      <c r="G346" s="47"/>
      <c r="H346" s="48"/>
      <c r="I346" s="40"/>
      <c r="J346" s="41"/>
      <c r="K346" s="41"/>
      <c r="L34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6" s="42" t="str">
        <f>IF(tblProductos[[#This Row],[SKU]]="","",COUNTIF(tblEntradas[SKU],tblProductos[[#This Row],[SKU]])+COUNTIF(tblSalidas[SKU],tblProductos[[#This Row],[SKU]]))</f>
        <v/>
      </c>
      <c r="N34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7" spans="2:14" x14ac:dyDescent="0.25">
      <c r="B347" s="40"/>
      <c r="C347" s="40"/>
      <c r="D347" s="40"/>
      <c r="E347" s="41"/>
      <c r="F347" s="47"/>
      <c r="G347" s="47"/>
      <c r="H347" s="48"/>
      <c r="I347" s="40"/>
      <c r="J347" s="41"/>
      <c r="K347" s="41"/>
      <c r="L34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7" s="42" t="str">
        <f>IF(tblProductos[[#This Row],[SKU]]="","",COUNTIF(tblEntradas[SKU],tblProductos[[#This Row],[SKU]])+COUNTIF(tblSalidas[SKU],tblProductos[[#This Row],[SKU]]))</f>
        <v/>
      </c>
      <c r="N34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8" spans="2:14" x14ac:dyDescent="0.25">
      <c r="B348" s="40"/>
      <c r="C348" s="40"/>
      <c r="D348" s="40"/>
      <c r="E348" s="41"/>
      <c r="F348" s="47"/>
      <c r="G348" s="47"/>
      <c r="H348" s="48"/>
      <c r="I348" s="40"/>
      <c r="J348" s="41"/>
      <c r="K348" s="41"/>
      <c r="L34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8" s="42" t="str">
        <f>IF(tblProductos[[#This Row],[SKU]]="","",COUNTIF(tblEntradas[SKU],tblProductos[[#This Row],[SKU]])+COUNTIF(tblSalidas[SKU],tblProductos[[#This Row],[SKU]]))</f>
        <v/>
      </c>
      <c r="N34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9" spans="2:14" x14ac:dyDescent="0.25">
      <c r="B349" s="40"/>
      <c r="C349" s="40"/>
      <c r="D349" s="40"/>
      <c r="E349" s="41"/>
      <c r="F349" s="47"/>
      <c r="G349" s="47"/>
      <c r="H349" s="48"/>
      <c r="I349" s="40"/>
      <c r="J349" s="41"/>
      <c r="K349" s="41"/>
      <c r="L34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9" s="42" t="str">
        <f>IF(tblProductos[[#This Row],[SKU]]="","",COUNTIF(tblEntradas[SKU],tblProductos[[#This Row],[SKU]])+COUNTIF(tblSalidas[SKU],tblProductos[[#This Row],[SKU]]))</f>
        <v/>
      </c>
      <c r="N34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0" spans="2:14" x14ac:dyDescent="0.25">
      <c r="B350" s="40"/>
      <c r="C350" s="40"/>
      <c r="D350" s="40"/>
      <c r="E350" s="41"/>
      <c r="F350" s="47"/>
      <c r="G350" s="47"/>
      <c r="H350" s="48"/>
      <c r="I350" s="40"/>
      <c r="J350" s="41"/>
      <c r="K350" s="41"/>
      <c r="L35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0" s="42" t="str">
        <f>IF(tblProductos[[#This Row],[SKU]]="","",COUNTIF(tblEntradas[SKU],tblProductos[[#This Row],[SKU]])+COUNTIF(tblSalidas[SKU],tblProductos[[#This Row],[SKU]]))</f>
        <v/>
      </c>
      <c r="N35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1" spans="2:14" x14ac:dyDescent="0.25">
      <c r="B351" s="40"/>
      <c r="C351" s="40"/>
      <c r="D351" s="40"/>
      <c r="E351" s="41"/>
      <c r="F351" s="47"/>
      <c r="G351" s="47"/>
      <c r="H351" s="48"/>
      <c r="I351" s="40"/>
      <c r="J351" s="41"/>
      <c r="K351" s="41"/>
      <c r="L35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1" s="42" t="str">
        <f>IF(tblProductos[[#This Row],[SKU]]="","",COUNTIF(tblEntradas[SKU],tblProductos[[#This Row],[SKU]])+COUNTIF(tblSalidas[SKU],tblProductos[[#This Row],[SKU]]))</f>
        <v/>
      </c>
      <c r="N35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2" spans="2:14" x14ac:dyDescent="0.25">
      <c r="B352" s="40"/>
      <c r="C352" s="40"/>
      <c r="D352" s="40"/>
      <c r="E352" s="41"/>
      <c r="F352" s="47"/>
      <c r="G352" s="47"/>
      <c r="H352" s="48"/>
      <c r="I352" s="40"/>
      <c r="J352" s="41"/>
      <c r="K352" s="41"/>
      <c r="L35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2" s="42" t="str">
        <f>IF(tblProductos[[#This Row],[SKU]]="","",COUNTIF(tblEntradas[SKU],tblProductos[[#This Row],[SKU]])+COUNTIF(tblSalidas[SKU],tblProductos[[#This Row],[SKU]]))</f>
        <v/>
      </c>
      <c r="N35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3" spans="2:14" x14ac:dyDescent="0.25">
      <c r="B353" s="40"/>
      <c r="C353" s="40"/>
      <c r="D353" s="40"/>
      <c r="E353" s="41"/>
      <c r="F353" s="47"/>
      <c r="G353" s="47"/>
      <c r="H353" s="48"/>
      <c r="I353" s="40"/>
      <c r="J353" s="41"/>
      <c r="K353" s="41"/>
      <c r="L35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3" s="42" t="str">
        <f>IF(tblProductos[[#This Row],[SKU]]="","",COUNTIF(tblEntradas[SKU],tblProductos[[#This Row],[SKU]])+COUNTIF(tblSalidas[SKU],tblProductos[[#This Row],[SKU]]))</f>
        <v/>
      </c>
      <c r="N35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4" spans="2:14" x14ac:dyDescent="0.25">
      <c r="B354" s="40"/>
      <c r="C354" s="40"/>
      <c r="D354" s="40"/>
      <c r="E354" s="41"/>
      <c r="F354" s="47"/>
      <c r="G354" s="47"/>
      <c r="H354" s="48"/>
      <c r="I354" s="40"/>
      <c r="J354" s="41"/>
      <c r="K354" s="41"/>
      <c r="L35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4" s="42" t="str">
        <f>IF(tblProductos[[#This Row],[SKU]]="","",COUNTIF(tblEntradas[SKU],tblProductos[[#This Row],[SKU]])+COUNTIF(tblSalidas[SKU],tblProductos[[#This Row],[SKU]]))</f>
        <v/>
      </c>
      <c r="N35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5" spans="2:14" x14ac:dyDescent="0.25">
      <c r="B355" s="40"/>
      <c r="C355" s="40"/>
      <c r="D355" s="40"/>
      <c r="E355" s="41"/>
      <c r="F355" s="47"/>
      <c r="G355" s="47"/>
      <c r="H355" s="48"/>
      <c r="I355" s="40"/>
      <c r="J355" s="41"/>
      <c r="K355" s="41"/>
      <c r="L35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5" s="42" t="str">
        <f>IF(tblProductos[[#This Row],[SKU]]="","",COUNTIF(tblEntradas[SKU],tblProductos[[#This Row],[SKU]])+COUNTIF(tblSalidas[SKU],tblProductos[[#This Row],[SKU]]))</f>
        <v/>
      </c>
      <c r="N35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6" spans="2:14" x14ac:dyDescent="0.25">
      <c r="B356" s="40"/>
      <c r="C356" s="40"/>
      <c r="D356" s="40"/>
      <c r="E356" s="41"/>
      <c r="F356" s="47"/>
      <c r="G356" s="47"/>
      <c r="H356" s="48"/>
      <c r="I356" s="40"/>
      <c r="J356" s="41"/>
      <c r="K356" s="41"/>
      <c r="L35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6" s="42" t="str">
        <f>IF(tblProductos[[#This Row],[SKU]]="","",COUNTIF(tblEntradas[SKU],tblProductos[[#This Row],[SKU]])+COUNTIF(tblSalidas[SKU],tblProductos[[#This Row],[SKU]]))</f>
        <v/>
      </c>
      <c r="N35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7" spans="2:14" x14ac:dyDescent="0.25">
      <c r="B357" s="40"/>
      <c r="C357" s="40"/>
      <c r="D357" s="40"/>
      <c r="E357" s="41"/>
      <c r="F357" s="47"/>
      <c r="G357" s="47"/>
      <c r="H357" s="48"/>
      <c r="I357" s="40"/>
      <c r="J357" s="41"/>
      <c r="K357" s="41"/>
      <c r="L35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7" s="42" t="str">
        <f>IF(tblProductos[[#This Row],[SKU]]="","",COUNTIF(tblEntradas[SKU],tblProductos[[#This Row],[SKU]])+COUNTIF(tblSalidas[SKU],tblProductos[[#This Row],[SKU]]))</f>
        <v/>
      </c>
      <c r="N35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8" spans="2:14" x14ac:dyDescent="0.25">
      <c r="B358" s="40"/>
      <c r="C358" s="40"/>
      <c r="D358" s="40"/>
      <c r="E358" s="41"/>
      <c r="F358" s="47"/>
      <c r="G358" s="47"/>
      <c r="H358" s="48"/>
      <c r="I358" s="40"/>
      <c r="J358" s="41"/>
      <c r="K358" s="41"/>
      <c r="L35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8" s="42" t="str">
        <f>IF(tblProductos[[#This Row],[SKU]]="","",COUNTIF(tblEntradas[SKU],tblProductos[[#This Row],[SKU]])+COUNTIF(tblSalidas[SKU],tblProductos[[#This Row],[SKU]]))</f>
        <v/>
      </c>
      <c r="N35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9" spans="2:14" x14ac:dyDescent="0.25">
      <c r="B359" s="40"/>
      <c r="C359" s="40"/>
      <c r="D359" s="40"/>
      <c r="E359" s="41"/>
      <c r="F359" s="47"/>
      <c r="G359" s="47"/>
      <c r="H359" s="48"/>
      <c r="I359" s="40"/>
      <c r="J359" s="41"/>
      <c r="K359" s="41"/>
      <c r="L35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9" s="42" t="str">
        <f>IF(tblProductos[[#This Row],[SKU]]="","",COUNTIF(tblEntradas[SKU],tblProductos[[#This Row],[SKU]])+COUNTIF(tblSalidas[SKU],tblProductos[[#This Row],[SKU]]))</f>
        <v/>
      </c>
      <c r="N35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0" spans="2:14" x14ac:dyDescent="0.25">
      <c r="B360" s="40"/>
      <c r="C360" s="40"/>
      <c r="D360" s="40"/>
      <c r="E360" s="41"/>
      <c r="F360" s="47"/>
      <c r="G360" s="47"/>
      <c r="H360" s="48"/>
      <c r="I360" s="40"/>
      <c r="J360" s="41"/>
      <c r="K360" s="41"/>
      <c r="L36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0" s="42" t="str">
        <f>IF(tblProductos[[#This Row],[SKU]]="","",COUNTIF(tblEntradas[SKU],tblProductos[[#This Row],[SKU]])+COUNTIF(tblSalidas[SKU],tblProductos[[#This Row],[SKU]]))</f>
        <v/>
      </c>
      <c r="N36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1" spans="2:14" x14ac:dyDescent="0.25">
      <c r="B361" s="40"/>
      <c r="C361" s="40"/>
      <c r="D361" s="40"/>
      <c r="E361" s="41"/>
      <c r="F361" s="47"/>
      <c r="G361" s="47"/>
      <c r="H361" s="48"/>
      <c r="I361" s="40"/>
      <c r="J361" s="41"/>
      <c r="K361" s="41"/>
      <c r="L36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1" s="42" t="str">
        <f>IF(tblProductos[[#This Row],[SKU]]="","",COUNTIF(tblEntradas[SKU],tblProductos[[#This Row],[SKU]])+COUNTIF(tblSalidas[SKU],tblProductos[[#This Row],[SKU]]))</f>
        <v/>
      </c>
      <c r="N36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2" spans="2:14" x14ac:dyDescent="0.25">
      <c r="B362" s="40"/>
      <c r="C362" s="40"/>
      <c r="D362" s="40"/>
      <c r="E362" s="41"/>
      <c r="F362" s="47"/>
      <c r="G362" s="47"/>
      <c r="H362" s="48"/>
      <c r="I362" s="40"/>
      <c r="J362" s="41"/>
      <c r="K362" s="41"/>
      <c r="L36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2" s="42" t="str">
        <f>IF(tblProductos[[#This Row],[SKU]]="","",COUNTIF(tblEntradas[SKU],tblProductos[[#This Row],[SKU]])+COUNTIF(tblSalidas[SKU],tblProductos[[#This Row],[SKU]]))</f>
        <v/>
      </c>
      <c r="N36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3" spans="2:14" x14ac:dyDescent="0.25">
      <c r="B363" s="40"/>
      <c r="C363" s="40"/>
      <c r="D363" s="40"/>
      <c r="E363" s="41"/>
      <c r="F363" s="47"/>
      <c r="G363" s="47"/>
      <c r="H363" s="48"/>
      <c r="I363" s="40"/>
      <c r="J363" s="41"/>
      <c r="K363" s="41"/>
      <c r="L36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3" s="42" t="str">
        <f>IF(tblProductos[[#This Row],[SKU]]="","",COUNTIF(tblEntradas[SKU],tblProductos[[#This Row],[SKU]])+COUNTIF(tblSalidas[SKU],tblProductos[[#This Row],[SKU]]))</f>
        <v/>
      </c>
      <c r="N36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4" spans="2:14" x14ac:dyDescent="0.25">
      <c r="B364" s="40"/>
      <c r="C364" s="40"/>
      <c r="D364" s="40"/>
      <c r="E364" s="41"/>
      <c r="F364" s="47"/>
      <c r="G364" s="47"/>
      <c r="H364" s="48"/>
      <c r="I364" s="40"/>
      <c r="J364" s="41"/>
      <c r="K364" s="41"/>
      <c r="L36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4" s="42" t="str">
        <f>IF(tblProductos[[#This Row],[SKU]]="","",COUNTIF(tblEntradas[SKU],tblProductos[[#This Row],[SKU]])+COUNTIF(tblSalidas[SKU],tblProductos[[#This Row],[SKU]]))</f>
        <v/>
      </c>
      <c r="N36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5" spans="2:14" x14ac:dyDescent="0.25">
      <c r="B365" s="40"/>
      <c r="C365" s="40"/>
      <c r="D365" s="40"/>
      <c r="E365" s="41"/>
      <c r="F365" s="47"/>
      <c r="G365" s="47"/>
      <c r="H365" s="48"/>
      <c r="I365" s="40"/>
      <c r="J365" s="41"/>
      <c r="K365" s="41"/>
      <c r="L36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5" s="42" t="str">
        <f>IF(tblProductos[[#This Row],[SKU]]="","",COUNTIF(tblEntradas[SKU],tblProductos[[#This Row],[SKU]])+COUNTIF(tblSalidas[SKU],tblProductos[[#This Row],[SKU]]))</f>
        <v/>
      </c>
      <c r="N36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6" spans="2:14" x14ac:dyDescent="0.25">
      <c r="B366" s="40"/>
      <c r="C366" s="40"/>
      <c r="D366" s="40"/>
      <c r="E366" s="41"/>
      <c r="F366" s="47"/>
      <c r="G366" s="47"/>
      <c r="H366" s="48"/>
      <c r="I366" s="40"/>
      <c r="J366" s="41"/>
      <c r="K366" s="41"/>
      <c r="L36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6" s="42" t="str">
        <f>IF(tblProductos[[#This Row],[SKU]]="","",COUNTIF(tblEntradas[SKU],tblProductos[[#This Row],[SKU]])+COUNTIF(tblSalidas[SKU],tblProductos[[#This Row],[SKU]]))</f>
        <v/>
      </c>
      <c r="N36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7" spans="2:14" x14ac:dyDescent="0.25">
      <c r="B367" s="40"/>
      <c r="C367" s="40"/>
      <c r="D367" s="40"/>
      <c r="E367" s="41"/>
      <c r="F367" s="47"/>
      <c r="G367" s="47"/>
      <c r="H367" s="48"/>
      <c r="I367" s="40"/>
      <c r="J367" s="41"/>
      <c r="K367" s="41"/>
      <c r="L36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7" s="42" t="str">
        <f>IF(tblProductos[[#This Row],[SKU]]="","",COUNTIF(tblEntradas[SKU],tblProductos[[#This Row],[SKU]])+COUNTIF(tblSalidas[SKU],tblProductos[[#This Row],[SKU]]))</f>
        <v/>
      </c>
      <c r="N36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8" spans="2:14" x14ac:dyDescent="0.25">
      <c r="B368" s="40"/>
      <c r="C368" s="40"/>
      <c r="D368" s="40"/>
      <c r="E368" s="41"/>
      <c r="F368" s="47"/>
      <c r="G368" s="47"/>
      <c r="H368" s="48"/>
      <c r="I368" s="40"/>
      <c r="J368" s="41"/>
      <c r="K368" s="41"/>
      <c r="L36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8" s="42" t="str">
        <f>IF(tblProductos[[#This Row],[SKU]]="","",COUNTIF(tblEntradas[SKU],tblProductos[[#This Row],[SKU]])+COUNTIF(tblSalidas[SKU],tblProductos[[#This Row],[SKU]]))</f>
        <v/>
      </c>
      <c r="N36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9" spans="2:14" x14ac:dyDescent="0.25">
      <c r="B369" s="40"/>
      <c r="C369" s="40"/>
      <c r="D369" s="40"/>
      <c r="E369" s="41"/>
      <c r="F369" s="47"/>
      <c r="G369" s="47"/>
      <c r="H369" s="48"/>
      <c r="I369" s="40"/>
      <c r="J369" s="41"/>
      <c r="K369" s="41"/>
      <c r="L36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9" s="42" t="str">
        <f>IF(tblProductos[[#This Row],[SKU]]="","",COUNTIF(tblEntradas[SKU],tblProductos[[#This Row],[SKU]])+COUNTIF(tblSalidas[SKU],tblProductos[[#This Row],[SKU]]))</f>
        <v/>
      </c>
      <c r="N36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0" spans="2:14" x14ac:dyDescent="0.25">
      <c r="B370" s="40"/>
      <c r="C370" s="40"/>
      <c r="D370" s="40"/>
      <c r="E370" s="41"/>
      <c r="F370" s="47"/>
      <c r="G370" s="47"/>
      <c r="H370" s="48"/>
      <c r="I370" s="40"/>
      <c r="J370" s="41"/>
      <c r="K370" s="41"/>
      <c r="L37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0" s="42" t="str">
        <f>IF(tblProductos[[#This Row],[SKU]]="","",COUNTIF(tblEntradas[SKU],tblProductos[[#This Row],[SKU]])+COUNTIF(tblSalidas[SKU],tblProductos[[#This Row],[SKU]]))</f>
        <v/>
      </c>
      <c r="N37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1" spans="2:14" x14ac:dyDescent="0.25">
      <c r="B371" s="40"/>
      <c r="C371" s="40"/>
      <c r="D371" s="40"/>
      <c r="E371" s="41"/>
      <c r="F371" s="47"/>
      <c r="G371" s="47"/>
      <c r="H371" s="48"/>
      <c r="I371" s="40"/>
      <c r="J371" s="41"/>
      <c r="K371" s="41"/>
      <c r="L37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1" s="42" t="str">
        <f>IF(tblProductos[[#This Row],[SKU]]="","",COUNTIF(tblEntradas[SKU],tblProductos[[#This Row],[SKU]])+COUNTIF(tblSalidas[SKU],tblProductos[[#This Row],[SKU]]))</f>
        <v/>
      </c>
      <c r="N37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2" spans="2:14" x14ac:dyDescent="0.25">
      <c r="B372" s="40"/>
      <c r="C372" s="40"/>
      <c r="D372" s="40"/>
      <c r="E372" s="41"/>
      <c r="F372" s="47"/>
      <c r="G372" s="47"/>
      <c r="H372" s="48"/>
      <c r="I372" s="40"/>
      <c r="J372" s="41"/>
      <c r="K372" s="41"/>
      <c r="L37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2" s="42" t="str">
        <f>IF(tblProductos[[#This Row],[SKU]]="","",COUNTIF(tblEntradas[SKU],tblProductos[[#This Row],[SKU]])+COUNTIF(tblSalidas[SKU],tblProductos[[#This Row],[SKU]]))</f>
        <v/>
      </c>
      <c r="N37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3" spans="2:14" x14ac:dyDescent="0.25">
      <c r="B373" s="40"/>
      <c r="C373" s="40"/>
      <c r="D373" s="40"/>
      <c r="E373" s="41"/>
      <c r="F373" s="47"/>
      <c r="G373" s="47"/>
      <c r="H373" s="48"/>
      <c r="I373" s="40"/>
      <c r="J373" s="41"/>
      <c r="K373" s="41"/>
      <c r="L37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3" s="42" t="str">
        <f>IF(tblProductos[[#This Row],[SKU]]="","",COUNTIF(tblEntradas[SKU],tblProductos[[#This Row],[SKU]])+COUNTIF(tblSalidas[SKU],tblProductos[[#This Row],[SKU]]))</f>
        <v/>
      </c>
      <c r="N37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4" spans="2:14" x14ac:dyDescent="0.25">
      <c r="B374" s="40"/>
      <c r="C374" s="40"/>
      <c r="D374" s="40"/>
      <c r="E374" s="41"/>
      <c r="F374" s="47"/>
      <c r="G374" s="47"/>
      <c r="H374" s="48"/>
      <c r="I374" s="40"/>
      <c r="J374" s="41"/>
      <c r="K374" s="41"/>
      <c r="L37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4" s="42" t="str">
        <f>IF(tblProductos[[#This Row],[SKU]]="","",COUNTIF(tblEntradas[SKU],tblProductos[[#This Row],[SKU]])+COUNTIF(tblSalidas[SKU],tblProductos[[#This Row],[SKU]]))</f>
        <v/>
      </c>
      <c r="N37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5" spans="2:14" x14ac:dyDescent="0.25">
      <c r="B375" s="40"/>
      <c r="C375" s="40"/>
      <c r="D375" s="40"/>
      <c r="E375" s="41"/>
      <c r="F375" s="47"/>
      <c r="G375" s="47"/>
      <c r="H375" s="48"/>
      <c r="I375" s="40"/>
      <c r="J375" s="41"/>
      <c r="K375" s="41"/>
      <c r="L37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5" s="42" t="str">
        <f>IF(tblProductos[[#This Row],[SKU]]="","",COUNTIF(tblEntradas[SKU],tblProductos[[#This Row],[SKU]])+COUNTIF(tblSalidas[SKU],tblProductos[[#This Row],[SKU]]))</f>
        <v/>
      </c>
      <c r="N37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6" spans="2:14" x14ac:dyDescent="0.25">
      <c r="B376" s="40"/>
      <c r="C376" s="40"/>
      <c r="D376" s="40"/>
      <c r="E376" s="41"/>
      <c r="F376" s="47"/>
      <c r="G376" s="47"/>
      <c r="H376" s="48"/>
      <c r="I376" s="40"/>
      <c r="J376" s="41"/>
      <c r="K376" s="41"/>
      <c r="L37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6" s="42" t="str">
        <f>IF(tblProductos[[#This Row],[SKU]]="","",COUNTIF(tblEntradas[SKU],tblProductos[[#This Row],[SKU]])+COUNTIF(tblSalidas[SKU],tblProductos[[#This Row],[SKU]]))</f>
        <v/>
      </c>
      <c r="N37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7" spans="2:14" x14ac:dyDescent="0.25">
      <c r="B377" s="40"/>
      <c r="C377" s="40"/>
      <c r="D377" s="40"/>
      <c r="E377" s="41"/>
      <c r="F377" s="47"/>
      <c r="G377" s="47"/>
      <c r="H377" s="48"/>
      <c r="I377" s="40"/>
      <c r="J377" s="41"/>
      <c r="K377" s="41"/>
      <c r="L37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7" s="42" t="str">
        <f>IF(tblProductos[[#This Row],[SKU]]="","",COUNTIF(tblEntradas[SKU],tblProductos[[#This Row],[SKU]])+COUNTIF(tblSalidas[SKU],tblProductos[[#This Row],[SKU]]))</f>
        <v/>
      </c>
      <c r="N37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8" spans="2:14" x14ac:dyDescent="0.25">
      <c r="B378" s="40"/>
      <c r="C378" s="40"/>
      <c r="D378" s="40"/>
      <c r="E378" s="41"/>
      <c r="F378" s="47"/>
      <c r="G378" s="47"/>
      <c r="H378" s="48"/>
      <c r="I378" s="40"/>
      <c r="J378" s="41"/>
      <c r="K378" s="41"/>
      <c r="L37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8" s="42" t="str">
        <f>IF(tblProductos[[#This Row],[SKU]]="","",COUNTIF(tblEntradas[SKU],tblProductos[[#This Row],[SKU]])+COUNTIF(tblSalidas[SKU],tblProductos[[#This Row],[SKU]]))</f>
        <v/>
      </c>
      <c r="N37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9" spans="2:14" x14ac:dyDescent="0.25">
      <c r="B379" s="40"/>
      <c r="C379" s="40"/>
      <c r="D379" s="40"/>
      <c r="E379" s="41"/>
      <c r="F379" s="47"/>
      <c r="G379" s="47"/>
      <c r="H379" s="48"/>
      <c r="I379" s="40"/>
      <c r="J379" s="41"/>
      <c r="K379" s="41"/>
      <c r="L37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9" s="42" t="str">
        <f>IF(tblProductos[[#This Row],[SKU]]="","",COUNTIF(tblEntradas[SKU],tblProductos[[#This Row],[SKU]])+COUNTIF(tblSalidas[SKU],tblProductos[[#This Row],[SKU]]))</f>
        <v/>
      </c>
      <c r="N37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0" spans="2:14" x14ac:dyDescent="0.25">
      <c r="B380" s="40"/>
      <c r="C380" s="40"/>
      <c r="D380" s="40"/>
      <c r="E380" s="41"/>
      <c r="F380" s="47"/>
      <c r="G380" s="47"/>
      <c r="H380" s="48"/>
      <c r="I380" s="40"/>
      <c r="J380" s="41"/>
      <c r="K380" s="41"/>
      <c r="L38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0" s="42" t="str">
        <f>IF(tblProductos[[#This Row],[SKU]]="","",COUNTIF(tblEntradas[SKU],tblProductos[[#This Row],[SKU]])+COUNTIF(tblSalidas[SKU],tblProductos[[#This Row],[SKU]]))</f>
        <v/>
      </c>
      <c r="N38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1" spans="2:14" x14ac:dyDescent="0.25">
      <c r="B381" s="40"/>
      <c r="C381" s="40"/>
      <c r="D381" s="40"/>
      <c r="E381" s="41"/>
      <c r="F381" s="47"/>
      <c r="G381" s="47"/>
      <c r="H381" s="48"/>
      <c r="I381" s="40"/>
      <c r="J381" s="41"/>
      <c r="K381" s="41"/>
      <c r="L38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1" s="42" t="str">
        <f>IF(tblProductos[[#This Row],[SKU]]="","",COUNTIF(tblEntradas[SKU],tblProductos[[#This Row],[SKU]])+COUNTIF(tblSalidas[SKU],tblProductos[[#This Row],[SKU]]))</f>
        <v/>
      </c>
      <c r="N38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2" spans="2:14" x14ac:dyDescent="0.25">
      <c r="B382" s="40"/>
      <c r="C382" s="40"/>
      <c r="D382" s="40"/>
      <c r="E382" s="41"/>
      <c r="F382" s="47"/>
      <c r="G382" s="47"/>
      <c r="H382" s="48"/>
      <c r="I382" s="40"/>
      <c r="J382" s="41"/>
      <c r="K382" s="41"/>
      <c r="L38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2" s="42" t="str">
        <f>IF(tblProductos[[#This Row],[SKU]]="","",COUNTIF(tblEntradas[SKU],tblProductos[[#This Row],[SKU]])+COUNTIF(tblSalidas[SKU],tblProductos[[#This Row],[SKU]]))</f>
        <v/>
      </c>
      <c r="N38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3" spans="2:14" x14ac:dyDescent="0.25">
      <c r="B383" s="40"/>
      <c r="C383" s="40"/>
      <c r="D383" s="40"/>
      <c r="E383" s="41"/>
      <c r="F383" s="47"/>
      <c r="G383" s="47"/>
      <c r="H383" s="48"/>
      <c r="I383" s="40"/>
      <c r="J383" s="41"/>
      <c r="K383" s="41"/>
      <c r="L38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3" s="42" t="str">
        <f>IF(tblProductos[[#This Row],[SKU]]="","",COUNTIF(tblEntradas[SKU],tblProductos[[#This Row],[SKU]])+COUNTIF(tblSalidas[SKU],tblProductos[[#This Row],[SKU]]))</f>
        <v/>
      </c>
      <c r="N38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4" spans="2:14" x14ac:dyDescent="0.25">
      <c r="B384" s="40"/>
      <c r="C384" s="40"/>
      <c r="D384" s="40"/>
      <c r="E384" s="41"/>
      <c r="F384" s="47"/>
      <c r="G384" s="47"/>
      <c r="H384" s="48"/>
      <c r="I384" s="40"/>
      <c r="J384" s="41"/>
      <c r="K384" s="41"/>
      <c r="L38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4" s="42" t="str">
        <f>IF(tblProductos[[#This Row],[SKU]]="","",COUNTIF(tblEntradas[SKU],tblProductos[[#This Row],[SKU]])+COUNTIF(tblSalidas[SKU],tblProductos[[#This Row],[SKU]]))</f>
        <v/>
      </c>
      <c r="N38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5" spans="2:14" x14ac:dyDescent="0.25">
      <c r="B385" s="40"/>
      <c r="C385" s="40"/>
      <c r="D385" s="40"/>
      <c r="E385" s="41"/>
      <c r="F385" s="47"/>
      <c r="G385" s="47"/>
      <c r="H385" s="48"/>
      <c r="I385" s="40"/>
      <c r="J385" s="41"/>
      <c r="K385" s="41"/>
      <c r="L38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5" s="42" t="str">
        <f>IF(tblProductos[[#This Row],[SKU]]="","",COUNTIF(tblEntradas[SKU],tblProductos[[#This Row],[SKU]])+COUNTIF(tblSalidas[SKU],tblProductos[[#This Row],[SKU]]))</f>
        <v/>
      </c>
      <c r="N38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6" spans="2:14" x14ac:dyDescent="0.25">
      <c r="B386" s="40"/>
      <c r="C386" s="40"/>
      <c r="D386" s="40"/>
      <c r="E386" s="41"/>
      <c r="F386" s="47"/>
      <c r="G386" s="47"/>
      <c r="H386" s="48"/>
      <c r="I386" s="40"/>
      <c r="J386" s="41"/>
      <c r="K386" s="41"/>
      <c r="L38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6" s="42" t="str">
        <f>IF(tblProductos[[#This Row],[SKU]]="","",COUNTIF(tblEntradas[SKU],tblProductos[[#This Row],[SKU]])+COUNTIF(tblSalidas[SKU],tblProductos[[#This Row],[SKU]]))</f>
        <v/>
      </c>
      <c r="N38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7" spans="2:14" x14ac:dyDescent="0.25">
      <c r="B387" s="40"/>
      <c r="C387" s="40"/>
      <c r="D387" s="40"/>
      <c r="E387" s="41"/>
      <c r="F387" s="47"/>
      <c r="G387" s="47"/>
      <c r="H387" s="48"/>
      <c r="I387" s="40"/>
      <c r="J387" s="41"/>
      <c r="K387" s="41"/>
      <c r="L38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7" s="42" t="str">
        <f>IF(tblProductos[[#This Row],[SKU]]="","",COUNTIF(tblEntradas[SKU],tblProductos[[#This Row],[SKU]])+COUNTIF(tblSalidas[SKU],tblProductos[[#This Row],[SKU]]))</f>
        <v/>
      </c>
      <c r="N38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8" spans="2:14" x14ac:dyDescent="0.25">
      <c r="B388" s="40"/>
      <c r="C388" s="40"/>
      <c r="D388" s="40"/>
      <c r="E388" s="41"/>
      <c r="F388" s="47"/>
      <c r="G388" s="47"/>
      <c r="H388" s="48"/>
      <c r="I388" s="40"/>
      <c r="J388" s="41"/>
      <c r="K388" s="41"/>
      <c r="L38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8" s="42" t="str">
        <f>IF(tblProductos[[#This Row],[SKU]]="","",COUNTIF(tblEntradas[SKU],tblProductos[[#This Row],[SKU]])+COUNTIF(tblSalidas[SKU],tblProductos[[#This Row],[SKU]]))</f>
        <v/>
      </c>
      <c r="N38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9" spans="2:14" x14ac:dyDescent="0.25">
      <c r="B389" s="40"/>
      <c r="C389" s="40"/>
      <c r="D389" s="40"/>
      <c r="E389" s="41"/>
      <c r="F389" s="47"/>
      <c r="G389" s="47"/>
      <c r="H389" s="48"/>
      <c r="I389" s="40"/>
      <c r="J389" s="41"/>
      <c r="K389" s="41"/>
      <c r="L38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9" s="42" t="str">
        <f>IF(tblProductos[[#This Row],[SKU]]="","",COUNTIF(tblEntradas[SKU],tblProductos[[#This Row],[SKU]])+COUNTIF(tblSalidas[SKU],tblProductos[[#This Row],[SKU]]))</f>
        <v/>
      </c>
      <c r="N38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0" spans="2:14" x14ac:dyDescent="0.25">
      <c r="B390" s="40"/>
      <c r="C390" s="40"/>
      <c r="D390" s="40"/>
      <c r="E390" s="41"/>
      <c r="F390" s="47"/>
      <c r="G390" s="47"/>
      <c r="H390" s="48"/>
      <c r="I390" s="40"/>
      <c r="J390" s="41"/>
      <c r="K390" s="41"/>
      <c r="L39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0" s="42" t="str">
        <f>IF(tblProductos[[#This Row],[SKU]]="","",COUNTIF(tblEntradas[SKU],tblProductos[[#This Row],[SKU]])+COUNTIF(tblSalidas[SKU],tblProductos[[#This Row],[SKU]]))</f>
        <v/>
      </c>
      <c r="N39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1" spans="2:14" x14ac:dyDescent="0.25">
      <c r="B391" s="40"/>
      <c r="C391" s="40"/>
      <c r="D391" s="40"/>
      <c r="E391" s="41"/>
      <c r="F391" s="47"/>
      <c r="G391" s="47"/>
      <c r="H391" s="48"/>
      <c r="I391" s="40"/>
      <c r="J391" s="41"/>
      <c r="K391" s="41"/>
      <c r="L39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1" s="42" t="str">
        <f>IF(tblProductos[[#This Row],[SKU]]="","",COUNTIF(tblEntradas[SKU],tblProductos[[#This Row],[SKU]])+COUNTIF(tblSalidas[SKU],tblProductos[[#This Row],[SKU]]))</f>
        <v/>
      </c>
      <c r="N39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2" spans="2:14" x14ac:dyDescent="0.25">
      <c r="B392" s="40"/>
      <c r="C392" s="40"/>
      <c r="D392" s="40"/>
      <c r="E392" s="41"/>
      <c r="F392" s="47"/>
      <c r="G392" s="47"/>
      <c r="H392" s="48"/>
      <c r="I392" s="40"/>
      <c r="J392" s="41"/>
      <c r="K392" s="41"/>
      <c r="L39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2" s="42" t="str">
        <f>IF(tblProductos[[#This Row],[SKU]]="","",COUNTIF(tblEntradas[SKU],tblProductos[[#This Row],[SKU]])+COUNTIF(tblSalidas[SKU],tblProductos[[#This Row],[SKU]]))</f>
        <v/>
      </c>
      <c r="N39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3" spans="2:14" x14ac:dyDescent="0.25">
      <c r="B393" s="40"/>
      <c r="C393" s="40"/>
      <c r="D393" s="40"/>
      <c r="E393" s="41"/>
      <c r="F393" s="47"/>
      <c r="G393" s="47"/>
      <c r="H393" s="48"/>
      <c r="I393" s="40"/>
      <c r="J393" s="41"/>
      <c r="K393" s="41"/>
      <c r="L39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3" s="42" t="str">
        <f>IF(tblProductos[[#This Row],[SKU]]="","",COUNTIF(tblEntradas[SKU],tblProductos[[#This Row],[SKU]])+COUNTIF(tblSalidas[SKU],tblProductos[[#This Row],[SKU]]))</f>
        <v/>
      </c>
      <c r="N39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4" spans="2:14" x14ac:dyDescent="0.25">
      <c r="B394" s="40"/>
      <c r="C394" s="40"/>
      <c r="D394" s="40"/>
      <c r="E394" s="41"/>
      <c r="F394" s="47"/>
      <c r="G394" s="47"/>
      <c r="H394" s="48"/>
      <c r="I394" s="40"/>
      <c r="J394" s="41"/>
      <c r="K394" s="41"/>
      <c r="L39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4" s="42" t="str">
        <f>IF(tblProductos[[#This Row],[SKU]]="","",COUNTIF(tblEntradas[SKU],tblProductos[[#This Row],[SKU]])+COUNTIF(tblSalidas[SKU],tblProductos[[#This Row],[SKU]]))</f>
        <v/>
      </c>
      <c r="N39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5" spans="2:14" x14ac:dyDescent="0.25">
      <c r="B395" s="40"/>
      <c r="C395" s="40"/>
      <c r="D395" s="40"/>
      <c r="E395" s="41"/>
      <c r="F395" s="47"/>
      <c r="G395" s="47"/>
      <c r="H395" s="48"/>
      <c r="I395" s="40"/>
      <c r="J395" s="41"/>
      <c r="K395" s="41"/>
      <c r="L39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5" s="42" t="str">
        <f>IF(tblProductos[[#This Row],[SKU]]="","",COUNTIF(tblEntradas[SKU],tblProductos[[#This Row],[SKU]])+COUNTIF(tblSalidas[SKU],tblProductos[[#This Row],[SKU]]))</f>
        <v/>
      </c>
      <c r="N39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6" spans="2:14" x14ac:dyDescent="0.25">
      <c r="B396" s="40"/>
      <c r="C396" s="40"/>
      <c r="D396" s="40"/>
      <c r="E396" s="41"/>
      <c r="F396" s="47"/>
      <c r="G396" s="47"/>
      <c r="H396" s="48"/>
      <c r="I396" s="40"/>
      <c r="J396" s="41"/>
      <c r="K396" s="41"/>
      <c r="L39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6" s="42" t="str">
        <f>IF(tblProductos[[#This Row],[SKU]]="","",COUNTIF(tblEntradas[SKU],tblProductos[[#This Row],[SKU]])+COUNTIF(tblSalidas[SKU],tblProductos[[#This Row],[SKU]]))</f>
        <v/>
      </c>
      <c r="N39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7" spans="2:14" x14ac:dyDescent="0.25">
      <c r="B397" s="40"/>
      <c r="C397" s="40"/>
      <c r="D397" s="40"/>
      <c r="E397" s="41"/>
      <c r="F397" s="47"/>
      <c r="G397" s="47"/>
      <c r="H397" s="48"/>
      <c r="I397" s="40"/>
      <c r="J397" s="41"/>
      <c r="K397" s="41"/>
      <c r="L39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7" s="42" t="str">
        <f>IF(tblProductos[[#This Row],[SKU]]="","",COUNTIF(tblEntradas[SKU],tblProductos[[#This Row],[SKU]])+COUNTIF(tblSalidas[SKU],tblProductos[[#This Row],[SKU]]))</f>
        <v/>
      </c>
      <c r="N39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8" spans="2:14" x14ac:dyDescent="0.25">
      <c r="B398" s="40"/>
      <c r="C398" s="40"/>
      <c r="D398" s="40"/>
      <c r="E398" s="41"/>
      <c r="F398" s="47"/>
      <c r="G398" s="47"/>
      <c r="H398" s="48"/>
      <c r="I398" s="40"/>
      <c r="J398" s="41"/>
      <c r="K398" s="41"/>
      <c r="L39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8" s="42" t="str">
        <f>IF(tblProductos[[#This Row],[SKU]]="","",COUNTIF(tblEntradas[SKU],tblProductos[[#This Row],[SKU]])+COUNTIF(tblSalidas[SKU],tblProductos[[#This Row],[SKU]]))</f>
        <v/>
      </c>
      <c r="N39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9" spans="2:14" x14ac:dyDescent="0.25">
      <c r="B399" s="40"/>
      <c r="C399" s="40"/>
      <c r="D399" s="40"/>
      <c r="E399" s="41"/>
      <c r="F399" s="47"/>
      <c r="G399" s="47"/>
      <c r="H399" s="48"/>
      <c r="I399" s="40"/>
      <c r="J399" s="41"/>
      <c r="K399" s="41"/>
      <c r="L39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9" s="42" t="str">
        <f>IF(tblProductos[[#This Row],[SKU]]="","",COUNTIF(tblEntradas[SKU],tblProductos[[#This Row],[SKU]])+COUNTIF(tblSalidas[SKU],tblProductos[[#This Row],[SKU]]))</f>
        <v/>
      </c>
      <c r="N39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0" spans="2:14" x14ac:dyDescent="0.25">
      <c r="B400" s="40"/>
      <c r="C400" s="40"/>
      <c r="D400" s="40"/>
      <c r="E400" s="41"/>
      <c r="F400" s="47"/>
      <c r="G400" s="47"/>
      <c r="H400" s="48"/>
      <c r="I400" s="40"/>
      <c r="J400" s="41"/>
      <c r="K400" s="41"/>
      <c r="L40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0" s="42" t="str">
        <f>IF(tblProductos[[#This Row],[SKU]]="","",COUNTIF(tblEntradas[SKU],tblProductos[[#This Row],[SKU]])+COUNTIF(tblSalidas[SKU],tblProductos[[#This Row],[SKU]]))</f>
        <v/>
      </c>
      <c r="N40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1" spans="2:14" x14ac:dyDescent="0.25">
      <c r="B401" s="40"/>
      <c r="C401" s="40"/>
      <c r="D401" s="40"/>
      <c r="E401" s="41"/>
      <c r="F401" s="47"/>
      <c r="G401" s="47"/>
      <c r="H401" s="48"/>
      <c r="I401" s="40"/>
      <c r="J401" s="41"/>
      <c r="K401" s="41"/>
      <c r="L40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1" s="42" t="str">
        <f>IF(tblProductos[[#This Row],[SKU]]="","",COUNTIF(tblEntradas[SKU],tblProductos[[#This Row],[SKU]])+COUNTIF(tblSalidas[SKU],tblProductos[[#This Row],[SKU]]))</f>
        <v/>
      </c>
      <c r="N40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2" spans="2:14" x14ac:dyDescent="0.25">
      <c r="B402" s="40"/>
      <c r="C402" s="40"/>
      <c r="D402" s="40"/>
      <c r="E402" s="41"/>
      <c r="F402" s="47"/>
      <c r="G402" s="47"/>
      <c r="H402" s="48"/>
      <c r="I402" s="40"/>
      <c r="J402" s="41"/>
      <c r="K402" s="41"/>
      <c r="L40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2" s="42" t="str">
        <f>IF(tblProductos[[#This Row],[SKU]]="","",COUNTIF(tblEntradas[SKU],tblProductos[[#This Row],[SKU]])+COUNTIF(tblSalidas[SKU],tblProductos[[#This Row],[SKU]]))</f>
        <v/>
      </c>
      <c r="N40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3" spans="2:14" x14ac:dyDescent="0.25">
      <c r="B403" s="40"/>
      <c r="C403" s="40"/>
      <c r="D403" s="40"/>
      <c r="E403" s="41"/>
      <c r="F403" s="47"/>
      <c r="G403" s="47"/>
      <c r="H403" s="48"/>
      <c r="I403" s="40"/>
      <c r="J403" s="41"/>
      <c r="K403" s="41"/>
      <c r="L40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3" s="42" t="str">
        <f>IF(tblProductos[[#This Row],[SKU]]="","",COUNTIF(tblEntradas[SKU],tblProductos[[#This Row],[SKU]])+COUNTIF(tblSalidas[SKU],tblProductos[[#This Row],[SKU]]))</f>
        <v/>
      </c>
      <c r="N40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4" spans="2:14" x14ac:dyDescent="0.25">
      <c r="B404" s="40"/>
      <c r="C404" s="40"/>
      <c r="D404" s="40"/>
      <c r="E404" s="41"/>
      <c r="F404" s="47"/>
      <c r="G404" s="47"/>
      <c r="H404" s="48"/>
      <c r="I404" s="40"/>
      <c r="J404" s="41"/>
      <c r="K404" s="41"/>
      <c r="L40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4" s="42" t="str">
        <f>IF(tblProductos[[#This Row],[SKU]]="","",COUNTIF(tblEntradas[SKU],tblProductos[[#This Row],[SKU]])+COUNTIF(tblSalidas[SKU],tblProductos[[#This Row],[SKU]]))</f>
        <v/>
      </c>
      <c r="N40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5" spans="2:14" x14ac:dyDescent="0.25">
      <c r="B405" s="40"/>
      <c r="C405" s="40"/>
      <c r="D405" s="40"/>
      <c r="E405" s="41"/>
      <c r="F405" s="47"/>
      <c r="G405" s="47"/>
      <c r="H405" s="48"/>
      <c r="I405" s="40"/>
      <c r="J405" s="41"/>
      <c r="K405" s="41"/>
      <c r="L40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5" s="42" t="str">
        <f>IF(tblProductos[[#This Row],[SKU]]="","",COUNTIF(tblEntradas[SKU],tblProductos[[#This Row],[SKU]])+COUNTIF(tblSalidas[SKU],tblProductos[[#This Row],[SKU]]))</f>
        <v/>
      </c>
      <c r="N40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6" spans="2:14" x14ac:dyDescent="0.25">
      <c r="B406" s="40"/>
      <c r="C406" s="40"/>
      <c r="D406" s="40"/>
      <c r="E406" s="41"/>
      <c r="F406" s="47"/>
      <c r="G406" s="47"/>
      <c r="H406" s="48"/>
      <c r="I406" s="40"/>
      <c r="J406" s="41"/>
      <c r="K406" s="41"/>
      <c r="L40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6" s="42" t="str">
        <f>IF(tblProductos[[#This Row],[SKU]]="","",COUNTIF(tblEntradas[SKU],tblProductos[[#This Row],[SKU]])+COUNTIF(tblSalidas[SKU],tblProductos[[#This Row],[SKU]]))</f>
        <v/>
      </c>
      <c r="N40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7" spans="2:14" x14ac:dyDescent="0.25">
      <c r="B407" s="40"/>
      <c r="C407" s="40"/>
      <c r="D407" s="40"/>
      <c r="E407" s="41"/>
      <c r="F407" s="47"/>
      <c r="G407" s="47"/>
      <c r="H407" s="48"/>
      <c r="I407" s="40"/>
      <c r="J407" s="41"/>
      <c r="K407" s="41"/>
      <c r="L40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7" s="42" t="str">
        <f>IF(tblProductos[[#This Row],[SKU]]="","",COUNTIF(tblEntradas[SKU],tblProductos[[#This Row],[SKU]])+COUNTIF(tblSalidas[SKU],tblProductos[[#This Row],[SKU]]))</f>
        <v/>
      </c>
      <c r="N40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8" spans="2:14" x14ac:dyDescent="0.25">
      <c r="B408" s="40"/>
      <c r="C408" s="40"/>
      <c r="D408" s="40"/>
      <c r="E408" s="41"/>
      <c r="F408" s="47"/>
      <c r="G408" s="47"/>
      <c r="H408" s="48"/>
      <c r="I408" s="40"/>
      <c r="J408" s="41"/>
      <c r="K408" s="41"/>
      <c r="L40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8" s="42" t="str">
        <f>IF(tblProductos[[#This Row],[SKU]]="","",COUNTIF(tblEntradas[SKU],tblProductos[[#This Row],[SKU]])+COUNTIF(tblSalidas[SKU],tblProductos[[#This Row],[SKU]]))</f>
        <v/>
      </c>
      <c r="N40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9" spans="2:14" x14ac:dyDescent="0.25">
      <c r="B409" s="40"/>
      <c r="C409" s="40"/>
      <c r="D409" s="40"/>
      <c r="E409" s="41"/>
      <c r="F409" s="47"/>
      <c r="G409" s="47"/>
      <c r="H409" s="48"/>
      <c r="I409" s="40"/>
      <c r="J409" s="41"/>
      <c r="K409" s="41"/>
      <c r="L40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9" s="42" t="str">
        <f>IF(tblProductos[[#This Row],[SKU]]="","",COUNTIF(tblEntradas[SKU],tblProductos[[#This Row],[SKU]])+COUNTIF(tblSalidas[SKU],tblProductos[[#This Row],[SKU]]))</f>
        <v/>
      </c>
      <c r="N40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0" spans="2:14" x14ac:dyDescent="0.25">
      <c r="B410" s="40"/>
      <c r="C410" s="40"/>
      <c r="D410" s="40"/>
      <c r="E410" s="41"/>
      <c r="F410" s="47"/>
      <c r="G410" s="47"/>
      <c r="H410" s="48"/>
      <c r="I410" s="40"/>
      <c r="J410" s="41"/>
      <c r="K410" s="41"/>
      <c r="L41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0" s="42" t="str">
        <f>IF(tblProductos[[#This Row],[SKU]]="","",COUNTIF(tblEntradas[SKU],tblProductos[[#This Row],[SKU]])+COUNTIF(tblSalidas[SKU],tblProductos[[#This Row],[SKU]]))</f>
        <v/>
      </c>
      <c r="N41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1" spans="2:14" x14ac:dyDescent="0.25">
      <c r="B411" s="40"/>
      <c r="C411" s="40"/>
      <c r="D411" s="40"/>
      <c r="E411" s="41"/>
      <c r="F411" s="47"/>
      <c r="G411" s="47"/>
      <c r="H411" s="48"/>
      <c r="I411" s="40"/>
      <c r="J411" s="41"/>
      <c r="K411" s="41"/>
      <c r="L41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1" s="42" t="str">
        <f>IF(tblProductos[[#This Row],[SKU]]="","",COUNTIF(tblEntradas[SKU],tblProductos[[#This Row],[SKU]])+COUNTIF(tblSalidas[SKU],tblProductos[[#This Row],[SKU]]))</f>
        <v/>
      </c>
      <c r="N41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2" spans="2:14" x14ac:dyDescent="0.25">
      <c r="B412" s="40"/>
      <c r="C412" s="40"/>
      <c r="D412" s="40"/>
      <c r="E412" s="41"/>
      <c r="F412" s="47"/>
      <c r="G412" s="47"/>
      <c r="H412" s="48"/>
      <c r="I412" s="40"/>
      <c r="J412" s="41"/>
      <c r="K412" s="41"/>
      <c r="L41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2" s="42" t="str">
        <f>IF(tblProductos[[#This Row],[SKU]]="","",COUNTIF(tblEntradas[SKU],tblProductos[[#This Row],[SKU]])+COUNTIF(tblSalidas[SKU],tblProductos[[#This Row],[SKU]]))</f>
        <v/>
      </c>
      <c r="N41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3" spans="2:14" x14ac:dyDescent="0.25">
      <c r="B413" s="40"/>
      <c r="C413" s="40"/>
      <c r="D413" s="40"/>
      <c r="E413" s="41"/>
      <c r="F413" s="47"/>
      <c r="G413" s="47"/>
      <c r="H413" s="48"/>
      <c r="I413" s="40"/>
      <c r="J413" s="41"/>
      <c r="K413" s="41"/>
      <c r="L41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3" s="42" t="str">
        <f>IF(tblProductos[[#This Row],[SKU]]="","",COUNTIF(tblEntradas[SKU],tblProductos[[#This Row],[SKU]])+COUNTIF(tblSalidas[SKU],tblProductos[[#This Row],[SKU]]))</f>
        <v/>
      </c>
      <c r="N41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4" spans="2:14" x14ac:dyDescent="0.25">
      <c r="B414" s="40"/>
      <c r="C414" s="40"/>
      <c r="D414" s="40"/>
      <c r="E414" s="41"/>
      <c r="F414" s="47"/>
      <c r="G414" s="47"/>
      <c r="H414" s="48"/>
      <c r="I414" s="40"/>
      <c r="J414" s="41"/>
      <c r="K414" s="41"/>
      <c r="L41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4" s="42" t="str">
        <f>IF(tblProductos[[#This Row],[SKU]]="","",COUNTIF(tblEntradas[SKU],tblProductos[[#This Row],[SKU]])+COUNTIF(tblSalidas[SKU],tblProductos[[#This Row],[SKU]]))</f>
        <v/>
      </c>
      <c r="N41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5" spans="2:14" x14ac:dyDescent="0.25">
      <c r="B415" s="40"/>
      <c r="C415" s="40"/>
      <c r="D415" s="40"/>
      <c r="E415" s="41"/>
      <c r="F415" s="47"/>
      <c r="G415" s="47"/>
      <c r="H415" s="48"/>
      <c r="I415" s="40"/>
      <c r="J415" s="41"/>
      <c r="K415" s="41"/>
      <c r="L41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5" s="42" t="str">
        <f>IF(tblProductos[[#This Row],[SKU]]="","",COUNTIF(tblEntradas[SKU],tblProductos[[#This Row],[SKU]])+COUNTIF(tblSalidas[SKU],tblProductos[[#This Row],[SKU]]))</f>
        <v/>
      </c>
      <c r="N41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6" spans="2:14" x14ac:dyDescent="0.25">
      <c r="B416" s="40"/>
      <c r="C416" s="40"/>
      <c r="D416" s="40"/>
      <c r="E416" s="41"/>
      <c r="F416" s="47"/>
      <c r="G416" s="47"/>
      <c r="H416" s="48"/>
      <c r="I416" s="40"/>
      <c r="J416" s="41"/>
      <c r="K416" s="41"/>
      <c r="L41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6" s="42" t="str">
        <f>IF(tblProductos[[#This Row],[SKU]]="","",COUNTIF(tblEntradas[SKU],tblProductos[[#This Row],[SKU]])+COUNTIF(tblSalidas[SKU],tblProductos[[#This Row],[SKU]]))</f>
        <v/>
      </c>
      <c r="N41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7" spans="2:14" x14ac:dyDescent="0.25">
      <c r="B417" s="40"/>
      <c r="C417" s="40"/>
      <c r="D417" s="40"/>
      <c r="E417" s="41"/>
      <c r="F417" s="47"/>
      <c r="G417" s="47"/>
      <c r="H417" s="48"/>
      <c r="I417" s="40"/>
      <c r="J417" s="41"/>
      <c r="K417" s="41"/>
      <c r="L41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7" s="42" t="str">
        <f>IF(tblProductos[[#This Row],[SKU]]="","",COUNTIF(tblEntradas[SKU],tblProductos[[#This Row],[SKU]])+COUNTIF(tblSalidas[SKU],tblProductos[[#This Row],[SKU]]))</f>
        <v/>
      </c>
      <c r="N41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8" spans="2:14" x14ac:dyDescent="0.25">
      <c r="B418" s="40"/>
      <c r="C418" s="40"/>
      <c r="D418" s="40"/>
      <c r="E418" s="41"/>
      <c r="F418" s="47"/>
      <c r="G418" s="47"/>
      <c r="H418" s="48"/>
      <c r="I418" s="40"/>
      <c r="J418" s="41"/>
      <c r="K418" s="41"/>
      <c r="L41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8" s="42" t="str">
        <f>IF(tblProductos[[#This Row],[SKU]]="","",COUNTIF(tblEntradas[SKU],tblProductos[[#This Row],[SKU]])+COUNTIF(tblSalidas[SKU],tblProductos[[#This Row],[SKU]]))</f>
        <v/>
      </c>
      <c r="N41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9" spans="2:14" x14ac:dyDescent="0.25">
      <c r="B419" s="40"/>
      <c r="C419" s="40"/>
      <c r="D419" s="40"/>
      <c r="E419" s="41"/>
      <c r="F419" s="47"/>
      <c r="G419" s="47"/>
      <c r="H419" s="48"/>
      <c r="I419" s="40"/>
      <c r="J419" s="41"/>
      <c r="K419" s="41"/>
      <c r="L41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9" s="42" t="str">
        <f>IF(tblProductos[[#This Row],[SKU]]="","",COUNTIF(tblEntradas[SKU],tblProductos[[#This Row],[SKU]])+COUNTIF(tblSalidas[SKU],tblProductos[[#This Row],[SKU]]))</f>
        <v/>
      </c>
      <c r="N41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0" spans="2:14" x14ac:dyDescent="0.25">
      <c r="B420" s="40"/>
      <c r="C420" s="40"/>
      <c r="D420" s="40"/>
      <c r="E420" s="41"/>
      <c r="F420" s="47"/>
      <c r="G420" s="47"/>
      <c r="H420" s="48"/>
      <c r="I420" s="40"/>
      <c r="J420" s="41"/>
      <c r="K420" s="41"/>
      <c r="L42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0" s="42" t="str">
        <f>IF(tblProductos[[#This Row],[SKU]]="","",COUNTIF(tblEntradas[SKU],tblProductos[[#This Row],[SKU]])+COUNTIF(tblSalidas[SKU],tblProductos[[#This Row],[SKU]]))</f>
        <v/>
      </c>
      <c r="N42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1" spans="2:14" x14ac:dyDescent="0.25">
      <c r="B421" s="40"/>
      <c r="C421" s="40"/>
      <c r="D421" s="40"/>
      <c r="E421" s="41"/>
      <c r="F421" s="47"/>
      <c r="G421" s="47"/>
      <c r="H421" s="48"/>
      <c r="I421" s="40"/>
      <c r="J421" s="41"/>
      <c r="K421" s="41"/>
      <c r="L42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1" s="42" t="str">
        <f>IF(tblProductos[[#This Row],[SKU]]="","",COUNTIF(tblEntradas[SKU],tblProductos[[#This Row],[SKU]])+COUNTIF(tblSalidas[SKU],tblProductos[[#This Row],[SKU]]))</f>
        <v/>
      </c>
      <c r="N42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2" spans="2:14" x14ac:dyDescent="0.25">
      <c r="B422" s="40"/>
      <c r="C422" s="40"/>
      <c r="D422" s="40"/>
      <c r="E422" s="41"/>
      <c r="F422" s="47"/>
      <c r="G422" s="47"/>
      <c r="H422" s="48"/>
      <c r="I422" s="40"/>
      <c r="J422" s="41"/>
      <c r="K422" s="41"/>
      <c r="L42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2" s="42" t="str">
        <f>IF(tblProductos[[#This Row],[SKU]]="","",COUNTIF(tblEntradas[SKU],tblProductos[[#This Row],[SKU]])+COUNTIF(tblSalidas[SKU],tblProductos[[#This Row],[SKU]]))</f>
        <v/>
      </c>
      <c r="N42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3" spans="2:14" x14ac:dyDescent="0.25">
      <c r="B423" s="40"/>
      <c r="C423" s="40"/>
      <c r="D423" s="40"/>
      <c r="E423" s="41"/>
      <c r="F423" s="47"/>
      <c r="G423" s="47"/>
      <c r="H423" s="48"/>
      <c r="I423" s="40"/>
      <c r="J423" s="41"/>
      <c r="K423" s="41"/>
      <c r="L42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3" s="42" t="str">
        <f>IF(tblProductos[[#This Row],[SKU]]="","",COUNTIF(tblEntradas[SKU],tblProductos[[#This Row],[SKU]])+COUNTIF(tblSalidas[SKU],tblProductos[[#This Row],[SKU]]))</f>
        <v/>
      </c>
      <c r="N42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4" spans="2:14" x14ac:dyDescent="0.25">
      <c r="B424" s="40"/>
      <c r="C424" s="40"/>
      <c r="D424" s="40"/>
      <c r="E424" s="41"/>
      <c r="F424" s="47"/>
      <c r="G424" s="47"/>
      <c r="H424" s="48"/>
      <c r="I424" s="40"/>
      <c r="J424" s="41"/>
      <c r="K424" s="41"/>
      <c r="L42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4" s="42" t="str">
        <f>IF(tblProductos[[#This Row],[SKU]]="","",COUNTIF(tblEntradas[SKU],tblProductos[[#This Row],[SKU]])+COUNTIF(tblSalidas[SKU],tblProductos[[#This Row],[SKU]]))</f>
        <v/>
      </c>
      <c r="N42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5" spans="2:14" x14ac:dyDescent="0.25">
      <c r="B425" s="40"/>
      <c r="C425" s="40"/>
      <c r="D425" s="40"/>
      <c r="E425" s="41"/>
      <c r="F425" s="47"/>
      <c r="G425" s="47"/>
      <c r="H425" s="48"/>
      <c r="I425" s="40"/>
      <c r="J425" s="41"/>
      <c r="K425" s="41"/>
      <c r="L42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5" s="42" t="str">
        <f>IF(tblProductos[[#This Row],[SKU]]="","",COUNTIF(tblEntradas[SKU],tblProductos[[#This Row],[SKU]])+COUNTIF(tblSalidas[SKU],tblProductos[[#This Row],[SKU]]))</f>
        <v/>
      </c>
      <c r="N42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6" spans="2:14" x14ac:dyDescent="0.25">
      <c r="B426" s="40"/>
      <c r="C426" s="40"/>
      <c r="D426" s="40"/>
      <c r="E426" s="41"/>
      <c r="F426" s="47"/>
      <c r="G426" s="47"/>
      <c r="H426" s="48"/>
      <c r="I426" s="40"/>
      <c r="J426" s="41"/>
      <c r="K426" s="41"/>
      <c r="L42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6" s="42" t="str">
        <f>IF(tblProductos[[#This Row],[SKU]]="","",COUNTIF(tblEntradas[SKU],tblProductos[[#This Row],[SKU]])+COUNTIF(tblSalidas[SKU],tblProductos[[#This Row],[SKU]]))</f>
        <v/>
      </c>
      <c r="N42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7" spans="2:14" x14ac:dyDescent="0.25">
      <c r="B427" s="40"/>
      <c r="C427" s="40"/>
      <c r="D427" s="40"/>
      <c r="E427" s="41"/>
      <c r="F427" s="47"/>
      <c r="G427" s="47"/>
      <c r="H427" s="48"/>
      <c r="I427" s="40"/>
      <c r="J427" s="41"/>
      <c r="K427" s="41"/>
      <c r="L42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7" s="42" t="str">
        <f>IF(tblProductos[[#This Row],[SKU]]="","",COUNTIF(tblEntradas[SKU],tblProductos[[#This Row],[SKU]])+COUNTIF(tblSalidas[SKU],tblProductos[[#This Row],[SKU]]))</f>
        <v/>
      </c>
      <c r="N42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8" spans="2:14" x14ac:dyDescent="0.25">
      <c r="B428" s="40"/>
      <c r="C428" s="40"/>
      <c r="D428" s="40"/>
      <c r="E428" s="41"/>
      <c r="F428" s="47"/>
      <c r="G428" s="47"/>
      <c r="H428" s="48"/>
      <c r="I428" s="40"/>
      <c r="J428" s="41"/>
      <c r="K428" s="41"/>
      <c r="L42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8" s="42" t="str">
        <f>IF(tblProductos[[#This Row],[SKU]]="","",COUNTIF(tblEntradas[SKU],tblProductos[[#This Row],[SKU]])+COUNTIF(tblSalidas[SKU],tblProductos[[#This Row],[SKU]]))</f>
        <v/>
      </c>
      <c r="N42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9" spans="2:14" x14ac:dyDescent="0.25">
      <c r="B429" s="40"/>
      <c r="C429" s="40"/>
      <c r="D429" s="40"/>
      <c r="E429" s="41"/>
      <c r="F429" s="47"/>
      <c r="G429" s="47"/>
      <c r="H429" s="48"/>
      <c r="I429" s="40"/>
      <c r="J429" s="41"/>
      <c r="K429" s="41"/>
      <c r="L42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9" s="42" t="str">
        <f>IF(tblProductos[[#This Row],[SKU]]="","",COUNTIF(tblEntradas[SKU],tblProductos[[#This Row],[SKU]])+COUNTIF(tblSalidas[SKU],tblProductos[[#This Row],[SKU]]))</f>
        <v/>
      </c>
      <c r="N42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0" spans="2:14" x14ac:dyDescent="0.25">
      <c r="B430" s="40"/>
      <c r="C430" s="40"/>
      <c r="D430" s="40"/>
      <c r="E430" s="41"/>
      <c r="F430" s="47"/>
      <c r="G430" s="47"/>
      <c r="H430" s="48"/>
      <c r="I430" s="40"/>
      <c r="J430" s="41"/>
      <c r="K430" s="41"/>
      <c r="L43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0" s="42" t="str">
        <f>IF(tblProductos[[#This Row],[SKU]]="","",COUNTIF(tblEntradas[SKU],tblProductos[[#This Row],[SKU]])+COUNTIF(tblSalidas[SKU],tblProductos[[#This Row],[SKU]]))</f>
        <v/>
      </c>
      <c r="N43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1" spans="2:14" x14ac:dyDescent="0.25">
      <c r="B431" s="40"/>
      <c r="C431" s="40"/>
      <c r="D431" s="40"/>
      <c r="E431" s="41"/>
      <c r="F431" s="47"/>
      <c r="G431" s="47"/>
      <c r="H431" s="48"/>
      <c r="I431" s="40"/>
      <c r="J431" s="41"/>
      <c r="K431" s="41"/>
      <c r="L43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1" s="42" t="str">
        <f>IF(tblProductos[[#This Row],[SKU]]="","",COUNTIF(tblEntradas[SKU],tblProductos[[#This Row],[SKU]])+COUNTIF(tblSalidas[SKU],tblProductos[[#This Row],[SKU]]))</f>
        <v/>
      </c>
      <c r="N43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2" spans="2:14" x14ac:dyDescent="0.25">
      <c r="B432" s="40"/>
      <c r="C432" s="40"/>
      <c r="D432" s="40"/>
      <c r="E432" s="41"/>
      <c r="F432" s="47"/>
      <c r="G432" s="47"/>
      <c r="H432" s="48"/>
      <c r="I432" s="40"/>
      <c r="J432" s="41"/>
      <c r="K432" s="41"/>
      <c r="L43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2" s="42" t="str">
        <f>IF(tblProductos[[#This Row],[SKU]]="","",COUNTIF(tblEntradas[SKU],tblProductos[[#This Row],[SKU]])+COUNTIF(tblSalidas[SKU],tblProductos[[#This Row],[SKU]]))</f>
        <v/>
      </c>
      <c r="N43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3" spans="2:14" x14ac:dyDescent="0.25">
      <c r="B433" s="40"/>
      <c r="C433" s="40"/>
      <c r="D433" s="40"/>
      <c r="E433" s="41"/>
      <c r="F433" s="47"/>
      <c r="G433" s="47"/>
      <c r="H433" s="48"/>
      <c r="I433" s="40"/>
      <c r="J433" s="41"/>
      <c r="K433" s="41"/>
      <c r="L43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3" s="42" t="str">
        <f>IF(tblProductos[[#This Row],[SKU]]="","",COUNTIF(tblEntradas[SKU],tblProductos[[#This Row],[SKU]])+COUNTIF(tblSalidas[SKU],tblProductos[[#This Row],[SKU]]))</f>
        <v/>
      </c>
      <c r="N43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4" spans="2:14" x14ac:dyDescent="0.25">
      <c r="B434" s="40"/>
      <c r="C434" s="40"/>
      <c r="D434" s="40"/>
      <c r="E434" s="41"/>
      <c r="F434" s="47"/>
      <c r="G434" s="47"/>
      <c r="H434" s="48"/>
      <c r="I434" s="40"/>
      <c r="J434" s="41"/>
      <c r="K434" s="41"/>
      <c r="L43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4" s="42" t="str">
        <f>IF(tblProductos[[#This Row],[SKU]]="","",COUNTIF(tblEntradas[SKU],tblProductos[[#This Row],[SKU]])+COUNTIF(tblSalidas[SKU],tblProductos[[#This Row],[SKU]]))</f>
        <v/>
      </c>
      <c r="N43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5" spans="2:14" x14ac:dyDescent="0.25">
      <c r="B435" s="40"/>
      <c r="C435" s="40"/>
      <c r="D435" s="40"/>
      <c r="E435" s="41"/>
      <c r="F435" s="47"/>
      <c r="G435" s="47"/>
      <c r="H435" s="48"/>
      <c r="I435" s="40"/>
      <c r="J435" s="41"/>
      <c r="K435" s="41"/>
      <c r="L43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5" s="42" t="str">
        <f>IF(tblProductos[[#This Row],[SKU]]="","",COUNTIF(tblEntradas[SKU],tblProductos[[#This Row],[SKU]])+COUNTIF(tblSalidas[SKU],tblProductos[[#This Row],[SKU]]))</f>
        <v/>
      </c>
      <c r="N43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6" spans="2:14" x14ac:dyDescent="0.25">
      <c r="B436" s="40"/>
      <c r="C436" s="40"/>
      <c r="D436" s="40"/>
      <c r="E436" s="41"/>
      <c r="F436" s="47"/>
      <c r="G436" s="47"/>
      <c r="H436" s="48"/>
      <c r="I436" s="40"/>
      <c r="J436" s="41"/>
      <c r="K436" s="41"/>
      <c r="L43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6" s="42" t="str">
        <f>IF(tblProductos[[#This Row],[SKU]]="","",COUNTIF(tblEntradas[SKU],tblProductos[[#This Row],[SKU]])+COUNTIF(tblSalidas[SKU],tblProductos[[#This Row],[SKU]]))</f>
        <v/>
      </c>
      <c r="N43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7" spans="2:14" x14ac:dyDescent="0.25">
      <c r="B437" s="40"/>
      <c r="C437" s="40"/>
      <c r="D437" s="40"/>
      <c r="E437" s="41"/>
      <c r="F437" s="47"/>
      <c r="G437" s="47"/>
      <c r="H437" s="48"/>
      <c r="I437" s="40"/>
      <c r="J437" s="41"/>
      <c r="K437" s="41"/>
      <c r="L43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7" s="42" t="str">
        <f>IF(tblProductos[[#This Row],[SKU]]="","",COUNTIF(tblEntradas[SKU],tblProductos[[#This Row],[SKU]])+COUNTIF(tblSalidas[SKU],tblProductos[[#This Row],[SKU]]))</f>
        <v/>
      </c>
      <c r="N43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8" spans="2:14" x14ac:dyDescent="0.25">
      <c r="B438" s="40"/>
      <c r="C438" s="40"/>
      <c r="D438" s="40"/>
      <c r="E438" s="41"/>
      <c r="F438" s="47"/>
      <c r="G438" s="47"/>
      <c r="H438" s="48"/>
      <c r="I438" s="40"/>
      <c r="J438" s="41"/>
      <c r="K438" s="41"/>
      <c r="L43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8" s="42" t="str">
        <f>IF(tblProductos[[#This Row],[SKU]]="","",COUNTIF(tblEntradas[SKU],tblProductos[[#This Row],[SKU]])+COUNTIF(tblSalidas[SKU],tblProductos[[#This Row],[SKU]]))</f>
        <v/>
      </c>
      <c r="N43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9" spans="2:14" x14ac:dyDescent="0.25">
      <c r="B439" s="40"/>
      <c r="C439" s="40"/>
      <c r="D439" s="40"/>
      <c r="E439" s="41"/>
      <c r="F439" s="47"/>
      <c r="G439" s="47"/>
      <c r="H439" s="48"/>
      <c r="I439" s="40"/>
      <c r="J439" s="41"/>
      <c r="K439" s="41"/>
      <c r="L43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9" s="42" t="str">
        <f>IF(tblProductos[[#This Row],[SKU]]="","",COUNTIF(tblEntradas[SKU],tblProductos[[#This Row],[SKU]])+COUNTIF(tblSalidas[SKU],tblProductos[[#This Row],[SKU]]))</f>
        <v/>
      </c>
      <c r="N43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0" spans="2:14" x14ac:dyDescent="0.25">
      <c r="B440" s="40"/>
      <c r="C440" s="40"/>
      <c r="D440" s="40"/>
      <c r="E440" s="41"/>
      <c r="F440" s="47"/>
      <c r="G440" s="47"/>
      <c r="H440" s="48"/>
      <c r="I440" s="40"/>
      <c r="J440" s="41"/>
      <c r="K440" s="41"/>
      <c r="L44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0" s="42" t="str">
        <f>IF(tblProductos[[#This Row],[SKU]]="","",COUNTIF(tblEntradas[SKU],tblProductos[[#This Row],[SKU]])+COUNTIF(tblSalidas[SKU],tblProductos[[#This Row],[SKU]]))</f>
        <v/>
      </c>
      <c r="N44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1" spans="2:14" x14ac:dyDescent="0.25">
      <c r="B441" s="40"/>
      <c r="C441" s="40"/>
      <c r="D441" s="40"/>
      <c r="E441" s="41"/>
      <c r="F441" s="47"/>
      <c r="G441" s="47"/>
      <c r="H441" s="48"/>
      <c r="I441" s="40"/>
      <c r="J441" s="41"/>
      <c r="K441" s="41"/>
      <c r="L44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1" s="42" t="str">
        <f>IF(tblProductos[[#This Row],[SKU]]="","",COUNTIF(tblEntradas[SKU],tblProductos[[#This Row],[SKU]])+COUNTIF(tblSalidas[SKU],tblProductos[[#This Row],[SKU]]))</f>
        <v/>
      </c>
      <c r="N44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2" spans="2:14" x14ac:dyDescent="0.25">
      <c r="B442" s="40"/>
      <c r="C442" s="40"/>
      <c r="D442" s="40"/>
      <c r="E442" s="41"/>
      <c r="F442" s="47"/>
      <c r="G442" s="47"/>
      <c r="H442" s="48"/>
      <c r="I442" s="40"/>
      <c r="J442" s="41"/>
      <c r="K442" s="41"/>
      <c r="L44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2" s="42" t="str">
        <f>IF(tblProductos[[#This Row],[SKU]]="","",COUNTIF(tblEntradas[SKU],tblProductos[[#This Row],[SKU]])+COUNTIF(tblSalidas[SKU],tblProductos[[#This Row],[SKU]]))</f>
        <v/>
      </c>
      <c r="N44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3" spans="2:14" x14ac:dyDescent="0.25">
      <c r="B443" s="40"/>
      <c r="C443" s="40"/>
      <c r="D443" s="40"/>
      <c r="E443" s="41"/>
      <c r="F443" s="47"/>
      <c r="G443" s="47"/>
      <c r="H443" s="48"/>
      <c r="I443" s="40"/>
      <c r="J443" s="41"/>
      <c r="K443" s="41"/>
      <c r="L44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3" s="42" t="str">
        <f>IF(tblProductos[[#This Row],[SKU]]="","",COUNTIF(tblEntradas[SKU],tblProductos[[#This Row],[SKU]])+COUNTIF(tblSalidas[SKU],tblProductos[[#This Row],[SKU]]))</f>
        <v/>
      </c>
      <c r="N44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4" spans="2:14" x14ac:dyDescent="0.25">
      <c r="B444" s="40"/>
      <c r="C444" s="40"/>
      <c r="D444" s="40"/>
      <c r="E444" s="41"/>
      <c r="F444" s="47"/>
      <c r="G444" s="47"/>
      <c r="H444" s="48"/>
      <c r="I444" s="40"/>
      <c r="J444" s="41"/>
      <c r="K444" s="41"/>
      <c r="L44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4" s="42" t="str">
        <f>IF(tblProductos[[#This Row],[SKU]]="","",COUNTIF(tblEntradas[SKU],tblProductos[[#This Row],[SKU]])+COUNTIF(tblSalidas[SKU],tblProductos[[#This Row],[SKU]]))</f>
        <v/>
      </c>
      <c r="N44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5" spans="2:14" x14ac:dyDescent="0.25">
      <c r="B445" s="40"/>
      <c r="C445" s="40"/>
      <c r="D445" s="40"/>
      <c r="E445" s="41"/>
      <c r="F445" s="47"/>
      <c r="G445" s="47"/>
      <c r="H445" s="48"/>
      <c r="I445" s="40"/>
      <c r="J445" s="41"/>
      <c r="K445" s="41"/>
      <c r="L44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5" s="42" t="str">
        <f>IF(tblProductos[[#This Row],[SKU]]="","",COUNTIF(tblEntradas[SKU],tblProductos[[#This Row],[SKU]])+COUNTIF(tblSalidas[SKU],tblProductos[[#This Row],[SKU]]))</f>
        <v/>
      </c>
      <c r="N44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6" spans="2:14" x14ac:dyDescent="0.25">
      <c r="B446" s="40"/>
      <c r="C446" s="40"/>
      <c r="D446" s="40"/>
      <c r="E446" s="41"/>
      <c r="F446" s="47"/>
      <c r="G446" s="47"/>
      <c r="H446" s="48"/>
      <c r="I446" s="40"/>
      <c r="J446" s="41"/>
      <c r="K446" s="41"/>
      <c r="L44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6" s="42" t="str">
        <f>IF(tblProductos[[#This Row],[SKU]]="","",COUNTIF(tblEntradas[SKU],tblProductos[[#This Row],[SKU]])+COUNTIF(tblSalidas[SKU],tblProductos[[#This Row],[SKU]]))</f>
        <v/>
      </c>
      <c r="N44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7" spans="2:14" x14ac:dyDescent="0.25">
      <c r="B447" s="40"/>
      <c r="C447" s="40"/>
      <c r="D447" s="40"/>
      <c r="E447" s="41"/>
      <c r="F447" s="47"/>
      <c r="G447" s="47"/>
      <c r="H447" s="48"/>
      <c r="I447" s="40"/>
      <c r="J447" s="41"/>
      <c r="K447" s="41"/>
      <c r="L44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7" s="42" t="str">
        <f>IF(tblProductos[[#This Row],[SKU]]="","",COUNTIF(tblEntradas[SKU],tblProductos[[#This Row],[SKU]])+COUNTIF(tblSalidas[SKU],tblProductos[[#This Row],[SKU]]))</f>
        <v/>
      </c>
      <c r="N44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8" spans="2:14" x14ac:dyDescent="0.25">
      <c r="B448" s="40"/>
      <c r="C448" s="40"/>
      <c r="D448" s="40"/>
      <c r="E448" s="41"/>
      <c r="F448" s="47"/>
      <c r="G448" s="47"/>
      <c r="H448" s="48"/>
      <c r="I448" s="40"/>
      <c r="J448" s="41"/>
      <c r="K448" s="41"/>
      <c r="L44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8" s="42" t="str">
        <f>IF(tblProductos[[#This Row],[SKU]]="","",COUNTIF(tblEntradas[SKU],tblProductos[[#This Row],[SKU]])+COUNTIF(tblSalidas[SKU],tblProductos[[#This Row],[SKU]]))</f>
        <v/>
      </c>
      <c r="N44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9" spans="2:14" x14ac:dyDescent="0.25">
      <c r="B449" s="40"/>
      <c r="C449" s="40"/>
      <c r="D449" s="40"/>
      <c r="E449" s="41"/>
      <c r="F449" s="47"/>
      <c r="G449" s="47"/>
      <c r="H449" s="48"/>
      <c r="I449" s="40"/>
      <c r="J449" s="41"/>
      <c r="K449" s="41"/>
      <c r="L44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9" s="42" t="str">
        <f>IF(tblProductos[[#This Row],[SKU]]="","",COUNTIF(tblEntradas[SKU],tblProductos[[#This Row],[SKU]])+COUNTIF(tblSalidas[SKU],tblProductos[[#This Row],[SKU]]))</f>
        <v/>
      </c>
      <c r="N44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0" spans="2:14" x14ac:dyDescent="0.25">
      <c r="B450" s="40"/>
      <c r="C450" s="40"/>
      <c r="D450" s="40"/>
      <c r="E450" s="41"/>
      <c r="F450" s="47"/>
      <c r="G450" s="47"/>
      <c r="H450" s="48"/>
      <c r="I450" s="40"/>
      <c r="J450" s="41"/>
      <c r="K450" s="41"/>
      <c r="L45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0" s="42" t="str">
        <f>IF(tblProductos[[#This Row],[SKU]]="","",COUNTIF(tblEntradas[SKU],tblProductos[[#This Row],[SKU]])+COUNTIF(tblSalidas[SKU],tblProductos[[#This Row],[SKU]]))</f>
        <v/>
      </c>
      <c r="N45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1" spans="2:14" x14ac:dyDescent="0.25">
      <c r="B451" s="40"/>
      <c r="C451" s="40"/>
      <c r="D451" s="40"/>
      <c r="E451" s="41"/>
      <c r="F451" s="47"/>
      <c r="G451" s="47"/>
      <c r="H451" s="48"/>
      <c r="I451" s="40"/>
      <c r="J451" s="41"/>
      <c r="K451" s="41"/>
      <c r="L45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1" s="42" t="str">
        <f>IF(tblProductos[[#This Row],[SKU]]="","",COUNTIF(tblEntradas[SKU],tblProductos[[#This Row],[SKU]])+COUNTIF(tblSalidas[SKU],tblProductos[[#This Row],[SKU]]))</f>
        <v/>
      </c>
      <c r="N45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2" spans="2:14" x14ac:dyDescent="0.25">
      <c r="B452" s="40"/>
      <c r="C452" s="40"/>
      <c r="D452" s="40"/>
      <c r="E452" s="41"/>
      <c r="F452" s="47"/>
      <c r="G452" s="47"/>
      <c r="H452" s="48"/>
      <c r="I452" s="40"/>
      <c r="J452" s="41"/>
      <c r="K452" s="41"/>
      <c r="L45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2" s="42" t="str">
        <f>IF(tblProductos[[#This Row],[SKU]]="","",COUNTIF(tblEntradas[SKU],tblProductos[[#This Row],[SKU]])+COUNTIF(tblSalidas[SKU],tblProductos[[#This Row],[SKU]]))</f>
        <v/>
      </c>
      <c r="N45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3" spans="2:14" x14ac:dyDescent="0.25">
      <c r="B453" s="40"/>
      <c r="C453" s="40"/>
      <c r="D453" s="40"/>
      <c r="E453" s="41"/>
      <c r="F453" s="47"/>
      <c r="G453" s="47"/>
      <c r="H453" s="48"/>
      <c r="I453" s="40"/>
      <c r="J453" s="41"/>
      <c r="K453" s="41"/>
      <c r="L45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3" s="42" t="str">
        <f>IF(tblProductos[[#This Row],[SKU]]="","",COUNTIF(tblEntradas[SKU],tblProductos[[#This Row],[SKU]])+COUNTIF(tblSalidas[SKU],tblProductos[[#This Row],[SKU]]))</f>
        <v/>
      </c>
      <c r="N45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4" spans="2:14" x14ac:dyDescent="0.25">
      <c r="B454" s="40"/>
      <c r="C454" s="40"/>
      <c r="D454" s="40"/>
      <c r="E454" s="41"/>
      <c r="F454" s="47"/>
      <c r="G454" s="47"/>
      <c r="H454" s="48"/>
      <c r="I454" s="40"/>
      <c r="J454" s="41"/>
      <c r="K454" s="41"/>
      <c r="L45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4" s="42" t="str">
        <f>IF(tblProductos[[#This Row],[SKU]]="","",COUNTIF(tblEntradas[SKU],tblProductos[[#This Row],[SKU]])+COUNTIF(tblSalidas[SKU],tblProductos[[#This Row],[SKU]]))</f>
        <v/>
      </c>
      <c r="N45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5" spans="2:14" x14ac:dyDescent="0.25">
      <c r="B455" s="40"/>
      <c r="C455" s="40"/>
      <c r="D455" s="40"/>
      <c r="E455" s="41"/>
      <c r="F455" s="47"/>
      <c r="G455" s="47"/>
      <c r="H455" s="48"/>
      <c r="I455" s="40"/>
      <c r="J455" s="41"/>
      <c r="K455" s="41"/>
      <c r="L45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5" s="42" t="str">
        <f>IF(tblProductos[[#This Row],[SKU]]="","",COUNTIF(tblEntradas[SKU],tblProductos[[#This Row],[SKU]])+COUNTIF(tblSalidas[SKU],tblProductos[[#This Row],[SKU]]))</f>
        <v/>
      </c>
      <c r="N45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6" spans="2:14" x14ac:dyDescent="0.25">
      <c r="B456" s="40"/>
      <c r="C456" s="40"/>
      <c r="D456" s="40"/>
      <c r="E456" s="41"/>
      <c r="F456" s="47"/>
      <c r="G456" s="47"/>
      <c r="H456" s="48"/>
      <c r="I456" s="40"/>
      <c r="J456" s="41"/>
      <c r="K456" s="41"/>
      <c r="L45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6" s="42" t="str">
        <f>IF(tblProductos[[#This Row],[SKU]]="","",COUNTIF(tblEntradas[SKU],tblProductos[[#This Row],[SKU]])+COUNTIF(tblSalidas[SKU],tblProductos[[#This Row],[SKU]]))</f>
        <v/>
      </c>
      <c r="N45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7" spans="2:14" x14ac:dyDescent="0.25">
      <c r="B457" s="40"/>
      <c r="C457" s="40"/>
      <c r="D457" s="40"/>
      <c r="E457" s="41"/>
      <c r="F457" s="47"/>
      <c r="G457" s="47"/>
      <c r="H457" s="48"/>
      <c r="I457" s="40"/>
      <c r="J457" s="41"/>
      <c r="K457" s="41"/>
      <c r="L45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7" s="42" t="str">
        <f>IF(tblProductos[[#This Row],[SKU]]="","",COUNTIF(tblEntradas[SKU],tblProductos[[#This Row],[SKU]])+COUNTIF(tblSalidas[SKU],tblProductos[[#This Row],[SKU]]))</f>
        <v/>
      </c>
      <c r="N45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8" spans="2:14" x14ac:dyDescent="0.25">
      <c r="B458" s="40"/>
      <c r="C458" s="40"/>
      <c r="D458" s="40"/>
      <c r="E458" s="41"/>
      <c r="F458" s="47"/>
      <c r="G458" s="47"/>
      <c r="H458" s="48"/>
      <c r="I458" s="40"/>
      <c r="J458" s="41"/>
      <c r="K458" s="41"/>
      <c r="L45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8" s="42" t="str">
        <f>IF(tblProductos[[#This Row],[SKU]]="","",COUNTIF(tblEntradas[SKU],tblProductos[[#This Row],[SKU]])+COUNTIF(tblSalidas[SKU],tblProductos[[#This Row],[SKU]]))</f>
        <v/>
      </c>
      <c r="N45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9" spans="2:14" x14ac:dyDescent="0.25">
      <c r="B459" s="40"/>
      <c r="C459" s="40"/>
      <c r="D459" s="40"/>
      <c r="E459" s="41"/>
      <c r="F459" s="47"/>
      <c r="G459" s="47"/>
      <c r="H459" s="48"/>
      <c r="I459" s="40"/>
      <c r="J459" s="41"/>
      <c r="K459" s="41"/>
      <c r="L45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9" s="42" t="str">
        <f>IF(tblProductos[[#This Row],[SKU]]="","",COUNTIF(tblEntradas[SKU],tblProductos[[#This Row],[SKU]])+COUNTIF(tblSalidas[SKU],tblProductos[[#This Row],[SKU]]))</f>
        <v/>
      </c>
      <c r="N45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0" spans="2:14" x14ac:dyDescent="0.25">
      <c r="B460" s="40"/>
      <c r="C460" s="40"/>
      <c r="D460" s="40"/>
      <c r="E460" s="41"/>
      <c r="F460" s="47"/>
      <c r="G460" s="47"/>
      <c r="H460" s="48"/>
      <c r="I460" s="40"/>
      <c r="J460" s="41"/>
      <c r="K460" s="41"/>
      <c r="L46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0" s="42" t="str">
        <f>IF(tblProductos[[#This Row],[SKU]]="","",COUNTIF(tblEntradas[SKU],tblProductos[[#This Row],[SKU]])+COUNTIF(tblSalidas[SKU],tblProductos[[#This Row],[SKU]]))</f>
        <v/>
      </c>
      <c r="N46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1" spans="2:14" x14ac:dyDescent="0.25">
      <c r="B461" s="40"/>
      <c r="C461" s="40"/>
      <c r="D461" s="40"/>
      <c r="E461" s="41"/>
      <c r="F461" s="47"/>
      <c r="G461" s="47"/>
      <c r="H461" s="48"/>
      <c r="I461" s="40"/>
      <c r="J461" s="41"/>
      <c r="K461" s="41"/>
      <c r="L46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1" s="42" t="str">
        <f>IF(tblProductos[[#This Row],[SKU]]="","",COUNTIF(tblEntradas[SKU],tblProductos[[#This Row],[SKU]])+COUNTIF(tblSalidas[SKU],tblProductos[[#This Row],[SKU]]))</f>
        <v/>
      </c>
      <c r="N46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2" spans="2:14" x14ac:dyDescent="0.25">
      <c r="B462" s="40"/>
      <c r="C462" s="40"/>
      <c r="D462" s="40"/>
      <c r="E462" s="41"/>
      <c r="F462" s="47"/>
      <c r="G462" s="47"/>
      <c r="H462" s="48"/>
      <c r="I462" s="40"/>
      <c r="J462" s="41"/>
      <c r="K462" s="41"/>
      <c r="L46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2" s="42" t="str">
        <f>IF(tblProductos[[#This Row],[SKU]]="","",COUNTIF(tblEntradas[SKU],tblProductos[[#This Row],[SKU]])+COUNTIF(tblSalidas[SKU],tblProductos[[#This Row],[SKU]]))</f>
        <v/>
      </c>
      <c r="N46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3" spans="2:14" x14ac:dyDescent="0.25">
      <c r="B463" s="40"/>
      <c r="C463" s="40"/>
      <c r="D463" s="40"/>
      <c r="E463" s="41"/>
      <c r="F463" s="47"/>
      <c r="G463" s="47"/>
      <c r="H463" s="48"/>
      <c r="I463" s="40"/>
      <c r="J463" s="41"/>
      <c r="K463" s="41"/>
      <c r="L46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3" s="42" t="str">
        <f>IF(tblProductos[[#This Row],[SKU]]="","",COUNTIF(tblEntradas[SKU],tblProductos[[#This Row],[SKU]])+COUNTIF(tblSalidas[SKU],tblProductos[[#This Row],[SKU]]))</f>
        <v/>
      </c>
      <c r="N46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4" spans="2:14" x14ac:dyDescent="0.25">
      <c r="B464" s="40"/>
      <c r="C464" s="40"/>
      <c r="D464" s="40"/>
      <c r="E464" s="41"/>
      <c r="F464" s="47"/>
      <c r="G464" s="47"/>
      <c r="H464" s="48"/>
      <c r="I464" s="40"/>
      <c r="J464" s="41"/>
      <c r="K464" s="41"/>
      <c r="L46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4" s="42" t="str">
        <f>IF(tblProductos[[#This Row],[SKU]]="","",COUNTIF(tblEntradas[SKU],tblProductos[[#This Row],[SKU]])+COUNTIF(tblSalidas[SKU],tblProductos[[#This Row],[SKU]]))</f>
        <v/>
      </c>
      <c r="N46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5" spans="2:14" x14ac:dyDescent="0.25">
      <c r="B465" s="40"/>
      <c r="C465" s="40"/>
      <c r="D465" s="40"/>
      <c r="E465" s="41"/>
      <c r="F465" s="47"/>
      <c r="G465" s="47"/>
      <c r="H465" s="48"/>
      <c r="I465" s="40"/>
      <c r="J465" s="41"/>
      <c r="K465" s="41"/>
      <c r="L46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5" s="42" t="str">
        <f>IF(tblProductos[[#This Row],[SKU]]="","",COUNTIF(tblEntradas[SKU],tblProductos[[#This Row],[SKU]])+COUNTIF(tblSalidas[SKU],tblProductos[[#This Row],[SKU]]))</f>
        <v/>
      </c>
      <c r="N46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6" spans="2:14" x14ac:dyDescent="0.25">
      <c r="B466" s="40"/>
      <c r="C466" s="40"/>
      <c r="D466" s="40"/>
      <c r="E466" s="41"/>
      <c r="F466" s="47"/>
      <c r="G466" s="47"/>
      <c r="H466" s="48"/>
      <c r="I466" s="40"/>
      <c r="J466" s="41"/>
      <c r="K466" s="41"/>
      <c r="L46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6" s="42" t="str">
        <f>IF(tblProductos[[#This Row],[SKU]]="","",COUNTIF(tblEntradas[SKU],tblProductos[[#This Row],[SKU]])+COUNTIF(tblSalidas[SKU],tblProductos[[#This Row],[SKU]]))</f>
        <v/>
      </c>
      <c r="N46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7" spans="2:14" x14ac:dyDescent="0.25">
      <c r="B467" s="40"/>
      <c r="C467" s="40"/>
      <c r="D467" s="40"/>
      <c r="E467" s="41"/>
      <c r="F467" s="47"/>
      <c r="G467" s="47"/>
      <c r="H467" s="48"/>
      <c r="I467" s="40"/>
      <c r="J467" s="41"/>
      <c r="K467" s="41"/>
      <c r="L46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7" s="42" t="str">
        <f>IF(tblProductos[[#This Row],[SKU]]="","",COUNTIF(tblEntradas[SKU],tblProductos[[#This Row],[SKU]])+COUNTIF(tblSalidas[SKU],tblProductos[[#This Row],[SKU]]))</f>
        <v/>
      </c>
      <c r="N46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8" spans="2:14" x14ac:dyDescent="0.25">
      <c r="B468" s="40"/>
      <c r="C468" s="40"/>
      <c r="D468" s="40"/>
      <c r="E468" s="41"/>
      <c r="F468" s="47"/>
      <c r="G468" s="47"/>
      <c r="H468" s="48"/>
      <c r="I468" s="40"/>
      <c r="J468" s="41"/>
      <c r="K468" s="41"/>
      <c r="L46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8" s="42" t="str">
        <f>IF(tblProductos[[#This Row],[SKU]]="","",COUNTIF(tblEntradas[SKU],tblProductos[[#This Row],[SKU]])+COUNTIF(tblSalidas[SKU],tblProductos[[#This Row],[SKU]]))</f>
        <v/>
      </c>
      <c r="N46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9" spans="2:14" x14ac:dyDescent="0.25">
      <c r="B469" s="40"/>
      <c r="C469" s="40"/>
      <c r="D469" s="40"/>
      <c r="E469" s="41"/>
      <c r="F469" s="47"/>
      <c r="G469" s="47"/>
      <c r="H469" s="48"/>
      <c r="I469" s="40"/>
      <c r="J469" s="41"/>
      <c r="K469" s="41"/>
      <c r="L46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9" s="42" t="str">
        <f>IF(tblProductos[[#This Row],[SKU]]="","",COUNTIF(tblEntradas[SKU],tblProductos[[#This Row],[SKU]])+COUNTIF(tblSalidas[SKU],tblProductos[[#This Row],[SKU]]))</f>
        <v/>
      </c>
      <c r="N46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0" spans="2:14" x14ac:dyDescent="0.25">
      <c r="B470" s="40"/>
      <c r="C470" s="40"/>
      <c r="D470" s="40"/>
      <c r="E470" s="41"/>
      <c r="F470" s="47"/>
      <c r="G470" s="47"/>
      <c r="H470" s="48"/>
      <c r="I470" s="40"/>
      <c r="J470" s="41"/>
      <c r="K470" s="41"/>
      <c r="L47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0" s="42" t="str">
        <f>IF(tblProductos[[#This Row],[SKU]]="","",COUNTIF(tblEntradas[SKU],tblProductos[[#This Row],[SKU]])+COUNTIF(tblSalidas[SKU],tblProductos[[#This Row],[SKU]]))</f>
        <v/>
      </c>
      <c r="N47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1" spans="2:14" x14ac:dyDescent="0.25">
      <c r="B471" s="40"/>
      <c r="C471" s="40"/>
      <c r="D471" s="40"/>
      <c r="E471" s="41"/>
      <c r="F471" s="47"/>
      <c r="G471" s="47"/>
      <c r="H471" s="48"/>
      <c r="I471" s="40"/>
      <c r="J471" s="41"/>
      <c r="K471" s="41"/>
      <c r="L47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1" s="42" t="str">
        <f>IF(tblProductos[[#This Row],[SKU]]="","",COUNTIF(tblEntradas[SKU],tblProductos[[#This Row],[SKU]])+COUNTIF(tblSalidas[SKU],tblProductos[[#This Row],[SKU]]))</f>
        <v/>
      </c>
      <c r="N47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2" spans="2:14" x14ac:dyDescent="0.25">
      <c r="B472" s="40"/>
      <c r="C472" s="40"/>
      <c r="D472" s="40"/>
      <c r="E472" s="41"/>
      <c r="F472" s="47"/>
      <c r="G472" s="47"/>
      <c r="H472" s="48"/>
      <c r="I472" s="40"/>
      <c r="J472" s="41"/>
      <c r="K472" s="41"/>
      <c r="L47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2" s="42" t="str">
        <f>IF(tblProductos[[#This Row],[SKU]]="","",COUNTIF(tblEntradas[SKU],tblProductos[[#This Row],[SKU]])+COUNTIF(tblSalidas[SKU],tblProductos[[#This Row],[SKU]]))</f>
        <v/>
      </c>
      <c r="N47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3" spans="2:14" x14ac:dyDescent="0.25">
      <c r="B473" s="40"/>
      <c r="C473" s="40"/>
      <c r="D473" s="40"/>
      <c r="E473" s="41"/>
      <c r="F473" s="47"/>
      <c r="G473" s="47"/>
      <c r="H473" s="48"/>
      <c r="I473" s="40"/>
      <c r="J473" s="41"/>
      <c r="K473" s="41"/>
      <c r="L47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3" s="42" t="str">
        <f>IF(tblProductos[[#This Row],[SKU]]="","",COUNTIF(tblEntradas[SKU],tblProductos[[#This Row],[SKU]])+COUNTIF(tblSalidas[SKU],tblProductos[[#This Row],[SKU]]))</f>
        <v/>
      </c>
      <c r="N47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4" spans="2:14" x14ac:dyDescent="0.25">
      <c r="B474" s="40"/>
      <c r="C474" s="40"/>
      <c r="D474" s="40"/>
      <c r="E474" s="41"/>
      <c r="F474" s="47"/>
      <c r="G474" s="47"/>
      <c r="H474" s="48"/>
      <c r="I474" s="40"/>
      <c r="J474" s="41"/>
      <c r="K474" s="41"/>
      <c r="L47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4" s="42" t="str">
        <f>IF(tblProductos[[#This Row],[SKU]]="","",COUNTIF(tblEntradas[SKU],tblProductos[[#This Row],[SKU]])+COUNTIF(tblSalidas[SKU],tblProductos[[#This Row],[SKU]]))</f>
        <v/>
      </c>
      <c r="N47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5" spans="2:14" x14ac:dyDescent="0.25">
      <c r="B475" s="40"/>
      <c r="C475" s="40"/>
      <c r="D475" s="40"/>
      <c r="E475" s="41"/>
      <c r="F475" s="47"/>
      <c r="G475" s="47"/>
      <c r="H475" s="48"/>
      <c r="I475" s="40"/>
      <c r="J475" s="41"/>
      <c r="K475" s="41"/>
      <c r="L47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5" s="42" t="str">
        <f>IF(tblProductos[[#This Row],[SKU]]="","",COUNTIF(tblEntradas[SKU],tblProductos[[#This Row],[SKU]])+COUNTIF(tblSalidas[SKU],tblProductos[[#This Row],[SKU]]))</f>
        <v/>
      </c>
      <c r="N47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6" spans="2:14" x14ac:dyDescent="0.25">
      <c r="B476" s="40"/>
      <c r="C476" s="40"/>
      <c r="D476" s="40"/>
      <c r="E476" s="41"/>
      <c r="F476" s="47"/>
      <c r="G476" s="47"/>
      <c r="H476" s="48"/>
      <c r="I476" s="40"/>
      <c r="J476" s="41"/>
      <c r="K476" s="41"/>
      <c r="L47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6" s="42" t="str">
        <f>IF(tblProductos[[#This Row],[SKU]]="","",COUNTIF(tblEntradas[SKU],tblProductos[[#This Row],[SKU]])+COUNTIF(tblSalidas[SKU],tblProductos[[#This Row],[SKU]]))</f>
        <v/>
      </c>
      <c r="N47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7" spans="2:14" x14ac:dyDescent="0.25">
      <c r="B477" s="40"/>
      <c r="C477" s="40"/>
      <c r="D477" s="40"/>
      <c r="E477" s="41"/>
      <c r="F477" s="47"/>
      <c r="G477" s="47"/>
      <c r="H477" s="48"/>
      <c r="I477" s="40"/>
      <c r="J477" s="41"/>
      <c r="K477" s="41"/>
      <c r="L47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7" s="42" t="str">
        <f>IF(tblProductos[[#This Row],[SKU]]="","",COUNTIF(tblEntradas[SKU],tblProductos[[#This Row],[SKU]])+COUNTIF(tblSalidas[SKU],tblProductos[[#This Row],[SKU]]))</f>
        <v/>
      </c>
      <c r="N47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8" spans="2:14" x14ac:dyDescent="0.25">
      <c r="B478" s="40"/>
      <c r="C478" s="40"/>
      <c r="D478" s="40"/>
      <c r="E478" s="41"/>
      <c r="F478" s="47"/>
      <c r="G478" s="47"/>
      <c r="H478" s="48"/>
      <c r="I478" s="40"/>
      <c r="J478" s="41"/>
      <c r="K478" s="41"/>
      <c r="L47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8" s="42" t="str">
        <f>IF(tblProductos[[#This Row],[SKU]]="","",COUNTIF(tblEntradas[SKU],tblProductos[[#This Row],[SKU]])+COUNTIF(tblSalidas[SKU],tblProductos[[#This Row],[SKU]]))</f>
        <v/>
      </c>
      <c r="N47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9" spans="2:14" x14ac:dyDescent="0.25">
      <c r="B479" s="40"/>
      <c r="C479" s="40"/>
      <c r="D479" s="40"/>
      <c r="E479" s="41"/>
      <c r="F479" s="47"/>
      <c r="G479" s="47"/>
      <c r="H479" s="48"/>
      <c r="I479" s="40"/>
      <c r="J479" s="41"/>
      <c r="K479" s="41"/>
      <c r="L47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9" s="42" t="str">
        <f>IF(tblProductos[[#This Row],[SKU]]="","",COUNTIF(tblEntradas[SKU],tblProductos[[#This Row],[SKU]])+COUNTIF(tblSalidas[SKU],tblProductos[[#This Row],[SKU]]))</f>
        <v/>
      </c>
      <c r="N47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0" spans="2:14" x14ac:dyDescent="0.25">
      <c r="B480" s="40"/>
      <c r="C480" s="40"/>
      <c r="D480" s="40"/>
      <c r="E480" s="41"/>
      <c r="F480" s="47"/>
      <c r="G480" s="47"/>
      <c r="H480" s="48"/>
      <c r="I480" s="40"/>
      <c r="J480" s="41"/>
      <c r="K480" s="41"/>
      <c r="L48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0" s="42" t="str">
        <f>IF(tblProductos[[#This Row],[SKU]]="","",COUNTIF(tblEntradas[SKU],tblProductos[[#This Row],[SKU]])+COUNTIF(tblSalidas[SKU],tblProductos[[#This Row],[SKU]]))</f>
        <v/>
      </c>
      <c r="N48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1" spans="2:14" x14ac:dyDescent="0.25">
      <c r="B481" s="40"/>
      <c r="C481" s="40"/>
      <c r="D481" s="40"/>
      <c r="E481" s="41"/>
      <c r="F481" s="47"/>
      <c r="G481" s="47"/>
      <c r="H481" s="48"/>
      <c r="I481" s="40"/>
      <c r="J481" s="41"/>
      <c r="K481" s="41"/>
      <c r="L48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1" s="42" t="str">
        <f>IF(tblProductos[[#This Row],[SKU]]="","",COUNTIF(tblEntradas[SKU],tblProductos[[#This Row],[SKU]])+COUNTIF(tblSalidas[SKU],tblProductos[[#This Row],[SKU]]))</f>
        <v/>
      </c>
      <c r="N48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2" spans="2:14" x14ac:dyDescent="0.25">
      <c r="B482" s="40"/>
      <c r="C482" s="40"/>
      <c r="D482" s="40"/>
      <c r="E482" s="41"/>
      <c r="F482" s="47"/>
      <c r="G482" s="47"/>
      <c r="H482" s="48"/>
      <c r="I482" s="40"/>
      <c r="J482" s="41"/>
      <c r="K482" s="41"/>
      <c r="L48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2" s="42" t="str">
        <f>IF(tblProductos[[#This Row],[SKU]]="","",COUNTIF(tblEntradas[SKU],tblProductos[[#This Row],[SKU]])+COUNTIF(tblSalidas[SKU],tblProductos[[#This Row],[SKU]]))</f>
        <v/>
      </c>
      <c r="N48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3" spans="2:14" x14ac:dyDescent="0.25">
      <c r="B483" s="40"/>
      <c r="C483" s="40"/>
      <c r="D483" s="40"/>
      <c r="E483" s="41"/>
      <c r="F483" s="47"/>
      <c r="G483" s="47"/>
      <c r="H483" s="48"/>
      <c r="I483" s="40"/>
      <c r="J483" s="41"/>
      <c r="K483" s="41"/>
      <c r="L48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3" s="42" t="str">
        <f>IF(tblProductos[[#This Row],[SKU]]="","",COUNTIF(tblEntradas[SKU],tblProductos[[#This Row],[SKU]])+COUNTIF(tblSalidas[SKU],tblProductos[[#This Row],[SKU]]))</f>
        <v/>
      </c>
      <c r="N48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4" spans="2:14" x14ac:dyDescent="0.25">
      <c r="B484" s="40"/>
      <c r="C484" s="40"/>
      <c r="D484" s="40"/>
      <c r="E484" s="41"/>
      <c r="F484" s="47"/>
      <c r="G484" s="47"/>
      <c r="H484" s="48"/>
      <c r="I484" s="40"/>
      <c r="J484" s="41"/>
      <c r="K484" s="41"/>
      <c r="L48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4" s="42" t="str">
        <f>IF(tblProductos[[#This Row],[SKU]]="","",COUNTIF(tblEntradas[SKU],tblProductos[[#This Row],[SKU]])+COUNTIF(tblSalidas[SKU],tblProductos[[#This Row],[SKU]]))</f>
        <v/>
      </c>
      <c r="N48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5" spans="2:14" x14ac:dyDescent="0.25">
      <c r="B485" s="40"/>
      <c r="C485" s="40"/>
      <c r="D485" s="40"/>
      <c r="E485" s="41"/>
      <c r="F485" s="47"/>
      <c r="G485" s="47"/>
      <c r="H485" s="48"/>
      <c r="I485" s="40"/>
      <c r="J485" s="41"/>
      <c r="K485" s="41"/>
      <c r="L48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5" s="42" t="str">
        <f>IF(tblProductos[[#This Row],[SKU]]="","",COUNTIF(tblEntradas[SKU],tblProductos[[#This Row],[SKU]])+COUNTIF(tblSalidas[SKU],tblProductos[[#This Row],[SKU]]))</f>
        <v/>
      </c>
      <c r="N48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6" spans="2:14" x14ac:dyDescent="0.25">
      <c r="B486" s="40"/>
      <c r="C486" s="40"/>
      <c r="D486" s="40"/>
      <c r="E486" s="41"/>
      <c r="F486" s="47"/>
      <c r="G486" s="47"/>
      <c r="H486" s="48"/>
      <c r="I486" s="40"/>
      <c r="J486" s="41"/>
      <c r="K486" s="41"/>
      <c r="L48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6" s="42" t="str">
        <f>IF(tblProductos[[#This Row],[SKU]]="","",COUNTIF(tblEntradas[SKU],tblProductos[[#This Row],[SKU]])+COUNTIF(tblSalidas[SKU],tblProductos[[#This Row],[SKU]]))</f>
        <v/>
      </c>
      <c r="N48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7" spans="2:14" x14ac:dyDescent="0.25">
      <c r="B487" s="40"/>
      <c r="C487" s="40"/>
      <c r="D487" s="40"/>
      <c r="E487" s="41"/>
      <c r="F487" s="47"/>
      <c r="G487" s="47"/>
      <c r="H487" s="48"/>
      <c r="I487" s="40"/>
      <c r="J487" s="41"/>
      <c r="K487" s="41"/>
      <c r="L48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7" s="42" t="str">
        <f>IF(tblProductos[[#This Row],[SKU]]="","",COUNTIF(tblEntradas[SKU],tblProductos[[#This Row],[SKU]])+COUNTIF(tblSalidas[SKU],tblProductos[[#This Row],[SKU]]))</f>
        <v/>
      </c>
      <c r="N48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8" spans="2:14" x14ac:dyDescent="0.25">
      <c r="B488" s="40"/>
      <c r="C488" s="40"/>
      <c r="D488" s="40"/>
      <c r="E488" s="41"/>
      <c r="F488" s="47"/>
      <c r="G488" s="47"/>
      <c r="H488" s="48"/>
      <c r="I488" s="40"/>
      <c r="J488" s="41"/>
      <c r="K488" s="41"/>
      <c r="L48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8" s="42" t="str">
        <f>IF(tblProductos[[#This Row],[SKU]]="","",COUNTIF(tblEntradas[SKU],tblProductos[[#This Row],[SKU]])+COUNTIF(tblSalidas[SKU],tblProductos[[#This Row],[SKU]]))</f>
        <v/>
      </c>
      <c r="N48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9" spans="2:14" x14ac:dyDescent="0.25">
      <c r="B489" s="40"/>
      <c r="C489" s="40"/>
      <c r="D489" s="40"/>
      <c r="E489" s="41"/>
      <c r="F489" s="47"/>
      <c r="G489" s="47"/>
      <c r="H489" s="48"/>
      <c r="I489" s="40"/>
      <c r="J489" s="41"/>
      <c r="K489" s="41"/>
      <c r="L48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9" s="42" t="str">
        <f>IF(tblProductos[[#This Row],[SKU]]="","",COUNTIF(tblEntradas[SKU],tblProductos[[#This Row],[SKU]])+COUNTIF(tblSalidas[SKU],tblProductos[[#This Row],[SKU]]))</f>
        <v/>
      </c>
      <c r="N48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0" spans="2:14" x14ac:dyDescent="0.25">
      <c r="B490" s="40"/>
      <c r="C490" s="40"/>
      <c r="D490" s="40"/>
      <c r="E490" s="41"/>
      <c r="F490" s="47"/>
      <c r="G490" s="47"/>
      <c r="H490" s="48"/>
      <c r="I490" s="40"/>
      <c r="J490" s="41"/>
      <c r="K490" s="41"/>
      <c r="L49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0" s="42" t="str">
        <f>IF(tblProductos[[#This Row],[SKU]]="","",COUNTIF(tblEntradas[SKU],tblProductos[[#This Row],[SKU]])+COUNTIF(tblSalidas[SKU],tblProductos[[#This Row],[SKU]]))</f>
        <v/>
      </c>
      <c r="N49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1" spans="2:14" x14ac:dyDescent="0.25">
      <c r="B491" s="40"/>
      <c r="C491" s="40"/>
      <c r="D491" s="40"/>
      <c r="E491" s="41"/>
      <c r="F491" s="47"/>
      <c r="G491" s="47"/>
      <c r="H491" s="48"/>
      <c r="I491" s="40"/>
      <c r="J491" s="41"/>
      <c r="K491" s="41"/>
      <c r="L49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1" s="42" t="str">
        <f>IF(tblProductos[[#This Row],[SKU]]="","",COUNTIF(tblEntradas[SKU],tblProductos[[#This Row],[SKU]])+COUNTIF(tblSalidas[SKU],tblProductos[[#This Row],[SKU]]))</f>
        <v/>
      </c>
      <c r="N49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2" spans="2:14" x14ac:dyDescent="0.25">
      <c r="B492" s="40"/>
      <c r="C492" s="40"/>
      <c r="D492" s="40"/>
      <c r="E492" s="41"/>
      <c r="F492" s="47"/>
      <c r="G492" s="47"/>
      <c r="H492" s="48"/>
      <c r="I492" s="40"/>
      <c r="J492" s="41"/>
      <c r="K492" s="41"/>
      <c r="L49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2" s="42" t="str">
        <f>IF(tblProductos[[#This Row],[SKU]]="","",COUNTIF(tblEntradas[SKU],tblProductos[[#This Row],[SKU]])+COUNTIF(tblSalidas[SKU],tblProductos[[#This Row],[SKU]]))</f>
        <v/>
      </c>
      <c r="N49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3" spans="2:14" x14ac:dyDescent="0.25">
      <c r="B493" s="40"/>
      <c r="C493" s="40"/>
      <c r="D493" s="40"/>
      <c r="E493" s="41"/>
      <c r="F493" s="47"/>
      <c r="G493" s="47"/>
      <c r="H493" s="48"/>
      <c r="I493" s="40"/>
      <c r="J493" s="41"/>
      <c r="K493" s="41"/>
      <c r="L49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3" s="42" t="str">
        <f>IF(tblProductos[[#This Row],[SKU]]="","",COUNTIF(tblEntradas[SKU],tblProductos[[#This Row],[SKU]])+COUNTIF(tblSalidas[SKU],tblProductos[[#This Row],[SKU]]))</f>
        <v/>
      </c>
      <c r="N49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4" spans="2:14" x14ac:dyDescent="0.25">
      <c r="B494" s="40"/>
      <c r="C494" s="40"/>
      <c r="D494" s="40"/>
      <c r="E494" s="41"/>
      <c r="F494" s="47"/>
      <c r="G494" s="47"/>
      <c r="H494" s="48"/>
      <c r="I494" s="40"/>
      <c r="J494" s="41"/>
      <c r="K494" s="41"/>
      <c r="L49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4" s="42" t="str">
        <f>IF(tblProductos[[#This Row],[SKU]]="","",COUNTIF(tblEntradas[SKU],tblProductos[[#This Row],[SKU]])+COUNTIF(tblSalidas[SKU],tblProductos[[#This Row],[SKU]]))</f>
        <v/>
      </c>
      <c r="N49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5" spans="2:14" x14ac:dyDescent="0.25">
      <c r="B495" s="40"/>
      <c r="C495" s="40"/>
      <c r="D495" s="40"/>
      <c r="E495" s="41"/>
      <c r="F495" s="47"/>
      <c r="G495" s="47"/>
      <c r="H495" s="48"/>
      <c r="I495" s="40"/>
      <c r="J495" s="41"/>
      <c r="K495" s="41"/>
      <c r="L49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5" s="42" t="str">
        <f>IF(tblProductos[[#This Row],[SKU]]="","",COUNTIF(tblEntradas[SKU],tblProductos[[#This Row],[SKU]])+COUNTIF(tblSalidas[SKU],tblProductos[[#This Row],[SKU]]))</f>
        <v/>
      </c>
      <c r="N49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6" spans="2:14" x14ac:dyDescent="0.25">
      <c r="B496" s="40"/>
      <c r="C496" s="40"/>
      <c r="D496" s="40"/>
      <c r="E496" s="41"/>
      <c r="F496" s="47"/>
      <c r="G496" s="47"/>
      <c r="H496" s="48"/>
      <c r="I496" s="40"/>
      <c r="J496" s="41"/>
      <c r="K496" s="41"/>
      <c r="L49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6" s="42" t="str">
        <f>IF(tblProductos[[#This Row],[SKU]]="","",COUNTIF(tblEntradas[SKU],tblProductos[[#This Row],[SKU]])+COUNTIF(tblSalidas[SKU],tblProductos[[#This Row],[SKU]]))</f>
        <v/>
      </c>
      <c r="N49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7" spans="2:14" x14ac:dyDescent="0.25">
      <c r="B497" s="40"/>
      <c r="C497" s="40"/>
      <c r="D497" s="40"/>
      <c r="E497" s="41"/>
      <c r="F497" s="47"/>
      <c r="G497" s="47"/>
      <c r="H497" s="48"/>
      <c r="I497" s="40"/>
      <c r="J497" s="41"/>
      <c r="K497" s="41"/>
      <c r="L49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7" s="42" t="str">
        <f>IF(tblProductos[[#This Row],[SKU]]="","",COUNTIF(tblEntradas[SKU],tblProductos[[#This Row],[SKU]])+COUNTIF(tblSalidas[SKU],tblProductos[[#This Row],[SKU]]))</f>
        <v/>
      </c>
      <c r="N49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8" spans="2:14" x14ac:dyDescent="0.25">
      <c r="B498" s="40"/>
      <c r="C498" s="40"/>
      <c r="D498" s="40"/>
      <c r="E498" s="41"/>
      <c r="F498" s="47"/>
      <c r="G498" s="47"/>
      <c r="H498" s="48"/>
      <c r="I498" s="40"/>
      <c r="J498" s="41"/>
      <c r="K498" s="41"/>
      <c r="L498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8" s="42" t="str">
        <f>IF(tblProductos[[#This Row],[SKU]]="","",COUNTIF(tblEntradas[SKU],tblProductos[[#This Row],[SKU]])+COUNTIF(tblSalidas[SKU],tblProductos[[#This Row],[SKU]]))</f>
        <v/>
      </c>
      <c r="N498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9" spans="2:14" x14ac:dyDescent="0.25">
      <c r="B499" s="40"/>
      <c r="C499" s="40"/>
      <c r="D499" s="40"/>
      <c r="E499" s="41"/>
      <c r="F499" s="47"/>
      <c r="G499" s="47"/>
      <c r="H499" s="48"/>
      <c r="I499" s="40"/>
      <c r="J499" s="41"/>
      <c r="K499" s="41"/>
      <c r="L499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9" s="42" t="str">
        <f>IF(tblProductos[[#This Row],[SKU]]="","",COUNTIF(tblEntradas[SKU],tblProductos[[#This Row],[SKU]])+COUNTIF(tblSalidas[SKU],tblProductos[[#This Row],[SKU]]))</f>
        <v/>
      </c>
      <c r="N499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0" spans="2:14" x14ac:dyDescent="0.25">
      <c r="B500" s="40"/>
      <c r="C500" s="40"/>
      <c r="D500" s="40"/>
      <c r="E500" s="41"/>
      <c r="F500" s="47"/>
      <c r="G500" s="47"/>
      <c r="H500" s="48"/>
      <c r="I500" s="40"/>
      <c r="J500" s="41"/>
      <c r="K500" s="41"/>
      <c r="L500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0" s="42" t="str">
        <f>IF(tblProductos[[#This Row],[SKU]]="","",COUNTIF(tblEntradas[SKU],tblProductos[[#This Row],[SKU]])+COUNTIF(tblSalidas[SKU],tblProductos[[#This Row],[SKU]]))</f>
        <v/>
      </c>
      <c r="N500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1" spans="2:14" x14ac:dyDescent="0.25">
      <c r="B501" s="40"/>
      <c r="C501" s="40"/>
      <c r="D501" s="40"/>
      <c r="E501" s="41"/>
      <c r="F501" s="47"/>
      <c r="G501" s="47"/>
      <c r="H501" s="48"/>
      <c r="I501" s="40"/>
      <c r="J501" s="41"/>
      <c r="K501" s="41"/>
      <c r="L501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1" s="42" t="str">
        <f>IF(tblProductos[[#This Row],[SKU]]="","",COUNTIF(tblEntradas[SKU],tblProductos[[#This Row],[SKU]])+COUNTIF(tblSalidas[SKU],tblProductos[[#This Row],[SKU]]))</f>
        <v/>
      </c>
      <c r="N501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2" spans="2:14" x14ac:dyDescent="0.25">
      <c r="B502" s="40"/>
      <c r="C502" s="40"/>
      <c r="D502" s="40"/>
      <c r="E502" s="41"/>
      <c r="F502" s="47"/>
      <c r="G502" s="47"/>
      <c r="H502" s="48"/>
      <c r="I502" s="40"/>
      <c r="J502" s="41"/>
      <c r="K502" s="41"/>
      <c r="L502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2" s="42" t="str">
        <f>IF(tblProductos[[#This Row],[SKU]]="","",COUNTIF(tblEntradas[SKU],tblProductos[[#This Row],[SKU]])+COUNTIF(tblSalidas[SKU],tblProductos[[#This Row],[SKU]]))</f>
        <v/>
      </c>
      <c r="N502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3" spans="2:14" x14ac:dyDescent="0.25">
      <c r="B503" s="40"/>
      <c r="C503" s="40"/>
      <c r="D503" s="40"/>
      <c r="E503" s="41"/>
      <c r="F503" s="47"/>
      <c r="G503" s="47"/>
      <c r="H503" s="48"/>
      <c r="I503" s="40"/>
      <c r="J503" s="41"/>
      <c r="K503" s="41"/>
      <c r="L503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3" s="42" t="str">
        <f>IF(tblProductos[[#This Row],[SKU]]="","",COUNTIF(tblEntradas[SKU],tblProductos[[#This Row],[SKU]])+COUNTIF(tblSalidas[SKU],tblProductos[[#This Row],[SKU]]))</f>
        <v/>
      </c>
      <c r="N503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4" spans="2:14" x14ac:dyDescent="0.25">
      <c r="B504" s="40"/>
      <c r="C504" s="40"/>
      <c r="D504" s="40"/>
      <c r="E504" s="41"/>
      <c r="F504" s="47"/>
      <c r="G504" s="47"/>
      <c r="H504" s="48"/>
      <c r="I504" s="40"/>
      <c r="J504" s="41"/>
      <c r="K504" s="41"/>
      <c r="L504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4" s="42" t="str">
        <f>IF(tblProductos[[#This Row],[SKU]]="","",COUNTIF(tblEntradas[SKU],tblProductos[[#This Row],[SKU]])+COUNTIF(tblSalidas[SKU],tblProductos[[#This Row],[SKU]]))</f>
        <v/>
      </c>
      <c r="N504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5" spans="2:14" x14ac:dyDescent="0.25">
      <c r="B505" s="40"/>
      <c r="C505" s="40"/>
      <c r="D505" s="40"/>
      <c r="E505" s="41"/>
      <c r="F505" s="47"/>
      <c r="G505" s="47"/>
      <c r="H505" s="48"/>
      <c r="I505" s="40"/>
      <c r="J505" s="41"/>
      <c r="K505" s="41"/>
      <c r="L505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5" s="42" t="str">
        <f>IF(tblProductos[[#This Row],[SKU]]="","",COUNTIF(tblEntradas[SKU],tblProductos[[#This Row],[SKU]])+COUNTIF(tblSalidas[SKU],tblProductos[[#This Row],[SKU]]))</f>
        <v/>
      </c>
      <c r="N505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6" spans="2:14" x14ac:dyDescent="0.25">
      <c r="B506" s="40"/>
      <c r="C506" s="40"/>
      <c r="D506" s="40"/>
      <c r="E506" s="41"/>
      <c r="F506" s="47"/>
      <c r="G506" s="47"/>
      <c r="H506" s="48"/>
      <c r="I506" s="40"/>
      <c r="J506" s="41"/>
      <c r="K506" s="41"/>
      <c r="L506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6" s="42" t="str">
        <f>IF(tblProductos[[#This Row],[SKU]]="","",COUNTIF(tblEntradas[SKU],tblProductos[[#This Row],[SKU]])+COUNTIF(tblSalidas[SKU],tblProductos[[#This Row],[SKU]]))</f>
        <v/>
      </c>
      <c r="N506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7" spans="2:14" x14ac:dyDescent="0.25">
      <c r="B507" s="40"/>
      <c r="C507" s="40"/>
      <c r="D507" s="40"/>
      <c r="E507" s="41"/>
      <c r="F507" s="47"/>
      <c r="G507" s="47"/>
      <c r="H507" s="48"/>
      <c r="I507" s="40"/>
      <c r="J507" s="41"/>
      <c r="K507" s="41"/>
      <c r="L507" s="49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7" s="42" t="str">
        <f>IF(tblProductos[[#This Row],[SKU]]="","",COUNTIF(tblEntradas[SKU],tblProductos[[#This Row],[SKU]])+COUNTIF(tblSalidas[SKU],tblProductos[[#This Row],[SKU]]))</f>
        <v/>
      </c>
      <c r="N507" s="43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</sheetData>
  <sheetProtection password="930D" sheet="1" objects="1" scenarios="1" formatColumns="0" autoFilter="0"/>
  <mergeCells count="1">
    <mergeCell ref="K5:L5"/>
  </mergeCells>
  <conditionalFormatting sqref="B8:K507">
    <cfRule type="expression" dxfId="168" priority="1">
      <formula>AND($B8="",$C8="",$B7&lt;&gt;"")</formula>
    </cfRule>
  </conditionalFormatting>
  <conditionalFormatting sqref="B8:L507">
    <cfRule type="expression" dxfId="167" priority="2">
      <formula>$K8="NO"</formula>
    </cfRule>
  </conditionalFormatting>
  <conditionalFormatting sqref="F8:F507">
    <cfRule type="expression" dxfId="166" priority="8">
      <formula>AND(ISNUMBER(F8),F8&lt;&gt;INT(F8))</formula>
    </cfRule>
  </conditionalFormatting>
  <conditionalFormatting sqref="G8:G507">
    <cfRule type="expression" dxfId="165" priority="9">
      <formula>AND(ISNUMBER(G8),G8&lt;&gt;INT(G8))</formula>
    </cfRule>
  </conditionalFormatting>
  <conditionalFormatting sqref="N8:N507">
    <cfRule type="expression" dxfId="164" priority="3">
      <formula>LEFT($N8,1)="✖"</formula>
    </cfRule>
    <cfRule type="expression" dxfId="163" priority="4">
      <formula>LEFT($N8,1)="⚠"</formula>
    </cfRule>
    <cfRule type="expression" dxfId="162" priority="5">
      <formula>LEFT($N8,1)="✔"</formula>
    </cfRule>
    <cfRule type="expression" dxfId="161" priority="6">
      <formula>LEFT($N8,1)="●"</formula>
    </cfRule>
    <cfRule type="expression" dxfId="160" priority="7">
      <formula>LEFT($N8,1)="○"</formula>
    </cfRule>
  </conditionalFormatting>
  <dataValidations count="23">
    <dataValidation allowBlank="1" showInputMessage="1" showErrorMessage="1" promptTitle="✎ SKU" prompt="Código único del producto, sin espacios (ej: FER-001). No lo cambie si ya tiene movimientos: cree uno nuevo y desactive el anterior." sqref="B7" xr:uid="{00000000-0002-0000-0700-000000000000}"/>
    <dataValidation allowBlank="1" showInputMessage="1" showErrorMessage="1" promptTitle="✎ Producto" prompt="Nombre descriptivo (3 a 60 caracteres). Es lo que el operador verá en la lista junto al SKU." sqref="C7" xr:uid="{00000000-0002-0000-0700-000001000000}"/>
    <dataValidation allowBlank="1" showInputMessage="1" showErrorMessage="1" promptTitle="✎ Categoría" prompt="Seleccione la categoría (Alt + ↓). Las categorías se administran en 03_CATEGORIAS." sqref="D7" xr:uid="{00000000-0002-0000-0700-000002000000}"/>
    <dataValidation allowBlank="1" showInputMessage="1" showErrorMessage="1" promptTitle="✎ Unidad" prompt="Unidad de medida (UND, CAJA, KG...). Define si se admiten decimales." sqref="E7" xr:uid="{00000000-0002-0000-0700-000003000000}"/>
    <dataValidation allowBlank="1" showInputMessage="1" showErrorMessage="1" promptTitle="✎ StockMin" prompt="Punto de reorden. En o por debajo de este valor el producto queda CRÍTICO." sqref="F7" xr:uid="{00000000-0002-0000-0700-000004000000}"/>
    <dataValidation allowBlank="1" showInputMessage="1" showErrorMessage="1" promptTitle="✎ StockMax" prompt="Nivel máximo deseado. Por encima: SOBRESTOCK. 0 = sin máximo." sqref="G7" xr:uid="{00000000-0002-0000-0700-000005000000}"/>
    <dataValidation allowBlank="1" showInputMessage="1" showErrorMessage="1" promptTitle="✎ CostoUnitario" prompt="Costo por unidad (moneda local). Se usa para valorizar el inventario." sqref="H7" xr:uid="{00000000-0002-0000-0700-000006000000}"/>
    <dataValidation allowBlank="1" showInputMessage="1" showErrorMessage="1" promptTitle="✎ Proveedor" prompt="Proveedor habitual (lista de 04_PROVEEDORES). Agrupa las alertas por proveedor." sqref="I7" xr:uid="{00000000-0002-0000-0700-000007000000}"/>
    <dataValidation allowBlank="1" showInputMessage="1" showErrorMessage="1" promptTitle="✎ Ubicación" prompt="Ubicación física en bodega (opcional). Ej: A-01-03." sqref="J7" xr:uid="{00000000-0002-0000-0700-000008000000}"/>
    <dataValidation allowBlank="1" showInputMessage="1" showErrorMessage="1" promptTitle="✎ Activo" prompt="Escriba NO para descontinuar: desaparece de las listas pero conserva su historial. Vacío = SI." sqref="K7" xr:uid="{00000000-0002-0000-0700-000009000000}"/>
    <dataValidation allowBlank="1" showInputMessage="1" showErrorMessage="1" promptTitle="ƒx Etiqueta" prompt="Texto de la lista de productos de la captura: SKU · Producto (marca los inactivos)." sqref="L7" xr:uid="{00000000-0002-0000-0700-00000A000000}"/>
    <dataValidation allowBlank="1" showInputMessage="1" showErrorMessage="1" promptTitle="ƒx Movimientos" prompt="Registros de este SKU en las dos bitácoras oficiales (10A y 10B)." sqref="M7" xr:uid="{00000000-0002-0000-0700-00000B000000}"/>
    <dataValidation allowBlank="1" showInputMessage="1" showErrorMessage="1" promptTitle="ƒx Validación" prompt="Control de calidad del registro maestro." sqref="N7" xr:uid="{00000000-0002-0000-0700-00000C000000}"/>
    <dataValidation type="custom" allowBlank="1" showInputMessage="1" showErrorMessage="1" errorTitle="SKU no válido" error="El SKU debe tener 2 a 20 caracteres, no llevar espacios y no existir ya en el catálogo." promptTitle="SKU (código único)" prompt="2 a 20 caracteres, sin espacios, sin repetir. Ej: FER-001." sqref="B8:B507" xr:uid="{00000000-0002-0000-0700-00000D000000}">
      <formula1>AND(LEN(B8)&gt;=2,LEN(B8)&lt;=20,ISERROR(FIND(" ",B8)),COUNTIF($B$8:$B$507,B8)=1)</formula1>
    </dataValidation>
    <dataValidation type="textLength" allowBlank="1" showInputMessage="1" showErrorMessage="1" errorTitle="Nombre no válido" error="El nombre debe tener entre 3 y 60 caracteres." promptTitle="Nombre del producto" prompt="Descripción clara, de 3 a 60 caracteres." sqref="C8:C507" xr:uid="{00000000-0002-0000-0700-00000E000000}">
      <formula1>3</formula1>
      <formula2>60</formula2>
    </dataValidation>
    <dataValidation type="list" allowBlank="1" showInputMessage="1" showErrorMessage="1" errorTitle="Categoría no válida" error="Elija una categoría de la lista. Para crear una nueva contacte al administrador." promptTitle="Categoría" prompt="Seleccione de la lista (Alt + ↓)." sqref="D8:D507" xr:uid="{00000000-0002-0000-0700-00000F000000}">
      <formula1>lstCategorias</formula1>
    </dataValidation>
    <dataValidation type="list" allowBlank="1" showInputMessage="1" showErrorMessage="1" errorTitle="Unidad no válida" error="Elija una unidad de la lista." promptTitle="Unidad de medida" prompt="Seleccione de la lista (Alt + ↓)." sqref="E8:E507" xr:uid="{00000000-0002-0000-0700-000010000000}">
      <formula1>lstUniCod</formula1>
    </dataValidation>
    <dataValidation type="decimal" operator="greaterThanOrEqual" allowBlank="1" showInputMessage="1" showErrorMessage="1" errorTitle="Valor no válido" error="Escriba un número mayor o igual a 0." promptTitle="StockMin" prompt="Número mayor o igual a 0." sqref="F8:F507" xr:uid="{00000000-0002-0000-0700-000011000000}">
      <formula1>0</formula1>
    </dataValidation>
    <dataValidation type="decimal" operator="greaterThanOrEqual" allowBlank="1" showInputMessage="1" showErrorMessage="1" errorTitle="Valor no válido" error="Escriba un número mayor o igual a 0." promptTitle="StockMax" prompt="Número mayor o igual a 0." sqref="G8:G507" xr:uid="{00000000-0002-0000-0700-000012000000}">
      <formula1>0</formula1>
    </dataValidation>
    <dataValidation type="decimal" operator="greaterThanOrEqual" allowBlank="1" showInputMessage="1" showErrorMessage="1" errorTitle="Valor no válido" error="Escriba un número mayor o igual a 0." promptTitle="CostoUnitario" prompt="Número mayor o igual a 0." sqref="H8:H507" xr:uid="{00000000-0002-0000-0700-000013000000}">
      <formula1>0</formula1>
    </dataValidation>
    <dataValidation type="list" allowBlank="1" showInputMessage="1" showErrorMessage="1" errorTitle="Proveedor no válido" error="Elija un proveedor de la lista o regístrelo primero en 04_PROVEEDORES." promptTitle="Proveedor" prompt="Seleccione de la lista (Alt + ↓). Se administran en 04_PROVEEDORES." sqref="I8:I507" xr:uid="{00000000-0002-0000-0700-000014000000}">
      <formula1>lstProveedores</formula1>
    </dataValidation>
    <dataValidation type="textLength" operator="lessThanOrEqual" allowBlank="1" showInputMessage="1" showErrorMessage="1" errorTitle="Texto muy largo" error="Máximo 20 caracteres." promptTitle="Ubicación (opcional)" prompt="Pasillo-estante-nivel. Máximo 20 caracteres." sqref="J8:J507" xr:uid="{00000000-0002-0000-0700-000015000000}">
      <formula1>20</formula1>
    </dataValidation>
    <dataValidation type="list" allowBlank="1" showInputMessage="1" showErrorMessage="1" errorTitle="Valor no válido" error="Escriba SI o NO." promptTitle="¿Producto activo?" prompt="NO = descontinuado (sale de las listas). Vacío = SI." sqref="K8:K507" xr:uid="{00000000-0002-0000-0700-000016000000}">
      <formula1>"SI,NO"</formula1>
    </dataValidation>
  </dataValidations>
  <hyperlinks>
    <hyperlink ref="B5" location="'00_PORTADA_BODEGA'!A1" tooltip="Portada de Bodega" display="⌂ Bodega" xr:uid="{00000000-0004-0000-0700-000000000000}"/>
    <hyperlink ref="C5" location="'00_PORTADA_VENTAS'!A1" tooltip="Portada de Ventas" display="⌂ Ventas" xr:uid="{00000000-0004-0000-0700-000001000000}"/>
    <hyperlink ref="D5" location="'00_PORTADA_GERENCIA'!A1" tooltip="Portada de Gerencia: indicadores, pedido y actividad" display="◈ Gerencia" xr:uid="{00000000-0004-0000-0700-000002000000}"/>
    <hyperlink ref="E5" location="'10A_ENTRADAS'!C9" tooltip="Registrar entradas y ajustes (Bodega)" display="⇩ Entradas" xr:uid="{00000000-0004-0000-0700-000003000000}"/>
    <hyperlink ref="F5" location="'10B_SALIDAS'!E9" tooltip="Registrar salidas (Ventas)" display="⇧ Salidas" xr:uid="{00000000-0004-0000-0700-000004000000}"/>
    <hyperlink ref="G5" location="'17_CONSULTA'!C9" tooltip="Consultar un producto en su fila" display="⌕ Consulta" xr:uid="{00000000-0004-0000-0700-000005000000}"/>
    <hyperlink ref="H5" location="'15_STOCK'!A1" tooltip="Stock (instantánea recalculada a demanda)" display="▦ Stock" xr:uid="{00000000-0004-0000-0700-000006000000}"/>
    <hyperlink ref="I5" location="'18_PEDIDO'!A1" tooltip="Pedido sugerido por proveedor" display="✚ Pedido" xr:uid="{00000000-0004-0000-0700-000007000000}"/>
    <hyperlink ref="J5" location="'13_CONTEO'!I9" tooltip="Toma física (conteo) colaborativa" display="✓ Conteo" xr:uid="{00000000-0004-0000-0700-000008000000}"/>
    <hyperlink ref="K5" location="'99_AYUDA'!A1" tooltip="Guía de uso, acceso e instalación" display="? Guía" xr:uid="{00000000-0004-0000-0700-000009000000}"/>
  </hyperlinks>
  <pageMargins left="0.4" right="0.4" top="0.7" bottom="0.6" header="0.3" footer="0.3"/>
  <pageSetup fitToHeight="0" orientation="landscape"/>
  <headerFooter>
    <oddHeader>&amp;L&amp;"Segoe UI,Bold"&amp;9M-INV · Catálogo de productos&amp;R&amp;"Segoe UI,Regular"&amp;8&amp;D</oddHeader>
    <oddFooter>&amp;L&amp;"Segoe UI,Regular"&amp;8Z&amp;&amp;P Software Fast Solutions&amp;R&amp;"Segoe UI,Regular"&amp;8Página &amp;P de &amp;N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4A3B8"/>
  </sheetPr>
  <dimension ref="B1:E16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12.85546875" customWidth="1"/>
    <col min="3" max="3" width="22.85546875" customWidth="1"/>
    <col min="4" max="4" width="15.7109375" customWidth="1"/>
    <col min="5" max="5" width="45.7109375" customWidth="1"/>
    <col min="6" max="6" width="3.42578125" customWidth="1"/>
  </cols>
  <sheetData>
    <row r="1" spans="2:5" s="1" customFormat="1" ht="6" customHeight="1" x14ac:dyDescent="0.25"/>
    <row r="2" spans="2:5" s="1" customFormat="1" ht="24" customHeight="1" x14ac:dyDescent="0.25">
      <c r="B2" s="2" t="s">
        <v>303</v>
      </c>
    </row>
    <row r="3" spans="2:5" s="1" customFormat="1" ht="14.25" x14ac:dyDescent="0.25">
      <c r="B3" s="3" t="s">
        <v>304</v>
      </c>
    </row>
    <row r="4" spans="2:5" s="1" customFormat="1" ht="7.5" customHeight="1" x14ac:dyDescent="0.25"/>
    <row r="5" spans="2:5" s="7" customFormat="1" ht="18" customHeight="1" x14ac:dyDescent="0.25"/>
    <row r="6" spans="2:5" s="7" customFormat="1" ht="12" customHeight="1" x14ac:dyDescent="0.25"/>
    <row r="7" spans="2:5" ht="22.5" customHeight="1" x14ac:dyDescent="0.25">
      <c r="B7" s="17" t="s">
        <v>290</v>
      </c>
      <c r="C7" s="17" t="s">
        <v>163</v>
      </c>
      <c r="D7" s="17" t="s">
        <v>305</v>
      </c>
      <c r="E7" s="17" t="s">
        <v>5</v>
      </c>
    </row>
    <row r="8" spans="2:5" x14ac:dyDescent="0.25">
      <c r="B8" s="31" t="s">
        <v>181</v>
      </c>
      <c r="C8" s="44" t="s">
        <v>163</v>
      </c>
      <c r="D8" s="28" t="s">
        <v>195</v>
      </c>
      <c r="E8" s="44" t="s">
        <v>306</v>
      </c>
    </row>
    <row r="9" spans="2:5" x14ac:dyDescent="0.25">
      <c r="B9" s="31" t="s">
        <v>173</v>
      </c>
      <c r="C9" s="44" t="s">
        <v>307</v>
      </c>
      <c r="D9" s="28" t="s">
        <v>195</v>
      </c>
      <c r="E9" s="44" t="s">
        <v>308</v>
      </c>
    </row>
    <row r="10" spans="2:5" x14ac:dyDescent="0.25">
      <c r="B10" s="31" t="s">
        <v>177</v>
      </c>
      <c r="C10" s="44" t="s">
        <v>309</v>
      </c>
      <c r="D10" s="28" t="s">
        <v>195</v>
      </c>
      <c r="E10" s="44" t="s">
        <v>310</v>
      </c>
    </row>
    <row r="11" spans="2:5" x14ac:dyDescent="0.25">
      <c r="B11" s="31" t="s">
        <v>256</v>
      </c>
      <c r="C11" s="44" t="s">
        <v>311</v>
      </c>
      <c r="D11" s="28" t="s">
        <v>195</v>
      </c>
      <c r="E11" s="44" t="s">
        <v>312</v>
      </c>
    </row>
    <row r="12" spans="2:5" x14ac:dyDescent="0.25">
      <c r="B12" s="31" t="s">
        <v>199</v>
      </c>
      <c r="C12" s="44" t="s">
        <v>313</v>
      </c>
      <c r="D12" s="28" t="s">
        <v>195</v>
      </c>
      <c r="E12" s="44" t="s">
        <v>314</v>
      </c>
    </row>
    <row r="13" spans="2:5" x14ac:dyDescent="0.25">
      <c r="B13" s="31" t="s">
        <v>286</v>
      </c>
      <c r="C13" s="44" t="s">
        <v>315</v>
      </c>
      <c r="D13" s="28" t="s">
        <v>104</v>
      </c>
      <c r="E13" s="44" t="s">
        <v>316</v>
      </c>
    </row>
    <row r="14" spans="2:5" x14ac:dyDescent="0.25">
      <c r="B14" s="31" t="s">
        <v>239</v>
      </c>
      <c r="C14" s="44" t="s">
        <v>317</v>
      </c>
      <c r="D14" s="28" t="s">
        <v>104</v>
      </c>
      <c r="E14" s="44" t="s">
        <v>318</v>
      </c>
    </row>
    <row r="15" spans="2:5" x14ac:dyDescent="0.25">
      <c r="B15" s="31" t="s">
        <v>276</v>
      </c>
      <c r="C15" s="44" t="s">
        <v>319</v>
      </c>
      <c r="D15" s="28" t="s">
        <v>104</v>
      </c>
      <c r="E15" s="44" t="s">
        <v>320</v>
      </c>
    </row>
    <row r="16" spans="2:5" x14ac:dyDescent="0.25">
      <c r="B16" s="31" t="s">
        <v>218</v>
      </c>
      <c r="C16" s="44" t="s">
        <v>321</v>
      </c>
      <c r="D16" s="28" t="s">
        <v>104</v>
      </c>
      <c r="E16" s="44" t="s">
        <v>322</v>
      </c>
    </row>
  </sheetData>
  <sheetProtection password="930D" sheet="1" objects="1" scenarios="1"/>
  <dataValidations count="4">
    <dataValidation allowBlank="1" showInputMessage="1" showErrorMessage="1" promptTitle="Código" prompt="Abreviatura que ve el operador (UND, KG...)." sqref="B7" xr:uid="{00000000-0002-0000-0800-000000000000}"/>
    <dataValidation allowBlank="1" showInputMessage="1" showErrorMessage="1" promptTitle="Unidad" prompt="Nombre completo de la unidad." sqref="C7" xr:uid="{00000000-0002-0000-0800-000001000000}"/>
    <dataValidation allowBlank="1" showInputMessage="1" showErrorMessage="1" promptTitle="Decimales" prompt="SI = admite fracciones (KG, LT...). NO = solo enteros." sqref="D7" xr:uid="{00000000-0002-0000-0800-000002000000}"/>
    <dataValidation allowBlank="1" showInputMessage="1" showErrorMessage="1" promptTitle="Descripción" prompt="Texto de apoyo." sqref="E7" xr:uid="{00000000-0002-0000-0800-000003000000}"/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E7D32"/>
    <pageSetUpPr fitToPage="1"/>
  </sheetPr>
  <dimension ref="B1:P117"/>
  <sheetViews>
    <sheetView showGridLines="0" showRowColHeaders="0" zoomScale="85" zoomScaleNormal="85" workbookViewId="0">
      <pane ySplit="6" topLeftCell="A7" activePane="bottomLeft" state="frozen"/>
      <selection pane="bottomLeft" activeCell="C9" sqref="C9"/>
    </sheetView>
  </sheetViews>
  <sheetFormatPr baseColWidth="10" defaultColWidth="0" defaultRowHeight="15" zeroHeight="1" x14ac:dyDescent="0.25"/>
  <cols>
    <col min="1" max="1" width="2.28515625" customWidth="1"/>
    <col min="2" max="2" width="24" customWidth="1"/>
    <col min="3" max="3" width="16" customWidth="1"/>
    <col min="4" max="4" width="13.140625" customWidth="1"/>
    <col min="5" max="5" width="38.5703125" customWidth="1"/>
    <col min="6" max="6" width="13.7109375" customWidth="1"/>
    <col min="7" max="7" width="16.85546875" customWidth="1"/>
    <col min="8" max="8" width="25.7109375" customWidth="1"/>
    <col min="9" max="9" width="17.140625" customWidth="1"/>
    <col min="10" max="11" width="34.28515625" customWidth="1"/>
    <col min="12" max="12" width="10.5703125" customWidth="1"/>
    <col min="13" max="13" width="15.140625" customWidth="1"/>
    <col min="14" max="14" width="32.85546875" hidden="1" customWidth="1"/>
    <col min="15" max="15" width="12.85546875" hidden="1" customWidth="1"/>
    <col min="16" max="16" width="20" hidden="1" customWidth="1"/>
    <col min="17" max="17" width="2.28515625" customWidth="1"/>
    <col min="18" max="18" width="0" hidden="1" customWidth="1"/>
  </cols>
  <sheetData>
    <row r="1" spans="2:16" s="1" customFormat="1" ht="4.5" customHeight="1" x14ac:dyDescent="0.25"/>
    <row r="2" spans="2:16" s="1" customFormat="1" ht="22.5" customHeight="1" x14ac:dyDescent="0.25">
      <c r="B2" s="2" t="s">
        <v>323</v>
      </c>
    </row>
    <row r="3" spans="2:16" s="1" customFormat="1" ht="14.25" x14ac:dyDescent="0.25">
      <c r="B3" s="3" t="s">
        <v>324</v>
      </c>
    </row>
    <row r="4" spans="2:16" s="1" customFormat="1" ht="4.5" customHeight="1" x14ac:dyDescent="0.25"/>
    <row r="5" spans="2:16" s="4" customFormat="1" ht="21" customHeight="1" x14ac:dyDescent="0.25">
      <c r="B5" s="6" t="s">
        <v>85</v>
      </c>
      <c r="C5" s="6" t="s">
        <v>86</v>
      </c>
      <c r="D5" s="6" t="s">
        <v>87</v>
      </c>
      <c r="E5" s="5" t="s">
        <v>88</v>
      </c>
      <c r="F5" s="6" t="s">
        <v>89</v>
      </c>
      <c r="G5" s="6" t="s">
        <v>90</v>
      </c>
      <c r="H5" s="6" t="s">
        <v>91</v>
      </c>
      <c r="I5" s="6" t="s">
        <v>92</v>
      </c>
      <c r="J5" s="6" t="s">
        <v>93</v>
      </c>
      <c r="K5" s="6" t="s">
        <v>94</v>
      </c>
    </row>
    <row r="6" spans="2:16" s="7" customFormat="1" ht="22.5" customHeight="1" x14ac:dyDescent="0.25">
      <c r="B6" s="38" t="str">
        <f>"Registros: "&amp;FIXED(kpiRegEnt,0)</f>
        <v>Registros: 90</v>
      </c>
      <c r="C6" s="126" t="str">
        <f>IF(kpiRechEnt=0,"✔ Sin rechazos","✖ Rechazados: "&amp;kpiRechEnt)</f>
        <v>✔ Sin rechazos</v>
      </c>
      <c r="D6" s="126"/>
      <c r="E6" s="38" t="str">
        <f ca="1">"Pendientes en captura: "&amp;kpiPendEnt</f>
        <v>Pendientes en captura: 1</v>
      </c>
      <c r="F6" s="127" t="s">
        <v>574</v>
      </c>
      <c r="G6" s="127"/>
      <c r="H6" s="127"/>
      <c r="I6" s="127"/>
      <c r="J6" s="93" t="s">
        <v>573</v>
      </c>
      <c r="K6" s="93"/>
    </row>
    <row r="7" spans="2:16" s="7" customFormat="1" ht="16.5" customHeight="1" x14ac:dyDescent="0.25">
      <c r="B7" s="7" t="s">
        <v>325</v>
      </c>
    </row>
    <row r="8" spans="2:16" ht="25.5" customHeight="1" x14ac:dyDescent="0.25">
      <c r="B8" s="17" t="s">
        <v>326</v>
      </c>
      <c r="C8" s="18" t="s">
        <v>43</v>
      </c>
      <c r="D8" s="18" t="s">
        <v>327</v>
      </c>
      <c r="E8" s="18" t="s">
        <v>161</v>
      </c>
      <c r="F8" s="18" t="s">
        <v>328</v>
      </c>
      <c r="G8" s="18" t="s">
        <v>329</v>
      </c>
      <c r="H8" s="18" t="s">
        <v>330</v>
      </c>
      <c r="I8" s="17" t="s">
        <v>331</v>
      </c>
      <c r="J8" s="17" t="s">
        <v>102</v>
      </c>
      <c r="K8" s="17" t="s">
        <v>332</v>
      </c>
      <c r="L8" s="17" t="s">
        <v>163</v>
      </c>
      <c r="M8" s="17" t="s">
        <v>333</v>
      </c>
      <c r="N8" s="17" t="s">
        <v>95</v>
      </c>
      <c r="O8" s="17" t="s">
        <v>160</v>
      </c>
      <c r="P8" s="17" t="s">
        <v>334</v>
      </c>
    </row>
    <row r="9" spans="2:16" ht="18" customHeight="1" x14ac:dyDescent="0.25">
      <c r="B9" s="49" t="str">
        <f>IFERROR(INDEX(tblUsuarios[Nombre],MATCH(ROW()-ROW(tblCapturaEntradas[#Headers]),tblUsuarios[OrdenBodega],0)),"")</f>
        <v>Administrador M-INV</v>
      </c>
      <c r="C9" s="50"/>
      <c r="D9" s="51"/>
      <c r="E9" s="50"/>
      <c r="F9" s="52"/>
      <c r="G9" s="50"/>
      <c r="H9" s="50"/>
      <c r="I9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9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9" s="54"/>
      <c r="L9" s="42" t="str">
        <f>IF(tblCapturaEntradas[[#This Row],[SKU]]="","",IFERROR(INDEX(tblProductos[Unidad],MATCH(tblCapturaEntradas[[#This Row],[SKU]],tblProductos[SKU],0)),"?"))</f>
        <v/>
      </c>
      <c r="M9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9" s="49" t="str">
        <f>IFERROR(INDEX(tblUsuarios[Correo],MATCH(ROW()-ROW(tblCapturaEntradas[#Headers]),tblUsuarios[OrdenBodega],0)),"")</f>
        <v>admin@distribuidorademo.example</v>
      </c>
      <c r="O9" s="42" t="str">
        <f>IF(tblCapturaEntradas[[#This Row],[Producto]]="","",TRIM(LEFT(tblCapturaEntradas[[#This Row],[Producto]],FIND(" · ",tblCapturaEntradas[[#This Row],[Producto]]&amp;" · ")-1)))</f>
        <v/>
      </c>
      <c r="P9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0" spans="2:16" ht="18" customHeight="1" x14ac:dyDescent="0.25">
      <c r="B10" s="49" t="str">
        <f>IFERROR(INDEX(tblUsuarios[Nombre],MATCH(ROW()-ROW(tblCapturaEntradas[#Headers]),tblUsuarios[OrdenBodega],0)),"")</f>
        <v>Ana Gómez</v>
      </c>
      <c r="C10" s="50" t="s">
        <v>49</v>
      </c>
      <c r="D10" s="51"/>
      <c r="E10" s="50" t="s">
        <v>335</v>
      </c>
      <c r="F10" s="52">
        <v>20</v>
      </c>
      <c r="G10" s="50" t="s">
        <v>336</v>
      </c>
      <c r="H10" s="50" t="s">
        <v>337</v>
      </c>
      <c r="I10" s="53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>0</v>
      </c>
      <c r="J10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>✔ Lista · quedarán 20 ROLLO · pulse Registrar</v>
      </c>
      <c r="K10" s="54"/>
      <c r="L10" s="42" t="str">
        <f>IF(tblCapturaEntradas[[#This Row],[SKU]]="","",IFERROR(INDEX(tblProductos[Unidad],MATCH(tblCapturaEntradas[[#This Row],[SKU]],tblProductos[SKU],0)),"?"))</f>
        <v>ROLLO</v>
      </c>
      <c r="M10" s="55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>1</v>
      </c>
      <c r="N10" s="49" t="str">
        <f>IFERROR(INDEX(tblUsuarios[Correo],MATCH(ROW()-ROW(tblCapturaEntradas[#Headers]),tblUsuarios[OrdenBodega],0)),"")</f>
        <v>ana.gomez@distribuidorademo.example</v>
      </c>
      <c r="O10" s="42" t="str">
        <f>IF(tblCapturaEntradas[[#This Row],[Producto]]="","",TRIM(LEFT(tblCapturaEntradas[[#This Row],[Producto]],FIND(" · ",tblCapturaEntradas[[#This Row],[Producto]]&amp;" · ")-1)))</f>
        <v>ELE-001</v>
      </c>
      <c r="P10" s="56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>20</v>
      </c>
    </row>
    <row r="11" spans="2:16" ht="18" customHeight="1" x14ac:dyDescent="0.25">
      <c r="B11" s="49" t="str">
        <f>IFERROR(INDEX(tblUsuarios[Nombre],MATCH(ROW()-ROW(tblCapturaEntradas[#Headers]),tblUsuarios[OrdenBodega],0)),"")</f>
        <v>Laura Méndez</v>
      </c>
      <c r="C11" s="50"/>
      <c r="D11" s="51"/>
      <c r="E11" s="50"/>
      <c r="F11" s="52"/>
      <c r="G11" s="50"/>
      <c r="H11" s="50"/>
      <c r="I11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1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1" s="54"/>
      <c r="L11" s="42" t="str">
        <f>IF(tblCapturaEntradas[[#This Row],[SKU]]="","",IFERROR(INDEX(tblProductos[Unidad],MATCH(tblCapturaEntradas[[#This Row],[SKU]],tblProductos[SKU],0)),"?"))</f>
        <v/>
      </c>
      <c r="M11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1" s="49" t="str">
        <f>IFERROR(INDEX(tblUsuarios[Correo],MATCH(ROW()-ROW(tblCapturaEntradas[#Headers]),tblUsuarios[OrdenBodega],0)),"")</f>
        <v>laura.mendez@distribuidorademo.example</v>
      </c>
      <c r="O11" s="42" t="str">
        <f>IF(tblCapturaEntradas[[#This Row],[Producto]]="","",TRIM(LEFT(tblCapturaEntradas[[#This Row],[Producto]],FIND(" · ",tblCapturaEntradas[[#This Row],[Producto]]&amp;" · ")-1)))</f>
        <v/>
      </c>
      <c r="P11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2" spans="2:16" ht="18" customHeight="1" x14ac:dyDescent="0.25">
      <c r="B12" s="49" t="str">
        <f>IFERROR(INDEX(tblUsuarios[Nombre],MATCH(ROW()-ROW(tblCapturaEntradas[#Headers]),tblUsuarios[OrdenBodega],0)),"")</f>
        <v/>
      </c>
      <c r="C12" s="50"/>
      <c r="D12" s="51"/>
      <c r="E12" s="50"/>
      <c r="F12" s="52"/>
      <c r="G12" s="50"/>
      <c r="H12" s="50"/>
      <c r="I12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2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2" s="54"/>
      <c r="L12" s="42" t="str">
        <f>IF(tblCapturaEntradas[[#This Row],[SKU]]="","",IFERROR(INDEX(tblProductos[Unidad],MATCH(tblCapturaEntradas[[#This Row],[SKU]],tblProductos[SKU],0)),"?"))</f>
        <v/>
      </c>
      <c r="M12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2" s="49" t="str">
        <f>IFERROR(INDEX(tblUsuarios[Correo],MATCH(ROW()-ROW(tblCapturaEntradas[#Headers]),tblUsuarios[OrdenBodega],0)),"")</f>
        <v/>
      </c>
      <c r="O12" s="42" t="str">
        <f>IF(tblCapturaEntradas[[#This Row],[Producto]]="","",TRIM(LEFT(tblCapturaEntradas[[#This Row],[Producto]],FIND(" · ",tblCapturaEntradas[[#This Row],[Producto]]&amp;" · ")-1)))</f>
        <v/>
      </c>
      <c r="P12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3" spans="2:16" ht="18" customHeight="1" x14ac:dyDescent="0.25">
      <c r="B13" s="49" t="str">
        <f>IFERROR(INDEX(tblUsuarios[Nombre],MATCH(ROW()-ROW(tblCapturaEntradas[#Headers]),tblUsuarios[OrdenBodega],0)),"")</f>
        <v/>
      </c>
      <c r="C13" s="50"/>
      <c r="D13" s="51"/>
      <c r="E13" s="50"/>
      <c r="F13" s="52"/>
      <c r="G13" s="50"/>
      <c r="H13" s="50"/>
      <c r="I13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3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3" s="54"/>
      <c r="L13" s="42" t="str">
        <f>IF(tblCapturaEntradas[[#This Row],[SKU]]="","",IFERROR(INDEX(tblProductos[Unidad],MATCH(tblCapturaEntradas[[#This Row],[SKU]],tblProductos[SKU],0)),"?"))</f>
        <v/>
      </c>
      <c r="M13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3" s="49" t="str">
        <f>IFERROR(INDEX(tblUsuarios[Correo],MATCH(ROW()-ROW(tblCapturaEntradas[#Headers]),tblUsuarios[OrdenBodega],0)),"")</f>
        <v/>
      </c>
      <c r="O13" s="42" t="str">
        <f>IF(tblCapturaEntradas[[#This Row],[Producto]]="","",TRIM(LEFT(tblCapturaEntradas[[#This Row],[Producto]],FIND(" · ",tblCapturaEntradas[[#This Row],[Producto]]&amp;" · ")-1)))</f>
        <v/>
      </c>
      <c r="P13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4" spans="2:16" ht="18" customHeight="1" x14ac:dyDescent="0.25">
      <c r="B14" s="49" t="str">
        <f>IFERROR(INDEX(tblUsuarios[Nombre],MATCH(ROW()-ROW(tblCapturaEntradas[#Headers]),tblUsuarios[OrdenBodega],0)),"")</f>
        <v/>
      </c>
      <c r="C14" s="50"/>
      <c r="D14" s="51"/>
      <c r="E14" s="50"/>
      <c r="F14" s="52"/>
      <c r="G14" s="50"/>
      <c r="H14" s="50"/>
      <c r="I14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4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4" s="54"/>
      <c r="L14" s="42" t="str">
        <f>IF(tblCapturaEntradas[[#This Row],[SKU]]="","",IFERROR(INDEX(tblProductos[Unidad],MATCH(tblCapturaEntradas[[#This Row],[SKU]],tblProductos[SKU],0)),"?"))</f>
        <v/>
      </c>
      <c r="M14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4" s="49" t="str">
        <f>IFERROR(INDEX(tblUsuarios[Correo],MATCH(ROW()-ROW(tblCapturaEntradas[#Headers]),tblUsuarios[OrdenBodega],0)),"")</f>
        <v/>
      </c>
      <c r="O14" s="42" t="str">
        <f>IF(tblCapturaEntradas[[#This Row],[Producto]]="","",TRIM(LEFT(tblCapturaEntradas[[#This Row],[Producto]],FIND(" · ",tblCapturaEntradas[[#This Row],[Producto]]&amp;" · ")-1)))</f>
        <v/>
      </c>
      <c r="P14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5" spans="2:16" ht="18" customHeight="1" x14ac:dyDescent="0.25">
      <c r="B15" s="49" t="str">
        <f>IFERROR(INDEX(tblUsuarios[Nombre],MATCH(ROW()-ROW(tblCapturaEntradas[#Headers]),tblUsuarios[OrdenBodega],0)),"")</f>
        <v/>
      </c>
      <c r="C15" s="50"/>
      <c r="D15" s="51"/>
      <c r="E15" s="50"/>
      <c r="F15" s="52"/>
      <c r="G15" s="50"/>
      <c r="H15" s="50"/>
      <c r="I15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5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5" s="54"/>
      <c r="L15" s="42" t="str">
        <f>IF(tblCapturaEntradas[[#This Row],[SKU]]="","",IFERROR(INDEX(tblProductos[Unidad],MATCH(tblCapturaEntradas[[#This Row],[SKU]],tblProductos[SKU],0)),"?"))</f>
        <v/>
      </c>
      <c r="M15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5" s="49" t="str">
        <f>IFERROR(INDEX(tblUsuarios[Correo],MATCH(ROW()-ROW(tblCapturaEntradas[#Headers]),tblUsuarios[OrdenBodega],0)),"")</f>
        <v/>
      </c>
      <c r="O15" s="42" t="str">
        <f>IF(tblCapturaEntradas[[#This Row],[Producto]]="","",TRIM(LEFT(tblCapturaEntradas[[#This Row],[Producto]],FIND(" · ",tblCapturaEntradas[[#This Row],[Producto]]&amp;" · ")-1)))</f>
        <v/>
      </c>
      <c r="P15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6" spans="2:16" ht="18" customHeight="1" x14ac:dyDescent="0.25">
      <c r="B16" s="49" t="str">
        <f>IFERROR(INDEX(tblUsuarios[Nombre],MATCH(ROW()-ROW(tblCapturaEntradas[#Headers]),tblUsuarios[OrdenBodega],0)),"")</f>
        <v/>
      </c>
      <c r="C16" s="50"/>
      <c r="D16" s="51"/>
      <c r="E16" s="50"/>
      <c r="F16" s="52"/>
      <c r="G16" s="50"/>
      <c r="H16" s="50"/>
      <c r="I16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6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6" s="54"/>
      <c r="L16" s="42" t="str">
        <f>IF(tblCapturaEntradas[[#This Row],[SKU]]="","",IFERROR(INDEX(tblProductos[Unidad],MATCH(tblCapturaEntradas[[#This Row],[SKU]],tblProductos[SKU],0)),"?"))</f>
        <v/>
      </c>
      <c r="M16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6" s="49" t="str">
        <f>IFERROR(INDEX(tblUsuarios[Correo],MATCH(ROW()-ROW(tblCapturaEntradas[#Headers]),tblUsuarios[OrdenBodega],0)),"")</f>
        <v/>
      </c>
      <c r="O16" s="42" t="str">
        <f>IF(tblCapturaEntradas[[#This Row],[Producto]]="","",TRIM(LEFT(tblCapturaEntradas[[#This Row],[Producto]],FIND(" · ",tblCapturaEntradas[[#This Row],[Producto]]&amp;" · ")-1)))</f>
        <v/>
      </c>
      <c r="P16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7" spans="2:16" ht="18" customHeight="1" x14ac:dyDescent="0.25">
      <c r="B17" s="49" t="str">
        <f>IFERROR(INDEX(tblUsuarios[Nombre],MATCH(ROW()-ROW(tblCapturaEntradas[#Headers]),tblUsuarios[OrdenBodega],0)),"")</f>
        <v/>
      </c>
      <c r="C17" s="50"/>
      <c r="D17" s="51"/>
      <c r="E17" s="50"/>
      <c r="F17" s="52"/>
      <c r="G17" s="50"/>
      <c r="H17" s="50"/>
      <c r="I17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7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7" s="54"/>
      <c r="L17" s="42" t="str">
        <f>IF(tblCapturaEntradas[[#This Row],[SKU]]="","",IFERROR(INDEX(tblProductos[Unidad],MATCH(tblCapturaEntradas[[#This Row],[SKU]],tblProductos[SKU],0)),"?"))</f>
        <v/>
      </c>
      <c r="M17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7" s="49" t="str">
        <f>IFERROR(INDEX(tblUsuarios[Correo],MATCH(ROW()-ROW(tblCapturaEntradas[#Headers]),tblUsuarios[OrdenBodega],0)),"")</f>
        <v/>
      </c>
      <c r="O17" s="42" t="str">
        <f>IF(tblCapturaEntradas[[#This Row],[Producto]]="","",TRIM(LEFT(tblCapturaEntradas[[#This Row],[Producto]],FIND(" · ",tblCapturaEntradas[[#This Row],[Producto]]&amp;" · ")-1)))</f>
        <v/>
      </c>
      <c r="P17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8" spans="2:16" ht="18" customHeight="1" x14ac:dyDescent="0.25">
      <c r="B18" s="49" t="str">
        <f>IFERROR(INDEX(tblUsuarios[Nombre],MATCH(ROW()-ROW(tblCapturaEntradas[#Headers]),tblUsuarios[OrdenBodega],0)),"")</f>
        <v/>
      </c>
      <c r="C18" s="50"/>
      <c r="D18" s="51"/>
      <c r="E18" s="50"/>
      <c r="F18" s="52"/>
      <c r="G18" s="50"/>
      <c r="H18" s="50"/>
      <c r="I18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8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8" s="54"/>
      <c r="L18" s="42" t="str">
        <f>IF(tblCapturaEntradas[[#This Row],[SKU]]="","",IFERROR(INDEX(tblProductos[Unidad],MATCH(tblCapturaEntradas[[#This Row],[SKU]],tblProductos[SKU],0)),"?"))</f>
        <v/>
      </c>
      <c r="M18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8" s="49" t="str">
        <f>IFERROR(INDEX(tblUsuarios[Correo],MATCH(ROW()-ROW(tblCapturaEntradas[#Headers]),tblUsuarios[OrdenBodega],0)),"")</f>
        <v/>
      </c>
      <c r="O18" s="42" t="str">
        <f>IF(tblCapturaEntradas[[#This Row],[Producto]]="","",TRIM(LEFT(tblCapturaEntradas[[#This Row],[Producto]],FIND(" · ",tblCapturaEntradas[[#This Row],[Producto]]&amp;" · ")-1)))</f>
        <v/>
      </c>
      <c r="P18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9" spans="2:16" ht="18" customHeight="1" x14ac:dyDescent="0.25">
      <c r="B19" s="49" t="str">
        <f>IFERROR(INDEX(tblUsuarios[Nombre],MATCH(ROW()-ROW(tblCapturaEntradas[#Headers]),tblUsuarios[OrdenBodega],0)),"")</f>
        <v/>
      </c>
      <c r="C19" s="50"/>
      <c r="D19" s="51"/>
      <c r="E19" s="50"/>
      <c r="F19" s="52"/>
      <c r="G19" s="50"/>
      <c r="H19" s="50"/>
      <c r="I19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9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9" s="54"/>
      <c r="L19" s="42" t="str">
        <f>IF(tblCapturaEntradas[[#This Row],[SKU]]="","",IFERROR(INDEX(tblProductos[Unidad],MATCH(tblCapturaEntradas[[#This Row],[SKU]],tblProductos[SKU],0)),"?"))</f>
        <v/>
      </c>
      <c r="M19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9" s="49" t="str">
        <f>IFERROR(INDEX(tblUsuarios[Correo],MATCH(ROW()-ROW(tblCapturaEntradas[#Headers]),tblUsuarios[OrdenBodega],0)),"")</f>
        <v/>
      </c>
      <c r="O19" s="42" t="str">
        <f>IF(tblCapturaEntradas[[#This Row],[Producto]]="","",TRIM(LEFT(tblCapturaEntradas[[#This Row],[Producto]],FIND(" · ",tblCapturaEntradas[[#This Row],[Producto]]&amp;" · ")-1)))</f>
        <v/>
      </c>
      <c r="P19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20" spans="2:16" ht="18" customHeight="1" x14ac:dyDescent="0.25">
      <c r="B20" s="49" t="str">
        <f>IFERROR(INDEX(tblUsuarios[Nombre],MATCH(ROW()-ROW(tblCapturaEntradas[#Headers]),tblUsuarios[OrdenBodega],0)),"")</f>
        <v/>
      </c>
      <c r="C20" s="50"/>
      <c r="D20" s="51"/>
      <c r="E20" s="50"/>
      <c r="F20" s="52"/>
      <c r="G20" s="50"/>
      <c r="H20" s="50"/>
      <c r="I20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20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20" s="54"/>
      <c r="L20" s="42" t="str">
        <f>IF(tblCapturaEntradas[[#This Row],[SKU]]="","",IFERROR(INDEX(tblProductos[Unidad],MATCH(tblCapturaEntradas[[#This Row],[SKU]],tblProductos[SKU],0)),"?"))</f>
        <v/>
      </c>
      <c r="M20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20" s="49" t="str">
        <f>IFERROR(INDEX(tblUsuarios[Correo],MATCH(ROW()-ROW(tblCapturaEntradas[#Headers]),tblUsuarios[OrdenBodega],0)),"")</f>
        <v/>
      </c>
      <c r="O20" s="42" t="str">
        <f>IF(tblCapturaEntradas[[#This Row],[Producto]]="","",TRIM(LEFT(tblCapturaEntradas[[#This Row],[Producto]],FIND(" · ",tblCapturaEntradas[[#This Row],[Producto]]&amp;" · ")-1)))</f>
        <v/>
      </c>
      <c r="P20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21" spans="2:16" ht="18" customHeight="1" x14ac:dyDescent="0.25">
      <c r="B21" s="49" t="str">
        <f>IFERROR(INDEX(tblUsuarios[Nombre],MATCH(ROW()-ROW(tblCapturaEntradas[#Headers]),tblUsuarios[OrdenBodega],0)),"")</f>
        <v/>
      </c>
      <c r="C21" s="50"/>
      <c r="D21" s="51"/>
      <c r="E21" s="50"/>
      <c r="F21" s="52"/>
      <c r="G21" s="50"/>
      <c r="H21" s="50"/>
      <c r="I21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21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21" s="54"/>
      <c r="L21" s="42" t="str">
        <f>IF(tblCapturaEntradas[[#This Row],[SKU]]="","",IFERROR(INDEX(tblProductos[Unidad],MATCH(tblCapturaEntradas[[#This Row],[SKU]],tblProductos[SKU],0)),"?"))</f>
        <v/>
      </c>
      <c r="M21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21" s="49" t="str">
        <f>IFERROR(INDEX(tblUsuarios[Correo],MATCH(ROW()-ROW(tblCapturaEntradas[#Headers]),tblUsuarios[OrdenBodega],0)),"")</f>
        <v/>
      </c>
      <c r="O21" s="42" t="str">
        <f>IF(tblCapturaEntradas[[#This Row],[Producto]]="","",TRIM(LEFT(tblCapturaEntradas[[#This Row],[Producto]],FIND(" · ",tblCapturaEntradas[[#This Row],[Producto]]&amp;" · ")-1)))</f>
        <v/>
      </c>
      <c r="P21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22" spans="2:16" ht="18" customHeight="1" x14ac:dyDescent="0.25">
      <c r="B22" s="49" t="str">
        <f>IFERROR(INDEX(tblUsuarios[Nombre],MATCH(ROW()-ROW(tblCapturaEntradas[#Headers]),tblUsuarios[OrdenBodega],0)),"")</f>
        <v/>
      </c>
      <c r="C22" s="50"/>
      <c r="D22" s="51"/>
      <c r="E22" s="50"/>
      <c r="F22" s="52"/>
      <c r="G22" s="50"/>
      <c r="H22" s="50"/>
      <c r="I22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22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22" s="54"/>
      <c r="L22" s="42" t="str">
        <f>IF(tblCapturaEntradas[[#This Row],[SKU]]="","",IFERROR(INDEX(tblProductos[Unidad],MATCH(tblCapturaEntradas[[#This Row],[SKU]],tblProductos[SKU],0)),"?"))</f>
        <v/>
      </c>
      <c r="M22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22" s="49" t="str">
        <f>IFERROR(INDEX(tblUsuarios[Correo],MATCH(ROW()-ROW(tblCapturaEntradas[#Headers]),tblUsuarios[OrdenBodega],0)),"")</f>
        <v/>
      </c>
      <c r="O22" s="42" t="str">
        <f>IF(tblCapturaEntradas[[#This Row],[Producto]]="","",TRIM(LEFT(tblCapturaEntradas[[#This Row],[Producto]],FIND(" · ",tblCapturaEntradas[[#This Row],[Producto]]&amp;" · ")-1)))</f>
        <v/>
      </c>
      <c r="P22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23" spans="2:16" ht="18" customHeight="1" x14ac:dyDescent="0.25">
      <c r="B23" s="49" t="str">
        <f>IFERROR(INDEX(tblUsuarios[Nombre],MATCH(ROW()-ROW(tblCapturaEntradas[#Headers]),tblUsuarios[OrdenBodega],0)),"")</f>
        <v/>
      </c>
      <c r="C23" s="50"/>
      <c r="D23" s="51"/>
      <c r="E23" s="50"/>
      <c r="F23" s="52"/>
      <c r="G23" s="50"/>
      <c r="H23" s="50"/>
      <c r="I23" s="53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23" s="43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23" s="54"/>
      <c r="L23" s="42" t="str">
        <f>IF(tblCapturaEntradas[[#This Row],[SKU]]="","",IFERROR(INDEX(tblProductos[Unidad],MATCH(tblCapturaEntradas[[#This Row],[SKU]],tblProductos[SKU],0)),"?"))</f>
        <v/>
      </c>
      <c r="M23" s="55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23" s="49" t="str">
        <f>IFERROR(INDEX(tblUsuarios[Correo],MATCH(ROW()-ROW(tblCapturaEntradas[#Headers]),tblUsuarios[OrdenBodega],0)),"")</f>
        <v/>
      </c>
      <c r="O23" s="42" t="str">
        <f>IF(tblCapturaEntradas[[#This Row],[Producto]]="","",TRIM(LEFT(tblCapturaEntradas[[#This Row],[Producto]],FIND(" · ",tblCapturaEntradas[[#This Row],[Producto]]&amp;" · ")-1)))</f>
        <v/>
      </c>
      <c r="P23" s="56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24" spans="2:16" s="7" customFormat="1" ht="9" customHeight="1" x14ac:dyDescent="0.25"/>
    <row r="25" spans="2:16" s="7" customFormat="1" ht="16.5" customHeight="1" x14ac:dyDescent="0.25">
      <c r="B25" s="7" t="s">
        <v>338</v>
      </c>
    </row>
    <row r="26" spans="2:16" s="7" customFormat="1" ht="14.25" x14ac:dyDescent="0.25">
      <c r="B26" s="39" t="s">
        <v>339</v>
      </c>
    </row>
    <row r="27" spans="2:16" ht="24" customHeight="1" x14ac:dyDescent="0.25">
      <c r="B27" s="17" t="s">
        <v>340</v>
      </c>
      <c r="C27" s="17" t="s">
        <v>43</v>
      </c>
      <c r="D27" s="17" t="s">
        <v>327</v>
      </c>
      <c r="E27" s="17" t="s">
        <v>161</v>
      </c>
      <c r="F27" s="17" t="s">
        <v>328</v>
      </c>
      <c r="G27" s="17" t="s">
        <v>329</v>
      </c>
      <c r="H27" s="17" t="s">
        <v>330</v>
      </c>
      <c r="I27" s="17" t="s">
        <v>341</v>
      </c>
      <c r="J27" s="17" t="s">
        <v>59</v>
      </c>
      <c r="K27" s="17" t="s">
        <v>342</v>
      </c>
      <c r="L27" s="17" t="s">
        <v>163</v>
      </c>
      <c r="M27" s="17" t="s">
        <v>44</v>
      </c>
      <c r="N27" s="17" t="s">
        <v>343</v>
      </c>
      <c r="O27" s="17" t="s">
        <v>160</v>
      </c>
      <c r="P27" s="17" t="s">
        <v>344</v>
      </c>
    </row>
    <row r="28" spans="2:16" x14ac:dyDescent="0.25">
      <c r="B28" s="57" t="s">
        <v>345</v>
      </c>
      <c r="C28" s="49" t="s">
        <v>46</v>
      </c>
      <c r="D28" s="58">
        <v>46113</v>
      </c>
      <c r="E28" s="49" t="s">
        <v>346</v>
      </c>
      <c r="F28" s="56">
        <v>76</v>
      </c>
      <c r="G28" s="42" t="s">
        <v>347</v>
      </c>
      <c r="H28" s="49" t="s">
        <v>348</v>
      </c>
      <c r="I28" s="59">
        <v>76</v>
      </c>
      <c r="J28" s="43" t="s">
        <v>349</v>
      </c>
      <c r="K28" s="49" t="s">
        <v>106</v>
      </c>
      <c r="L28" s="42" t="s">
        <v>173</v>
      </c>
      <c r="M28" s="55">
        <v>1</v>
      </c>
      <c r="N28" s="49" t="s">
        <v>105</v>
      </c>
      <c r="O28" s="42" t="s">
        <v>170</v>
      </c>
      <c r="P28" s="60">
        <v>46113.322777777779</v>
      </c>
    </row>
    <row r="29" spans="2:16" x14ac:dyDescent="0.25">
      <c r="B29" s="57" t="s">
        <v>350</v>
      </c>
      <c r="C29" s="49" t="s">
        <v>46</v>
      </c>
      <c r="D29" s="58">
        <v>46113</v>
      </c>
      <c r="E29" s="49" t="s">
        <v>351</v>
      </c>
      <c r="F29" s="56">
        <v>60</v>
      </c>
      <c r="G29" s="42" t="s">
        <v>347</v>
      </c>
      <c r="H29" s="49" t="s">
        <v>348</v>
      </c>
      <c r="I29" s="59">
        <v>60</v>
      </c>
      <c r="J29" s="43" t="s">
        <v>349</v>
      </c>
      <c r="K29" s="49" t="s">
        <v>106</v>
      </c>
      <c r="L29" s="42" t="s">
        <v>177</v>
      </c>
      <c r="M29" s="55">
        <v>1</v>
      </c>
      <c r="N29" s="49" t="s">
        <v>105</v>
      </c>
      <c r="O29" s="42" t="s">
        <v>175</v>
      </c>
      <c r="P29" s="60">
        <v>46113.363229166673</v>
      </c>
    </row>
    <row r="30" spans="2:16" x14ac:dyDescent="0.25">
      <c r="B30" s="57" t="s">
        <v>352</v>
      </c>
      <c r="C30" s="49" t="s">
        <v>46</v>
      </c>
      <c r="D30" s="58">
        <v>46113</v>
      </c>
      <c r="E30" s="49" t="s">
        <v>353</v>
      </c>
      <c r="F30" s="56">
        <v>23</v>
      </c>
      <c r="G30" s="42" t="s">
        <v>347</v>
      </c>
      <c r="H30" s="49" t="s">
        <v>348</v>
      </c>
      <c r="I30" s="59">
        <v>23</v>
      </c>
      <c r="J30" s="43" t="s">
        <v>349</v>
      </c>
      <c r="K30" s="49" t="s">
        <v>106</v>
      </c>
      <c r="L30" s="42" t="s">
        <v>181</v>
      </c>
      <c r="M30" s="55">
        <v>1</v>
      </c>
      <c r="N30" s="49" t="s">
        <v>105</v>
      </c>
      <c r="O30" s="42" t="s">
        <v>179</v>
      </c>
      <c r="P30" s="60">
        <v>46113.370613425926</v>
      </c>
    </row>
    <row r="31" spans="2:16" x14ac:dyDescent="0.25">
      <c r="B31" s="57" t="s">
        <v>354</v>
      </c>
      <c r="C31" s="49" t="s">
        <v>46</v>
      </c>
      <c r="D31" s="58">
        <v>46113</v>
      </c>
      <c r="E31" s="49" t="s">
        <v>355</v>
      </c>
      <c r="F31" s="56">
        <v>34</v>
      </c>
      <c r="G31" s="42" t="s">
        <v>347</v>
      </c>
      <c r="H31" s="49" t="s">
        <v>348</v>
      </c>
      <c r="I31" s="59">
        <v>34</v>
      </c>
      <c r="J31" s="43" t="s">
        <v>349</v>
      </c>
      <c r="K31" s="49" t="s">
        <v>106</v>
      </c>
      <c r="L31" s="42" t="s">
        <v>181</v>
      </c>
      <c r="M31" s="55">
        <v>1</v>
      </c>
      <c r="N31" s="49" t="s">
        <v>105</v>
      </c>
      <c r="O31" s="42" t="s">
        <v>183</v>
      </c>
      <c r="P31" s="60">
        <v>46113.372858796298</v>
      </c>
    </row>
    <row r="32" spans="2:16" x14ac:dyDescent="0.25">
      <c r="B32" s="57" t="s">
        <v>356</v>
      </c>
      <c r="C32" s="49" t="s">
        <v>46</v>
      </c>
      <c r="D32" s="58">
        <v>46113</v>
      </c>
      <c r="E32" s="49" t="s">
        <v>357</v>
      </c>
      <c r="F32" s="56">
        <v>95</v>
      </c>
      <c r="G32" s="42" t="s">
        <v>347</v>
      </c>
      <c r="H32" s="49" t="s">
        <v>348</v>
      </c>
      <c r="I32" s="59">
        <v>95</v>
      </c>
      <c r="J32" s="43" t="s">
        <v>349</v>
      </c>
      <c r="K32" s="49" t="s">
        <v>106</v>
      </c>
      <c r="L32" s="42" t="s">
        <v>181</v>
      </c>
      <c r="M32" s="55">
        <v>1</v>
      </c>
      <c r="N32" s="49" t="s">
        <v>105</v>
      </c>
      <c r="O32" s="42" t="s">
        <v>186</v>
      </c>
      <c r="P32" s="60">
        <v>46113.39466435185</v>
      </c>
    </row>
    <row r="33" spans="2:16" x14ac:dyDescent="0.25">
      <c r="B33" s="57" t="s">
        <v>358</v>
      </c>
      <c r="C33" s="49" t="s">
        <v>46</v>
      </c>
      <c r="D33" s="58">
        <v>46113</v>
      </c>
      <c r="E33" s="49" t="s">
        <v>359</v>
      </c>
      <c r="F33" s="56">
        <v>24</v>
      </c>
      <c r="G33" s="42" t="s">
        <v>347</v>
      </c>
      <c r="H33" s="49" t="s">
        <v>348</v>
      </c>
      <c r="I33" s="59">
        <v>24</v>
      </c>
      <c r="J33" s="43" t="s">
        <v>349</v>
      </c>
      <c r="K33" s="49" t="s">
        <v>106</v>
      </c>
      <c r="L33" s="42" t="s">
        <v>181</v>
      </c>
      <c r="M33" s="55">
        <v>1</v>
      </c>
      <c r="N33" s="49" t="s">
        <v>105</v>
      </c>
      <c r="O33" s="42" t="s">
        <v>189</v>
      </c>
      <c r="P33" s="60">
        <v>46113.406840277778</v>
      </c>
    </row>
    <row r="34" spans="2:16" x14ac:dyDescent="0.25">
      <c r="B34" s="57" t="s">
        <v>360</v>
      </c>
      <c r="C34" s="49" t="s">
        <v>46</v>
      </c>
      <c r="D34" s="58">
        <v>46113</v>
      </c>
      <c r="E34" s="49" t="s">
        <v>361</v>
      </c>
      <c r="F34" s="56">
        <v>3</v>
      </c>
      <c r="G34" s="42" t="s">
        <v>347</v>
      </c>
      <c r="H34" s="49" t="s">
        <v>348</v>
      </c>
      <c r="I34" s="59">
        <v>3</v>
      </c>
      <c r="J34" s="43" t="s">
        <v>349</v>
      </c>
      <c r="K34" s="49" t="s">
        <v>106</v>
      </c>
      <c r="L34" s="42" t="s">
        <v>181</v>
      </c>
      <c r="M34" s="55">
        <v>1</v>
      </c>
      <c r="N34" s="49" t="s">
        <v>105</v>
      </c>
      <c r="O34" s="42" t="s">
        <v>192</v>
      </c>
      <c r="P34" s="60">
        <v>46113.431215277778</v>
      </c>
    </row>
    <row r="35" spans="2:16" x14ac:dyDescent="0.25">
      <c r="B35" s="57" t="s">
        <v>362</v>
      </c>
      <c r="C35" s="49" t="s">
        <v>46</v>
      </c>
      <c r="D35" s="58">
        <v>46113</v>
      </c>
      <c r="E35" s="49" t="s">
        <v>335</v>
      </c>
      <c r="F35" s="56">
        <v>16</v>
      </c>
      <c r="G35" s="42" t="s">
        <v>347</v>
      </c>
      <c r="H35" s="49" t="s">
        <v>348</v>
      </c>
      <c r="I35" s="59">
        <v>16</v>
      </c>
      <c r="J35" s="43" t="s">
        <v>349</v>
      </c>
      <c r="K35" s="49" t="s">
        <v>106</v>
      </c>
      <c r="L35" s="42" t="s">
        <v>199</v>
      </c>
      <c r="M35" s="55">
        <v>1</v>
      </c>
      <c r="N35" s="49" t="s">
        <v>105</v>
      </c>
      <c r="O35" s="42" t="s">
        <v>196</v>
      </c>
      <c r="P35" s="60">
        <v>46113.436898148153</v>
      </c>
    </row>
    <row r="36" spans="2:16" x14ac:dyDescent="0.25">
      <c r="B36" s="57" t="s">
        <v>363</v>
      </c>
      <c r="C36" s="49" t="s">
        <v>46</v>
      </c>
      <c r="D36" s="58">
        <v>46113</v>
      </c>
      <c r="E36" s="49" t="s">
        <v>364</v>
      </c>
      <c r="F36" s="56">
        <v>192</v>
      </c>
      <c r="G36" s="42" t="s">
        <v>347</v>
      </c>
      <c r="H36" s="49" t="s">
        <v>348</v>
      </c>
      <c r="I36" s="59">
        <v>192</v>
      </c>
      <c r="J36" s="43" t="s">
        <v>349</v>
      </c>
      <c r="K36" s="49" t="s">
        <v>106</v>
      </c>
      <c r="L36" s="42" t="s">
        <v>181</v>
      </c>
      <c r="M36" s="55">
        <v>1</v>
      </c>
      <c r="N36" s="49" t="s">
        <v>105</v>
      </c>
      <c r="O36" s="42" t="s">
        <v>201</v>
      </c>
      <c r="P36" s="60">
        <v>46113.448321759257</v>
      </c>
    </row>
    <row r="37" spans="2:16" x14ac:dyDescent="0.25">
      <c r="B37" s="57" t="s">
        <v>365</v>
      </c>
      <c r="C37" s="49" t="s">
        <v>46</v>
      </c>
      <c r="D37" s="58">
        <v>46113</v>
      </c>
      <c r="E37" s="49" t="s">
        <v>366</v>
      </c>
      <c r="F37" s="56">
        <v>100</v>
      </c>
      <c r="G37" s="42" t="s">
        <v>347</v>
      </c>
      <c r="H37" s="49" t="s">
        <v>348</v>
      </c>
      <c r="I37" s="59">
        <v>100</v>
      </c>
      <c r="J37" s="43" t="s">
        <v>349</v>
      </c>
      <c r="K37" s="49" t="s">
        <v>106</v>
      </c>
      <c r="L37" s="42" t="s">
        <v>181</v>
      </c>
      <c r="M37" s="55">
        <v>1</v>
      </c>
      <c r="N37" s="49" t="s">
        <v>105</v>
      </c>
      <c r="O37" s="42" t="s">
        <v>204</v>
      </c>
      <c r="P37" s="60">
        <v>46113.449074074073</v>
      </c>
    </row>
    <row r="38" spans="2:16" x14ac:dyDescent="0.25">
      <c r="B38" s="57" t="s">
        <v>367</v>
      </c>
      <c r="C38" s="49" t="s">
        <v>46</v>
      </c>
      <c r="D38" s="58">
        <v>46113</v>
      </c>
      <c r="E38" s="49" t="s">
        <v>368</v>
      </c>
      <c r="F38" s="56">
        <v>46</v>
      </c>
      <c r="G38" s="42" t="s">
        <v>347</v>
      </c>
      <c r="H38" s="49" t="s">
        <v>348</v>
      </c>
      <c r="I38" s="59">
        <v>46</v>
      </c>
      <c r="J38" s="43" t="s">
        <v>349</v>
      </c>
      <c r="K38" s="49" t="s">
        <v>106</v>
      </c>
      <c r="L38" s="42" t="s">
        <v>181</v>
      </c>
      <c r="M38" s="55">
        <v>1</v>
      </c>
      <c r="N38" s="49" t="s">
        <v>105</v>
      </c>
      <c r="O38" s="42" t="s">
        <v>207</v>
      </c>
      <c r="P38" s="60">
        <v>46113.451678240737</v>
      </c>
    </row>
    <row r="39" spans="2:16" x14ac:dyDescent="0.25">
      <c r="B39" s="57" t="s">
        <v>369</v>
      </c>
      <c r="C39" s="49" t="s">
        <v>46</v>
      </c>
      <c r="D39" s="58">
        <v>46113</v>
      </c>
      <c r="E39" s="49" t="s">
        <v>370</v>
      </c>
      <c r="F39" s="56">
        <v>164</v>
      </c>
      <c r="G39" s="42" t="s">
        <v>347</v>
      </c>
      <c r="H39" s="49" t="s">
        <v>348</v>
      </c>
      <c r="I39" s="59">
        <v>164</v>
      </c>
      <c r="J39" s="43" t="s">
        <v>349</v>
      </c>
      <c r="K39" s="49" t="s">
        <v>106</v>
      </c>
      <c r="L39" s="42" t="s">
        <v>181</v>
      </c>
      <c r="M39" s="55">
        <v>1</v>
      </c>
      <c r="N39" s="49" t="s">
        <v>105</v>
      </c>
      <c r="O39" s="42" t="s">
        <v>210</v>
      </c>
      <c r="P39" s="60">
        <v>46113.47896990741</v>
      </c>
    </row>
    <row r="40" spans="2:16" x14ac:dyDescent="0.25">
      <c r="B40" s="57" t="s">
        <v>371</v>
      </c>
      <c r="C40" s="49" t="s">
        <v>46</v>
      </c>
      <c r="D40" s="58">
        <v>46113</v>
      </c>
      <c r="E40" s="49" t="s">
        <v>372</v>
      </c>
      <c r="F40" s="56">
        <v>83</v>
      </c>
      <c r="G40" s="42" t="s">
        <v>347</v>
      </c>
      <c r="H40" s="49" t="s">
        <v>348</v>
      </c>
      <c r="I40" s="59">
        <v>83</v>
      </c>
      <c r="J40" s="43" t="s">
        <v>349</v>
      </c>
      <c r="K40" s="49" t="s">
        <v>106</v>
      </c>
      <c r="L40" s="42" t="s">
        <v>181</v>
      </c>
      <c r="M40" s="55">
        <v>1</v>
      </c>
      <c r="N40" s="49" t="s">
        <v>105</v>
      </c>
      <c r="O40" s="42" t="s">
        <v>213</v>
      </c>
      <c r="P40" s="60">
        <v>46113.485810185193</v>
      </c>
    </row>
    <row r="41" spans="2:16" x14ac:dyDescent="0.25">
      <c r="B41" s="57" t="s">
        <v>373</v>
      </c>
      <c r="C41" s="49" t="s">
        <v>46</v>
      </c>
      <c r="D41" s="58">
        <v>46113</v>
      </c>
      <c r="E41" s="49" t="s">
        <v>374</v>
      </c>
      <c r="F41" s="56">
        <v>495</v>
      </c>
      <c r="G41" s="42" t="s">
        <v>347</v>
      </c>
      <c r="H41" s="49" t="s">
        <v>348</v>
      </c>
      <c r="I41" s="59">
        <v>495</v>
      </c>
      <c r="J41" s="43" t="s">
        <v>349</v>
      </c>
      <c r="K41" s="49" t="s">
        <v>106</v>
      </c>
      <c r="L41" s="42" t="s">
        <v>218</v>
      </c>
      <c r="M41" s="55">
        <v>1</v>
      </c>
      <c r="N41" s="49" t="s">
        <v>105</v>
      </c>
      <c r="O41" s="42" t="s">
        <v>216</v>
      </c>
      <c r="P41" s="60">
        <v>46113.505694444437</v>
      </c>
    </row>
    <row r="42" spans="2:16" x14ac:dyDescent="0.25">
      <c r="B42" s="57" t="s">
        <v>375</v>
      </c>
      <c r="C42" s="49" t="s">
        <v>46</v>
      </c>
      <c r="D42" s="58">
        <v>46113</v>
      </c>
      <c r="E42" s="49" t="s">
        <v>376</v>
      </c>
      <c r="F42" s="56">
        <v>62</v>
      </c>
      <c r="G42" s="42" t="s">
        <v>347</v>
      </c>
      <c r="H42" s="49" t="s">
        <v>348</v>
      </c>
      <c r="I42" s="59">
        <v>62</v>
      </c>
      <c r="J42" s="43" t="s">
        <v>349</v>
      </c>
      <c r="K42" s="49" t="s">
        <v>106</v>
      </c>
      <c r="L42" s="42" t="s">
        <v>181</v>
      </c>
      <c r="M42" s="55">
        <v>1</v>
      </c>
      <c r="N42" s="49" t="s">
        <v>105</v>
      </c>
      <c r="O42" s="42" t="s">
        <v>220</v>
      </c>
      <c r="P42" s="60">
        <v>46113.505960648137</v>
      </c>
    </row>
    <row r="43" spans="2:16" x14ac:dyDescent="0.25">
      <c r="B43" s="57" t="s">
        <v>377</v>
      </c>
      <c r="C43" s="49" t="s">
        <v>46</v>
      </c>
      <c r="D43" s="58">
        <v>46113</v>
      </c>
      <c r="E43" s="49" t="s">
        <v>378</v>
      </c>
      <c r="F43" s="56">
        <v>202</v>
      </c>
      <c r="G43" s="42" t="s">
        <v>347</v>
      </c>
      <c r="H43" s="49" t="s">
        <v>348</v>
      </c>
      <c r="I43" s="59">
        <v>202</v>
      </c>
      <c r="J43" s="43" t="s">
        <v>349</v>
      </c>
      <c r="K43" s="49" t="s">
        <v>106</v>
      </c>
      <c r="L43" s="42" t="s">
        <v>181</v>
      </c>
      <c r="M43" s="55">
        <v>1</v>
      </c>
      <c r="N43" s="49" t="s">
        <v>105</v>
      </c>
      <c r="O43" s="42" t="s">
        <v>224</v>
      </c>
      <c r="P43" s="60">
        <v>46113.522361111107</v>
      </c>
    </row>
    <row r="44" spans="2:16" x14ac:dyDescent="0.25">
      <c r="B44" s="57" t="s">
        <v>379</v>
      </c>
      <c r="C44" s="49" t="s">
        <v>46</v>
      </c>
      <c r="D44" s="58">
        <v>46113</v>
      </c>
      <c r="E44" s="49" t="s">
        <v>380</v>
      </c>
      <c r="F44" s="56">
        <v>31</v>
      </c>
      <c r="G44" s="42" t="s">
        <v>347</v>
      </c>
      <c r="H44" s="49" t="s">
        <v>348</v>
      </c>
      <c r="I44" s="59">
        <v>31</v>
      </c>
      <c r="J44" s="43" t="s">
        <v>349</v>
      </c>
      <c r="K44" s="49" t="s">
        <v>106</v>
      </c>
      <c r="L44" s="42" t="s">
        <v>181</v>
      </c>
      <c r="M44" s="55">
        <v>1</v>
      </c>
      <c r="N44" s="49" t="s">
        <v>105</v>
      </c>
      <c r="O44" s="42" t="s">
        <v>227</v>
      </c>
      <c r="P44" s="60">
        <v>46113.531597222223</v>
      </c>
    </row>
    <row r="45" spans="2:16" x14ac:dyDescent="0.25">
      <c r="B45" s="57" t="s">
        <v>381</v>
      </c>
      <c r="C45" s="49" t="s">
        <v>46</v>
      </c>
      <c r="D45" s="58">
        <v>46113</v>
      </c>
      <c r="E45" s="49" t="s">
        <v>382</v>
      </c>
      <c r="F45" s="56">
        <v>32</v>
      </c>
      <c r="G45" s="42" t="s">
        <v>347</v>
      </c>
      <c r="H45" s="49" t="s">
        <v>348</v>
      </c>
      <c r="I45" s="59">
        <v>32</v>
      </c>
      <c r="J45" s="43" t="s">
        <v>349</v>
      </c>
      <c r="K45" s="49" t="s">
        <v>106</v>
      </c>
      <c r="L45" s="42" t="s">
        <v>181</v>
      </c>
      <c r="M45" s="55">
        <v>1</v>
      </c>
      <c r="N45" s="49" t="s">
        <v>105</v>
      </c>
      <c r="O45" s="42" t="s">
        <v>230</v>
      </c>
      <c r="P45" s="60">
        <v>46113.541689814818</v>
      </c>
    </row>
    <row r="46" spans="2:16" x14ac:dyDescent="0.25">
      <c r="B46" s="57" t="s">
        <v>383</v>
      </c>
      <c r="C46" s="49" t="s">
        <v>46</v>
      </c>
      <c r="D46" s="58">
        <v>46113</v>
      </c>
      <c r="E46" s="49" t="s">
        <v>384</v>
      </c>
      <c r="F46" s="56">
        <v>211</v>
      </c>
      <c r="G46" s="42" t="s">
        <v>347</v>
      </c>
      <c r="H46" s="49" t="s">
        <v>348</v>
      </c>
      <c r="I46" s="59">
        <v>211</v>
      </c>
      <c r="J46" s="43" t="s">
        <v>349</v>
      </c>
      <c r="K46" s="49" t="s">
        <v>106</v>
      </c>
      <c r="L46" s="42" t="s">
        <v>181</v>
      </c>
      <c r="M46" s="55">
        <v>1</v>
      </c>
      <c r="N46" s="49" t="s">
        <v>105</v>
      </c>
      <c r="O46" s="42" t="s">
        <v>233</v>
      </c>
      <c r="P46" s="60">
        <v>46113.551562499997</v>
      </c>
    </row>
    <row r="47" spans="2:16" x14ac:dyDescent="0.25">
      <c r="B47" s="57" t="s">
        <v>385</v>
      </c>
      <c r="C47" s="49" t="s">
        <v>46</v>
      </c>
      <c r="D47" s="58">
        <v>46113</v>
      </c>
      <c r="E47" s="49" t="s">
        <v>386</v>
      </c>
      <c r="F47" s="56">
        <v>44</v>
      </c>
      <c r="G47" s="42" t="s">
        <v>347</v>
      </c>
      <c r="H47" s="49" t="s">
        <v>348</v>
      </c>
      <c r="I47" s="59">
        <v>44</v>
      </c>
      <c r="J47" s="43" t="s">
        <v>349</v>
      </c>
      <c r="K47" s="49" t="s">
        <v>106</v>
      </c>
      <c r="L47" s="42" t="s">
        <v>239</v>
      </c>
      <c r="M47" s="55">
        <v>1</v>
      </c>
      <c r="N47" s="49" t="s">
        <v>105</v>
      </c>
      <c r="O47" s="42" t="s">
        <v>236</v>
      </c>
      <c r="P47" s="60">
        <v>46113.557106481479</v>
      </c>
    </row>
    <row r="48" spans="2:16" x14ac:dyDescent="0.25">
      <c r="B48" s="57" t="s">
        <v>387</v>
      </c>
      <c r="C48" s="49" t="s">
        <v>46</v>
      </c>
      <c r="D48" s="58">
        <v>46113</v>
      </c>
      <c r="E48" s="49" t="s">
        <v>388</v>
      </c>
      <c r="F48" s="56">
        <v>25.5</v>
      </c>
      <c r="G48" s="42" t="s">
        <v>347</v>
      </c>
      <c r="H48" s="49" t="s">
        <v>348</v>
      </c>
      <c r="I48" s="59">
        <v>25.5</v>
      </c>
      <c r="J48" s="43" t="s">
        <v>349</v>
      </c>
      <c r="K48" s="49" t="s">
        <v>106</v>
      </c>
      <c r="L48" s="42" t="s">
        <v>239</v>
      </c>
      <c r="M48" s="55">
        <v>1</v>
      </c>
      <c r="N48" s="49" t="s">
        <v>105</v>
      </c>
      <c r="O48" s="42" t="s">
        <v>241</v>
      </c>
      <c r="P48" s="60">
        <v>46113.568564814806</v>
      </c>
    </row>
    <row r="49" spans="2:16" x14ac:dyDescent="0.25">
      <c r="B49" s="57" t="s">
        <v>389</v>
      </c>
      <c r="C49" s="49" t="s">
        <v>46</v>
      </c>
      <c r="D49" s="58">
        <v>46113</v>
      </c>
      <c r="E49" s="49" t="s">
        <v>390</v>
      </c>
      <c r="F49" s="56">
        <v>32</v>
      </c>
      <c r="G49" s="42" t="s">
        <v>347</v>
      </c>
      <c r="H49" s="49" t="s">
        <v>348</v>
      </c>
      <c r="I49" s="59">
        <v>32</v>
      </c>
      <c r="J49" s="43" t="s">
        <v>349</v>
      </c>
      <c r="K49" s="49" t="s">
        <v>106</v>
      </c>
      <c r="L49" s="42" t="s">
        <v>239</v>
      </c>
      <c r="M49" s="55">
        <v>1</v>
      </c>
      <c r="N49" s="49" t="s">
        <v>105</v>
      </c>
      <c r="O49" s="42" t="s">
        <v>244</v>
      </c>
      <c r="P49" s="60">
        <v>46113.571631944447</v>
      </c>
    </row>
    <row r="50" spans="2:16" x14ac:dyDescent="0.25">
      <c r="B50" s="57" t="s">
        <v>391</v>
      </c>
      <c r="C50" s="49" t="s">
        <v>46</v>
      </c>
      <c r="D50" s="58">
        <v>46113</v>
      </c>
      <c r="E50" s="49" t="s">
        <v>392</v>
      </c>
      <c r="F50" s="56">
        <v>48</v>
      </c>
      <c r="G50" s="42" t="s">
        <v>347</v>
      </c>
      <c r="H50" s="49" t="s">
        <v>348</v>
      </c>
      <c r="I50" s="59">
        <v>48</v>
      </c>
      <c r="J50" s="43" t="s">
        <v>349</v>
      </c>
      <c r="K50" s="49" t="s">
        <v>106</v>
      </c>
      <c r="L50" s="42" t="s">
        <v>181</v>
      </c>
      <c r="M50" s="55">
        <v>1</v>
      </c>
      <c r="N50" s="49" t="s">
        <v>105</v>
      </c>
      <c r="O50" s="42" t="s">
        <v>247</v>
      </c>
      <c r="P50" s="60">
        <v>46113.57503472222</v>
      </c>
    </row>
    <row r="51" spans="2:16" x14ac:dyDescent="0.25">
      <c r="B51" s="57" t="s">
        <v>393</v>
      </c>
      <c r="C51" s="49" t="s">
        <v>46</v>
      </c>
      <c r="D51" s="58">
        <v>46113</v>
      </c>
      <c r="E51" s="49" t="s">
        <v>394</v>
      </c>
      <c r="F51" s="56">
        <v>46</v>
      </c>
      <c r="G51" s="42" t="s">
        <v>347</v>
      </c>
      <c r="H51" s="49" t="s">
        <v>348</v>
      </c>
      <c r="I51" s="59">
        <v>46</v>
      </c>
      <c r="J51" s="43" t="s">
        <v>349</v>
      </c>
      <c r="K51" s="49" t="s">
        <v>106</v>
      </c>
      <c r="L51" s="42" t="s">
        <v>181</v>
      </c>
      <c r="M51" s="55">
        <v>1</v>
      </c>
      <c r="N51" s="49" t="s">
        <v>105</v>
      </c>
      <c r="O51" s="42" t="s">
        <v>250</v>
      </c>
      <c r="P51" s="60">
        <v>46113.576273148137</v>
      </c>
    </row>
    <row r="52" spans="2:16" x14ac:dyDescent="0.25">
      <c r="B52" s="57" t="s">
        <v>395</v>
      </c>
      <c r="C52" s="49" t="s">
        <v>46</v>
      </c>
      <c r="D52" s="58">
        <v>46113</v>
      </c>
      <c r="E52" s="49" t="s">
        <v>396</v>
      </c>
      <c r="F52" s="56">
        <v>135</v>
      </c>
      <c r="G52" s="42" t="s">
        <v>347</v>
      </c>
      <c r="H52" s="49" t="s">
        <v>348</v>
      </c>
      <c r="I52" s="59">
        <v>135</v>
      </c>
      <c r="J52" s="43" t="s">
        <v>349</v>
      </c>
      <c r="K52" s="49" t="s">
        <v>106</v>
      </c>
      <c r="L52" s="42" t="s">
        <v>256</v>
      </c>
      <c r="M52" s="55">
        <v>1</v>
      </c>
      <c r="N52" s="49" t="s">
        <v>105</v>
      </c>
      <c r="O52" s="42" t="s">
        <v>253</v>
      </c>
      <c r="P52" s="60">
        <v>46113.596076388887</v>
      </c>
    </row>
    <row r="53" spans="2:16" x14ac:dyDescent="0.25">
      <c r="B53" s="57" t="s">
        <v>397</v>
      </c>
      <c r="C53" s="49" t="s">
        <v>46</v>
      </c>
      <c r="D53" s="58">
        <v>46113</v>
      </c>
      <c r="E53" s="49" t="s">
        <v>398</v>
      </c>
      <c r="F53" s="56">
        <v>36</v>
      </c>
      <c r="G53" s="42" t="s">
        <v>347</v>
      </c>
      <c r="H53" s="49" t="s">
        <v>348</v>
      </c>
      <c r="I53" s="59">
        <v>36</v>
      </c>
      <c r="J53" s="43" t="s">
        <v>349</v>
      </c>
      <c r="K53" s="49" t="s">
        <v>106</v>
      </c>
      <c r="L53" s="42" t="s">
        <v>181</v>
      </c>
      <c r="M53" s="55">
        <v>1</v>
      </c>
      <c r="N53" s="49" t="s">
        <v>105</v>
      </c>
      <c r="O53" s="42" t="s">
        <v>258</v>
      </c>
      <c r="P53" s="60">
        <v>46113.601805555547</v>
      </c>
    </row>
    <row r="54" spans="2:16" x14ac:dyDescent="0.25">
      <c r="B54" s="57" t="s">
        <v>399</v>
      </c>
      <c r="C54" s="49" t="s">
        <v>46</v>
      </c>
      <c r="D54" s="58">
        <v>46113</v>
      </c>
      <c r="E54" s="49" t="s">
        <v>400</v>
      </c>
      <c r="F54" s="56">
        <v>79</v>
      </c>
      <c r="G54" s="42" t="s">
        <v>347</v>
      </c>
      <c r="H54" s="49" t="s">
        <v>348</v>
      </c>
      <c r="I54" s="59">
        <v>79</v>
      </c>
      <c r="J54" s="43" t="s">
        <v>349</v>
      </c>
      <c r="K54" s="49" t="s">
        <v>106</v>
      </c>
      <c r="L54" s="42" t="s">
        <v>181</v>
      </c>
      <c r="M54" s="55">
        <v>1</v>
      </c>
      <c r="N54" s="49" t="s">
        <v>105</v>
      </c>
      <c r="O54" s="42" t="s">
        <v>261</v>
      </c>
      <c r="P54" s="60">
        <v>46113.614398148151</v>
      </c>
    </row>
    <row r="55" spans="2:16" x14ac:dyDescent="0.25">
      <c r="B55" s="57" t="s">
        <v>401</v>
      </c>
      <c r="C55" s="49" t="s">
        <v>46</v>
      </c>
      <c r="D55" s="58">
        <v>46113</v>
      </c>
      <c r="E55" s="49" t="s">
        <v>402</v>
      </c>
      <c r="F55" s="56">
        <v>20</v>
      </c>
      <c r="G55" s="42" t="s">
        <v>347</v>
      </c>
      <c r="H55" s="49" t="s">
        <v>348</v>
      </c>
      <c r="I55" s="59">
        <v>20</v>
      </c>
      <c r="J55" s="43" t="s">
        <v>349</v>
      </c>
      <c r="K55" s="49" t="s">
        <v>106</v>
      </c>
      <c r="L55" s="42" t="s">
        <v>256</v>
      </c>
      <c r="M55" s="55">
        <v>1</v>
      </c>
      <c r="N55" s="49" t="s">
        <v>105</v>
      </c>
      <c r="O55" s="42" t="s">
        <v>264</v>
      </c>
      <c r="P55" s="60">
        <v>46113.614965277768</v>
      </c>
    </row>
    <row r="56" spans="2:16" x14ac:dyDescent="0.25">
      <c r="B56" s="57" t="s">
        <v>403</v>
      </c>
      <c r="C56" s="49" t="s">
        <v>46</v>
      </c>
      <c r="D56" s="58">
        <v>46113</v>
      </c>
      <c r="E56" s="49" t="s">
        <v>404</v>
      </c>
      <c r="F56" s="56">
        <v>45</v>
      </c>
      <c r="G56" s="42" t="s">
        <v>347</v>
      </c>
      <c r="H56" s="49" t="s">
        <v>348</v>
      </c>
      <c r="I56" s="59">
        <v>45</v>
      </c>
      <c r="J56" s="43" t="s">
        <v>349</v>
      </c>
      <c r="K56" s="49" t="s">
        <v>106</v>
      </c>
      <c r="L56" s="42" t="s">
        <v>173</v>
      </c>
      <c r="M56" s="55">
        <v>1</v>
      </c>
      <c r="N56" s="49" t="s">
        <v>105</v>
      </c>
      <c r="O56" s="42" t="s">
        <v>267</v>
      </c>
      <c r="P56" s="60">
        <v>46113.620520833327</v>
      </c>
    </row>
    <row r="57" spans="2:16" x14ac:dyDescent="0.25">
      <c r="B57" s="57" t="s">
        <v>405</v>
      </c>
      <c r="C57" s="49" t="s">
        <v>46</v>
      </c>
      <c r="D57" s="58">
        <v>46113</v>
      </c>
      <c r="E57" s="49" t="s">
        <v>406</v>
      </c>
      <c r="F57" s="56">
        <v>30</v>
      </c>
      <c r="G57" s="42" t="s">
        <v>347</v>
      </c>
      <c r="H57" s="49" t="s">
        <v>348</v>
      </c>
      <c r="I57" s="59">
        <v>30</v>
      </c>
      <c r="J57" s="43" t="s">
        <v>349</v>
      </c>
      <c r="K57" s="49" t="s">
        <v>106</v>
      </c>
      <c r="L57" s="42" t="s">
        <v>239</v>
      </c>
      <c r="M57" s="55">
        <v>1</v>
      </c>
      <c r="N57" s="49" t="s">
        <v>105</v>
      </c>
      <c r="O57" s="42" t="s">
        <v>270</v>
      </c>
      <c r="P57" s="60">
        <v>46113.635081018518</v>
      </c>
    </row>
    <row r="58" spans="2:16" x14ac:dyDescent="0.25">
      <c r="B58" s="57" t="s">
        <v>407</v>
      </c>
      <c r="C58" s="49" t="s">
        <v>46</v>
      </c>
      <c r="D58" s="58">
        <v>46113</v>
      </c>
      <c r="E58" s="49" t="s">
        <v>408</v>
      </c>
      <c r="F58" s="56">
        <v>74.5</v>
      </c>
      <c r="G58" s="42" t="s">
        <v>347</v>
      </c>
      <c r="H58" s="49" t="s">
        <v>348</v>
      </c>
      <c r="I58" s="59">
        <v>74.5</v>
      </c>
      <c r="J58" s="43" t="s">
        <v>349</v>
      </c>
      <c r="K58" s="49" t="s">
        <v>106</v>
      </c>
      <c r="L58" s="42" t="s">
        <v>276</v>
      </c>
      <c r="M58" s="55">
        <v>1</v>
      </c>
      <c r="N58" s="49" t="s">
        <v>105</v>
      </c>
      <c r="O58" s="42" t="s">
        <v>274</v>
      </c>
      <c r="P58" s="60">
        <v>46113.656747685192</v>
      </c>
    </row>
    <row r="59" spans="2:16" x14ac:dyDescent="0.25">
      <c r="B59" s="57" t="s">
        <v>409</v>
      </c>
      <c r="C59" s="49" t="s">
        <v>46</v>
      </c>
      <c r="D59" s="58">
        <v>46113</v>
      </c>
      <c r="E59" s="49" t="s">
        <v>410</v>
      </c>
      <c r="F59" s="56">
        <v>105</v>
      </c>
      <c r="G59" s="42" t="s">
        <v>347</v>
      </c>
      <c r="H59" s="49" t="s">
        <v>348</v>
      </c>
      <c r="I59" s="59">
        <v>105</v>
      </c>
      <c r="J59" s="43" t="s">
        <v>349</v>
      </c>
      <c r="K59" s="49" t="s">
        <v>106</v>
      </c>
      <c r="L59" s="42" t="s">
        <v>177</v>
      </c>
      <c r="M59" s="55">
        <v>1</v>
      </c>
      <c r="N59" s="49" t="s">
        <v>105</v>
      </c>
      <c r="O59" s="42" t="s">
        <v>278</v>
      </c>
      <c r="P59" s="60">
        <v>46113.664490740739</v>
      </c>
    </row>
    <row r="60" spans="2:16" x14ac:dyDescent="0.25">
      <c r="B60" s="57" t="s">
        <v>411</v>
      </c>
      <c r="C60" s="49" t="s">
        <v>46</v>
      </c>
      <c r="D60" s="58">
        <v>46113</v>
      </c>
      <c r="E60" s="49" t="s">
        <v>412</v>
      </c>
      <c r="F60" s="56">
        <v>38</v>
      </c>
      <c r="G60" s="42" t="s">
        <v>347</v>
      </c>
      <c r="H60" s="49" t="s">
        <v>348</v>
      </c>
      <c r="I60" s="59">
        <v>38</v>
      </c>
      <c r="J60" s="43" t="s">
        <v>349</v>
      </c>
      <c r="K60" s="49" t="s">
        <v>106</v>
      </c>
      <c r="L60" s="42" t="s">
        <v>181</v>
      </c>
      <c r="M60" s="55">
        <v>1</v>
      </c>
      <c r="N60" s="49" t="s">
        <v>105</v>
      </c>
      <c r="O60" s="42" t="s">
        <v>281</v>
      </c>
      <c r="P60" s="60">
        <v>46113.667592592603</v>
      </c>
    </row>
    <row r="61" spans="2:16" x14ac:dyDescent="0.25">
      <c r="B61" s="57" t="s">
        <v>413</v>
      </c>
      <c r="C61" s="49" t="s">
        <v>46</v>
      </c>
      <c r="D61" s="58">
        <v>46113</v>
      </c>
      <c r="E61" s="49" t="s">
        <v>414</v>
      </c>
      <c r="F61" s="56">
        <v>103</v>
      </c>
      <c r="G61" s="42" t="s">
        <v>347</v>
      </c>
      <c r="H61" s="49" t="s">
        <v>348</v>
      </c>
      <c r="I61" s="59">
        <v>103</v>
      </c>
      <c r="J61" s="43" t="s">
        <v>349</v>
      </c>
      <c r="K61" s="49" t="s">
        <v>106</v>
      </c>
      <c r="L61" s="42" t="s">
        <v>286</v>
      </c>
      <c r="M61" s="55">
        <v>1</v>
      </c>
      <c r="N61" s="49" t="s">
        <v>105</v>
      </c>
      <c r="O61" s="42" t="s">
        <v>284</v>
      </c>
      <c r="P61" s="60">
        <v>46113.696261574078</v>
      </c>
    </row>
    <row r="62" spans="2:16" x14ac:dyDescent="0.25">
      <c r="B62" s="57" t="s">
        <v>415</v>
      </c>
      <c r="C62" s="49" t="s">
        <v>49</v>
      </c>
      <c r="D62" s="58">
        <v>46127</v>
      </c>
      <c r="E62" s="49" t="s">
        <v>396</v>
      </c>
      <c r="F62" s="56">
        <v>170</v>
      </c>
      <c r="G62" s="42" t="s">
        <v>416</v>
      </c>
      <c r="H62" s="49" t="s">
        <v>417</v>
      </c>
      <c r="I62" s="59">
        <v>170</v>
      </c>
      <c r="J62" s="43" t="s">
        <v>349</v>
      </c>
      <c r="K62" s="49" t="s">
        <v>106</v>
      </c>
      <c r="L62" s="42" t="s">
        <v>256</v>
      </c>
      <c r="M62" s="55">
        <v>1</v>
      </c>
      <c r="N62" s="49" t="s">
        <v>105</v>
      </c>
      <c r="O62" s="42" t="s">
        <v>253</v>
      </c>
      <c r="P62" s="60">
        <v>46127.316516203697</v>
      </c>
    </row>
    <row r="63" spans="2:16" x14ac:dyDescent="0.25">
      <c r="B63" s="57" t="s">
        <v>418</v>
      </c>
      <c r="C63" s="49" t="s">
        <v>53</v>
      </c>
      <c r="D63" s="58">
        <v>46127</v>
      </c>
      <c r="E63" s="49" t="s">
        <v>396</v>
      </c>
      <c r="F63" s="56">
        <v>1</v>
      </c>
      <c r="G63" s="42" t="s">
        <v>419</v>
      </c>
      <c r="H63" s="49" t="s">
        <v>420</v>
      </c>
      <c r="I63" s="59">
        <v>-1</v>
      </c>
      <c r="J63" s="43" t="s">
        <v>349</v>
      </c>
      <c r="K63" s="49" t="s">
        <v>106</v>
      </c>
      <c r="L63" s="42" t="s">
        <v>256</v>
      </c>
      <c r="M63" s="55">
        <v>-1</v>
      </c>
      <c r="N63" s="49" t="s">
        <v>105</v>
      </c>
      <c r="O63" s="42" t="s">
        <v>253</v>
      </c>
      <c r="P63" s="60">
        <v>46127.56659722222</v>
      </c>
    </row>
    <row r="64" spans="2:16" x14ac:dyDescent="0.25">
      <c r="B64" s="57" t="s">
        <v>421</v>
      </c>
      <c r="C64" s="49" t="s">
        <v>49</v>
      </c>
      <c r="D64" s="58">
        <v>46133</v>
      </c>
      <c r="E64" s="49" t="s">
        <v>374</v>
      </c>
      <c r="F64" s="56">
        <v>534.5</v>
      </c>
      <c r="G64" s="42" t="s">
        <v>422</v>
      </c>
      <c r="H64" s="49" t="s">
        <v>423</v>
      </c>
      <c r="I64" s="59">
        <v>534.5</v>
      </c>
      <c r="J64" s="43" t="s">
        <v>349</v>
      </c>
      <c r="K64" s="49" t="s">
        <v>108</v>
      </c>
      <c r="L64" s="42" t="s">
        <v>218</v>
      </c>
      <c r="M64" s="55">
        <v>1</v>
      </c>
      <c r="N64" s="49" t="s">
        <v>107</v>
      </c>
      <c r="O64" s="42" t="s">
        <v>216</v>
      </c>
      <c r="P64" s="60">
        <v>46133.453252314823</v>
      </c>
    </row>
    <row r="65" spans="2:16" x14ac:dyDescent="0.25">
      <c r="B65" s="57" t="s">
        <v>424</v>
      </c>
      <c r="C65" s="49" t="s">
        <v>53</v>
      </c>
      <c r="D65" s="58">
        <v>46141</v>
      </c>
      <c r="E65" s="49" t="s">
        <v>346</v>
      </c>
      <c r="F65" s="56">
        <v>1</v>
      </c>
      <c r="G65" s="42" t="s">
        <v>425</v>
      </c>
      <c r="H65" s="49" t="s">
        <v>426</v>
      </c>
      <c r="I65" s="59">
        <v>-1</v>
      </c>
      <c r="J65" s="43" t="s">
        <v>349</v>
      </c>
      <c r="K65" s="49" t="s">
        <v>106</v>
      </c>
      <c r="L65" s="42" t="s">
        <v>173</v>
      </c>
      <c r="M65" s="55">
        <v>-1</v>
      </c>
      <c r="N65" s="49" t="s">
        <v>105</v>
      </c>
      <c r="O65" s="42" t="s">
        <v>170</v>
      </c>
      <c r="P65" s="60">
        <v>46141.506030092591</v>
      </c>
    </row>
    <row r="66" spans="2:16" x14ac:dyDescent="0.25">
      <c r="B66" s="57" t="s">
        <v>427</v>
      </c>
      <c r="C66" s="49" t="s">
        <v>49</v>
      </c>
      <c r="D66" s="58">
        <v>46144</v>
      </c>
      <c r="E66" s="49" t="s">
        <v>378</v>
      </c>
      <c r="F66" s="56">
        <v>284</v>
      </c>
      <c r="G66" s="42" t="s">
        <v>428</v>
      </c>
      <c r="H66" s="49" t="s">
        <v>429</v>
      </c>
      <c r="I66" s="59">
        <v>284</v>
      </c>
      <c r="J66" s="43" t="s">
        <v>349</v>
      </c>
      <c r="K66" s="49" t="s">
        <v>106</v>
      </c>
      <c r="L66" s="42" t="s">
        <v>181</v>
      </c>
      <c r="M66" s="55">
        <v>1</v>
      </c>
      <c r="N66" s="49" t="s">
        <v>105</v>
      </c>
      <c r="O66" s="42" t="s">
        <v>224</v>
      </c>
      <c r="P66" s="60">
        <v>46144.333101851851</v>
      </c>
    </row>
    <row r="67" spans="2:16" x14ac:dyDescent="0.25">
      <c r="B67" s="57" t="s">
        <v>430</v>
      </c>
      <c r="C67" s="49" t="s">
        <v>49</v>
      </c>
      <c r="D67" s="58">
        <v>46148</v>
      </c>
      <c r="E67" s="49" t="s">
        <v>410</v>
      </c>
      <c r="F67" s="56">
        <v>125</v>
      </c>
      <c r="G67" s="42" t="s">
        <v>431</v>
      </c>
      <c r="H67" s="49" t="s">
        <v>432</v>
      </c>
      <c r="I67" s="59">
        <v>125</v>
      </c>
      <c r="J67" s="43" t="s">
        <v>349</v>
      </c>
      <c r="K67" s="49" t="s">
        <v>106</v>
      </c>
      <c r="L67" s="42" t="s">
        <v>177</v>
      </c>
      <c r="M67" s="55">
        <v>1</v>
      </c>
      <c r="N67" s="49" t="s">
        <v>105</v>
      </c>
      <c r="O67" s="42" t="s">
        <v>278</v>
      </c>
      <c r="P67" s="60">
        <v>46148.468206018522</v>
      </c>
    </row>
    <row r="68" spans="2:16" x14ac:dyDescent="0.25">
      <c r="B68" s="57" t="s">
        <v>433</v>
      </c>
      <c r="C68" s="49" t="s">
        <v>49</v>
      </c>
      <c r="D68" s="58">
        <v>46150</v>
      </c>
      <c r="E68" s="49" t="s">
        <v>374</v>
      </c>
      <c r="F68" s="56">
        <v>524.5</v>
      </c>
      <c r="G68" s="42" t="s">
        <v>434</v>
      </c>
      <c r="H68" s="49" t="s">
        <v>435</v>
      </c>
      <c r="I68" s="59">
        <v>524.5</v>
      </c>
      <c r="J68" s="43" t="s">
        <v>349</v>
      </c>
      <c r="K68" s="49" t="s">
        <v>106</v>
      </c>
      <c r="L68" s="42" t="s">
        <v>218</v>
      </c>
      <c r="M68" s="55">
        <v>1</v>
      </c>
      <c r="N68" s="49" t="s">
        <v>105</v>
      </c>
      <c r="O68" s="42" t="s">
        <v>216</v>
      </c>
      <c r="P68" s="60">
        <v>46150.505810185183</v>
      </c>
    </row>
    <row r="69" spans="2:16" x14ac:dyDescent="0.25">
      <c r="B69" s="57" t="s">
        <v>436</v>
      </c>
      <c r="C69" s="49" t="s">
        <v>51</v>
      </c>
      <c r="D69" s="58">
        <v>46155</v>
      </c>
      <c r="E69" s="49" t="s">
        <v>402</v>
      </c>
      <c r="F69" s="56">
        <v>1</v>
      </c>
      <c r="G69" s="42" t="s">
        <v>437</v>
      </c>
      <c r="H69" s="49" t="s">
        <v>438</v>
      </c>
      <c r="I69" s="59">
        <v>1</v>
      </c>
      <c r="J69" s="43" t="s">
        <v>349</v>
      </c>
      <c r="K69" s="49" t="s">
        <v>106</v>
      </c>
      <c r="L69" s="42" t="s">
        <v>256</v>
      </c>
      <c r="M69" s="55">
        <v>1</v>
      </c>
      <c r="N69" s="49" t="s">
        <v>105</v>
      </c>
      <c r="O69" s="42" t="s">
        <v>264</v>
      </c>
      <c r="P69" s="60">
        <v>46155.66611111111</v>
      </c>
    </row>
    <row r="70" spans="2:16" x14ac:dyDescent="0.25">
      <c r="B70" s="57" t="s">
        <v>439</v>
      </c>
      <c r="C70" s="49" t="s">
        <v>49</v>
      </c>
      <c r="D70" s="58">
        <v>46161</v>
      </c>
      <c r="E70" s="49" t="s">
        <v>374</v>
      </c>
      <c r="F70" s="56">
        <v>516.5</v>
      </c>
      <c r="G70" s="42" t="s">
        <v>440</v>
      </c>
      <c r="H70" s="49" t="s">
        <v>441</v>
      </c>
      <c r="I70" s="59">
        <v>516.5</v>
      </c>
      <c r="J70" s="43" t="s">
        <v>349</v>
      </c>
      <c r="K70" s="49" t="s">
        <v>106</v>
      </c>
      <c r="L70" s="42" t="s">
        <v>218</v>
      </c>
      <c r="M70" s="55">
        <v>1</v>
      </c>
      <c r="N70" s="49" t="s">
        <v>105</v>
      </c>
      <c r="O70" s="42" t="s">
        <v>216</v>
      </c>
      <c r="P70" s="60">
        <v>46161.503206018519</v>
      </c>
    </row>
    <row r="71" spans="2:16" x14ac:dyDescent="0.25">
      <c r="B71" s="57" t="s">
        <v>442</v>
      </c>
      <c r="C71" s="49" t="s">
        <v>49</v>
      </c>
      <c r="D71" s="58">
        <v>46164</v>
      </c>
      <c r="E71" s="49" t="s">
        <v>384</v>
      </c>
      <c r="F71" s="56">
        <v>221</v>
      </c>
      <c r="G71" s="42" t="s">
        <v>443</v>
      </c>
      <c r="H71" s="49" t="s">
        <v>444</v>
      </c>
      <c r="I71" s="59">
        <v>221</v>
      </c>
      <c r="J71" s="43" t="s">
        <v>349</v>
      </c>
      <c r="K71" s="49" t="s">
        <v>106</v>
      </c>
      <c r="L71" s="42" t="s">
        <v>181</v>
      </c>
      <c r="M71" s="55">
        <v>1</v>
      </c>
      <c r="N71" s="49" t="s">
        <v>105</v>
      </c>
      <c r="O71" s="42" t="s">
        <v>233</v>
      </c>
      <c r="P71" s="60">
        <v>46164.460081018522</v>
      </c>
    </row>
    <row r="72" spans="2:16" x14ac:dyDescent="0.25">
      <c r="B72" s="57" t="s">
        <v>445</v>
      </c>
      <c r="C72" s="49" t="s">
        <v>49</v>
      </c>
      <c r="D72" s="58">
        <v>46168</v>
      </c>
      <c r="E72" s="49" t="s">
        <v>364</v>
      </c>
      <c r="F72" s="56">
        <v>243</v>
      </c>
      <c r="G72" s="42" t="s">
        <v>446</v>
      </c>
      <c r="H72" s="49" t="s">
        <v>447</v>
      </c>
      <c r="I72" s="59">
        <v>243</v>
      </c>
      <c r="J72" s="43" t="s">
        <v>349</v>
      </c>
      <c r="K72" s="49" t="s">
        <v>108</v>
      </c>
      <c r="L72" s="42" t="s">
        <v>181</v>
      </c>
      <c r="M72" s="55">
        <v>1</v>
      </c>
      <c r="N72" s="49" t="s">
        <v>107</v>
      </c>
      <c r="O72" s="42" t="s">
        <v>201</v>
      </c>
      <c r="P72" s="60">
        <v>46168.322395833333</v>
      </c>
    </row>
    <row r="73" spans="2:16" x14ac:dyDescent="0.25">
      <c r="B73" s="57" t="s">
        <v>448</v>
      </c>
      <c r="C73" s="49" t="s">
        <v>49</v>
      </c>
      <c r="D73" s="58">
        <v>46169</v>
      </c>
      <c r="E73" s="49" t="s">
        <v>370</v>
      </c>
      <c r="F73" s="56">
        <v>177</v>
      </c>
      <c r="G73" s="42" t="s">
        <v>449</v>
      </c>
      <c r="H73" s="49" t="s">
        <v>450</v>
      </c>
      <c r="I73" s="59">
        <v>177</v>
      </c>
      <c r="J73" s="43" t="s">
        <v>349</v>
      </c>
      <c r="K73" s="49" t="s">
        <v>108</v>
      </c>
      <c r="L73" s="42" t="s">
        <v>181</v>
      </c>
      <c r="M73" s="55">
        <v>1</v>
      </c>
      <c r="N73" s="49" t="s">
        <v>107</v>
      </c>
      <c r="O73" s="42" t="s">
        <v>210</v>
      </c>
      <c r="P73" s="60">
        <v>46169.46366898148</v>
      </c>
    </row>
    <row r="74" spans="2:16" x14ac:dyDescent="0.25">
      <c r="B74" s="57" t="s">
        <v>451</v>
      </c>
      <c r="C74" s="49" t="s">
        <v>53</v>
      </c>
      <c r="D74" s="58">
        <v>46169</v>
      </c>
      <c r="E74" s="49" t="s">
        <v>357</v>
      </c>
      <c r="F74" s="56">
        <v>2</v>
      </c>
      <c r="G74" s="42" t="s">
        <v>452</v>
      </c>
      <c r="H74" s="49" t="s">
        <v>426</v>
      </c>
      <c r="I74" s="59">
        <v>-2</v>
      </c>
      <c r="J74" s="43" t="s">
        <v>349</v>
      </c>
      <c r="K74" s="49" t="s">
        <v>106</v>
      </c>
      <c r="L74" s="42" t="s">
        <v>181</v>
      </c>
      <c r="M74" s="55">
        <v>-1</v>
      </c>
      <c r="N74" s="49" t="s">
        <v>105</v>
      </c>
      <c r="O74" s="42" t="s">
        <v>186</v>
      </c>
      <c r="P74" s="60">
        <v>46169.694236111107</v>
      </c>
    </row>
    <row r="75" spans="2:16" x14ac:dyDescent="0.25">
      <c r="B75" s="57" t="s">
        <v>453</v>
      </c>
      <c r="C75" s="49" t="s">
        <v>49</v>
      </c>
      <c r="D75" s="58">
        <v>46171</v>
      </c>
      <c r="E75" s="49" t="s">
        <v>396</v>
      </c>
      <c r="F75" s="56">
        <v>184</v>
      </c>
      <c r="G75" s="42" t="s">
        <v>454</v>
      </c>
      <c r="H75" s="49" t="s">
        <v>455</v>
      </c>
      <c r="I75" s="59">
        <v>184</v>
      </c>
      <c r="J75" s="43" t="s">
        <v>349</v>
      </c>
      <c r="K75" s="49" t="s">
        <v>108</v>
      </c>
      <c r="L75" s="42" t="s">
        <v>256</v>
      </c>
      <c r="M75" s="55">
        <v>1</v>
      </c>
      <c r="N75" s="49" t="s">
        <v>107</v>
      </c>
      <c r="O75" s="42" t="s">
        <v>253</v>
      </c>
      <c r="P75" s="60">
        <v>46171.383750000001</v>
      </c>
    </row>
    <row r="76" spans="2:16" x14ac:dyDescent="0.25">
      <c r="B76" s="57" t="s">
        <v>456</v>
      </c>
      <c r="C76" s="49" t="s">
        <v>49</v>
      </c>
      <c r="D76" s="58">
        <v>46174</v>
      </c>
      <c r="E76" s="49" t="s">
        <v>414</v>
      </c>
      <c r="F76" s="56">
        <v>128.5</v>
      </c>
      <c r="G76" s="42" t="s">
        <v>457</v>
      </c>
      <c r="H76" s="49" t="s">
        <v>458</v>
      </c>
      <c r="I76" s="59">
        <v>128.5</v>
      </c>
      <c r="J76" s="43" t="s">
        <v>349</v>
      </c>
      <c r="K76" s="49" t="s">
        <v>106</v>
      </c>
      <c r="L76" s="42" t="s">
        <v>286</v>
      </c>
      <c r="M76" s="55">
        <v>1</v>
      </c>
      <c r="N76" s="49" t="s">
        <v>105</v>
      </c>
      <c r="O76" s="42" t="s">
        <v>284</v>
      </c>
      <c r="P76" s="60">
        <v>46174.389282407406</v>
      </c>
    </row>
    <row r="77" spans="2:16" x14ac:dyDescent="0.25">
      <c r="B77" s="57" t="s">
        <v>459</v>
      </c>
      <c r="C77" s="49" t="s">
        <v>49</v>
      </c>
      <c r="D77" s="58">
        <v>46181</v>
      </c>
      <c r="E77" s="49" t="s">
        <v>366</v>
      </c>
      <c r="F77" s="56">
        <v>111</v>
      </c>
      <c r="G77" s="42" t="s">
        <v>460</v>
      </c>
      <c r="H77" s="49" t="s">
        <v>461</v>
      </c>
      <c r="I77" s="59">
        <v>111</v>
      </c>
      <c r="J77" s="43" t="s">
        <v>349</v>
      </c>
      <c r="K77" s="49" t="s">
        <v>106</v>
      </c>
      <c r="L77" s="42" t="s">
        <v>181</v>
      </c>
      <c r="M77" s="55">
        <v>1</v>
      </c>
      <c r="N77" s="49" t="s">
        <v>105</v>
      </c>
      <c r="O77" s="42" t="s">
        <v>204</v>
      </c>
      <c r="P77" s="60">
        <v>46181.383263888893</v>
      </c>
    </row>
    <row r="78" spans="2:16" x14ac:dyDescent="0.25">
      <c r="B78" s="57" t="s">
        <v>462</v>
      </c>
      <c r="C78" s="49" t="s">
        <v>53</v>
      </c>
      <c r="D78" s="58">
        <v>46183</v>
      </c>
      <c r="E78" s="49" t="s">
        <v>384</v>
      </c>
      <c r="F78" s="56">
        <v>2</v>
      </c>
      <c r="G78" s="42" t="s">
        <v>463</v>
      </c>
      <c r="H78" s="49" t="s">
        <v>426</v>
      </c>
      <c r="I78" s="59">
        <v>-2</v>
      </c>
      <c r="J78" s="43" t="s">
        <v>349</v>
      </c>
      <c r="K78" s="49" t="s">
        <v>106</v>
      </c>
      <c r="L78" s="42" t="s">
        <v>181</v>
      </c>
      <c r="M78" s="55">
        <v>-1</v>
      </c>
      <c r="N78" s="49" t="s">
        <v>105</v>
      </c>
      <c r="O78" s="42" t="s">
        <v>233</v>
      </c>
      <c r="P78" s="60">
        <v>46183.662256944437</v>
      </c>
    </row>
    <row r="79" spans="2:16" x14ac:dyDescent="0.25">
      <c r="B79" s="57" t="s">
        <v>464</v>
      </c>
      <c r="C79" s="49" t="s">
        <v>49</v>
      </c>
      <c r="D79" s="58">
        <v>46188</v>
      </c>
      <c r="E79" s="49" t="s">
        <v>412</v>
      </c>
      <c r="F79" s="56">
        <v>47</v>
      </c>
      <c r="G79" s="42" t="s">
        <v>465</v>
      </c>
      <c r="H79" s="49" t="s">
        <v>466</v>
      </c>
      <c r="I79" s="59">
        <v>47</v>
      </c>
      <c r="J79" s="43" t="s">
        <v>349</v>
      </c>
      <c r="K79" s="49" t="s">
        <v>108</v>
      </c>
      <c r="L79" s="42" t="s">
        <v>181</v>
      </c>
      <c r="M79" s="55">
        <v>1</v>
      </c>
      <c r="N79" s="49" t="s">
        <v>107</v>
      </c>
      <c r="O79" s="42" t="s">
        <v>281</v>
      </c>
      <c r="P79" s="60">
        <v>46188.343599537038</v>
      </c>
    </row>
    <row r="80" spans="2:16" x14ac:dyDescent="0.25">
      <c r="B80" s="57" t="s">
        <v>467</v>
      </c>
      <c r="C80" s="49" t="s">
        <v>49</v>
      </c>
      <c r="D80" s="58">
        <v>46188</v>
      </c>
      <c r="E80" s="49" t="s">
        <v>374</v>
      </c>
      <c r="F80" s="56">
        <v>521.5</v>
      </c>
      <c r="G80" s="42" t="s">
        <v>468</v>
      </c>
      <c r="H80" s="49" t="s">
        <v>469</v>
      </c>
      <c r="I80" s="59">
        <v>521.5</v>
      </c>
      <c r="J80" s="43" t="s">
        <v>349</v>
      </c>
      <c r="K80" s="49" t="s">
        <v>106</v>
      </c>
      <c r="L80" s="42" t="s">
        <v>218</v>
      </c>
      <c r="M80" s="55">
        <v>1</v>
      </c>
      <c r="N80" s="49" t="s">
        <v>105</v>
      </c>
      <c r="O80" s="42" t="s">
        <v>216</v>
      </c>
      <c r="P80" s="60">
        <v>46188.374861111108</v>
      </c>
    </row>
    <row r="81" spans="2:16" x14ac:dyDescent="0.25">
      <c r="B81" s="57" t="s">
        <v>470</v>
      </c>
      <c r="C81" s="49" t="s">
        <v>49</v>
      </c>
      <c r="D81" s="58">
        <v>46189</v>
      </c>
      <c r="E81" s="49" t="s">
        <v>357</v>
      </c>
      <c r="F81" s="56">
        <v>134</v>
      </c>
      <c r="G81" s="42" t="s">
        <v>471</v>
      </c>
      <c r="H81" s="49" t="s">
        <v>472</v>
      </c>
      <c r="I81" s="59">
        <v>134</v>
      </c>
      <c r="J81" s="43" t="s">
        <v>349</v>
      </c>
      <c r="K81" s="49" t="s">
        <v>106</v>
      </c>
      <c r="L81" s="42" t="s">
        <v>181</v>
      </c>
      <c r="M81" s="55">
        <v>1</v>
      </c>
      <c r="N81" s="49" t="s">
        <v>105</v>
      </c>
      <c r="O81" s="42" t="s">
        <v>186</v>
      </c>
      <c r="P81" s="60">
        <v>46189.420254629629</v>
      </c>
    </row>
    <row r="82" spans="2:16" x14ac:dyDescent="0.25">
      <c r="B82" s="57" t="s">
        <v>473</v>
      </c>
      <c r="C82" s="49" t="s">
        <v>49</v>
      </c>
      <c r="D82" s="58">
        <v>46191</v>
      </c>
      <c r="E82" s="49" t="s">
        <v>408</v>
      </c>
      <c r="F82" s="56">
        <v>118</v>
      </c>
      <c r="G82" s="42" t="s">
        <v>474</v>
      </c>
      <c r="H82" s="49" t="s">
        <v>475</v>
      </c>
      <c r="I82" s="59">
        <v>118</v>
      </c>
      <c r="J82" s="43" t="s">
        <v>349</v>
      </c>
      <c r="K82" s="49" t="s">
        <v>106</v>
      </c>
      <c r="L82" s="42" t="s">
        <v>276</v>
      </c>
      <c r="M82" s="55">
        <v>1</v>
      </c>
      <c r="N82" s="49" t="s">
        <v>105</v>
      </c>
      <c r="O82" s="42" t="s">
        <v>274</v>
      </c>
      <c r="P82" s="60">
        <v>46191.415081018517</v>
      </c>
    </row>
    <row r="83" spans="2:16" x14ac:dyDescent="0.25">
      <c r="B83" s="57" t="s">
        <v>476</v>
      </c>
      <c r="C83" s="49" t="s">
        <v>49</v>
      </c>
      <c r="D83" s="58">
        <v>46195</v>
      </c>
      <c r="E83" s="49" t="s">
        <v>394</v>
      </c>
      <c r="F83" s="56">
        <v>64</v>
      </c>
      <c r="G83" s="42" t="s">
        <v>477</v>
      </c>
      <c r="H83" s="49" t="s">
        <v>478</v>
      </c>
      <c r="I83" s="59">
        <v>64</v>
      </c>
      <c r="J83" s="43" t="s">
        <v>349</v>
      </c>
      <c r="K83" s="49" t="s">
        <v>106</v>
      </c>
      <c r="L83" s="42" t="s">
        <v>181</v>
      </c>
      <c r="M83" s="55">
        <v>1</v>
      </c>
      <c r="N83" s="49" t="s">
        <v>105</v>
      </c>
      <c r="O83" s="42" t="s">
        <v>250</v>
      </c>
      <c r="P83" s="60">
        <v>46195.384768518517</v>
      </c>
    </row>
    <row r="84" spans="2:16" x14ac:dyDescent="0.25">
      <c r="B84" s="57" t="s">
        <v>479</v>
      </c>
      <c r="C84" s="49" t="s">
        <v>49</v>
      </c>
      <c r="D84" s="58">
        <v>46195</v>
      </c>
      <c r="E84" s="49" t="s">
        <v>378</v>
      </c>
      <c r="F84" s="56">
        <v>265</v>
      </c>
      <c r="G84" s="42" t="s">
        <v>480</v>
      </c>
      <c r="H84" s="49" t="s">
        <v>481</v>
      </c>
      <c r="I84" s="59">
        <v>265</v>
      </c>
      <c r="J84" s="43" t="s">
        <v>349</v>
      </c>
      <c r="K84" s="49" t="s">
        <v>108</v>
      </c>
      <c r="L84" s="42" t="s">
        <v>181</v>
      </c>
      <c r="M84" s="55">
        <v>1</v>
      </c>
      <c r="N84" s="49" t="s">
        <v>107</v>
      </c>
      <c r="O84" s="42" t="s">
        <v>224</v>
      </c>
      <c r="P84" s="60">
        <v>46195.430995370371</v>
      </c>
    </row>
    <row r="85" spans="2:16" x14ac:dyDescent="0.25">
      <c r="B85" s="57" t="s">
        <v>482</v>
      </c>
      <c r="C85" s="49" t="s">
        <v>49</v>
      </c>
      <c r="D85" s="58">
        <v>46196</v>
      </c>
      <c r="E85" s="49" t="s">
        <v>364</v>
      </c>
      <c r="F85" s="56">
        <v>217</v>
      </c>
      <c r="G85" s="42" t="s">
        <v>483</v>
      </c>
      <c r="H85" s="49" t="s">
        <v>484</v>
      </c>
      <c r="I85" s="59">
        <v>217</v>
      </c>
      <c r="J85" s="43" t="s">
        <v>349</v>
      </c>
      <c r="K85" s="49" t="s">
        <v>106</v>
      </c>
      <c r="L85" s="42" t="s">
        <v>181</v>
      </c>
      <c r="M85" s="55">
        <v>1</v>
      </c>
      <c r="N85" s="49" t="s">
        <v>105</v>
      </c>
      <c r="O85" s="42" t="s">
        <v>201</v>
      </c>
      <c r="P85" s="60">
        <v>46196.449930555558</v>
      </c>
    </row>
    <row r="86" spans="2:16" x14ac:dyDescent="0.25">
      <c r="B86" s="57" t="s">
        <v>485</v>
      </c>
      <c r="C86" s="49" t="s">
        <v>53</v>
      </c>
      <c r="D86" s="58">
        <v>46197</v>
      </c>
      <c r="E86" s="49" t="s">
        <v>408</v>
      </c>
      <c r="F86" s="56">
        <v>1.5</v>
      </c>
      <c r="G86" s="42" t="s">
        <v>486</v>
      </c>
      <c r="H86" s="49" t="s">
        <v>426</v>
      </c>
      <c r="I86" s="59">
        <v>-1.5</v>
      </c>
      <c r="J86" s="43" t="s">
        <v>349</v>
      </c>
      <c r="K86" s="49" t="s">
        <v>106</v>
      </c>
      <c r="L86" s="42" t="s">
        <v>276</v>
      </c>
      <c r="M86" s="55">
        <v>-1</v>
      </c>
      <c r="N86" s="49" t="s">
        <v>105</v>
      </c>
      <c r="O86" s="42" t="s">
        <v>274</v>
      </c>
      <c r="P86" s="60">
        <v>46197.675023148149</v>
      </c>
    </row>
    <row r="87" spans="2:16" x14ac:dyDescent="0.25">
      <c r="B87" s="57" t="s">
        <v>487</v>
      </c>
      <c r="C87" s="49" t="s">
        <v>49</v>
      </c>
      <c r="D87" s="58">
        <v>46198</v>
      </c>
      <c r="E87" s="49" t="s">
        <v>346</v>
      </c>
      <c r="F87" s="56">
        <v>115</v>
      </c>
      <c r="G87" s="42" t="s">
        <v>488</v>
      </c>
      <c r="H87" s="49" t="s">
        <v>489</v>
      </c>
      <c r="I87" s="59">
        <v>115</v>
      </c>
      <c r="J87" s="43" t="s">
        <v>349</v>
      </c>
      <c r="K87" s="49" t="s">
        <v>108</v>
      </c>
      <c r="L87" s="42" t="s">
        <v>173</v>
      </c>
      <c r="M87" s="55">
        <v>1</v>
      </c>
      <c r="N87" s="49" t="s">
        <v>107</v>
      </c>
      <c r="O87" s="42" t="s">
        <v>170</v>
      </c>
      <c r="P87" s="60">
        <v>46198.451574074083</v>
      </c>
    </row>
    <row r="88" spans="2:16" x14ac:dyDescent="0.25">
      <c r="B88" s="57" t="s">
        <v>490</v>
      </c>
      <c r="C88" s="49" t="s">
        <v>49</v>
      </c>
      <c r="D88" s="58">
        <v>46210</v>
      </c>
      <c r="E88" s="49" t="s">
        <v>374</v>
      </c>
      <c r="F88" s="56">
        <v>534</v>
      </c>
      <c r="G88" s="42" t="s">
        <v>491</v>
      </c>
      <c r="H88" s="49" t="s">
        <v>492</v>
      </c>
      <c r="I88" s="59">
        <v>534</v>
      </c>
      <c r="J88" s="43" t="s">
        <v>349</v>
      </c>
      <c r="K88" s="49" t="s">
        <v>106</v>
      </c>
      <c r="L88" s="42" t="s">
        <v>218</v>
      </c>
      <c r="M88" s="55">
        <v>1</v>
      </c>
      <c r="N88" s="49" t="s">
        <v>105</v>
      </c>
      <c r="O88" s="42" t="s">
        <v>216</v>
      </c>
      <c r="P88" s="60">
        <v>46210.568530092591</v>
      </c>
    </row>
    <row r="89" spans="2:16" x14ac:dyDescent="0.25">
      <c r="B89" s="57" t="s">
        <v>493</v>
      </c>
      <c r="C89" s="49" t="s">
        <v>53</v>
      </c>
      <c r="D89" s="58">
        <v>46211</v>
      </c>
      <c r="E89" s="49" t="s">
        <v>408</v>
      </c>
      <c r="F89" s="56">
        <v>1.5</v>
      </c>
      <c r="G89" s="42" t="s">
        <v>494</v>
      </c>
      <c r="H89" s="49" t="s">
        <v>426</v>
      </c>
      <c r="I89" s="59">
        <v>-1.5</v>
      </c>
      <c r="J89" s="43" t="s">
        <v>349</v>
      </c>
      <c r="K89" s="49" t="s">
        <v>106</v>
      </c>
      <c r="L89" s="42" t="s">
        <v>276</v>
      </c>
      <c r="M89" s="55">
        <v>-1</v>
      </c>
      <c r="N89" s="49" t="s">
        <v>105</v>
      </c>
      <c r="O89" s="42" t="s">
        <v>274</v>
      </c>
      <c r="P89" s="60">
        <v>46211.402060185188</v>
      </c>
    </row>
    <row r="90" spans="2:16" x14ac:dyDescent="0.25">
      <c r="B90" s="57" t="s">
        <v>495</v>
      </c>
      <c r="C90" s="49" t="s">
        <v>49</v>
      </c>
      <c r="D90" s="58">
        <v>46221</v>
      </c>
      <c r="E90" s="49" t="s">
        <v>380</v>
      </c>
      <c r="F90" s="56">
        <v>38</v>
      </c>
      <c r="G90" s="42" t="s">
        <v>496</v>
      </c>
      <c r="H90" s="49" t="s">
        <v>497</v>
      </c>
      <c r="I90" s="59">
        <v>38</v>
      </c>
      <c r="J90" s="43" t="s">
        <v>349</v>
      </c>
      <c r="K90" s="49" t="s">
        <v>106</v>
      </c>
      <c r="L90" s="42" t="s">
        <v>181</v>
      </c>
      <c r="M90" s="55">
        <v>1</v>
      </c>
      <c r="N90" s="49" t="s">
        <v>105</v>
      </c>
      <c r="O90" s="42" t="s">
        <v>227</v>
      </c>
      <c r="P90" s="60">
        <v>46221.720833333333</v>
      </c>
    </row>
    <row r="91" spans="2:16" x14ac:dyDescent="0.25">
      <c r="B91" s="57" t="s">
        <v>498</v>
      </c>
      <c r="C91" s="49" t="s">
        <v>49</v>
      </c>
      <c r="D91" s="58">
        <v>46223</v>
      </c>
      <c r="E91" s="49" t="s">
        <v>351</v>
      </c>
      <c r="F91" s="56">
        <v>65</v>
      </c>
      <c r="G91" s="42" t="s">
        <v>499</v>
      </c>
      <c r="H91" s="49" t="s">
        <v>500</v>
      </c>
      <c r="I91" s="59">
        <v>65</v>
      </c>
      <c r="J91" s="43" t="s">
        <v>349</v>
      </c>
      <c r="K91" s="49" t="s">
        <v>106</v>
      </c>
      <c r="L91" s="42" t="s">
        <v>177</v>
      </c>
      <c r="M91" s="55">
        <v>1</v>
      </c>
      <c r="N91" s="49" t="s">
        <v>105</v>
      </c>
      <c r="O91" s="42" t="s">
        <v>175</v>
      </c>
      <c r="P91" s="60">
        <v>46223.574687499997</v>
      </c>
    </row>
    <row r="92" spans="2:16" x14ac:dyDescent="0.25">
      <c r="B92" s="57" t="s">
        <v>501</v>
      </c>
      <c r="C92" s="49" t="s">
        <v>53</v>
      </c>
      <c r="D92" s="58">
        <v>46225</v>
      </c>
      <c r="E92" s="49" t="s">
        <v>364</v>
      </c>
      <c r="F92" s="56">
        <v>1</v>
      </c>
      <c r="G92" s="42" t="s">
        <v>502</v>
      </c>
      <c r="H92" s="49" t="s">
        <v>426</v>
      </c>
      <c r="I92" s="59">
        <v>-1</v>
      </c>
      <c r="J92" s="43" t="s">
        <v>349</v>
      </c>
      <c r="K92" s="49" t="s">
        <v>106</v>
      </c>
      <c r="L92" s="42" t="s">
        <v>181</v>
      </c>
      <c r="M92" s="55">
        <v>-1</v>
      </c>
      <c r="N92" s="49" t="s">
        <v>105</v>
      </c>
      <c r="O92" s="42" t="s">
        <v>201</v>
      </c>
      <c r="P92" s="60">
        <v>46225.69023148148</v>
      </c>
    </row>
    <row r="93" spans="2:16" x14ac:dyDescent="0.25">
      <c r="B93" s="57" t="s">
        <v>503</v>
      </c>
      <c r="C93" s="49" t="s">
        <v>49</v>
      </c>
      <c r="D93" s="58">
        <v>46230</v>
      </c>
      <c r="E93" s="49" t="s">
        <v>372</v>
      </c>
      <c r="F93" s="56">
        <v>80</v>
      </c>
      <c r="G93" s="42" t="s">
        <v>504</v>
      </c>
      <c r="H93" s="49" t="s">
        <v>505</v>
      </c>
      <c r="I93" s="59">
        <v>80</v>
      </c>
      <c r="J93" s="43" t="s">
        <v>349</v>
      </c>
      <c r="K93" s="49" t="s">
        <v>106</v>
      </c>
      <c r="L93" s="42" t="s">
        <v>181</v>
      </c>
      <c r="M93" s="55">
        <v>1</v>
      </c>
      <c r="N93" s="49" t="s">
        <v>105</v>
      </c>
      <c r="O93" s="42" t="s">
        <v>213</v>
      </c>
      <c r="P93" s="60">
        <v>46230.387453703697</v>
      </c>
    </row>
    <row r="94" spans="2:16" x14ac:dyDescent="0.25">
      <c r="B94" s="57" t="s">
        <v>506</v>
      </c>
      <c r="C94" s="49" t="s">
        <v>49</v>
      </c>
      <c r="D94" s="58">
        <v>46230</v>
      </c>
      <c r="E94" s="49" t="s">
        <v>374</v>
      </c>
      <c r="F94" s="56">
        <v>568.5</v>
      </c>
      <c r="G94" s="42" t="s">
        <v>507</v>
      </c>
      <c r="H94" s="49" t="s">
        <v>508</v>
      </c>
      <c r="I94" s="59">
        <v>568.5</v>
      </c>
      <c r="J94" s="43" t="s">
        <v>349</v>
      </c>
      <c r="K94" s="49" t="s">
        <v>108</v>
      </c>
      <c r="L94" s="42" t="s">
        <v>218</v>
      </c>
      <c r="M94" s="55">
        <v>1</v>
      </c>
      <c r="N94" s="49" t="s">
        <v>107</v>
      </c>
      <c r="O94" s="42" t="s">
        <v>216</v>
      </c>
      <c r="P94" s="60">
        <v>46230.414976851847</v>
      </c>
    </row>
    <row r="95" spans="2:16" x14ac:dyDescent="0.25">
      <c r="B95" s="57" t="s">
        <v>509</v>
      </c>
      <c r="C95" s="49" t="s">
        <v>49</v>
      </c>
      <c r="D95" s="58">
        <v>46230</v>
      </c>
      <c r="E95" s="49" t="s">
        <v>390</v>
      </c>
      <c r="F95" s="56">
        <v>36</v>
      </c>
      <c r="G95" s="42" t="s">
        <v>510</v>
      </c>
      <c r="H95" s="49" t="s">
        <v>511</v>
      </c>
      <c r="I95" s="59">
        <v>36</v>
      </c>
      <c r="J95" s="43" t="s">
        <v>349</v>
      </c>
      <c r="K95" s="49" t="s">
        <v>106</v>
      </c>
      <c r="L95" s="42" t="s">
        <v>239</v>
      </c>
      <c r="M95" s="55">
        <v>1</v>
      </c>
      <c r="N95" s="49" t="s">
        <v>105</v>
      </c>
      <c r="O95" s="42" t="s">
        <v>244</v>
      </c>
      <c r="P95" s="60">
        <v>46230.446145833332</v>
      </c>
    </row>
    <row r="96" spans="2:16" x14ac:dyDescent="0.25">
      <c r="B96" s="57" t="s">
        <v>512</v>
      </c>
      <c r="C96" s="49" t="s">
        <v>49</v>
      </c>
      <c r="D96" s="58">
        <v>46233</v>
      </c>
      <c r="E96" s="49" t="s">
        <v>384</v>
      </c>
      <c r="F96" s="56">
        <v>219</v>
      </c>
      <c r="G96" s="42" t="s">
        <v>513</v>
      </c>
      <c r="H96" s="49" t="s">
        <v>514</v>
      </c>
      <c r="I96" s="59">
        <v>219</v>
      </c>
      <c r="J96" s="43" t="s">
        <v>349</v>
      </c>
      <c r="K96" s="49" t="s">
        <v>106</v>
      </c>
      <c r="L96" s="42" t="s">
        <v>181</v>
      </c>
      <c r="M96" s="55">
        <v>1</v>
      </c>
      <c r="N96" s="49" t="s">
        <v>105</v>
      </c>
      <c r="O96" s="42" t="s">
        <v>233</v>
      </c>
      <c r="P96" s="60">
        <v>46233.331944444442</v>
      </c>
    </row>
    <row r="97" spans="2:16" x14ac:dyDescent="0.25">
      <c r="B97" s="57" t="s">
        <v>515</v>
      </c>
      <c r="C97" s="49" t="s">
        <v>49</v>
      </c>
      <c r="D97" s="58">
        <v>46234</v>
      </c>
      <c r="E97" s="49" t="s">
        <v>370</v>
      </c>
      <c r="F97" s="56">
        <v>179</v>
      </c>
      <c r="G97" s="42" t="s">
        <v>516</v>
      </c>
      <c r="H97" s="49" t="s">
        <v>517</v>
      </c>
      <c r="I97" s="59">
        <v>179</v>
      </c>
      <c r="J97" s="43" t="s">
        <v>349</v>
      </c>
      <c r="K97" s="49" t="s">
        <v>106</v>
      </c>
      <c r="L97" s="42" t="s">
        <v>181</v>
      </c>
      <c r="M97" s="55">
        <v>1</v>
      </c>
      <c r="N97" s="49" t="s">
        <v>105</v>
      </c>
      <c r="O97" s="42" t="s">
        <v>210</v>
      </c>
      <c r="P97" s="60">
        <v>46234.317141203697</v>
      </c>
    </row>
    <row r="98" spans="2:16" x14ac:dyDescent="0.25">
      <c r="B98" s="57" t="s">
        <v>518</v>
      </c>
      <c r="C98" s="49" t="s">
        <v>49</v>
      </c>
      <c r="D98" s="58">
        <v>46235</v>
      </c>
      <c r="E98" s="49" t="s">
        <v>410</v>
      </c>
      <c r="F98" s="56">
        <v>150</v>
      </c>
      <c r="G98" s="42" t="s">
        <v>519</v>
      </c>
      <c r="H98" s="49" t="s">
        <v>520</v>
      </c>
      <c r="I98" s="59">
        <v>150</v>
      </c>
      <c r="J98" s="43" t="s">
        <v>349</v>
      </c>
      <c r="K98" s="49" t="s">
        <v>106</v>
      </c>
      <c r="L98" s="42" t="s">
        <v>177</v>
      </c>
      <c r="M98" s="55">
        <v>1</v>
      </c>
      <c r="N98" s="49" t="s">
        <v>105</v>
      </c>
      <c r="O98" s="42" t="s">
        <v>278</v>
      </c>
      <c r="P98" s="60">
        <v>46235.437141203707</v>
      </c>
    </row>
    <row r="99" spans="2:16" x14ac:dyDescent="0.25">
      <c r="B99" s="57" t="s">
        <v>521</v>
      </c>
      <c r="C99" s="49" t="s">
        <v>49</v>
      </c>
      <c r="D99" s="58">
        <v>46237</v>
      </c>
      <c r="E99" s="49" t="s">
        <v>414</v>
      </c>
      <c r="F99" s="56">
        <v>141</v>
      </c>
      <c r="G99" s="42" t="s">
        <v>522</v>
      </c>
      <c r="H99" s="49" t="s">
        <v>523</v>
      </c>
      <c r="I99" s="59">
        <v>141</v>
      </c>
      <c r="J99" s="43" t="s">
        <v>349</v>
      </c>
      <c r="K99" s="49" t="s">
        <v>106</v>
      </c>
      <c r="L99" s="42" t="s">
        <v>286</v>
      </c>
      <c r="M99" s="55">
        <v>1</v>
      </c>
      <c r="N99" s="49" t="s">
        <v>105</v>
      </c>
      <c r="O99" s="42" t="s">
        <v>284</v>
      </c>
      <c r="P99" s="60">
        <v>46237.408217592587</v>
      </c>
    </row>
    <row r="100" spans="2:16" x14ac:dyDescent="0.25">
      <c r="B100" s="57" t="s">
        <v>524</v>
      </c>
      <c r="C100" s="49" t="s">
        <v>53</v>
      </c>
      <c r="D100" s="58">
        <v>46239</v>
      </c>
      <c r="E100" s="49" t="s">
        <v>386</v>
      </c>
      <c r="F100" s="56">
        <v>1.5</v>
      </c>
      <c r="G100" s="42" t="s">
        <v>525</v>
      </c>
      <c r="H100" s="49" t="s">
        <v>420</v>
      </c>
      <c r="I100" s="59">
        <v>-1.5</v>
      </c>
      <c r="J100" s="43" t="s">
        <v>349</v>
      </c>
      <c r="K100" s="49" t="s">
        <v>106</v>
      </c>
      <c r="L100" s="42" t="s">
        <v>239</v>
      </c>
      <c r="M100" s="55">
        <v>-1</v>
      </c>
      <c r="N100" s="49" t="s">
        <v>105</v>
      </c>
      <c r="O100" s="42" t="s">
        <v>236</v>
      </c>
      <c r="P100" s="60">
        <v>46239.727534722217</v>
      </c>
    </row>
    <row r="101" spans="2:16" x14ac:dyDescent="0.25">
      <c r="B101" s="57" t="s">
        <v>526</v>
      </c>
      <c r="C101" s="49" t="s">
        <v>49</v>
      </c>
      <c r="D101" s="58">
        <v>46244</v>
      </c>
      <c r="E101" s="49" t="s">
        <v>378</v>
      </c>
      <c r="F101" s="56">
        <v>265</v>
      </c>
      <c r="G101" s="42" t="s">
        <v>527</v>
      </c>
      <c r="H101" s="49" t="s">
        <v>528</v>
      </c>
      <c r="I101" s="59">
        <v>265</v>
      </c>
      <c r="J101" s="43" t="s">
        <v>349</v>
      </c>
      <c r="K101" s="49" t="s">
        <v>106</v>
      </c>
      <c r="L101" s="42" t="s">
        <v>181</v>
      </c>
      <c r="M101" s="55">
        <v>1</v>
      </c>
      <c r="N101" s="49" t="s">
        <v>105</v>
      </c>
      <c r="O101" s="42" t="s">
        <v>224</v>
      </c>
      <c r="P101" s="60">
        <v>46244.599259259259</v>
      </c>
    </row>
    <row r="102" spans="2:16" x14ac:dyDescent="0.25">
      <c r="B102" s="57" t="s">
        <v>529</v>
      </c>
      <c r="C102" s="49" t="s">
        <v>49</v>
      </c>
      <c r="D102" s="58">
        <v>46251</v>
      </c>
      <c r="E102" s="49" t="s">
        <v>386</v>
      </c>
      <c r="F102" s="56">
        <v>51</v>
      </c>
      <c r="G102" s="42" t="s">
        <v>530</v>
      </c>
      <c r="H102" s="49" t="s">
        <v>531</v>
      </c>
      <c r="I102" s="59">
        <v>51</v>
      </c>
      <c r="J102" s="43" t="s">
        <v>349</v>
      </c>
      <c r="K102" s="49" t="s">
        <v>106</v>
      </c>
      <c r="L102" s="42" t="s">
        <v>239</v>
      </c>
      <c r="M102" s="55">
        <v>1</v>
      </c>
      <c r="N102" s="49" t="s">
        <v>105</v>
      </c>
      <c r="O102" s="42" t="s">
        <v>236</v>
      </c>
      <c r="P102" s="60">
        <v>46251.603483796287</v>
      </c>
    </row>
    <row r="103" spans="2:16" x14ac:dyDescent="0.25">
      <c r="B103" s="57" t="s">
        <v>532</v>
      </c>
      <c r="C103" s="49" t="s">
        <v>51</v>
      </c>
      <c r="D103" s="58">
        <v>46253</v>
      </c>
      <c r="E103" s="49" t="s">
        <v>408</v>
      </c>
      <c r="F103" s="56">
        <v>1</v>
      </c>
      <c r="G103" s="42" t="s">
        <v>533</v>
      </c>
      <c r="H103" s="49" t="s">
        <v>534</v>
      </c>
      <c r="I103" s="59">
        <v>1</v>
      </c>
      <c r="J103" s="43" t="s">
        <v>349</v>
      </c>
      <c r="K103" s="49" t="s">
        <v>106</v>
      </c>
      <c r="L103" s="42" t="s">
        <v>276</v>
      </c>
      <c r="M103" s="55">
        <v>1</v>
      </c>
      <c r="N103" s="49" t="s">
        <v>105</v>
      </c>
      <c r="O103" s="42" t="s">
        <v>274</v>
      </c>
      <c r="P103" s="60">
        <v>46253.727824074071</v>
      </c>
    </row>
    <row r="104" spans="2:16" x14ac:dyDescent="0.25">
      <c r="B104" s="57" t="s">
        <v>535</v>
      </c>
      <c r="C104" s="49" t="s">
        <v>49</v>
      </c>
      <c r="D104" s="58">
        <v>46256</v>
      </c>
      <c r="E104" s="49" t="s">
        <v>374</v>
      </c>
      <c r="F104" s="56">
        <v>538</v>
      </c>
      <c r="G104" s="42" t="s">
        <v>536</v>
      </c>
      <c r="H104" s="49" t="s">
        <v>537</v>
      </c>
      <c r="I104" s="59">
        <v>538</v>
      </c>
      <c r="J104" s="43" t="s">
        <v>349</v>
      </c>
      <c r="K104" s="49" t="s">
        <v>106</v>
      </c>
      <c r="L104" s="42" t="s">
        <v>218</v>
      </c>
      <c r="M104" s="55">
        <v>1</v>
      </c>
      <c r="N104" s="49" t="s">
        <v>105</v>
      </c>
      <c r="O104" s="42" t="s">
        <v>216</v>
      </c>
      <c r="P104" s="60">
        <v>46256.36886574074</v>
      </c>
    </row>
    <row r="105" spans="2:16" x14ac:dyDescent="0.25">
      <c r="B105" s="57" t="s">
        <v>538</v>
      </c>
      <c r="C105" s="49" t="s">
        <v>49</v>
      </c>
      <c r="D105" s="58">
        <v>46258</v>
      </c>
      <c r="E105" s="49" t="s">
        <v>353</v>
      </c>
      <c r="F105" s="56">
        <v>27</v>
      </c>
      <c r="G105" s="42" t="s">
        <v>539</v>
      </c>
      <c r="H105" s="49" t="s">
        <v>540</v>
      </c>
      <c r="I105" s="59">
        <v>27</v>
      </c>
      <c r="J105" s="43" t="s">
        <v>349</v>
      </c>
      <c r="K105" s="49" t="s">
        <v>106</v>
      </c>
      <c r="L105" s="42" t="s">
        <v>181</v>
      </c>
      <c r="M105" s="55">
        <v>1</v>
      </c>
      <c r="N105" s="49" t="s">
        <v>105</v>
      </c>
      <c r="O105" s="42" t="s">
        <v>179</v>
      </c>
      <c r="P105" s="60">
        <v>46258.407361111109</v>
      </c>
    </row>
    <row r="106" spans="2:16" x14ac:dyDescent="0.25">
      <c r="B106" s="57" t="s">
        <v>541</v>
      </c>
      <c r="C106" s="49" t="s">
        <v>49</v>
      </c>
      <c r="D106" s="58">
        <v>46262</v>
      </c>
      <c r="E106" s="49" t="s">
        <v>366</v>
      </c>
      <c r="F106" s="56">
        <v>106</v>
      </c>
      <c r="G106" s="42" t="s">
        <v>542</v>
      </c>
      <c r="H106" s="49" t="s">
        <v>543</v>
      </c>
      <c r="I106" s="59">
        <v>106</v>
      </c>
      <c r="J106" s="43" t="s">
        <v>349</v>
      </c>
      <c r="K106" s="49" t="s">
        <v>108</v>
      </c>
      <c r="L106" s="42" t="s">
        <v>181</v>
      </c>
      <c r="M106" s="55">
        <v>1</v>
      </c>
      <c r="N106" s="49" t="s">
        <v>107</v>
      </c>
      <c r="O106" s="42" t="s">
        <v>204</v>
      </c>
      <c r="P106" s="60">
        <v>46262.34002314815</v>
      </c>
    </row>
    <row r="107" spans="2:16" x14ac:dyDescent="0.25">
      <c r="B107" s="57" t="s">
        <v>544</v>
      </c>
      <c r="C107" s="49" t="s">
        <v>49</v>
      </c>
      <c r="D107" s="58">
        <v>46263</v>
      </c>
      <c r="E107" s="49" t="s">
        <v>378</v>
      </c>
      <c r="F107" s="56">
        <v>272</v>
      </c>
      <c r="G107" s="42" t="s">
        <v>545</v>
      </c>
      <c r="H107" s="49" t="s">
        <v>546</v>
      </c>
      <c r="I107" s="59">
        <v>272</v>
      </c>
      <c r="J107" s="43" t="s">
        <v>349</v>
      </c>
      <c r="K107" s="49" t="s">
        <v>108</v>
      </c>
      <c r="L107" s="42" t="s">
        <v>181</v>
      </c>
      <c r="M107" s="55">
        <v>1</v>
      </c>
      <c r="N107" s="49" t="s">
        <v>107</v>
      </c>
      <c r="O107" s="42" t="s">
        <v>224</v>
      </c>
      <c r="P107" s="60">
        <v>46263.325173611112</v>
      </c>
    </row>
    <row r="108" spans="2:16" x14ac:dyDescent="0.25">
      <c r="B108" s="57" t="s">
        <v>547</v>
      </c>
      <c r="C108" s="49" t="s">
        <v>53</v>
      </c>
      <c r="D108" s="58">
        <v>46267</v>
      </c>
      <c r="E108" s="49" t="s">
        <v>335</v>
      </c>
      <c r="F108" s="56">
        <v>1</v>
      </c>
      <c r="G108" s="42" t="s">
        <v>548</v>
      </c>
      <c r="H108" s="49" t="s">
        <v>426</v>
      </c>
      <c r="I108" s="59">
        <v>-1</v>
      </c>
      <c r="J108" s="43" t="s">
        <v>349</v>
      </c>
      <c r="K108" s="49" t="s">
        <v>106</v>
      </c>
      <c r="L108" s="42" t="s">
        <v>199</v>
      </c>
      <c r="M108" s="55">
        <v>-1</v>
      </c>
      <c r="N108" s="49" t="s">
        <v>105</v>
      </c>
      <c r="O108" s="42" t="s">
        <v>196</v>
      </c>
      <c r="P108" s="60">
        <v>46267.63784722222</v>
      </c>
    </row>
    <row r="109" spans="2:16" x14ac:dyDescent="0.25">
      <c r="B109" s="57" t="s">
        <v>549</v>
      </c>
      <c r="C109" s="49" t="s">
        <v>49</v>
      </c>
      <c r="D109" s="58">
        <v>46272</v>
      </c>
      <c r="E109" s="49" t="s">
        <v>364</v>
      </c>
      <c r="F109" s="56">
        <v>213</v>
      </c>
      <c r="G109" s="42" t="s">
        <v>550</v>
      </c>
      <c r="H109" s="49" t="s">
        <v>551</v>
      </c>
      <c r="I109" s="59">
        <v>213</v>
      </c>
      <c r="J109" s="43" t="s">
        <v>349</v>
      </c>
      <c r="K109" s="49" t="s">
        <v>108</v>
      </c>
      <c r="L109" s="42" t="s">
        <v>181</v>
      </c>
      <c r="M109" s="55">
        <v>1</v>
      </c>
      <c r="N109" s="49" t="s">
        <v>107</v>
      </c>
      <c r="O109" s="42" t="s">
        <v>201</v>
      </c>
      <c r="P109" s="60">
        <v>46272.326898148152</v>
      </c>
    </row>
    <row r="110" spans="2:16" x14ac:dyDescent="0.25">
      <c r="B110" s="57" t="s">
        <v>552</v>
      </c>
      <c r="C110" s="49" t="s">
        <v>49</v>
      </c>
      <c r="D110" s="58">
        <v>46277</v>
      </c>
      <c r="E110" s="49" t="s">
        <v>357</v>
      </c>
      <c r="F110" s="56">
        <v>134</v>
      </c>
      <c r="G110" s="42" t="s">
        <v>553</v>
      </c>
      <c r="H110" s="49" t="s">
        <v>554</v>
      </c>
      <c r="I110" s="59">
        <v>134</v>
      </c>
      <c r="J110" s="43" t="s">
        <v>349</v>
      </c>
      <c r="K110" s="49" t="s">
        <v>106</v>
      </c>
      <c r="L110" s="42" t="s">
        <v>181</v>
      </c>
      <c r="M110" s="55">
        <v>1</v>
      </c>
      <c r="N110" s="49" t="s">
        <v>105</v>
      </c>
      <c r="O110" s="42" t="s">
        <v>186</v>
      </c>
      <c r="P110" s="60">
        <v>46277.313518518517</v>
      </c>
    </row>
    <row r="111" spans="2:16" x14ac:dyDescent="0.25">
      <c r="B111" s="57" t="s">
        <v>555</v>
      </c>
      <c r="C111" s="49" t="s">
        <v>49</v>
      </c>
      <c r="D111" s="58">
        <v>46279</v>
      </c>
      <c r="E111" s="49" t="s">
        <v>374</v>
      </c>
      <c r="F111" s="56">
        <v>518.5</v>
      </c>
      <c r="G111" s="42" t="s">
        <v>556</v>
      </c>
      <c r="H111" s="49" t="s">
        <v>557</v>
      </c>
      <c r="I111" s="59">
        <v>518.5</v>
      </c>
      <c r="J111" s="43" t="s">
        <v>349</v>
      </c>
      <c r="K111" s="49" t="s">
        <v>106</v>
      </c>
      <c r="L111" s="42" t="s">
        <v>218</v>
      </c>
      <c r="M111" s="55">
        <v>1</v>
      </c>
      <c r="N111" s="49" t="s">
        <v>105</v>
      </c>
      <c r="O111" s="42" t="s">
        <v>216</v>
      </c>
      <c r="P111" s="60">
        <v>46279.345185185193</v>
      </c>
    </row>
    <row r="112" spans="2:16" x14ac:dyDescent="0.25">
      <c r="B112" s="57" t="s">
        <v>558</v>
      </c>
      <c r="C112" s="49" t="s">
        <v>53</v>
      </c>
      <c r="D112" s="58">
        <v>46281</v>
      </c>
      <c r="E112" s="49" t="s">
        <v>404</v>
      </c>
      <c r="F112" s="56">
        <v>2</v>
      </c>
      <c r="G112" s="42" t="s">
        <v>559</v>
      </c>
      <c r="H112" s="49" t="s">
        <v>426</v>
      </c>
      <c r="I112" s="59">
        <v>-2</v>
      </c>
      <c r="J112" s="43" t="s">
        <v>349</v>
      </c>
      <c r="K112" s="49" t="s">
        <v>106</v>
      </c>
      <c r="L112" s="42" t="s">
        <v>173</v>
      </c>
      <c r="M112" s="55">
        <v>-1</v>
      </c>
      <c r="N112" s="49" t="s">
        <v>105</v>
      </c>
      <c r="O112" s="42" t="s">
        <v>267</v>
      </c>
      <c r="P112" s="60">
        <v>46281.65861111111</v>
      </c>
    </row>
    <row r="113" spans="2:16" x14ac:dyDescent="0.25">
      <c r="B113" s="57" t="s">
        <v>560</v>
      </c>
      <c r="C113" s="49" t="s">
        <v>49</v>
      </c>
      <c r="D113" s="58">
        <v>46287</v>
      </c>
      <c r="E113" s="49" t="s">
        <v>370</v>
      </c>
      <c r="F113" s="56">
        <v>200</v>
      </c>
      <c r="G113" s="42" t="s">
        <v>561</v>
      </c>
      <c r="H113" s="49" t="s">
        <v>562</v>
      </c>
      <c r="I113" s="59">
        <v>200</v>
      </c>
      <c r="J113" s="43" t="s">
        <v>349</v>
      </c>
      <c r="K113" s="49" t="s">
        <v>106</v>
      </c>
      <c r="L113" s="42" t="s">
        <v>181</v>
      </c>
      <c r="M113" s="55">
        <v>1</v>
      </c>
      <c r="N113" s="49" t="s">
        <v>105</v>
      </c>
      <c r="O113" s="42" t="s">
        <v>210</v>
      </c>
      <c r="P113" s="60">
        <v>46287.342939814807</v>
      </c>
    </row>
    <row r="114" spans="2:16" x14ac:dyDescent="0.25">
      <c r="B114" s="57" t="s">
        <v>563</v>
      </c>
      <c r="C114" s="49" t="s">
        <v>49</v>
      </c>
      <c r="D114" s="58">
        <v>46290</v>
      </c>
      <c r="E114" s="49" t="s">
        <v>382</v>
      </c>
      <c r="F114" s="56">
        <v>27</v>
      </c>
      <c r="G114" s="42" t="s">
        <v>564</v>
      </c>
      <c r="H114" s="49" t="s">
        <v>337</v>
      </c>
      <c r="I114" s="59">
        <v>27</v>
      </c>
      <c r="J114" s="43" t="s">
        <v>349</v>
      </c>
      <c r="K114" s="49" t="s">
        <v>106</v>
      </c>
      <c r="L114" s="42" t="s">
        <v>181</v>
      </c>
      <c r="M114" s="55">
        <v>1</v>
      </c>
      <c r="N114" s="49" t="s">
        <v>105</v>
      </c>
      <c r="O114" s="42" t="s">
        <v>230</v>
      </c>
      <c r="P114" s="60">
        <v>46290.538506944453</v>
      </c>
    </row>
    <row r="115" spans="2:16" x14ac:dyDescent="0.25">
      <c r="B115" s="57" t="s">
        <v>565</v>
      </c>
      <c r="C115" s="49" t="s">
        <v>49</v>
      </c>
      <c r="D115" s="58">
        <v>46290</v>
      </c>
      <c r="E115" s="49" t="s">
        <v>384</v>
      </c>
      <c r="F115" s="56">
        <v>322</v>
      </c>
      <c r="G115" s="42" t="s">
        <v>566</v>
      </c>
      <c r="H115" s="49" t="s">
        <v>567</v>
      </c>
      <c r="I115" s="59">
        <v>322</v>
      </c>
      <c r="J115" s="43" t="s">
        <v>349</v>
      </c>
      <c r="K115" s="49" t="s">
        <v>106</v>
      </c>
      <c r="L115" s="42" t="s">
        <v>181</v>
      </c>
      <c r="M115" s="55">
        <v>1</v>
      </c>
      <c r="N115" s="49" t="s">
        <v>105</v>
      </c>
      <c r="O115" s="42" t="s">
        <v>233</v>
      </c>
      <c r="P115" s="60">
        <v>46290.560150462959</v>
      </c>
    </row>
    <row r="116" spans="2:16" x14ac:dyDescent="0.25">
      <c r="B116" s="57" t="s">
        <v>568</v>
      </c>
      <c r="C116" s="49" t="s">
        <v>49</v>
      </c>
      <c r="D116" s="58">
        <v>46290</v>
      </c>
      <c r="E116" s="49" t="s">
        <v>404</v>
      </c>
      <c r="F116" s="56">
        <v>4</v>
      </c>
      <c r="G116" s="42" t="s">
        <v>569</v>
      </c>
      <c r="H116" s="49" t="s">
        <v>570</v>
      </c>
      <c r="I116" s="59">
        <v>4</v>
      </c>
      <c r="J116" s="43" t="s">
        <v>349</v>
      </c>
      <c r="K116" s="49" t="s">
        <v>106</v>
      </c>
      <c r="L116" s="42" t="s">
        <v>173</v>
      </c>
      <c r="M116" s="55">
        <v>1</v>
      </c>
      <c r="N116" s="49" t="s">
        <v>105</v>
      </c>
      <c r="O116" s="42" t="s">
        <v>267</v>
      </c>
      <c r="P116" s="60">
        <v>46290.619560185187</v>
      </c>
    </row>
    <row r="117" spans="2:16" x14ac:dyDescent="0.25">
      <c r="B117" s="57" t="s">
        <v>571</v>
      </c>
      <c r="C117" s="49" t="s">
        <v>49</v>
      </c>
      <c r="D117" s="58">
        <v>46290</v>
      </c>
      <c r="E117" s="49" t="s">
        <v>410</v>
      </c>
      <c r="F117" s="56">
        <v>166</v>
      </c>
      <c r="G117" s="42" t="s">
        <v>572</v>
      </c>
      <c r="H117" s="49" t="s">
        <v>567</v>
      </c>
      <c r="I117" s="59">
        <v>166</v>
      </c>
      <c r="J117" s="43" t="s">
        <v>349</v>
      </c>
      <c r="K117" s="49" t="s">
        <v>106</v>
      </c>
      <c r="L117" s="42" t="s">
        <v>177</v>
      </c>
      <c r="M117" s="55">
        <v>1</v>
      </c>
      <c r="N117" s="49" t="s">
        <v>105</v>
      </c>
      <c r="O117" s="42" t="s">
        <v>278</v>
      </c>
      <c r="P117" s="60">
        <v>46290.692650462966</v>
      </c>
    </row>
  </sheetData>
  <sheetProtection password="930D" sheet="1" objects="1" scenarios="1" formatColumns="0" autoFilter="0"/>
  <protectedRanges>
    <protectedRange sqref="C9:H23" name="Captura Bodega"/>
  </protectedRanges>
  <mergeCells count="3">
    <mergeCell ref="C6:D6"/>
    <mergeCell ref="J6:K6"/>
    <mergeCell ref="F6:I6"/>
  </mergeCells>
  <conditionalFormatting sqref="B9:B23">
    <cfRule type="expression" dxfId="159" priority="17">
      <formula>$N9=""</formula>
    </cfRule>
    <cfRule type="expression" dxfId="158" priority="14">
      <formula>$N9&lt;&gt;""</formula>
    </cfRule>
  </conditionalFormatting>
  <conditionalFormatting sqref="B9:P23">
    <cfRule type="expression" dxfId="157" priority="3">
      <formula>$N9=""</formula>
    </cfRule>
  </conditionalFormatting>
  <conditionalFormatting sqref="B28:P20028">
    <cfRule type="expression" dxfId="156" priority="34">
      <formula>AND($B28&lt;&gt;"",MOD(ROW(),2)=0)</formula>
    </cfRule>
  </conditionalFormatting>
  <conditionalFormatting sqref="C28:C20028">
    <cfRule type="expression" dxfId="155" priority="26">
      <formula>$M28=1</formula>
    </cfRule>
    <cfRule type="expression" dxfId="154" priority="27">
      <formula>$M28=-1</formula>
    </cfRule>
  </conditionalFormatting>
  <conditionalFormatting sqref="F9:F23">
    <cfRule type="expression" dxfId="153" priority="15">
      <formula>AND(ISNUMBER(F9),F9&lt;&gt;INT(F9))</formula>
    </cfRule>
    <cfRule type="expression" dxfId="152" priority="1" stopIfTrue="1">
      <formula>AND(ISNUMBER($P9),$P9&lt;0)</formula>
    </cfRule>
  </conditionalFormatting>
  <conditionalFormatting sqref="F28:F20028">
    <cfRule type="expression" dxfId="151" priority="32">
      <formula>AND(ISNUMBER(F28),F28&lt;&gt;INT(F28))</formula>
    </cfRule>
    <cfRule type="expression" dxfId="150" priority="18" stopIfTrue="1">
      <formula>LEFT($J28,1)="✖"</formula>
    </cfRule>
  </conditionalFormatting>
  <conditionalFormatting sqref="I9:I23">
    <cfRule type="expression" dxfId="149" priority="2" stopIfTrue="1">
      <formula>AND(ISNUMBER($P9),$P9&lt;0)</formula>
    </cfRule>
    <cfRule type="expression" dxfId="148" priority="16">
      <formula>AND(ISNUMBER(I9),I9&lt;&gt;INT(I9))</formula>
    </cfRule>
  </conditionalFormatting>
  <conditionalFormatting sqref="I28:I20028">
    <cfRule type="expression" dxfId="147" priority="28">
      <formula>$M28=1</formula>
    </cfRule>
    <cfRule type="expression" dxfId="146" priority="29">
      <formula>$M28=-1</formula>
    </cfRule>
    <cfRule type="expression" dxfId="145" priority="33">
      <formula>AND(ISNUMBER(I28),I28&lt;&gt;INT(I28))</formula>
    </cfRule>
  </conditionalFormatting>
  <conditionalFormatting sqref="I28:J20028">
    <cfRule type="expression" dxfId="144" priority="19" stopIfTrue="1">
      <formula>LEFT($J28,1)="✖"</formula>
    </cfRule>
  </conditionalFormatting>
  <conditionalFormatting sqref="J9:J23">
    <cfRule type="expression" dxfId="143" priority="4">
      <formula>LEFT($J9,1)="✖"</formula>
    </cfRule>
    <cfRule type="expression" dxfId="142" priority="5">
      <formula>LEFT($J9,1)="⚠"</formula>
    </cfRule>
    <cfRule type="expression" dxfId="141" priority="6">
      <formula>LEFT($J9,1)="✔"</formula>
    </cfRule>
    <cfRule type="expression" dxfId="140" priority="7">
      <formula>LEFT($J9,1)="●"</formula>
    </cfRule>
    <cfRule type="expression" dxfId="139" priority="8">
      <formula>LEFT($J9,1)="○"</formula>
    </cfRule>
  </conditionalFormatting>
  <conditionalFormatting sqref="J28:J20028">
    <cfRule type="expression" dxfId="138" priority="21">
      <formula>LEFT($J28,1)="✖"</formula>
    </cfRule>
    <cfRule type="expression" dxfId="137" priority="22">
      <formula>LEFT($J28,1)="⚠"</formula>
    </cfRule>
    <cfRule type="expression" dxfId="136" priority="23">
      <formula>LEFT($J28,1)="✔"</formula>
    </cfRule>
    <cfRule type="expression" dxfId="135" priority="24">
      <formula>LEFT($J28,1)="●"</formula>
    </cfRule>
    <cfRule type="expression" dxfId="134" priority="25">
      <formula>LEFT($J28,1)="○"</formula>
    </cfRule>
  </conditionalFormatting>
  <conditionalFormatting sqref="K9:K23">
    <cfRule type="expression" dxfId="133" priority="9">
      <formula>LEFT($K9,1)="✖"</formula>
    </cfRule>
    <cfRule type="expression" dxfId="132" priority="10">
      <formula>LEFT($K9,1)="⚠"</formula>
    </cfRule>
    <cfRule type="expression" dxfId="131" priority="11">
      <formula>LEFT($K9,1)="✔"</formula>
    </cfRule>
    <cfRule type="expression" dxfId="130" priority="12">
      <formula>LEFT($K9,1)="●"</formula>
    </cfRule>
    <cfRule type="expression" dxfId="129" priority="13">
      <formula>LEFT($K9,1)="○"</formula>
    </cfRule>
  </conditionalFormatting>
  <conditionalFormatting sqref="M28:M20028">
    <cfRule type="expression" dxfId="128" priority="30">
      <formula>$M28=1</formula>
    </cfRule>
    <cfRule type="expression" dxfId="127" priority="31">
      <formula>$M28=-1</formula>
    </cfRule>
  </conditionalFormatting>
  <dataValidations count="36">
    <dataValidation allowBlank="1" showInputMessage="1" showErrorMessage="1" promptTitle="ƒx Usuario" prompt="Persona dueña de esta fila (según 02_USUARIOS). Escriba solo en SU fila." sqref="B8" xr:uid="{00000000-0002-0000-0900-000000000000}"/>
    <dataValidation allowBlank="1" showInputMessage="1" showErrorMessage="1" promptTitle="✎ Tipo" prompt="ENTRADA, SALDO INICIAL, AJUSTE (+) o AJUSTE (-). Alt + ↓ abre la lista." sqref="C8" xr:uid="{00000000-0002-0000-0900-000001000000}"/>
    <dataValidation allowBlank="1" showInputMessage="1" showErrorMessage="1" promptTitle="✎ Fecha" prompt="Opcional. Vacía = hoy. Para registrar un movimiento de otro día: dd/mm/aaaa." sqref="D8" xr:uid="{00000000-0002-0000-0900-000002000000}"/>
    <dataValidation allowBlank="1" showInputMessage="1" showErrorMessage="1" promptTitle="✎ Producto" prompt="Elija de la lista. Escriba parte del nombre o del SKU para filtrarla." sqref="E8" xr:uid="{00000000-0002-0000-0900-000003000000}"/>
    <dataValidation allowBlank="1" showInputMessage="1" showErrorMessage="1" promptTitle="✎ Cantidad" prompt="Siempre positiva, en la unidad del producto. El signo lo pone el tipo." sqref="F8" xr:uid="{00000000-0002-0000-0900-000004000000}"/>
    <dataValidation allowBlank="1" showInputMessage="1" showErrorMessage="1" promptTitle="✎ Documento" prompt="Opcional: factura, remisión, orden o cliente. Máximo 30 caracteres." sqref="G8" xr:uid="{00000000-0002-0000-0900-000005000000}"/>
    <dataValidation allowBlank="1" showInputMessage="1" showErrorMessage="1" promptTitle="✎ Observaciones" prompt="Obligatoria en los AJUSTES (motivo). Máximo 250 caracteres." sqref="H8" xr:uid="{00000000-0002-0000-0900-000006000000}"/>
    <dataValidation allowBlank="1" showInputMessage="1" showErrorMessage="1" promptTitle="ƒx Disponible" prompt="Stock exacto en este instante: suma de las dos bitácoras oficiales." sqref="I8" xr:uid="{00000000-0002-0000-0900-000007000000}"/>
    <dataValidation allowBlank="1" showInputMessage="1" showErrorMessage="1" promptTitle="ƒx Validación" prompt="✔ lista para registrar · ○ falta un dato · ✖ error que impide registrar." sqref="J8" xr:uid="{00000000-0002-0000-0900-000008000000}"/>
    <dataValidation allowBlank="1" showInputMessage="1" showErrorMessage="1" promptTitle="ƒx Resultado" prompt="Lo escribe el script al pulsar el botón: ✔ registrado (con ID) o ✖ bloqueado." sqref="K8" xr:uid="{00000000-0002-0000-0900-000009000000}"/>
    <dataValidation allowBlank="1" showInputMessage="1" showErrorMessage="1" promptTitle="ƒx Unidad" prompt="Unidad de medida del producto." sqref="L8" xr:uid="{00000000-0002-0000-0900-00000A000000}"/>
    <dataValidation allowBlank="1" showInputMessage="1" showErrorMessage="1" promptTitle="ƒx Factor" prompt="+1 suma al inventario, −1 resta." sqref="M8" xr:uid="{00000000-0002-0000-0900-00000B000000}"/>
    <dataValidation allowBlank="1" showInputMessage="1" showErrorMessage="1" promptTitle="ƒx Correo" prompt="Técnica (oculta): correo de Microsoft 365 del dueño de la fila." sqref="N8" xr:uid="{00000000-0002-0000-0900-00000C000000}"/>
    <dataValidation allowBlank="1" showInputMessage="1" showErrorMessage="1" promptTitle="ƒx SKU" prompt="Técnica (oculta): código extraído del producto." sqref="O8" xr:uid="{00000000-0002-0000-0900-00000D000000}"/>
    <dataValidation allowBlank="1" showInputMessage="1" showErrorMessage="1" promptTitle="ƒx Queda" prompt="Técnica (oculta): stock resultante si se registra." sqref="P8" xr:uid="{00000000-0002-0000-0900-00000E000000}"/>
    <dataValidation type="list" allowBlank="1" showInputMessage="1" showErrorMessage="1" errorTitle="Tipo no válido" error="Elija un tipo de la lista. Las salidas se registran en 10B_SALIDAS." promptTitle="Tipo de movimiento" prompt="ENTRADA, SALDO INICIAL, AJUSTE (+) o AJUSTE (-). Alt + ↓ abre la lista." sqref="C9:C23" xr:uid="{00000000-0002-0000-0900-00000F000000}">
      <formula1>lstTiposBodega</formula1>
    </dataValidation>
    <dataValidation type="date" allowBlank="1" showInputMessage="1" showErrorMessage="1" errorTitle="Fecha no válida" error="Use dd/mm/aaaa, sin fechas futuras ni anteriores a la mínima." promptTitle="Fecha (opcional)" prompt="Vacía = hoy. Otro día: dd/mm/aaaa. No se admiten fechas futuras." sqref="D9:D23" xr:uid="{00000000-0002-0000-0900-000010000000}">
      <formula1>cfgFechaMin</formula1>
      <formula2>TODAY()</formula2>
    </dataValidation>
    <dataValidation type="list" allowBlank="1" showInputMessage="1" showErrorMessage="1" errorTitle="Producto no válido" error="Elija un producto de la lista del catálogo." promptTitle="Producto" prompt="Elija de la lista. Escriba parte del nombre o del SKU para filtrarla. Nunca lo escriba completo a mano." sqref="E9:E23" xr:uid="{00000000-0002-0000-0900-000011000000}">
      <formula1>lstProductos</formula1>
    </dataValidation>
    <dataValidation type="custom" allowBlank="1" showInputMessage="1" showErrorMessage="1" errorTitle="Cantidad no válida" error="Debe ser mayor que 0. Si la unidad no admite decimales, use un entero." promptTitle="Cantidad" prompt="Mayor que 0, en la unidad del producto. UND, CAJA, PAQ, PAR y ROLLO: solo enteros." sqref="F9:F23" xr:uid="{00000000-0002-0000-0900-000012000000}">
      <formula1>AND(ISNUMBER(F9),F9&gt;0,IFERROR(OR(INDEX(lstUniDec,MATCH($L9,lstUniCod,0))="SI",F9=INT(F9)),TRUE))</formula1>
    </dataValidation>
    <dataValidation type="textLength" operator="lessThanOrEqual" allowBlank="1" showInputMessage="1" showErrorMessage="1" errorTitle="Texto muy largo" error="Máximo 30 caracteres." promptTitle="Documento (opcional)" prompt="Factura, remisión, orden o cliente." sqref="G9:G23" xr:uid="{00000000-0002-0000-0900-000013000000}">
      <formula1>30</formula1>
    </dataValidation>
    <dataValidation type="textLength" operator="lessThanOrEqual" allowBlank="1" showInputMessage="1" showErrorMessage="1" errorTitle="Texto muy largo" error="Máximo 250 caracteres." promptTitle="Observaciones" prompt="Obligatoria en los AJUSTES: explique el motivo." sqref="H9:H23" xr:uid="{00000000-0002-0000-0900-000014000000}">
      <formula1>250</formula1>
    </dataValidation>
    <dataValidation allowBlank="1" showInputMessage="1" showErrorMessage="1" promptTitle="ƒx ID" prompt="Identificador único generado por el script (fragmento-fecha-hora-aleatorio): no requiere coordinación." sqref="B27" xr:uid="{00000000-0002-0000-0900-000015000000}"/>
    <dataValidation allowBlank="1" showInputMessage="1" showErrorMessage="1" promptTitle="ƒx Tipo" prompt="Tipo de movimiento." sqref="C27" xr:uid="{00000000-0002-0000-0900-000016000000}"/>
    <dataValidation allowBlank="1" showInputMessage="1" showErrorMessage="1" promptTitle="ƒx Fecha" prompt="Fecha del movimiento (negocio)." sqref="D27" xr:uid="{00000000-0002-0000-0900-000017000000}"/>
    <dataValidation allowBlank="1" showInputMessage="1" showErrorMessage="1" promptTitle="ƒx Producto" prompt="Etiqueta SKU · Nombre al momento del registro." sqref="E27" xr:uid="{00000000-0002-0000-0900-000018000000}"/>
    <dataValidation allowBlank="1" showInputMessage="1" showErrorMessage="1" promptTitle="ƒx Cantidad" prompt="Cantidad positiva." sqref="F27" xr:uid="{00000000-0002-0000-0900-000019000000}"/>
    <dataValidation allowBlank="1" showInputMessage="1" showErrorMessage="1" promptTitle="ƒx Documento" prompt="Soporte del movimiento." sqref="G27" xr:uid="{00000000-0002-0000-0900-00001A000000}"/>
    <dataValidation allowBlank="1" showInputMessage="1" showErrorMessage="1" promptTitle="ƒx Observaciones" prompt="Detalle o motivo." sqref="H27" xr:uid="{00000000-0002-0000-0900-00001B000000}"/>
    <dataValidation allowBlank="1" showInputMessage="1" showErrorMessage="1" promptTitle="ƒx CantidadNeta" prompt="Cantidad × FactorStock: lo único que suma el stock." sqref="I27" xr:uid="{00000000-0002-0000-0900-00001C000000}"/>
    <dataValidation allowBlank="1" showInputMessage="1" showErrorMessage="1" promptTitle="ƒx Estado" prompt="✔ Consolidado o ✖ Rechazado (con motivo). Los rechazados no suman." sqref="J27" xr:uid="{00000000-0002-0000-0900-00001D000000}"/>
    <dataValidation allowBlank="1" showInputMessage="1" showErrorMessage="1" promptTitle="ƒx Registró" prompt="Nombre de quien ejecutó el script." sqref="K27" xr:uid="{00000000-0002-0000-0900-00001E000000}"/>
    <dataValidation allowBlank="1" showInputMessage="1" showErrorMessage="1" promptTitle="ƒx Unidad" prompt="Unidad de medida." sqref="L27" xr:uid="{00000000-0002-0000-0900-00001F000000}"/>
    <dataValidation allowBlank="1" showInputMessage="1" showErrorMessage="1" promptTitle="ƒx FactorStock" prompt="+1 o −1 según el tipo." sqref="M27" xr:uid="{00000000-0002-0000-0900-000020000000}"/>
    <dataValidation allowBlank="1" showInputMessage="1" showErrorMessage="1" promptTitle="ƒx Usuario_O365" prompt="Auditoría (oculta): correo de Microsoft 365 que ejecutó el script." sqref="N27" xr:uid="{00000000-0002-0000-0900-000021000000}"/>
    <dataValidation allowBlank="1" showInputMessage="1" showErrorMessage="1" promptTitle="ƒx SKU" prompt="Técnica (oculta): clave del producto." sqref="O27" xr:uid="{00000000-0002-0000-0900-000022000000}"/>
    <dataValidation allowBlank="1" showInputMessage="1" showErrorMessage="1" promptTitle="ƒx Timestamp" prompt="Auditoría (oculta): fecha y hora exactas del registro." sqref="P27" xr:uid="{00000000-0002-0000-0900-000023000000}"/>
  </dataValidations>
  <hyperlinks>
    <hyperlink ref="B5" location="'00_PORTADA_BODEGA'!A1" tooltip="Portada de Bodega" display="⌂ Bodega" xr:uid="{00000000-0004-0000-0900-000000000000}"/>
    <hyperlink ref="C5" location="'00_PORTADA_VENTAS'!A1" tooltip="Portada de Ventas" display="⌂ Ventas" xr:uid="{00000000-0004-0000-0900-000001000000}"/>
    <hyperlink ref="D5" location="'00_PORTADA_GERENCIA'!A1" tooltip="Portada de Gerencia: indicadores, pedido y actividad" display="◈ Gerencia" xr:uid="{00000000-0004-0000-0900-000002000000}"/>
    <hyperlink ref="E5" location="'10A_ENTRADAS'!C9" tooltip="Registrar entradas y ajustes (Bodega)" display="⇩ Entradas" xr:uid="{00000000-0004-0000-0900-000003000000}"/>
    <hyperlink ref="F5" location="'10B_SALIDAS'!E9" tooltip="Registrar salidas (Ventas)" display="⇧ Salidas" xr:uid="{00000000-0004-0000-0900-000004000000}"/>
    <hyperlink ref="G5" location="'17_CONSULTA'!C9" tooltip="Consultar un producto en su fila" display="⌕ Consulta" xr:uid="{00000000-0004-0000-0900-000005000000}"/>
    <hyperlink ref="H5" location="'15_STOCK'!A1" tooltip="Stock (instantánea recalculada a demanda)" display="▦ Stock" xr:uid="{00000000-0004-0000-0900-000006000000}"/>
    <hyperlink ref="I5" location="'18_PEDIDO'!A1" tooltip="Pedido sugerido por proveedor" display="✚ Pedido" xr:uid="{00000000-0004-0000-0900-000007000000}"/>
    <hyperlink ref="J5" location="'13_CONTEO'!I9" tooltip="Toma física (conteo) colaborativa" display="✓ Conteo" xr:uid="{00000000-0004-0000-0900-000008000000}"/>
    <hyperlink ref="K5" location="'99_AYUDA'!A1" tooltip="Guía de uso, acceso e instalación" display="? Guía" xr:uid="{00000000-0004-0000-0900-000009000000}"/>
  </hyperlinks>
  <pageMargins left="0.7" right="0.7" top="0.75" bottom="0.75" header="0.3" footer="0.3"/>
  <pageSetup fitToHeight="0" orientation="landscape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D47A1"/>
    <pageSetUpPr fitToPage="1"/>
  </sheetPr>
  <dimension ref="B1:P410"/>
  <sheetViews>
    <sheetView showGridLines="0" showRowColHeaders="0" zoomScale="85" zoomScaleNormal="85" workbookViewId="0">
      <pane ySplit="6" topLeftCell="A7" activePane="bottomLeft" state="frozen"/>
      <selection pane="bottomLeft" activeCell="D9" sqref="D9"/>
    </sheetView>
  </sheetViews>
  <sheetFormatPr baseColWidth="10" defaultColWidth="0" defaultRowHeight="15" zeroHeight="1" x14ac:dyDescent="0.25"/>
  <cols>
    <col min="1" max="1" width="2.28515625" customWidth="1"/>
    <col min="2" max="2" width="24" customWidth="1"/>
    <col min="3" max="3" width="16" customWidth="1"/>
    <col min="4" max="4" width="13.140625" customWidth="1"/>
    <col min="5" max="5" width="38.5703125" customWidth="1"/>
    <col min="6" max="6" width="13.7109375" customWidth="1"/>
    <col min="7" max="7" width="16.85546875" customWidth="1"/>
    <col min="8" max="8" width="25.7109375" customWidth="1"/>
    <col min="9" max="9" width="17.140625" customWidth="1"/>
    <col min="10" max="11" width="34.28515625" customWidth="1"/>
    <col min="12" max="12" width="10.5703125" customWidth="1"/>
    <col min="13" max="13" width="15.140625" customWidth="1"/>
    <col min="14" max="14" width="32.85546875" hidden="1" customWidth="1"/>
    <col min="15" max="15" width="12.85546875" hidden="1" customWidth="1"/>
    <col min="16" max="16" width="20" hidden="1" customWidth="1"/>
    <col min="17" max="17" width="2.28515625" customWidth="1"/>
    <col min="18" max="18" width="0" hidden="1" customWidth="1"/>
  </cols>
  <sheetData>
    <row r="1" spans="2:16" s="1" customFormat="1" ht="4.5" customHeight="1" x14ac:dyDescent="0.25"/>
    <row r="2" spans="2:16" s="1" customFormat="1" ht="22.5" customHeight="1" x14ac:dyDescent="0.25">
      <c r="B2" s="2" t="s">
        <v>575</v>
      </c>
    </row>
    <row r="3" spans="2:16" s="1" customFormat="1" ht="14.25" x14ac:dyDescent="0.25">
      <c r="B3" s="3" t="s">
        <v>576</v>
      </c>
    </row>
    <row r="4" spans="2:16" s="1" customFormat="1" ht="4.5" customHeight="1" x14ac:dyDescent="0.25"/>
    <row r="5" spans="2:16" s="4" customFormat="1" ht="21" customHeight="1" x14ac:dyDescent="0.25">
      <c r="B5" s="6" t="s">
        <v>85</v>
      </c>
      <c r="C5" s="6" t="s">
        <v>86</v>
      </c>
      <c r="D5" s="6" t="s">
        <v>87</v>
      </c>
      <c r="E5" s="6" t="s">
        <v>88</v>
      </c>
      <c r="F5" s="5" t="s">
        <v>89</v>
      </c>
      <c r="G5" s="6" t="s">
        <v>90</v>
      </c>
      <c r="H5" s="6" t="s">
        <v>91</v>
      </c>
      <c r="I5" s="6" t="s">
        <v>92</v>
      </c>
      <c r="J5" s="6" t="s">
        <v>93</v>
      </c>
      <c r="K5" s="6" t="s">
        <v>94</v>
      </c>
    </row>
    <row r="6" spans="2:16" s="7" customFormat="1" ht="22.5" customHeight="1" x14ac:dyDescent="0.25">
      <c r="B6" s="38" t="str">
        <f>"Registros: "&amp;FIXED(kpiRegSal,0)</f>
        <v>Registros: 383</v>
      </c>
      <c r="C6" s="126" t="str">
        <f>IF(kpiRechSal=0,"✔ Sin rechazos","✖ Rechazados: "&amp;kpiRechSal)</f>
        <v>✔ Sin rechazos</v>
      </c>
      <c r="D6" s="126"/>
      <c r="E6" s="38" t="str">
        <f ca="1">"Pendientes en captura: "&amp;kpiPendSal</f>
        <v>Pendientes en captura: 2</v>
      </c>
      <c r="F6" s="127" t="s">
        <v>574</v>
      </c>
      <c r="G6" s="127"/>
      <c r="H6" s="127"/>
      <c r="I6" s="127"/>
      <c r="J6" s="93" t="s">
        <v>1358</v>
      </c>
      <c r="K6" s="93"/>
    </row>
    <row r="7" spans="2:16" s="7" customFormat="1" ht="16.5" customHeight="1" x14ac:dyDescent="0.25">
      <c r="B7" s="7" t="s">
        <v>325</v>
      </c>
    </row>
    <row r="8" spans="2:16" ht="25.5" customHeight="1" x14ac:dyDescent="0.25">
      <c r="B8" s="17" t="s">
        <v>326</v>
      </c>
      <c r="C8" s="17" t="s">
        <v>43</v>
      </c>
      <c r="D8" s="18" t="s">
        <v>327</v>
      </c>
      <c r="E8" s="18" t="s">
        <v>161</v>
      </c>
      <c r="F8" s="18" t="s">
        <v>328</v>
      </c>
      <c r="G8" s="18" t="s">
        <v>329</v>
      </c>
      <c r="H8" s="18" t="s">
        <v>330</v>
      </c>
      <c r="I8" s="17" t="s">
        <v>331</v>
      </c>
      <c r="J8" s="17" t="s">
        <v>102</v>
      </c>
      <c r="K8" s="17" t="s">
        <v>332</v>
      </c>
      <c r="L8" s="17" t="s">
        <v>163</v>
      </c>
      <c r="M8" s="17" t="s">
        <v>333</v>
      </c>
      <c r="N8" s="17" t="s">
        <v>95</v>
      </c>
      <c r="O8" s="17" t="s">
        <v>160</v>
      </c>
      <c r="P8" s="17" t="s">
        <v>334</v>
      </c>
    </row>
    <row r="9" spans="2:16" ht="18" customHeight="1" x14ac:dyDescent="0.25">
      <c r="B9" s="49" t="str">
        <f>IFERROR(INDEX(tblUsuarios[Nombre],MATCH(ROW()-ROW(tblCapturaSalidas[#Headers]),tblUsuarios[OrdenVentas],0)),"")</f>
        <v>Administrador M-INV</v>
      </c>
      <c r="C9" s="49" t="str">
        <f>IF(tblCapturaSalidas[[#This Row],[Correo]]="","","SALIDA")</f>
        <v>SALIDA</v>
      </c>
      <c r="D9" s="51"/>
      <c r="E9" s="50"/>
      <c r="F9" s="52"/>
      <c r="G9" s="50"/>
      <c r="H9" s="50"/>
      <c r="I9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9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9" s="54"/>
      <c r="L9" s="42" t="str">
        <f>IF(tblCapturaSalidas[[#This Row],[SKU]]="","",IFERROR(INDEX(tblProductos[Unidad],MATCH(tblCapturaSalidas[[#This Row],[SKU]],tblProductos[SKU],0)),"?"))</f>
        <v/>
      </c>
      <c r="M9" s="55">
        <f>IF(tblCapturaSalidas[[#This Row],[Correo]]="","",-1)</f>
        <v>-1</v>
      </c>
      <c r="N9" s="49" t="str">
        <f>IFERROR(INDEX(tblUsuarios[Correo],MATCH(ROW()-ROW(tblCapturaSalidas[#Headers]),tblUsuarios[OrdenVentas],0)),"")</f>
        <v>admin@distribuidorademo.example</v>
      </c>
      <c r="O9" s="42" t="str">
        <f>IF(tblCapturaSalidas[[#This Row],[Producto]]="","",TRIM(LEFT(tblCapturaSalidas[[#This Row],[Producto]],FIND(" · ",tblCapturaSalidas[[#This Row],[Producto]]&amp;" · ")-1)))</f>
        <v/>
      </c>
      <c r="P9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0" spans="2:16" ht="18" customHeight="1" x14ac:dyDescent="0.25">
      <c r="B10" s="49" t="str">
        <f>IFERROR(INDEX(tblUsuarios[Nombre],MATCH(ROW()-ROW(tblCapturaSalidas[#Headers]),tblUsuarios[OrdenVentas],0)),"")</f>
        <v>Carlos Ruiz</v>
      </c>
      <c r="C10" s="49" t="str">
        <f>IF(tblCapturaSalidas[[#This Row],[Correo]]="","","SALIDA")</f>
        <v>SALIDA</v>
      </c>
      <c r="D10" s="51"/>
      <c r="E10" s="50" t="s">
        <v>335</v>
      </c>
      <c r="F10" s="52">
        <v>3</v>
      </c>
      <c r="G10" s="50" t="s">
        <v>577</v>
      </c>
      <c r="H10" s="50"/>
      <c r="I10" s="53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>0</v>
      </c>
      <c r="J10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>✖ Stock insuficiente: disponible 0 ROLLO</v>
      </c>
      <c r="K10" s="54"/>
      <c r="L10" s="42" t="str">
        <f>IF(tblCapturaSalidas[[#This Row],[SKU]]="","",IFERROR(INDEX(tblProductos[Unidad],MATCH(tblCapturaSalidas[[#This Row],[SKU]],tblProductos[SKU],0)),"?"))</f>
        <v>ROLLO</v>
      </c>
      <c r="M10" s="55">
        <f>IF(tblCapturaSalidas[[#This Row],[Correo]]="","",-1)</f>
        <v>-1</v>
      </c>
      <c r="N10" s="49" t="str">
        <f>IFERROR(INDEX(tblUsuarios[Correo],MATCH(ROW()-ROW(tblCapturaSalidas[#Headers]),tblUsuarios[OrdenVentas],0)),"")</f>
        <v>carlos.ruiz@distribuidorademo.example</v>
      </c>
      <c r="O10" s="42" t="str">
        <f>IF(tblCapturaSalidas[[#This Row],[Producto]]="","",TRIM(LEFT(tblCapturaSalidas[[#This Row],[Producto]],FIND(" · ",tblCapturaSalidas[[#This Row],[Producto]]&amp;" · ")-1)))</f>
        <v>ELE-001</v>
      </c>
      <c r="P10" s="56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>-3</v>
      </c>
    </row>
    <row r="11" spans="2:16" ht="18" customHeight="1" x14ac:dyDescent="0.25">
      <c r="B11" s="49" t="str">
        <f>IFERROR(INDEX(tblUsuarios[Nombre],MATCH(ROW()-ROW(tblCapturaSalidas[#Headers]),tblUsuarios[OrdenVentas],0)),"")</f>
        <v>Sofía López</v>
      </c>
      <c r="C11" s="49" t="str">
        <f>IF(tblCapturaSalidas[[#This Row],[Correo]]="","","SALIDA")</f>
        <v>SALIDA</v>
      </c>
      <c r="D11" s="51"/>
      <c r="E11" s="50" t="s">
        <v>351</v>
      </c>
      <c r="F11" s="52">
        <v>2</v>
      </c>
      <c r="G11" s="50" t="s">
        <v>578</v>
      </c>
      <c r="H11" s="50"/>
      <c r="I11" s="53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>34</v>
      </c>
      <c r="J11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>✔ Lista · quedarán 32 PAQ · pulse Registrar</v>
      </c>
      <c r="K11" s="54"/>
      <c r="L11" s="42" t="str">
        <f>IF(tblCapturaSalidas[[#This Row],[SKU]]="","",IFERROR(INDEX(tblProductos[Unidad],MATCH(tblCapturaSalidas[[#This Row],[SKU]],tblProductos[SKU],0)),"?"))</f>
        <v>PAQ</v>
      </c>
      <c r="M11" s="55">
        <f>IF(tblCapturaSalidas[[#This Row],[Correo]]="","",-1)</f>
        <v>-1</v>
      </c>
      <c r="N11" s="49" t="str">
        <f>IFERROR(INDEX(tblUsuarios[Correo],MATCH(ROW()-ROW(tblCapturaSalidas[#Headers]),tblUsuarios[OrdenVentas],0)),"")</f>
        <v>sofia.lopez@distribuidorademo.example</v>
      </c>
      <c r="O11" s="42" t="str">
        <f>IF(tblCapturaSalidas[[#This Row],[Producto]]="","",TRIM(LEFT(tblCapturaSalidas[[#This Row],[Producto]],FIND(" · ",tblCapturaSalidas[[#This Row],[Producto]]&amp;" · ")-1)))</f>
        <v>FER-002</v>
      </c>
      <c r="P11" s="56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>32</v>
      </c>
    </row>
    <row r="12" spans="2:16" ht="18" customHeight="1" x14ac:dyDescent="0.25">
      <c r="B12" s="49" t="str">
        <f>IFERROR(INDEX(tblUsuarios[Nombre],MATCH(ROW()-ROW(tblCapturaSalidas[#Headers]),tblUsuarios[OrdenVentas],0)),"")</f>
        <v/>
      </c>
      <c r="C12" s="49" t="str">
        <f>IF(tblCapturaSalidas[[#This Row],[Correo]]="","","SALIDA")</f>
        <v/>
      </c>
      <c r="D12" s="51"/>
      <c r="E12" s="50"/>
      <c r="F12" s="52"/>
      <c r="G12" s="50"/>
      <c r="H12" s="50"/>
      <c r="I12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2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2" s="54"/>
      <c r="L12" s="42" t="str">
        <f>IF(tblCapturaSalidas[[#This Row],[SKU]]="","",IFERROR(INDEX(tblProductos[Unidad],MATCH(tblCapturaSalidas[[#This Row],[SKU]],tblProductos[SKU],0)),"?"))</f>
        <v/>
      </c>
      <c r="M12" s="55" t="str">
        <f>IF(tblCapturaSalidas[[#This Row],[Correo]]="","",-1)</f>
        <v/>
      </c>
      <c r="N12" s="49" t="str">
        <f>IFERROR(INDEX(tblUsuarios[Correo],MATCH(ROW()-ROW(tblCapturaSalidas[#Headers]),tblUsuarios[OrdenVentas],0)),"")</f>
        <v/>
      </c>
      <c r="O12" s="42" t="str">
        <f>IF(tblCapturaSalidas[[#This Row],[Producto]]="","",TRIM(LEFT(tblCapturaSalidas[[#This Row],[Producto]],FIND(" · ",tblCapturaSalidas[[#This Row],[Producto]]&amp;" · ")-1)))</f>
        <v/>
      </c>
      <c r="P12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3" spans="2:16" ht="18" customHeight="1" x14ac:dyDescent="0.25">
      <c r="B13" s="49" t="str">
        <f>IFERROR(INDEX(tblUsuarios[Nombre],MATCH(ROW()-ROW(tblCapturaSalidas[#Headers]),tblUsuarios[OrdenVentas],0)),"")</f>
        <v/>
      </c>
      <c r="C13" s="49" t="str">
        <f>IF(tblCapturaSalidas[[#This Row],[Correo]]="","","SALIDA")</f>
        <v/>
      </c>
      <c r="D13" s="51"/>
      <c r="E13" s="50"/>
      <c r="F13" s="52"/>
      <c r="G13" s="50"/>
      <c r="H13" s="50"/>
      <c r="I13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3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3" s="54"/>
      <c r="L13" s="42" t="str">
        <f>IF(tblCapturaSalidas[[#This Row],[SKU]]="","",IFERROR(INDEX(tblProductos[Unidad],MATCH(tblCapturaSalidas[[#This Row],[SKU]],tblProductos[SKU],0)),"?"))</f>
        <v/>
      </c>
      <c r="M13" s="55" t="str">
        <f>IF(tblCapturaSalidas[[#This Row],[Correo]]="","",-1)</f>
        <v/>
      </c>
      <c r="N13" s="49" t="str">
        <f>IFERROR(INDEX(tblUsuarios[Correo],MATCH(ROW()-ROW(tblCapturaSalidas[#Headers]),tblUsuarios[OrdenVentas],0)),"")</f>
        <v/>
      </c>
      <c r="O13" s="42" t="str">
        <f>IF(tblCapturaSalidas[[#This Row],[Producto]]="","",TRIM(LEFT(tblCapturaSalidas[[#This Row],[Producto]],FIND(" · ",tblCapturaSalidas[[#This Row],[Producto]]&amp;" · ")-1)))</f>
        <v/>
      </c>
      <c r="P13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4" spans="2:16" ht="18" customHeight="1" x14ac:dyDescent="0.25">
      <c r="B14" s="49" t="str">
        <f>IFERROR(INDEX(tblUsuarios[Nombre],MATCH(ROW()-ROW(tblCapturaSalidas[#Headers]),tblUsuarios[OrdenVentas],0)),"")</f>
        <v/>
      </c>
      <c r="C14" s="49" t="str">
        <f>IF(tblCapturaSalidas[[#This Row],[Correo]]="","","SALIDA")</f>
        <v/>
      </c>
      <c r="D14" s="51"/>
      <c r="E14" s="50"/>
      <c r="F14" s="52"/>
      <c r="G14" s="50"/>
      <c r="H14" s="50"/>
      <c r="I14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4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4" s="54"/>
      <c r="L14" s="42" t="str">
        <f>IF(tblCapturaSalidas[[#This Row],[SKU]]="","",IFERROR(INDEX(tblProductos[Unidad],MATCH(tblCapturaSalidas[[#This Row],[SKU]],tblProductos[SKU],0)),"?"))</f>
        <v/>
      </c>
      <c r="M14" s="55" t="str">
        <f>IF(tblCapturaSalidas[[#This Row],[Correo]]="","",-1)</f>
        <v/>
      </c>
      <c r="N14" s="49" t="str">
        <f>IFERROR(INDEX(tblUsuarios[Correo],MATCH(ROW()-ROW(tblCapturaSalidas[#Headers]),tblUsuarios[OrdenVentas],0)),"")</f>
        <v/>
      </c>
      <c r="O14" s="42" t="str">
        <f>IF(tblCapturaSalidas[[#This Row],[Producto]]="","",TRIM(LEFT(tblCapturaSalidas[[#This Row],[Producto]],FIND(" · ",tblCapturaSalidas[[#This Row],[Producto]]&amp;" · ")-1)))</f>
        <v/>
      </c>
      <c r="P14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5" spans="2:16" ht="18" customHeight="1" x14ac:dyDescent="0.25">
      <c r="B15" s="49" t="str">
        <f>IFERROR(INDEX(tblUsuarios[Nombre],MATCH(ROW()-ROW(tblCapturaSalidas[#Headers]),tblUsuarios[OrdenVentas],0)),"")</f>
        <v/>
      </c>
      <c r="C15" s="49" t="str">
        <f>IF(tblCapturaSalidas[[#This Row],[Correo]]="","","SALIDA")</f>
        <v/>
      </c>
      <c r="D15" s="51"/>
      <c r="E15" s="50"/>
      <c r="F15" s="52"/>
      <c r="G15" s="50"/>
      <c r="H15" s="50"/>
      <c r="I15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5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5" s="54"/>
      <c r="L15" s="42" t="str">
        <f>IF(tblCapturaSalidas[[#This Row],[SKU]]="","",IFERROR(INDEX(tblProductos[Unidad],MATCH(tblCapturaSalidas[[#This Row],[SKU]],tblProductos[SKU],0)),"?"))</f>
        <v/>
      </c>
      <c r="M15" s="55" t="str">
        <f>IF(tblCapturaSalidas[[#This Row],[Correo]]="","",-1)</f>
        <v/>
      </c>
      <c r="N15" s="49" t="str">
        <f>IFERROR(INDEX(tblUsuarios[Correo],MATCH(ROW()-ROW(tblCapturaSalidas[#Headers]),tblUsuarios[OrdenVentas],0)),"")</f>
        <v/>
      </c>
      <c r="O15" s="42" t="str">
        <f>IF(tblCapturaSalidas[[#This Row],[Producto]]="","",TRIM(LEFT(tblCapturaSalidas[[#This Row],[Producto]],FIND(" · ",tblCapturaSalidas[[#This Row],[Producto]]&amp;" · ")-1)))</f>
        <v/>
      </c>
      <c r="P15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6" spans="2:16" ht="18" customHeight="1" x14ac:dyDescent="0.25">
      <c r="B16" s="49" t="str">
        <f>IFERROR(INDEX(tblUsuarios[Nombre],MATCH(ROW()-ROW(tblCapturaSalidas[#Headers]),tblUsuarios[OrdenVentas],0)),"")</f>
        <v/>
      </c>
      <c r="C16" s="49" t="str">
        <f>IF(tblCapturaSalidas[[#This Row],[Correo]]="","","SALIDA")</f>
        <v/>
      </c>
      <c r="D16" s="51"/>
      <c r="E16" s="50"/>
      <c r="F16" s="52"/>
      <c r="G16" s="50"/>
      <c r="H16" s="50"/>
      <c r="I16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6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6" s="54"/>
      <c r="L16" s="42" t="str">
        <f>IF(tblCapturaSalidas[[#This Row],[SKU]]="","",IFERROR(INDEX(tblProductos[Unidad],MATCH(tblCapturaSalidas[[#This Row],[SKU]],tblProductos[SKU],0)),"?"))</f>
        <v/>
      </c>
      <c r="M16" s="55" t="str">
        <f>IF(tblCapturaSalidas[[#This Row],[Correo]]="","",-1)</f>
        <v/>
      </c>
      <c r="N16" s="49" t="str">
        <f>IFERROR(INDEX(tblUsuarios[Correo],MATCH(ROW()-ROW(tblCapturaSalidas[#Headers]),tblUsuarios[OrdenVentas],0)),"")</f>
        <v/>
      </c>
      <c r="O16" s="42" t="str">
        <f>IF(tblCapturaSalidas[[#This Row],[Producto]]="","",TRIM(LEFT(tblCapturaSalidas[[#This Row],[Producto]],FIND(" · ",tblCapturaSalidas[[#This Row],[Producto]]&amp;" · ")-1)))</f>
        <v/>
      </c>
      <c r="P16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7" spans="2:16" ht="18" customHeight="1" x14ac:dyDescent="0.25">
      <c r="B17" s="49" t="str">
        <f>IFERROR(INDEX(tblUsuarios[Nombre],MATCH(ROW()-ROW(tblCapturaSalidas[#Headers]),tblUsuarios[OrdenVentas],0)),"")</f>
        <v/>
      </c>
      <c r="C17" s="49" t="str">
        <f>IF(tblCapturaSalidas[[#This Row],[Correo]]="","","SALIDA")</f>
        <v/>
      </c>
      <c r="D17" s="51"/>
      <c r="E17" s="50"/>
      <c r="F17" s="52"/>
      <c r="G17" s="50"/>
      <c r="H17" s="50"/>
      <c r="I17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7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7" s="54"/>
      <c r="L17" s="42" t="str">
        <f>IF(tblCapturaSalidas[[#This Row],[SKU]]="","",IFERROR(INDEX(tblProductos[Unidad],MATCH(tblCapturaSalidas[[#This Row],[SKU]],tblProductos[SKU],0)),"?"))</f>
        <v/>
      </c>
      <c r="M17" s="55" t="str">
        <f>IF(tblCapturaSalidas[[#This Row],[Correo]]="","",-1)</f>
        <v/>
      </c>
      <c r="N17" s="49" t="str">
        <f>IFERROR(INDEX(tblUsuarios[Correo],MATCH(ROW()-ROW(tblCapturaSalidas[#Headers]),tblUsuarios[OrdenVentas],0)),"")</f>
        <v/>
      </c>
      <c r="O17" s="42" t="str">
        <f>IF(tblCapturaSalidas[[#This Row],[Producto]]="","",TRIM(LEFT(tblCapturaSalidas[[#This Row],[Producto]],FIND(" · ",tblCapturaSalidas[[#This Row],[Producto]]&amp;" · ")-1)))</f>
        <v/>
      </c>
      <c r="P17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8" spans="2:16" ht="18" customHeight="1" x14ac:dyDescent="0.25">
      <c r="B18" s="49" t="str">
        <f>IFERROR(INDEX(tblUsuarios[Nombre],MATCH(ROW()-ROW(tblCapturaSalidas[#Headers]),tblUsuarios[OrdenVentas],0)),"")</f>
        <v/>
      </c>
      <c r="C18" s="49" t="str">
        <f>IF(tblCapturaSalidas[[#This Row],[Correo]]="","","SALIDA")</f>
        <v/>
      </c>
      <c r="D18" s="51"/>
      <c r="E18" s="50"/>
      <c r="F18" s="52"/>
      <c r="G18" s="50"/>
      <c r="H18" s="50"/>
      <c r="I18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8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8" s="54"/>
      <c r="L18" s="42" t="str">
        <f>IF(tblCapturaSalidas[[#This Row],[SKU]]="","",IFERROR(INDEX(tblProductos[Unidad],MATCH(tblCapturaSalidas[[#This Row],[SKU]],tblProductos[SKU],0)),"?"))</f>
        <v/>
      </c>
      <c r="M18" s="55" t="str">
        <f>IF(tblCapturaSalidas[[#This Row],[Correo]]="","",-1)</f>
        <v/>
      </c>
      <c r="N18" s="49" t="str">
        <f>IFERROR(INDEX(tblUsuarios[Correo],MATCH(ROW()-ROW(tblCapturaSalidas[#Headers]),tblUsuarios[OrdenVentas],0)),"")</f>
        <v/>
      </c>
      <c r="O18" s="42" t="str">
        <f>IF(tblCapturaSalidas[[#This Row],[Producto]]="","",TRIM(LEFT(tblCapturaSalidas[[#This Row],[Producto]],FIND(" · ",tblCapturaSalidas[[#This Row],[Producto]]&amp;" · ")-1)))</f>
        <v/>
      </c>
      <c r="P18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9" spans="2:16" ht="18" customHeight="1" x14ac:dyDescent="0.25">
      <c r="B19" s="49" t="str">
        <f>IFERROR(INDEX(tblUsuarios[Nombre],MATCH(ROW()-ROW(tblCapturaSalidas[#Headers]),tblUsuarios[OrdenVentas],0)),"")</f>
        <v/>
      </c>
      <c r="C19" s="49" t="str">
        <f>IF(tblCapturaSalidas[[#This Row],[Correo]]="","","SALIDA")</f>
        <v/>
      </c>
      <c r="D19" s="51"/>
      <c r="E19" s="50"/>
      <c r="F19" s="52"/>
      <c r="G19" s="50"/>
      <c r="H19" s="50"/>
      <c r="I19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9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9" s="54"/>
      <c r="L19" s="42" t="str">
        <f>IF(tblCapturaSalidas[[#This Row],[SKU]]="","",IFERROR(INDEX(tblProductos[Unidad],MATCH(tblCapturaSalidas[[#This Row],[SKU]],tblProductos[SKU],0)),"?"))</f>
        <v/>
      </c>
      <c r="M19" s="55" t="str">
        <f>IF(tblCapturaSalidas[[#This Row],[Correo]]="","",-1)</f>
        <v/>
      </c>
      <c r="N19" s="49" t="str">
        <f>IFERROR(INDEX(tblUsuarios[Correo],MATCH(ROW()-ROW(tblCapturaSalidas[#Headers]),tblUsuarios[OrdenVentas],0)),"")</f>
        <v/>
      </c>
      <c r="O19" s="42" t="str">
        <f>IF(tblCapturaSalidas[[#This Row],[Producto]]="","",TRIM(LEFT(tblCapturaSalidas[[#This Row],[Producto]],FIND(" · ",tblCapturaSalidas[[#This Row],[Producto]]&amp;" · ")-1)))</f>
        <v/>
      </c>
      <c r="P19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20" spans="2:16" ht="18" customHeight="1" x14ac:dyDescent="0.25">
      <c r="B20" s="49" t="str">
        <f>IFERROR(INDEX(tblUsuarios[Nombre],MATCH(ROW()-ROW(tblCapturaSalidas[#Headers]),tblUsuarios[OrdenVentas],0)),"")</f>
        <v/>
      </c>
      <c r="C20" s="49" t="str">
        <f>IF(tblCapturaSalidas[[#This Row],[Correo]]="","","SALIDA")</f>
        <v/>
      </c>
      <c r="D20" s="51"/>
      <c r="E20" s="50"/>
      <c r="F20" s="52"/>
      <c r="G20" s="50"/>
      <c r="H20" s="50"/>
      <c r="I20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20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20" s="54"/>
      <c r="L20" s="42" t="str">
        <f>IF(tblCapturaSalidas[[#This Row],[SKU]]="","",IFERROR(INDEX(tblProductos[Unidad],MATCH(tblCapturaSalidas[[#This Row],[SKU]],tblProductos[SKU],0)),"?"))</f>
        <v/>
      </c>
      <c r="M20" s="55" t="str">
        <f>IF(tblCapturaSalidas[[#This Row],[Correo]]="","",-1)</f>
        <v/>
      </c>
      <c r="N20" s="49" t="str">
        <f>IFERROR(INDEX(tblUsuarios[Correo],MATCH(ROW()-ROW(tblCapturaSalidas[#Headers]),tblUsuarios[OrdenVentas],0)),"")</f>
        <v/>
      </c>
      <c r="O20" s="42" t="str">
        <f>IF(tblCapturaSalidas[[#This Row],[Producto]]="","",TRIM(LEFT(tblCapturaSalidas[[#This Row],[Producto]],FIND(" · ",tblCapturaSalidas[[#This Row],[Producto]]&amp;" · ")-1)))</f>
        <v/>
      </c>
      <c r="P20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21" spans="2:16" ht="18" customHeight="1" x14ac:dyDescent="0.25">
      <c r="B21" s="49" t="str">
        <f>IFERROR(INDEX(tblUsuarios[Nombre],MATCH(ROW()-ROW(tblCapturaSalidas[#Headers]),tblUsuarios[OrdenVentas],0)),"")</f>
        <v/>
      </c>
      <c r="C21" s="49" t="str">
        <f>IF(tblCapturaSalidas[[#This Row],[Correo]]="","","SALIDA")</f>
        <v/>
      </c>
      <c r="D21" s="51"/>
      <c r="E21" s="50"/>
      <c r="F21" s="52"/>
      <c r="G21" s="50"/>
      <c r="H21" s="50"/>
      <c r="I21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21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21" s="54"/>
      <c r="L21" s="42" t="str">
        <f>IF(tblCapturaSalidas[[#This Row],[SKU]]="","",IFERROR(INDEX(tblProductos[Unidad],MATCH(tblCapturaSalidas[[#This Row],[SKU]],tblProductos[SKU],0)),"?"))</f>
        <v/>
      </c>
      <c r="M21" s="55" t="str">
        <f>IF(tblCapturaSalidas[[#This Row],[Correo]]="","",-1)</f>
        <v/>
      </c>
      <c r="N21" s="49" t="str">
        <f>IFERROR(INDEX(tblUsuarios[Correo],MATCH(ROW()-ROW(tblCapturaSalidas[#Headers]),tblUsuarios[OrdenVentas],0)),"")</f>
        <v/>
      </c>
      <c r="O21" s="42" t="str">
        <f>IF(tblCapturaSalidas[[#This Row],[Producto]]="","",TRIM(LEFT(tblCapturaSalidas[[#This Row],[Producto]],FIND(" · ",tblCapturaSalidas[[#This Row],[Producto]]&amp;" · ")-1)))</f>
        <v/>
      </c>
      <c r="P21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22" spans="2:16" ht="18" customHeight="1" x14ac:dyDescent="0.25">
      <c r="B22" s="49" t="str">
        <f>IFERROR(INDEX(tblUsuarios[Nombre],MATCH(ROW()-ROW(tblCapturaSalidas[#Headers]),tblUsuarios[OrdenVentas],0)),"")</f>
        <v/>
      </c>
      <c r="C22" s="49" t="str">
        <f>IF(tblCapturaSalidas[[#This Row],[Correo]]="","","SALIDA")</f>
        <v/>
      </c>
      <c r="D22" s="51"/>
      <c r="E22" s="50"/>
      <c r="F22" s="52"/>
      <c r="G22" s="50"/>
      <c r="H22" s="50"/>
      <c r="I22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22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22" s="54"/>
      <c r="L22" s="42" t="str">
        <f>IF(tblCapturaSalidas[[#This Row],[SKU]]="","",IFERROR(INDEX(tblProductos[Unidad],MATCH(tblCapturaSalidas[[#This Row],[SKU]],tblProductos[SKU],0)),"?"))</f>
        <v/>
      </c>
      <c r="M22" s="55" t="str">
        <f>IF(tblCapturaSalidas[[#This Row],[Correo]]="","",-1)</f>
        <v/>
      </c>
      <c r="N22" s="49" t="str">
        <f>IFERROR(INDEX(tblUsuarios[Correo],MATCH(ROW()-ROW(tblCapturaSalidas[#Headers]),tblUsuarios[OrdenVentas],0)),"")</f>
        <v/>
      </c>
      <c r="O22" s="42" t="str">
        <f>IF(tblCapturaSalidas[[#This Row],[Producto]]="","",TRIM(LEFT(tblCapturaSalidas[[#This Row],[Producto]],FIND(" · ",tblCapturaSalidas[[#This Row],[Producto]]&amp;" · ")-1)))</f>
        <v/>
      </c>
      <c r="P22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23" spans="2:16" ht="18" customHeight="1" x14ac:dyDescent="0.25">
      <c r="B23" s="49" t="str">
        <f>IFERROR(INDEX(tblUsuarios[Nombre],MATCH(ROW()-ROW(tblCapturaSalidas[#Headers]),tblUsuarios[OrdenVentas],0)),"")</f>
        <v/>
      </c>
      <c r="C23" s="49" t="str">
        <f>IF(tblCapturaSalidas[[#This Row],[Correo]]="","","SALIDA")</f>
        <v/>
      </c>
      <c r="D23" s="51"/>
      <c r="E23" s="50"/>
      <c r="F23" s="52"/>
      <c r="G23" s="50"/>
      <c r="H23" s="50"/>
      <c r="I23" s="53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23" s="43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23" s="54"/>
      <c r="L23" s="42" t="str">
        <f>IF(tblCapturaSalidas[[#This Row],[SKU]]="","",IFERROR(INDEX(tblProductos[Unidad],MATCH(tblCapturaSalidas[[#This Row],[SKU]],tblProductos[SKU],0)),"?"))</f>
        <v/>
      </c>
      <c r="M23" s="55" t="str">
        <f>IF(tblCapturaSalidas[[#This Row],[Correo]]="","",-1)</f>
        <v/>
      </c>
      <c r="N23" s="49" t="str">
        <f>IFERROR(INDEX(tblUsuarios[Correo],MATCH(ROW()-ROW(tblCapturaSalidas[#Headers]),tblUsuarios[OrdenVentas],0)),"")</f>
        <v/>
      </c>
      <c r="O23" s="42" t="str">
        <f>IF(tblCapturaSalidas[[#This Row],[Producto]]="","",TRIM(LEFT(tblCapturaSalidas[[#This Row],[Producto]],FIND(" · ",tblCapturaSalidas[[#This Row],[Producto]]&amp;" · ")-1)))</f>
        <v/>
      </c>
      <c r="P23" s="56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24" spans="2:16" s="7" customFormat="1" ht="9" customHeight="1" x14ac:dyDescent="0.25"/>
    <row r="25" spans="2:16" s="7" customFormat="1" ht="16.5" customHeight="1" x14ac:dyDescent="0.25">
      <c r="B25" s="7" t="s">
        <v>338</v>
      </c>
    </row>
    <row r="26" spans="2:16" s="7" customFormat="1" ht="14.25" x14ac:dyDescent="0.25">
      <c r="B26" s="39" t="s">
        <v>339</v>
      </c>
    </row>
    <row r="27" spans="2:16" ht="24" customHeight="1" x14ac:dyDescent="0.25">
      <c r="B27" s="17" t="s">
        <v>340</v>
      </c>
      <c r="C27" s="17" t="s">
        <v>43</v>
      </c>
      <c r="D27" s="17" t="s">
        <v>327</v>
      </c>
      <c r="E27" s="17" t="s">
        <v>161</v>
      </c>
      <c r="F27" s="17" t="s">
        <v>328</v>
      </c>
      <c r="G27" s="17" t="s">
        <v>329</v>
      </c>
      <c r="H27" s="17" t="s">
        <v>330</v>
      </c>
      <c r="I27" s="17" t="s">
        <v>341</v>
      </c>
      <c r="J27" s="17" t="s">
        <v>59</v>
      </c>
      <c r="K27" s="17" t="s">
        <v>342</v>
      </c>
      <c r="L27" s="17" t="s">
        <v>163</v>
      </c>
      <c r="M27" s="17" t="s">
        <v>44</v>
      </c>
      <c r="N27" s="17" t="s">
        <v>343</v>
      </c>
      <c r="O27" s="17" t="s">
        <v>160</v>
      </c>
      <c r="P27" s="17" t="s">
        <v>344</v>
      </c>
    </row>
    <row r="28" spans="2:16" x14ac:dyDescent="0.25">
      <c r="B28" s="57" t="s">
        <v>579</v>
      </c>
      <c r="C28" s="49" t="s">
        <v>55</v>
      </c>
      <c r="D28" s="58">
        <v>46114</v>
      </c>
      <c r="E28" s="49" t="s">
        <v>364</v>
      </c>
      <c r="F28" s="56">
        <v>20</v>
      </c>
      <c r="G28" s="42" t="s">
        <v>580</v>
      </c>
      <c r="H28" s="49"/>
      <c r="I28" s="59">
        <v>-20</v>
      </c>
      <c r="J28" s="43" t="s">
        <v>349</v>
      </c>
      <c r="K28" s="49" t="s">
        <v>112</v>
      </c>
      <c r="L28" s="42" t="s">
        <v>181</v>
      </c>
      <c r="M28" s="55">
        <v>-1</v>
      </c>
      <c r="N28" s="49" t="s">
        <v>111</v>
      </c>
      <c r="O28" s="42" t="s">
        <v>201</v>
      </c>
      <c r="P28" s="60">
        <v>46114.359398148154</v>
      </c>
    </row>
    <row r="29" spans="2:16" x14ac:dyDescent="0.25">
      <c r="B29" s="57" t="s">
        <v>581</v>
      </c>
      <c r="C29" s="49" t="s">
        <v>55</v>
      </c>
      <c r="D29" s="58">
        <v>46114</v>
      </c>
      <c r="E29" s="49" t="s">
        <v>374</v>
      </c>
      <c r="F29" s="56">
        <v>42</v>
      </c>
      <c r="G29" s="42" t="s">
        <v>582</v>
      </c>
      <c r="H29" s="49"/>
      <c r="I29" s="59">
        <v>-42</v>
      </c>
      <c r="J29" s="43" t="s">
        <v>349</v>
      </c>
      <c r="K29" s="49" t="s">
        <v>110</v>
      </c>
      <c r="L29" s="42" t="s">
        <v>218</v>
      </c>
      <c r="M29" s="55">
        <v>-1</v>
      </c>
      <c r="N29" s="49" t="s">
        <v>109</v>
      </c>
      <c r="O29" s="42" t="s">
        <v>216</v>
      </c>
      <c r="P29" s="60">
        <v>46114.457719907397</v>
      </c>
    </row>
    <row r="30" spans="2:16" x14ac:dyDescent="0.25">
      <c r="B30" s="57" t="s">
        <v>583</v>
      </c>
      <c r="C30" s="49" t="s">
        <v>55</v>
      </c>
      <c r="D30" s="58">
        <v>46114</v>
      </c>
      <c r="E30" s="49" t="s">
        <v>408</v>
      </c>
      <c r="F30" s="56">
        <v>5.5</v>
      </c>
      <c r="G30" s="42" t="s">
        <v>584</v>
      </c>
      <c r="H30" s="49" t="s">
        <v>585</v>
      </c>
      <c r="I30" s="59">
        <v>-5.5</v>
      </c>
      <c r="J30" s="43" t="s">
        <v>349</v>
      </c>
      <c r="K30" s="49" t="s">
        <v>110</v>
      </c>
      <c r="L30" s="42" t="s">
        <v>276</v>
      </c>
      <c r="M30" s="55">
        <v>-1</v>
      </c>
      <c r="N30" s="49" t="s">
        <v>109</v>
      </c>
      <c r="O30" s="42" t="s">
        <v>274</v>
      </c>
      <c r="P30" s="60">
        <v>46114.559189814812</v>
      </c>
    </row>
    <row r="31" spans="2:16" x14ac:dyDescent="0.25">
      <c r="B31" s="57" t="s">
        <v>586</v>
      </c>
      <c r="C31" s="49" t="s">
        <v>55</v>
      </c>
      <c r="D31" s="58">
        <v>46115</v>
      </c>
      <c r="E31" s="49" t="s">
        <v>374</v>
      </c>
      <c r="F31" s="56">
        <v>56</v>
      </c>
      <c r="G31" s="42" t="s">
        <v>587</v>
      </c>
      <c r="H31" s="49" t="s">
        <v>588</v>
      </c>
      <c r="I31" s="59">
        <v>-56</v>
      </c>
      <c r="J31" s="43" t="s">
        <v>349</v>
      </c>
      <c r="K31" s="49" t="s">
        <v>112</v>
      </c>
      <c r="L31" s="42" t="s">
        <v>218</v>
      </c>
      <c r="M31" s="55">
        <v>-1</v>
      </c>
      <c r="N31" s="49" t="s">
        <v>111</v>
      </c>
      <c r="O31" s="42" t="s">
        <v>216</v>
      </c>
      <c r="P31" s="60">
        <v>46115.508321759262</v>
      </c>
    </row>
    <row r="32" spans="2:16" x14ac:dyDescent="0.25">
      <c r="B32" s="57" t="s">
        <v>589</v>
      </c>
      <c r="C32" s="49" t="s">
        <v>55</v>
      </c>
      <c r="D32" s="58">
        <v>46115</v>
      </c>
      <c r="E32" s="49" t="s">
        <v>378</v>
      </c>
      <c r="F32" s="56">
        <v>50</v>
      </c>
      <c r="G32" s="42" t="s">
        <v>590</v>
      </c>
      <c r="H32" s="49" t="s">
        <v>585</v>
      </c>
      <c r="I32" s="59">
        <v>-50</v>
      </c>
      <c r="J32" s="43" t="s">
        <v>349</v>
      </c>
      <c r="K32" s="49" t="s">
        <v>112</v>
      </c>
      <c r="L32" s="42" t="s">
        <v>181</v>
      </c>
      <c r="M32" s="55">
        <v>-1</v>
      </c>
      <c r="N32" s="49" t="s">
        <v>111</v>
      </c>
      <c r="O32" s="42" t="s">
        <v>224</v>
      </c>
      <c r="P32" s="60">
        <v>46115.673425925917</v>
      </c>
    </row>
    <row r="33" spans="2:16" x14ac:dyDescent="0.25">
      <c r="B33" s="57" t="s">
        <v>591</v>
      </c>
      <c r="C33" s="49" t="s">
        <v>55</v>
      </c>
      <c r="D33" s="58">
        <v>46115</v>
      </c>
      <c r="E33" s="49" t="s">
        <v>396</v>
      </c>
      <c r="F33" s="56">
        <v>23</v>
      </c>
      <c r="G33" s="42" t="s">
        <v>592</v>
      </c>
      <c r="H33" s="49" t="s">
        <v>593</v>
      </c>
      <c r="I33" s="59">
        <v>-23</v>
      </c>
      <c r="J33" s="43" t="s">
        <v>349</v>
      </c>
      <c r="K33" s="49" t="s">
        <v>110</v>
      </c>
      <c r="L33" s="42" t="s">
        <v>256</v>
      </c>
      <c r="M33" s="55">
        <v>-1</v>
      </c>
      <c r="N33" s="49" t="s">
        <v>109</v>
      </c>
      <c r="O33" s="42" t="s">
        <v>253</v>
      </c>
      <c r="P33" s="60">
        <v>46115.710833333331</v>
      </c>
    </row>
    <row r="34" spans="2:16" x14ac:dyDescent="0.25">
      <c r="B34" s="57" t="s">
        <v>594</v>
      </c>
      <c r="C34" s="49" t="s">
        <v>55</v>
      </c>
      <c r="D34" s="58">
        <v>46116</v>
      </c>
      <c r="E34" s="49" t="s">
        <v>357</v>
      </c>
      <c r="F34" s="56">
        <v>13</v>
      </c>
      <c r="G34" s="42" t="s">
        <v>595</v>
      </c>
      <c r="H34" s="49"/>
      <c r="I34" s="59">
        <v>-13</v>
      </c>
      <c r="J34" s="43" t="s">
        <v>349</v>
      </c>
      <c r="K34" s="49" t="s">
        <v>110</v>
      </c>
      <c r="L34" s="42" t="s">
        <v>181</v>
      </c>
      <c r="M34" s="55">
        <v>-1</v>
      </c>
      <c r="N34" s="49" t="s">
        <v>109</v>
      </c>
      <c r="O34" s="42" t="s">
        <v>186</v>
      </c>
      <c r="P34" s="60">
        <v>46116.386990740742</v>
      </c>
    </row>
    <row r="35" spans="2:16" x14ac:dyDescent="0.25">
      <c r="B35" s="57" t="s">
        <v>596</v>
      </c>
      <c r="C35" s="49" t="s">
        <v>55</v>
      </c>
      <c r="D35" s="58">
        <v>46116</v>
      </c>
      <c r="E35" s="49" t="s">
        <v>384</v>
      </c>
      <c r="F35" s="56">
        <v>22</v>
      </c>
      <c r="G35" s="42" t="s">
        <v>597</v>
      </c>
      <c r="H35" s="49" t="s">
        <v>593</v>
      </c>
      <c r="I35" s="59">
        <v>-22</v>
      </c>
      <c r="J35" s="43" t="s">
        <v>349</v>
      </c>
      <c r="K35" s="49" t="s">
        <v>110</v>
      </c>
      <c r="L35" s="42" t="s">
        <v>181</v>
      </c>
      <c r="M35" s="55">
        <v>-1</v>
      </c>
      <c r="N35" s="49" t="s">
        <v>109</v>
      </c>
      <c r="O35" s="42" t="s">
        <v>233</v>
      </c>
      <c r="P35" s="60">
        <v>46116.519942129627</v>
      </c>
    </row>
    <row r="36" spans="2:16" x14ac:dyDescent="0.25">
      <c r="B36" s="57" t="s">
        <v>598</v>
      </c>
      <c r="C36" s="49" t="s">
        <v>55</v>
      </c>
      <c r="D36" s="58">
        <v>46116</v>
      </c>
      <c r="E36" s="49" t="s">
        <v>390</v>
      </c>
      <c r="F36" s="56">
        <v>9</v>
      </c>
      <c r="G36" s="42" t="s">
        <v>599</v>
      </c>
      <c r="H36" s="49" t="s">
        <v>585</v>
      </c>
      <c r="I36" s="59">
        <v>-9</v>
      </c>
      <c r="J36" s="43" t="s">
        <v>349</v>
      </c>
      <c r="K36" s="49" t="s">
        <v>110</v>
      </c>
      <c r="L36" s="42" t="s">
        <v>239</v>
      </c>
      <c r="M36" s="55">
        <v>-1</v>
      </c>
      <c r="N36" s="49" t="s">
        <v>109</v>
      </c>
      <c r="O36" s="42" t="s">
        <v>244</v>
      </c>
      <c r="P36" s="60">
        <v>46116.605127314811</v>
      </c>
    </row>
    <row r="37" spans="2:16" x14ac:dyDescent="0.25">
      <c r="B37" s="57" t="s">
        <v>600</v>
      </c>
      <c r="C37" s="49" t="s">
        <v>55</v>
      </c>
      <c r="D37" s="58">
        <v>46116</v>
      </c>
      <c r="E37" s="49" t="s">
        <v>384</v>
      </c>
      <c r="F37" s="56">
        <v>23</v>
      </c>
      <c r="G37" s="42" t="s">
        <v>601</v>
      </c>
      <c r="H37" s="49" t="s">
        <v>585</v>
      </c>
      <c r="I37" s="59">
        <v>-23</v>
      </c>
      <c r="J37" s="43" t="s">
        <v>349</v>
      </c>
      <c r="K37" s="49" t="s">
        <v>112</v>
      </c>
      <c r="L37" s="42" t="s">
        <v>181</v>
      </c>
      <c r="M37" s="55">
        <v>-1</v>
      </c>
      <c r="N37" s="49" t="s">
        <v>111</v>
      </c>
      <c r="O37" s="42" t="s">
        <v>233</v>
      </c>
      <c r="P37" s="60">
        <v>46116.626851851863</v>
      </c>
    </row>
    <row r="38" spans="2:16" x14ac:dyDescent="0.25">
      <c r="B38" s="57" t="s">
        <v>602</v>
      </c>
      <c r="C38" s="49" t="s">
        <v>55</v>
      </c>
      <c r="D38" s="58">
        <v>46118</v>
      </c>
      <c r="E38" s="49" t="s">
        <v>374</v>
      </c>
      <c r="F38" s="56">
        <v>91</v>
      </c>
      <c r="G38" s="42" t="s">
        <v>603</v>
      </c>
      <c r="H38" s="49" t="s">
        <v>604</v>
      </c>
      <c r="I38" s="59">
        <v>-91</v>
      </c>
      <c r="J38" s="43" t="s">
        <v>349</v>
      </c>
      <c r="K38" s="49" t="s">
        <v>110</v>
      </c>
      <c r="L38" s="42" t="s">
        <v>218</v>
      </c>
      <c r="M38" s="55">
        <v>-1</v>
      </c>
      <c r="N38" s="49" t="s">
        <v>109</v>
      </c>
      <c r="O38" s="42" t="s">
        <v>216</v>
      </c>
      <c r="P38" s="60">
        <v>46118.367326388892</v>
      </c>
    </row>
    <row r="39" spans="2:16" x14ac:dyDescent="0.25">
      <c r="B39" s="57" t="s">
        <v>605</v>
      </c>
      <c r="C39" s="49" t="s">
        <v>55</v>
      </c>
      <c r="D39" s="58">
        <v>46118</v>
      </c>
      <c r="E39" s="49" t="s">
        <v>351</v>
      </c>
      <c r="F39" s="56">
        <v>7</v>
      </c>
      <c r="G39" s="42" t="s">
        <v>606</v>
      </c>
      <c r="H39" s="49" t="s">
        <v>585</v>
      </c>
      <c r="I39" s="59">
        <v>-7</v>
      </c>
      <c r="J39" s="43" t="s">
        <v>349</v>
      </c>
      <c r="K39" s="49" t="s">
        <v>110</v>
      </c>
      <c r="L39" s="42" t="s">
        <v>177</v>
      </c>
      <c r="M39" s="55">
        <v>-1</v>
      </c>
      <c r="N39" s="49" t="s">
        <v>109</v>
      </c>
      <c r="O39" s="42" t="s">
        <v>175</v>
      </c>
      <c r="P39" s="60">
        <v>46118.380509259259</v>
      </c>
    </row>
    <row r="40" spans="2:16" x14ac:dyDescent="0.25">
      <c r="B40" s="57" t="s">
        <v>607</v>
      </c>
      <c r="C40" s="49" t="s">
        <v>55</v>
      </c>
      <c r="D40" s="58">
        <v>46118</v>
      </c>
      <c r="E40" s="49" t="s">
        <v>396</v>
      </c>
      <c r="F40" s="56">
        <v>31</v>
      </c>
      <c r="G40" s="42" t="s">
        <v>608</v>
      </c>
      <c r="H40" s="49" t="s">
        <v>609</v>
      </c>
      <c r="I40" s="59">
        <v>-31</v>
      </c>
      <c r="J40" s="43" t="s">
        <v>349</v>
      </c>
      <c r="K40" s="49" t="s">
        <v>110</v>
      </c>
      <c r="L40" s="42" t="s">
        <v>256</v>
      </c>
      <c r="M40" s="55">
        <v>-1</v>
      </c>
      <c r="N40" s="49" t="s">
        <v>109</v>
      </c>
      <c r="O40" s="42" t="s">
        <v>253</v>
      </c>
      <c r="P40" s="60">
        <v>46118.44699074074</v>
      </c>
    </row>
    <row r="41" spans="2:16" x14ac:dyDescent="0.25">
      <c r="B41" s="57" t="s">
        <v>610</v>
      </c>
      <c r="C41" s="49" t="s">
        <v>55</v>
      </c>
      <c r="D41" s="58">
        <v>46118</v>
      </c>
      <c r="E41" s="49" t="s">
        <v>374</v>
      </c>
      <c r="F41" s="56">
        <v>62</v>
      </c>
      <c r="G41" s="42" t="s">
        <v>611</v>
      </c>
      <c r="H41" s="49" t="s">
        <v>612</v>
      </c>
      <c r="I41" s="59">
        <v>-62</v>
      </c>
      <c r="J41" s="43" t="s">
        <v>349</v>
      </c>
      <c r="K41" s="49" t="s">
        <v>112</v>
      </c>
      <c r="L41" s="42" t="s">
        <v>218</v>
      </c>
      <c r="M41" s="55">
        <v>-1</v>
      </c>
      <c r="N41" s="49" t="s">
        <v>111</v>
      </c>
      <c r="O41" s="42" t="s">
        <v>216</v>
      </c>
      <c r="P41" s="60">
        <v>46118.519456018519</v>
      </c>
    </row>
    <row r="42" spans="2:16" x14ac:dyDescent="0.25">
      <c r="B42" s="57" t="s">
        <v>613</v>
      </c>
      <c r="C42" s="49" t="s">
        <v>55</v>
      </c>
      <c r="D42" s="58">
        <v>46119</v>
      </c>
      <c r="E42" s="49" t="s">
        <v>410</v>
      </c>
      <c r="F42" s="56">
        <v>21</v>
      </c>
      <c r="G42" s="42" t="s">
        <v>614</v>
      </c>
      <c r="H42" s="49" t="s">
        <v>615</v>
      </c>
      <c r="I42" s="59">
        <v>-21</v>
      </c>
      <c r="J42" s="43" t="s">
        <v>349</v>
      </c>
      <c r="K42" s="49" t="s">
        <v>112</v>
      </c>
      <c r="L42" s="42" t="s">
        <v>177</v>
      </c>
      <c r="M42" s="55">
        <v>-1</v>
      </c>
      <c r="N42" s="49" t="s">
        <v>111</v>
      </c>
      <c r="O42" s="42" t="s">
        <v>278</v>
      </c>
      <c r="P42" s="60">
        <v>46119.364259259259</v>
      </c>
    </row>
    <row r="43" spans="2:16" x14ac:dyDescent="0.25">
      <c r="B43" s="57" t="s">
        <v>616</v>
      </c>
      <c r="C43" s="49" t="s">
        <v>55</v>
      </c>
      <c r="D43" s="58">
        <v>46119</v>
      </c>
      <c r="E43" s="49" t="s">
        <v>370</v>
      </c>
      <c r="F43" s="56">
        <v>18</v>
      </c>
      <c r="G43" s="42" t="s">
        <v>617</v>
      </c>
      <c r="H43" s="49" t="s">
        <v>609</v>
      </c>
      <c r="I43" s="59">
        <v>-18</v>
      </c>
      <c r="J43" s="43" t="s">
        <v>349</v>
      </c>
      <c r="K43" s="49" t="s">
        <v>112</v>
      </c>
      <c r="L43" s="42" t="s">
        <v>181</v>
      </c>
      <c r="M43" s="55">
        <v>-1</v>
      </c>
      <c r="N43" s="49" t="s">
        <v>111</v>
      </c>
      <c r="O43" s="42" t="s">
        <v>210</v>
      </c>
      <c r="P43" s="60">
        <v>46119.372118055559</v>
      </c>
    </row>
    <row r="44" spans="2:16" x14ac:dyDescent="0.25">
      <c r="B44" s="57" t="s">
        <v>618</v>
      </c>
      <c r="C44" s="49" t="s">
        <v>55</v>
      </c>
      <c r="D44" s="58">
        <v>46119</v>
      </c>
      <c r="E44" s="49" t="s">
        <v>410</v>
      </c>
      <c r="F44" s="56">
        <v>10</v>
      </c>
      <c r="G44" s="42" t="s">
        <v>619</v>
      </c>
      <c r="H44" s="49"/>
      <c r="I44" s="59">
        <v>-10</v>
      </c>
      <c r="J44" s="43" t="s">
        <v>349</v>
      </c>
      <c r="K44" s="49" t="s">
        <v>112</v>
      </c>
      <c r="L44" s="42" t="s">
        <v>177</v>
      </c>
      <c r="M44" s="55">
        <v>-1</v>
      </c>
      <c r="N44" s="49" t="s">
        <v>111</v>
      </c>
      <c r="O44" s="42" t="s">
        <v>278</v>
      </c>
      <c r="P44" s="60">
        <v>46119.630150462966</v>
      </c>
    </row>
    <row r="45" spans="2:16" x14ac:dyDescent="0.25">
      <c r="B45" s="57" t="s">
        <v>620</v>
      </c>
      <c r="C45" s="49" t="s">
        <v>55</v>
      </c>
      <c r="D45" s="58">
        <v>46119</v>
      </c>
      <c r="E45" s="49" t="s">
        <v>394</v>
      </c>
      <c r="F45" s="56">
        <v>4</v>
      </c>
      <c r="G45" s="42" t="s">
        <v>621</v>
      </c>
      <c r="H45" s="49"/>
      <c r="I45" s="59">
        <v>-4</v>
      </c>
      <c r="J45" s="43" t="s">
        <v>349</v>
      </c>
      <c r="K45" s="49" t="s">
        <v>112</v>
      </c>
      <c r="L45" s="42" t="s">
        <v>181</v>
      </c>
      <c r="M45" s="55">
        <v>-1</v>
      </c>
      <c r="N45" s="49" t="s">
        <v>111</v>
      </c>
      <c r="O45" s="42" t="s">
        <v>250</v>
      </c>
      <c r="P45" s="60">
        <v>46119.684872685182</v>
      </c>
    </row>
    <row r="46" spans="2:16" x14ac:dyDescent="0.25">
      <c r="B46" s="57" t="s">
        <v>622</v>
      </c>
      <c r="C46" s="49" t="s">
        <v>55</v>
      </c>
      <c r="D46" s="58">
        <v>46119</v>
      </c>
      <c r="E46" s="49" t="s">
        <v>361</v>
      </c>
      <c r="F46" s="56">
        <v>1</v>
      </c>
      <c r="G46" s="42" t="s">
        <v>623</v>
      </c>
      <c r="H46" s="49" t="s">
        <v>624</v>
      </c>
      <c r="I46" s="59">
        <v>-1</v>
      </c>
      <c r="J46" s="43" t="s">
        <v>349</v>
      </c>
      <c r="K46" s="49" t="s">
        <v>110</v>
      </c>
      <c r="L46" s="42" t="s">
        <v>181</v>
      </c>
      <c r="M46" s="55">
        <v>-1</v>
      </c>
      <c r="N46" s="49" t="s">
        <v>109</v>
      </c>
      <c r="O46" s="42" t="s">
        <v>192</v>
      </c>
      <c r="P46" s="60">
        <v>46119.693865740737</v>
      </c>
    </row>
    <row r="47" spans="2:16" x14ac:dyDescent="0.25">
      <c r="B47" s="57" t="s">
        <v>625</v>
      </c>
      <c r="C47" s="49" t="s">
        <v>55</v>
      </c>
      <c r="D47" s="58">
        <v>46120</v>
      </c>
      <c r="E47" s="49" t="s">
        <v>357</v>
      </c>
      <c r="F47" s="56">
        <v>11</v>
      </c>
      <c r="G47" s="42" t="s">
        <v>626</v>
      </c>
      <c r="H47" s="49" t="s">
        <v>585</v>
      </c>
      <c r="I47" s="59">
        <v>-11</v>
      </c>
      <c r="J47" s="43" t="s">
        <v>349</v>
      </c>
      <c r="K47" s="49" t="s">
        <v>110</v>
      </c>
      <c r="L47" s="42" t="s">
        <v>181</v>
      </c>
      <c r="M47" s="55">
        <v>-1</v>
      </c>
      <c r="N47" s="49" t="s">
        <v>109</v>
      </c>
      <c r="O47" s="42" t="s">
        <v>186</v>
      </c>
      <c r="P47" s="60">
        <v>46120.486828703702</v>
      </c>
    </row>
    <row r="48" spans="2:16" x14ac:dyDescent="0.25">
      <c r="B48" s="57" t="s">
        <v>627</v>
      </c>
      <c r="C48" s="49" t="s">
        <v>55</v>
      </c>
      <c r="D48" s="58">
        <v>46121</v>
      </c>
      <c r="E48" s="49" t="s">
        <v>359</v>
      </c>
      <c r="F48" s="56">
        <v>5</v>
      </c>
      <c r="G48" s="42" t="s">
        <v>628</v>
      </c>
      <c r="H48" s="49" t="s">
        <v>585</v>
      </c>
      <c r="I48" s="59">
        <v>-5</v>
      </c>
      <c r="J48" s="43" t="s">
        <v>349</v>
      </c>
      <c r="K48" s="49" t="s">
        <v>110</v>
      </c>
      <c r="L48" s="42" t="s">
        <v>181</v>
      </c>
      <c r="M48" s="55">
        <v>-1</v>
      </c>
      <c r="N48" s="49" t="s">
        <v>109</v>
      </c>
      <c r="O48" s="42" t="s">
        <v>189</v>
      </c>
      <c r="P48" s="60">
        <v>46121.339270833327</v>
      </c>
    </row>
    <row r="49" spans="2:16" x14ac:dyDescent="0.25">
      <c r="B49" s="57" t="s">
        <v>629</v>
      </c>
      <c r="C49" s="49" t="s">
        <v>55</v>
      </c>
      <c r="D49" s="58">
        <v>46121</v>
      </c>
      <c r="E49" s="49" t="s">
        <v>384</v>
      </c>
      <c r="F49" s="56">
        <v>26</v>
      </c>
      <c r="G49" s="42" t="s">
        <v>630</v>
      </c>
      <c r="H49" s="49" t="s">
        <v>593</v>
      </c>
      <c r="I49" s="59">
        <v>-26</v>
      </c>
      <c r="J49" s="43" t="s">
        <v>349</v>
      </c>
      <c r="K49" s="49" t="s">
        <v>110</v>
      </c>
      <c r="L49" s="42" t="s">
        <v>181</v>
      </c>
      <c r="M49" s="55">
        <v>-1</v>
      </c>
      <c r="N49" s="49" t="s">
        <v>109</v>
      </c>
      <c r="O49" s="42" t="s">
        <v>233</v>
      </c>
      <c r="P49" s="60">
        <v>46121.477546296293</v>
      </c>
    </row>
    <row r="50" spans="2:16" x14ac:dyDescent="0.25">
      <c r="B50" s="57" t="s">
        <v>631</v>
      </c>
      <c r="C50" s="49" t="s">
        <v>55</v>
      </c>
      <c r="D50" s="58">
        <v>46122</v>
      </c>
      <c r="E50" s="49" t="s">
        <v>396</v>
      </c>
      <c r="F50" s="56">
        <v>21</v>
      </c>
      <c r="G50" s="42" t="s">
        <v>632</v>
      </c>
      <c r="H50" s="49" t="s">
        <v>593</v>
      </c>
      <c r="I50" s="59">
        <v>-21</v>
      </c>
      <c r="J50" s="43" t="s">
        <v>349</v>
      </c>
      <c r="K50" s="49" t="s">
        <v>110</v>
      </c>
      <c r="L50" s="42" t="s">
        <v>256</v>
      </c>
      <c r="M50" s="55">
        <v>-1</v>
      </c>
      <c r="N50" s="49" t="s">
        <v>109</v>
      </c>
      <c r="O50" s="42" t="s">
        <v>253</v>
      </c>
      <c r="P50" s="60">
        <v>46122.400555555563</v>
      </c>
    </row>
    <row r="51" spans="2:16" x14ac:dyDescent="0.25">
      <c r="B51" s="57" t="s">
        <v>633</v>
      </c>
      <c r="C51" s="49" t="s">
        <v>55</v>
      </c>
      <c r="D51" s="58">
        <v>46122</v>
      </c>
      <c r="E51" s="49" t="s">
        <v>378</v>
      </c>
      <c r="F51" s="56">
        <v>30</v>
      </c>
      <c r="G51" s="42" t="s">
        <v>634</v>
      </c>
      <c r="H51" s="49" t="s">
        <v>593</v>
      </c>
      <c r="I51" s="59">
        <v>-30</v>
      </c>
      <c r="J51" s="43" t="s">
        <v>349</v>
      </c>
      <c r="K51" s="49" t="s">
        <v>112</v>
      </c>
      <c r="L51" s="42" t="s">
        <v>181</v>
      </c>
      <c r="M51" s="55">
        <v>-1</v>
      </c>
      <c r="N51" s="49" t="s">
        <v>111</v>
      </c>
      <c r="O51" s="42" t="s">
        <v>224</v>
      </c>
      <c r="P51" s="60">
        <v>46122.542303240742</v>
      </c>
    </row>
    <row r="52" spans="2:16" x14ac:dyDescent="0.25">
      <c r="B52" s="57" t="s">
        <v>635</v>
      </c>
      <c r="C52" s="49" t="s">
        <v>55</v>
      </c>
      <c r="D52" s="58">
        <v>46122</v>
      </c>
      <c r="E52" s="49" t="s">
        <v>370</v>
      </c>
      <c r="F52" s="56">
        <v>25</v>
      </c>
      <c r="G52" s="42" t="s">
        <v>636</v>
      </c>
      <c r="H52" s="49" t="s">
        <v>593</v>
      </c>
      <c r="I52" s="59">
        <v>-25</v>
      </c>
      <c r="J52" s="43" t="s">
        <v>349</v>
      </c>
      <c r="K52" s="49" t="s">
        <v>110</v>
      </c>
      <c r="L52" s="42" t="s">
        <v>181</v>
      </c>
      <c r="M52" s="55">
        <v>-1</v>
      </c>
      <c r="N52" s="49" t="s">
        <v>109</v>
      </c>
      <c r="O52" s="42" t="s">
        <v>210</v>
      </c>
      <c r="P52" s="60">
        <v>46122.697060185194</v>
      </c>
    </row>
    <row r="53" spans="2:16" x14ac:dyDescent="0.25">
      <c r="B53" s="57" t="s">
        <v>637</v>
      </c>
      <c r="C53" s="49" t="s">
        <v>55</v>
      </c>
      <c r="D53" s="58">
        <v>46123</v>
      </c>
      <c r="E53" s="49" t="s">
        <v>396</v>
      </c>
      <c r="F53" s="56">
        <v>30</v>
      </c>
      <c r="G53" s="42" t="s">
        <v>638</v>
      </c>
      <c r="H53" s="49" t="s">
        <v>612</v>
      </c>
      <c r="I53" s="59">
        <v>-30</v>
      </c>
      <c r="J53" s="43" t="s">
        <v>349</v>
      </c>
      <c r="K53" s="49" t="s">
        <v>112</v>
      </c>
      <c r="L53" s="42" t="s">
        <v>256</v>
      </c>
      <c r="M53" s="55">
        <v>-1</v>
      </c>
      <c r="N53" s="49" t="s">
        <v>111</v>
      </c>
      <c r="O53" s="42" t="s">
        <v>253</v>
      </c>
      <c r="P53" s="60">
        <v>46123.380833333344</v>
      </c>
    </row>
    <row r="54" spans="2:16" x14ac:dyDescent="0.25">
      <c r="B54" s="57" t="s">
        <v>639</v>
      </c>
      <c r="C54" s="49" t="s">
        <v>55</v>
      </c>
      <c r="D54" s="58">
        <v>46123</v>
      </c>
      <c r="E54" s="49" t="s">
        <v>374</v>
      </c>
      <c r="F54" s="56">
        <v>61.5</v>
      </c>
      <c r="G54" s="42" t="s">
        <v>640</v>
      </c>
      <c r="H54" s="49" t="s">
        <v>615</v>
      </c>
      <c r="I54" s="59">
        <v>-61.5</v>
      </c>
      <c r="J54" s="43" t="s">
        <v>349</v>
      </c>
      <c r="K54" s="49" t="s">
        <v>112</v>
      </c>
      <c r="L54" s="42" t="s">
        <v>218</v>
      </c>
      <c r="M54" s="55">
        <v>-1</v>
      </c>
      <c r="N54" s="49" t="s">
        <v>111</v>
      </c>
      <c r="O54" s="42" t="s">
        <v>216</v>
      </c>
      <c r="P54" s="60">
        <v>46123.720532407409</v>
      </c>
    </row>
    <row r="55" spans="2:16" x14ac:dyDescent="0.25">
      <c r="B55" s="57" t="s">
        <v>641</v>
      </c>
      <c r="C55" s="49" t="s">
        <v>55</v>
      </c>
      <c r="D55" s="58">
        <v>46125</v>
      </c>
      <c r="E55" s="49" t="s">
        <v>400</v>
      </c>
      <c r="F55" s="56">
        <v>6</v>
      </c>
      <c r="G55" s="42" t="s">
        <v>642</v>
      </c>
      <c r="H55" s="49"/>
      <c r="I55" s="59">
        <v>-6</v>
      </c>
      <c r="J55" s="43" t="s">
        <v>349</v>
      </c>
      <c r="K55" s="49" t="s">
        <v>112</v>
      </c>
      <c r="L55" s="42" t="s">
        <v>181</v>
      </c>
      <c r="M55" s="55">
        <v>-1</v>
      </c>
      <c r="N55" s="49" t="s">
        <v>111</v>
      </c>
      <c r="O55" s="42" t="s">
        <v>261</v>
      </c>
      <c r="P55" s="60">
        <v>46125.33390046296</v>
      </c>
    </row>
    <row r="56" spans="2:16" x14ac:dyDescent="0.25">
      <c r="B56" s="57" t="s">
        <v>643</v>
      </c>
      <c r="C56" s="49" t="s">
        <v>55</v>
      </c>
      <c r="D56" s="58">
        <v>46126</v>
      </c>
      <c r="E56" s="49" t="s">
        <v>374</v>
      </c>
      <c r="F56" s="56">
        <v>27.5</v>
      </c>
      <c r="G56" s="42" t="s">
        <v>644</v>
      </c>
      <c r="H56" s="49" t="s">
        <v>604</v>
      </c>
      <c r="I56" s="59">
        <v>-27.5</v>
      </c>
      <c r="J56" s="43" t="s">
        <v>349</v>
      </c>
      <c r="K56" s="49" t="s">
        <v>112</v>
      </c>
      <c r="L56" s="42" t="s">
        <v>218</v>
      </c>
      <c r="M56" s="55">
        <v>-1</v>
      </c>
      <c r="N56" s="49" t="s">
        <v>111</v>
      </c>
      <c r="O56" s="42" t="s">
        <v>216</v>
      </c>
      <c r="P56" s="60">
        <v>46126.404282407413</v>
      </c>
    </row>
    <row r="57" spans="2:16" x14ac:dyDescent="0.25">
      <c r="B57" s="57" t="s">
        <v>645</v>
      </c>
      <c r="C57" s="49" t="s">
        <v>55</v>
      </c>
      <c r="D57" s="58">
        <v>46126</v>
      </c>
      <c r="E57" s="49" t="s">
        <v>410</v>
      </c>
      <c r="F57" s="56">
        <v>11</v>
      </c>
      <c r="G57" s="42" t="s">
        <v>646</v>
      </c>
      <c r="H57" s="49"/>
      <c r="I57" s="59">
        <v>-11</v>
      </c>
      <c r="J57" s="43" t="s">
        <v>349</v>
      </c>
      <c r="K57" s="49" t="s">
        <v>112</v>
      </c>
      <c r="L57" s="42" t="s">
        <v>177</v>
      </c>
      <c r="M57" s="55">
        <v>-1</v>
      </c>
      <c r="N57" s="49" t="s">
        <v>111</v>
      </c>
      <c r="O57" s="42" t="s">
        <v>278</v>
      </c>
      <c r="P57" s="60">
        <v>46126.410902777781</v>
      </c>
    </row>
    <row r="58" spans="2:16" x14ac:dyDescent="0.25">
      <c r="B58" s="57" t="s">
        <v>647</v>
      </c>
      <c r="C58" s="49" t="s">
        <v>55</v>
      </c>
      <c r="D58" s="58">
        <v>46126</v>
      </c>
      <c r="E58" s="49" t="s">
        <v>380</v>
      </c>
      <c r="F58" s="56">
        <v>5</v>
      </c>
      <c r="G58" s="42" t="s">
        <v>648</v>
      </c>
      <c r="H58" s="49" t="s">
        <v>609</v>
      </c>
      <c r="I58" s="59">
        <v>-5</v>
      </c>
      <c r="J58" s="43" t="s">
        <v>349</v>
      </c>
      <c r="K58" s="49" t="s">
        <v>110</v>
      </c>
      <c r="L58" s="42" t="s">
        <v>181</v>
      </c>
      <c r="M58" s="55">
        <v>-1</v>
      </c>
      <c r="N58" s="49" t="s">
        <v>109</v>
      </c>
      <c r="O58" s="42" t="s">
        <v>227</v>
      </c>
      <c r="P58" s="60">
        <v>46126.568090277768</v>
      </c>
    </row>
    <row r="59" spans="2:16" x14ac:dyDescent="0.25">
      <c r="B59" s="57" t="s">
        <v>649</v>
      </c>
      <c r="C59" s="49" t="s">
        <v>55</v>
      </c>
      <c r="D59" s="58">
        <v>46126</v>
      </c>
      <c r="E59" s="49" t="s">
        <v>361</v>
      </c>
      <c r="F59" s="56">
        <v>1</v>
      </c>
      <c r="G59" s="42" t="s">
        <v>650</v>
      </c>
      <c r="H59" s="49" t="s">
        <v>624</v>
      </c>
      <c r="I59" s="59">
        <v>-1</v>
      </c>
      <c r="J59" s="43" t="s">
        <v>349</v>
      </c>
      <c r="K59" s="49" t="s">
        <v>110</v>
      </c>
      <c r="L59" s="42" t="s">
        <v>181</v>
      </c>
      <c r="M59" s="55">
        <v>-1</v>
      </c>
      <c r="N59" s="49" t="s">
        <v>109</v>
      </c>
      <c r="O59" s="42" t="s">
        <v>192</v>
      </c>
      <c r="P59" s="60">
        <v>46126.656064814822</v>
      </c>
    </row>
    <row r="60" spans="2:16" x14ac:dyDescent="0.25">
      <c r="B60" s="57" t="s">
        <v>651</v>
      </c>
      <c r="C60" s="49" t="s">
        <v>55</v>
      </c>
      <c r="D60" s="58">
        <v>46127</v>
      </c>
      <c r="E60" s="49" t="s">
        <v>380</v>
      </c>
      <c r="F60" s="56">
        <v>5</v>
      </c>
      <c r="G60" s="42" t="s">
        <v>652</v>
      </c>
      <c r="H60" s="49"/>
      <c r="I60" s="59">
        <v>-5</v>
      </c>
      <c r="J60" s="43" t="s">
        <v>349</v>
      </c>
      <c r="K60" s="49" t="s">
        <v>112</v>
      </c>
      <c r="L60" s="42" t="s">
        <v>181</v>
      </c>
      <c r="M60" s="55">
        <v>-1</v>
      </c>
      <c r="N60" s="49" t="s">
        <v>111</v>
      </c>
      <c r="O60" s="42" t="s">
        <v>227</v>
      </c>
      <c r="P60" s="60">
        <v>46127.32303240741</v>
      </c>
    </row>
    <row r="61" spans="2:16" x14ac:dyDescent="0.25">
      <c r="B61" s="57" t="s">
        <v>653</v>
      </c>
      <c r="C61" s="49" t="s">
        <v>55</v>
      </c>
      <c r="D61" s="58">
        <v>46127</v>
      </c>
      <c r="E61" s="49" t="s">
        <v>384</v>
      </c>
      <c r="F61" s="56">
        <v>27</v>
      </c>
      <c r="G61" s="42" t="s">
        <v>654</v>
      </c>
      <c r="H61" s="49"/>
      <c r="I61" s="59">
        <v>-27</v>
      </c>
      <c r="J61" s="43" t="s">
        <v>349</v>
      </c>
      <c r="K61" s="49" t="s">
        <v>112</v>
      </c>
      <c r="L61" s="42" t="s">
        <v>181</v>
      </c>
      <c r="M61" s="55">
        <v>-1</v>
      </c>
      <c r="N61" s="49" t="s">
        <v>111</v>
      </c>
      <c r="O61" s="42" t="s">
        <v>233</v>
      </c>
      <c r="P61" s="60">
        <v>46127.334004629629</v>
      </c>
    </row>
    <row r="62" spans="2:16" x14ac:dyDescent="0.25">
      <c r="B62" s="57" t="s">
        <v>655</v>
      </c>
      <c r="C62" s="49" t="s">
        <v>55</v>
      </c>
      <c r="D62" s="58">
        <v>46127</v>
      </c>
      <c r="E62" s="49" t="s">
        <v>410</v>
      </c>
      <c r="F62" s="56">
        <v>30</v>
      </c>
      <c r="G62" s="42" t="s">
        <v>656</v>
      </c>
      <c r="H62" s="49"/>
      <c r="I62" s="59">
        <v>-30</v>
      </c>
      <c r="J62" s="43" t="s">
        <v>349</v>
      </c>
      <c r="K62" s="49" t="s">
        <v>112</v>
      </c>
      <c r="L62" s="42" t="s">
        <v>177</v>
      </c>
      <c r="M62" s="55">
        <v>-1</v>
      </c>
      <c r="N62" s="49" t="s">
        <v>111</v>
      </c>
      <c r="O62" s="42" t="s">
        <v>278</v>
      </c>
      <c r="P62" s="60">
        <v>46127.410833333342</v>
      </c>
    </row>
    <row r="63" spans="2:16" x14ac:dyDescent="0.25">
      <c r="B63" s="57" t="s">
        <v>657</v>
      </c>
      <c r="C63" s="49" t="s">
        <v>55</v>
      </c>
      <c r="D63" s="58">
        <v>46128</v>
      </c>
      <c r="E63" s="49" t="s">
        <v>366</v>
      </c>
      <c r="F63" s="56">
        <v>17</v>
      </c>
      <c r="G63" s="42" t="s">
        <v>658</v>
      </c>
      <c r="H63" s="49"/>
      <c r="I63" s="59">
        <v>-17</v>
      </c>
      <c r="J63" s="43" t="s">
        <v>349</v>
      </c>
      <c r="K63" s="49" t="s">
        <v>110</v>
      </c>
      <c r="L63" s="42" t="s">
        <v>181</v>
      </c>
      <c r="M63" s="55">
        <v>-1</v>
      </c>
      <c r="N63" s="49" t="s">
        <v>109</v>
      </c>
      <c r="O63" s="42" t="s">
        <v>204</v>
      </c>
      <c r="P63" s="60">
        <v>46128.529131944437</v>
      </c>
    </row>
    <row r="64" spans="2:16" x14ac:dyDescent="0.25">
      <c r="B64" s="57" t="s">
        <v>659</v>
      </c>
      <c r="C64" s="49" t="s">
        <v>55</v>
      </c>
      <c r="D64" s="58">
        <v>46128</v>
      </c>
      <c r="E64" s="49" t="s">
        <v>384</v>
      </c>
      <c r="F64" s="56">
        <v>33</v>
      </c>
      <c r="G64" s="42" t="s">
        <v>660</v>
      </c>
      <c r="H64" s="49" t="s">
        <v>588</v>
      </c>
      <c r="I64" s="59">
        <v>-33</v>
      </c>
      <c r="J64" s="43" t="s">
        <v>349</v>
      </c>
      <c r="K64" s="49" t="s">
        <v>112</v>
      </c>
      <c r="L64" s="42" t="s">
        <v>181</v>
      </c>
      <c r="M64" s="55">
        <v>-1</v>
      </c>
      <c r="N64" s="49" t="s">
        <v>111</v>
      </c>
      <c r="O64" s="42" t="s">
        <v>233</v>
      </c>
      <c r="P64" s="60">
        <v>46128.594409722216</v>
      </c>
    </row>
    <row r="65" spans="2:16" x14ac:dyDescent="0.25">
      <c r="B65" s="57" t="s">
        <v>661</v>
      </c>
      <c r="C65" s="49" t="s">
        <v>55</v>
      </c>
      <c r="D65" s="58">
        <v>46128</v>
      </c>
      <c r="E65" s="49" t="s">
        <v>374</v>
      </c>
      <c r="F65" s="56">
        <v>89.5</v>
      </c>
      <c r="G65" s="42" t="s">
        <v>662</v>
      </c>
      <c r="H65" s="49" t="s">
        <v>609</v>
      </c>
      <c r="I65" s="59">
        <v>-89.5</v>
      </c>
      <c r="J65" s="43" t="s">
        <v>349</v>
      </c>
      <c r="K65" s="49" t="s">
        <v>112</v>
      </c>
      <c r="L65" s="42" t="s">
        <v>218</v>
      </c>
      <c r="M65" s="55">
        <v>-1</v>
      </c>
      <c r="N65" s="49" t="s">
        <v>111</v>
      </c>
      <c r="O65" s="42" t="s">
        <v>216</v>
      </c>
      <c r="P65" s="60">
        <v>46128.701736111107</v>
      </c>
    </row>
    <row r="66" spans="2:16" x14ac:dyDescent="0.25">
      <c r="B66" s="57" t="s">
        <v>663</v>
      </c>
      <c r="C66" s="49" t="s">
        <v>55</v>
      </c>
      <c r="D66" s="58">
        <v>46129</v>
      </c>
      <c r="E66" s="49" t="s">
        <v>376</v>
      </c>
      <c r="F66" s="56">
        <v>10</v>
      </c>
      <c r="G66" s="42" t="s">
        <v>664</v>
      </c>
      <c r="H66" s="49"/>
      <c r="I66" s="59">
        <v>-10</v>
      </c>
      <c r="J66" s="43" t="s">
        <v>349</v>
      </c>
      <c r="K66" s="49" t="s">
        <v>110</v>
      </c>
      <c r="L66" s="42" t="s">
        <v>181</v>
      </c>
      <c r="M66" s="55">
        <v>-1</v>
      </c>
      <c r="N66" s="49" t="s">
        <v>109</v>
      </c>
      <c r="O66" s="42" t="s">
        <v>220</v>
      </c>
      <c r="P66" s="60">
        <v>46129.603703703702</v>
      </c>
    </row>
    <row r="67" spans="2:16" x14ac:dyDescent="0.25">
      <c r="B67" s="57" t="s">
        <v>665</v>
      </c>
      <c r="C67" s="49" t="s">
        <v>55</v>
      </c>
      <c r="D67" s="58">
        <v>46129</v>
      </c>
      <c r="E67" s="49" t="s">
        <v>378</v>
      </c>
      <c r="F67" s="56">
        <v>24</v>
      </c>
      <c r="G67" s="42" t="s">
        <v>666</v>
      </c>
      <c r="H67" s="49"/>
      <c r="I67" s="59">
        <v>-24</v>
      </c>
      <c r="J67" s="43" t="s">
        <v>349</v>
      </c>
      <c r="K67" s="49" t="s">
        <v>110</v>
      </c>
      <c r="L67" s="42" t="s">
        <v>181</v>
      </c>
      <c r="M67" s="55">
        <v>-1</v>
      </c>
      <c r="N67" s="49" t="s">
        <v>109</v>
      </c>
      <c r="O67" s="42" t="s">
        <v>224</v>
      </c>
      <c r="P67" s="60">
        <v>46129.678379629629</v>
      </c>
    </row>
    <row r="68" spans="2:16" x14ac:dyDescent="0.25">
      <c r="B68" s="57" t="s">
        <v>667</v>
      </c>
      <c r="C68" s="49" t="s">
        <v>55</v>
      </c>
      <c r="D68" s="58">
        <v>46129</v>
      </c>
      <c r="E68" s="49" t="s">
        <v>396</v>
      </c>
      <c r="F68" s="56">
        <v>28</v>
      </c>
      <c r="G68" s="42" t="s">
        <v>668</v>
      </c>
      <c r="H68" s="49"/>
      <c r="I68" s="59">
        <v>-28</v>
      </c>
      <c r="J68" s="43" t="s">
        <v>349</v>
      </c>
      <c r="K68" s="49" t="s">
        <v>112</v>
      </c>
      <c r="L68" s="42" t="s">
        <v>256</v>
      </c>
      <c r="M68" s="55">
        <v>-1</v>
      </c>
      <c r="N68" s="49" t="s">
        <v>111</v>
      </c>
      <c r="O68" s="42" t="s">
        <v>253</v>
      </c>
      <c r="P68" s="60">
        <v>46129.692870370367</v>
      </c>
    </row>
    <row r="69" spans="2:16" x14ac:dyDescent="0.25">
      <c r="B69" s="57" t="s">
        <v>669</v>
      </c>
      <c r="C69" s="49" t="s">
        <v>55</v>
      </c>
      <c r="D69" s="58">
        <v>46130</v>
      </c>
      <c r="E69" s="49" t="s">
        <v>408</v>
      </c>
      <c r="F69" s="56">
        <v>6</v>
      </c>
      <c r="G69" s="42" t="s">
        <v>670</v>
      </c>
      <c r="H69" s="49" t="s">
        <v>671</v>
      </c>
      <c r="I69" s="59">
        <v>-6</v>
      </c>
      <c r="J69" s="43" t="s">
        <v>349</v>
      </c>
      <c r="K69" s="49" t="s">
        <v>110</v>
      </c>
      <c r="L69" s="42" t="s">
        <v>276</v>
      </c>
      <c r="M69" s="55">
        <v>-1</v>
      </c>
      <c r="N69" s="49" t="s">
        <v>109</v>
      </c>
      <c r="O69" s="42" t="s">
        <v>274</v>
      </c>
      <c r="P69" s="60">
        <v>46130.663321759261</v>
      </c>
    </row>
    <row r="70" spans="2:16" x14ac:dyDescent="0.25">
      <c r="B70" s="57" t="s">
        <v>672</v>
      </c>
      <c r="C70" s="49" t="s">
        <v>55</v>
      </c>
      <c r="D70" s="58">
        <v>46132</v>
      </c>
      <c r="E70" s="49" t="s">
        <v>396</v>
      </c>
      <c r="F70" s="56">
        <v>31</v>
      </c>
      <c r="G70" s="42" t="s">
        <v>673</v>
      </c>
      <c r="H70" s="49" t="s">
        <v>615</v>
      </c>
      <c r="I70" s="59">
        <v>-31</v>
      </c>
      <c r="J70" s="43" t="s">
        <v>349</v>
      </c>
      <c r="K70" s="49" t="s">
        <v>112</v>
      </c>
      <c r="L70" s="42" t="s">
        <v>256</v>
      </c>
      <c r="M70" s="55">
        <v>-1</v>
      </c>
      <c r="N70" s="49" t="s">
        <v>111</v>
      </c>
      <c r="O70" s="42" t="s">
        <v>253</v>
      </c>
      <c r="P70" s="60">
        <v>46132.468275462961</v>
      </c>
    </row>
    <row r="71" spans="2:16" x14ac:dyDescent="0.25">
      <c r="B71" s="57" t="s">
        <v>674</v>
      </c>
      <c r="C71" s="49" t="s">
        <v>55</v>
      </c>
      <c r="D71" s="58">
        <v>46132</v>
      </c>
      <c r="E71" s="49" t="s">
        <v>374</v>
      </c>
      <c r="F71" s="56">
        <v>43</v>
      </c>
      <c r="G71" s="42" t="s">
        <v>675</v>
      </c>
      <c r="H71" s="49" t="s">
        <v>585</v>
      </c>
      <c r="I71" s="59">
        <v>-43</v>
      </c>
      <c r="J71" s="43" t="s">
        <v>349</v>
      </c>
      <c r="K71" s="49" t="s">
        <v>112</v>
      </c>
      <c r="L71" s="42" t="s">
        <v>218</v>
      </c>
      <c r="M71" s="55">
        <v>-1</v>
      </c>
      <c r="N71" s="49" t="s">
        <v>111</v>
      </c>
      <c r="O71" s="42" t="s">
        <v>216</v>
      </c>
      <c r="P71" s="60">
        <v>46132.601041666669</v>
      </c>
    </row>
    <row r="72" spans="2:16" x14ac:dyDescent="0.25">
      <c r="B72" s="57" t="s">
        <v>676</v>
      </c>
      <c r="C72" s="49" t="s">
        <v>55</v>
      </c>
      <c r="D72" s="58">
        <v>46132</v>
      </c>
      <c r="E72" s="49" t="s">
        <v>366</v>
      </c>
      <c r="F72" s="56">
        <v>12</v>
      </c>
      <c r="G72" s="42" t="s">
        <v>677</v>
      </c>
      <c r="H72" s="49" t="s">
        <v>593</v>
      </c>
      <c r="I72" s="59">
        <v>-12</v>
      </c>
      <c r="J72" s="43" t="s">
        <v>349</v>
      </c>
      <c r="K72" s="49" t="s">
        <v>110</v>
      </c>
      <c r="L72" s="42" t="s">
        <v>181</v>
      </c>
      <c r="M72" s="55">
        <v>-1</v>
      </c>
      <c r="N72" s="49" t="s">
        <v>109</v>
      </c>
      <c r="O72" s="42" t="s">
        <v>204</v>
      </c>
      <c r="P72" s="60">
        <v>46132.662256944437</v>
      </c>
    </row>
    <row r="73" spans="2:16" x14ac:dyDescent="0.25">
      <c r="B73" s="57" t="s">
        <v>678</v>
      </c>
      <c r="C73" s="49" t="s">
        <v>55</v>
      </c>
      <c r="D73" s="58">
        <v>46133</v>
      </c>
      <c r="E73" s="49" t="s">
        <v>378</v>
      </c>
      <c r="F73" s="56">
        <v>29</v>
      </c>
      <c r="G73" s="42" t="s">
        <v>679</v>
      </c>
      <c r="H73" s="49" t="s">
        <v>585</v>
      </c>
      <c r="I73" s="59">
        <v>-29</v>
      </c>
      <c r="J73" s="43" t="s">
        <v>349</v>
      </c>
      <c r="K73" s="49" t="s">
        <v>110</v>
      </c>
      <c r="L73" s="42" t="s">
        <v>181</v>
      </c>
      <c r="M73" s="55">
        <v>-1</v>
      </c>
      <c r="N73" s="49" t="s">
        <v>109</v>
      </c>
      <c r="O73" s="42" t="s">
        <v>224</v>
      </c>
      <c r="P73" s="60">
        <v>46133.494791666657</v>
      </c>
    </row>
    <row r="74" spans="2:16" x14ac:dyDescent="0.25">
      <c r="B74" s="57" t="s">
        <v>680</v>
      </c>
      <c r="C74" s="49" t="s">
        <v>55</v>
      </c>
      <c r="D74" s="58">
        <v>46133</v>
      </c>
      <c r="E74" s="49" t="s">
        <v>357</v>
      </c>
      <c r="F74" s="56">
        <v>17</v>
      </c>
      <c r="G74" s="42" t="s">
        <v>681</v>
      </c>
      <c r="H74" s="49"/>
      <c r="I74" s="59">
        <v>-17</v>
      </c>
      <c r="J74" s="43" t="s">
        <v>349</v>
      </c>
      <c r="K74" s="49" t="s">
        <v>110</v>
      </c>
      <c r="L74" s="42" t="s">
        <v>181</v>
      </c>
      <c r="M74" s="55">
        <v>-1</v>
      </c>
      <c r="N74" s="49" t="s">
        <v>109</v>
      </c>
      <c r="O74" s="42" t="s">
        <v>186</v>
      </c>
      <c r="P74" s="60">
        <v>46133.516493055547</v>
      </c>
    </row>
    <row r="75" spans="2:16" x14ac:dyDescent="0.25">
      <c r="B75" s="57" t="s">
        <v>682</v>
      </c>
      <c r="C75" s="49" t="s">
        <v>55</v>
      </c>
      <c r="D75" s="58">
        <v>46133</v>
      </c>
      <c r="E75" s="49" t="s">
        <v>361</v>
      </c>
      <c r="F75" s="56">
        <v>1</v>
      </c>
      <c r="G75" s="42" t="s">
        <v>683</v>
      </c>
      <c r="H75" s="49" t="s">
        <v>624</v>
      </c>
      <c r="I75" s="59">
        <v>-1</v>
      </c>
      <c r="J75" s="43" t="s">
        <v>349</v>
      </c>
      <c r="K75" s="49" t="s">
        <v>110</v>
      </c>
      <c r="L75" s="42" t="s">
        <v>181</v>
      </c>
      <c r="M75" s="55">
        <v>-1</v>
      </c>
      <c r="N75" s="49" t="s">
        <v>109</v>
      </c>
      <c r="O75" s="42" t="s">
        <v>192</v>
      </c>
      <c r="P75" s="60">
        <v>46133.674699074072</v>
      </c>
    </row>
    <row r="76" spans="2:16" x14ac:dyDescent="0.25">
      <c r="B76" s="57" t="s">
        <v>684</v>
      </c>
      <c r="C76" s="49" t="s">
        <v>55</v>
      </c>
      <c r="D76" s="58">
        <v>46134</v>
      </c>
      <c r="E76" s="49" t="s">
        <v>392</v>
      </c>
      <c r="F76" s="56">
        <v>13</v>
      </c>
      <c r="G76" s="42" t="s">
        <v>685</v>
      </c>
      <c r="H76" s="49" t="s">
        <v>593</v>
      </c>
      <c r="I76" s="59">
        <v>-13</v>
      </c>
      <c r="J76" s="43" t="s">
        <v>349</v>
      </c>
      <c r="K76" s="49" t="s">
        <v>110</v>
      </c>
      <c r="L76" s="42" t="s">
        <v>181</v>
      </c>
      <c r="M76" s="55">
        <v>-1</v>
      </c>
      <c r="N76" s="49" t="s">
        <v>109</v>
      </c>
      <c r="O76" s="42" t="s">
        <v>247</v>
      </c>
      <c r="P76" s="60">
        <v>46134.331724537027</v>
      </c>
    </row>
    <row r="77" spans="2:16" x14ac:dyDescent="0.25">
      <c r="B77" s="57" t="s">
        <v>686</v>
      </c>
      <c r="C77" s="49" t="s">
        <v>55</v>
      </c>
      <c r="D77" s="58">
        <v>46134</v>
      </c>
      <c r="E77" s="49" t="s">
        <v>376</v>
      </c>
      <c r="F77" s="56">
        <v>9</v>
      </c>
      <c r="G77" s="42" t="s">
        <v>687</v>
      </c>
      <c r="H77" s="49" t="s">
        <v>604</v>
      </c>
      <c r="I77" s="59">
        <v>-9</v>
      </c>
      <c r="J77" s="43" t="s">
        <v>349</v>
      </c>
      <c r="K77" s="49" t="s">
        <v>112</v>
      </c>
      <c r="L77" s="42" t="s">
        <v>181</v>
      </c>
      <c r="M77" s="55">
        <v>-1</v>
      </c>
      <c r="N77" s="49" t="s">
        <v>111</v>
      </c>
      <c r="O77" s="42" t="s">
        <v>220</v>
      </c>
      <c r="P77" s="60">
        <v>46134.677662037036</v>
      </c>
    </row>
    <row r="78" spans="2:16" x14ac:dyDescent="0.25">
      <c r="B78" s="57" t="s">
        <v>688</v>
      </c>
      <c r="C78" s="49" t="s">
        <v>55</v>
      </c>
      <c r="D78" s="58">
        <v>46135</v>
      </c>
      <c r="E78" s="49" t="s">
        <v>370</v>
      </c>
      <c r="F78" s="56">
        <v>39</v>
      </c>
      <c r="G78" s="42" t="s">
        <v>689</v>
      </c>
      <c r="H78" s="49" t="s">
        <v>615</v>
      </c>
      <c r="I78" s="59">
        <v>-39</v>
      </c>
      <c r="J78" s="43" t="s">
        <v>349</v>
      </c>
      <c r="K78" s="49" t="s">
        <v>112</v>
      </c>
      <c r="L78" s="42" t="s">
        <v>181</v>
      </c>
      <c r="M78" s="55">
        <v>-1</v>
      </c>
      <c r="N78" s="49" t="s">
        <v>111</v>
      </c>
      <c r="O78" s="42" t="s">
        <v>210</v>
      </c>
      <c r="P78" s="60">
        <v>46135.428182870368</v>
      </c>
    </row>
    <row r="79" spans="2:16" x14ac:dyDescent="0.25">
      <c r="B79" s="57" t="s">
        <v>690</v>
      </c>
      <c r="C79" s="49" t="s">
        <v>55</v>
      </c>
      <c r="D79" s="58">
        <v>46135</v>
      </c>
      <c r="E79" s="49" t="s">
        <v>374</v>
      </c>
      <c r="F79" s="56">
        <v>83</v>
      </c>
      <c r="G79" s="42" t="s">
        <v>691</v>
      </c>
      <c r="H79" s="49" t="s">
        <v>615</v>
      </c>
      <c r="I79" s="59">
        <v>-83</v>
      </c>
      <c r="J79" s="43" t="s">
        <v>349</v>
      </c>
      <c r="K79" s="49" t="s">
        <v>112</v>
      </c>
      <c r="L79" s="42" t="s">
        <v>218</v>
      </c>
      <c r="M79" s="55">
        <v>-1</v>
      </c>
      <c r="N79" s="49" t="s">
        <v>111</v>
      </c>
      <c r="O79" s="42" t="s">
        <v>216</v>
      </c>
      <c r="P79" s="60">
        <v>46135.509594907409</v>
      </c>
    </row>
    <row r="80" spans="2:16" x14ac:dyDescent="0.25">
      <c r="B80" s="57" t="s">
        <v>692</v>
      </c>
      <c r="C80" s="49" t="s">
        <v>55</v>
      </c>
      <c r="D80" s="58">
        <v>46136</v>
      </c>
      <c r="E80" s="49" t="s">
        <v>386</v>
      </c>
      <c r="F80" s="56">
        <v>7.5</v>
      </c>
      <c r="G80" s="42" t="s">
        <v>693</v>
      </c>
      <c r="H80" s="49" t="s">
        <v>588</v>
      </c>
      <c r="I80" s="59">
        <v>-7.5</v>
      </c>
      <c r="J80" s="43" t="s">
        <v>349</v>
      </c>
      <c r="K80" s="49" t="s">
        <v>112</v>
      </c>
      <c r="L80" s="42" t="s">
        <v>239</v>
      </c>
      <c r="M80" s="55">
        <v>-1</v>
      </c>
      <c r="N80" s="49" t="s">
        <v>111</v>
      </c>
      <c r="O80" s="42" t="s">
        <v>236</v>
      </c>
      <c r="P80" s="60">
        <v>46136.474756944437</v>
      </c>
    </row>
    <row r="81" spans="2:16" x14ac:dyDescent="0.25">
      <c r="B81" s="57" t="s">
        <v>694</v>
      </c>
      <c r="C81" s="49" t="s">
        <v>55</v>
      </c>
      <c r="D81" s="58">
        <v>46137</v>
      </c>
      <c r="E81" s="49" t="s">
        <v>382</v>
      </c>
      <c r="F81" s="56">
        <v>4</v>
      </c>
      <c r="G81" s="42" t="s">
        <v>695</v>
      </c>
      <c r="H81" s="49" t="s">
        <v>612</v>
      </c>
      <c r="I81" s="59">
        <v>-4</v>
      </c>
      <c r="J81" s="43" t="s">
        <v>349</v>
      </c>
      <c r="K81" s="49" t="s">
        <v>112</v>
      </c>
      <c r="L81" s="42" t="s">
        <v>181</v>
      </c>
      <c r="M81" s="55">
        <v>-1</v>
      </c>
      <c r="N81" s="49" t="s">
        <v>111</v>
      </c>
      <c r="O81" s="42" t="s">
        <v>230</v>
      </c>
      <c r="P81" s="60">
        <v>46137.385798611111</v>
      </c>
    </row>
    <row r="82" spans="2:16" x14ac:dyDescent="0.25">
      <c r="B82" s="57" t="s">
        <v>696</v>
      </c>
      <c r="C82" s="49" t="s">
        <v>55</v>
      </c>
      <c r="D82" s="58">
        <v>46137</v>
      </c>
      <c r="E82" s="49" t="s">
        <v>366</v>
      </c>
      <c r="F82" s="56">
        <v>9</v>
      </c>
      <c r="G82" s="42" t="s">
        <v>697</v>
      </c>
      <c r="H82" s="49" t="s">
        <v>612</v>
      </c>
      <c r="I82" s="59">
        <v>-9</v>
      </c>
      <c r="J82" s="43" t="s">
        <v>349</v>
      </c>
      <c r="K82" s="49" t="s">
        <v>110</v>
      </c>
      <c r="L82" s="42" t="s">
        <v>181</v>
      </c>
      <c r="M82" s="55">
        <v>-1</v>
      </c>
      <c r="N82" s="49" t="s">
        <v>109</v>
      </c>
      <c r="O82" s="42" t="s">
        <v>204</v>
      </c>
      <c r="P82" s="60">
        <v>46137.487615740742</v>
      </c>
    </row>
    <row r="83" spans="2:16" x14ac:dyDescent="0.25">
      <c r="B83" s="57" t="s">
        <v>698</v>
      </c>
      <c r="C83" s="49" t="s">
        <v>55</v>
      </c>
      <c r="D83" s="58">
        <v>46137</v>
      </c>
      <c r="E83" s="49" t="s">
        <v>386</v>
      </c>
      <c r="F83" s="56">
        <v>9.5</v>
      </c>
      <c r="G83" s="42" t="s">
        <v>699</v>
      </c>
      <c r="H83" s="49" t="s">
        <v>604</v>
      </c>
      <c r="I83" s="59">
        <v>-9.5</v>
      </c>
      <c r="J83" s="43" t="s">
        <v>349</v>
      </c>
      <c r="K83" s="49" t="s">
        <v>112</v>
      </c>
      <c r="L83" s="42" t="s">
        <v>239</v>
      </c>
      <c r="M83" s="55">
        <v>-1</v>
      </c>
      <c r="N83" s="49" t="s">
        <v>111</v>
      </c>
      <c r="O83" s="42" t="s">
        <v>236</v>
      </c>
      <c r="P83" s="60">
        <v>46137.586655092593</v>
      </c>
    </row>
    <row r="84" spans="2:16" x14ac:dyDescent="0.25">
      <c r="B84" s="57" t="s">
        <v>700</v>
      </c>
      <c r="C84" s="49" t="s">
        <v>55</v>
      </c>
      <c r="D84" s="58">
        <v>46139</v>
      </c>
      <c r="E84" s="49" t="s">
        <v>353</v>
      </c>
      <c r="F84" s="56">
        <v>2</v>
      </c>
      <c r="G84" s="42" t="s">
        <v>701</v>
      </c>
      <c r="H84" s="49" t="s">
        <v>671</v>
      </c>
      <c r="I84" s="59">
        <v>-2</v>
      </c>
      <c r="J84" s="43" t="s">
        <v>349</v>
      </c>
      <c r="K84" s="49" t="s">
        <v>112</v>
      </c>
      <c r="L84" s="42" t="s">
        <v>181</v>
      </c>
      <c r="M84" s="55">
        <v>-1</v>
      </c>
      <c r="N84" s="49" t="s">
        <v>111</v>
      </c>
      <c r="O84" s="42" t="s">
        <v>179</v>
      </c>
      <c r="P84" s="60">
        <v>46139.381365740737</v>
      </c>
    </row>
    <row r="85" spans="2:16" x14ac:dyDescent="0.25">
      <c r="B85" s="57" t="s">
        <v>702</v>
      </c>
      <c r="C85" s="49" t="s">
        <v>55</v>
      </c>
      <c r="D85" s="58">
        <v>46139</v>
      </c>
      <c r="E85" s="49" t="s">
        <v>370</v>
      </c>
      <c r="F85" s="56">
        <v>18</v>
      </c>
      <c r="G85" s="42" t="s">
        <v>703</v>
      </c>
      <c r="H85" s="49" t="s">
        <v>615</v>
      </c>
      <c r="I85" s="59">
        <v>-18</v>
      </c>
      <c r="J85" s="43" t="s">
        <v>349</v>
      </c>
      <c r="K85" s="49" t="s">
        <v>110</v>
      </c>
      <c r="L85" s="42" t="s">
        <v>181</v>
      </c>
      <c r="M85" s="55">
        <v>-1</v>
      </c>
      <c r="N85" s="49" t="s">
        <v>109</v>
      </c>
      <c r="O85" s="42" t="s">
        <v>210</v>
      </c>
      <c r="P85" s="60">
        <v>46139.549328703702</v>
      </c>
    </row>
    <row r="86" spans="2:16" x14ac:dyDescent="0.25">
      <c r="B86" s="57" t="s">
        <v>704</v>
      </c>
      <c r="C86" s="49" t="s">
        <v>55</v>
      </c>
      <c r="D86" s="58">
        <v>46140</v>
      </c>
      <c r="E86" s="49" t="s">
        <v>378</v>
      </c>
      <c r="F86" s="56">
        <v>53</v>
      </c>
      <c r="G86" s="42" t="s">
        <v>705</v>
      </c>
      <c r="H86" s="49" t="s">
        <v>585</v>
      </c>
      <c r="I86" s="59">
        <v>-53</v>
      </c>
      <c r="J86" s="43" t="s">
        <v>349</v>
      </c>
      <c r="K86" s="49" t="s">
        <v>110</v>
      </c>
      <c r="L86" s="42" t="s">
        <v>181</v>
      </c>
      <c r="M86" s="55">
        <v>-1</v>
      </c>
      <c r="N86" s="49" t="s">
        <v>109</v>
      </c>
      <c r="O86" s="42" t="s">
        <v>224</v>
      </c>
      <c r="P86" s="60">
        <v>46140.63758101852</v>
      </c>
    </row>
    <row r="87" spans="2:16" x14ac:dyDescent="0.25">
      <c r="B87" s="57" t="s">
        <v>706</v>
      </c>
      <c r="C87" s="49" t="s">
        <v>55</v>
      </c>
      <c r="D87" s="58">
        <v>46140</v>
      </c>
      <c r="E87" s="49" t="s">
        <v>378</v>
      </c>
      <c r="F87" s="56">
        <v>16</v>
      </c>
      <c r="G87" s="42" t="s">
        <v>707</v>
      </c>
      <c r="H87" s="49"/>
      <c r="I87" s="59">
        <v>-16</v>
      </c>
      <c r="J87" s="43" t="s">
        <v>349</v>
      </c>
      <c r="K87" s="49" t="s">
        <v>112</v>
      </c>
      <c r="L87" s="42" t="s">
        <v>181</v>
      </c>
      <c r="M87" s="55">
        <v>-1</v>
      </c>
      <c r="N87" s="49" t="s">
        <v>111</v>
      </c>
      <c r="O87" s="42" t="s">
        <v>224</v>
      </c>
      <c r="P87" s="60">
        <v>46140.688888888893</v>
      </c>
    </row>
    <row r="88" spans="2:16" x14ac:dyDescent="0.25">
      <c r="B88" s="57" t="s">
        <v>708</v>
      </c>
      <c r="C88" s="49" t="s">
        <v>55</v>
      </c>
      <c r="D88" s="58">
        <v>46141</v>
      </c>
      <c r="E88" s="49" t="s">
        <v>335</v>
      </c>
      <c r="F88" s="56">
        <v>2</v>
      </c>
      <c r="G88" s="42" t="s">
        <v>709</v>
      </c>
      <c r="H88" s="49" t="s">
        <v>585</v>
      </c>
      <c r="I88" s="59">
        <v>-2</v>
      </c>
      <c r="J88" s="43" t="s">
        <v>349</v>
      </c>
      <c r="K88" s="49" t="s">
        <v>110</v>
      </c>
      <c r="L88" s="42" t="s">
        <v>199</v>
      </c>
      <c r="M88" s="55">
        <v>-1</v>
      </c>
      <c r="N88" s="49" t="s">
        <v>109</v>
      </c>
      <c r="O88" s="42" t="s">
        <v>196</v>
      </c>
      <c r="P88" s="60">
        <v>46141.418310185189</v>
      </c>
    </row>
    <row r="89" spans="2:16" x14ac:dyDescent="0.25">
      <c r="B89" s="57" t="s">
        <v>710</v>
      </c>
      <c r="C89" s="49" t="s">
        <v>55</v>
      </c>
      <c r="D89" s="58">
        <v>46142</v>
      </c>
      <c r="E89" s="49" t="s">
        <v>374</v>
      </c>
      <c r="F89" s="56">
        <v>78</v>
      </c>
      <c r="G89" s="42" t="s">
        <v>711</v>
      </c>
      <c r="H89" s="49"/>
      <c r="I89" s="59">
        <v>-78</v>
      </c>
      <c r="J89" s="43" t="s">
        <v>349</v>
      </c>
      <c r="K89" s="49" t="s">
        <v>112</v>
      </c>
      <c r="L89" s="42" t="s">
        <v>218</v>
      </c>
      <c r="M89" s="55">
        <v>-1</v>
      </c>
      <c r="N89" s="49" t="s">
        <v>111</v>
      </c>
      <c r="O89" s="42" t="s">
        <v>216</v>
      </c>
      <c r="P89" s="60">
        <v>46142.415092592593</v>
      </c>
    </row>
    <row r="90" spans="2:16" x14ac:dyDescent="0.25">
      <c r="B90" s="57" t="s">
        <v>712</v>
      </c>
      <c r="C90" s="49" t="s">
        <v>55</v>
      </c>
      <c r="D90" s="58">
        <v>46142</v>
      </c>
      <c r="E90" s="49" t="s">
        <v>346</v>
      </c>
      <c r="F90" s="56">
        <v>7</v>
      </c>
      <c r="G90" s="42" t="s">
        <v>713</v>
      </c>
      <c r="H90" s="49" t="s">
        <v>585</v>
      </c>
      <c r="I90" s="59">
        <v>-7</v>
      </c>
      <c r="J90" s="43" t="s">
        <v>349</v>
      </c>
      <c r="K90" s="49" t="s">
        <v>112</v>
      </c>
      <c r="L90" s="42" t="s">
        <v>173</v>
      </c>
      <c r="M90" s="55">
        <v>-1</v>
      </c>
      <c r="N90" s="49" t="s">
        <v>111</v>
      </c>
      <c r="O90" s="42" t="s">
        <v>170</v>
      </c>
      <c r="P90" s="60">
        <v>46142.503599537027</v>
      </c>
    </row>
    <row r="91" spans="2:16" x14ac:dyDescent="0.25">
      <c r="B91" s="57" t="s">
        <v>714</v>
      </c>
      <c r="C91" s="49" t="s">
        <v>55</v>
      </c>
      <c r="D91" s="58">
        <v>46142</v>
      </c>
      <c r="E91" s="49" t="s">
        <v>374</v>
      </c>
      <c r="F91" s="56">
        <v>71.5</v>
      </c>
      <c r="G91" s="42" t="s">
        <v>715</v>
      </c>
      <c r="H91" s="49"/>
      <c r="I91" s="59">
        <v>-71.5</v>
      </c>
      <c r="J91" s="43" t="s">
        <v>349</v>
      </c>
      <c r="K91" s="49" t="s">
        <v>112</v>
      </c>
      <c r="L91" s="42" t="s">
        <v>218</v>
      </c>
      <c r="M91" s="55">
        <v>-1</v>
      </c>
      <c r="N91" s="49" t="s">
        <v>111</v>
      </c>
      <c r="O91" s="42" t="s">
        <v>216</v>
      </c>
      <c r="P91" s="60">
        <v>46142.649247685193</v>
      </c>
    </row>
    <row r="92" spans="2:16" x14ac:dyDescent="0.25">
      <c r="B92" s="57" t="s">
        <v>716</v>
      </c>
      <c r="C92" s="49" t="s">
        <v>55</v>
      </c>
      <c r="D92" s="58">
        <v>46143</v>
      </c>
      <c r="E92" s="49" t="s">
        <v>374</v>
      </c>
      <c r="F92" s="56">
        <v>85.5</v>
      </c>
      <c r="G92" s="42" t="s">
        <v>717</v>
      </c>
      <c r="H92" s="49" t="s">
        <v>604</v>
      </c>
      <c r="I92" s="59">
        <v>-85.5</v>
      </c>
      <c r="J92" s="43" t="s">
        <v>349</v>
      </c>
      <c r="K92" s="49" t="s">
        <v>110</v>
      </c>
      <c r="L92" s="42" t="s">
        <v>218</v>
      </c>
      <c r="M92" s="55">
        <v>-1</v>
      </c>
      <c r="N92" s="49" t="s">
        <v>109</v>
      </c>
      <c r="O92" s="42" t="s">
        <v>216</v>
      </c>
      <c r="P92" s="60">
        <v>46143.517800925933</v>
      </c>
    </row>
    <row r="93" spans="2:16" x14ac:dyDescent="0.25">
      <c r="B93" s="57" t="s">
        <v>718</v>
      </c>
      <c r="C93" s="49" t="s">
        <v>55</v>
      </c>
      <c r="D93" s="58">
        <v>46143</v>
      </c>
      <c r="E93" s="49" t="s">
        <v>410</v>
      </c>
      <c r="F93" s="56">
        <v>8</v>
      </c>
      <c r="G93" s="42" t="s">
        <v>719</v>
      </c>
      <c r="H93" s="49"/>
      <c r="I93" s="59">
        <v>-8</v>
      </c>
      <c r="J93" s="43" t="s">
        <v>349</v>
      </c>
      <c r="K93" s="49" t="s">
        <v>110</v>
      </c>
      <c r="L93" s="42" t="s">
        <v>177</v>
      </c>
      <c r="M93" s="55">
        <v>-1</v>
      </c>
      <c r="N93" s="49" t="s">
        <v>109</v>
      </c>
      <c r="O93" s="42" t="s">
        <v>278</v>
      </c>
      <c r="P93" s="60">
        <v>46143.582511574074</v>
      </c>
    </row>
    <row r="94" spans="2:16" x14ac:dyDescent="0.25">
      <c r="B94" s="57" t="s">
        <v>720</v>
      </c>
      <c r="C94" s="49" t="s">
        <v>55</v>
      </c>
      <c r="D94" s="58">
        <v>46143</v>
      </c>
      <c r="E94" s="49" t="s">
        <v>374</v>
      </c>
      <c r="F94" s="56">
        <v>46.5</v>
      </c>
      <c r="G94" s="42" t="s">
        <v>721</v>
      </c>
      <c r="H94" s="49" t="s">
        <v>593</v>
      </c>
      <c r="I94" s="59">
        <v>-46.5</v>
      </c>
      <c r="J94" s="43" t="s">
        <v>349</v>
      </c>
      <c r="K94" s="49" t="s">
        <v>112</v>
      </c>
      <c r="L94" s="42" t="s">
        <v>218</v>
      </c>
      <c r="M94" s="55">
        <v>-1</v>
      </c>
      <c r="N94" s="49" t="s">
        <v>111</v>
      </c>
      <c r="O94" s="42" t="s">
        <v>216</v>
      </c>
      <c r="P94" s="60">
        <v>46143.637349537043</v>
      </c>
    </row>
    <row r="95" spans="2:16" x14ac:dyDescent="0.25">
      <c r="B95" s="57" t="s">
        <v>722</v>
      </c>
      <c r="C95" s="49" t="s">
        <v>55</v>
      </c>
      <c r="D95" s="58">
        <v>46144</v>
      </c>
      <c r="E95" s="49" t="s">
        <v>400</v>
      </c>
      <c r="F95" s="56">
        <v>9</v>
      </c>
      <c r="G95" s="42" t="s">
        <v>723</v>
      </c>
      <c r="H95" s="49"/>
      <c r="I95" s="59">
        <v>-9</v>
      </c>
      <c r="J95" s="43" t="s">
        <v>349</v>
      </c>
      <c r="K95" s="49" t="s">
        <v>110</v>
      </c>
      <c r="L95" s="42" t="s">
        <v>181</v>
      </c>
      <c r="M95" s="55">
        <v>-1</v>
      </c>
      <c r="N95" s="49" t="s">
        <v>109</v>
      </c>
      <c r="O95" s="42" t="s">
        <v>261</v>
      </c>
      <c r="P95" s="60">
        <v>46144.495833333327</v>
      </c>
    </row>
    <row r="96" spans="2:16" x14ac:dyDescent="0.25">
      <c r="B96" s="57" t="s">
        <v>724</v>
      </c>
      <c r="C96" s="49" t="s">
        <v>55</v>
      </c>
      <c r="D96" s="58">
        <v>46144</v>
      </c>
      <c r="E96" s="49" t="s">
        <v>404</v>
      </c>
      <c r="F96" s="56">
        <v>5</v>
      </c>
      <c r="G96" s="42" t="s">
        <v>725</v>
      </c>
      <c r="H96" s="49" t="s">
        <v>671</v>
      </c>
      <c r="I96" s="59">
        <v>-5</v>
      </c>
      <c r="J96" s="43" t="s">
        <v>349</v>
      </c>
      <c r="K96" s="49" t="s">
        <v>112</v>
      </c>
      <c r="L96" s="42" t="s">
        <v>173</v>
      </c>
      <c r="M96" s="55">
        <v>-1</v>
      </c>
      <c r="N96" s="49" t="s">
        <v>111</v>
      </c>
      <c r="O96" s="42" t="s">
        <v>267</v>
      </c>
      <c r="P96" s="60">
        <v>46144.624513888892</v>
      </c>
    </row>
    <row r="97" spans="2:16" x14ac:dyDescent="0.25">
      <c r="B97" s="57" t="s">
        <v>726</v>
      </c>
      <c r="C97" s="49" t="s">
        <v>55</v>
      </c>
      <c r="D97" s="58">
        <v>46144</v>
      </c>
      <c r="E97" s="49" t="s">
        <v>412</v>
      </c>
      <c r="F97" s="56">
        <v>6</v>
      </c>
      <c r="G97" s="42" t="s">
        <v>727</v>
      </c>
      <c r="H97" s="49"/>
      <c r="I97" s="59">
        <v>-6</v>
      </c>
      <c r="J97" s="43" t="s">
        <v>349</v>
      </c>
      <c r="K97" s="49" t="s">
        <v>110</v>
      </c>
      <c r="L97" s="42" t="s">
        <v>181</v>
      </c>
      <c r="M97" s="55">
        <v>-1</v>
      </c>
      <c r="N97" s="49" t="s">
        <v>109</v>
      </c>
      <c r="O97" s="42" t="s">
        <v>281</v>
      </c>
      <c r="P97" s="60">
        <v>46144.707777777781</v>
      </c>
    </row>
    <row r="98" spans="2:16" x14ac:dyDescent="0.25">
      <c r="B98" s="57" t="s">
        <v>728</v>
      </c>
      <c r="C98" s="49" t="s">
        <v>55</v>
      </c>
      <c r="D98" s="58">
        <v>46144</v>
      </c>
      <c r="E98" s="49" t="s">
        <v>374</v>
      </c>
      <c r="F98" s="56">
        <v>117</v>
      </c>
      <c r="G98" s="42" t="s">
        <v>729</v>
      </c>
      <c r="H98" s="49" t="s">
        <v>671</v>
      </c>
      <c r="I98" s="59">
        <v>-117</v>
      </c>
      <c r="J98" s="43" t="s">
        <v>349</v>
      </c>
      <c r="K98" s="49" t="s">
        <v>112</v>
      </c>
      <c r="L98" s="42" t="s">
        <v>218</v>
      </c>
      <c r="M98" s="55">
        <v>-1</v>
      </c>
      <c r="N98" s="49" t="s">
        <v>111</v>
      </c>
      <c r="O98" s="42" t="s">
        <v>216</v>
      </c>
      <c r="P98" s="60">
        <v>46144.713263888887</v>
      </c>
    </row>
    <row r="99" spans="2:16" x14ac:dyDescent="0.25">
      <c r="B99" s="57" t="s">
        <v>730</v>
      </c>
      <c r="C99" s="49" t="s">
        <v>55</v>
      </c>
      <c r="D99" s="58">
        <v>46146</v>
      </c>
      <c r="E99" s="49" t="s">
        <v>378</v>
      </c>
      <c r="F99" s="56">
        <v>42</v>
      </c>
      <c r="G99" s="42" t="s">
        <v>731</v>
      </c>
      <c r="H99" s="49" t="s">
        <v>609</v>
      </c>
      <c r="I99" s="59">
        <v>-42</v>
      </c>
      <c r="J99" s="43" t="s">
        <v>349</v>
      </c>
      <c r="K99" s="49" t="s">
        <v>110</v>
      </c>
      <c r="L99" s="42" t="s">
        <v>181</v>
      </c>
      <c r="M99" s="55">
        <v>-1</v>
      </c>
      <c r="N99" s="49" t="s">
        <v>109</v>
      </c>
      <c r="O99" s="42" t="s">
        <v>224</v>
      </c>
      <c r="P99" s="60">
        <v>46146.417731481481</v>
      </c>
    </row>
    <row r="100" spans="2:16" x14ac:dyDescent="0.25">
      <c r="B100" s="57" t="s">
        <v>732</v>
      </c>
      <c r="C100" s="49" t="s">
        <v>55</v>
      </c>
      <c r="D100" s="58">
        <v>46146</v>
      </c>
      <c r="E100" s="49" t="s">
        <v>412</v>
      </c>
      <c r="F100" s="56">
        <v>9</v>
      </c>
      <c r="G100" s="42" t="s">
        <v>733</v>
      </c>
      <c r="H100" s="49" t="s">
        <v>593</v>
      </c>
      <c r="I100" s="59">
        <v>-9</v>
      </c>
      <c r="J100" s="43" t="s">
        <v>349</v>
      </c>
      <c r="K100" s="49" t="s">
        <v>110</v>
      </c>
      <c r="L100" s="42" t="s">
        <v>181</v>
      </c>
      <c r="M100" s="55">
        <v>-1</v>
      </c>
      <c r="N100" s="49" t="s">
        <v>109</v>
      </c>
      <c r="O100" s="42" t="s">
        <v>281</v>
      </c>
      <c r="P100" s="60">
        <v>46146.462222222217</v>
      </c>
    </row>
    <row r="101" spans="2:16" x14ac:dyDescent="0.25">
      <c r="B101" s="57" t="s">
        <v>734</v>
      </c>
      <c r="C101" s="49" t="s">
        <v>55</v>
      </c>
      <c r="D101" s="58">
        <v>46146</v>
      </c>
      <c r="E101" s="49" t="s">
        <v>396</v>
      </c>
      <c r="F101" s="56">
        <v>22</v>
      </c>
      <c r="G101" s="42" t="s">
        <v>735</v>
      </c>
      <c r="H101" s="49" t="s">
        <v>585</v>
      </c>
      <c r="I101" s="59">
        <v>-22</v>
      </c>
      <c r="J101" s="43" t="s">
        <v>349</v>
      </c>
      <c r="K101" s="49" t="s">
        <v>112</v>
      </c>
      <c r="L101" s="42" t="s">
        <v>256</v>
      </c>
      <c r="M101" s="55">
        <v>-1</v>
      </c>
      <c r="N101" s="49" t="s">
        <v>111</v>
      </c>
      <c r="O101" s="42" t="s">
        <v>253</v>
      </c>
      <c r="P101" s="60">
        <v>46146.532997685194</v>
      </c>
    </row>
    <row r="102" spans="2:16" x14ac:dyDescent="0.25">
      <c r="B102" s="57" t="s">
        <v>736</v>
      </c>
      <c r="C102" s="49" t="s">
        <v>55</v>
      </c>
      <c r="D102" s="58">
        <v>46146</v>
      </c>
      <c r="E102" s="49" t="s">
        <v>364</v>
      </c>
      <c r="F102" s="56">
        <v>27</v>
      </c>
      <c r="G102" s="42" t="s">
        <v>737</v>
      </c>
      <c r="H102" s="49"/>
      <c r="I102" s="59">
        <v>-27</v>
      </c>
      <c r="J102" s="43" t="s">
        <v>349</v>
      </c>
      <c r="K102" s="49" t="s">
        <v>110</v>
      </c>
      <c r="L102" s="42" t="s">
        <v>181</v>
      </c>
      <c r="M102" s="55">
        <v>-1</v>
      </c>
      <c r="N102" s="49" t="s">
        <v>109</v>
      </c>
      <c r="O102" s="42" t="s">
        <v>201</v>
      </c>
      <c r="P102" s="60">
        <v>46146.66505787037</v>
      </c>
    </row>
    <row r="103" spans="2:16" x14ac:dyDescent="0.25">
      <c r="B103" s="57" t="s">
        <v>738</v>
      </c>
      <c r="C103" s="49" t="s">
        <v>55</v>
      </c>
      <c r="D103" s="58">
        <v>46147</v>
      </c>
      <c r="E103" s="49" t="s">
        <v>366</v>
      </c>
      <c r="F103" s="56">
        <v>18</v>
      </c>
      <c r="G103" s="42" t="s">
        <v>739</v>
      </c>
      <c r="H103" s="49"/>
      <c r="I103" s="59">
        <v>-18</v>
      </c>
      <c r="J103" s="43" t="s">
        <v>349</v>
      </c>
      <c r="K103" s="49" t="s">
        <v>110</v>
      </c>
      <c r="L103" s="42" t="s">
        <v>181</v>
      </c>
      <c r="M103" s="55">
        <v>-1</v>
      </c>
      <c r="N103" s="49" t="s">
        <v>109</v>
      </c>
      <c r="O103" s="42" t="s">
        <v>204</v>
      </c>
      <c r="P103" s="60">
        <v>46147.426782407398</v>
      </c>
    </row>
    <row r="104" spans="2:16" x14ac:dyDescent="0.25">
      <c r="B104" s="57" t="s">
        <v>740</v>
      </c>
      <c r="C104" s="49" t="s">
        <v>55</v>
      </c>
      <c r="D104" s="58">
        <v>46147</v>
      </c>
      <c r="E104" s="49" t="s">
        <v>374</v>
      </c>
      <c r="F104" s="56">
        <v>46</v>
      </c>
      <c r="G104" s="42" t="s">
        <v>741</v>
      </c>
      <c r="H104" s="49" t="s">
        <v>593</v>
      </c>
      <c r="I104" s="59">
        <v>-46</v>
      </c>
      <c r="J104" s="43" t="s">
        <v>349</v>
      </c>
      <c r="K104" s="49" t="s">
        <v>110</v>
      </c>
      <c r="L104" s="42" t="s">
        <v>218</v>
      </c>
      <c r="M104" s="55">
        <v>-1</v>
      </c>
      <c r="N104" s="49" t="s">
        <v>109</v>
      </c>
      <c r="O104" s="42" t="s">
        <v>216</v>
      </c>
      <c r="P104" s="60">
        <v>46147.44259259259</v>
      </c>
    </row>
    <row r="105" spans="2:16" x14ac:dyDescent="0.25">
      <c r="B105" s="57" t="s">
        <v>742</v>
      </c>
      <c r="C105" s="49" t="s">
        <v>55</v>
      </c>
      <c r="D105" s="58">
        <v>46147</v>
      </c>
      <c r="E105" s="49" t="s">
        <v>414</v>
      </c>
      <c r="F105" s="56">
        <v>20.5</v>
      </c>
      <c r="G105" s="42" t="s">
        <v>743</v>
      </c>
      <c r="H105" s="49" t="s">
        <v>612</v>
      </c>
      <c r="I105" s="59">
        <v>-20.5</v>
      </c>
      <c r="J105" s="43" t="s">
        <v>349</v>
      </c>
      <c r="K105" s="49" t="s">
        <v>110</v>
      </c>
      <c r="L105" s="42" t="s">
        <v>286</v>
      </c>
      <c r="M105" s="55">
        <v>-1</v>
      </c>
      <c r="N105" s="49" t="s">
        <v>109</v>
      </c>
      <c r="O105" s="42" t="s">
        <v>284</v>
      </c>
      <c r="P105" s="60">
        <v>46147.610694444447</v>
      </c>
    </row>
    <row r="106" spans="2:16" x14ac:dyDescent="0.25">
      <c r="B106" s="57" t="s">
        <v>744</v>
      </c>
      <c r="C106" s="49" t="s">
        <v>55</v>
      </c>
      <c r="D106" s="58">
        <v>46148</v>
      </c>
      <c r="E106" s="49" t="s">
        <v>351</v>
      </c>
      <c r="F106" s="56">
        <v>11</v>
      </c>
      <c r="G106" s="42" t="s">
        <v>745</v>
      </c>
      <c r="H106" s="49" t="s">
        <v>593</v>
      </c>
      <c r="I106" s="59">
        <v>-11</v>
      </c>
      <c r="J106" s="43" t="s">
        <v>349</v>
      </c>
      <c r="K106" s="49" t="s">
        <v>110</v>
      </c>
      <c r="L106" s="42" t="s">
        <v>177</v>
      </c>
      <c r="M106" s="55">
        <v>-1</v>
      </c>
      <c r="N106" s="49" t="s">
        <v>109</v>
      </c>
      <c r="O106" s="42" t="s">
        <v>175</v>
      </c>
      <c r="P106" s="60">
        <v>46148.507974537039</v>
      </c>
    </row>
    <row r="107" spans="2:16" x14ac:dyDescent="0.25">
      <c r="B107" s="57" t="s">
        <v>746</v>
      </c>
      <c r="C107" s="49" t="s">
        <v>55</v>
      </c>
      <c r="D107" s="58">
        <v>46148</v>
      </c>
      <c r="E107" s="49" t="s">
        <v>364</v>
      </c>
      <c r="F107" s="56">
        <v>27</v>
      </c>
      <c r="G107" s="42" t="s">
        <v>747</v>
      </c>
      <c r="H107" s="49"/>
      <c r="I107" s="59">
        <v>-27</v>
      </c>
      <c r="J107" s="43" t="s">
        <v>349</v>
      </c>
      <c r="K107" s="49" t="s">
        <v>112</v>
      </c>
      <c r="L107" s="42" t="s">
        <v>181</v>
      </c>
      <c r="M107" s="55">
        <v>-1</v>
      </c>
      <c r="N107" s="49" t="s">
        <v>111</v>
      </c>
      <c r="O107" s="42" t="s">
        <v>201</v>
      </c>
      <c r="P107" s="60">
        <v>46148.542627314811</v>
      </c>
    </row>
    <row r="108" spans="2:16" x14ac:dyDescent="0.25">
      <c r="B108" s="57" t="s">
        <v>748</v>
      </c>
      <c r="C108" s="49" t="s">
        <v>55</v>
      </c>
      <c r="D108" s="58">
        <v>46149</v>
      </c>
      <c r="E108" s="49" t="s">
        <v>414</v>
      </c>
      <c r="F108" s="56">
        <v>25</v>
      </c>
      <c r="G108" s="42" t="s">
        <v>749</v>
      </c>
      <c r="H108" s="49"/>
      <c r="I108" s="59">
        <v>-25</v>
      </c>
      <c r="J108" s="43" t="s">
        <v>349</v>
      </c>
      <c r="K108" s="49" t="s">
        <v>112</v>
      </c>
      <c r="L108" s="42" t="s">
        <v>286</v>
      </c>
      <c r="M108" s="55">
        <v>-1</v>
      </c>
      <c r="N108" s="49" t="s">
        <v>111</v>
      </c>
      <c r="O108" s="42" t="s">
        <v>284</v>
      </c>
      <c r="P108" s="60">
        <v>46149.459675925929</v>
      </c>
    </row>
    <row r="109" spans="2:16" x14ac:dyDescent="0.25">
      <c r="B109" s="57" t="s">
        <v>750</v>
      </c>
      <c r="C109" s="49" t="s">
        <v>55</v>
      </c>
      <c r="D109" s="58">
        <v>46149</v>
      </c>
      <c r="E109" s="49" t="s">
        <v>384</v>
      </c>
      <c r="F109" s="56">
        <v>39</v>
      </c>
      <c r="G109" s="42" t="s">
        <v>751</v>
      </c>
      <c r="H109" s="49"/>
      <c r="I109" s="59">
        <v>-39</v>
      </c>
      <c r="J109" s="43" t="s">
        <v>349</v>
      </c>
      <c r="K109" s="49" t="s">
        <v>112</v>
      </c>
      <c r="L109" s="42" t="s">
        <v>181</v>
      </c>
      <c r="M109" s="55">
        <v>-1</v>
      </c>
      <c r="N109" s="49" t="s">
        <v>111</v>
      </c>
      <c r="O109" s="42" t="s">
        <v>233</v>
      </c>
      <c r="P109" s="60">
        <v>46149.584143518521</v>
      </c>
    </row>
    <row r="110" spans="2:16" x14ac:dyDescent="0.25">
      <c r="B110" s="57" t="s">
        <v>752</v>
      </c>
      <c r="C110" s="49" t="s">
        <v>55</v>
      </c>
      <c r="D110" s="58">
        <v>46150</v>
      </c>
      <c r="E110" s="49" t="s">
        <v>372</v>
      </c>
      <c r="F110" s="56">
        <v>11</v>
      </c>
      <c r="G110" s="42" t="s">
        <v>753</v>
      </c>
      <c r="H110" s="49"/>
      <c r="I110" s="59">
        <v>-11</v>
      </c>
      <c r="J110" s="43" t="s">
        <v>349</v>
      </c>
      <c r="K110" s="49" t="s">
        <v>112</v>
      </c>
      <c r="L110" s="42" t="s">
        <v>181</v>
      </c>
      <c r="M110" s="55">
        <v>-1</v>
      </c>
      <c r="N110" s="49" t="s">
        <v>111</v>
      </c>
      <c r="O110" s="42" t="s">
        <v>213</v>
      </c>
      <c r="P110" s="60">
        <v>46150.534444444442</v>
      </c>
    </row>
    <row r="111" spans="2:16" x14ac:dyDescent="0.25">
      <c r="B111" s="57" t="s">
        <v>754</v>
      </c>
      <c r="C111" s="49" t="s">
        <v>55</v>
      </c>
      <c r="D111" s="58">
        <v>46150</v>
      </c>
      <c r="E111" s="49" t="s">
        <v>408</v>
      </c>
      <c r="F111" s="56">
        <v>4.5</v>
      </c>
      <c r="G111" s="42" t="s">
        <v>755</v>
      </c>
      <c r="H111" s="49"/>
      <c r="I111" s="59">
        <v>-4.5</v>
      </c>
      <c r="J111" s="43" t="s">
        <v>349</v>
      </c>
      <c r="K111" s="49" t="s">
        <v>112</v>
      </c>
      <c r="L111" s="42" t="s">
        <v>276</v>
      </c>
      <c r="M111" s="55">
        <v>-1</v>
      </c>
      <c r="N111" s="49" t="s">
        <v>111</v>
      </c>
      <c r="O111" s="42" t="s">
        <v>274</v>
      </c>
      <c r="P111" s="60">
        <v>46150.607812499999</v>
      </c>
    </row>
    <row r="112" spans="2:16" x14ac:dyDescent="0.25">
      <c r="B112" s="57" t="s">
        <v>756</v>
      </c>
      <c r="C112" s="49" t="s">
        <v>55</v>
      </c>
      <c r="D112" s="58">
        <v>46151</v>
      </c>
      <c r="E112" s="49" t="s">
        <v>374</v>
      </c>
      <c r="F112" s="56">
        <v>67.5</v>
      </c>
      <c r="G112" s="42" t="s">
        <v>757</v>
      </c>
      <c r="H112" s="49" t="s">
        <v>585</v>
      </c>
      <c r="I112" s="59">
        <v>-67.5</v>
      </c>
      <c r="J112" s="43" t="s">
        <v>349</v>
      </c>
      <c r="K112" s="49" t="s">
        <v>112</v>
      </c>
      <c r="L112" s="42" t="s">
        <v>218</v>
      </c>
      <c r="M112" s="55">
        <v>-1</v>
      </c>
      <c r="N112" s="49" t="s">
        <v>111</v>
      </c>
      <c r="O112" s="42" t="s">
        <v>216</v>
      </c>
      <c r="P112" s="60">
        <v>46151.517581018517</v>
      </c>
    </row>
    <row r="113" spans="2:16" x14ac:dyDescent="0.25">
      <c r="B113" s="57" t="s">
        <v>758</v>
      </c>
      <c r="C113" s="49" t="s">
        <v>55</v>
      </c>
      <c r="D113" s="58">
        <v>46153</v>
      </c>
      <c r="E113" s="49" t="s">
        <v>382</v>
      </c>
      <c r="F113" s="56">
        <v>10</v>
      </c>
      <c r="G113" s="42" t="s">
        <v>759</v>
      </c>
      <c r="H113" s="49"/>
      <c r="I113" s="59">
        <v>-10</v>
      </c>
      <c r="J113" s="43" t="s">
        <v>349</v>
      </c>
      <c r="K113" s="49" t="s">
        <v>112</v>
      </c>
      <c r="L113" s="42" t="s">
        <v>181</v>
      </c>
      <c r="M113" s="55">
        <v>-1</v>
      </c>
      <c r="N113" s="49" t="s">
        <v>111</v>
      </c>
      <c r="O113" s="42" t="s">
        <v>230</v>
      </c>
      <c r="P113" s="60">
        <v>46153.390208333331</v>
      </c>
    </row>
    <row r="114" spans="2:16" x14ac:dyDescent="0.25">
      <c r="B114" s="57" t="s">
        <v>760</v>
      </c>
      <c r="C114" s="49" t="s">
        <v>55</v>
      </c>
      <c r="D114" s="58">
        <v>46153</v>
      </c>
      <c r="E114" s="49" t="s">
        <v>374</v>
      </c>
      <c r="F114" s="56">
        <v>121.5</v>
      </c>
      <c r="G114" s="42" t="s">
        <v>761</v>
      </c>
      <c r="H114" s="49" t="s">
        <v>588</v>
      </c>
      <c r="I114" s="59">
        <v>-121.5</v>
      </c>
      <c r="J114" s="43" t="s">
        <v>349</v>
      </c>
      <c r="K114" s="49" t="s">
        <v>112</v>
      </c>
      <c r="L114" s="42" t="s">
        <v>218</v>
      </c>
      <c r="M114" s="55">
        <v>-1</v>
      </c>
      <c r="N114" s="49" t="s">
        <v>111</v>
      </c>
      <c r="O114" s="42" t="s">
        <v>216</v>
      </c>
      <c r="P114" s="60">
        <v>46153.3903125</v>
      </c>
    </row>
    <row r="115" spans="2:16" x14ac:dyDescent="0.25">
      <c r="B115" s="57" t="s">
        <v>762</v>
      </c>
      <c r="C115" s="49" t="s">
        <v>55</v>
      </c>
      <c r="D115" s="58">
        <v>46153</v>
      </c>
      <c r="E115" s="49" t="s">
        <v>374</v>
      </c>
      <c r="F115" s="56">
        <v>82.5</v>
      </c>
      <c r="G115" s="42" t="s">
        <v>763</v>
      </c>
      <c r="H115" s="49"/>
      <c r="I115" s="59">
        <v>-82.5</v>
      </c>
      <c r="J115" s="43" t="s">
        <v>349</v>
      </c>
      <c r="K115" s="49" t="s">
        <v>112</v>
      </c>
      <c r="L115" s="42" t="s">
        <v>218</v>
      </c>
      <c r="M115" s="55">
        <v>-1</v>
      </c>
      <c r="N115" s="49" t="s">
        <v>111</v>
      </c>
      <c r="O115" s="42" t="s">
        <v>216</v>
      </c>
      <c r="P115" s="60">
        <v>46153.458402777767</v>
      </c>
    </row>
    <row r="116" spans="2:16" x14ac:dyDescent="0.25">
      <c r="B116" s="57" t="s">
        <v>764</v>
      </c>
      <c r="C116" s="49" t="s">
        <v>55</v>
      </c>
      <c r="D116" s="58">
        <v>46154</v>
      </c>
      <c r="E116" s="49" t="s">
        <v>410</v>
      </c>
      <c r="F116" s="56">
        <v>16</v>
      </c>
      <c r="G116" s="42" t="s">
        <v>765</v>
      </c>
      <c r="H116" s="49"/>
      <c r="I116" s="59">
        <v>-16</v>
      </c>
      <c r="J116" s="43" t="s">
        <v>349</v>
      </c>
      <c r="K116" s="49" t="s">
        <v>110</v>
      </c>
      <c r="L116" s="42" t="s">
        <v>177</v>
      </c>
      <c r="M116" s="55">
        <v>-1</v>
      </c>
      <c r="N116" s="49" t="s">
        <v>109</v>
      </c>
      <c r="O116" s="42" t="s">
        <v>278</v>
      </c>
      <c r="P116" s="60">
        <v>46154.483564814807</v>
      </c>
    </row>
    <row r="117" spans="2:16" x14ac:dyDescent="0.25">
      <c r="B117" s="57" t="s">
        <v>766</v>
      </c>
      <c r="C117" s="49" t="s">
        <v>55</v>
      </c>
      <c r="D117" s="58">
        <v>46154</v>
      </c>
      <c r="E117" s="49" t="s">
        <v>396</v>
      </c>
      <c r="F117" s="56">
        <v>32</v>
      </c>
      <c r="G117" s="42" t="s">
        <v>767</v>
      </c>
      <c r="H117" s="49" t="s">
        <v>604</v>
      </c>
      <c r="I117" s="59">
        <v>-32</v>
      </c>
      <c r="J117" s="43" t="s">
        <v>349</v>
      </c>
      <c r="K117" s="49" t="s">
        <v>112</v>
      </c>
      <c r="L117" s="42" t="s">
        <v>256</v>
      </c>
      <c r="M117" s="55">
        <v>-1</v>
      </c>
      <c r="N117" s="49" t="s">
        <v>111</v>
      </c>
      <c r="O117" s="42" t="s">
        <v>253</v>
      </c>
      <c r="P117" s="60">
        <v>46154.503807870373</v>
      </c>
    </row>
    <row r="118" spans="2:16" x14ac:dyDescent="0.25">
      <c r="B118" s="57" t="s">
        <v>768</v>
      </c>
      <c r="C118" s="49" t="s">
        <v>55</v>
      </c>
      <c r="D118" s="58">
        <v>46154</v>
      </c>
      <c r="E118" s="49" t="s">
        <v>364</v>
      </c>
      <c r="F118" s="56">
        <v>36</v>
      </c>
      <c r="G118" s="42" t="s">
        <v>769</v>
      </c>
      <c r="H118" s="49" t="s">
        <v>585</v>
      </c>
      <c r="I118" s="59">
        <v>-36</v>
      </c>
      <c r="J118" s="43" t="s">
        <v>349</v>
      </c>
      <c r="K118" s="49" t="s">
        <v>112</v>
      </c>
      <c r="L118" s="42" t="s">
        <v>181</v>
      </c>
      <c r="M118" s="55">
        <v>-1</v>
      </c>
      <c r="N118" s="49" t="s">
        <v>111</v>
      </c>
      <c r="O118" s="42" t="s">
        <v>201</v>
      </c>
      <c r="P118" s="60">
        <v>46154.6249537037</v>
      </c>
    </row>
    <row r="119" spans="2:16" x14ac:dyDescent="0.25">
      <c r="B119" s="57" t="s">
        <v>770</v>
      </c>
      <c r="C119" s="49" t="s">
        <v>55</v>
      </c>
      <c r="D119" s="58">
        <v>46155</v>
      </c>
      <c r="E119" s="49" t="s">
        <v>372</v>
      </c>
      <c r="F119" s="56">
        <v>17</v>
      </c>
      <c r="G119" s="42" t="s">
        <v>771</v>
      </c>
      <c r="H119" s="49" t="s">
        <v>612</v>
      </c>
      <c r="I119" s="59">
        <v>-17</v>
      </c>
      <c r="J119" s="43" t="s">
        <v>349</v>
      </c>
      <c r="K119" s="49" t="s">
        <v>110</v>
      </c>
      <c r="L119" s="42" t="s">
        <v>181</v>
      </c>
      <c r="M119" s="55">
        <v>-1</v>
      </c>
      <c r="N119" s="49" t="s">
        <v>109</v>
      </c>
      <c r="O119" s="42" t="s">
        <v>213</v>
      </c>
      <c r="P119" s="60">
        <v>46155.324050925927</v>
      </c>
    </row>
    <row r="120" spans="2:16" x14ac:dyDescent="0.25">
      <c r="B120" s="57" t="s">
        <v>772</v>
      </c>
      <c r="C120" s="49" t="s">
        <v>55</v>
      </c>
      <c r="D120" s="58">
        <v>46155</v>
      </c>
      <c r="E120" s="49" t="s">
        <v>364</v>
      </c>
      <c r="F120" s="56">
        <v>21</v>
      </c>
      <c r="G120" s="42" t="s">
        <v>773</v>
      </c>
      <c r="H120" s="49"/>
      <c r="I120" s="59">
        <v>-21</v>
      </c>
      <c r="J120" s="43" t="s">
        <v>349</v>
      </c>
      <c r="K120" s="49" t="s">
        <v>112</v>
      </c>
      <c r="L120" s="42" t="s">
        <v>181</v>
      </c>
      <c r="M120" s="55">
        <v>-1</v>
      </c>
      <c r="N120" s="49" t="s">
        <v>111</v>
      </c>
      <c r="O120" s="42" t="s">
        <v>201</v>
      </c>
      <c r="P120" s="60">
        <v>46155.37804398148</v>
      </c>
    </row>
    <row r="121" spans="2:16" x14ac:dyDescent="0.25">
      <c r="B121" s="57" t="s">
        <v>774</v>
      </c>
      <c r="C121" s="49" t="s">
        <v>55</v>
      </c>
      <c r="D121" s="58">
        <v>46156</v>
      </c>
      <c r="E121" s="49" t="s">
        <v>374</v>
      </c>
      <c r="F121" s="56">
        <v>94.5</v>
      </c>
      <c r="G121" s="42" t="s">
        <v>775</v>
      </c>
      <c r="H121" s="49" t="s">
        <v>593</v>
      </c>
      <c r="I121" s="59">
        <v>-94.5</v>
      </c>
      <c r="J121" s="43" t="s">
        <v>349</v>
      </c>
      <c r="K121" s="49" t="s">
        <v>112</v>
      </c>
      <c r="L121" s="42" t="s">
        <v>218</v>
      </c>
      <c r="M121" s="55">
        <v>-1</v>
      </c>
      <c r="N121" s="49" t="s">
        <v>111</v>
      </c>
      <c r="O121" s="42" t="s">
        <v>216</v>
      </c>
      <c r="P121" s="60">
        <v>46156.322060185194</v>
      </c>
    </row>
    <row r="122" spans="2:16" x14ac:dyDescent="0.25">
      <c r="B122" s="57" t="s">
        <v>776</v>
      </c>
      <c r="C122" s="49" t="s">
        <v>55</v>
      </c>
      <c r="D122" s="58">
        <v>46156</v>
      </c>
      <c r="E122" s="49" t="s">
        <v>374</v>
      </c>
      <c r="F122" s="56">
        <v>104.5</v>
      </c>
      <c r="G122" s="42" t="s">
        <v>777</v>
      </c>
      <c r="H122" s="49"/>
      <c r="I122" s="59">
        <v>-104.5</v>
      </c>
      <c r="J122" s="43" t="s">
        <v>349</v>
      </c>
      <c r="K122" s="49" t="s">
        <v>112</v>
      </c>
      <c r="L122" s="42" t="s">
        <v>218</v>
      </c>
      <c r="M122" s="55">
        <v>-1</v>
      </c>
      <c r="N122" s="49" t="s">
        <v>111</v>
      </c>
      <c r="O122" s="42" t="s">
        <v>216</v>
      </c>
      <c r="P122" s="60">
        <v>46156.342997685177</v>
      </c>
    </row>
    <row r="123" spans="2:16" x14ac:dyDescent="0.25">
      <c r="B123" s="57" t="s">
        <v>778</v>
      </c>
      <c r="C123" s="49" t="s">
        <v>55</v>
      </c>
      <c r="D123" s="58">
        <v>46156</v>
      </c>
      <c r="E123" s="49" t="s">
        <v>400</v>
      </c>
      <c r="F123" s="56">
        <v>9</v>
      </c>
      <c r="G123" s="42" t="s">
        <v>779</v>
      </c>
      <c r="H123" s="49" t="s">
        <v>671</v>
      </c>
      <c r="I123" s="59">
        <v>-9</v>
      </c>
      <c r="J123" s="43" t="s">
        <v>349</v>
      </c>
      <c r="K123" s="49" t="s">
        <v>110</v>
      </c>
      <c r="L123" s="42" t="s">
        <v>181</v>
      </c>
      <c r="M123" s="55">
        <v>-1</v>
      </c>
      <c r="N123" s="49" t="s">
        <v>109</v>
      </c>
      <c r="O123" s="42" t="s">
        <v>261</v>
      </c>
      <c r="P123" s="60">
        <v>46156.418078703697</v>
      </c>
    </row>
    <row r="124" spans="2:16" x14ac:dyDescent="0.25">
      <c r="B124" s="57" t="s">
        <v>780</v>
      </c>
      <c r="C124" s="49" t="s">
        <v>55</v>
      </c>
      <c r="D124" s="58">
        <v>46157</v>
      </c>
      <c r="E124" s="49" t="s">
        <v>414</v>
      </c>
      <c r="F124" s="56">
        <v>19</v>
      </c>
      <c r="G124" s="42" t="s">
        <v>781</v>
      </c>
      <c r="H124" s="49"/>
      <c r="I124" s="59">
        <v>-19</v>
      </c>
      <c r="J124" s="43" t="s">
        <v>349</v>
      </c>
      <c r="K124" s="49" t="s">
        <v>110</v>
      </c>
      <c r="L124" s="42" t="s">
        <v>286</v>
      </c>
      <c r="M124" s="55">
        <v>-1</v>
      </c>
      <c r="N124" s="49" t="s">
        <v>109</v>
      </c>
      <c r="O124" s="42" t="s">
        <v>284</v>
      </c>
      <c r="P124" s="60">
        <v>46157.473969907413</v>
      </c>
    </row>
    <row r="125" spans="2:16" x14ac:dyDescent="0.25">
      <c r="B125" s="57" t="s">
        <v>782</v>
      </c>
      <c r="C125" s="49" t="s">
        <v>55</v>
      </c>
      <c r="D125" s="58">
        <v>46157</v>
      </c>
      <c r="E125" s="49" t="s">
        <v>370</v>
      </c>
      <c r="F125" s="56">
        <v>16</v>
      </c>
      <c r="G125" s="42" t="s">
        <v>783</v>
      </c>
      <c r="H125" s="49" t="s">
        <v>585</v>
      </c>
      <c r="I125" s="59">
        <v>-16</v>
      </c>
      <c r="J125" s="43" t="s">
        <v>349</v>
      </c>
      <c r="K125" s="49" t="s">
        <v>110</v>
      </c>
      <c r="L125" s="42" t="s">
        <v>181</v>
      </c>
      <c r="M125" s="55">
        <v>-1</v>
      </c>
      <c r="N125" s="49" t="s">
        <v>109</v>
      </c>
      <c r="O125" s="42" t="s">
        <v>210</v>
      </c>
      <c r="P125" s="60">
        <v>46157.617766203701</v>
      </c>
    </row>
    <row r="126" spans="2:16" x14ac:dyDescent="0.25">
      <c r="B126" s="57" t="s">
        <v>784</v>
      </c>
      <c r="C126" s="49" t="s">
        <v>55</v>
      </c>
      <c r="D126" s="58">
        <v>46158</v>
      </c>
      <c r="E126" s="49" t="s">
        <v>374</v>
      </c>
      <c r="F126" s="56">
        <v>78.5</v>
      </c>
      <c r="G126" s="42" t="s">
        <v>785</v>
      </c>
      <c r="H126" s="49" t="s">
        <v>593</v>
      </c>
      <c r="I126" s="59">
        <v>-78.5</v>
      </c>
      <c r="J126" s="43" t="s">
        <v>349</v>
      </c>
      <c r="K126" s="49" t="s">
        <v>110</v>
      </c>
      <c r="L126" s="42" t="s">
        <v>218</v>
      </c>
      <c r="M126" s="55">
        <v>-1</v>
      </c>
      <c r="N126" s="49" t="s">
        <v>109</v>
      </c>
      <c r="O126" s="42" t="s">
        <v>216</v>
      </c>
      <c r="P126" s="60">
        <v>46158.518310185187</v>
      </c>
    </row>
    <row r="127" spans="2:16" x14ac:dyDescent="0.25">
      <c r="B127" s="57" t="s">
        <v>786</v>
      </c>
      <c r="C127" s="49" t="s">
        <v>55</v>
      </c>
      <c r="D127" s="58">
        <v>46158</v>
      </c>
      <c r="E127" s="49" t="s">
        <v>410</v>
      </c>
      <c r="F127" s="56">
        <v>27</v>
      </c>
      <c r="G127" s="42" t="s">
        <v>787</v>
      </c>
      <c r="H127" s="49" t="s">
        <v>585</v>
      </c>
      <c r="I127" s="59">
        <v>-27</v>
      </c>
      <c r="J127" s="43" t="s">
        <v>349</v>
      </c>
      <c r="K127" s="49" t="s">
        <v>112</v>
      </c>
      <c r="L127" s="42" t="s">
        <v>177</v>
      </c>
      <c r="M127" s="55">
        <v>-1</v>
      </c>
      <c r="N127" s="49" t="s">
        <v>111</v>
      </c>
      <c r="O127" s="42" t="s">
        <v>278</v>
      </c>
      <c r="P127" s="60">
        <v>46158.547847222217</v>
      </c>
    </row>
    <row r="128" spans="2:16" x14ac:dyDescent="0.25">
      <c r="B128" s="57" t="s">
        <v>788</v>
      </c>
      <c r="C128" s="49" t="s">
        <v>55</v>
      </c>
      <c r="D128" s="58">
        <v>46158</v>
      </c>
      <c r="E128" s="49" t="s">
        <v>366</v>
      </c>
      <c r="F128" s="56">
        <v>5</v>
      </c>
      <c r="G128" s="42" t="s">
        <v>789</v>
      </c>
      <c r="H128" s="49" t="s">
        <v>593</v>
      </c>
      <c r="I128" s="59">
        <v>-5</v>
      </c>
      <c r="J128" s="43" t="s">
        <v>349</v>
      </c>
      <c r="K128" s="49" t="s">
        <v>110</v>
      </c>
      <c r="L128" s="42" t="s">
        <v>181</v>
      </c>
      <c r="M128" s="55">
        <v>-1</v>
      </c>
      <c r="N128" s="49" t="s">
        <v>109</v>
      </c>
      <c r="O128" s="42" t="s">
        <v>204</v>
      </c>
      <c r="P128" s="60">
        <v>46158.615162037036</v>
      </c>
    </row>
    <row r="129" spans="2:16" x14ac:dyDescent="0.25">
      <c r="B129" s="57" t="s">
        <v>790</v>
      </c>
      <c r="C129" s="49" t="s">
        <v>55</v>
      </c>
      <c r="D129" s="58">
        <v>46158</v>
      </c>
      <c r="E129" s="49" t="s">
        <v>353</v>
      </c>
      <c r="F129" s="56">
        <v>3</v>
      </c>
      <c r="G129" s="42" t="s">
        <v>791</v>
      </c>
      <c r="H129" s="49" t="s">
        <v>585</v>
      </c>
      <c r="I129" s="59">
        <v>-3</v>
      </c>
      <c r="J129" s="43" t="s">
        <v>349</v>
      </c>
      <c r="K129" s="49" t="s">
        <v>110</v>
      </c>
      <c r="L129" s="42" t="s">
        <v>181</v>
      </c>
      <c r="M129" s="55">
        <v>-1</v>
      </c>
      <c r="N129" s="49" t="s">
        <v>109</v>
      </c>
      <c r="O129" s="42" t="s">
        <v>179</v>
      </c>
      <c r="P129" s="60">
        <v>46158.715532407397</v>
      </c>
    </row>
    <row r="130" spans="2:16" x14ac:dyDescent="0.25">
      <c r="B130" s="57" t="s">
        <v>792</v>
      </c>
      <c r="C130" s="49" t="s">
        <v>55</v>
      </c>
      <c r="D130" s="58">
        <v>46160</v>
      </c>
      <c r="E130" s="49" t="s">
        <v>374</v>
      </c>
      <c r="F130" s="56">
        <v>5</v>
      </c>
      <c r="G130" s="42" t="s">
        <v>793</v>
      </c>
      <c r="H130" s="49" t="s">
        <v>585</v>
      </c>
      <c r="I130" s="59">
        <v>-5</v>
      </c>
      <c r="J130" s="43" t="s">
        <v>349</v>
      </c>
      <c r="K130" s="49" t="s">
        <v>112</v>
      </c>
      <c r="L130" s="42" t="s">
        <v>218</v>
      </c>
      <c r="M130" s="55">
        <v>-1</v>
      </c>
      <c r="N130" s="49" t="s">
        <v>111</v>
      </c>
      <c r="O130" s="42" t="s">
        <v>216</v>
      </c>
      <c r="P130" s="60">
        <v>46160.376145833332</v>
      </c>
    </row>
    <row r="131" spans="2:16" x14ac:dyDescent="0.25">
      <c r="B131" s="57" t="s">
        <v>794</v>
      </c>
      <c r="C131" s="49" t="s">
        <v>55</v>
      </c>
      <c r="D131" s="58">
        <v>46160</v>
      </c>
      <c r="E131" s="49" t="s">
        <v>400</v>
      </c>
      <c r="F131" s="56">
        <v>13</v>
      </c>
      <c r="G131" s="42" t="s">
        <v>795</v>
      </c>
      <c r="H131" s="49" t="s">
        <v>612</v>
      </c>
      <c r="I131" s="59">
        <v>-13</v>
      </c>
      <c r="J131" s="43" t="s">
        <v>349</v>
      </c>
      <c r="K131" s="49" t="s">
        <v>112</v>
      </c>
      <c r="L131" s="42" t="s">
        <v>181</v>
      </c>
      <c r="M131" s="55">
        <v>-1</v>
      </c>
      <c r="N131" s="49" t="s">
        <v>111</v>
      </c>
      <c r="O131" s="42" t="s">
        <v>261</v>
      </c>
      <c r="P131" s="60">
        <v>46160.407060185193</v>
      </c>
    </row>
    <row r="132" spans="2:16" x14ac:dyDescent="0.25">
      <c r="B132" s="57" t="s">
        <v>796</v>
      </c>
      <c r="C132" s="49" t="s">
        <v>55</v>
      </c>
      <c r="D132" s="58">
        <v>46161</v>
      </c>
      <c r="E132" s="49" t="s">
        <v>384</v>
      </c>
      <c r="F132" s="56">
        <v>12</v>
      </c>
      <c r="G132" s="42" t="s">
        <v>797</v>
      </c>
      <c r="H132" s="49" t="s">
        <v>671</v>
      </c>
      <c r="I132" s="59">
        <v>-12</v>
      </c>
      <c r="J132" s="43" t="s">
        <v>349</v>
      </c>
      <c r="K132" s="49" t="s">
        <v>110</v>
      </c>
      <c r="L132" s="42" t="s">
        <v>181</v>
      </c>
      <c r="M132" s="55">
        <v>-1</v>
      </c>
      <c r="N132" s="49" t="s">
        <v>109</v>
      </c>
      <c r="O132" s="42" t="s">
        <v>233</v>
      </c>
      <c r="P132" s="60">
        <v>46161.628958333327</v>
      </c>
    </row>
    <row r="133" spans="2:16" x14ac:dyDescent="0.25">
      <c r="B133" s="57" t="s">
        <v>798</v>
      </c>
      <c r="C133" s="49" t="s">
        <v>55</v>
      </c>
      <c r="D133" s="58">
        <v>46161</v>
      </c>
      <c r="E133" s="49" t="s">
        <v>396</v>
      </c>
      <c r="F133" s="56">
        <v>26</v>
      </c>
      <c r="G133" s="42" t="s">
        <v>799</v>
      </c>
      <c r="H133" s="49" t="s">
        <v>593</v>
      </c>
      <c r="I133" s="59">
        <v>-26</v>
      </c>
      <c r="J133" s="43" t="s">
        <v>349</v>
      </c>
      <c r="K133" s="49" t="s">
        <v>112</v>
      </c>
      <c r="L133" s="42" t="s">
        <v>256</v>
      </c>
      <c r="M133" s="55">
        <v>-1</v>
      </c>
      <c r="N133" s="49" t="s">
        <v>111</v>
      </c>
      <c r="O133" s="42" t="s">
        <v>253</v>
      </c>
      <c r="P133" s="60">
        <v>46161.727233796293</v>
      </c>
    </row>
    <row r="134" spans="2:16" x14ac:dyDescent="0.25">
      <c r="B134" s="57" t="s">
        <v>800</v>
      </c>
      <c r="C134" s="49" t="s">
        <v>55</v>
      </c>
      <c r="D134" s="58">
        <v>46162</v>
      </c>
      <c r="E134" s="49" t="s">
        <v>378</v>
      </c>
      <c r="F134" s="56">
        <v>22</v>
      </c>
      <c r="G134" s="42" t="s">
        <v>801</v>
      </c>
      <c r="H134" s="49" t="s">
        <v>585</v>
      </c>
      <c r="I134" s="59">
        <v>-22</v>
      </c>
      <c r="J134" s="43" t="s">
        <v>349</v>
      </c>
      <c r="K134" s="49" t="s">
        <v>112</v>
      </c>
      <c r="L134" s="42" t="s">
        <v>181</v>
      </c>
      <c r="M134" s="55">
        <v>-1</v>
      </c>
      <c r="N134" s="49" t="s">
        <v>111</v>
      </c>
      <c r="O134" s="42" t="s">
        <v>224</v>
      </c>
      <c r="P134" s="60">
        <v>46162.364236111112</v>
      </c>
    </row>
    <row r="135" spans="2:16" x14ac:dyDescent="0.25">
      <c r="B135" s="57" t="s">
        <v>802</v>
      </c>
      <c r="C135" s="49" t="s">
        <v>55</v>
      </c>
      <c r="D135" s="58">
        <v>46163</v>
      </c>
      <c r="E135" s="49" t="s">
        <v>364</v>
      </c>
      <c r="F135" s="56">
        <v>54</v>
      </c>
      <c r="G135" s="42" t="s">
        <v>803</v>
      </c>
      <c r="H135" s="49" t="s">
        <v>585</v>
      </c>
      <c r="I135" s="59">
        <v>-54</v>
      </c>
      <c r="J135" s="43" t="s">
        <v>349</v>
      </c>
      <c r="K135" s="49" t="s">
        <v>110</v>
      </c>
      <c r="L135" s="42" t="s">
        <v>181</v>
      </c>
      <c r="M135" s="55">
        <v>-1</v>
      </c>
      <c r="N135" s="49" t="s">
        <v>109</v>
      </c>
      <c r="O135" s="42" t="s">
        <v>201</v>
      </c>
      <c r="P135" s="60">
        <v>46163.462951388887</v>
      </c>
    </row>
    <row r="136" spans="2:16" x14ac:dyDescent="0.25">
      <c r="B136" s="57" t="s">
        <v>804</v>
      </c>
      <c r="C136" s="49" t="s">
        <v>55</v>
      </c>
      <c r="D136" s="58">
        <v>46164</v>
      </c>
      <c r="E136" s="49" t="s">
        <v>374</v>
      </c>
      <c r="F136" s="56">
        <v>62</v>
      </c>
      <c r="G136" s="42" t="s">
        <v>805</v>
      </c>
      <c r="H136" s="49" t="s">
        <v>593</v>
      </c>
      <c r="I136" s="59">
        <v>-62</v>
      </c>
      <c r="J136" s="43" t="s">
        <v>349</v>
      </c>
      <c r="K136" s="49" t="s">
        <v>112</v>
      </c>
      <c r="L136" s="42" t="s">
        <v>218</v>
      </c>
      <c r="M136" s="55">
        <v>-1</v>
      </c>
      <c r="N136" s="49" t="s">
        <v>111</v>
      </c>
      <c r="O136" s="42" t="s">
        <v>216</v>
      </c>
      <c r="P136" s="60">
        <v>46164.549733796302</v>
      </c>
    </row>
    <row r="137" spans="2:16" x14ac:dyDescent="0.25">
      <c r="B137" s="57" t="s">
        <v>806</v>
      </c>
      <c r="C137" s="49" t="s">
        <v>55</v>
      </c>
      <c r="D137" s="58">
        <v>46164</v>
      </c>
      <c r="E137" s="49" t="s">
        <v>378</v>
      </c>
      <c r="F137" s="56">
        <v>43</v>
      </c>
      <c r="G137" s="42" t="s">
        <v>807</v>
      </c>
      <c r="H137" s="49"/>
      <c r="I137" s="59">
        <v>-43</v>
      </c>
      <c r="J137" s="43" t="s">
        <v>349</v>
      </c>
      <c r="K137" s="49" t="s">
        <v>110</v>
      </c>
      <c r="L137" s="42" t="s">
        <v>181</v>
      </c>
      <c r="M137" s="55">
        <v>-1</v>
      </c>
      <c r="N137" s="49" t="s">
        <v>109</v>
      </c>
      <c r="O137" s="42" t="s">
        <v>224</v>
      </c>
      <c r="P137" s="60">
        <v>46164.60533564815</v>
      </c>
    </row>
    <row r="138" spans="2:16" x14ac:dyDescent="0.25">
      <c r="B138" s="57" t="s">
        <v>808</v>
      </c>
      <c r="C138" s="49" t="s">
        <v>55</v>
      </c>
      <c r="D138" s="58">
        <v>46164</v>
      </c>
      <c r="E138" s="49" t="s">
        <v>378</v>
      </c>
      <c r="F138" s="56">
        <v>42</v>
      </c>
      <c r="G138" s="42" t="s">
        <v>809</v>
      </c>
      <c r="H138" s="49"/>
      <c r="I138" s="59">
        <v>-42</v>
      </c>
      <c r="J138" s="43" t="s">
        <v>349</v>
      </c>
      <c r="K138" s="49" t="s">
        <v>110</v>
      </c>
      <c r="L138" s="42" t="s">
        <v>181</v>
      </c>
      <c r="M138" s="55">
        <v>-1</v>
      </c>
      <c r="N138" s="49" t="s">
        <v>109</v>
      </c>
      <c r="O138" s="42" t="s">
        <v>224</v>
      </c>
      <c r="P138" s="60">
        <v>46164.715081018519</v>
      </c>
    </row>
    <row r="139" spans="2:16" x14ac:dyDescent="0.25">
      <c r="B139" s="57" t="s">
        <v>810</v>
      </c>
      <c r="C139" s="49" t="s">
        <v>55</v>
      </c>
      <c r="D139" s="58">
        <v>46165</v>
      </c>
      <c r="E139" s="49" t="s">
        <v>384</v>
      </c>
      <c r="F139" s="56">
        <v>25</v>
      </c>
      <c r="G139" s="42" t="s">
        <v>811</v>
      </c>
      <c r="H139" s="49" t="s">
        <v>612</v>
      </c>
      <c r="I139" s="59">
        <v>-25</v>
      </c>
      <c r="J139" s="43" t="s">
        <v>349</v>
      </c>
      <c r="K139" s="49" t="s">
        <v>110</v>
      </c>
      <c r="L139" s="42" t="s">
        <v>181</v>
      </c>
      <c r="M139" s="55">
        <v>-1</v>
      </c>
      <c r="N139" s="49" t="s">
        <v>109</v>
      </c>
      <c r="O139" s="42" t="s">
        <v>233</v>
      </c>
      <c r="P139" s="60">
        <v>46165.377291666657</v>
      </c>
    </row>
    <row r="140" spans="2:16" x14ac:dyDescent="0.25">
      <c r="B140" s="57" t="s">
        <v>812</v>
      </c>
      <c r="C140" s="49" t="s">
        <v>55</v>
      </c>
      <c r="D140" s="58">
        <v>46165</v>
      </c>
      <c r="E140" s="49" t="s">
        <v>408</v>
      </c>
      <c r="F140" s="56">
        <v>18</v>
      </c>
      <c r="G140" s="42" t="s">
        <v>813</v>
      </c>
      <c r="H140" s="49"/>
      <c r="I140" s="59">
        <v>-18</v>
      </c>
      <c r="J140" s="43" t="s">
        <v>349</v>
      </c>
      <c r="K140" s="49" t="s">
        <v>112</v>
      </c>
      <c r="L140" s="42" t="s">
        <v>276</v>
      </c>
      <c r="M140" s="55">
        <v>-1</v>
      </c>
      <c r="N140" s="49" t="s">
        <v>111</v>
      </c>
      <c r="O140" s="42" t="s">
        <v>274</v>
      </c>
      <c r="P140" s="60">
        <v>46165.423182870371</v>
      </c>
    </row>
    <row r="141" spans="2:16" x14ac:dyDescent="0.25">
      <c r="B141" s="57" t="s">
        <v>814</v>
      </c>
      <c r="C141" s="49" t="s">
        <v>55</v>
      </c>
      <c r="D141" s="58">
        <v>46165</v>
      </c>
      <c r="E141" s="49" t="s">
        <v>364</v>
      </c>
      <c r="F141" s="56">
        <v>7</v>
      </c>
      <c r="G141" s="42" t="s">
        <v>815</v>
      </c>
      <c r="H141" s="49"/>
      <c r="I141" s="59">
        <v>-7</v>
      </c>
      <c r="J141" s="43" t="s">
        <v>349</v>
      </c>
      <c r="K141" s="49" t="s">
        <v>110</v>
      </c>
      <c r="L141" s="42" t="s">
        <v>181</v>
      </c>
      <c r="M141" s="55">
        <v>-1</v>
      </c>
      <c r="N141" s="49" t="s">
        <v>109</v>
      </c>
      <c r="O141" s="42" t="s">
        <v>201</v>
      </c>
      <c r="P141" s="60">
        <v>46165.441643518519</v>
      </c>
    </row>
    <row r="142" spans="2:16" x14ac:dyDescent="0.25">
      <c r="B142" s="57" t="s">
        <v>816</v>
      </c>
      <c r="C142" s="49" t="s">
        <v>55</v>
      </c>
      <c r="D142" s="58">
        <v>46165</v>
      </c>
      <c r="E142" s="49" t="s">
        <v>370</v>
      </c>
      <c r="F142" s="56">
        <v>25</v>
      </c>
      <c r="G142" s="42" t="s">
        <v>817</v>
      </c>
      <c r="H142" s="49" t="s">
        <v>671</v>
      </c>
      <c r="I142" s="59">
        <v>-25</v>
      </c>
      <c r="J142" s="43" t="s">
        <v>349</v>
      </c>
      <c r="K142" s="49" t="s">
        <v>112</v>
      </c>
      <c r="L142" s="42" t="s">
        <v>181</v>
      </c>
      <c r="M142" s="55">
        <v>-1</v>
      </c>
      <c r="N142" s="49" t="s">
        <v>111</v>
      </c>
      <c r="O142" s="42" t="s">
        <v>210</v>
      </c>
      <c r="P142" s="60">
        <v>46165.564444444448</v>
      </c>
    </row>
    <row r="143" spans="2:16" x14ac:dyDescent="0.25">
      <c r="B143" s="57" t="s">
        <v>818</v>
      </c>
      <c r="C143" s="49" t="s">
        <v>55</v>
      </c>
      <c r="D143" s="58">
        <v>46167</v>
      </c>
      <c r="E143" s="49" t="s">
        <v>353</v>
      </c>
      <c r="F143" s="56">
        <v>3</v>
      </c>
      <c r="G143" s="42" t="s">
        <v>819</v>
      </c>
      <c r="H143" s="49" t="s">
        <v>593</v>
      </c>
      <c r="I143" s="59">
        <v>-3</v>
      </c>
      <c r="J143" s="43" t="s">
        <v>349</v>
      </c>
      <c r="K143" s="49" t="s">
        <v>110</v>
      </c>
      <c r="L143" s="42" t="s">
        <v>181</v>
      </c>
      <c r="M143" s="55">
        <v>-1</v>
      </c>
      <c r="N143" s="49" t="s">
        <v>109</v>
      </c>
      <c r="O143" s="42" t="s">
        <v>179</v>
      </c>
      <c r="P143" s="60">
        <v>46167.414270833331</v>
      </c>
    </row>
    <row r="144" spans="2:16" x14ac:dyDescent="0.25">
      <c r="B144" s="57" t="s">
        <v>820</v>
      </c>
      <c r="C144" s="49" t="s">
        <v>55</v>
      </c>
      <c r="D144" s="58">
        <v>46167</v>
      </c>
      <c r="E144" s="49" t="s">
        <v>384</v>
      </c>
      <c r="F144" s="56">
        <v>32</v>
      </c>
      <c r="G144" s="42" t="s">
        <v>821</v>
      </c>
      <c r="H144" s="49" t="s">
        <v>604</v>
      </c>
      <c r="I144" s="59">
        <v>-32</v>
      </c>
      <c r="J144" s="43" t="s">
        <v>349</v>
      </c>
      <c r="K144" s="49" t="s">
        <v>110</v>
      </c>
      <c r="L144" s="42" t="s">
        <v>181</v>
      </c>
      <c r="M144" s="55">
        <v>-1</v>
      </c>
      <c r="N144" s="49" t="s">
        <v>109</v>
      </c>
      <c r="O144" s="42" t="s">
        <v>233</v>
      </c>
      <c r="P144" s="60">
        <v>46167.600937499999</v>
      </c>
    </row>
    <row r="145" spans="2:16" x14ac:dyDescent="0.25">
      <c r="B145" s="57" t="s">
        <v>822</v>
      </c>
      <c r="C145" s="49" t="s">
        <v>55</v>
      </c>
      <c r="D145" s="58">
        <v>46167</v>
      </c>
      <c r="E145" s="49" t="s">
        <v>357</v>
      </c>
      <c r="F145" s="56">
        <v>11</v>
      </c>
      <c r="G145" s="42" t="s">
        <v>823</v>
      </c>
      <c r="H145" s="49" t="s">
        <v>604</v>
      </c>
      <c r="I145" s="59">
        <v>-11</v>
      </c>
      <c r="J145" s="43" t="s">
        <v>349</v>
      </c>
      <c r="K145" s="49" t="s">
        <v>112</v>
      </c>
      <c r="L145" s="42" t="s">
        <v>181</v>
      </c>
      <c r="M145" s="55">
        <v>-1</v>
      </c>
      <c r="N145" s="49" t="s">
        <v>111</v>
      </c>
      <c r="O145" s="42" t="s">
        <v>186</v>
      </c>
      <c r="P145" s="60">
        <v>46167.629108796304</v>
      </c>
    </row>
    <row r="146" spans="2:16" x14ac:dyDescent="0.25">
      <c r="B146" s="57" t="s">
        <v>824</v>
      </c>
      <c r="C146" s="49" t="s">
        <v>55</v>
      </c>
      <c r="D146" s="58">
        <v>46168</v>
      </c>
      <c r="E146" s="49" t="s">
        <v>374</v>
      </c>
      <c r="F146" s="56">
        <v>70</v>
      </c>
      <c r="G146" s="42" t="s">
        <v>825</v>
      </c>
      <c r="H146" s="49" t="s">
        <v>585</v>
      </c>
      <c r="I146" s="59">
        <v>-70</v>
      </c>
      <c r="J146" s="43" t="s">
        <v>349</v>
      </c>
      <c r="K146" s="49" t="s">
        <v>112</v>
      </c>
      <c r="L146" s="42" t="s">
        <v>218</v>
      </c>
      <c r="M146" s="55">
        <v>-1</v>
      </c>
      <c r="N146" s="49" t="s">
        <v>111</v>
      </c>
      <c r="O146" s="42" t="s">
        <v>216</v>
      </c>
      <c r="P146" s="60">
        <v>46168.348067129627</v>
      </c>
    </row>
    <row r="147" spans="2:16" x14ac:dyDescent="0.25">
      <c r="B147" s="57" t="s">
        <v>826</v>
      </c>
      <c r="C147" s="49" t="s">
        <v>55</v>
      </c>
      <c r="D147" s="58">
        <v>46168</v>
      </c>
      <c r="E147" s="49" t="s">
        <v>396</v>
      </c>
      <c r="F147" s="56">
        <v>44</v>
      </c>
      <c r="G147" s="42" t="s">
        <v>827</v>
      </c>
      <c r="H147" s="49" t="s">
        <v>585</v>
      </c>
      <c r="I147" s="59">
        <v>-44</v>
      </c>
      <c r="J147" s="43" t="s">
        <v>349</v>
      </c>
      <c r="K147" s="49" t="s">
        <v>110</v>
      </c>
      <c r="L147" s="42" t="s">
        <v>256</v>
      </c>
      <c r="M147" s="55">
        <v>-1</v>
      </c>
      <c r="N147" s="49" t="s">
        <v>109</v>
      </c>
      <c r="O147" s="42" t="s">
        <v>253</v>
      </c>
      <c r="P147" s="60">
        <v>46168.45039351852</v>
      </c>
    </row>
    <row r="148" spans="2:16" x14ac:dyDescent="0.25">
      <c r="B148" s="57" t="s">
        <v>828</v>
      </c>
      <c r="C148" s="49" t="s">
        <v>55</v>
      </c>
      <c r="D148" s="58">
        <v>46169</v>
      </c>
      <c r="E148" s="49" t="s">
        <v>346</v>
      </c>
      <c r="F148" s="56">
        <v>12</v>
      </c>
      <c r="G148" s="42" t="s">
        <v>829</v>
      </c>
      <c r="H148" s="49"/>
      <c r="I148" s="59">
        <v>-12</v>
      </c>
      <c r="J148" s="43" t="s">
        <v>349</v>
      </c>
      <c r="K148" s="49" t="s">
        <v>112</v>
      </c>
      <c r="L148" s="42" t="s">
        <v>173</v>
      </c>
      <c r="M148" s="55">
        <v>-1</v>
      </c>
      <c r="N148" s="49" t="s">
        <v>111</v>
      </c>
      <c r="O148" s="42" t="s">
        <v>170</v>
      </c>
      <c r="P148" s="60">
        <v>46169.563113425917</v>
      </c>
    </row>
    <row r="149" spans="2:16" x14ac:dyDescent="0.25">
      <c r="B149" s="57" t="s">
        <v>830</v>
      </c>
      <c r="C149" s="49" t="s">
        <v>55</v>
      </c>
      <c r="D149" s="58">
        <v>46169</v>
      </c>
      <c r="E149" s="49" t="s">
        <v>376</v>
      </c>
      <c r="F149" s="56">
        <v>6</v>
      </c>
      <c r="G149" s="42" t="s">
        <v>831</v>
      </c>
      <c r="H149" s="49" t="s">
        <v>593</v>
      </c>
      <c r="I149" s="59">
        <v>-6</v>
      </c>
      <c r="J149" s="43" t="s">
        <v>349</v>
      </c>
      <c r="K149" s="49" t="s">
        <v>110</v>
      </c>
      <c r="L149" s="42" t="s">
        <v>181</v>
      </c>
      <c r="M149" s="55">
        <v>-1</v>
      </c>
      <c r="N149" s="49" t="s">
        <v>109</v>
      </c>
      <c r="O149" s="42" t="s">
        <v>220</v>
      </c>
      <c r="P149" s="60">
        <v>46169.64671296296</v>
      </c>
    </row>
    <row r="150" spans="2:16" x14ac:dyDescent="0.25">
      <c r="B150" s="57" t="s">
        <v>832</v>
      </c>
      <c r="C150" s="49" t="s">
        <v>55</v>
      </c>
      <c r="D150" s="58">
        <v>46170</v>
      </c>
      <c r="E150" s="49" t="s">
        <v>414</v>
      </c>
      <c r="F150" s="56">
        <v>17</v>
      </c>
      <c r="G150" s="42" t="s">
        <v>833</v>
      </c>
      <c r="H150" s="49" t="s">
        <v>585</v>
      </c>
      <c r="I150" s="59">
        <v>-17</v>
      </c>
      <c r="J150" s="43" t="s">
        <v>349</v>
      </c>
      <c r="K150" s="49" t="s">
        <v>112</v>
      </c>
      <c r="L150" s="42" t="s">
        <v>286</v>
      </c>
      <c r="M150" s="55">
        <v>-1</v>
      </c>
      <c r="N150" s="49" t="s">
        <v>111</v>
      </c>
      <c r="O150" s="42" t="s">
        <v>284</v>
      </c>
      <c r="P150" s="60">
        <v>46170.444282407407</v>
      </c>
    </row>
    <row r="151" spans="2:16" x14ac:dyDescent="0.25">
      <c r="B151" s="57" t="s">
        <v>834</v>
      </c>
      <c r="C151" s="49" t="s">
        <v>55</v>
      </c>
      <c r="D151" s="58">
        <v>46170</v>
      </c>
      <c r="E151" s="49" t="s">
        <v>364</v>
      </c>
      <c r="F151" s="56">
        <v>4</v>
      </c>
      <c r="G151" s="42" t="s">
        <v>835</v>
      </c>
      <c r="H151" s="49"/>
      <c r="I151" s="59">
        <v>-4</v>
      </c>
      <c r="J151" s="43" t="s">
        <v>349</v>
      </c>
      <c r="K151" s="49" t="s">
        <v>112</v>
      </c>
      <c r="L151" s="42" t="s">
        <v>181</v>
      </c>
      <c r="M151" s="55">
        <v>-1</v>
      </c>
      <c r="N151" s="49" t="s">
        <v>111</v>
      </c>
      <c r="O151" s="42" t="s">
        <v>201</v>
      </c>
      <c r="P151" s="60">
        <v>46170.528819444437</v>
      </c>
    </row>
    <row r="152" spans="2:16" x14ac:dyDescent="0.25">
      <c r="B152" s="57" t="s">
        <v>836</v>
      </c>
      <c r="C152" s="49" t="s">
        <v>55</v>
      </c>
      <c r="D152" s="58">
        <v>46171</v>
      </c>
      <c r="E152" s="49" t="s">
        <v>353</v>
      </c>
      <c r="F152" s="56">
        <v>3</v>
      </c>
      <c r="G152" s="42" t="s">
        <v>837</v>
      </c>
      <c r="H152" s="49"/>
      <c r="I152" s="59">
        <v>-3</v>
      </c>
      <c r="J152" s="43" t="s">
        <v>349</v>
      </c>
      <c r="K152" s="49" t="s">
        <v>110</v>
      </c>
      <c r="L152" s="42" t="s">
        <v>181</v>
      </c>
      <c r="M152" s="55">
        <v>-1</v>
      </c>
      <c r="N152" s="49" t="s">
        <v>109</v>
      </c>
      <c r="O152" s="42" t="s">
        <v>179</v>
      </c>
      <c r="P152" s="60">
        <v>46171.457673611112</v>
      </c>
    </row>
    <row r="153" spans="2:16" x14ac:dyDescent="0.25">
      <c r="B153" s="57" t="s">
        <v>838</v>
      </c>
      <c r="C153" s="49" t="s">
        <v>55</v>
      </c>
      <c r="D153" s="58">
        <v>46171</v>
      </c>
      <c r="E153" s="49" t="s">
        <v>396</v>
      </c>
      <c r="F153" s="56">
        <v>29</v>
      </c>
      <c r="G153" s="42" t="s">
        <v>839</v>
      </c>
      <c r="H153" s="49" t="s">
        <v>585</v>
      </c>
      <c r="I153" s="59">
        <v>-29</v>
      </c>
      <c r="J153" s="43" t="s">
        <v>349</v>
      </c>
      <c r="K153" s="49" t="s">
        <v>110</v>
      </c>
      <c r="L153" s="42" t="s">
        <v>256</v>
      </c>
      <c r="M153" s="55">
        <v>-1</v>
      </c>
      <c r="N153" s="49" t="s">
        <v>109</v>
      </c>
      <c r="O153" s="42" t="s">
        <v>253</v>
      </c>
      <c r="P153" s="60">
        <v>46171.471307870372</v>
      </c>
    </row>
    <row r="154" spans="2:16" x14ac:dyDescent="0.25">
      <c r="B154" s="57" t="s">
        <v>840</v>
      </c>
      <c r="C154" s="49" t="s">
        <v>55</v>
      </c>
      <c r="D154" s="58">
        <v>46171</v>
      </c>
      <c r="E154" s="49" t="s">
        <v>335</v>
      </c>
      <c r="F154" s="56">
        <v>2</v>
      </c>
      <c r="G154" s="42" t="s">
        <v>841</v>
      </c>
      <c r="H154" s="49"/>
      <c r="I154" s="59">
        <v>-2</v>
      </c>
      <c r="J154" s="43" t="s">
        <v>349</v>
      </c>
      <c r="K154" s="49" t="s">
        <v>110</v>
      </c>
      <c r="L154" s="42" t="s">
        <v>199</v>
      </c>
      <c r="M154" s="55">
        <v>-1</v>
      </c>
      <c r="N154" s="49" t="s">
        <v>109</v>
      </c>
      <c r="O154" s="42" t="s">
        <v>196</v>
      </c>
      <c r="P154" s="60">
        <v>46171.665925925918</v>
      </c>
    </row>
    <row r="155" spans="2:16" x14ac:dyDescent="0.25">
      <c r="B155" s="57" t="s">
        <v>842</v>
      </c>
      <c r="C155" s="49" t="s">
        <v>55</v>
      </c>
      <c r="D155" s="58">
        <v>46172</v>
      </c>
      <c r="E155" s="49" t="s">
        <v>384</v>
      </c>
      <c r="F155" s="56">
        <v>18</v>
      </c>
      <c r="G155" s="42" t="s">
        <v>843</v>
      </c>
      <c r="H155" s="49"/>
      <c r="I155" s="59">
        <v>-18</v>
      </c>
      <c r="J155" s="43" t="s">
        <v>349</v>
      </c>
      <c r="K155" s="49" t="s">
        <v>112</v>
      </c>
      <c r="L155" s="42" t="s">
        <v>181</v>
      </c>
      <c r="M155" s="55">
        <v>-1</v>
      </c>
      <c r="N155" s="49" t="s">
        <v>111</v>
      </c>
      <c r="O155" s="42" t="s">
        <v>233</v>
      </c>
      <c r="P155" s="60">
        <v>46172.367523148147</v>
      </c>
    </row>
    <row r="156" spans="2:16" x14ac:dyDescent="0.25">
      <c r="B156" s="57" t="s">
        <v>844</v>
      </c>
      <c r="C156" s="49" t="s">
        <v>55</v>
      </c>
      <c r="D156" s="58">
        <v>46172</v>
      </c>
      <c r="E156" s="49" t="s">
        <v>366</v>
      </c>
      <c r="F156" s="56">
        <v>18</v>
      </c>
      <c r="G156" s="42" t="s">
        <v>845</v>
      </c>
      <c r="H156" s="49" t="s">
        <v>585</v>
      </c>
      <c r="I156" s="59">
        <v>-18</v>
      </c>
      <c r="J156" s="43" t="s">
        <v>349</v>
      </c>
      <c r="K156" s="49" t="s">
        <v>110</v>
      </c>
      <c r="L156" s="42" t="s">
        <v>181</v>
      </c>
      <c r="M156" s="55">
        <v>-1</v>
      </c>
      <c r="N156" s="49" t="s">
        <v>109</v>
      </c>
      <c r="O156" s="42" t="s">
        <v>204</v>
      </c>
      <c r="P156" s="60">
        <v>46172.493946759263</v>
      </c>
    </row>
    <row r="157" spans="2:16" x14ac:dyDescent="0.25">
      <c r="B157" s="57" t="s">
        <v>846</v>
      </c>
      <c r="C157" s="49" t="s">
        <v>55</v>
      </c>
      <c r="D157" s="58">
        <v>46174</v>
      </c>
      <c r="E157" s="49" t="s">
        <v>394</v>
      </c>
      <c r="F157" s="56">
        <v>10</v>
      </c>
      <c r="G157" s="42" t="s">
        <v>847</v>
      </c>
      <c r="H157" s="49" t="s">
        <v>585</v>
      </c>
      <c r="I157" s="59">
        <v>-10</v>
      </c>
      <c r="J157" s="43" t="s">
        <v>349</v>
      </c>
      <c r="K157" s="49" t="s">
        <v>110</v>
      </c>
      <c r="L157" s="42" t="s">
        <v>181</v>
      </c>
      <c r="M157" s="55">
        <v>-1</v>
      </c>
      <c r="N157" s="49" t="s">
        <v>109</v>
      </c>
      <c r="O157" s="42" t="s">
        <v>250</v>
      </c>
      <c r="P157" s="60">
        <v>46174.452418981477</v>
      </c>
    </row>
    <row r="158" spans="2:16" x14ac:dyDescent="0.25">
      <c r="B158" s="57" t="s">
        <v>848</v>
      </c>
      <c r="C158" s="49" t="s">
        <v>55</v>
      </c>
      <c r="D158" s="58">
        <v>46174</v>
      </c>
      <c r="E158" s="49" t="s">
        <v>374</v>
      </c>
      <c r="F158" s="56">
        <v>89.5</v>
      </c>
      <c r="G158" s="42" t="s">
        <v>849</v>
      </c>
      <c r="H158" s="49"/>
      <c r="I158" s="59">
        <v>-89.5</v>
      </c>
      <c r="J158" s="43" t="s">
        <v>349</v>
      </c>
      <c r="K158" s="49" t="s">
        <v>110</v>
      </c>
      <c r="L158" s="42" t="s">
        <v>218</v>
      </c>
      <c r="M158" s="55">
        <v>-1</v>
      </c>
      <c r="N158" s="49" t="s">
        <v>109</v>
      </c>
      <c r="O158" s="42" t="s">
        <v>216</v>
      </c>
      <c r="P158" s="60">
        <v>46174.458518518521</v>
      </c>
    </row>
    <row r="159" spans="2:16" x14ac:dyDescent="0.25">
      <c r="B159" s="57" t="s">
        <v>850</v>
      </c>
      <c r="C159" s="49" t="s">
        <v>55</v>
      </c>
      <c r="D159" s="58">
        <v>46174</v>
      </c>
      <c r="E159" s="49" t="s">
        <v>378</v>
      </c>
      <c r="F159" s="56">
        <v>30</v>
      </c>
      <c r="G159" s="42" t="s">
        <v>851</v>
      </c>
      <c r="H159" s="49" t="s">
        <v>604</v>
      </c>
      <c r="I159" s="59">
        <v>-30</v>
      </c>
      <c r="J159" s="43" t="s">
        <v>349</v>
      </c>
      <c r="K159" s="49" t="s">
        <v>112</v>
      </c>
      <c r="L159" s="42" t="s">
        <v>181</v>
      </c>
      <c r="M159" s="55">
        <v>-1</v>
      </c>
      <c r="N159" s="49" t="s">
        <v>111</v>
      </c>
      <c r="O159" s="42" t="s">
        <v>224</v>
      </c>
      <c r="P159" s="60">
        <v>46174.566076388888</v>
      </c>
    </row>
    <row r="160" spans="2:16" x14ac:dyDescent="0.25">
      <c r="B160" s="57" t="s">
        <v>852</v>
      </c>
      <c r="C160" s="49" t="s">
        <v>55</v>
      </c>
      <c r="D160" s="58">
        <v>46174</v>
      </c>
      <c r="E160" s="49" t="s">
        <v>364</v>
      </c>
      <c r="F160" s="56">
        <v>12</v>
      </c>
      <c r="G160" s="42" t="s">
        <v>853</v>
      </c>
      <c r="H160" s="49"/>
      <c r="I160" s="59">
        <v>-12</v>
      </c>
      <c r="J160" s="43" t="s">
        <v>349</v>
      </c>
      <c r="K160" s="49" t="s">
        <v>112</v>
      </c>
      <c r="L160" s="42" t="s">
        <v>181</v>
      </c>
      <c r="M160" s="55">
        <v>-1</v>
      </c>
      <c r="N160" s="49" t="s">
        <v>111</v>
      </c>
      <c r="O160" s="42" t="s">
        <v>201</v>
      </c>
      <c r="P160" s="60">
        <v>46174.672291666669</v>
      </c>
    </row>
    <row r="161" spans="2:16" x14ac:dyDescent="0.25">
      <c r="B161" s="57" t="s">
        <v>854</v>
      </c>
      <c r="C161" s="49" t="s">
        <v>55</v>
      </c>
      <c r="D161" s="58">
        <v>46175</v>
      </c>
      <c r="E161" s="49" t="s">
        <v>374</v>
      </c>
      <c r="F161" s="56">
        <v>79.5</v>
      </c>
      <c r="G161" s="42" t="s">
        <v>855</v>
      </c>
      <c r="H161" s="49" t="s">
        <v>593</v>
      </c>
      <c r="I161" s="59">
        <v>-79.5</v>
      </c>
      <c r="J161" s="43" t="s">
        <v>349</v>
      </c>
      <c r="K161" s="49" t="s">
        <v>110</v>
      </c>
      <c r="L161" s="42" t="s">
        <v>218</v>
      </c>
      <c r="M161" s="55">
        <v>-1</v>
      </c>
      <c r="N161" s="49" t="s">
        <v>109</v>
      </c>
      <c r="O161" s="42" t="s">
        <v>216</v>
      </c>
      <c r="P161" s="60">
        <v>46175.410104166673</v>
      </c>
    </row>
    <row r="162" spans="2:16" x14ac:dyDescent="0.25">
      <c r="B162" s="57" t="s">
        <v>856</v>
      </c>
      <c r="C162" s="49" t="s">
        <v>55</v>
      </c>
      <c r="D162" s="58">
        <v>46175</v>
      </c>
      <c r="E162" s="49" t="s">
        <v>366</v>
      </c>
      <c r="F162" s="56">
        <v>12</v>
      </c>
      <c r="G162" s="42" t="s">
        <v>857</v>
      </c>
      <c r="H162" s="49" t="s">
        <v>585</v>
      </c>
      <c r="I162" s="59">
        <v>-12</v>
      </c>
      <c r="J162" s="43" t="s">
        <v>349</v>
      </c>
      <c r="K162" s="49" t="s">
        <v>110</v>
      </c>
      <c r="L162" s="42" t="s">
        <v>181</v>
      </c>
      <c r="M162" s="55">
        <v>-1</v>
      </c>
      <c r="N162" s="49" t="s">
        <v>109</v>
      </c>
      <c r="O162" s="42" t="s">
        <v>204</v>
      </c>
      <c r="P162" s="60">
        <v>46175.422974537039</v>
      </c>
    </row>
    <row r="163" spans="2:16" x14ac:dyDescent="0.25">
      <c r="B163" s="57" t="s">
        <v>858</v>
      </c>
      <c r="C163" s="49" t="s">
        <v>55</v>
      </c>
      <c r="D163" s="58">
        <v>46175</v>
      </c>
      <c r="E163" s="49" t="s">
        <v>374</v>
      </c>
      <c r="F163" s="56">
        <v>61.5</v>
      </c>
      <c r="G163" s="42" t="s">
        <v>859</v>
      </c>
      <c r="H163" s="49" t="s">
        <v>593</v>
      </c>
      <c r="I163" s="59">
        <v>-61.5</v>
      </c>
      <c r="J163" s="43" t="s">
        <v>349</v>
      </c>
      <c r="K163" s="49" t="s">
        <v>112</v>
      </c>
      <c r="L163" s="42" t="s">
        <v>218</v>
      </c>
      <c r="M163" s="55">
        <v>-1</v>
      </c>
      <c r="N163" s="49" t="s">
        <v>111</v>
      </c>
      <c r="O163" s="42" t="s">
        <v>216</v>
      </c>
      <c r="P163" s="60">
        <v>46175.689155092587</v>
      </c>
    </row>
    <row r="164" spans="2:16" x14ac:dyDescent="0.25">
      <c r="B164" s="57" t="s">
        <v>860</v>
      </c>
      <c r="C164" s="49" t="s">
        <v>55</v>
      </c>
      <c r="D164" s="58">
        <v>46175</v>
      </c>
      <c r="E164" s="49" t="s">
        <v>410</v>
      </c>
      <c r="F164" s="56">
        <v>21</v>
      </c>
      <c r="G164" s="42" t="s">
        <v>861</v>
      </c>
      <c r="H164" s="49" t="s">
        <v>585</v>
      </c>
      <c r="I164" s="59">
        <v>-21</v>
      </c>
      <c r="J164" s="43" t="s">
        <v>349</v>
      </c>
      <c r="K164" s="49" t="s">
        <v>110</v>
      </c>
      <c r="L164" s="42" t="s">
        <v>177</v>
      </c>
      <c r="M164" s="55">
        <v>-1</v>
      </c>
      <c r="N164" s="49" t="s">
        <v>109</v>
      </c>
      <c r="O164" s="42" t="s">
        <v>278</v>
      </c>
      <c r="P164" s="60">
        <v>46175.707094907397</v>
      </c>
    </row>
    <row r="165" spans="2:16" x14ac:dyDescent="0.25">
      <c r="B165" s="57" t="s">
        <v>862</v>
      </c>
      <c r="C165" s="49" t="s">
        <v>55</v>
      </c>
      <c r="D165" s="58">
        <v>46176</v>
      </c>
      <c r="E165" s="49" t="s">
        <v>408</v>
      </c>
      <c r="F165" s="56">
        <v>15</v>
      </c>
      <c r="G165" s="42" t="s">
        <v>863</v>
      </c>
      <c r="H165" s="49" t="s">
        <v>615</v>
      </c>
      <c r="I165" s="59">
        <v>-15</v>
      </c>
      <c r="J165" s="43" t="s">
        <v>349</v>
      </c>
      <c r="K165" s="49" t="s">
        <v>112</v>
      </c>
      <c r="L165" s="42" t="s">
        <v>276</v>
      </c>
      <c r="M165" s="55">
        <v>-1</v>
      </c>
      <c r="N165" s="49" t="s">
        <v>111</v>
      </c>
      <c r="O165" s="42" t="s">
        <v>274</v>
      </c>
      <c r="P165" s="60">
        <v>46176.371388888889</v>
      </c>
    </row>
    <row r="166" spans="2:16" x14ac:dyDescent="0.25">
      <c r="B166" s="57" t="s">
        <v>864</v>
      </c>
      <c r="C166" s="49" t="s">
        <v>55</v>
      </c>
      <c r="D166" s="58">
        <v>46177</v>
      </c>
      <c r="E166" s="49" t="s">
        <v>364</v>
      </c>
      <c r="F166" s="56">
        <v>36</v>
      </c>
      <c r="G166" s="42" t="s">
        <v>865</v>
      </c>
      <c r="H166" s="49"/>
      <c r="I166" s="59">
        <v>-36</v>
      </c>
      <c r="J166" s="43" t="s">
        <v>349</v>
      </c>
      <c r="K166" s="49" t="s">
        <v>112</v>
      </c>
      <c r="L166" s="42" t="s">
        <v>181</v>
      </c>
      <c r="M166" s="55">
        <v>-1</v>
      </c>
      <c r="N166" s="49" t="s">
        <v>111</v>
      </c>
      <c r="O166" s="42" t="s">
        <v>201</v>
      </c>
      <c r="P166" s="60">
        <v>46177.497650462959</v>
      </c>
    </row>
    <row r="167" spans="2:16" x14ac:dyDescent="0.25">
      <c r="B167" s="57" t="s">
        <v>866</v>
      </c>
      <c r="C167" s="49" t="s">
        <v>55</v>
      </c>
      <c r="D167" s="58">
        <v>46177</v>
      </c>
      <c r="E167" s="49" t="s">
        <v>364</v>
      </c>
      <c r="F167" s="56">
        <v>57</v>
      </c>
      <c r="G167" s="42" t="s">
        <v>867</v>
      </c>
      <c r="H167" s="49" t="s">
        <v>585</v>
      </c>
      <c r="I167" s="59">
        <v>-57</v>
      </c>
      <c r="J167" s="43" t="s">
        <v>349</v>
      </c>
      <c r="K167" s="49" t="s">
        <v>110</v>
      </c>
      <c r="L167" s="42" t="s">
        <v>181</v>
      </c>
      <c r="M167" s="55">
        <v>-1</v>
      </c>
      <c r="N167" s="49" t="s">
        <v>109</v>
      </c>
      <c r="O167" s="42" t="s">
        <v>201</v>
      </c>
      <c r="P167" s="60">
        <v>46177.606793981482</v>
      </c>
    </row>
    <row r="168" spans="2:16" x14ac:dyDescent="0.25">
      <c r="B168" s="57" t="s">
        <v>868</v>
      </c>
      <c r="C168" s="49" t="s">
        <v>55</v>
      </c>
      <c r="D168" s="58">
        <v>46177</v>
      </c>
      <c r="E168" s="49" t="s">
        <v>384</v>
      </c>
      <c r="F168" s="56">
        <v>21</v>
      </c>
      <c r="G168" s="42" t="s">
        <v>869</v>
      </c>
      <c r="H168" s="49" t="s">
        <v>671</v>
      </c>
      <c r="I168" s="59">
        <v>-21</v>
      </c>
      <c r="J168" s="43" t="s">
        <v>349</v>
      </c>
      <c r="K168" s="49" t="s">
        <v>112</v>
      </c>
      <c r="L168" s="42" t="s">
        <v>181</v>
      </c>
      <c r="M168" s="55">
        <v>-1</v>
      </c>
      <c r="N168" s="49" t="s">
        <v>111</v>
      </c>
      <c r="O168" s="42" t="s">
        <v>233</v>
      </c>
      <c r="P168" s="60">
        <v>46177.693715277783</v>
      </c>
    </row>
    <row r="169" spans="2:16" x14ac:dyDescent="0.25">
      <c r="B169" s="57" t="s">
        <v>870</v>
      </c>
      <c r="C169" s="49" t="s">
        <v>55</v>
      </c>
      <c r="D169" s="58">
        <v>46177</v>
      </c>
      <c r="E169" s="49" t="s">
        <v>394</v>
      </c>
      <c r="F169" s="56">
        <v>6</v>
      </c>
      <c r="G169" s="42" t="s">
        <v>871</v>
      </c>
      <c r="H169" s="49" t="s">
        <v>612</v>
      </c>
      <c r="I169" s="59">
        <v>-6</v>
      </c>
      <c r="J169" s="43" t="s">
        <v>349</v>
      </c>
      <c r="K169" s="49" t="s">
        <v>112</v>
      </c>
      <c r="L169" s="42" t="s">
        <v>181</v>
      </c>
      <c r="M169" s="55">
        <v>-1</v>
      </c>
      <c r="N169" s="49" t="s">
        <v>111</v>
      </c>
      <c r="O169" s="42" t="s">
        <v>250</v>
      </c>
      <c r="P169" s="60">
        <v>46177.717418981483</v>
      </c>
    </row>
    <row r="170" spans="2:16" x14ac:dyDescent="0.25">
      <c r="B170" s="57" t="s">
        <v>872</v>
      </c>
      <c r="C170" s="49" t="s">
        <v>55</v>
      </c>
      <c r="D170" s="58">
        <v>46178</v>
      </c>
      <c r="E170" s="49" t="s">
        <v>414</v>
      </c>
      <c r="F170" s="56">
        <v>22</v>
      </c>
      <c r="G170" s="42" t="s">
        <v>873</v>
      </c>
      <c r="H170" s="49"/>
      <c r="I170" s="59">
        <v>-22</v>
      </c>
      <c r="J170" s="43" t="s">
        <v>349</v>
      </c>
      <c r="K170" s="49" t="s">
        <v>112</v>
      </c>
      <c r="L170" s="42" t="s">
        <v>286</v>
      </c>
      <c r="M170" s="55">
        <v>-1</v>
      </c>
      <c r="N170" s="49" t="s">
        <v>111</v>
      </c>
      <c r="O170" s="42" t="s">
        <v>284</v>
      </c>
      <c r="P170" s="60">
        <v>46178.357465277782</v>
      </c>
    </row>
    <row r="171" spans="2:16" x14ac:dyDescent="0.25">
      <c r="B171" s="57" t="s">
        <v>874</v>
      </c>
      <c r="C171" s="49" t="s">
        <v>55</v>
      </c>
      <c r="D171" s="58">
        <v>46178</v>
      </c>
      <c r="E171" s="49" t="s">
        <v>366</v>
      </c>
      <c r="F171" s="56">
        <v>9</v>
      </c>
      <c r="G171" s="42" t="s">
        <v>875</v>
      </c>
      <c r="H171" s="49" t="s">
        <v>585</v>
      </c>
      <c r="I171" s="59">
        <v>-9</v>
      </c>
      <c r="J171" s="43" t="s">
        <v>349</v>
      </c>
      <c r="K171" s="49" t="s">
        <v>110</v>
      </c>
      <c r="L171" s="42" t="s">
        <v>181</v>
      </c>
      <c r="M171" s="55">
        <v>-1</v>
      </c>
      <c r="N171" s="49" t="s">
        <v>109</v>
      </c>
      <c r="O171" s="42" t="s">
        <v>204</v>
      </c>
      <c r="P171" s="60">
        <v>46178.420416666668</v>
      </c>
    </row>
    <row r="172" spans="2:16" x14ac:dyDescent="0.25">
      <c r="B172" s="57" t="s">
        <v>876</v>
      </c>
      <c r="C172" s="49" t="s">
        <v>55</v>
      </c>
      <c r="D172" s="58">
        <v>46178</v>
      </c>
      <c r="E172" s="49" t="s">
        <v>410</v>
      </c>
      <c r="F172" s="56">
        <v>23</v>
      </c>
      <c r="G172" s="42" t="s">
        <v>877</v>
      </c>
      <c r="H172" s="49" t="s">
        <v>585</v>
      </c>
      <c r="I172" s="59">
        <v>-23</v>
      </c>
      <c r="J172" s="43" t="s">
        <v>349</v>
      </c>
      <c r="K172" s="49" t="s">
        <v>112</v>
      </c>
      <c r="L172" s="42" t="s">
        <v>177</v>
      </c>
      <c r="M172" s="55">
        <v>-1</v>
      </c>
      <c r="N172" s="49" t="s">
        <v>111</v>
      </c>
      <c r="O172" s="42" t="s">
        <v>278</v>
      </c>
      <c r="P172" s="60">
        <v>46178.656863425917</v>
      </c>
    </row>
    <row r="173" spans="2:16" x14ac:dyDescent="0.25">
      <c r="B173" s="57" t="s">
        <v>878</v>
      </c>
      <c r="C173" s="49" t="s">
        <v>55</v>
      </c>
      <c r="D173" s="58">
        <v>46179</v>
      </c>
      <c r="E173" s="49" t="s">
        <v>414</v>
      </c>
      <c r="F173" s="56">
        <v>24</v>
      </c>
      <c r="G173" s="42" t="s">
        <v>879</v>
      </c>
      <c r="H173" s="49" t="s">
        <v>585</v>
      </c>
      <c r="I173" s="59">
        <v>-24</v>
      </c>
      <c r="J173" s="43" t="s">
        <v>349</v>
      </c>
      <c r="K173" s="49" t="s">
        <v>110</v>
      </c>
      <c r="L173" s="42" t="s">
        <v>286</v>
      </c>
      <c r="M173" s="55">
        <v>-1</v>
      </c>
      <c r="N173" s="49" t="s">
        <v>109</v>
      </c>
      <c r="O173" s="42" t="s">
        <v>284</v>
      </c>
      <c r="P173" s="60">
        <v>46179.441840277781</v>
      </c>
    </row>
    <row r="174" spans="2:16" x14ac:dyDescent="0.25">
      <c r="B174" s="57" t="s">
        <v>880</v>
      </c>
      <c r="C174" s="49" t="s">
        <v>55</v>
      </c>
      <c r="D174" s="58">
        <v>46179</v>
      </c>
      <c r="E174" s="49" t="s">
        <v>412</v>
      </c>
      <c r="F174" s="56">
        <v>7</v>
      </c>
      <c r="G174" s="42" t="s">
        <v>881</v>
      </c>
      <c r="H174" s="49" t="s">
        <v>604</v>
      </c>
      <c r="I174" s="59">
        <v>-7</v>
      </c>
      <c r="J174" s="43" t="s">
        <v>349</v>
      </c>
      <c r="K174" s="49" t="s">
        <v>112</v>
      </c>
      <c r="L174" s="42" t="s">
        <v>181</v>
      </c>
      <c r="M174" s="55">
        <v>-1</v>
      </c>
      <c r="N174" s="49" t="s">
        <v>111</v>
      </c>
      <c r="O174" s="42" t="s">
        <v>281</v>
      </c>
      <c r="P174" s="60">
        <v>46179.659398148149</v>
      </c>
    </row>
    <row r="175" spans="2:16" x14ac:dyDescent="0.25">
      <c r="B175" s="57" t="s">
        <v>882</v>
      </c>
      <c r="C175" s="49" t="s">
        <v>55</v>
      </c>
      <c r="D175" s="58">
        <v>46181</v>
      </c>
      <c r="E175" s="49" t="s">
        <v>351</v>
      </c>
      <c r="F175" s="56">
        <v>6</v>
      </c>
      <c r="G175" s="42" t="s">
        <v>883</v>
      </c>
      <c r="H175" s="49" t="s">
        <v>615</v>
      </c>
      <c r="I175" s="59">
        <v>-6</v>
      </c>
      <c r="J175" s="43" t="s">
        <v>349</v>
      </c>
      <c r="K175" s="49" t="s">
        <v>112</v>
      </c>
      <c r="L175" s="42" t="s">
        <v>177</v>
      </c>
      <c r="M175" s="55">
        <v>-1</v>
      </c>
      <c r="N175" s="49" t="s">
        <v>111</v>
      </c>
      <c r="O175" s="42" t="s">
        <v>175</v>
      </c>
      <c r="P175" s="60">
        <v>46181.455451388887</v>
      </c>
    </row>
    <row r="176" spans="2:16" x14ac:dyDescent="0.25">
      <c r="B176" s="57" t="s">
        <v>884</v>
      </c>
      <c r="C176" s="49" t="s">
        <v>55</v>
      </c>
      <c r="D176" s="58">
        <v>46181</v>
      </c>
      <c r="E176" s="49" t="s">
        <v>412</v>
      </c>
      <c r="F176" s="56">
        <v>6</v>
      </c>
      <c r="G176" s="42" t="s">
        <v>885</v>
      </c>
      <c r="H176" s="49" t="s">
        <v>588</v>
      </c>
      <c r="I176" s="59">
        <v>-6</v>
      </c>
      <c r="J176" s="43" t="s">
        <v>349</v>
      </c>
      <c r="K176" s="49" t="s">
        <v>112</v>
      </c>
      <c r="L176" s="42" t="s">
        <v>181</v>
      </c>
      <c r="M176" s="55">
        <v>-1</v>
      </c>
      <c r="N176" s="49" t="s">
        <v>111</v>
      </c>
      <c r="O176" s="42" t="s">
        <v>281</v>
      </c>
      <c r="P176" s="60">
        <v>46181.47314814815</v>
      </c>
    </row>
    <row r="177" spans="2:16" x14ac:dyDescent="0.25">
      <c r="B177" s="57" t="s">
        <v>886</v>
      </c>
      <c r="C177" s="49" t="s">
        <v>55</v>
      </c>
      <c r="D177" s="58">
        <v>46181</v>
      </c>
      <c r="E177" s="49" t="s">
        <v>346</v>
      </c>
      <c r="F177" s="56">
        <v>16</v>
      </c>
      <c r="G177" s="42" t="s">
        <v>887</v>
      </c>
      <c r="H177" s="49" t="s">
        <v>615</v>
      </c>
      <c r="I177" s="59">
        <v>-16</v>
      </c>
      <c r="J177" s="43" t="s">
        <v>349</v>
      </c>
      <c r="K177" s="49" t="s">
        <v>110</v>
      </c>
      <c r="L177" s="42" t="s">
        <v>173</v>
      </c>
      <c r="M177" s="55">
        <v>-1</v>
      </c>
      <c r="N177" s="49" t="s">
        <v>109</v>
      </c>
      <c r="O177" s="42" t="s">
        <v>170</v>
      </c>
      <c r="P177" s="60">
        <v>46181.67863425926</v>
      </c>
    </row>
    <row r="178" spans="2:16" x14ac:dyDescent="0.25">
      <c r="B178" s="57" t="s">
        <v>888</v>
      </c>
      <c r="C178" s="49" t="s">
        <v>55</v>
      </c>
      <c r="D178" s="58">
        <v>46182</v>
      </c>
      <c r="E178" s="49" t="s">
        <v>378</v>
      </c>
      <c r="F178" s="56">
        <v>32</v>
      </c>
      <c r="G178" s="42" t="s">
        <v>889</v>
      </c>
      <c r="H178" s="49"/>
      <c r="I178" s="59">
        <v>-32</v>
      </c>
      <c r="J178" s="43" t="s">
        <v>349</v>
      </c>
      <c r="K178" s="49" t="s">
        <v>112</v>
      </c>
      <c r="L178" s="42" t="s">
        <v>181</v>
      </c>
      <c r="M178" s="55">
        <v>-1</v>
      </c>
      <c r="N178" s="49" t="s">
        <v>111</v>
      </c>
      <c r="O178" s="42" t="s">
        <v>224</v>
      </c>
      <c r="P178" s="60">
        <v>46182.536666666667</v>
      </c>
    </row>
    <row r="179" spans="2:16" x14ac:dyDescent="0.25">
      <c r="B179" s="57" t="s">
        <v>890</v>
      </c>
      <c r="C179" s="49" t="s">
        <v>55</v>
      </c>
      <c r="D179" s="58">
        <v>46182</v>
      </c>
      <c r="E179" s="49" t="s">
        <v>394</v>
      </c>
      <c r="F179" s="56">
        <v>12</v>
      </c>
      <c r="G179" s="42" t="s">
        <v>891</v>
      </c>
      <c r="H179" s="49" t="s">
        <v>593</v>
      </c>
      <c r="I179" s="59">
        <v>-12</v>
      </c>
      <c r="J179" s="43" t="s">
        <v>349</v>
      </c>
      <c r="K179" s="49" t="s">
        <v>112</v>
      </c>
      <c r="L179" s="42" t="s">
        <v>181</v>
      </c>
      <c r="M179" s="55">
        <v>-1</v>
      </c>
      <c r="N179" s="49" t="s">
        <v>111</v>
      </c>
      <c r="O179" s="42" t="s">
        <v>250</v>
      </c>
      <c r="P179" s="60">
        <v>46182.705196759263</v>
      </c>
    </row>
    <row r="180" spans="2:16" x14ac:dyDescent="0.25">
      <c r="B180" s="57" t="s">
        <v>892</v>
      </c>
      <c r="C180" s="49" t="s">
        <v>55</v>
      </c>
      <c r="D180" s="58">
        <v>46183</v>
      </c>
      <c r="E180" s="49" t="s">
        <v>364</v>
      </c>
      <c r="F180" s="56">
        <v>36</v>
      </c>
      <c r="G180" s="42" t="s">
        <v>893</v>
      </c>
      <c r="H180" s="49"/>
      <c r="I180" s="59">
        <v>-36</v>
      </c>
      <c r="J180" s="43" t="s">
        <v>349</v>
      </c>
      <c r="K180" s="49" t="s">
        <v>110</v>
      </c>
      <c r="L180" s="42" t="s">
        <v>181</v>
      </c>
      <c r="M180" s="55">
        <v>-1</v>
      </c>
      <c r="N180" s="49" t="s">
        <v>109</v>
      </c>
      <c r="O180" s="42" t="s">
        <v>201</v>
      </c>
      <c r="P180" s="60">
        <v>46183.325474537043</v>
      </c>
    </row>
    <row r="181" spans="2:16" x14ac:dyDescent="0.25">
      <c r="B181" s="57" t="s">
        <v>894</v>
      </c>
      <c r="C181" s="49" t="s">
        <v>55</v>
      </c>
      <c r="D181" s="58">
        <v>46183</v>
      </c>
      <c r="E181" s="49" t="s">
        <v>390</v>
      </c>
      <c r="F181" s="56">
        <v>3.5</v>
      </c>
      <c r="G181" s="42" t="s">
        <v>895</v>
      </c>
      <c r="H181" s="49" t="s">
        <v>585</v>
      </c>
      <c r="I181" s="59">
        <v>-3.5</v>
      </c>
      <c r="J181" s="43" t="s">
        <v>349</v>
      </c>
      <c r="K181" s="49" t="s">
        <v>110</v>
      </c>
      <c r="L181" s="42" t="s">
        <v>239</v>
      </c>
      <c r="M181" s="55">
        <v>-1</v>
      </c>
      <c r="N181" s="49" t="s">
        <v>109</v>
      </c>
      <c r="O181" s="42" t="s">
        <v>244</v>
      </c>
      <c r="P181" s="60">
        <v>46183.363749999997</v>
      </c>
    </row>
    <row r="182" spans="2:16" x14ac:dyDescent="0.25">
      <c r="B182" s="57" t="s">
        <v>896</v>
      </c>
      <c r="C182" s="49" t="s">
        <v>55</v>
      </c>
      <c r="D182" s="58">
        <v>46183</v>
      </c>
      <c r="E182" s="49" t="s">
        <v>374</v>
      </c>
      <c r="F182" s="56">
        <v>75.5</v>
      </c>
      <c r="G182" s="42" t="s">
        <v>897</v>
      </c>
      <c r="H182" s="49"/>
      <c r="I182" s="59">
        <v>-75.5</v>
      </c>
      <c r="J182" s="43" t="s">
        <v>349</v>
      </c>
      <c r="K182" s="49" t="s">
        <v>110</v>
      </c>
      <c r="L182" s="42" t="s">
        <v>218</v>
      </c>
      <c r="M182" s="55">
        <v>-1</v>
      </c>
      <c r="N182" s="49" t="s">
        <v>109</v>
      </c>
      <c r="O182" s="42" t="s">
        <v>216</v>
      </c>
      <c r="P182" s="60">
        <v>46183.470752314817</v>
      </c>
    </row>
    <row r="183" spans="2:16" x14ac:dyDescent="0.25">
      <c r="B183" s="57" t="s">
        <v>898</v>
      </c>
      <c r="C183" s="49" t="s">
        <v>55</v>
      </c>
      <c r="D183" s="58">
        <v>46183</v>
      </c>
      <c r="E183" s="49" t="s">
        <v>374</v>
      </c>
      <c r="F183" s="56">
        <v>76</v>
      </c>
      <c r="G183" s="42" t="s">
        <v>899</v>
      </c>
      <c r="H183" s="49" t="s">
        <v>588</v>
      </c>
      <c r="I183" s="59">
        <v>-76</v>
      </c>
      <c r="J183" s="43" t="s">
        <v>349</v>
      </c>
      <c r="K183" s="49" t="s">
        <v>110</v>
      </c>
      <c r="L183" s="42" t="s">
        <v>218</v>
      </c>
      <c r="M183" s="55">
        <v>-1</v>
      </c>
      <c r="N183" s="49" t="s">
        <v>109</v>
      </c>
      <c r="O183" s="42" t="s">
        <v>216</v>
      </c>
      <c r="P183" s="60">
        <v>46183.482951388891</v>
      </c>
    </row>
    <row r="184" spans="2:16" x14ac:dyDescent="0.25">
      <c r="B184" s="57" t="s">
        <v>900</v>
      </c>
      <c r="C184" s="49" t="s">
        <v>55</v>
      </c>
      <c r="D184" s="58">
        <v>46184</v>
      </c>
      <c r="E184" s="49" t="s">
        <v>351</v>
      </c>
      <c r="F184" s="56">
        <v>5</v>
      </c>
      <c r="G184" s="42" t="s">
        <v>901</v>
      </c>
      <c r="H184" s="49"/>
      <c r="I184" s="59">
        <v>-5</v>
      </c>
      <c r="J184" s="43" t="s">
        <v>349</v>
      </c>
      <c r="K184" s="49" t="s">
        <v>112</v>
      </c>
      <c r="L184" s="42" t="s">
        <v>177</v>
      </c>
      <c r="M184" s="55">
        <v>-1</v>
      </c>
      <c r="N184" s="49" t="s">
        <v>111</v>
      </c>
      <c r="O184" s="42" t="s">
        <v>175</v>
      </c>
      <c r="P184" s="60">
        <v>46184.440393518518</v>
      </c>
    </row>
    <row r="185" spans="2:16" x14ac:dyDescent="0.25">
      <c r="B185" s="57" t="s">
        <v>902</v>
      </c>
      <c r="C185" s="49" t="s">
        <v>55</v>
      </c>
      <c r="D185" s="58">
        <v>46184</v>
      </c>
      <c r="E185" s="49" t="s">
        <v>368</v>
      </c>
      <c r="F185" s="56">
        <v>5</v>
      </c>
      <c r="G185" s="42" t="s">
        <v>903</v>
      </c>
      <c r="H185" s="49" t="s">
        <v>593</v>
      </c>
      <c r="I185" s="59">
        <v>-5</v>
      </c>
      <c r="J185" s="43" t="s">
        <v>349</v>
      </c>
      <c r="K185" s="49" t="s">
        <v>112</v>
      </c>
      <c r="L185" s="42" t="s">
        <v>181</v>
      </c>
      <c r="M185" s="55">
        <v>-1</v>
      </c>
      <c r="N185" s="49" t="s">
        <v>111</v>
      </c>
      <c r="O185" s="42" t="s">
        <v>207</v>
      </c>
      <c r="P185" s="60">
        <v>46184.533854166657</v>
      </c>
    </row>
    <row r="186" spans="2:16" x14ac:dyDescent="0.25">
      <c r="B186" s="57" t="s">
        <v>904</v>
      </c>
      <c r="C186" s="49" t="s">
        <v>55</v>
      </c>
      <c r="D186" s="58">
        <v>46184</v>
      </c>
      <c r="E186" s="49" t="s">
        <v>346</v>
      </c>
      <c r="F186" s="56">
        <v>14</v>
      </c>
      <c r="G186" s="42" t="s">
        <v>905</v>
      </c>
      <c r="H186" s="49" t="s">
        <v>585</v>
      </c>
      <c r="I186" s="59">
        <v>-14</v>
      </c>
      <c r="J186" s="43" t="s">
        <v>349</v>
      </c>
      <c r="K186" s="49" t="s">
        <v>112</v>
      </c>
      <c r="L186" s="42" t="s">
        <v>173</v>
      </c>
      <c r="M186" s="55">
        <v>-1</v>
      </c>
      <c r="N186" s="49" t="s">
        <v>111</v>
      </c>
      <c r="O186" s="42" t="s">
        <v>170</v>
      </c>
      <c r="P186" s="60">
        <v>46184.605787037042</v>
      </c>
    </row>
    <row r="187" spans="2:16" x14ac:dyDescent="0.25">
      <c r="B187" s="57" t="s">
        <v>906</v>
      </c>
      <c r="C187" s="49" t="s">
        <v>55</v>
      </c>
      <c r="D187" s="58">
        <v>46184</v>
      </c>
      <c r="E187" s="49" t="s">
        <v>412</v>
      </c>
      <c r="F187" s="56">
        <v>7</v>
      </c>
      <c r="G187" s="42" t="s">
        <v>907</v>
      </c>
      <c r="H187" s="49" t="s">
        <v>585</v>
      </c>
      <c r="I187" s="59">
        <v>-7</v>
      </c>
      <c r="J187" s="43" t="s">
        <v>349</v>
      </c>
      <c r="K187" s="49" t="s">
        <v>112</v>
      </c>
      <c r="L187" s="42" t="s">
        <v>181</v>
      </c>
      <c r="M187" s="55">
        <v>-1</v>
      </c>
      <c r="N187" s="49" t="s">
        <v>111</v>
      </c>
      <c r="O187" s="42" t="s">
        <v>281</v>
      </c>
      <c r="P187" s="60">
        <v>46184.651898148149</v>
      </c>
    </row>
    <row r="188" spans="2:16" x14ac:dyDescent="0.25">
      <c r="B188" s="57" t="s">
        <v>908</v>
      </c>
      <c r="C188" s="49" t="s">
        <v>55</v>
      </c>
      <c r="D188" s="58">
        <v>46185</v>
      </c>
      <c r="E188" s="49" t="s">
        <v>374</v>
      </c>
      <c r="F188" s="56">
        <v>2.5</v>
      </c>
      <c r="G188" s="42" t="s">
        <v>909</v>
      </c>
      <c r="H188" s="49"/>
      <c r="I188" s="59">
        <v>-2.5</v>
      </c>
      <c r="J188" s="43" t="s">
        <v>349</v>
      </c>
      <c r="K188" s="49" t="s">
        <v>110</v>
      </c>
      <c r="L188" s="42" t="s">
        <v>218</v>
      </c>
      <c r="M188" s="55">
        <v>-1</v>
      </c>
      <c r="N188" s="49" t="s">
        <v>109</v>
      </c>
      <c r="O188" s="42" t="s">
        <v>216</v>
      </c>
      <c r="P188" s="60">
        <v>46185.350682870368</v>
      </c>
    </row>
    <row r="189" spans="2:16" x14ac:dyDescent="0.25">
      <c r="B189" s="57" t="s">
        <v>910</v>
      </c>
      <c r="C189" s="49" t="s">
        <v>55</v>
      </c>
      <c r="D189" s="58">
        <v>46185</v>
      </c>
      <c r="E189" s="49" t="s">
        <v>370</v>
      </c>
      <c r="F189" s="56">
        <v>24</v>
      </c>
      <c r="G189" s="42" t="s">
        <v>911</v>
      </c>
      <c r="H189" s="49" t="s">
        <v>585</v>
      </c>
      <c r="I189" s="59">
        <v>-24</v>
      </c>
      <c r="J189" s="43" t="s">
        <v>349</v>
      </c>
      <c r="K189" s="49" t="s">
        <v>112</v>
      </c>
      <c r="L189" s="42" t="s">
        <v>181</v>
      </c>
      <c r="M189" s="55">
        <v>-1</v>
      </c>
      <c r="N189" s="49" t="s">
        <v>111</v>
      </c>
      <c r="O189" s="42" t="s">
        <v>210</v>
      </c>
      <c r="P189" s="60">
        <v>46185.459351851852</v>
      </c>
    </row>
    <row r="190" spans="2:16" x14ac:dyDescent="0.25">
      <c r="B190" s="57" t="s">
        <v>912</v>
      </c>
      <c r="C190" s="49" t="s">
        <v>55</v>
      </c>
      <c r="D190" s="58">
        <v>46186</v>
      </c>
      <c r="E190" s="49" t="s">
        <v>357</v>
      </c>
      <c r="F190" s="56">
        <v>25</v>
      </c>
      <c r="G190" s="42" t="s">
        <v>913</v>
      </c>
      <c r="H190" s="49" t="s">
        <v>593</v>
      </c>
      <c r="I190" s="59">
        <v>-25</v>
      </c>
      <c r="J190" s="43" t="s">
        <v>349</v>
      </c>
      <c r="K190" s="49" t="s">
        <v>112</v>
      </c>
      <c r="L190" s="42" t="s">
        <v>181</v>
      </c>
      <c r="M190" s="55">
        <v>-1</v>
      </c>
      <c r="N190" s="49" t="s">
        <v>111</v>
      </c>
      <c r="O190" s="42" t="s">
        <v>186</v>
      </c>
      <c r="P190" s="60">
        <v>46186.434583333343</v>
      </c>
    </row>
    <row r="191" spans="2:16" x14ac:dyDescent="0.25">
      <c r="B191" s="57" t="s">
        <v>914</v>
      </c>
      <c r="C191" s="49" t="s">
        <v>55</v>
      </c>
      <c r="D191" s="58">
        <v>46186</v>
      </c>
      <c r="E191" s="49" t="s">
        <v>408</v>
      </c>
      <c r="F191" s="56">
        <v>23.5</v>
      </c>
      <c r="G191" s="42" t="s">
        <v>915</v>
      </c>
      <c r="H191" s="49" t="s">
        <v>593</v>
      </c>
      <c r="I191" s="59">
        <v>-23.5</v>
      </c>
      <c r="J191" s="43" t="s">
        <v>349</v>
      </c>
      <c r="K191" s="49" t="s">
        <v>112</v>
      </c>
      <c r="L191" s="42" t="s">
        <v>276</v>
      </c>
      <c r="M191" s="55">
        <v>-1</v>
      </c>
      <c r="N191" s="49" t="s">
        <v>111</v>
      </c>
      <c r="O191" s="42" t="s">
        <v>274</v>
      </c>
      <c r="P191" s="60">
        <v>46186.606712962966</v>
      </c>
    </row>
    <row r="192" spans="2:16" x14ac:dyDescent="0.25">
      <c r="B192" s="57" t="s">
        <v>916</v>
      </c>
      <c r="C192" s="49" t="s">
        <v>55</v>
      </c>
      <c r="D192" s="58">
        <v>46188</v>
      </c>
      <c r="E192" s="49" t="s">
        <v>384</v>
      </c>
      <c r="F192" s="56">
        <v>53</v>
      </c>
      <c r="G192" s="42" t="s">
        <v>917</v>
      </c>
      <c r="H192" s="49" t="s">
        <v>593</v>
      </c>
      <c r="I192" s="59">
        <v>-53</v>
      </c>
      <c r="J192" s="43" t="s">
        <v>349</v>
      </c>
      <c r="K192" s="49" t="s">
        <v>110</v>
      </c>
      <c r="L192" s="42" t="s">
        <v>181</v>
      </c>
      <c r="M192" s="55">
        <v>-1</v>
      </c>
      <c r="N192" s="49" t="s">
        <v>109</v>
      </c>
      <c r="O192" s="42" t="s">
        <v>233</v>
      </c>
      <c r="P192" s="60">
        <v>46188.457361111112</v>
      </c>
    </row>
    <row r="193" spans="2:16" x14ac:dyDescent="0.25">
      <c r="B193" s="57" t="s">
        <v>918</v>
      </c>
      <c r="C193" s="49" t="s">
        <v>55</v>
      </c>
      <c r="D193" s="58">
        <v>46188</v>
      </c>
      <c r="E193" s="49" t="s">
        <v>351</v>
      </c>
      <c r="F193" s="56">
        <v>11</v>
      </c>
      <c r="G193" s="42" t="s">
        <v>919</v>
      </c>
      <c r="H193" s="49"/>
      <c r="I193" s="59">
        <v>-11</v>
      </c>
      <c r="J193" s="43" t="s">
        <v>349</v>
      </c>
      <c r="K193" s="49" t="s">
        <v>112</v>
      </c>
      <c r="L193" s="42" t="s">
        <v>177</v>
      </c>
      <c r="M193" s="55">
        <v>-1</v>
      </c>
      <c r="N193" s="49" t="s">
        <v>111</v>
      </c>
      <c r="O193" s="42" t="s">
        <v>175</v>
      </c>
      <c r="P193" s="60">
        <v>46188.505995370368</v>
      </c>
    </row>
    <row r="194" spans="2:16" x14ac:dyDescent="0.25">
      <c r="B194" s="57" t="s">
        <v>920</v>
      </c>
      <c r="C194" s="49" t="s">
        <v>55</v>
      </c>
      <c r="D194" s="58">
        <v>46188</v>
      </c>
      <c r="E194" s="49" t="s">
        <v>370</v>
      </c>
      <c r="F194" s="56">
        <v>35</v>
      </c>
      <c r="G194" s="42" t="s">
        <v>921</v>
      </c>
      <c r="H194" s="49" t="s">
        <v>615</v>
      </c>
      <c r="I194" s="59">
        <v>-35</v>
      </c>
      <c r="J194" s="43" t="s">
        <v>349</v>
      </c>
      <c r="K194" s="49" t="s">
        <v>112</v>
      </c>
      <c r="L194" s="42" t="s">
        <v>181</v>
      </c>
      <c r="M194" s="55">
        <v>-1</v>
      </c>
      <c r="N194" s="49" t="s">
        <v>111</v>
      </c>
      <c r="O194" s="42" t="s">
        <v>210</v>
      </c>
      <c r="P194" s="60">
        <v>46188.51295138889</v>
      </c>
    </row>
    <row r="195" spans="2:16" x14ac:dyDescent="0.25">
      <c r="B195" s="57" t="s">
        <v>922</v>
      </c>
      <c r="C195" s="49" t="s">
        <v>55</v>
      </c>
      <c r="D195" s="58">
        <v>46189</v>
      </c>
      <c r="E195" s="49" t="s">
        <v>392</v>
      </c>
      <c r="F195" s="56">
        <v>7</v>
      </c>
      <c r="G195" s="42" t="s">
        <v>923</v>
      </c>
      <c r="H195" s="49" t="s">
        <v>585</v>
      </c>
      <c r="I195" s="59">
        <v>-7</v>
      </c>
      <c r="J195" s="43" t="s">
        <v>349</v>
      </c>
      <c r="K195" s="49" t="s">
        <v>110</v>
      </c>
      <c r="L195" s="42" t="s">
        <v>181</v>
      </c>
      <c r="M195" s="55">
        <v>-1</v>
      </c>
      <c r="N195" s="49" t="s">
        <v>109</v>
      </c>
      <c r="O195" s="42" t="s">
        <v>247</v>
      </c>
      <c r="P195" s="60">
        <v>46189.51525462963</v>
      </c>
    </row>
    <row r="196" spans="2:16" x14ac:dyDescent="0.25">
      <c r="B196" s="57" t="s">
        <v>924</v>
      </c>
      <c r="C196" s="49" t="s">
        <v>55</v>
      </c>
      <c r="D196" s="58">
        <v>46189</v>
      </c>
      <c r="E196" s="49" t="s">
        <v>378</v>
      </c>
      <c r="F196" s="56">
        <v>38</v>
      </c>
      <c r="G196" s="42" t="s">
        <v>925</v>
      </c>
      <c r="H196" s="49" t="s">
        <v>588</v>
      </c>
      <c r="I196" s="59">
        <v>-38</v>
      </c>
      <c r="J196" s="43" t="s">
        <v>349</v>
      </c>
      <c r="K196" s="49" t="s">
        <v>110</v>
      </c>
      <c r="L196" s="42" t="s">
        <v>181</v>
      </c>
      <c r="M196" s="55">
        <v>-1</v>
      </c>
      <c r="N196" s="49" t="s">
        <v>109</v>
      </c>
      <c r="O196" s="42" t="s">
        <v>224</v>
      </c>
      <c r="P196" s="60">
        <v>46189.515879629631</v>
      </c>
    </row>
    <row r="197" spans="2:16" x14ac:dyDescent="0.25">
      <c r="B197" s="57" t="s">
        <v>926</v>
      </c>
      <c r="C197" s="49" t="s">
        <v>55</v>
      </c>
      <c r="D197" s="58">
        <v>46189</v>
      </c>
      <c r="E197" s="49" t="s">
        <v>374</v>
      </c>
      <c r="F197" s="56">
        <v>116.5</v>
      </c>
      <c r="G197" s="42" t="s">
        <v>927</v>
      </c>
      <c r="H197" s="49"/>
      <c r="I197" s="59">
        <v>-116.5</v>
      </c>
      <c r="J197" s="43" t="s">
        <v>349</v>
      </c>
      <c r="K197" s="49" t="s">
        <v>110</v>
      </c>
      <c r="L197" s="42" t="s">
        <v>218</v>
      </c>
      <c r="M197" s="55">
        <v>-1</v>
      </c>
      <c r="N197" s="49" t="s">
        <v>109</v>
      </c>
      <c r="O197" s="42" t="s">
        <v>216</v>
      </c>
      <c r="P197" s="60">
        <v>46189.623900462961</v>
      </c>
    </row>
    <row r="198" spans="2:16" x14ac:dyDescent="0.25">
      <c r="B198" s="57" t="s">
        <v>928</v>
      </c>
      <c r="C198" s="49" t="s">
        <v>55</v>
      </c>
      <c r="D198" s="58">
        <v>46189</v>
      </c>
      <c r="E198" s="49" t="s">
        <v>374</v>
      </c>
      <c r="F198" s="56">
        <v>47.5</v>
      </c>
      <c r="G198" s="42" t="s">
        <v>929</v>
      </c>
      <c r="H198" s="49"/>
      <c r="I198" s="59">
        <v>-47.5</v>
      </c>
      <c r="J198" s="43" t="s">
        <v>349</v>
      </c>
      <c r="K198" s="49" t="s">
        <v>112</v>
      </c>
      <c r="L198" s="42" t="s">
        <v>218</v>
      </c>
      <c r="M198" s="55">
        <v>-1</v>
      </c>
      <c r="N198" s="49" t="s">
        <v>111</v>
      </c>
      <c r="O198" s="42" t="s">
        <v>216</v>
      </c>
      <c r="P198" s="60">
        <v>46189.639108796298</v>
      </c>
    </row>
    <row r="199" spans="2:16" x14ac:dyDescent="0.25">
      <c r="B199" s="57" t="s">
        <v>930</v>
      </c>
      <c r="C199" s="49" t="s">
        <v>55</v>
      </c>
      <c r="D199" s="58">
        <v>46190</v>
      </c>
      <c r="E199" s="49" t="s">
        <v>364</v>
      </c>
      <c r="F199" s="56">
        <v>26</v>
      </c>
      <c r="G199" s="42" t="s">
        <v>931</v>
      </c>
      <c r="H199" s="49" t="s">
        <v>585</v>
      </c>
      <c r="I199" s="59">
        <v>-26</v>
      </c>
      <c r="J199" s="43" t="s">
        <v>349</v>
      </c>
      <c r="K199" s="49" t="s">
        <v>110</v>
      </c>
      <c r="L199" s="42" t="s">
        <v>181</v>
      </c>
      <c r="M199" s="55">
        <v>-1</v>
      </c>
      <c r="N199" s="49" t="s">
        <v>109</v>
      </c>
      <c r="O199" s="42" t="s">
        <v>201</v>
      </c>
      <c r="P199" s="60">
        <v>46190.535983796297</v>
      </c>
    </row>
    <row r="200" spans="2:16" x14ac:dyDescent="0.25">
      <c r="B200" s="57" t="s">
        <v>932</v>
      </c>
      <c r="C200" s="49" t="s">
        <v>55</v>
      </c>
      <c r="D200" s="58">
        <v>46190</v>
      </c>
      <c r="E200" s="49" t="s">
        <v>374</v>
      </c>
      <c r="F200" s="56">
        <v>107</v>
      </c>
      <c r="G200" s="42" t="s">
        <v>933</v>
      </c>
      <c r="H200" s="49"/>
      <c r="I200" s="59">
        <v>-107</v>
      </c>
      <c r="J200" s="43" t="s">
        <v>349</v>
      </c>
      <c r="K200" s="49" t="s">
        <v>112</v>
      </c>
      <c r="L200" s="42" t="s">
        <v>218</v>
      </c>
      <c r="M200" s="55">
        <v>-1</v>
      </c>
      <c r="N200" s="49" t="s">
        <v>111</v>
      </c>
      <c r="O200" s="42" t="s">
        <v>216</v>
      </c>
      <c r="P200" s="60">
        <v>46190.669976851852</v>
      </c>
    </row>
    <row r="201" spans="2:16" x14ac:dyDescent="0.25">
      <c r="B201" s="57" t="s">
        <v>934</v>
      </c>
      <c r="C201" s="49" t="s">
        <v>55</v>
      </c>
      <c r="D201" s="58">
        <v>46191</v>
      </c>
      <c r="E201" s="49" t="s">
        <v>394</v>
      </c>
      <c r="F201" s="56">
        <v>8</v>
      </c>
      <c r="G201" s="42" t="s">
        <v>935</v>
      </c>
      <c r="H201" s="49" t="s">
        <v>585</v>
      </c>
      <c r="I201" s="59">
        <v>-8</v>
      </c>
      <c r="J201" s="43" t="s">
        <v>349</v>
      </c>
      <c r="K201" s="49" t="s">
        <v>112</v>
      </c>
      <c r="L201" s="42" t="s">
        <v>181</v>
      </c>
      <c r="M201" s="55">
        <v>-1</v>
      </c>
      <c r="N201" s="49" t="s">
        <v>111</v>
      </c>
      <c r="O201" s="42" t="s">
        <v>250</v>
      </c>
      <c r="P201" s="60">
        <v>46191.436354166668</v>
      </c>
    </row>
    <row r="202" spans="2:16" x14ac:dyDescent="0.25">
      <c r="B202" s="57" t="s">
        <v>936</v>
      </c>
      <c r="C202" s="49" t="s">
        <v>55</v>
      </c>
      <c r="D202" s="58">
        <v>46192</v>
      </c>
      <c r="E202" s="49" t="s">
        <v>406</v>
      </c>
      <c r="F202" s="56">
        <v>6.5</v>
      </c>
      <c r="G202" s="42" t="s">
        <v>937</v>
      </c>
      <c r="H202" s="49" t="s">
        <v>609</v>
      </c>
      <c r="I202" s="59">
        <v>-6.5</v>
      </c>
      <c r="J202" s="43" t="s">
        <v>349</v>
      </c>
      <c r="K202" s="49" t="s">
        <v>112</v>
      </c>
      <c r="L202" s="42" t="s">
        <v>239</v>
      </c>
      <c r="M202" s="55">
        <v>-1</v>
      </c>
      <c r="N202" s="49" t="s">
        <v>111</v>
      </c>
      <c r="O202" s="42" t="s">
        <v>270</v>
      </c>
      <c r="P202" s="60">
        <v>46192.327060185176</v>
      </c>
    </row>
    <row r="203" spans="2:16" x14ac:dyDescent="0.25">
      <c r="B203" s="57" t="s">
        <v>938</v>
      </c>
      <c r="C203" s="49" t="s">
        <v>55</v>
      </c>
      <c r="D203" s="58">
        <v>46192</v>
      </c>
      <c r="E203" s="49" t="s">
        <v>346</v>
      </c>
      <c r="F203" s="56">
        <v>21</v>
      </c>
      <c r="G203" s="42" t="s">
        <v>939</v>
      </c>
      <c r="H203" s="49"/>
      <c r="I203" s="59">
        <v>-21</v>
      </c>
      <c r="J203" s="43" t="s">
        <v>349</v>
      </c>
      <c r="K203" s="49" t="s">
        <v>112</v>
      </c>
      <c r="L203" s="42" t="s">
        <v>173</v>
      </c>
      <c r="M203" s="55">
        <v>-1</v>
      </c>
      <c r="N203" s="49" t="s">
        <v>111</v>
      </c>
      <c r="O203" s="42" t="s">
        <v>170</v>
      </c>
      <c r="P203" s="60">
        <v>46192.424872685187</v>
      </c>
    </row>
    <row r="204" spans="2:16" x14ac:dyDescent="0.25">
      <c r="B204" s="57" t="s">
        <v>940</v>
      </c>
      <c r="C204" s="49" t="s">
        <v>55</v>
      </c>
      <c r="D204" s="58">
        <v>46193</v>
      </c>
      <c r="E204" s="49" t="s">
        <v>378</v>
      </c>
      <c r="F204" s="56">
        <v>25</v>
      </c>
      <c r="G204" s="42" t="s">
        <v>941</v>
      </c>
      <c r="H204" s="49" t="s">
        <v>593</v>
      </c>
      <c r="I204" s="59">
        <v>-25</v>
      </c>
      <c r="J204" s="43" t="s">
        <v>349</v>
      </c>
      <c r="K204" s="49" t="s">
        <v>110</v>
      </c>
      <c r="L204" s="42" t="s">
        <v>181</v>
      </c>
      <c r="M204" s="55">
        <v>-1</v>
      </c>
      <c r="N204" s="49" t="s">
        <v>109</v>
      </c>
      <c r="O204" s="42" t="s">
        <v>224</v>
      </c>
      <c r="P204" s="60">
        <v>46193.34033564815</v>
      </c>
    </row>
    <row r="205" spans="2:16" x14ac:dyDescent="0.25">
      <c r="B205" s="57" t="s">
        <v>942</v>
      </c>
      <c r="C205" s="49" t="s">
        <v>55</v>
      </c>
      <c r="D205" s="58">
        <v>46193</v>
      </c>
      <c r="E205" s="49" t="s">
        <v>346</v>
      </c>
      <c r="F205" s="56">
        <v>5</v>
      </c>
      <c r="G205" s="42" t="s">
        <v>943</v>
      </c>
      <c r="H205" s="49"/>
      <c r="I205" s="59">
        <v>-5</v>
      </c>
      <c r="J205" s="43" t="s">
        <v>349</v>
      </c>
      <c r="K205" s="49" t="s">
        <v>112</v>
      </c>
      <c r="L205" s="42" t="s">
        <v>173</v>
      </c>
      <c r="M205" s="55">
        <v>-1</v>
      </c>
      <c r="N205" s="49" t="s">
        <v>111</v>
      </c>
      <c r="O205" s="42" t="s">
        <v>170</v>
      </c>
      <c r="P205" s="60">
        <v>46193.356226851851</v>
      </c>
    </row>
    <row r="206" spans="2:16" x14ac:dyDescent="0.25">
      <c r="B206" s="57" t="s">
        <v>944</v>
      </c>
      <c r="C206" s="49" t="s">
        <v>55</v>
      </c>
      <c r="D206" s="58">
        <v>46193</v>
      </c>
      <c r="E206" s="49" t="s">
        <v>374</v>
      </c>
      <c r="F206" s="56">
        <v>72.5</v>
      </c>
      <c r="G206" s="42" t="s">
        <v>945</v>
      </c>
      <c r="H206" s="49" t="s">
        <v>585</v>
      </c>
      <c r="I206" s="59">
        <v>-72.5</v>
      </c>
      <c r="J206" s="43" t="s">
        <v>349</v>
      </c>
      <c r="K206" s="49" t="s">
        <v>110</v>
      </c>
      <c r="L206" s="42" t="s">
        <v>218</v>
      </c>
      <c r="M206" s="55">
        <v>-1</v>
      </c>
      <c r="N206" s="49" t="s">
        <v>109</v>
      </c>
      <c r="O206" s="42" t="s">
        <v>216</v>
      </c>
      <c r="P206" s="60">
        <v>46193.442523148151</v>
      </c>
    </row>
    <row r="207" spans="2:16" x14ac:dyDescent="0.25">
      <c r="B207" s="57" t="s">
        <v>946</v>
      </c>
      <c r="C207" s="49" t="s">
        <v>55</v>
      </c>
      <c r="D207" s="58">
        <v>46193</v>
      </c>
      <c r="E207" s="49" t="s">
        <v>364</v>
      </c>
      <c r="F207" s="56">
        <v>39</v>
      </c>
      <c r="G207" s="42" t="s">
        <v>947</v>
      </c>
      <c r="H207" s="49" t="s">
        <v>585</v>
      </c>
      <c r="I207" s="59">
        <v>-39</v>
      </c>
      <c r="J207" s="43" t="s">
        <v>349</v>
      </c>
      <c r="K207" s="49" t="s">
        <v>110</v>
      </c>
      <c r="L207" s="42" t="s">
        <v>181</v>
      </c>
      <c r="M207" s="55">
        <v>-1</v>
      </c>
      <c r="N207" s="49" t="s">
        <v>109</v>
      </c>
      <c r="O207" s="42" t="s">
        <v>201</v>
      </c>
      <c r="P207" s="60">
        <v>46193.702314814807</v>
      </c>
    </row>
    <row r="208" spans="2:16" x14ac:dyDescent="0.25">
      <c r="B208" s="57" t="s">
        <v>948</v>
      </c>
      <c r="C208" s="49" t="s">
        <v>55</v>
      </c>
      <c r="D208" s="58">
        <v>46195</v>
      </c>
      <c r="E208" s="49" t="s">
        <v>390</v>
      </c>
      <c r="F208" s="56">
        <v>4</v>
      </c>
      <c r="G208" s="42" t="s">
        <v>949</v>
      </c>
      <c r="H208" s="49"/>
      <c r="I208" s="59">
        <v>-4</v>
      </c>
      <c r="J208" s="43" t="s">
        <v>349</v>
      </c>
      <c r="K208" s="49" t="s">
        <v>112</v>
      </c>
      <c r="L208" s="42" t="s">
        <v>239</v>
      </c>
      <c r="M208" s="55">
        <v>-1</v>
      </c>
      <c r="N208" s="49" t="s">
        <v>111</v>
      </c>
      <c r="O208" s="42" t="s">
        <v>244</v>
      </c>
      <c r="P208" s="60">
        <v>46195.504965277767</v>
      </c>
    </row>
    <row r="209" spans="2:16" x14ac:dyDescent="0.25">
      <c r="B209" s="57" t="s">
        <v>950</v>
      </c>
      <c r="C209" s="49" t="s">
        <v>55</v>
      </c>
      <c r="D209" s="58">
        <v>46195</v>
      </c>
      <c r="E209" s="49" t="s">
        <v>412</v>
      </c>
      <c r="F209" s="56">
        <v>5</v>
      </c>
      <c r="G209" s="42" t="s">
        <v>951</v>
      </c>
      <c r="H209" s="49" t="s">
        <v>671</v>
      </c>
      <c r="I209" s="59">
        <v>-5</v>
      </c>
      <c r="J209" s="43" t="s">
        <v>349</v>
      </c>
      <c r="K209" s="49" t="s">
        <v>110</v>
      </c>
      <c r="L209" s="42" t="s">
        <v>181</v>
      </c>
      <c r="M209" s="55">
        <v>-1</v>
      </c>
      <c r="N209" s="49" t="s">
        <v>109</v>
      </c>
      <c r="O209" s="42" t="s">
        <v>281</v>
      </c>
      <c r="P209" s="60">
        <v>46195.713333333333</v>
      </c>
    </row>
    <row r="210" spans="2:16" x14ac:dyDescent="0.25">
      <c r="B210" s="57" t="s">
        <v>952</v>
      </c>
      <c r="C210" s="49" t="s">
        <v>55</v>
      </c>
      <c r="D210" s="58">
        <v>46196</v>
      </c>
      <c r="E210" s="49" t="s">
        <v>410</v>
      </c>
      <c r="F210" s="56">
        <v>17</v>
      </c>
      <c r="G210" s="42" t="s">
        <v>953</v>
      </c>
      <c r="H210" s="49" t="s">
        <v>615</v>
      </c>
      <c r="I210" s="59">
        <v>-17</v>
      </c>
      <c r="J210" s="43" t="s">
        <v>349</v>
      </c>
      <c r="K210" s="49" t="s">
        <v>112</v>
      </c>
      <c r="L210" s="42" t="s">
        <v>177</v>
      </c>
      <c r="M210" s="55">
        <v>-1</v>
      </c>
      <c r="N210" s="49" t="s">
        <v>111</v>
      </c>
      <c r="O210" s="42" t="s">
        <v>278</v>
      </c>
      <c r="P210" s="60">
        <v>46196.689722222232</v>
      </c>
    </row>
    <row r="211" spans="2:16" x14ac:dyDescent="0.25">
      <c r="B211" s="57" t="s">
        <v>954</v>
      </c>
      <c r="C211" s="49" t="s">
        <v>55</v>
      </c>
      <c r="D211" s="58">
        <v>46197</v>
      </c>
      <c r="E211" s="49" t="s">
        <v>412</v>
      </c>
      <c r="F211" s="56">
        <v>4</v>
      </c>
      <c r="G211" s="42" t="s">
        <v>955</v>
      </c>
      <c r="H211" s="49" t="s">
        <v>585</v>
      </c>
      <c r="I211" s="59">
        <v>-4</v>
      </c>
      <c r="J211" s="43" t="s">
        <v>349</v>
      </c>
      <c r="K211" s="49" t="s">
        <v>110</v>
      </c>
      <c r="L211" s="42" t="s">
        <v>181</v>
      </c>
      <c r="M211" s="55">
        <v>-1</v>
      </c>
      <c r="N211" s="49" t="s">
        <v>109</v>
      </c>
      <c r="O211" s="42" t="s">
        <v>281</v>
      </c>
      <c r="P211" s="60">
        <v>46197.463888888888</v>
      </c>
    </row>
    <row r="212" spans="2:16" x14ac:dyDescent="0.25">
      <c r="B212" s="57" t="s">
        <v>956</v>
      </c>
      <c r="C212" s="49" t="s">
        <v>55</v>
      </c>
      <c r="D212" s="58">
        <v>46197</v>
      </c>
      <c r="E212" s="49" t="s">
        <v>357</v>
      </c>
      <c r="F212" s="56">
        <v>24</v>
      </c>
      <c r="G212" s="42" t="s">
        <v>957</v>
      </c>
      <c r="H212" s="49" t="s">
        <v>604</v>
      </c>
      <c r="I212" s="59">
        <v>-24</v>
      </c>
      <c r="J212" s="43" t="s">
        <v>349</v>
      </c>
      <c r="K212" s="49" t="s">
        <v>110</v>
      </c>
      <c r="L212" s="42" t="s">
        <v>181</v>
      </c>
      <c r="M212" s="55">
        <v>-1</v>
      </c>
      <c r="N212" s="49" t="s">
        <v>109</v>
      </c>
      <c r="O212" s="42" t="s">
        <v>186</v>
      </c>
      <c r="P212" s="60">
        <v>46197.590081018519</v>
      </c>
    </row>
    <row r="213" spans="2:16" x14ac:dyDescent="0.25">
      <c r="B213" s="57" t="s">
        <v>958</v>
      </c>
      <c r="C213" s="49" t="s">
        <v>55</v>
      </c>
      <c r="D213" s="58">
        <v>46198</v>
      </c>
      <c r="E213" s="49" t="s">
        <v>370</v>
      </c>
      <c r="F213" s="56">
        <v>23</v>
      </c>
      <c r="G213" s="42" t="s">
        <v>959</v>
      </c>
      <c r="H213" s="49" t="s">
        <v>604</v>
      </c>
      <c r="I213" s="59">
        <v>-23</v>
      </c>
      <c r="J213" s="43" t="s">
        <v>349</v>
      </c>
      <c r="K213" s="49" t="s">
        <v>112</v>
      </c>
      <c r="L213" s="42" t="s">
        <v>181</v>
      </c>
      <c r="M213" s="55">
        <v>-1</v>
      </c>
      <c r="N213" s="49" t="s">
        <v>111</v>
      </c>
      <c r="O213" s="42" t="s">
        <v>210</v>
      </c>
      <c r="P213" s="60">
        <v>46198.537824074083</v>
      </c>
    </row>
    <row r="214" spans="2:16" x14ac:dyDescent="0.25">
      <c r="B214" s="57" t="s">
        <v>960</v>
      </c>
      <c r="C214" s="49" t="s">
        <v>55</v>
      </c>
      <c r="D214" s="58">
        <v>46198</v>
      </c>
      <c r="E214" s="49" t="s">
        <v>357</v>
      </c>
      <c r="F214" s="56">
        <v>12</v>
      </c>
      <c r="G214" s="42" t="s">
        <v>961</v>
      </c>
      <c r="H214" s="49"/>
      <c r="I214" s="59">
        <v>-12</v>
      </c>
      <c r="J214" s="43" t="s">
        <v>349</v>
      </c>
      <c r="K214" s="49" t="s">
        <v>110</v>
      </c>
      <c r="L214" s="42" t="s">
        <v>181</v>
      </c>
      <c r="M214" s="55">
        <v>-1</v>
      </c>
      <c r="N214" s="49" t="s">
        <v>109</v>
      </c>
      <c r="O214" s="42" t="s">
        <v>186</v>
      </c>
      <c r="P214" s="60">
        <v>46198.555937500001</v>
      </c>
    </row>
    <row r="215" spans="2:16" x14ac:dyDescent="0.25">
      <c r="B215" s="57" t="s">
        <v>962</v>
      </c>
      <c r="C215" s="49" t="s">
        <v>55</v>
      </c>
      <c r="D215" s="58">
        <v>46199</v>
      </c>
      <c r="E215" s="49" t="s">
        <v>414</v>
      </c>
      <c r="F215" s="56">
        <v>13.5</v>
      </c>
      <c r="G215" s="42" t="s">
        <v>963</v>
      </c>
      <c r="H215" s="49"/>
      <c r="I215" s="59">
        <v>-13.5</v>
      </c>
      <c r="J215" s="43" t="s">
        <v>349</v>
      </c>
      <c r="K215" s="49" t="s">
        <v>110</v>
      </c>
      <c r="L215" s="42" t="s">
        <v>286</v>
      </c>
      <c r="M215" s="55">
        <v>-1</v>
      </c>
      <c r="N215" s="49" t="s">
        <v>109</v>
      </c>
      <c r="O215" s="42" t="s">
        <v>284</v>
      </c>
      <c r="P215" s="60">
        <v>46199.591261574067</v>
      </c>
    </row>
    <row r="216" spans="2:16" x14ac:dyDescent="0.25">
      <c r="B216" s="57" t="s">
        <v>964</v>
      </c>
      <c r="C216" s="49" t="s">
        <v>55</v>
      </c>
      <c r="D216" s="58">
        <v>46199</v>
      </c>
      <c r="E216" s="49" t="s">
        <v>364</v>
      </c>
      <c r="F216" s="56">
        <v>57</v>
      </c>
      <c r="G216" s="42" t="s">
        <v>965</v>
      </c>
      <c r="H216" s="49"/>
      <c r="I216" s="59">
        <v>-57</v>
      </c>
      <c r="J216" s="43" t="s">
        <v>349</v>
      </c>
      <c r="K216" s="49" t="s">
        <v>110</v>
      </c>
      <c r="L216" s="42" t="s">
        <v>181</v>
      </c>
      <c r="M216" s="55">
        <v>-1</v>
      </c>
      <c r="N216" s="49" t="s">
        <v>109</v>
      </c>
      <c r="O216" s="42" t="s">
        <v>201</v>
      </c>
      <c r="P216" s="60">
        <v>46199.654479166667</v>
      </c>
    </row>
    <row r="217" spans="2:16" x14ac:dyDescent="0.25">
      <c r="B217" s="57" t="s">
        <v>966</v>
      </c>
      <c r="C217" s="49" t="s">
        <v>55</v>
      </c>
      <c r="D217" s="58">
        <v>46200</v>
      </c>
      <c r="E217" s="49" t="s">
        <v>380</v>
      </c>
      <c r="F217" s="56">
        <v>4</v>
      </c>
      <c r="G217" s="42" t="s">
        <v>967</v>
      </c>
      <c r="H217" s="49" t="s">
        <v>585</v>
      </c>
      <c r="I217" s="59">
        <v>-4</v>
      </c>
      <c r="J217" s="43" t="s">
        <v>349</v>
      </c>
      <c r="K217" s="49" t="s">
        <v>110</v>
      </c>
      <c r="L217" s="42" t="s">
        <v>181</v>
      </c>
      <c r="M217" s="55">
        <v>-1</v>
      </c>
      <c r="N217" s="49" t="s">
        <v>109</v>
      </c>
      <c r="O217" s="42" t="s">
        <v>227</v>
      </c>
      <c r="P217" s="60">
        <v>46200.354201388887</v>
      </c>
    </row>
    <row r="218" spans="2:16" x14ac:dyDescent="0.25">
      <c r="B218" s="57" t="s">
        <v>968</v>
      </c>
      <c r="C218" s="49" t="s">
        <v>55</v>
      </c>
      <c r="D218" s="58">
        <v>46200</v>
      </c>
      <c r="E218" s="49" t="s">
        <v>410</v>
      </c>
      <c r="F218" s="56">
        <v>13</v>
      </c>
      <c r="G218" s="42" t="s">
        <v>969</v>
      </c>
      <c r="H218" s="49" t="s">
        <v>588</v>
      </c>
      <c r="I218" s="59">
        <v>-13</v>
      </c>
      <c r="J218" s="43" t="s">
        <v>349</v>
      </c>
      <c r="K218" s="49" t="s">
        <v>112</v>
      </c>
      <c r="L218" s="42" t="s">
        <v>177</v>
      </c>
      <c r="M218" s="55">
        <v>-1</v>
      </c>
      <c r="N218" s="49" t="s">
        <v>111</v>
      </c>
      <c r="O218" s="42" t="s">
        <v>278</v>
      </c>
      <c r="P218" s="60">
        <v>46200.364907407413</v>
      </c>
    </row>
    <row r="219" spans="2:16" x14ac:dyDescent="0.25">
      <c r="B219" s="57" t="s">
        <v>970</v>
      </c>
      <c r="C219" s="49" t="s">
        <v>55</v>
      </c>
      <c r="D219" s="58">
        <v>46202</v>
      </c>
      <c r="E219" s="49" t="s">
        <v>406</v>
      </c>
      <c r="F219" s="56">
        <v>4</v>
      </c>
      <c r="G219" s="42" t="s">
        <v>971</v>
      </c>
      <c r="H219" s="49"/>
      <c r="I219" s="59">
        <v>-4</v>
      </c>
      <c r="J219" s="43" t="s">
        <v>349</v>
      </c>
      <c r="K219" s="49" t="s">
        <v>112</v>
      </c>
      <c r="L219" s="42" t="s">
        <v>239</v>
      </c>
      <c r="M219" s="55">
        <v>-1</v>
      </c>
      <c r="N219" s="49" t="s">
        <v>111</v>
      </c>
      <c r="O219" s="42" t="s">
        <v>270</v>
      </c>
      <c r="P219" s="60">
        <v>46202.505324074067</v>
      </c>
    </row>
    <row r="220" spans="2:16" x14ac:dyDescent="0.25">
      <c r="B220" s="57" t="s">
        <v>972</v>
      </c>
      <c r="C220" s="49" t="s">
        <v>55</v>
      </c>
      <c r="D220" s="58">
        <v>46202</v>
      </c>
      <c r="E220" s="49" t="s">
        <v>400</v>
      </c>
      <c r="F220" s="56">
        <v>11</v>
      </c>
      <c r="G220" s="42" t="s">
        <v>973</v>
      </c>
      <c r="H220" s="49"/>
      <c r="I220" s="59">
        <v>-11</v>
      </c>
      <c r="J220" s="43" t="s">
        <v>349</v>
      </c>
      <c r="K220" s="49" t="s">
        <v>112</v>
      </c>
      <c r="L220" s="42" t="s">
        <v>181</v>
      </c>
      <c r="M220" s="55">
        <v>-1</v>
      </c>
      <c r="N220" s="49" t="s">
        <v>111</v>
      </c>
      <c r="O220" s="42" t="s">
        <v>261</v>
      </c>
      <c r="P220" s="60">
        <v>46202.575856481482</v>
      </c>
    </row>
    <row r="221" spans="2:16" x14ac:dyDescent="0.25">
      <c r="B221" s="57" t="s">
        <v>974</v>
      </c>
      <c r="C221" s="49" t="s">
        <v>55</v>
      </c>
      <c r="D221" s="58">
        <v>46203</v>
      </c>
      <c r="E221" s="49" t="s">
        <v>378</v>
      </c>
      <c r="F221" s="56">
        <v>25</v>
      </c>
      <c r="G221" s="42" t="s">
        <v>975</v>
      </c>
      <c r="H221" s="49" t="s">
        <v>593</v>
      </c>
      <c r="I221" s="59">
        <v>-25</v>
      </c>
      <c r="J221" s="43" t="s">
        <v>349</v>
      </c>
      <c r="K221" s="49" t="s">
        <v>110</v>
      </c>
      <c r="L221" s="42" t="s">
        <v>181</v>
      </c>
      <c r="M221" s="55">
        <v>-1</v>
      </c>
      <c r="N221" s="49" t="s">
        <v>109</v>
      </c>
      <c r="O221" s="42" t="s">
        <v>224</v>
      </c>
      <c r="P221" s="60">
        <v>46203.337592592587</v>
      </c>
    </row>
    <row r="222" spans="2:16" x14ac:dyDescent="0.25">
      <c r="B222" s="57" t="s">
        <v>976</v>
      </c>
      <c r="C222" s="49" t="s">
        <v>55</v>
      </c>
      <c r="D222" s="58">
        <v>46203</v>
      </c>
      <c r="E222" s="49" t="s">
        <v>382</v>
      </c>
      <c r="F222" s="56">
        <v>7</v>
      </c>
      <c r="G222" s="42" t="s">
        <v>977</v>
      </c>
      <c r="H222" s="49"/>
      <c r="I222" s="59">
        <v>-7</v>
      </c>
      <c r="J222" s="43" t="s">
        <v>349</v>
      </c>
      <c r="K222" s="49" t="s">
        <v>110</v>
      </c>
      <c r="L222" s="42" t="s">
        <v>181</v>
      </c>
      <c r="M222" s="55">
        <v>-1</v>
      </c>
      <c r="N222" s="49" t="s">
        <v>109</v>
      </c>
      <c r="O222" s="42" t="s">
        <v>230</v>
      </c>
      <c r="P222" s="60">
        <v>46203.649861111109</v>
      </c>
    </row>
    <row r="223" spans="2:16" x14ac:dyDescent="0.25">
      <c r="B223" s="57" t="s">
        <v>978</v>
      </c>
      <c r="C223" s="49" t="s">
        <v>55</v>
      </c>
      <c r="D223" s="58">
        <v>46203</v>
      </c>
      <c r="E223" s="49" t="s">
        <v>378</v>
      </c>
      <c r="F223" s="56">
        <v>15</v>
      </c>
      <c r="G223" s="42" t="s">
        <v>979</v>
      </c>
      <c r="H223" s="49" t="s">
        <v>593</v>
      </c>
      <c r="I223" s="59">
        <v>-15</v>
      </c>
      <c r="J223" s="43" t="s">
        <v>349</v>
      </c>
      <c r="K223" s="49" t="s">
        <v>110</v>
      </c>
      <c r="L223" s="42" t="s">
        <v>181</v>
      </c>
      <c r="M223" s="55">
        <v>-1</v>
      </c>
      <c r="N223" s="49" t="s">
        <v>109</v>
      </c>
      <c r="O223" s="42" t="s">
        <v>224</v>
      </c>
      <c r="P223" s="60">
        <v>46203.660578703697</v>
      </c>
    </row>
    <row r="224" spans="2:16" x14ac:dyDescent="0.25">
      <c r="B224" s="57" t="s">
        <v>980</v>
      </c>
      <c r="C224" s="49" t="s">
        <v>55</v>
      </c>
      <c r="D224" s="58">
        <v>46203</v>
      </c>
      <c r="E224" s="49" t="s">
        <v>408</v>
      </c>
      <c r="F224" s="56">
        <v>11</v>
      </c>
      <c r="G224" s="42" t="s">
        <v>981</v>
      </c>
      <c r="H224" s="49" t="s">
        <v>588</v>
      </c>
      <c r="I224" s="59">
        <v>-11</v>
      </c>
      <c r="J224" s="43" t="s">
        <v>349</v>
      </c>
      <c r="K224" s="49" t="s">
        <v>112</v>
      </c>
      <c r="L224" s="42" t="s">
        <v>276</v>
      </c>
      <c r="M224" s="55">
        <v>-1</v>
      </c>
      <c r="N224" s="49" t="s">
        <v>111</v>
      </c>
      <c r="O224" s="42" t="s">
        <v>274</v>
      </c>
      <c r="P224" s="60">
        <v>46203.66065972222</v>
      </c>
    </row>
    <row r="225" spans="2:16" x14ac:dyDescent="0.25">
      <c r="B225" s="57" t="s">
        <v>982</v>
      </c>
      <c r="C225" s="49" t="s">
        <v>55</v>
      </c>
      <c r="D225" s="58">
        <v>46204</v>
      </c>
      <c r="E225" s="49" t="s">
        <v>374</v>
      </c>
      <c r="F225" s="56">
        <v>112</v>
      </c>
      <c r="G225" s="42" t="s">
        <v>983</v>
      </c>
      <c r="H225" s="49"/>
      <c r="I225" s="59">
        <v>-112</v>
      </c>
      <c r="J225" s="43" t="s">
        <v>349</v>
      </c>
      <c r="K225" s="49" t="s">
        <v>110</v>
      </c>
      <c r="L225" s="42" t="s">
        <v>218</v>
      </c>
      <c r="M225" s="55">
        <v>-1</v>
      </c>
      <c r="N225" s="49" t="s">
        <v>109</v>
      </c>
      <c r="O225" s="42" t="s">
        <v>216</v>
      </c>
      <c r="P225" s="60">
        <v>46204.437928240739</v>
      </c>
    </row>
    <row r="226" spans="2:16" x14ac:dyDescent="0.25">
      <c r="B226" s="57" t="s">
        <v>984</v>
      </c>
      <c r="C226" s="49" t="s">
        <v>55</v>
      </c>
      <c r="D226" s="58">
        <v>46204</v>
      </c>
      <c r="E226" s="49" t="s">
        <v>378</v>
      </c>
      <c r="F226" s="56">
        <v>35</v>
      </c>
      <c r="G226" s="42" t="s">
        <v>985</v>
      </c>
      <c r="H226" s="49" t="s">
        <v>585</v>
      </c>
      <c r="I226" s="59">
        <v>-35</v>
      </c>
      <c r="J226" s="43" t="s">
        <v>349</v>
      </c>
      <c r="K226" s="49" t="s">
        <v>112</v>
      </c>
      <c r="L226" s="42" t="s">
        <v>181</v>
      </c>
      <c r="M226" s="55">
        <v>-1</v>
      </c>
      <c r="N226" s="49" t="s">
        <v>111</v>
      </c>
      <c r="O226" s="42" t="s">
        <v>224</v>
      </c>
      <c r="P226" s="60">
        <v>46204.564930555563</v>
      </c>
    </row>
    <row r="227" spans="2:16" x14ac:dyDescent="0.25">
      <c r="B227" s="57" t="s">
        <v>986</v>
      </c>
      <c r="C227" s="49" t="s">
        <v>55</v>
      </c>
      <c r="D227" s="58">
        <v>46204</v>
      </c>
      <c r="E227" s="49" t="s">
        <v>404</v>
      </c>
      <c r="F227" s="56">
        <v>7</v>
      </c>
      <c r="G227" s="42" t="s">
        <v>987</v>
      </c>
      <c r="H227" s="49" t="s">
        <v>612</v>
      </c>
      <c r="I227" s="59">
        <v>-7</v>
      </c>
      <c r="J227" s="43" t="s">
        <v>349</v>
      </c>
      <c r="K227" s="49" t="s">
        <v>112</v>
      </c>
      <c r="L227" s="42" t="s">
        <v>173</v>
      </c>
      <c r="M227" s="55">
        <v>-1</v>
      </c>
      <c r="N227" s="49" t="s">
        <v>111</v>
      </c>
      <c r="O227" s="42" t="s">
        <v>267</v>
      </c>
      <c r="P227" s="60">
        <v>46204.623136574082</v>
      </c>
    </row>
    <row r="228" spans="2:16" x14ac:dyDescent="0.25">
      <c r="B228" s="57" t="s">
        <v>988</v>
      </c>
      <c r="C228" s="49" t="s">
        <v>55</v>
      </c>
      <c r="D228" s="58">
        <v>46205</v>
      </c>
      <c r="E228" s="49" t="s">
        <v>368</v>
      </c>
      <c r="F228" s="56">
        <v>4</v>
      </c>
      <c r="G228" s="42" t="s">
        <v>989</v>
      </c>
      <c r="H228" s="49" t="s">
        <v>609</v>
      </c>
      <c r="I228" s="59">
        <v>-4</v>
      </c>
      <c r="J228" s="43" t="s">
        <v>349</v>
      </c>
      <c r="K228" s="49" t="s">
        <v>112</v>
      </c>
      <c r="L228" s="42" t="s">
        <v>181</v>
      </c>
      <c r="M228" s="55">
        <v>-1</v>
      </c>
      <c r="N228" s="49" t="s">
        <v>111</v>
      </c>
      <c r="O228" s="42" t="s">
        <v>207</v>
      </c>
      <c r="P228" s="60">
        <v>46205.692627314813</v>
      </c>
    </row>
    <row r="229" spans="2:16" x14ac:dyDescent="0.25">
      <c r="B229" s="57" t="s">
        <v>990</v>
      </c>
      <c r="C229" s="49" t="s">
        <v>55</v>
      </c>
      <c r="D229" s="58">
        <v>46206</v>
      </c>
      <c r="E229" s="49" t="s">
        <v>374</v>
      </c>
      <c r="F229" s="56">
        <v>66</v>
      </c>
      <c r="G229" s="42" t="s">
        <v>991</v>
      </c>
      <c r="H229" s="49" t="s">
        <v>609</v>
      </c>
      <c r="I229" s="59">
        <v>-66</v>
      </c>
      <c r="J229" s="43" t="s">
        <v>349</v>
      </c>
      <c r="K229" s="49" t="s">
        <v>112</v>
      </c>
      <c r="L229" s="42" t="s">
        <v>218</v>
      </c>
      <c r="M229" s="55">
        <v>-1</v>
      </c>
      <c r="N229" s="49" t="s">
        <v>111</v>
      </c>
      <c r="O229" s="42" t="s">
        <v>216</v>
      </c>
      <c r="P229" s="60">
        <v>46206.467164351852</v>
      </c>
    </row>
    <row r="230" spans="2:16" x14ac:dyDescent="0.25">
      <c r="B230" s="57" t="s">
        <v>992</v>
      </c>
      <c r="C230" s="49" t="s">
        <v>55</v>
      </c>
      <c r="D230" s="58">
        <v>46206</v>
      </c>
      <c r="E230" s="49" t="s">
        <v>378</v>
      </c>
      <c r="F230" s="56">
        <v>24</v>
      </c>
      <c r="G230" s="42" t="s">
        <v>993</v>
      </c>
      <c r="H230" s="49"/>
      <c r="I230" s="59">
        <v>-24</v>
      </c>
      <c r="J230" s="43" t="s">
        <v>349</v>
      </c>
      <c r="K230" s="49" t="s">
        <v>110</v>
      </c>
      <c r="L230" s="42" t="s">
        <v>181</v>
      </c>
      <c r="M230" s="55">
        <v>-1</v>
      </c>
      <c r="N230" s="49" t="s">
        <v>109</v>
      </c>
      <c r="O230" s="42" t="s">
        <v>224</v>
      </c>
      <c r="P230" s="60">
        <v>46206.658587962957</v>
      </c>
    </row>
    <row r="231" spans="2:16" x14ac:dyDescent="0.25">
      <c r="B231" s="57" t="s">
        <v>994</v>
      </c>
      <c r="C231" s="49" t="s">
        <v>55</v>
      </c>
      <c r="D231" s="58">
        <v>46207</v>
      </c>
      <c r="E231" s="49" t="s">
        <v>414</v>
      </c>
      <c r="F231" s="56">
        <v>19.5</v>
      </c>
      <c r="G231" s="42" t="s">
        <v>995</v>
      </c>
      <c r="H231" s="49"/>
      <c r="I231" s="59">
        <v>-19.5</v>
      </c>
      <c r="J231" s="43" t="s">
        <v>349</v>
      </c>
      <c r="K231" s="49" t="s">
        <v>110</v>
      </c>
      <c r="L231" s="42" t="s">
        <v>286</v>
      </c>
      <c r="M231" s="55">
        <v>-1</v>
      </c>
      <c r="N231" s="49" t="s">
        <v>109</v>
      </c>
      <c r="O231" s="42" t="s">
        <v>284</v>
      </c>
      <c r="P231" s="60">
        <v>46207.581643518519</v>
      </c>
    </row>
    <row r="232" spans="2:16" x14ac:dyDescent="0.25">
      <c r="B232" s="57" t="s">
        <v>996</v>
      </c>
      <c r="C232" s="49" t="s">
        <v>55</v>
      </c>
      <c r="D232" s="58">
        <v>46207</v>
      </c>
      <c r="E232" s="49" t="s">
        <v>368</v>
      </c>
      <c r="F232" s="56">
        <v>7</v>
      </c>
      <c r="G232" s="42" t="s">
        <v>997</v>
      </c>
      <c r="H232" s="49" t="s">
        <v>615</v>
      </c>
      <c r="I232" s="59">
        <v>-7</v>
      </c>
      <c r="J232" s="43" t="s">
        <v>349</v>
      </c>
      <c r="K232" s="49" t="s">
        <v>112</v>
      </c>
      <c r="L232" s="42" t="s">
        <v>181</v>
      </c>
      <c r="M232" s="55">
        <v>-1</v>
      </c>
      <c r="N232" s="49" t="s">
        <v>111</v>
      </c>
      <c r="O232" s="42" t="s">
        <v>207</v>
      </c>
      <c r="P232" s="60">
        <v>46207.625254629631</v>
      </c>
    </row>
    <row r="233" spans="2:16" x14ac:dyDescent="0.25">
      <c r="B233" s="57" t="s">
        <v>998</v>
      </c>
      <c r="C233" s="49" t="s">
        <v>55</v>
      </c>
      <c r="D233" s="58">
        <v>46209</v>
      </c>
      <c r="E233" s="49" t="s">
        <v>357</v>
      </c>
      <c r="F233" s="56">
        <v>27</v>
      </c>
      <c r="G233" s="42" t="s">
        <v>999</v>
      </c>
      <c r="H233" s="49" t="s">
        <v>588</v>
      </c>
      <c r="I233" s="59">
        <v>-27</v>
      </c>
      <c r="J233" s="43" t="s">
        <v>349</v>
      </c>
      <c r="K233" s="49" t="s">
        <v>112</v>
      </c>
      <c r="L233" s="42" t="s">
        <v>181</v>
      </c>
      <c r="M233" s="55">
        <v>-1</v>
      </c>
      <c r="N233" s="49" t="s">
        <v>111</v>
      </c>
      <c r="O233" s="42" t="s">
        <v>186</v>
      </c>
      <c r="P233" s="60">
        <v>46209.520844907413</v>
      </c>
    </row>
    <row r="234" spans="2:16" x14ac:dyDescent="0.25">
      <c r="B234" s="57" t="s">
        <v>1000</v>
      </c>
      <c r="C234" s="49" t="s">
        <v>55</v>
      </c>
      <c r="D234" s="58">
        <v>46209</v>
      </c>
      <c r="E234" s="49" t="s">
        <v>380</v>
      </c>
      <c r="F234" s="56">
        <v>7</v>
      </c>
      <c r="G234" s="42" t="s">
        <v>1001</v>
      </c>
      <c r="H234" s="49"/>
      <c r="I234" s="59">
        <v>-7</v>
      </c>
      <c r="J234" s="43" t="s">
        <v>349</v>
      </c>
      <c r="K234" s="49" t="s">
        <v>112</v>
      </c>
      <c r="L234" s="42" t="s">
        <v>181</v>
      </c>
      <c r="M234" s="55">
        <v>-1</v>
      </c>
      <c r="N234" s="49" t="s">
        <v>111</v>
      </c>
      <c r="O234" s="42" t="s">
        <v>227</v>
      </c>
      <c r="P234" s="60">
        <v>46209.656157407408</v>
      </c>
    </row>
    <row r="235" spans="2:16" x14ac:dyDescent="0.25">
      <c r="B235" s="57" t="s">
        <v>1002</v>
      </c>
      <c r="C235" s="49" t="s">
        <v>55</v>
      </c>
      <c r="D235" s="58">
        <v>46209</v>
      </c>
      <c r="E235" s="49" t="s">
        <v>368</v>
      </c>
      <c r="F235" s="56">
        <v>2</v>
      </c>
      <c r="G235" s="42" t="s">
        <v>1003</v>
      </c>
      <c r="H235" s="49" t="s">
        <v>585</v>
      </c>
      <c r="I235" s="59">
        <v>-2</v>
      </c>
      <c r="J235" s="43" t="s">
        <v>349</v>
      </c>
      <c r="K235" s="49" t="s">
        <v>112</v>
      </c>
      <c r="L235" s="42" t="s">
        <v>181</v>
      </c>
      <c r="M235" s="55">
        <v>-1</v>
      </c>
      <c r="N235" s="49" t="s">
        <v>111</v>
      </c>
      <c r="O235" s="42" t="s">
        <v>207</v>
      </c>
      <c r="P235" s="60">
        <v>46209.681423611109</v>
      </c>
    </row>
    <row r="236" spans="2:16" x14ac:dyDescent="0.25">
      <c r="B236" s="57" t="s">
        <v>1004</v>
      </c>
      <c r="C236" s="49" t="s">
        <v>55</v>
      </c>
      <c r="D236" s="58">
        <v>46210</v>
      </c>
      <c r="E236" s="49" t="s">
        <v>346</v>
      </c>
      <c r="F236" s="56">
        <v>19</v>
      </c>
      <c r="G236" s="42" t="s">
        <v>1005</v>
      </c>
      <c r="H236" s="49" t="s">
        <v>612</v>
      </c>
      <c r="I236" s="59">
        <v>-19</v>
      </c>
      <c r="J236" s="43" t="s">
        <v>349</v>
      </c>
      <c r="K236" s="49" t="s">
        <v>110</v>
      </c>
      <c r="L236" s="42" t="s">
        <v>173</v>
      </c>
      <c r="M236" s="55">
        <v>-1</v>
      </c>
      <c r="N236" s="49" t="s">
        <v>109</v>
      </c>
      <c r="O236" s="42" t="s">
        <v>170</v>
      </c>
      <c r="P236" s="60">
        <v>46210.586030092592</v>
      </c>
    </row>
    <row r="237" spans="2:16" x14ac:dyDescent="0.25">
      <c r="B237" s="57" t="s">
        <v>1006</v>
      </c>
      <c r="C237" s="49" t="s">
        <v>55</v>
      </c>
      <c r="D237" s="58">
        <v>46211</v>
      </c>
      <c r="E237" s="49" t="s">
        <v>376</v>
      </c>
      <c r="F237" s="56">
        <v>7</v>
      </c>
      <c r="G237" s="42" t="s">
        <v>1007</v>
      </c>
      <c r="H237" s="49"/>
      <c r="I237" s="59">
        <v>-7</v>
      </c>
      <c r="J237" s="43" t="s">
        <v>349</v>
      </c>
      <c r="K237" s="49" t="s">
        <v>112</v>
      </c>
      <c r="L237" s="42" t="s">
        <v>181</v>
      </c>
      <c r="M237" s="55">
        <v>-1</v>
      </c>
      <c r="N237" s="49" t="s">
        <v>111</v>
      </c>
      <c r="O237" s="42" t="s">
        <v>220</v>
      </c>
      <c r="P237" s="60">
        <v>46211.341331018521</v>
      </c>
    </row>
    <row r="238" spans="2:16" x14ac:dyDescent="0.25">
      <c r="B238" s="57" t="s">
        <v>1008</v>
      </c>
      <c r="C238" s="49" t="s">
        <v>55</v>
      </c>
      <c r="D238" s="58">
        <v>46211</v>
      </c>
      <c r="E238" s="49" t="s">
        <v>364</v>
      </c>
      <c r="F238" s="56">
        <v>33</v>
      </c>
      <c r="G238" s="42" t="s">
        <v>1009</v>
      </c>
      <c r="H238" s="49"/>
      <c r="I238" s="59">
        <v>-33</v>
      </c>
      <c r="J238" s="43" t="s">
        <v>349</v>
      </c>
      <c r="K238" s="49" t="s">
        <v>110</v>
      </c>
      <c r="L238" s="42" t="s">
        <v>181</v>
      </c>
      <c r="M238" s="55">
        <v>-1</v>
      </c>
      <c r="N238" s="49" t="s">
        <v>109</v>
      </c>
      <c r="O238" s="42" t="s">
        <v>201</v>
      </c>
      <c r="P238" s="60">
        <v>46211.376817129632</v>
      </c>
    </row>
    <row r="239" spans="2:16" x14ac:dyDescent="0.25">
      <c r="B239" s="57" t="s">
        <v>1010</v>
      </c>
      <c r="C239" s="49" t="s">
        <v>55</v>
      </c>
      <c r="D239" s="58">
        <v>46211</v>
      </c>
      <c r="E239" s="49" t="s">
        <v>390</v>
      </c>
      <c r="F239" s="56">
        <v>3</v>
      </c>
      <c r="G239" s="42" t="s">
        <v>1011</v>
      </c>
      <c r="H239" s="49"/>
      <c r="I239" s="59">
        <v>-3</v>
      </c>
      <c r="J239" s="43" t="s">
        <v>349</v>
      </c>
      <c r="K239" s="49" t="s">
        <v>110</v>
      </c>
      <c r="L239" s="42" t="s">
        <v>239</v>
      </c>
      <c r="M239" s="55">
        <v>-1</v>
      </c>
      <c r="N239" s="49" t="s">
        <v>109</v>
      </c>
      <c r="O239" s="42" t="s">
        <v>244</v>
      </c>
      <c r="P239" s="60">
        <v>46211.37872685185</v>
      </c>
    </row>
    <row r="240" spans="2:16" x14ac:dyDescent="0.25">
      <c r="B240" s="57" t="s">
        <v>1012</v>
      </c>
      <c r="C240" s="49" t="s">
        <v>55</v>
      </c>
      <c r="D240" s="58">
        <v>46212</v>
      </c>
      <c r="E240" s="49" t="s">
        <v>396</v>
      </c>
      <c r="F240" s="56">
        <v>23</v>
      </c>
      <c r="G240" s="42" t="s">
        <v>1013</v>
      </c>
      <c r="H240" s="49"/>
      <c r="I240" s="59">
        <v>-23</v>
      </c>
      <c r="J240" s="43" t="s">
        <v>349</v>
      </c>
      <c r="K240" s="49" t="s">
        <v>110</v>
      </c>
      <c r="L240" s="42" t="s">
        <v>256</v>
      </c>
      <c r="M240" s="55">
        <v>-1</v>
      </c>
      <c r="N240" s="49" t="s">
        <v>109</v>
      </c>
      <c r="O240" s="42" t="s">
        <v>253</v>
      </c>
      <c r="P240" s="60">
        <v>46212.406840277778</v>
      </c>
    </row>
    <row r="241" spans="2:16" x14ac:dyDescent="0.25">
      <c r="B241" s="57" t="s">
        <v>1014</v>
      </c>
      <c r="C241" s="49" t="s">
        <v>55</v>
      </c>
      <c r="D241" s="58">
        <v>46212</v>
      </c>
      <c r="E241" s="49" t="s">
        <v>374</v>
      </c>
      <c r="F241" s="56">
        <v>72.5</v>
      </c>
      <c r="G241" s="42" t="s">
        <v>1015</v>
      </c>
      <c r="H241" s="49"/>
      <c r="I241" s="59">
        <v>-72.5</v>
      </c>
      <c r="J241" s="43" t="s">
        <v>349</v>
      </c>
      <c r="K241" s="49" t="s">
        <v>110</v>
      </c>
      <c r="L241" s="42" t="s">
        <v>218</v>
      </c>
      <c r="M241" s="55">
        <v>-1</v>
      </c>
      <c r="N241" s="49" t="s">
        <v>109</v>
      </c>
      <c r="O241" s="42" t="s">
        <v>216</v>
      </c>
      <c r="P241" s="60">
        <v>46212.646944444437</v>
      </c>
    </row>
    <row r="242" spans="2:16" x14ac:dyDescent="0.25">
      <c r="B242" s="57" t="s">
        <v>1016</v>
      </c>
      <c r="C242" s="49" t="s">
        <v>55</v>
      </c>
      <c r="D242" s="58">
        <v>46213</v>
      </c>
      <c r="E242" s="49" t="s">
        <v>370</v>
      </c>
      <c r="F242" s="56">
        <v>16</v>
      </c>
      <c r="G242" s="42" t="s">
        <v>1017</v>
      </c>
      <c r="H242" s="49" t="s">
        <v>585</v>
      </c>
      <c r="I242" s="59">
        <v>-16</v>
      </c>
      <c r="J242" s="43" t="s">
        <v>349</v>
      </c>
      <c r="K242" s="49" t="s">
        <v>112</v>
      </c>
      <c r="L242" s="42" t="s">
        <v>181</v>
      </c>
      <c r="M242" s="55">
        <v>-1</v>
      </c>
      <c r="N242" s="49" t="s">
        <v>111</v>
      </c>
      <c r="O242" s="42" t="s">
        <v>210</v>
      </c>
      <c r="P242" s="60">
        <v>46213.376250000001</v>
      </c>
    </row>
    <row r="243" spans="2:16" x14ac:dyDescent="0.25">
      <c r="B243" s="57" t="s">
        <v>1018</v>
      </c>
      <c r="C243" s="49" t="s">
        <v>55</v>
      </c>
      <c r="D243" s="58">
        <v>46213</v>
      </c>
      <c r="E243" s="49" t="s">
        <v>372</v>
      </c>
      <c r="F243" s="56">
        <v>12</v>
      </c>
      <c r="G243" s="42" t="s">
        <v>1019</v>
      </c>
      <c r="H243" s="49" t="s">
        <v>585</v>
      </c>
      <c r="I243" s="59">
        <v>-12</v>
      </c>
      <c r="J243" s="43" t="s">
        <v>349</v>
      </c>
      <c r="K243" s="49" t="s">
        <v>110</v>
      </c>
      <c r="L243" s="42" t="s">
        <v>181</v>
      </c>
      <c r="M243" s="55">
        <v>-1</v>
      </c>
      <c r="N243" s="49" t="s">
        <v>109</v>
      </c>
      <c r="O243" s="42" t="s">
        <v>213</v>
      </c>
      <c r="P243" s="60">
        <v>46213.650347222218</v>
      </c>
    </row>
    <row r="244" spans="2:16" x14ac:dyDescent="0.25">
      <c r="B244" s="57" t="s">
        <v>1020</v>
      </c>
      <c r="C244" s="49" t="s">
        <v>55</v>
      </c>
      <c r="D244" s="58">
        <v>46213</v>
      </c>
      <c r="E244" s="49" t="s">
        <v>370</v>
      </c>
      <c r="F244" s="56">
        <v>13</v>
      </c>
      <c r="G244" s="42" t="s">
        <v>1021</v>
      </c>
      <c r="H244" s="49" t="s">
        <v>585</v>
      </c>
      <c r="I244" s="59">
        <v>-13</v>
      </c>
      <c r="J244" s="43" t="s">
        <v>349</v>
      </c>
      <c r="K244" s="49" t="s">
        <v>112</v>
      </c>
      <c r="L244" s="42" t="s">
        <v>181</v>
      </c>
      <c r="M244" s="55">
        <v>-1</v>
      </c>
      <c r="N244" s="49" t="s">
        <v>111</v>
      </c>
      <c r="O244" s="42" t="s">
        <v>210</v>
      </c>
      <c r="P244" s="60">
        <v>46213.707569444443</v>
      </c>
    </row>
    <row r="245" spans="2:16" x14ac:dyDescent="0.25">
      <c r="B245" s="57" t="s">
        <v>1022</v>
      </c>
      <c r="C245" s="49" t="s">
        <v>55</v>
      </c>
      <c r="D245" s="58">
        <v>46214</v>
      </c>
      <c r="E245" s="49" t="s">
        <v>374</v>
      </c>
      <c r="F245" s="56">
        <v>32</v>
      </c>
      <c r="G245" s="42" t="s">
        <v>1023</v>
      </c>
      <c r="H245" s="49"/>
      <c r="I245" s="59">
        <v>-32</v>
      </c>
      <c r="J245" s="43" t="s">
        <v>349</v>
      </c>
      <c r="K245" s="49" t="s">
        <v>110</v>
      </c>
      <c r="L245" s="42" t="s">
        <v>218</v>
      </c>
      <c r="M245" s="55">
        <v>-1</v>
      </c>
      <c r="N245" s="49" t="s">
        <v>109</v>
      </c>
      <c r="O245" s="42" t="s">
        <v>216</v>
      </c>
      <c r="P245" s="60">
        <v>46214.465185185189</v>
      </c>
    </row>
    <row r="246" spans="2:16" x14ac:dyDescent="0.25">
      <c r="B246" s="57" t="s">
        <v>1024</v>
      </c>
      <c r="C246" s="49" t="s">
        <v>55</v>
      </c>
      <c r="D246" s="58">
        <v>46214</v>
      </c>
      <c r="E246" s="49" t="s">
        <v>374</v>
      </c>
      <c r="F246" s="56">
        <v>96.5</v>
      </c>
      <c r="G246" s="42" t="s">
        <v>1025</v>
      </c>
      <c r="H246" s="49" t="s">
        <v>585</v>
      </c>
      <c r="I246" s="59">
        <v>-96.5</v>
      </c>
      <c r="J246" s="43" t="s">
        <v>349</v>
      </c>
      <c r="K246" s="49" t="s">
        <v>112</v>
      </c>
      <c r="L246" s="42" t="s">
        <v>218</v>
      </c>
      <c r="M246" s="55">
        <v>-1</v>
      </c>
      <c r="N246" s="49" t="s">
        <v>111</v>
      </c>
      <c r="O246" s="42" t="s">
        <v>216</v>
      </c>
      <c r="P246" s="60">
        <v>46214.678622685176</v>
      </c>
    </row>
    <row r="247" spans="2:16" x14ac:dyDescent="0.25">
      <c r="B247" s="57" t="s">
        <v>1026</v>
      </c>
      <c r="C247" s="49" t="s">
        <v>55</v>
      </c>
      <c r="D247" s="58">
        <v>46214</v>
      </c>
      <c r="E247" s="49" t="s">
        <v>412</v>
      </c>
      <c r="F247" s="56">
        <v>4</v>
      </c>
      <c r="G247" s="42" t="s">
        <v>1027</v>
      </c>
      <c r="H247" s="49"/>
      <c r="I247" s="59">
        <v>-4</v>
      </c>
      <c r="J247" s="43" t="s">
        <v>349</v>
      </c>
      <c r="K247" s="49" t="s">
        <v>110</v>
      </c>
      <c r="L247" s="42" t="s">
        <v>181</v>
      </c>
      <c r="M247" s="55">
        <v>-1</v>
      </c>
      <c r="N247" s="49" t="s">
        <v>109</v>
      </c>
      <c r="O247" s="42" t="s">
        <v>281</v>
      </c>
      <c r="P247" s="60">
        <v>46214.681168981479</v>
      </c>
    </row>
    <row r="248" spans="2:16" x14ac:dyDescent="0.25">
      <c r="B248" s="57" t="s">
        <v>1028</v>
      </c>
      <c r="C248" s="49" t="s">
        <v>55</v>
      </c>
      <c r="D248" s="58">
        <v>46216</v>
      </c>
      <c r="E248" s="49" t="s">
        <v>380</v>
      </c>
      <c r="F248" s="56">
        <v>8</v>
      </c>
      <c r="G248" s="42" t="s">
        <v>1029</v>
      </c>
      <c r="H248" s="49" t="s">
        <v>671</v>
      </c>
      <c r="I248" s="59">
        <v>-8</v>
      </c>
      <c r="J248" s="43" t="s">
        <v>349</v>
      </c>
      <c r="K248" s="49" t="s">
        <v>112</v>
      </c>
      <c r="L248" s="42" t="s">
        <v>181</v>
      </c>
      <c r="M248" s="55">
        <v>-1</v>
      </c>
      <c r="N248" s="49" t="s">
        <v>111</v>
      </c>
      <c r="O248" s="42" t="s">
        <v>227</v>
      </c>
      <c r="P248" s="60">
        <v>46216.318749999999</v>
      </c>
    </row>
    <row r="249" spans="2:16" x14ac:dyDescent="0.25">
      <c r="B249" s="57" t="s">
        <v>1030</v>
      </c>
      <c r="C249" s="49" t="s">
        <v>55</v>
      </c>
      <c r="D249" s="58">
        <v>46216</v>
      </c>
      <c r="E249" s="49" t="s">
        <v>374</v>
      </c>
      <c r="F249" s="56">
        <v>48.5</v>
      </c>
      <c r="G249" s="42" t="s">
        <v>1031</v>
      </c>
      <c r="H249" s="49" t="s">
        <v>593</v>
      </c>
      <c r="I249" s="59">
        <v>-48.5</v>
      </c>
      <c r="J249" s="43" t="s">
        <v>349</v>
      </c>
      <c r="K249" s="49" t="s">
        <v>112</v>
      </c>
      <c r="L249" s="42" t="s">
        <v>218</v>
      </c>
      <c r="M249" s="55">
        <v>-1</v>
      </c>
      <c r="N249" s="49" t="s">
        <v>111</v>
      </c>
      <c r="O249" s="42" t="s">
        <v>216</v>
      </c>
      <c r="P249" s="60">
        <v>46216.370185185187</v>
      </c>
    </row>
    <row r="250" spans="2:16" x14ac:dyDescent="0.25">
      <c r="B250" s="57" t="s">
        <v>1032</v>
      </c>
      <c r="C250" s="49" t="s">
        <v>55</v>
      </c>
      <c r="D250" s="58">
        <v>46216</v>
      </c>
      <c r="E250" s="49" t="s">
        <v>414</v>
      </c>
      <c r="F250" s="56">
        <v>21</v>
      </c>
      <c r="G250" s="42" t="s">
        <v>1033</v>
      </c>
      <c r="H250" s="49" t="s">
        <v>593</v>
      </c>
      <c r="I250" s="59">
        <v>-21</v>
      </c>
      <c r="J250" s="43" t="s">
        <v>349</v>
      </c>
      <c r="K250" s="49" t="s">
        <v>112</v>
      </c>
      <c r="L250" s="42" t="s">
        <v>286</v>
      </c>
      <c r="M250" s="55">
        <v>-1</v>
      </c>
      <c r="N250" s="49" t="s">
        <v>111</v>
      </c>
      <c r="O250" s="42" t="s">
        <v>284</v>
      </c>
      <c r="P250" s="60">
        <v>46216.711319444446</v>
      </c>
    </row>
    <row r="251" spans="2:16" x14ac:dyDescent="0.25">
      <c r="B251" s="57" t="s">
        <v>1034</v>
      </c>
      <c r="C251" s="49" t="s">
        <v>55</v>
      </c>
      <c r="D251" s="58">
        <v>46217</v>
      </c>
      <c r="E251" s="49" t="s">
        <v>372</v>
      </c>
      <c r="F251" s="56">
        <v>12</v>
      </c>
      <c r="G251" s="42" t="s">
        <v>1035</v>
      </c>
      <c r="H251" s="49" t="s">
        <v>604</v>
      </c>
      <c r="I251" s="59">
        <v>-12</v>
      </c>
      <c r="J251" s="43" t="s">
        <v>349</v>
      </c>
      <c r="K251" s="49" t="s">
        <v>110</v>
      </c>
      <c r="L251" s="42" t="s">
        <v>181</v>
      </c>
      <c r="M251" s="55">
        <v>-1</v>
      </c>
      <c r="N251" s="49" t="s">
        <v>109</v>
      </c>
      <c r="O251" s="42" t="s">
        <v>213</v>
      </c>
      <c r="P251" s="60">
        <v>46217.453518518523</v>
      </c>
    </row>
    <row r="252" spans="2:16" x14ac:dyDescent="0.25">
      <c r="B252" s="57" t="s">
        <v>1036</v>
      </c>
      <c r="C252" s="49" t="s">
        <v>55</v>
      </c>
      <c r="D252" s="58">
        <v>46217</v>
      </c>
      <c r="E252" s="49" t="s">
        <v>396</v>
      </c>
      <c r="F252" s="56">
        <v>25</v>
      </c>
      <c r="G252" s="42" t="s">
        <v>1037</v>
      </c>
      <c r="H252" s="49"/>
      <c r="I252" s="59">
        <v>-25</v>
      </c>
      <c r="J252" s="43" t="s">
        <v>349</v>
      </c>
      <c r="K252" s="49" t="s">
        <v>110</v>
      </c>
      <c r="L252" s="42" t="s">
        <v>256</v>
      </c>
      <c r="M252" s="55">
        <v>-1</v>
      </c>
      <c r="N252" s="49" t="s">
        <v>109</v>
      </c>
      <c r="O252" s="42" t="s">
        <v>253</v>
      </c>
      <c r="P252" s="60">
        <v>46217.519675925927</v>
      </c>
    </row>
    <row r="253" spans="2:16" x14ac:dyDescent="0.25">
      <c r="B253" s="57" t="s">
        <v>1038</v>
      </c>
      <c r="C253" s="49" t="s">
        <v>55</v>
      </c>
      <c r="D253" s="58">
        <v>46217</v>
      </c>
      <c r="E253" s="49" t="s">
        <v>374</v>
      </c>
      <c r="F253" s="56">
        <v>77</v>
      </c>
      <c r="G253" s="42" t="s">
        <v>1039</v>
      </c>
      <c r="H253" s="49" t="s">
        <v>671</v>
      </c>
      <c r="I253" s="59">
        <v>-77</v>
      </c>
      <c r="J253" s="43" t="s">
        <v>349</v>
      </c>
      <c r="K253" s="49" t="s">
        <v>110</v>
      </c>
      <c r="L253" s="42" t="s">
        <v>218</v>
      </c>
      <c r="M253" s="55">
        <v>-1</v>
      </c>
      <c r="N253" s="49" t="s">
        <v>109</v>
      </c>
      <c r="O253" s="42" t="s">
        <v>216</v>
      </c>
      <c r="P253" s="60">
        <v>46217.542094907411</v>
      </c>
    </row>
    <row r="254" spans="2:16" x14ac:dyDescent="0.25">
      <c r="B254" s="57" t="s">
        <v>1040</v>
      </c>
      <c r="C254" s="49" t="s">
        <v>55</v>
      </c>
      <c r="D254" s="58">
        <v>46218</v>
      </c>
      <c r="E254" s="49" t="s">
        <v>396</v>
      </c>
      <c r="F254" s="56">
        <v>24</v>
      </c>
      <c r="G254" s="42" t="s">
        <v>1041</v>
      </c>
      <c r="H254" s="49" t="s">
        <v>615</v>
      </c>
      <c r="I254" s="59">
        <v>-24</v>
      </c>
      <c r="J254" s="43" t="s">
        <v>349</v>
      </c>
      <c r="K254" s="49" t="s">
        <v>110</v>
      </c>
      <c r="L254" s="42" t="s">
        <v>256</v>
      </c>
      <c r="M254" s="55">
        <v>-1</v>
      </c>
      <c r="N254" s="49" t="s">
        <v>109</v>
      </c>
      <c r="O254" s="42" t="s">
        <v>253</v>
      </c>
      <c r="P254" s="60">
        <v>46218.544398148151</v>
      </c>
    </row>
    <row r="255" spans="2:16" x14ac:dyDescent="0.25">
      <c r="B255" s="57" t="s">
        <v>1042</v>
      </c>
      <c r="C255" s="49" t="s">
        <v>55</v>
      </c>
      <c r="D255" s="58">
        <v>46218</v>
      </c>
      <c r="E255" s="49" t="s">
        <v>370</v>
      </c>
      <c r="F255" s="56">
        <v>19</v>
      </c>
      <c r="G255" s="42" t="s">
        <v>1043</v>
      </c>
      <c r="H255" s="49" t="s">
        <v>671</v>
      </c>
      <c r="I255" s="59">
        <v>-19</v>
      </c>
      <c r="J255" s="43" t="s">
        <v>349</v>
      </c>
      <c r="K255" s="49" t="s">
        <v>110</v>
      </c>
      <c r="L255" s="42" t="s">
        <v>181</v>
      </c>
      <c r="M255" s="55">
        <v>-1</v>
      </c>
      <c r="N255" s="49" t="s">
        <v>109</v>
      </c>
      <c r="O255" s="42" t="s">
        <v>210</v>
      </c>
      <c r="P255" s="60">
        <v>46218.548715277779</v>
      </c>
    </row>
    <row r="256" spans="2:16" x14ac:dyDescent="0.25">
      <c r="B256" s="57" t="s">
        <v>1044</v>
      </c>
      <c r="C256" s="49" t="s">
        <v>55</v>
      </c>
      <c r="D256" s="58">
        <v>46218</v>
      </c>
      <c r="E256" s="49" t="s">
        <v>366</v>
      </c>
      <c r="F256" s="56">
        <v>24</v>
      </c>
      <c r="G256" s="42" t="s">
        <v>1045</v>
      </c>
      <c r="H256" s="49"/>
      <c r="I256" s="59">
        <v>-24</v>
      </c>
      <c r="J256" s="43" t="s">
        <v>349</v>
      </c>
      <c r="K256" s="49" t="s">
        <v>112</v>
      </c>
      <c r="L256" s="42" t="s">
        <v>181</v>
      </c>
      <c r="M256" s="55">
        <v>-1</v>
      </c>
      <c r="N256" s="49" t="s">
        <v>111</v>
      </c>
      <c r="O256" s="42" t="s">
        <v>204</v>
      </c>
      <c r="P256" s="60">
        <v>46218.617986111109</v>
      </c>
    </row>
    <row r="257" spans="2:16" x14ac:dyDescent="0.25">
      <c r="B257" s="57" t="s">
        <v>1046</v>
      </c>
      <c r="C257" s="49" t="s">
        <v>55</v>
      </c>
      <c r="D257" s="58">
        <v>46219</v>
      </c>
      <c r="E257" s="49" t="s">
        <v>351</v>
      </c>
      <c r="F257" s="56">
        <v>5</v>
      </c>
      <c r="G257" s="42" t="s">
        <v>1047</v>
      </c>
      <c r="H257" s="49" t="s">
        <v>585</v>
      </c>
      <c r="I257" s="59">
        <v>-5</v>
      </c>
      <c r="J257" s="43" t="s">
        <v>349</v>
      </c>
      <c r="K257" s="49" t="s">
        <v>110</v>
      </c>
      <c r="L257" s="42" t="s">
        <v>177</v>
      </c>
      <c r="M257" s="55">
        <v>-1</v>
      </c>
      <c r="N257" s="49" t="s">
        <v>109</v>
      </c>
      <c r="O257" s="42" t="s">
        <v>175</v>
      </c>
      <c r="P257" s="60">
        <v>46219.365578703713</v>
      </c>
    </row>
    <row r="258" spans="2:16" x14ac:dyDescent="0.25">
      <c r="B258" s="57" t="s">
        <v>1048</v>
      </c>
      <c r="C258" s="49" t="s">
        <v>55</v>
      </c>
      <c r="D258" s="58">
        <v>46219</v>
      </c>
      <c r="E258" s="49" t="s">
        <v>384</v>
      </c>
      <c r="F258" s="56">
        <v>45</v>
      </c>
      <c r="G258" s="42" t="s">
        <v>1049</v>
      </c>
      <c r="H258" s="49" t="s">
        <v>585</v>
      </c>
      <c r="I258" s="59">
        <v>-45</v>
      </c>
      <c r="J258" s="43" t="s">
        <v>349</v>
      </c>
      <c r="K258" s="49" t="s">
        <v>112</v>
      </c>
      <c r="L258" s="42" t="s">
        <v>181</v>
      </c>
      <c r="M258" s="55">
        <v>-1</v>
      </c>
      <c r="N258" s="49" t="s">
        <v>111</v>
      </c>
      <c r="O258" s="42" t="s">
        <v>233</v>
      </c>
      <c r="P258" s="60">
        <v>46219.600624999999</v>
      </c>
    </row>
    <row r="259" spans="2:16" x14ac:dyDescent="0.25">
      <c r="B259" s="57" t="s">
        <v>1050</v>
      </c>
      <c r="C259" s="49" t="s">
        <v>55</v>
      </c>
      <c r="D259" s="58">
        <v>46220</v>
      </c>
      <c r="E259" s="49" t="s">
        <v>370</v>
      </c>
      <c r="F259" s="56">
        <v>30</v>
      </c>
      <c r="G259" s="42" t="s">
        <v>1051</v>
      </c>
      <c r="H259" s="49" t="s">
        <v>593</v>
      </c>
      <c r="I259" s="59">
        <v>-30</v>
      </c>
      <c r="J259" s="43" t="s">
        <v>349</v>
      </c>
      <c r="K259" s="49" t="s">
        <v>110</v>
      </c>
      <c r="L259" s="42" t="s">
        <v>181</v>
      </c>
      <c r="M259" s="55">
        <v>-1</v>
      </c>
      <c r="N259" s="49" t="s">
        <v>109</v>
      </c>
      <c r="O259" s="42" t="s">
        <v>210</v>
      </c>
      <c r="P259" s="60">
        <v>46220.590775462973</v>
      </c>
    </row>
    <row r="260" spans="2:16" x14ac:dyDescent="0.25">
      <c r="B260" s="57" t="s">
        <v>1052</v>
      </c>
      <c r="C260" s="49" t="s">
        <v>55</v>
      </c>
      <c r="D260" s="58">
        <v>46221</v>
      </c>
      <c r="E260" s="49" t="s">
        <v>414</v>
      </c>
      <c r="F260" s="56">
        <v>22</v>
      </c>
      <c r="G260" s="42" t="s">
        <v>1053</v>
      </c>
      <c r="H260" s="49" t="s">
        <v>593</v>
      </c>
      <c r="I260" s="59">
        <v>-22</v>
      </c>
      <c r="J260" s="43" t="s">
        <v>349</v>
      </c>
      <c r="K260" s="49" t="s">
        <v>110</v>
      </c>
      <c r="L260" s="42" t="s">
        <v>286</v>
      </c>
      <c r="M260" s="55">
        <v>-1</v>
      </c>
      <c r="N260" s="49" t="s">
        <v>109</v>
      </c>
      <c r="O260" s="42" t="s">
        <v>284</v>
      </c>
      <c r="P260" s="60">
        <v>46221.728472222218</v>
      </c>
    </row>
    <row r="261" spans="2:16" x14ac:dyDescent="0.25">
      <c r="B261" s="57" t="s">
        <v>1054</v>
      </c>
      <c r="C261" s="49" t="s">
        <v>55</v>
      </c>
      <c r="D261" s="58">
        <v>46223</v>
      </c>
      <c r="E261" s="49" t="s">
        <v>374</v>
      </c>
      <c r="F261" s="56">
        <v>91.5</v>
      </c>
      <c r="G261" s="42" t="s">
        <v>1055</v>
      </c>
      <c r="H261" s="49" t="s">
        <v>604</v>
      </c>
      <c r="I261" s="59">
        <v>-91.5</v>
      </c>
      <c r="J261" s="43" t="s">
        <v>349</v>
      </c>
      <c r="K261" s="49" t="s">
        <v>112</v>
      </c>
      <c r="L261" s="42" t="s">
        <v>218</v>
      </c>
      <c r="M261" s="55">
        <v>-1</v>
      </c>
      <c r="N261" s="49" t="s">
        <v>111</v>
      </c>
      <c r="O261" s="42" t="s">
        <v>216</v>
      </c>
      <c r="P261" s="60">
        <v>46223.612557870372</v>
      </c>
    </row>
    <row r="262" spans="2:16" x14ac:dyDescent="0.25">
      <c r="B262" s="57" t="s">
        <v>1056</v>
      </c>
      <c r="C262" s="49" t="s">
        <v>55</v>
      </c>
      <c r="D262" s="58">
        <v>46223</v>
      </c>
      <c r="E262" s="49" t="s">
        <v>378</v>
      </c>
      <c r="F262" s="56">
        <v>19</v>
      </c>
      <c r="G262" s="42" t="s">
        <v>1057</v>
      </c>
      <c r="H262" s="49"/>
      <c r="I262" s="59">
        <v>-19</v>
      </c>
      <c r="J262" s="43" t="s">
        <v>349</v>
      </c>
      <c r="K262" s="49" t="s">
        <v>110</v>
      </c>
      <c r="L262" s="42" t="s">
        <v>181</v>
      </c>
      <c r="M262" s="55">
        <v>-1</v>
      </c>
      <c r="N262" s="49" t="s">
        <v>109</v>
      </c>
      <c r="O262" s="42" t="s">
        <v>224</v>
      </c>
      <c r="P262" s="60">
        <v>46223.640138888892</v>
      </c>
    </row>
    <row r="263" spans="2:16" x14ac:dyDescent="0.25">
      <c r="B263" s="57" t="s">
        <v>1058</v>
      </c>
      <c r="C263" s="49" t="s">
        <v>55</v>
      </c>
      <c r="D263" s="58">
        <v>46224</v>
      </c>
      <c r="E263" s="49" t="s">
        <v>372</v>
      </c>
      <c r="F263" s="56">
        <v>11</v>
      </c>
      <c r="G263" s="42" t="s">
        <v>1059</v>
      </c>
      <c r="H263" s="49"/>
      <c r="I263" s="59">
        <v>-11</v>
      </c>
      <c r="J263" s="43" t="s">
        <v>349</v>
      </c>
      <c r="K263" s="49" t="s">
        <v>110</v>
      </c>
      <c r="L263" s="42" t="s">
        <v>181</v>
      </c>
      <c r="M263" s="55">
        <v>-1</v>
      </c>
      <c r="N263" s="49" t="s">
        <v>109</v>
      </c>
      <c r="O263" s="42" t="s">
        <v>213</v>
      </c>
      <c r="P263" s="60">
        <v>46224.347314814811</v>
      </c>
    </row>
    <row r="264" spans="2:16" x14ac:dyDescent="0.25">
      <c r="B264" s="57" t="s">
        <v>1060</v>
      </c>
      <c r="C264" s="49" t="s">
        <v>55</v>
      </c>
      <c r="D264" s="58">
        <v>46224</v>
      </c>
      <c r="E264" s="49" t="s">
        <v>390</v>
      </c>
      <c r="F264" s="56">
        <v>8.5</v>
      </c>
      <c r="G264" s="42" t="s">
        <v>1061</v>
      </c>
      <c r="H264" s="49" t="s">
        <v>615</v>
      </c>
      <c r="I264" s="59">
        <v>-8.5</v>
      </c>
      <c r="J264" s="43" t="s">
        <v>349</v>
      </c>
      <c r="K264" s="49" t="s">
        <v>112</v>
      </c>
      <c r="L264" s="42" t="s">
        <v>239</v>
      </c>
      <c r="M264" s="55">
        <v>-1</v>
      </c>
      <c r="N264" s="49" t="s">
        <v>111</v>
      </c>
      <c r="O264" s="42" t="s">
        <v>244</v>
      </c>
      <c r="P264" s="60">
        <v>46224.507256944453</v>
      </c>
    </row>
    <row r="265" spans="2:16" x14ac:dyDescent="0.25">
      <c r="B265" s="57" t="s">
        <v>1062</v>
      </c>
      <c r="C265" s="49" t="s">
        <v>55</v>
      </c>
      <c r="D265" s="58">
        <v>46224</v>
      </c>
      <c r="E265" s="49" t="s">
        <v>400</v>
      </c>
      <c r="F265" s="56">
        <v>6</v>
      </c>
      <c r="G265" s="42" t="s">
        <v>1063</v>
      </c>
      <c r="H265" s="49" t="s">
        <v>615</v>
      </c>
      <c r="I265" s="59">
        <v>-6</v>
      </c>
      <c r="J265" s="43" t="s">
        <v>349</v>
      </c>
      <c r="K265" s="49" t="s">
        <v>112</v>
      </c>
      <c r="L265" s="42" t="s">
        <v>181</v>
      </c>
      <c r="M265" s="55">
        <v>-1</v>
      </c>
      <c r="N265" s="49" t="s">
        <v>111</v>
      </c>
      <c r="O265" s="42" t="s">
        <v>261</v>
      </c>
      <c r="P265" s="60">
        <v>46224.609652777777</v>
      </c>
    </row>
    <row r="266" spans="2:16" x14ac:dyDescent="0.25">
      <c r="B266" s="57" t="s">
        <v>1064</v>
      </c>
      <c r="C266" s="49" t="s">
        <v>55</v>
      </c>
      <c r="D266" s="58">
        <v>46225</v>
      </c>
      <c r="E266" s="49" t="s">
        <v>374</v>
      </c>
      <c r="F266" s="56">
        <v>84.5</v>
      </c>
      <c r="G266" s="42" t="s">
        <v>1065</v>
      </c>
      <c r="H266" s="49" t="s">
        <v>593</v>
      </c>
      <c r="I266" s="59">
        <v>-84.5</v>
      </c>
      <c r="J266" s="43" t="s">
        <v>349</v>
      </c>
      <c r="K266" s="49" t="s">
        <v>112</v>
      </c>
      <c r="L266" s="42" t="s">
        <v>218</v>
      </c>
      <c r="M266" s="55">
        <v>-1</v>
      </c>
      <c r="N266" s="49" t="s">
        <v>111</v>
      </c>
      <c r="O266" s="42" t="s">
        <v>216</v>
      </c>
      <c r="P266" s="60">
        <v>46225.411793981482</v>
      </c>
    </row>
    <row r="267" spans="2:16" x14ac:dyDescent="0.25">
      <c r="B267" s="57" t="s">
        <v>1066</v>
      </c>
      <c r="C267" s="49" t="s">
        <v>55</v>
      </c>
      <c r="D267" s="58">
        <v>46225</v>
      </c>
      <c r="E267" s="49" t="s">
        <v>366</v>
      </c>
      <c r="F267" s="56">
        <v>19</v>
      </c>
      <c r="G267" s="42" t="s">
        <v>1067</v>
      </c>
      <c r="H267" s="49"/>
      <c r="I267" s="59">
        <v>-19</v>
      </c>
      <c r="J267" s="43" t="s">
        <v>349</v>
      </c>
      <c r="K267" s="49" t="s">
        <v>110</v>
      </c>
      <c r="L267" s="42" t="s">
        <v>181</v>
      </c>
      <c r="M267" s="55">
        <v>-1</v>
      </c>
      <c r="N267" s="49" t="s">
        <v>109</v>
      </c>
      <c r="O267" s="42" t="s">
        <v>204</v>
      </c>
      <c r="P267" s="60">
        <v>46225.581122685187</v>
      </c>
    </row>
    <row r="268" spans="2:16" x14ac:dyDescent="0.25">
      <c r="B268" s="57" t="s">
        <v>1068</v>
      </c>
      <c r="C268" s="49" t="s">
        <v>55</v>
      </c>
      <c r="D268" s="58">
        <v>46226</v>
      </c>
      <c r="E268" s="49" t="s">
        <v>404</v>
      </c>
      <c r="F268" s="56">
        <v>9</v>
      </c>
      <c r="G268" s="42" t="s">
        <v>1069</v>
      </c>
      <c r="H268" s="49" t="s">
        <v>615</v>
      </c>
      <c r="I268" s="59">
        <v>-9</v>
      </c>
      <c r="J268" s="43" t="s">
        <v>349</v>
      </c>
      <c r="K268" s="49" t="s">
        <v>112</v>
      </c>
      <c r="L268" s="42" t="s">
        <v>173</v>
      </c>
      <c r="M268" s="55">
        <v>-1</v>
      </c>
      <c r="N268" s="49" t="s">
        <v>111</v>
      </c>
      <c r="O268" s="42" t="s">
        <v>267</v>
      </c>
      <c r="P268" s="60">
        <v>46226.381886574083</v>
      </c>
    </row>
    <row r="269" spans="2:16" x14ac:dyDescent="0.25">
      <c r="B269" s="57" t="s">
        <v>1070</v>
      </c>
      <c r="C269" s="49" t="s">
        <v>55</v>
      </c>
      <c r="D269" s="58">
        <v>46227</v>
      </c>
      <c r="E269" s="49" t="s">
        <v>357</v>
      </c>
      <c r="F269" s="56">
        <v>14</v>
      </c>
      <c r="G269" s="42" t="s">
        <v>1071</v>
      </c>
      <c r="H269" s="49"/>
      <c r="I269" s="59">
        <v>-14</v>
      </c>
      <c r="J269" s="43" t="s">
        <v>349</v>
      </c>
      <c r="K269" s="49" t="s">
        <v>110</v>
      </c>
      <c r="L269" s="42" t="s">
        <v>181</v>
      </c>
      <c r="M269" s="55">
        <v>-1</v>
      </c>
      <c r="N269" s="49" t="s">
        <v>109</v>
      </c>
      <c r="O269" s="42" t="s">
        <v>186</v>
      </c>
      <c r="P269" s="60">
        <v>46227.31453703704</v>
      </c>
    </row>
    <row r="270" spans="2:16" x14ac:dyDescent="0.25">
      <c r="B270" s="57" t="s">
        <v>1072</v>
      </c>
      <c r="C270" s="49" t="s">
        <v>55</v>
      </c>
      <c r="D270" s="58">
        <v>46227</v>
      </c>
      <c r="E270" s="49" t="s">
        <v>378</v>
      </c>
      <c r="F270" s="56">
        <v>33</v>
      </c>
      <c r="G270" s="42" t="s">
        <v>1073</v>
      </c>
      <c r="H270" s="49" t="s">
        <v>585</v>
      </c>
      <c r="I270" s="59">
        <v>-33</v>
      </c>
      <c r="J270" s="43" t="s">
        <v>349</v>
      </c>
      <c r="K270" s="49" t="s">
        <v>112</v>
      </c>
      <c r="L270" s="42" t="s">
        <v>181</v>
      </c>
      <c r="M270" s="55">
        <v>-1</v>
      </c>
      <c r="N270" s="49" t="s">
        <v>111</v>
      </c>
      <c r="O270" s="42" t="s">
        <v>224</v>
      </c>
      <c r="P270" s="60">
        <v>46227.592118055552</v>
      </c>
    </row>
    <row r="271" spans="2:16" x14ac:dyDescent="0.25">
      <c r="B271" s="57" t="s">
        <v>1074</v>
      </c>
      <c r="C271" s="49" t="s">
        <v>55</v>
      </c>
      <c r="D271" s="58">
        <v>46227</v>
      </c>
      <c r="E271" s="49" t="s">
        <v>386</v>
      </c>
      <c r="F271" s="56">
        <v>5</v>
      </c>
      <c r="G271" s="42" t="s">
        <v>1075</v>
      </c>
      <c r="H271" s="49"/>
      <c r="I271" s="59">
        <v>-5</v>
      </c>
      <c r="J271" s="43" t="s">
        <v>349</v>
      </c>
      <c r="K271" s="49" t="s">
        <v>112</v>
      </c>
      <c r="L271" s="42" t="s">
        <v>239</v>
      </c>
      <c r="M271" s="55">
        <v>-1</v>
      </c>
      <c r="N271" s="49" t="s">
        <v>111</v>
      </c>
      <c r="O271" s="42" t="s">
        <v>236</v>
      </c>
      <c r="P271" s="60">
        <v>46227.643622685187</v>
      </c>
    </row>
    <row r="272" spans="2:16" x14ac:dyDescent="0.25">
      <c r="B272" s="57" t="s">
        <v>1076</v>
      </c>
      <c r="C272" s="49" t="s">
        <v>55</v>
      </c>
      <c r="D272" s="58">
        <v>46227</v>
      </c>
      <c r="E272" s="49" t="s">
        <v>364</v>
      </c>
      <c r="F272" s="56">
        <v>32</v>
      </c>
      <c r="G272" s="42" t="s">
        <v>1077</v>
      </c>
      <c r="H272" s="49" t="s">
        <v>593</v>
      </c>
      <c r="I272" s="59">
        <v>-32</v>
      </c>
      <c r="J272" s="43" t="s">
        <v>349</v>
      </c>
      <c r="K272" s="49" t="s">
        <v>112</v>
      </c>
      <c r="L272" s="42" t="s">
        <v>181</v>
      </c>
      <c r="M272" s="55">
        <v>-1</v>
      </c>
      <c r="N272" s="49" t="s">
        <v>111</v>
      </c>
      <c r="O272" s="42" t="s">
        <v>201</v>
      </c>
      <c r="P272" s="60">
        <v>46227.692129629628</v>
      </c>
    </row>
    <row r="273" spans="2:16" x14ac:dyDescent="0.25">
      <c r="B273" s="57" t="s">
        <v>1078</v>
      </c>
      <c r="C273" s="49" t="s">
        <v>55</v>
      </c>
      <c r="D273" s="58">
        <v>46228</v>
      </c>
      <c r="E273" s="49" t="s">
        <v>370</v>
      </c>
      <c r="F273" s="56">
        <v>19</v>
      </c>
      <c r="G273" s="42" t="s">
        <v>1079</v>
      </c>
      <c r="H273" s="49"/>
      <c r="I273" s="59">
        <v>-19</v>
      </c>
      <c r="J273" s="43" t="s">
        <v>349</v>
      </c>
      <c r="K273" s="49" t="s">
        <v>112</v>
      </c>
      <c r="L273" s="42" t="s">
        <v>181</v>
      </c>
      <c r="M273" s="55">
        <v>-1</v>
      </c>
      <c r="N273" s="49" t="s">
        <v>111</v>
      </c>
      <c r="O273" s="42" t="s">
        <v>210</v>
      </c>
      <c r="P273" s="60">
        <v>46228.330208333333</v>
      </c>
    </row>
    <row r="274" spans="2:16" x14ac:dyDescent="0.25">
      <c r="B274" s="57" t="s">
        <v>1080</v>
      </c>
      <c r="C274" s="49" t="s">
        <v>55</v>
      </c>
      <c r="D274" s="58">
        <v>46228</v>
      </c>
      <c r="E274" s="49" t="s">
        <v>355</v>
      </c>
      <c r="F274" s="56">
        <v>4</v>
      </c>
      <c r="G274" s="42" t="s">
        <v>1081</v>
      </c>
      <c r="H274" s="49" t="s">
        <v>585</v>
      </c>
      <c r="I274" s="59">
        <v>-4</v>
      </c>
      <c r="J274" s="43" t="s">
        <v>349</v>
      </c>
      <c r="K274" s="49" t="s">
        <v>112</v>
      </c>
      <c r="L274" s="42" t="s">
        <v>181</v>
      </c>
      <c r="M274" s="55">
        <v>-1</v>
      </c>
      <c r="N274" s="49" t="s">
        <v>111</v>
      </c>
      <c r="O274" s="42" t="s">
        <v>183</v>
      </c>
      <c r="P274" s="60">
        <v>46228.386747685188</v>
      </c>
    </row>
    <row r="275" spans="2:16" x14ac:dyDescent="0.25">
      <c r="B275" s="57" t="s">
        <v>1082</v>
      </c>
      <c r="C275" s="49" t="s">
        <v>55</v>
      </c>
      <c r="D275" s="58">
        <v>46228</v>
      </c>
      <c r="E275" s="49" t="s">
        <v>384</v>
      </c>
      <c r="F275" s="56">
        <v>23</v>
      </c>
      <c r="G275" s="42" t="s">
        <v>1083</v>
      </c>
      <c r="H275" s="49"/>
      <c r="I275" s="59">
        <v>-23</v>
      </c>
      <c r="J275" s="43" t="s">
        <v>349</v>
      </c>
      <c r="K275" s="49" t="s">
        <v>112</v>
      </c>
      <c r="L275" s="42" t="s">
        <v>181</v>
      </c>
      <c r="M275" s="55">
        <v>-1</v>
      </c>
      <c r="N275" s="49" t="s">
        <v>111</v>
      </c>
      <c r="O275" s="42" t="s">
        <v>233</v>
      </c>
      <c r="P275" s="60">
        <v>46228.416215277779</v>
      </c>
    </row>
    <row r="276" spans="2:16" x14ac:dyDescent="0.25">
      <c r="B276" s="57" t="s">
        <v>1084</v>
      </c>
      <c r="C276" s="49" t="s">
        <v>55</v>
      </c>
      <c r="D276" s="58">
        <v>46230</v>
      </c>
      <c r="E276" s="49" t="s">
        <v>384</v>
      </c>
      <c r="F276" s="56">
        <v>31</v>
      </c>
      <c r="G276" s="42" t="s">
        <v>1085</v>
      </c>
      <c r="H276" s="49" t="s">
        <v>615</v>
      </c>
      <c r="I276" s="59">
        <v>-31</v>
      </c>
      <c r="J276" s="43" t="s">
        <v>349</v>
      </c>
      <c r="K276" s="49" t="s">
        <v>112</v>
      </c>
      <c r="L276" s="42" t="s">
        <v>181</v>
      </c>
      <c r="M276" s="55">
        <v>-1</v>
      </c>
      <c r="N276" s="49" t="s">
        <v>111</v>
      </c>
      <c r="O276" s="42" t="s">
        <v>233</v>
      </c>
      <c r="P276" s="60">
        <v>46230.497094907398</v>
      </c>
    </row>
    <row r="277" spans="2:16" x14ac:dyDescent="0.25">
      <c r="B277" s="57" t="s">
        <v>1086</v>
      </c>
      <c r="C277" s="49" t="s">
        <v>55</v>
      </c>
      <c r="D277" s="58">
        <v>46230</v>
      </c>
      <c r="E277" s="49" t="s">
        <v>370</v>
      </c>
      <c r="F277" s="56">
        <v>13</v>
      </c>
      <c r="G277" s="42" t="s">
        <v>1087</v>
      </c>
      <c r="H277" s="49"/>
      <c r="I277" s="59">
        <v>-13</v>
      </c>
      <c r="J277" s="43" t="s">
        <v>349</v>
      </c>
      <c r="K277" s="49" t="s">
        <v>110</v>
      </c>
      <c r="L277" s="42" t="s">
        <v>181</v>
      </c>
      <c r="M277" s="55">
        <v>-1</v>
      </c>
      <c r="N277" s="49" t="s">
        <v>109</v>
      </c>
      <c r="O277" s="42" t="s">
        <v>210</v>
      </c>
      <c r="P277" s="60">
        <v>46230.707569444443</v>
      </c>
    </row>
    <row r="278" spans="2:16" x14ac:dyDescent="0.25">
      <c r="B278" s="57" t="s">
        <v>1088</v>
      </c>
      <c r="C278" s="49" t="s">
        <v>55</v>
      </c>
      <c r="D278" s="58">
        <v>46230</v>
      </c>
      <c r="E278" s="49" t="s">
        <v>372</v>
      </c>
      <c r="F278" s="56">
        <v>16</v>
      </c>
      <c r="G278" s="42" t="s">
        <v>1089</v>
      </c>
      <c r="H278" s="49" t="s">
        <v>593</v>
      </c>
      <c r="I278" s="59">
        <v>-16</v>
      </c>
      <c r="J278" s="43" t="s">
        <v>349</v>
      </c>
      <c r="K278" s="49" t="s">
        <v>110</v>
      </c>
      <c r="L278" s="42" t="s">
        <v>181</v>
      </c>
      <c r="M278" s="55">
        <v>-1</v>
      </c>
      <c r="N278" s="49" t="s">
        <v>109</v>
      </c>
      <c r="O278" s="42" t="s">
        <v>213</v>
      </c>
      <c r="P278" s="60">
        <v>46230.708182870367</v>
      </c>
    </row>
    <row r="279" spans="2:16" x14ac:dyDescent="0.25">
      <c r="B279" s="57" t="s">
        <v>1090</v>
      </c>
      <c r="C279" s="49" t="s">
        <v>55</v>
      </c>
      <c r="D279" s="58">
        <v>46231</v>
      </c>
      <c r="E279" s="49" t="s">
        <v>374</v>
      </c>
      <c r="F279" s="56">
        <v>69.5</v>
      </c>
      <c r="G279" s="42" t="s">
        <v>1091</v>
      </c>
      <c r="H279" s="49"/>
      <c r="I279" s="59">
        <v>-69.5</v>
      </c>
      <c r="J279" s="43" t="s">
        <v>349</v>
      </c>
      <c r="K279" s="49" t="s">
        <v>110</v>
      </c>
      <c r="L279" s="42" t="s">
        <v>218</v>
      </c>
      <c r="M279" s="55">
        <v>-1</v>
      </c>
      <c r="N279" s="49" t="s">
        <v>109</v>
      </c>
      <c r="O279" s="42" t="s">
        <v>216</v>
      </c>
      <c r="P279" s="60">
        <v>46231.688275462962</v>
      </c>
    </row>
    <row r="280" spans="2:16" x14ac:dyDescent="0.25">
      <c r="B280" s="57" t="s">
        <v>1092</v>
      </c>
      <c r="C280" s="49" t="s">
        <v>55</v>
      </c>
      <c r="D280" s="58">
        <v>46232</v>
      </c>
      <c r="E280" s="49" t="s">
        <v>396</v>
      </c>
      <c r="F280" s="56">
        <v>28</v>
      </c>
      <c r="G280" s="42" t="s">
        <v>1093</v>
      </c>
      <c r="H280" s="49"/>
      <c r="I280" s="59">
        <v>-28</v>
      </c>
      <c r="J280" s="43" t="s">
        <v>349</v>
      </c>
      <c r="K280" s="49" t="s">
        <v>112</v>
      </c>
      <c r="L280" s="42" t="s">
        <v>256</v>
      </c>
      <c r="M280" s="55">
        <v>-1</v>
      </c>
      <c r="N280" s="49" t="s">
        <v>111</v>
      </c>
      <c r="O280" s="42" t="s">
        <v>253</v>
      </c>
      <c r="P280" s="60">
        <v>46232.402175925927</v>
      </c>
    </row>
    <row r="281" spans="2:16" x14ac:dyDescent="0.25">
      <c r="B281" s="57" t="s">
        <v>1094</v>
      </c>
      <c r="C281" s="49" t="s">
        <v>55</v>
      </c>
      <c r="D281" s="58">
        <v>46232</v>
      </c>
      <c r="E281" s="49" t="s">
        <v>410</v>
      </c>
      <c r="F281" s="56">
        <v>33</v>
      </c>
      <c r="G281" s="42" t="s">
        <v>1095</v>
      </c>
      <c r="H281" s="49"/>
      <c r="I281" s="59">
        <v>-33</v>
      </c>
      <c r="J281" s="43" t="s">
        <v>349</v>
      </c>
      <c r="K281" s="49" t="s">
        <v>110</v>
      </c>
      <c r="L281" s="42" t="s">
        <v>177</v>
      </c>
      <c r="M281" s="55">
        <v>-1</v>
      </c>
      <c r="N281" s="49" t="s">
        <v>109</v>
      </c>
      <c r="O281" s="42" t="s">
        <v>278</v>
      </c>
      <c r="P281" s="60">
        <v>46232.686736111107</v>
      </c>
    </row>
    <row r="282" spans="2:16" x14ac:dyDescent="0.25">
      <c r="B282" s="57" t="s">
        <v>1096</v>
      </c>
      <c r="C282" s="49" t="s">
        <v>55</v>
      </c>
      <c r="D282" s="58">
        <v>46233</v>
      </c>
      <c r="E282" s="49" t="s">
        <v>414</v>
      </c>
      <c r="F282" s="56">
        <v>19</v>
      </c>
      <c r="G282" s="42" t="s">
        <v>1097</v>
      </c>
      <c r="H282" s="49" t="s">
        <v>593</v>
      </c>
      <c r="I282" s="59">
        <v>-19</v>
      </c>
      <c r="J282" s="43" t="s">
        <v>349</v>
      </c>
      <c r="K282" s="49" t="s">
        <v>110</v>
      </c>
      <c r="L282" s="42" t="s">
        <v>286</v>
      </c>
      <c r="M282" s="55">
        <v>-1</v>
      </c>
      <c r="N282" s="49" t="s">
        <v>109</v>
      </c>
      <c r="O282" s="42" t="s">
        <v>284</v>
      </c>
      <c r="P282" s="60">
        <v>46233.389282407406</v>
      </c>
    </row>
    <row r="283" spans="2:16" x14ac:dyDescent="0.25">
      <c r="B283" s="57" t="s">
        <v>1098</v>
      </c>
      <c r="C283" s="49" t="s">
        <v>55</v>
      </c>
      <c r="D283" s="58">
        <v>46233</v>
      </c>
      <c r="E283" s="49" t="s">
        <v>351</v>
      </c>
      <c r="F283" s="56">
        <v>12</v>
      </c>
      <c r="G283" s="42" t="s">
        <v>1099</v>
      </c>
      <c r="H283" s="49" t="s">
        <v>593</v>
      </c>
      <c r="I283" s="59">
        <v>-12</v>
      </c>
      <c r="J283" s="43" t="s">
        <v>349</v>
      </c>
      <c r="K283" s="49" t="s">
        <v>110</v>
      </c>
      <c r="L283" s="42" t="s">
        <v>177</v>
      </c>
      <c r="M283" s="55">
        <v>-1</v>
      </c>
      <c r="N283" s="49" t="s">
        <v>109</v>
      </c>
      <c r="O283" s="42" t="s">
        <v>175</v>
      </c>
      <c r="P283" s="60">
        <v>46233.589884259258</v>
      </c>
    </row>
    <row r="284" spans="2:16" x14ac:dyDescent="0.25">
      <c r="B284" s="57" t="s">
        <v>1100</v>
      </c>
      <c r="C284" s="49" t="s">
        <v>55</v>
      </c>
      <c r="D284" s="58">
        <v>46233</v>
      </c>
      <c r="E284" s="49" t="s">
        <v>386</v>
      </c>
      <c r="F284" s="56">
        <v>4.5</v>
      </c>
      <c r="G284" s="42" t="s">
        <v>1101</v>
      </c>
      <c r="H284" s="49" t="s">
        <v>593</v>
      </c>
      <c r="I284" s="59">
        <v>-4.5</v>
      </c>
      <c r="J284" s="43" t="s">
        <v>349</v>
      </c>
      <c r="K284" s="49" t="s">
        <v>112</v>
      </c>
      <c r="L284" s="42" t="s">
        <v>239</v>
      </c>
      <c r="M284" s="55">
        <v>-1</v>
      </c>
      <c r="N284" s="49" t="s">
        <v>111</v>
      </c>
      <c r="O284" s="42" t="s">
        <v>236</v>
      </c>
      <c r="P284" s="60">
        <v>46233.602685185193</v>
      </c>
    </row>
    <row r="285" spans="2:16" x14ac:dyDescent="0.25">
      <c r="B285" s="57" t="s">
        <v>1102</v>
      </c>
      <c r="C285" s="49" t="s">
        <v>55</v>
      </c>
      <c r="D285" s="58">
        <v>46234</v>
      </c>
      <c r="E285" s="49" t="s">
        <v>378</v>
      </c>
      <c r="F285" s="56">
        <v>36</v>
      </c>
      <c r="G285" s="42" t="s">
        <v>1103</v>
      </c>
      <c r="H285" s="49" t="s">
        <v>604</v>
      </c>
      <c r="I285" s="59">
        <v>-36</v>
      </c>
      <c r="J285" s="43" t="s">
        <v>349</v>
      </c>
      <c r="K285" s="49" t="s">
        <v>110</v>
      </c>
      <c r="L285" s="42" t="s">
        <v>181</v>
      </c>
      <c r="M285" s="55">
        <v>-1</v>
      </c>
      <c r="N285" s="49" t="s">
        <v>109</v>
      </c>
      <c r="O285" s="42" t="s">
        <v>224</v>
      </c>
      <c r="P285" s="60">
        <v>46234.680833333332</v>
      </c>
    </row>
    <row r="286" spans="2:16" x14ac:dyDescent="0.25">
      <c r="B286" s="57" t="s">
        <v>1104</v>
      </c>
      <c r="C286" s="49" t="s">
        <v>55</v>
      </c>
      <c r="D286" s="58">
        <v>46234</v>
      </c>
      <c r="E286" s="49" t="s">
        <v>404</v>
      </c>
      <c r="F286" s="56">
        <v>9</v>
      </c>
      <c r="G286" s="42" t="s">
        <v>1105</v>
      </c>
      <c r="H286" s="49" t="s">
        <v>593</v>
      </c>
      <c r="I286" s="59">
        <v>-9</v>
      </c>
      <c r="J286" s="43" t="s">
        <v>349</v>
      </c>
      <c r="K286" s="49" t="s">
        <v>110</v>
      </c>
      <c r="L286" s="42" t="s">
        <v>173</v>
      </c>
      <c r="M286" s="55">
        <v>-1</v>
      </c>
      <c r="N286" s="49" t="s">
        <v>109</v>
      </c>
      <c r="O286" s="42" t="s">
        <v>267</v>
      </c>
      <c r="P286" s="60">
        <v>46234.693148148152</v>
      </c>
    </row>
    <row r="287" spans="2:16" x14ac:dyDescent="0.25">
      <c r="B287" s="57" t="s">
        <v>1106</v>
      </c>
      <c r="C287" s="49" t="s">
        <v>55</v>
      </c>
      <c r="D287" s="58">
        <v>46235</v>
      </c>
      <c r="E287" s="49" t="s">
        <v>410</v>
      </c>
      <c r="F287" s="56">
        <v>26</v>
      </c>
      <c r="G287" s="42" t="s">
        <v>1107</v>
      </c>
      <c r="H287" s="49"/>
      <c r="I287" s="59">
        <v>-26</v>
      </c>
      <c r="J287" s="43" t="s">
        <v>349</v>
      </c>
      <c r="K287" s="49" t="s">
        <v>110</v>
      </c>
      <c r="L287" s="42" t="s">
        <v>177</v>
      </c>
      <c r="M287" s="55">
        <v>-1</v>
      </c>
      <c r="N287" s="49" t="s">
        <v>109</v>
      </c>
      <c r="O287" s="42" t="s">
        <v>278</v>
      </c>
      <c r="P287" s="60">
        <v>46235.574074074073</v>
      </c>
    </row>
    <row r="288" spans="2:16" x14ac:dyDescent="0.25">
      <c r="B288" s="57" t="s">
        <v>1108</v>
      </c>
      <c r="C288" s="49" t="s">
        <v>55</v>
      </c>
      <c r="D288" s="58">
        <v>46235</v>
      </c>
      <c r="E288" s="49" t="s">
        <v>374</v>
      </c>
      <c r="F288" s="56">
        <v>82.5</v>
      </c>
      <c r="G288" s="42" t="s">
        <v>1109</v>
      </c>
      <c r="H288" s="49" t="s">
        <v>593</v>
      </c>
      <c r="I288" s="59">
        <v>-82.5</v>
      </c>
      <c r="J288" s="43" t="s">
        <v>349</v>
      </c>
      <c r="K288" s="49" t="s">
        <v>112</v>
      </c>
      <c r="L288" s="42" t="s">
        <v>218</v>
      </c>
      <c r="M288" s="55">
        <v>-1</v>
      </c>
      <c r="N288" s="49" t="s">
        <v>111</v>
      </c>
      <c r="O288" s="42" t="s">
        <v>216</v>
      </c>
      <c r="P288" s="60">
        <v>46235.588182870371</v>
      </c>
    </row>
    <row r="289" spans="2:16" x14ac:dyDescent="0.25">
      <c r="B289" s="57" t="s">
        <v>1110</v>
      </c>
      <c r="C289" s="49" t="s">
        <v>55</v>
      </c>
      <c r="D289" s="58">
        <v>46235</v>
      </c>
      <c r="E289" s="49" t="s">
        <v>412</v>
      </c>
      <c r="F289" s="56">
        <v>6</v>
      </c>
      <c r="G289" s="42" t="s">
        <v>1111</v>
      </c>
      <c r="H289" s="49" t="s">
        <v>593</v>
      </c>
      <c r="I289" s="59">
        <v>-6</v>
      </c>
      <c r="J289" s="43" t="s">
        <v>349</v>
      </c>
      <c r="K289" s="49" t="s">
        <v>110</v>
      </c>
      <c r="L289" s="42" t="s">
        <v>181</v>
      </c>
      <c r="M289" s="55">
        <v>-1</v>
      </c>
      <c r="N289" s="49" t="s">
        <v>109</v>
      </c>
      <c r="O289" s="42" t="s">
        <v>281</v>
      </c>
      <c r="P289" s="60">
        <v>46235.644363425927</v>
      </c>
    </row>
    <row r="290" spans="2:16" x14ac:dyDescent="0.25">
      <c r="B290" s="57" t="s">
        <v>1112</v>
      </c>
      <c r="C290" s="49" t="s">
        <v>55</v>
      </c>
      <c r="D290" s="58">
        <v>46237</v>
      </c>
      <c r="E290" s="49" t="s">
        <v>374</v>
      </c>
      <c r="F290" s="56">
        <v>90</v>
      </c>
      <c r="G290" s="42" t="s">
        <v>1113</v>
      </c>
      <c r="H290" s="49"/>
      <c r="I290" s="59">
        <v>-90</v>
      </c>
      <c r="J290" s="43" t="s">
        <v>349</v>
      </c>
      <c r="K290" s="49" t="s">
        <v>112</v>
      </c>
      <c r="L290" s="42" t="s">
        <v>218</v>
      </c>
      <c r="M290" s="55">
        <v>-1</v>
      </c>
      <c r="N290" s="49" t="s">
        <v>111</v>
      </c>
      <c r="O290" s="42" t="s">
        <v>216</v>
      </c>
      <c r="P290" s="60">
        <v>46237.675000000003</v>
      </c>
    </row>
    <row r="291" spans="2:16" x14ac:dyDescent="0.25">
      <c r="B291" s="57" t="s">
        <v>1114</v>
      </c>
      <c r="C291" s="49" t="s">
        <v>55</v>
      </c>
      <c r="D291" s="58">
        <v>46237</v>
      </c>
      <c r="E291" s="49" t="s">
        <v>351</v>
      </c>
      <c r="F291" s="56">
        <v>13</v>
      </c>
      <c r="G291" s="42" t="s">
        <v>1115</v>
      </c>
      <c r="H291" s="49" t="s">
        <v>609</v>
      </c>
      <c r="I291" s="59">
        <v>-13</v>
      </c>
      <c r="J291" s="43" t="s">
        <v>349</v>
      </c>
      <c r="K291" s="49" t="s">
        <v>110</v>
      </c>
      <c r="L291" s="42" t="s">
        <v>177</v>
      </c>
      <c r="M291" s="55">
        <v>-1</v>
      </c>
      <c r="N291" s="49" t="s">
        <v>109</v>
      </c>
      <c r="O291" s="42" t="s">
        <v>175</v>
      </c>
      <c r="P291" s="60">
        <v>46237.701412037037</v>
      </c>
    </row>
    <row r="292" spans="2:16" x14ac:dyDescent="0.25">
      <c r="B292" s="57" t="s">
        <v>1116</v>
      </c>
      <c r="C292" s="49" t="s">
        <v>55</v>
      </c>
      <c r="D292" s="58">
        <v>46238</v>
      </c>
      <c r="E292" s="49" t="s">
        <v>388</v>
      </c>
      <c r="F292" s="56">
        <v>3.5</v>
      </c>
      <c r="G292" s="42" t="s">
        <v>1117</v>
      </c>
      <c r="H292" s="49"/>
      <c r="I292" s="59">
        <v>-3.5</v>
      </c>
      <c r="J292" s="43" t="s">
        <v>349</v>
      </c>
      <c r="K292" s="49" t="s">
        <v>110</v>
      </c>
      <c r="L292" s="42" t="s">
        <v>239</v>
      </c>
      <c r="M292" s="55">
        <v>-1</v>
      </c>
      <c r="N292" s="49" t="s">
        <v>109</v>
      </c>
      <c r="O292" s="42" t="s">
        <v>241</v>
      </c>
      <c r="P292" s="60">
        <v>46238.461585648147</v>
      </c>
    </row>
    <row r="293" spans="2:16" x14ac:dyDescent="0.25">
      <c r="B293" s="57" t="s">
        <v>1118</v>
      </c>
      <c r="C293" s="49" t="s">
        <v>55</v>
      </c>
      <c r="D293" s="58">
        <v>46238</v>
      </c>
      <c r="E293" s="49" t="s">
        <v>394</v>
      </c>
      <c r="F293" s="56">
        <v>7</v>
      </c>
      <c r="G293" s="42" t="s">
        <v>1119</v>
      </c>
      <c r="H293" s="49" t="s">
        <v>588</v>
      </c>
      <c r="I293" s="59">
        <v>-7</v>
      </c>
      <c r="J293" s="43" t="s">
        <v>349</v>
      </c>
      <c r="K293" s="49" t="s">
        <v>110</v>
      </c>
      <c r="L293" s="42" t="s">
        <v>181</v>
      </c>
      <c r="M293" s="55">
        <v>-1</v>
      </c>
      <c r="N293" s="49" t="s">
        <v>109</v>
      </c>
      <c r="O293" s="42" t="s">
        <v>250</v>
      </c>
      <c r="P293" s="60">
        <v>46238.682766203703</v>
      </c>
    </row>
    <row r="294" spans="2:16" x14ac:dyDescent="0.25">
      <c r="B294" s="57" t="s">
        <v>1120</v>
      </c>
      <c r="C294" s="49" t="s">
        <v>55</v>
      </c>
      <c r="D294" s="58">
        <v>46239</v>
      </c>
      <c r="E294" s="49" t="s">
        <v>374</v>
      </c>
      <c r="F294" s="56">
        <v>115.5</v>
      </c>
      <c r="G294" s="42" t="s">
        <v>1121</v>
      </c>
      <c r="H294" s="49"/>
      <c r="I294" s="59">
        <v>-115.5</v>
      </c>
      <c r="J294" s="43" t="s">
        <v>349</v>
      </c>
      <c r="K294" s="49" t="s">
        <v>112</v>
      </c>
      <c r="L294" s="42" t="s">
        <v>218</v>
      </c>
      <c r="M294" s="55">
        <v>-1</v>
      </c>
      <c r="N294" s="49" t="s">
        <v>111</v>
      </c>
      <c r="O294" s="42" t="s">
        <v>216</v>
      </c>
      <c r="P294" s="60">
        <v>46239.44363425926</v>
      </c>
    </row>
    <row r="295" spans="2:16" x14ac:dyDescent="0.25">
      <c r="B295" s="57" t="s">
        <v>1122</v>
      </c>
      <c r="C295" s="49" t="s">
        <v>55</v>
      </c>
      <c r="D295" s="58">
        <v>46240</v>
      </c>
      <c r="E295" s="49" t="s">
        <v>370</v>
      </c>
      <c r="F295" s="56">
        <v>19</v>
      </c>
      <c r="G295" s="42" t="s">
        <v>1123</v>
      </c>
      <c r="H295" s="49" t="s">
        <v>593</v>
      </c>
      <c r="I295" s="59">
        <v>-19</v>
      </c>
      <c r="J295" s="43" t="s">
        <v>349</v>
      </c>
      <c r="K295" s="49" t="s">
        <v>110</v>
      </c>
      <c r="L295" s="42" t="s">
        <v>181</v>
      </c>
      <c r="M295" s="55">
        <v>-1</v>
      </c>
      <c r="N295" s="49" t="s">
        <v>109</v>
      </c>
      <c r="O295" s="42" t="s">
        <v>210</v>
      </c>
      <c r="P295" s="60">
        <v>46240.336145833331</v>
      </c>
    </row>
    <row r="296" spans="2:16" x14ac:dyDescent="0.25">
      <c r="B296" s="57" t="s">
        <v>1124</v>
      </c>
      <c r="C296" s="49" t="s">
        <v>55</v>
      </c>
      <c r="D296" s="58">
        <v>46240</v>
      </c>
      <c r="E296" s="49" t="s">
        <v>378</v>
      </c>
      <c r="F296" s="56">
        <v>53</v>
      </c>
      <c r="G296" s="42" t="s">
        <v>1125</v>
      </c>
      <c r="H296" s="49" t="s">
        <v>593</v>
      </c>
      <c r="I296" s="59">
        <v>-53</v>
      </c>
      <c r="J296" s="43" t="s">
        <v>349</v>
      </c>
      <c r="K296" s="49" t="s">
        <v>112</v>
      </c>
      <c r="L296" s="42" t="s">
        <v>181</v>
      </c>
      <c r="M296" s="55">
        <v>-1</v>
      </c>
      <c r="N296" s="49" t="s">
        <v>111</v>
      </c>
      <c r="O296" s="42" t="s">
        <v>224</v>
      </c>
      <c r="P296" s="60">
        <v>46240.3981712963</v>
      </c>
    </row>
    <row r="297" spans="2:16" x14ac:dyDescent="0.25">
      <c r="B297" s="57" t="s">
        <v>1126</v>
      </c>
      <c r="C297" s="49" t="s">
        <v>55</v>
      </c>
      <c r="D297" s="58">
        <v>46240</v>
      </c>
      <c r="E297" s="49" t="s">
        <v>357</v>
      </c>
      <c r="F297" s="56">
        <v>22</v>
      </c>
      <c r="G297" s="42" t="s">
        <v>1127</v>
      </c>
      <c r="H297" s="49" t="s">
        <v>609</v>
      </c>
      <c r="I297" s="59">
        <v>-22</v>
      </c>
      <c r="J297" s="43" t="s">
        <v>349</v>
      </c>
      <c r="K297" s="49" t="s">
        <v>110</v>
      </c>
      <c r="L297" s="42" t="s">
        <v>181</v>
      </c>
      <c r="M297" s="55">
        <v>-1</v>
      </c>
      <c r="N297" s="49" t="s">
        <v>109</v>
      </c>
      <c r="O297" s="42" t="s">
        <v>186</v>
      </c>
      <c r="P297" s="60">
        <v>46240.641192129631</v>
      </c>
    </row>
    <row r="298" spans="2:16" x14ac:dyDescent="0.25">
      <c r="B298" s="57" t="s">
        <v>1128</v>
      </c>
      <c r="C298" s="49" t="s">
        <v>55</v>
      </c>
      <c r="D298" s="58">
        <v>46241</v>
      </c>
      <c r="E298" s="49" t="s">
        <v>374</v>
      </c>
      <c r="F298" s="56">
        <v>106.5</v>
      </c>
      <c r="G298" s="42" t="s">
        <v>1129</v>
      </c>
      <c r="H298" s="49"/>
      <c r="I298" s="59">
        <v>-106.5</v>
      </c>
      <c r="J298" s="43" t="s">
        <v>349</v>
      </c>
      <c r="K298" s="49" t="s">
        <v>110</v>
      </c>
      <c r="L298" s="42" t="s">
        <v>218</v>
      </c>
      <c r="M298" s="55">
        <v>-1</v>
      </c>
      <c r="N298" s="49" t="s">
        <v>109</v>
      </c>
      <c r="O298" s="42" t="s">
        <v>216</v>
      </c>
      <c r="P298" s="60">
        <v>46241.661759259259</v>
      </c>
    </row>
    <row r="299" spans="2:16" x14ac:dyDescent="0.25">
      <c r="B299" s="57" t="s">
        <v>1130</v>
      </c>
      <c r="C299" s="49" t="s">
        <v>55</v>
      </c>
      <c r="D299" s="58">
        <v>46241</v>
      </c>
      <c r="E299" s="49" t="s">
        <v>404</v>
      </c>
      <c r="F299" s="56">
        <v>5</v>
      </c>
      <c r="G299" s="42" t="s">
        <v>1131</v>
      </c>
      <c r="H299" s="49"/>
      <c r="I299" s="59">
        <v>-5</v>
      </c>
      <c r="J299" s="43" t="s">
        <v>349</v>
      </c>
      <c r="K299" s="49" t="s">
        <v>110</v>
      </c>
      <c r="L299" s="42" t="s">
        <v>173</v>
      </c>
      <c r="M299" s="55">
        <v>-1</v>
      </c>
      <c r="N299" s="49" t="s">
        <v>109</v>
      </c>
      <c r="O299" s="42" t="s">
        <v>267</v>
      </c>
      <c r="P299" s="60">
        <v>46241.664097222223</v>
      </c>
    </row>
    <row r="300" spans="2:16" x14ac:dyDescent="0.25">
      <c r="B300" s="57" t="s">
        <v>1132</v>
      </c>
      <c r="C300" s="49" t="s">
        <v>55</v>
      </c>
      <c r="D300" s="58">
        <v>46241</v>
      </c>
      <c r="E300" s="49" t="s">
        <v>370</v>
      </c>
      <c r="F300" s="56">
        <v>9</v>
      </c>
      <c r="G300" s="42" t="s">
        <v>1133</v>
      </c>
      <c r="H300" s="49" t="s">
        <v>612</v>
      </c>
      <c r="I300" s="59">
        <v>-9</v>
      </c>
      <c r="J300" s="43" t="s">
        <v>349</v>
      </c>
      <c r="K300" s="49" t="s">
        <v>110</v>
      </c>
      <c r="L300" s="42" t="s">
        <v>181</v>
      </c>
      <c r="M300" s="55">
        <v>-1</v>
      </c>
      <c r="N300" s="49" t="s">
        <v>109</v>
      </c>
      <c r="O300" s="42" t="s">
        <v>210</v>
      </c>
      <c r="P300" s="60">
        <v>46241.70579861111</v>
      </c>
    </row>
    <row r="301" spans="2:16" x14ac:dyDescent="0.25">
      <c r="B301" s="57" t="s">
        <v>1134</v>
      </c>
      <c r="C301" s="49" t="s">
        <v>55</v>
      </c>
      <c r="D301" s="58">
        <v>46242</v>
      </c>
      <c r="E301" s="49" t="s">
        <v>408</v>
      </c>
      <c r="F301" s="56">
        <v>6.5</v>
      </c>
      <c r="G301" s="42" t="s">
        <v>1135</v>
      </c>
      <c r="H301" s="49"/>
      <c r="I301" s="59">
        <v>-6.5</v>
      </c>
      <c r="J301" s="43" t="s">
        <v>349</v>
      </c>
      <c r="K301" s="49" t="s">
        <v>110</v>
      </c>
      <c r="L301" s="42" t="s">
        <v>276</v>
      </c>
      <c r="M301" s="55">
        <v>-1</v>
      </c>
      <c r="N301" s="49" t="s">
        <v>109</v>
      </c>
      <c r="O301" s="42" t="s">
        <v>274</v>
      </c>
      <c r="P301" s="60">
        <v>46242.458402777767</v>
      </c>
    </row>
    <row r="302" spans="2:16" x14ac:dyDescent="0.25">
      <c r="B302" s="57" t="s">
        <v>1136</v>
      </c>
      <c r="C302" s="49" t="s">
        <v>55</v>
      </c>
      <c r="D302" s="58">
        <v>46242</v>
      </c>
      <c r="E302" s="49" t="s">
        <v>388</v>
      </c>
      <c r="F302" s="56">
        <v>3.5</v>
      </c>
      <c r="G302" s="42" t="s">
        <v>1137</v>
      </c>
      <c r="H302" s="49"/>
      <c r="I302" s="59">
        <v>-3.5</v>
      </c>
      <c r="J302" s="43" t="s">
        <v>349</v>
      </c>
      <c r="K302" s="49" t="s">
        <v>110</v>
      </c>
      <c r="L302" s="42" t="s">
        <v>239</v>
      </c>
      <c r="M302" s="55">
        <v>-1</v>
      </c>
      <c r="N302" s="49" t="s">
        <v>109</v>
      </c>
      <c r="O302" s="42" t="s">
        <v>241</v>
      </c>
      <c r="P302" s="60">
        <v>46242.619571759264</v>
      </c>
    </row>
    <row r="303" spans="2:16" x14ac:dyDescent="0.25">
      <c r="B303" s="57" t="s">
        <v>1138</v>
      </c>
      <c r="C303" s="49" t="s">
        <v>55</v>
      </c>
      <c r="D303" s="58">
        <v>46242</v>
      </c>
      <c r="E303" s="49" t="s">
        <v>378</v>
      </c>
      <c r="F303" s="56">
        <v>35</v>
      </c>
      <c r="G303" s="42" t="s">
        <v>1139</v>
      </c>
      <c r="H303" s="49" t="s">
        <v>588</v>
      </c>
      <c r="I303" s="59">
        <v>-35</v>
      </c>
      <c r="J303" s="43" t="s">
        <v>349</v>
      </c>
      <c r="K303" s="49" t="s">
        <v>110</v>
      </c>
      <c r="L303" s="42" t="s">
        <v>181</v>
      </c>
      <c r="M303" s="55">
        <v>-1</v>
      </c>
      <c r="N303" s="49" t="s">
        <v>109</v>
      </c>
      <c r="O303" s="42" t="s">
        <v>224</v>
      </c>
      <c r="P303" s="60">
        <v>46242.712476851862</v>
      </c>
    </row>
    <row r="304" spans="2:16" x14ac:dyDescent="0.25">
      <c r="B304" s="57" t="s">
        <v>1140</v>
      </c>
      <c r="C304" s="49" t="s">
        <v>55</v>
      </c>
      <c r="D304" s="58">
        <v>46244</v>
      </c>
      <c r="E304" s="49" t="s">
        <v>384</v>
      </c>
      <c r="F304" s="56">
        <v>48</v>
      </c>
      <c r="G304" s="42" t="s">
        <v>1141</v>
      </c>
      <c r="H304" s="49" t="s">
        <v>593</v>
      </c>
      <c r="I304" s="59">
        <v>-48</v>
      </c>
      <c r="J304" s="43" t="s">
        <v>349</v>
      </c>
      <c r="K304" s="49" t="s">
        <v>110</v>
      </c>
      <c r="L304" s="42" t="s">
        <v>181</v>
      </c>
      <c r="M304" s="55">
        <v>-1</v>
      </c>
      <c r="N304" s="49" t="s">
        <v>109</v>
      </c>
      <c r="O304" s="42" t="s">
        <v>233</v>
      </c>
      <c r="P304" s="60">
        <v>46244.605416666673</v>
      </c>
    </row>
    <row r="305" spans="2:16" x14ac:dyDescent="0.25">
      <c r="B305" s="57" t="s">
        <v>1142</v>
      </c>
      <c r="C305" s="49" t="s">
        <v>55</v>
      </c>
      <c r="D305" s="58">
        <v>46244</v>
      </c>
      <c r="E305" s="49" t="s">
        <v>410</v>
      </c>
      <c r="F305" s="56">
        <v>14</v>
      </c>
      <c r="G305" s="42" t="s">
        <v>1143</v>
      </c>
      <c r="H305" s="49" t="s">
        <v>612</v>
      </c>
      <c r="I305" s="59">
        <v>-14</v>
      </c>
      <c r="J305" s="43" t="s">
        <v>349</v>
      </c>
      <c r="K305" s="49" t="s">
        <v>112</v>
      </c>
      <c r="L305" s="42" t="s">
        <v>177</v>
      </c>
      <c r="M305" s="55">
        <v>-1</v>
      </c>
      <c r="N305" s="49" t="s">
        <v>111</v>
      </c>
      <c r="O305" s="42" t="s">
        <v>278</v>
      </c>
      <c r="P305" s="60">
        <v>46244.609386574077</v>
      </c>
    </row>
    <row r="306" spans="2:16" x14ac:dyDescent="0.25">
      <c r="B306" s="57" t="s">
        <v>1144</v>
      </c>
      <c r="C306" s="49" t="s">
        <v>55</v>
      </c>
      <c r="D306" s="58">
        <v>46244</v>
      </c>
      <c r="E306" s="49" t="s">
        <v>414</v>
      </c>
      <c r="F306" s="56">
        <v>16</v>
      </c>
      <c r="G306" s="42" t="s">
        <v>1145</v>
      </c>
      <c r="H306" s="49" t="s">
        <v>593</v>
      </c>
      <c r="I306" s="59">
        <v>-16</v>
      </c>
      <c r="J306" s="43" t="s">
        <v>349</v>
      </c>
      <c r="K306" s="49" t="s">
        <v>110</v>
      </c>
      <c r="L306" s="42" t="s">
        <v>286</v>
      </c>
      <c r="M306" s="55">
        <v>-1</v>
      </c>
      <c r="N306" s="49" t="s">
        <v>109</v>
      </c>
      <c r="O306" s="42" t="s">
        <v>284</v>
      </c>
      <c r="P306" s="60">
        <v>46244.690972222219</v>
      </c>
    </row>
    <row r="307" spans="2:16" x14ac:dyDescent="0.25">
      <c r="B307" s="57" t="s">
        <v>1146</v>
      </c>
      <c r="C307" s="49" t="s">
        <v>55</v>
      </c>
      <c r="D307" s="58">
        <v>46245</v>
      </c>
      <c r="E307" s="49" t="s">
        <v>364</v>
      </c>
      <c r="F307" s="56">
        <v>33</v>
      </c>
      <c r="G307" s="42" t="s">
        <v>1147</v>
      </c>
      <c r="H307" s="49" t="s">
        <v>609</v>
      </c>
      <c r="I307" s="59">
        <v>-33</v>
      </c>
      <c r="J307" s="43" t="s">
        <v>349</v>
      </c>
      <c r="K307" s="49" t="s">
        <v>110</v>
      </c>
      <c r="L307" s="42" t="s">
        <v>181</v>
      </c>
      <c r="M307" s="55">
        <v>-1</v>
      </c>
      <c r="N307" s="49" t="s">
        <v>109</v>
      </c>
      <c r="O307" s="42" t="s">
        <v>201</v>
      </c>
      <c r="P307" s="60">
        <v>46245.324618055558</v>
      </c>
    </row>
    <row r="308" spans="2:16" x14ac:dyDescent="0.25">
      <c r="B308" s="57" t="s">
        <v>1148</v>
      </c>
      <c r="C308" s="49" t="s">
        <v>55</v>
      </c>
      <c r="D308" s="58">
        <v>46245</v>
      </c>
      <c r="E308" s="49" t="s">
        <v>384</v>
      </c>
      <c r="F308" s="56">
        <v>21</v>
      </c>
      <c r="G308" s="42" t="s">
        <v>1149</v>
      </c>
      <c r="H308" s="49" t="s">
        <v>585</v>
      </c>
      <c r="I308" s="59">
        <v>-21</v>
      </c>
      <c r="J308" s="43" t="s">
        <v>349</v>
      </c>
      <c r="K308" s="49" t="s">
        <v>110</v>
      </c>
      <c r="L308" s="42" t="s">
        <v>181</v>
      </c>
      <c r="M308" s="55">
        <v>-1</v>
      </c>
      <c r="N308" s="49" t="s">
        <v>109</v>
      </c>
      <c r="O308" s="42" t="s">
        <v>233</v>
      </c>
      <c r="P308" s="60">
        <v>46245.551747685182</v>
      </c>
    </row>
    <row r="309" spans="2:16" x14ac:dyDescent="0.25">
      <c r="B309" s="57" t="s">
        <v>1150</v>
      </c>
      <c r="C309" s="49" t="s">
        <v>55</v>
      </c>
      <c r="D309" s="58">
        <v>46245</v>
      </c>
      <c r="E309" s="49" t="s">
        <v>394</v>
      </c>
      <c r="F309" s="56">
        <v>9</v>
      </c>
      <c r="G309" s="42" t="s">
        <v>1151</v>
      </c>
      <c r="H309" s="49" t="s">
        <v>593</v>
      </c>
      <c r="I309" s="59">
        <v>-9</v>
      </c>
      <c r="J309" s="43" t="s">
        <v>349</v>
      </c>
      <c r="K309" s="49" t="s">
        <v>110</v>
      </c>
      <c r="L309" s="42" t="s">
        <v>181</v>
      </c>
      <c r="M309" s="55">
        <v>-1</v>
      </c>
      <c r="N309" s="49" t="s">
        <v>109</v>
      </c>
      <c r="O309" s="42" t="s">
        <v>250</v>
      </c>
      <c r="P309" s="60">
        <v>46245.566493055558</v>
      </c>
    </row>
    <row r="310" spans="2:16" x14ac:dyDescent="0.25">
      <c r="B310" s="57" t="s">
        <v>1152</v>
      </c>
      <c r="C310" s="49" t="s">
        <v>55</v>
      </c>
      <c r="D310" s="58">
        <v>46246</v>
      </c>
      <c r="E310" s="49" t="s">
        <v>372</v>
      </c>
      <c r="F310" s="56">
        <v>12</v>
      </c>
      <c r="G310" s="42" t="s">
        <v>1153</v>
      </c>
      <c r="H310" s="49"/>
      <c r="I310" s="59">
        <v>-12</v>
      </c>
      <c r="J310" s="43" t="s">
        <v>349</v>
      </c>
      <c r="K310" s="49" t="s">
        <v>112</v>
      </c>
      <c r="L310" s="42" t="s">
        <v>181</v>
      </c>
      <c r="M310" s="55">
        <v>-1</v>
      </c>
      <c r="N310" s="49" t="s">
        <v>111</v>
      </c>
      <c r="O310" s="42" t="s">
        <v>213</v>
      </c>
      <c r="P310" s="60">
        <v>46246.343009259261</v>
      </c>
    </row>
    <row r="311" spans="2:16" x14ac:dyDescent="0.25">
      <c r="B311" s="57" t="s">
        <v>1154</v>
      </c>
      <c r="C311" s="49" t="s">
        <v>55</v>
      </c>
      <c r="D311" s="58">
        <v>46246</v>
      </c>
      <c r="E311" s="49" t="s">
        <v>376</v>
      </c>
      <c r="F311" s="56">
        <v>10</v>
      </c>
      <c r="G311" s="42" t="s">
        <v>1155</v>
      </c>
      <c r="H311" s="49" t="s">
        <v>615</v>
      </c>
      <c r="I311" s="59">
        <v>-10</v>
      </c>
      <c r="J311" s="43" t="s">
        <v>349</v>
      </c>
      <c r="K311" s="49" t="s">
        <v>110</v>
      </c>
      <c r="L311" s="42" t="s">
        <v>181</v>
      </c>
      <c r="M311" s="55">
        <v>-1</v>
      </c>
      <c r="N311" s="49" t="s">
        <v>109</v>
      </c>
      <c r="O311" s="42" t="s">
        <v>220</v>
      </c>
      <c r="P311" s="60">
        <v>46246.431793981479</v>
      </c>
    </row>
    <row r="312" spans="2:16" x14ac:dyDescent="0.25">
      <c r="B312" s="57" t="s">
        <v>1156</v>
      </c>
      <c r="C312" s="49" t="s">
        <v>55</v>
      </c>
      <c r="D312" s="58">
        <v>46246</v>
      </c>
      <c r="E312" s="49" t="s">
        <v>366</v>
      </c>
      <c r="F312" s="56">
        <v>8</v>
      </c>
      <c r="G312" s="42" t="s">
        <v>1157</v>
      </c>
      <c r="H312" s="49"/>
      <c r="I312" s="59">
        <v>-8</v>
      </c>
      <c r="J312" s="43" t="s">
        <v>349</v>
      </c>
      <c r="K312" s="49" t="s">
        <v>110</v>
      </c>
      <c r="L312" s="42" t="s">
        <v>181</v>
      </c>
      <c r="M312" s="55">
        <v>-1</v>
      </c>
      <c r="N312" s="49" t="s">
        <v>109</v>
      </c>
      <c r="O312" s="42" t="s">
        <v>204</v>
      </c>
      <c r="P312" s="60">
        <v>46246.435347222221</v>
      </c>
    </row>
    <row r="313" spans="2:16" x14ac:dyDescent="0.25">
      <c r="B313" s="57" t="s">
        <v>1158</v>
      </c>
      <c r="C313" s="49" t="s">
        <v>55</v>
      </c>
      <c r="D313" s="58">
        <v>46246</v>
      </c>
      <c r="E313" s="49" t="s">
        <v>366</v>
      </c>
      <c r="F313" s="56">
        <v>15</v>
      </c>
      <c r="G313" s="42" t="s">
        <v>1159</v>
      </c>
      <c r="H313" s="49"/>
      <c r="I313" s="59">
        <v>-15</v>
      </c>
      <c r="J313" s="43" t="s">
        <v>349</v>
      </c>
      <c r="K313" s="49" t="s">
        <v>112</v>
      </c>
      <c r="L313" s="42" t="s">
        <v>181</v>
      </c>
      <c r="M313" s="55">
        <v>-1</v>
      </c>
      <c r="N313" s="49" t="s">
        <v>111</v>
      </c>
      <c r="O313" s="42" t="s">
        <v>204</v>
      </c>
      <c r="P313" s="60">
        <v>46246.710381944453</v>
      </c>
    </row>
    <row r="314" spans="2:16" x14ac:dyDescent="0.25">
      <c r="B314" s="57" t="s">
        <v>1160</v>
      </c>
      <c r="C314" s="49" t="s">
        <v>55</v>
      </c>
      <c r="D314" s="58">
        <v>46247</v>
      </c>
      <c r="E314" s="49" t="s">
        <v>378</v>
      </c>
      <c r="F314" s="56">
        <v>47</v>
      </c>
      <c r="G314" s="42" t="s">
        <v>1161</v>
      </c>
      <c r="H314" s="49" t="s">
        <v>588</v>
      </c>
      <c r="I314" s="59">
        <v>-47</v>
      </c>
      <c r="J314" s="43" t="s">
        <v>349</v>
      </c>
      <c r="K314" s="49" t="s">
        <v>112</v>
      </c>
      <c r="L314" s="42" t="s">
        <v>181</v>
      </c>
      <c r="M314" s="55">
        <v>-1</v>
      </c>
      <c r="N314" s="49" t="s">
        <v>111</v>
      </c>
      <c r="O314" s="42" t="s">
        <v>224</v>
      </c>
      <c r="P314" s="60">
        <v>46247.473819444444</v>
      </c>
    </row>
    <row r="315" spans="2:16" x14ac:dyDescent="0.25">
      <c r="B315" s="57" t="s">
        <v>1162</v>
      </c>
      <c r="C315" s="49" t="s">
        <v>55</v>
      </c>
      <c r="D315" s="58">
        <v>46247</v>
      </c>
      <c r="E315" s="49" t="s">
        <v>386</v>
      </c>
      <c r="F315" s="56">
        <v>7</v>
      </c>
      <c r="G315" s="42" t="s">
        <v>1163</v>
      </c>
      <c r="H315" s="49" t="s">
        <v>593</v>
      </c>
      <c r="I315" s="59">
        <v>-7</v>
      </c>
      <c r="J315" s="43" t="s">
        <v>349</v>
      </c>
      <c r="K315" s="49" t="s">
        <v>110</v>
      </c>
      <c r="L315" s="42" t="s">
        <v>239</v>
      </c>
      <c r="M315" s="55">
        <v>-1</v>
      </c>
      <c r="N315" s="49" t="s">
        <v>109</v>
      </c>
      <c r="O315" s="42" t="s">
        <v>236</v>
      </c>
      <c r="P315" s="60">
        <v>46247.614895833343</v>
      </c>
    </row>
    <row r="316" spans="2:16" x14ac:dyDescent="0.25">
      <c r="B316" s="57" t="s">
        <v>1164</v>
      </c>
      <c r="C316" s="49" t="s">
        <v>55</v>
      </c>
      <c r="D316" s="58">
        <v>46248</v>
      </c>
      <c r="E316" s="49" t="s">
        <v>372</v>
      </c>
      <c r="F316" s="56">
        <v>10</v>
      </c>
      <c r="G316" s="42" t="s">
        <v>1165</v>
      </c>
      <c r="H316" s="49" t="s">
        <v>609</v>
      </c>
      <c r="I316" s="59">
        <v>-10</v>
      </c>
      <c r="J316" s="43" t="s">
        <v>349</v>
      </c>
      <c r="K316" s="49" t="s">
        <v>112</v>
      </c>
      <c r="L316" s="42" t="s">
        <v>181</v>
      </c>
      <c r="M316" s="55">
        <v>-1</v>
      </c>
      <c r="N316" s="49" t="s">
        <v>111</v>
      </c>
      <c r="O316" s="42" t="s">
        <v>213</v>
      </c>
      <c r="P316" s="60">
        <v>46248.494004629632</v>
      </c>
    </row>
    <row r="317" spans="2:16" x14ac:dyDescent="0.25">
      <c r="B317" s="57" t="s">
        <v>1166</v>
      </c>
      <c r="C317" s="49" t="s">
        <v>55</v>
      </c>
      <c r="D317" s="58">
        <v>46249</v>
      </c>
      <c r="E317" s="49" t="s">
        <v>346</v>
      </c>
      <c r="F317" s="56">
        <v>20</v>
      </c>
      <c r="G317" s="42" t="s">
        <v>1167</v>
      </c>
      <c r="H317" s="49"/>
      <c r="I317" s="59">
        <v>-20</v>
      </c>
      <c r="J317" s="43" t="s">
        <v>349</v>
      </c>
      <c r="K317" s="49" t="s">
        <v>110</v>
      </c>
      <c r="L317" s="42" t="s">
        <v>173</v>
      </c>
      <c r="M317" s="55">
        <v>-1</v>
      </c>
      <c r="N317" s="49" t="s">
        <v>109</v>
      </c>
      <c r="O317" s="42" t="s">
        <v>170</v>
      </c>
      <c r="P317" s="60">
        <v>46249.353576388887</v>
      </c>
    </row>
    <row r="318" spans="2:16" x14ac:dyDescent="0.25">
      <c r="B318" s="57" t="s">
        <v>1168</v>
      </c>
      <c r="C318" s="49" t="s">
        <v>55</v>
      </c>
      <c r="D318" s="58">
        <v>46251</v>
      </c>
      <c r="E318" s="49" t="s">
        <v>366</v>
      </c>
      <c r="F318" s="56">
        <v>15</v>
      </c>
      <c r="G318" s="42" t="s">
        <v>1169</v>
      </c>
      <c r="H318" s="49" t="s">
        <v>615</v>
      </c>
      <c r="I318" s="59">
        <v>-15</v>
      </c>
      <c r="J318" s="43" t="s">
        <v>349</v>
      </c>
      <c r="K318" s="49" t="s">
        <v>112</v>
      </c>
      <c r="L318" s="42" t="s">
        <v>181</v>
      </c>
      <c r="M318" s="55">
        <v>-1</v>
      </c>
      <c r="N318" s="49" t="s">
        <v>111</v>
      </c>
      <c r="O318" s="42" t="s">
        <v>204</v>
      </c>
      <c r="P318" s="60">
        <v>46251.616516203707</v>
      </c>
    </row>
    <row r="319" spans="2:16" x14ac:dyDescent="0.25">
      <c r="B319" s="57" t="s">
        <v>1170</v>
      </c>
      <c r="C319" s="49" t="s">
        <v>55</v>
      </c>
      <c r="D319" s="58">
        <v>46251</v>
      </c>
      <c r="E319" s="49" t="s">
        <v>374</v>
      </c>
      <c r="F319" s="56">
        <v>74</v>
      </c>
      <c r="G319" s="42" t="s">
        <v>1171</v>
      </c>
      <c r="H319" s="49" t="s">
        <v>612</v>
      </c>
      <c r="I319" s="59">
        <v>-74</v>
      </c>
      <c r="J319" s="43" t="s">
        <v>349</v>
      </c>
      <c r="K319" s="49" t="s">
        <v>110</v>
      </c>
      <c r="L319" s="42" t="s">
        <v>218</v>
      </c>
      <c r="M319" s="55">
        <v>-1</v>
      </c>
      <c r="N319" s="49" t="s">
        <v>109</v>
      </c>
      <c r="O319" s="42" t="s">
        <v>216</v>
      </c>
      <c r="P319" s="60">
        <v>46251.673171296286</v>
      </c>
    </row>
    <row r="320" spans="2:16" x14ac:dyDescent="0.25">
      <c r="B320" s="57" t="s">
        <v>1172</v>
      </c>
      <c r="C320" s="49" t="s">
        <v>55</v>
      </c>
      <c r="D320" s="58">
        <v>46251</v>
      </c>
      <c r="E320" s="49" t="s">
        <v>410</v>
      </c>
      <c r="F320" s="56">
        <v>3</v>
      </c>
      <c r="G320" s="42" t="s">
        <v>1173</v>
      </c>
      <c r="H320" s="49" t="s">
        <v>585</v>
      </c>
      <c r="I320" s="59">
        <v>-3</v>
      </c>
      <c r="J320" s="43" t="s">
        <v>349</v>
      </c>
      <c r="K320" s="49" t="s">
        <v>110</v>
      </c>
      <c r="L320" s="42" t="s">
        <v>177</v>
      </c>
      <c r="M320" s="55">
        <v>-1</v>
      </c>
      <c r="N320" s="49" t="s">
        <v>109</v>
      </c>
      <c r="O320" s="42" t="s">
        <v>278</v>
      </c>
      <c r="P320" s="60">
        <v>46251.679282407407</v>
      </c>
    </row>
    <row r="321" spans="2:16" x14ac:dyDescent="0.25">
      <c r="B321" s="57" t="s">
        <v>1174</v>
      </c>
      <c r="C321" s="49" t="s">
        <v>55</v>
      </c>
      <c r="D321" s="58">
        <v>46251</v>
      </c>
      <c r="E321" s="49" t="s">
        <v>410</v>
      </c>
      <c r="F321" s="56">
        <v>37</v>
      </c>
      <c r="G321" s="42" t="s">
        <v>1175</v>
      </c>
      <c r="H321" s="49" t="s">
        <v>612</v>
      </c>
      <c r="I321" s="59">
        <v>-37</v>
      </c>
      <c r="J321" s="43" t="s">
        <v>349</v>
      </c>
      <c r="K321" s="49" t="s">
        <v>112</v>
      </c>
      <c r="L321" s="42" t="s">
        <v>177</v>
      </c>
      <c r="M321" s="55">
        <v>-1</v>
      </c>
      <c r="N321" s="49" t="s">
        <v>111</v>
      </c>
      <c r="O321" s="42" t="s">
        <v>278</v>
      </c>
      <c r="P321" s="60">
        <v>46251.683842592603</v>
      </c>
    </row>
    <row r="322" spans="2:16" x14ac:dyDescent="0.25">
      <c r="B322" s="57" t="s">
        <v>1176</v>
      </c>
      <c r="C322" s="49" t="s">
        <v>55</v>
      </c>
      <c r="D322" s="58">
        <v>46252</v>
      </c>
      <c r="E322" s="49" t="s">
        <v>388</v>
      </c>
      <c r="F322" s="56">
        <v>5.5</v>
      </c>
      <c r="G322" s="42" t="s">
        <v>1177</v>
      </c>
      <c r="H322" s="49" t="s">
        <v>585</v>
      </c>
      <c r="I322" s="59">
        <v>-5.5</v>
      </c>
      <c r="J322" s="43" t="s">
        <v>349</v>
      </c>
      <c r="K322" s="49" t="s">
        <v>110</v>
      </c>
      <c r="L322" s="42" t="s">
        <v>239</v>
      </c>
      <c r="M322" s="55">
        <v>-1</v>
      </c>
      <c r="N322" s="49" t="s">
        <v>109</v>
      </c>
      <c r="O322" s="42" t="s">
        <v>241</v>
      </c>
      <c r="P322" s="60">
        <v>46252.32366898148</v>
      </c>
    </row>
    <row r="323" spans="2:16" x14ac:dyDescent="0.25">
      <c r="B323" s="57" t="s">
        <v>1178</v>
      </c>
      <c r="C323" s="49" t="s">
        <v>55</v>
      </c>
      <c r="D323" s="58">
        <v>46252</v>
      </c>
      <c r="E323" s="49" t="s">
        <v>374</v>
      </c>
      <c r="F323" s="56">
        <v>62</v>
      </c>
      <c r="G323" s="42" t="s">
        <v>1179</v>
      </c>
      <c r="H323" s="49" t="s">
        <v>593</v>
      </c>
      <c r="I323" s="59">
        <v>-62</v>
      </c>
      <c r="J323" s="43" t="s">
        <v>349</v>
      </c>
      <c r="K323" s="49" t="s">
        <v>110</v>
      </c>
      <c r="L323" s="42" t="s">
        <v>218</v>
      </c>
      <c r="M323" s="55">
        <v>-1</v>
      </c>
      <c r="N323" s="49" t="s">
        <v>109</v>
      </c>
      <c r="O323" s="42" t="s">
        <v>216</v>
      </c>
      <c r="P323" s="60">
        <v>46252.391759259262</v>
      </c>
    </row>
    <row r="324" spans="2:16" x14ac:dyDescent="0.25">
      <c r="B324" s="57" t="s">
        <v>1180</v>
      </c>
      <c r="C324" s="49" t="s">
        <v>55</v>
      </c>
      <c r="D324" s="58">
        <v>46252</v>
      </c>
      <c r="E324" s="49" t="s">
        <v>378</v>
      </c>
      <c r="F324" s="56">
        <v>20</v>
      </c>
      <c r="G324" s="42" t="s">
        <v>1181</v>
      </c>
      <c r="H324" s="49"/>
      <c r="I324" s="59">
        <v>-20</v>
      </c>
      <c r="J324" s="43" t="s">
        <v>349</v>
      </c>
      <c r="K324" s="49" t="s">
        <v>112</v>
      </c>
      <c r="L324" s="42" t="s">
        <v>181</v>
      </c>
      <c r="M324" s="55">
        <v>-1</v>
      </c>
      <c r="N324" s="49" t="s">
        <v>111</v>
      </c>
      <c r="O324" s="42" t="s">
        <v>224</v>
      </c>
      <c r="P324" s="60">
        <v>46252.70040509259</v>
      </c>
    </row>
    <row r="325" spans="2:16" x14ac:dyDescent="0.25">
      <c r="B325" s="57" t="s">
        <v>1182</v>
      </c>
      <c r="C325" s="49" t="s">
        <v>55</v>
      </c>
      <c r="D325" s="58">
        <v>46253</v>
      </c>
      <c r="E325" s="49" t="s">
        <v>402</v>
      </c>
      <c r="F325" s="56">
        <v>5</v>
      </c>
      <c r="G325" s="42" t="s">
        <v>1183</v>
      </c>
      <c r="H325" s="49"/>
      <c r="I325" s="59">
        <v>-5</v>
      </c>
      <c r="J325" s="43" t="s">
        <v>349</v>
      </c>
      <c r="K325" s="49" t="s">
        <v>112</v>
      </c>
      <c r="L325" s="42" t="s">
        <v>256</v>
      </c>
      <c r="M325" s="55">
        <v>-1</v>
      </c>
      <c r="N325" s="49" t="s">
        <v>111</v>
      </c>
      <c r="O325" s="42" t="s">
        <v>264</v>
      </c>
      <c r="P325" s="60">
        <v>46253.335173611107</v>
      </c>
    </row>
    <row r="326" spans="2:16" x14ac:dyDescent="0.25">
      <c r="B326" s="57" t="s">
        <v>1184</v>
      </c>
      <c r="C326" s="49" t="s">
        <v>55</v>
      </c>
      <c r="D326" s="58">
        <v>46253</v>
      </c>
      <c r="E326" s="49" t="s">
        <v>353</v>
      </c>
      <c r="F326" s="56">
        <v>5</v>
      </c>
      <c r="G326" s="42" t="s">
        <v>1185</v>
      </c>
      <c r="H326" s="49" t="s">
        <v>609</v>
      </c>
      <c r="I326" s="59">
        <v>-5</v>
      </c>
      <c r="J326" s="43" t="s">
        <v>349</v>
      </c>
      <c r="K326" s="49" t="s">
        <v>112</v>
      </c>
      <c r="L326" s="42" t="s">
        <v>181</v>
      </c>
      <c r="M326" s="55">
        <v>-1</v>
      </c>
      <c r="N326" s="49" t="s">
        <v>111</v>
      </c>
      <c r="O326" s="42" t="s">
        <v>179</v>
      </c>
      <c r="P326" s="60">
        <v>46253.462418981479</v>
      </c>
    </row>
    <row r="327" spans="2:16" x14ac:dyDescent="0.25">
      <c r="B327" s="57" t="s">
        <v>1186</v>
      </c>
      <c r="C327" s="49" t="s">
        <v>55</v>
      </c>
      <c r="D327" s="58">
        <v>46253</v>
      </c>
      <c r="E327" s="49" t="s">
        <v>378</v>
      </c>
      <c r="F327" s="56">
        <v>47</v>
      </c>
      <c r="G327" s="42" t="s">
        <v>1187</v>
      </c>
      <c r="H327" s="49"/>
      <c r="I327" s="59">
        <v>-47</v>
      </c>
      <c r="J327" s="43" t="s">
        <v>349</v>
      </c>
      <c r="K327" s="49" t="s">
        <v>110</v>
      </c>
      <c r="L327" s="42" t="s">
        <v>181</v>
      </c>
      <c r="M327" s="55">
        <v>-1</v>
      </c>
      <c r="N327" s="49" t="s">
        <v>109</v>
      </c>
      <c r="O327" s="42" t="s">
        <v>224</v>
      </c>
      <c r="P327" s="60">
        <v>46253.68644675926</v>
      </c>
    </row>
    <row r="328" spans="2:16" x14ac:dyDescent="0.25">
      <c r="B328" s="57" t="s">
        <v>1188</v>
      </c>
      <c r="C328" s="49" t="s">
        <v>55</v>
      </c>
      <c r="D328" s="58">
        <v>46254</v>
      </c>
      <c r="E328" s="49" t="s">
        <v>414</v>
      </c>
      <c r="F328" s="56">
        <v>23.5</v>
      </c>
      <c r="G328" s="42" t="s">
        <v>1189</v>
      </c>
      <c r="H328" s="49" t="s">
        <v>593</v>
      </c>
      <c r="I328" s="59">
        <v>-23.5</v>
      </c>
      <c r="J328" s="43" t="s">
        <v>349</v>
      </c>
      <c r="K328" s="49" t="s">
        <v>112</v>
      </c>
      <c r="L328" s="42" t="s">
        <v>286</v>
      </c>
      <c r="M328" s="55">
        <v>-1</v>
      </c>
      <c r="N328" s="49" t="s">
        <v>111</v>
      </c>
      <c r="O328" s="42" t="s">
        <v>284</v>
      </c>
      <c r="P328" s="60">
        <v>46254.703877314823</v>
      </c>
    </row>
    <row r="329" spans="2:16" x14ac:dyDescent="0.25">
      <c r="B329" s="57" t="s">
        <v>1190</v>
      </c>
      <c r="C329" s="49" t="s">
        <v>55</v>
      </c>
      <c r="D329" s="58">
        <v>46255</v>
      </c>
      <c r="E329" s="49" t="s">
        <v>353</v>
      </c>
      <c r="F329" s="56">
        <v>4</v>
      </c>
      <c r="G329" s="42" t="s">
        <v>1191</v>
      </c>
      <c r="H329" s="49"/>
      <c r="I329" s="59">
        <v>-4</v>
      </c>
      <c r="J329" s="43" t="s">
        <v>349</v>
      </c>
      <c r="K329" s="49" t="s">
        <v>110</v>
      </c>
      <c r="L329" s="42" t="s">
        <v>181</v>
      </c>
      <c r="M329" s="55">
        <v>-1</v>
      </c>
      <c r="N329" s="49" t="s">
        <v>109</v>
      </c>
      <c r="O329" s="42" t="s">
        <v>179</v>
      </c>
      <c r="P329" s="60">
        <v>46255.316631944443</v>
      </c>
    </row>
    <row r="330" spans="2:16" x14ac:dyDescent="0.25">
      <c r="B330" s="57" t="s">
        <v>1192</v>
      </c>
      <c r="C330" s="49" t="s">
        <v>55</v>
      </c>
      <c r="D330" s="58">
        <v>46256</v>
      </c>
      <c r="E330" s="49" t="s">
        <v>378</v>
      </c>
      <c r="F330" s="56">
        <v>48</v>
      </c>
      <c r="G330" s="42" t="s">
        <v>1193</v>
      </c>
      <c r="H330" s="49" t="s">
        <v>609</v>
      </c>
      <c r="I330" s="59">
        <v>-48</v>
      </c>
      <c r="J330" s="43" t="s">
        <v>349</v>
      </c>
      <c r="K330" s="49" t="s">
        <v>112</v>
      </c>
      <c r="L330" s="42" t="s">
        <v>181</v>
      </c>
      <c r="M330" s="55">
        <v>-1</v>
      </c>
      <c r="N330" s="49" t="s">
        <v>111</v>
      </c>
      <c r="O330" s="42" t="s">
        <v>224</v>
      </c>
      <c r="P330" s="60">
        <v>46256.394699074073</v>
      </c>
    </row>
    <row r="331" spans="2:16" x14ac:dyDescent="0.25">
      <c r="B331" s="57" t="s">
        <v>1194</v>
      </c>
      <c r="C331" s="49" t="s">
        <v>55</v>
      </c>
      <c r="D331" s="58">
        <v>46256</v>
      </c>
      <c r="E331" s="49" t="s">
        <v>392</v>
      </c>
      <c r="F331" s="56">
        <v>8</v>
      </c>
      <c r="G331" s="42" t="s">
        <v>1195</v>
      </c>
      <c r="H331" s="49" t="s">
        <v>593</v>
      </c>
      <c r="I331" s="59">
        <v>-8</v>
      </c>
      <c r="J331" s="43" t="s">
        <v>349</v>
      </c>
      <c r="K331" s="49" t="s">
        <v>110</v>
      </c>
      <c r="L331" s="42" t="s">
        <v>181</v>
      </c>
      <c r="M331" s="55">
        <v>-1</v>
      </c>
      <c r="N331" s="49" t="s">
        <v>109</v>
      </c>
      <c r="O331" s="42" t="s">
        <v>247</v>
      </c>
      <c r="P331" s="60">
        <v>46256.605821759258</v>
      </c>
    </row>
    <row r="332" spans="2:16" x14ac:dyDescent="0.25">
      <c r="B332" s="57" t="s">
        <v>1196</v>
      </c>
      <c r="C332" s="49" t="s">
        <v>55</v>
      </c>
      <c r="D332" s="58">
        <v>46258</v>
      </c>
      <c r="E332" s="49" t="s">
        <v>366</v>
      </c>
      <c r="F332" s="56">
        <v>16</v>
      </c>
      <c r="G332" s="42" t="s">
        <v>1197</v>
      </c>
      <c r="H332" s="49" t="s">
        <v>671</v>
      </c>
      <c r="I332" s="59">
        <v>-16</v>
      </c>
      <c r="J332" s="43" t="s">
        <v>349</v>
      </c>
      <c r="K332" s="49" t="s">
        <v>112</v>
      </c>
      <c r="L332" s="42" t="s">
        <v>181</v>
      </c>
      <c r="M332" s="55">
        <v>-1</v>
      </c>
      <c r="N332" s="49" t="s">
        <v>111</v>
      </c>
      <c r="O332" s="42" t="s">
        <v>204</v>
      </c>
      <c r="P332" s="60">
        <v>46258.529594907413</v>
      </c>
    </row>
    <row r="333" spans="2:16" x14ac:dyDescent="0.25">
      <c r="B333" s="57" t="s">
        <v>1198</v>
      </c>
      <c r="C333" s="49" t="s">
        <v>55</v>
      </c>
      <c r="D333" s="58">
        <v>46258</v>
      </c>
      <c r="E333" s="49" t="s">
        <v>378</v>
      </c>
      <c r="F333" s="56">
        <v>37</v>
      </c>
      <c r="G333" s="42" t="s">
        <v>1199</v>
      </c>
      <c r="H333" s="49" t="s">
        <v>585</v>
      </c>
      <c r="I333" s="59">
        <v>-37</v>
      </c>
      <c r="J333" s="43" t="s">
        <v>349</v>
      </c>
      <c r="K333" s="49" t="s">
        <v>112</v>
      </c>
      <c r="L333" s="42" t="s">
        <v>181</v>
      </c>
      <c r="M333" s="55">
        <v>-1</v>
      </c>
      <c r="N333" s="49" t="s">
        <v>111</v>
      </c>
      <c r="O333" s="42" t="s">
        <v>224</v>
      </c>
      <c r="P333" s="60">
        <v>46258.70003472222</v>
      </c>
    </row>
    <row r="334" spans="2:16" x14ac:dyDescent="0.25">
      <c r="B334" s="57" t="s">
        <v>1200</v>
      </c>
      <c r="C334" s="49" t="s">
        <v>55</v>
      </c>
      <c r="D334" s="58">
        <v>46259</v>
      </c>
      <c r="E334" s="49" t="s">
        <v>378</v>
      </c>
      <c r="F334" s="56">
        <v>38</v>
      </c>
      <c r="G334" s="42" t="s">
        <v>1201</v>
      </c>
      <c r="H334" s="49"/>
      <c r="I334" s="59">
        <v>-38</v>
      </c>
      <c r="J334" s="43" t="s">
        <v>349</v>
      </c>
      <c r="K334" s="49" t="s">
        <v>112</v>
      </c>
      <c r="L334" s="42" t="s">
        <v>181</v>
      </c>
      <c r="M334" s="55">
        <v>-1</v>
      </c>
      <c r="N334" s="49" t="s">
        <v>111</v>
      </c>
      <c r="O334" s="42" t="s">
        <v>224</v>
      </c>
      <c r="P334" s="60">
        <v>46259.562268518523</v>
      </c>
    </row>
    <row r="335" spans="2:16" x14ac:dyDescent="0.25">
      <c r="B335" s="57" t="s">
        <v>1202</v>
      </c>
      <c r="C335" s="49" t="s">
        <v>55</v>
      </c>
      <c r="D335" s="58">
        <v>46260</v>
      </c>
      <c r="E335" s="49" t="s">
        <v>364</v>
      </c>
      <c r="F335" s="56">
        <v>30</v>
      </c>
      <c r="G335" s="42" t="s">
        <v>1203</v>
      </c>
      <c r="H335" s="49" t="s">
        <v>585</v>
      </c>
      <c r="I335" s="59">
        <v>-30</v>
      </c>
      <c r="J335" s="43" t="s">
        <v>349</v>
      </c>
      <c r="K335" s="49" t="s">
        <v>112</v>
      </c>
      <c r="L335" s="42" t="s">
        <v>181</v>
      </c>
      <c r="M335" s="55">
        <v>-1</v>
      </c>
      <c r="N335" s="49" t="s">
        <v>111</v>
      </c>
      <c r="O335" s="42" t="s">
        <v>201</v>
      </c>
      <c r="P335" s="60">
        <v>46260.426979166667</v>
      </c>
    </row>
    <row r="336" spans="2:16" x14ac:dyDescent="0.25">
      <c r="B336" s="57" t="s">
        <v>1204</v>
      </c>
      <c r="C336" s="49" t="s">
        <v>55</v>
      </c>
      <c r="D336" s="58">
        <v>46260</v>
      </c>
      <c r="E336" s="49" t="s">
        <v>410</v>
      </c>
      <c r="F336" s="56">
        <v>15</v>
      </c>
      <c r="G336" s="42" t="s">
        <v>1205</v>
      </c>
      <c r="H336" s="49"/>
      <c r="I336" s="59">
        <v>-15</v>
      </c>
      <c r="J336" s="43" t="s">
        <v>349</v>
      </c>
      <c r="K336" s="49" t="s">
        <v>112</v>
      </c>
      <c r="L336" s="42" t="s">
        <v>177</v>
      </c>
      <c r="M336" s="55">
        <v>-1</v>
      </c>
      <c r="N336" s="49" t="s">
        <v>111</v>
      </c>
      <c r="O336" s="42" t="s">
        <v>278</v>
      </c>
      <c r="P336" s="60">
        <v>46260.427303240736</v>
      </c>
    </row>
    <row r="337" spans="2:16" x14ac:dyDescent="0.25">
      <c r="B337" s="57" t="s">
        <v>1206</v>
      </c>
      <c r="C337" s="49" t="s">
        <v>55</v>
      </c>
      <c r="D337" s="58">
        <v>46260</v>
      </c>
      <c r="E337" s="49" t="s">
        <v>384</v>
      </c>
      <c r="F337" s="56">
        <v>24</v>
      </c>
      <c r="G337" s="42" t="s">
        <v>1207</v>
      </c>
      <c r="H337" s="49"/>
      <c r="I337" s="59">
        <v>-24</v>
      </c>
      <c r="J337" s="43" t="s">
        <v>349</v>
      </c>
      <c r="K337" s="49" t="s">
        <v>112</v>
      </c>
      <c r="L337" s="42" t="s">
        <v>181</v>
      </c>
      <c r="M337" s="55">
        <v>-1</v>
      </c>
      <c r="N337" s="49" t="s">
        <v>111</v>
      </c>
      <c r="O337" s="42" t="s">
        <v>233</v>
      </c>
      <c r="P337" s="60">
        <v>46260.493333333332</v>
      </c>
    </row>
    <row r="338" spans="2:16" x14ac:dyDescent="0.25">
      <c r="B338" s="57" t="s">
        <v>1208</v>
      </c>
      <c r="C338" s="49" t="s">
        <v>55</v>
      </c>
      <c r="D338" s="58">
        <v>46260</v>
      </c>
      <c r="E338" s="49" t="s">
        <v>414</v>
      </c>
      <c r="F338" s="56">
        <v>22.5</v>
      </c>
      <c r="G338" s="42" t="s">
        <v>1209</v>
      </c>
      <c r="H338" s="49" t="s">
        <v>593</v>
      </c>
      <c r="I338" s="59">
        <v>-22.5</v>
      </c>
      <c r="J338" s="43" t="s">
        <v>349</v>
      </c>
      <c r="K338" s="49" t="s">
        <v>112</v>
      </c>
      <c r="L338" s="42" t="s">
        <v>286</v>
      </c>
      <c r="M338" s="55">
        <v>-1</v>
      </c>
      <c r="N338" s="49" t="s">
        <v>111</v>
      </c>
      <c r="O338" s="42" t="s">
        <v>284</v>
      </c>
      <c r="P338" s="60">
        <v>46260.517951388887</v>
      </c>
    </row>
    <row r="339" spans="2:16" x14ac:dyDescent="0.25">
      <c r="B339" s="57" t="s">
        <v>1210</v>
      </c>
      <c r="C339" s="49" t="s">
        <v>55</v>
      </c>
      <c r="D339" s="58">
        <v>46261</v>
      </c>
      <c r="E339" s="49" t="s">
        <v>346</v>
      </c>
      <c r="F339" s="56">
        <v>16</v>
      </c>
      <c r="G339" s="42" t="s">
        <v>1211</v>
      </c>
      <c r="H339" s="49"/>
      <c r="I339" s="59">
        <v>-16</v>
      </c>
      <c r="J339" s="43" t="s">
        <v>349</v>
      </c>
      <c r="K339" s="49" t="s">
        <v>110</v>
      </c>
      <c r="L339" s="42" t="s">
        <v>173</v>
      </c>
      <c r="M339" s="55">
        <v>-1</v>
      </c>
      <c r="N339" s="49" t="s">
        <v>109</v>
      </c>
      <c r="O339" s="42" t="s">
        <v>170</v>
      </c>
      <c r="P339" s="60">
        <v>46261.371458333328</v>
      </c>
    </row>
    <row r="340" spans="2:16" x14ac:dyDescent="0.25">
      <c r="B340" s="57" t="s">
        <v>1212</v>
      </c>
      <c r="C340" s="49" t="s">
        <v>55</v>
      </c>
      <c r="D340" s="58">
        <v>46261</v>
      </c>
      <c r="E340" s="49" t="s">
        <v>368</v>
      </c>
      <c r="F340" s="56">
        <v>8</v>
      </c>
      <c r="G340" s="42" t="s">
        <v>1213</v>
      </c>
      <c r="H340" s="49" t="s">
        <v>593</v>
      </c>
      <c r="I340" s="59">
        <v>-8</v>
      </c>
      <c r="J340" s="43" t="s">
        <v>349</v>
      </c>
      <c r="K340" s="49" t="s">
        <v>112</v>
      </c>
      <c r="L340" s="42" t="s">
        <v>181</v>
      </c>
      <c r="M340" s="55">
        <v>-1</v>
      </c>
      <c r="N340" s="49" t="s">
        <v>111</v>
      </c>
      <c r="O340" s="42" t="s">
        <v>207</v>
      </c>
      <c r="P340" s="60">
        <v>46261.531678240739</v>
      </c>
    </row>
    <row r="341" spans="2:16" x14ac:dyDescent="0.25">
      <c r="B341" s="57" t="s">
        <v>1214</v>
      </c>
      <c r="C341" s="49" t="s">
        <v>55</v>
      </c>
      <c r="D341" s="58">
        <v>46261</v>
      </c>
      <c r="E341" s="49" t="s">
        <v>374</v>
      </c>
      <c r="F341" s="56">
        <v>86</v>
      </c>
      <c r="G341" s="42" t="s">
        <v>1215</v>
      </c>
      <c r="H341" s="49" t="s">
        <v>671</v>
      </c>
      <c r="I341" s="59">
        <v>-86</v>
      </c>
      <c r="J341" s="43" t="s">
        <v>349</v>
      </c>
      <c r="K341" s="49" t="s">
        <v>112</v>
      </c>
      <c r="L341" s="42" t="s">
        <v>218</v>
      </c>
      <c r="M341" s="55">
        <v>-1</v>
      </c>
      <c r="N341" s="49" t="s">
        <v>111</v>
      </c>
      <c r="O341" s="42" t="s">
        <v>216</v>
      </c>
      <c r="P341" s="60">
        <v>46261.654189814813</v>
      </c>
    </row>
    <row r="342" spans="2:16" x14ac:dyDescent="0.25">
      <c r="B342" s="57" t="s">
        <v>1216</v>
      </c>
      <c r="C342" s="49" t="s">
        <v>55</v>
      </c>
      <c r="D342" s="58">
        <v>46262</v>
      </c>
      <c r="E342" s="49" t="s">
        <v>378</v>
      </c>
      <c r="F342" s="56">
        <v>28</v>
      </c>
      <c r="G342" s="42" t="s">
        <v>1217</v>
      </c>
      <c r="H342" s="49" t="s">
        <v>609</v>
      </c>
      <c r="I342" s="59">
        <v>-28</v>
      </c>
      <c r="J342" s="43" t="s">
        <v>349</v>
      </c>
      <c r="K342" s="49" t="s">
        <v>112</v>
      </c>
      <c r="L342" s="42" t="s">
        <v>181</v>
      </c>
      <c r="M342" s="55">
        <v>-1</v>
      </c>
      <c r="N342" s="49" t="s">
        <v>111</v>
      </c>
      <c r="O342" s="42" t="s">
        <v>224</v>
      </c>
      <c r="P342" s="60">
        <v>46262.461550925917</v>
      </c>
    </row>
    <row r="343" spans="2:16" x14ac:dyDescent="0.25">
      <c r="B343" s="57" t="s">
        <v>1218</v>
      </c>
      <c r="C343" s="49" t="s">
        <v>55</v>
      </c>
      <c r="D343" s="58">
        <v>46262</v>
      </c>
      <c r="E343" s="49" t="s">
        <v>386</v>
      </c>
      <c r="F343" s="56">
        <v>6.5</v>
      </c>
      <c r="G343" s="42" t="s">
        <v>1219</v>
      </c>
      <c r="H343" s="49" t="s">
        <v>585</v>
      </c>
      <c r="I343" s="59">
        <v>-6.5</v>
      </c>
      <c r="J343" s="43" t="s">
        <v>349</v>
      </c>
      <c r="K343" s="49" t="s">
        <v>112</v>
      </c>
      <c r="L343" s="42" t="s">
        <v>239</v>
      </c>
      <c r="M343" s="55">
        <v>-1</v>
      </c>
      <c r="N343" s="49" t="s">
        <v>111</v>
      </c>
      <c r="O343" s="42" t="s">
        <v>236</v>
      </c>
      <c r="P343" s="60">
        <v>46262.486979166657</v>
      </c>
    </row>
    <row r="344" spans="2:16" x14ac:dyDescent="0.25">
      <c r="B344" s="57" t="s">
        <v>1220</v>
      </c>
      <c r="C344" s="49" t="s">
        <v>55</v>
      </c>
      <c r="D344" s="58">
        <v>46262</v>
      </c>
      <c r="E344" s="49" t="s">
        <v>384</v>
      </c>
      <c r="F344" s="56">
        <v>26</v>
      </c>
      <c r="G344" s="42" t="s">
        <v>1221</v>
      </c>
      <c r="H344" s="49"/>
      <c r="I344" s="59">
        <v>-26</v>
      </c>
      <c r="J344" s="43" t="s">
        <v>349</v>
      </c>
      <c r="K344" s="49" t="s">
        <v>110</v>
      </c>
      <c r="L344" s="42" t="s">
        <v>181</v>
      </c>
      <c r="M344" s="55">
        <v>-1</v>
      </c>
      <c r="N344" s="49" t="s">
        <v>109</v>
      </c>
      <c r="O344" s="42" t="s">
        <v>233</v>
      </c>
      <c r="P344" s="60">
        <v>46262.595752314817</v>
      </c>
    </row>
    <row r="345" spans="2:16" x14ac:dyDescent="0.25">
      <c r="B345" s="57" t="s">
        <v>1222</v>
      </c>
      <c r="C345" s="49" t="s">
        <v>55</v>
      </c>
      <c r="D345" s="58">
        <v>46263</v>
      </c>
      <c r="E345" s="49" t="s">
        <v>374</v>
      </c>
      <c r="F345" s="56">
        <v>67.5</v>
      </c>
      <c r="G345" s="42" t="s">
        <v>1223</v>
      </c>
      <c r="H345" s="49"/>
      <c r="I345" s="59">
        <v>-67.5</v>
      </c>
      <c r="J345" s="43" t="s">
        <v>349</v>
      </c>
      <c r="K345" s="49" t="s">
        <v>110</v>
      </c>
      <c r="L345" s="42" t="s">
        <v>218</v>
      </c>
      <c r="M345" s="55">
        <v>-1</v>
      </c>
      <c r="N345" s="49" t="s">
        <v>109</v>
      </c>
      <c r="O345" s="42" t="s">
        <v>216</v>
      </c>
      <c r="P345" s="60">
        <v>46263.527743055558</v>
      </c>
    </row>
    <row r="346" spans="2:16" x14ac:dyDescent="0.25">
      <c r="B346" s="57" t="s">
        <v>1224</v>
      </c>
      <c r="C346" s="49" t="s">
        <v>55</v>
      </c>
      <c r="D346" s="58">
        <v>46263</v>
      </c>
      <c r="E346" s="49" t="s">
        <v>374</v>
      </c>
      <c r="F346" s="56">
        <v>73.5</v>
      </c>
      <c r="G346" s="42" t="s">
        <v>1225</v>
      </c>
      <c r="H346" s="49" t="s">
        <v>585</v>
      </c>
      <c r="I346" s="59">
        <v>-73.5</v>
      </c>
      <c r="J346" s="43" t="s">
        <v>349</v>
      </c>
      <c r="K346" s="49" t="s">
        <v>112</v>
      </c>
      <c r="L346" s="42" t="s">
        <v>218</v>
      </c>
      <c r="M346" s="55">
        <v>-1</v>
      </c>
      <c r="N346" s="49" t="s">
        <v>111</v>
      </c>
      <c r="O346" s="42" t="s">
        <v>216</v>
      </c>
      <c r="P346" s="60">
        <v>46263.559664351851</v>
      </c>
    </row>
    <row r="347" spans="2:16" x14ac:dyDescent="0.25">
      <c r="B347" s="57" t="s">
        <v>1226</v>
      </c>
      <c r="C347" s="49" t="s">
        <v>55</v>
      </c>
      <c r="D347" s="58">
        <v>46265</v>
      </c>
      <c r="E347" s="49" t="s">
        <v>408</v>
      </c>
      <c r="F347" s="56">
        <v>15.5</v>
      </c>
      <c r="G347" s="42" t="s">
        <v>1227</v>
      </c>
      <c r="H347" s="49" t="s">
        <v>612</v>
      </c>
      <c r="I347" s="59">
        <v>-15.5</v>
      </c>
      <c r="J347" s="43" t="s">
        <v>349</v>
      </c>
      <c r="K347" s="49" t="s">
        <v>112</v>
      </c>
      <c r="L347" s="42" t="s">
        <v>276</v>
      </c>
      <c r="M347" s="55">
        <v>-1</v>
      </c>
      <c r="N347" s="49" t="s">
        <v>111</v>
      </c>
      <c r="O347" s="42" t="s">
        <v>274</v>
      </c>
      <c r="P347" s="60">
        <v>46265.589004629634</v>
      </c>
    </row>
    <row r="348" spans="2:16" x14ac:dyDescent="0.25">
      <c r="B348" s="57" t="s">
        <v>1228</v>
      </c>
      <c r="C348" s="49" t="s">
        <v>55</v>
      </c>
      <c r="D348" s="58">
        <v>46265</v>
      </c>
      <c r="E348" s="49" t="s">
        <v>406</v>
      </c>
      <c r="F348" s="56">
        <v>6</v>
      </c>
      <c r="G348" s="42" t="s">
        <v>1229</v>
      </c>
      <c r="H348" s="49"/>
      <c r="I348" s="59">
        <v>-6</v>
      </c>
      <c r="J348" s="43" t="s">
        <v>349</v>
      </c>
      <c r="K348" s="49" t="s">
        <v>112</v>
      </c>
      <c r="L348" s="42" t="s">
        <v>239</v>
      </c>
      <c r="M348" s="55">
        <v>-1</v>
      </c>
      <c r="N348" s="49" t="s">
        <v>111</v>
      </c>
      <c r="O348" s="42" t="s">
        <v>270</v>
      </c>
      <c r="P348" s="60">
        <v>46265.620347222219</v>
      </c>
    </row>
    <row r="349" spans="2:16" x14ac:dyDescent="0.25">
      <c r="B349" s="57" t="s">
        <v>1230</v>
      </c>
      <c r="C349" s="49" t="s">
        <v>55</v>
      </c>
      <c r="D349" s="58">
        <v>46265</v>
      </c>
      <c r="E349" s="49" t="s">
        <v>366</v>
      </c>
      <c r="F349" s="56">
        <v>19</v>
      </c>
      <c r="G349" s="42" t="s">
        <v>1231</v>
      </c>
      <c r="H349" s="49" t="s">
        <v>593</v>
      </c>
      <c r="I349" s="59">
        <v>-19</v>
      </c>
      <c r="J349" s="43" t="s">
        <v>349</v>
      </c>
      <c r="K349" s="49" t="s">
        <v>112</v>
      </c>
      <c r="L349" s="42" t="s">
        <v>181</v>
      </c>
      <c r="M349" s="55">
        <v>-1</v>
      </c>
      <c r="N349" s="49" t="s">
        <v>111</v>
      </c>
      <c r="O349" s="42" t="s">
        <v>204</v>
      </c>
      <c r="P349" s="60">
        <v>46265.634027777778</v>
      </c>
    </row>
    <row r="350" spans="2:16" x14ac:dyDescent="0.25">
      <c r="B350" s="57" t="s">
        <v>1232</v>
      </c>
      <c r="C350" s="49" t="s">
        <v>55</v>
      </c>
      <c r="D350" s="58">
        <v>46266</v>
      </c>
      <c r="E350" s="49" t="s">
        <v>364</v>
      </c>
      <c r="F350" s="56">
        <v>27</v>
      </c>
      <c r="G350" s="42" t="s">
        <v>1233</v>
      </c>
      <c r="H350" s="49" t="s">
        <v>671</v>
      </c>
      <c r="I350" s="59">
        <v>-27</v>
      </c>
      <c r="J350" s="43" t="s">
        <v>349</v>
      </c>
      <c r="K350" s="49" t="s">
        <v>110</v>
      </c>
      <c r="L350" s="42" t="s">
        <v>181</v>
      </c>
      <c r="M350" s="55">
        <v>-1</v>
      </c>
      <c r="N350" s="49" t="s">
        <v>109</v>
      </c>
      <c r="O350" s="42" t="s">
        <v>201</v>
      </c>
      <c r="P350" s="60">
        <v>46266.595856481479</v>
      </c>
    </row>
    <row r="351" spans="2:16" x14ac:dyDescent="0.25">
      <c r="B351" s="57" t="s">
        <v>1234</v>
      </c>
      <c r="C351" s="49" t="s">
        <v>55</v>
      </c>
      <c r="D351" s="58">
        <v>46266</v>
      </c>
      <c r="E351" s="49" t="s">
        <v>355</v>
      </c>
      <c r="F351" s="56">
        <v>4</v>
      </c>
      <c r="G351" s="42" t="s">
        <v>1235</v>
      </c>
      <c r="H351" s="49"/>
      <c r="I351" s="59">
        <v>-4</v>
      </c>
      <c r="J351" s="43" t="s">
        <v>349</v>
      </c>
      <c r="K351" s="49" t="s">
        <v>112</v>
      </c>
      <c r="L351" s="42" t="s">
        <v>181</v>
      </c>
      <c r="M351" s="55">
        <v>-1</v>
      </c>
      <c r="N351" s="49" t="s">
        <v>111</v>
      </c>
      <c r="O351" s="42" t="s">
        <v>183</v>
      </c>
      <c r="P351" s="60">
        <v>46266.609768518523</v>
      </c>
    </row>
    <row r="352" spans="2:16" x14ac:dyDescent="0.25">
      <c r="B352" s="57" t="s">
        <v>1236</v>
      </c>
      <c r="C352" s="49" t="s">
        <v>55</v>
      </c>
      <c r="D352" s="58">
        <v>46266</v>
      </c>
      <c r="E352" s="49" t="s">
        <v>384</v>
      </c>
      <c r="F352" s="56">
        <v>25</v>
      </c>
      <c r="G352" s="42" t="s">
        <v>1237</v>
      </c>
      <c r="H352" s="49" t="s">
        <v>615</v>
      </c>
      <c r="I352" s="59">
        <v>-25</v>
      </c>
      <c r="J352" s="43" t="s">
        <v>349</v>
      </c>
      <c r="K352" s="49" t="s">
        <v>110</v>
      </c>
      <c r="L352" s="42" t="s">
        <v>181</v>
      </c>
      <c r="M352" s="55">
        <v>-1</v>
      </c>
      <c r="N352" s="49" t="s">
        <v>109</v>
      </c>
      <c r="O352" s="42" t="s">
        <v>233</v>
      </c>
      <c r="P352" s="60">
        <v>46266.70516203704</v>
      </c>
    </row>
    <row r="353" spans="2:16" x14ac:dyDescent="0.25">
      <c r="B353" s="57" t="s">
        <v>1238</v>
      </c>
      <c r="C353" s="49" t="s">
        <v>55</v>
      </c>
      <c r="D353" s="58">
        <v>46267</v>
      </c>
      <c r="E353" s="49" t="s">
        <v>374</v>
      </c>
      <c r="F353" s="56">
        <v>46.5</v>
      </c>
      <c r="G353" s="42" t="s">
        <v>1239</v>
      </c>
      <c r="H353" s="49" t="s">
        <v>585</v>
      </c>
      <c r="I353" s="59">
        <v>-46.5</v>
      </c>
      <c r="J353" s="43" t="s">
        <v>349</v>
      </c>
      <c r="K353" s="49" t="s">
        <v>112</v>
      </c>
      <c r="L353" s="42" t="s">
        <v>218</v>
      </c>
      <c r="M353" s="55">
        <v>-1</v>
      </c>
      <c r="N353" s="49" t="s">
        <v>111</v>
      </c>
      <c r="O353" s="42" t="s">
        <v>216</v>
      </c>
      <c r="P353" s="60">
        <v>46267.432199074072</v>
      </c>
    </row>
    <row r="354" spans="2:16" x14ac:dyDescent="0.25">
      <c r="B354" s="57" t="s">
        <v>1240</v>
      </c>
      <c r="C354" s="49" t="s">
        <v>55</v>
      </c>
      <c r="D354" s="58">
        <v>46267</v>
      </c>
      <c r="E354" s="49" t="s">
        <v>396</v>
      </c>
      <c r="F354" s="56">
        <v>18</v>
      </c>
      <c r="G354" s="42" t="s">
        <v>1241</v>
      </c>
      <c r="H354" s="49" t="s">
        <v>604</v>
      </c>
      <c r="I354" s="59">
        <v>-18</v>
      </c>
      <c r="J354" s="43" t="s">
        <v>349</v>
      </c>
      <c r="K354" s="49" t="s">
        <v>112</v>
      </c>
      <c r="L354" s="42" t="s">
        <v>256</v>
      </c>
      <c r="M354" s="55">
        <v>-1</v>
      </c>
      <c r="N354" s="49" t="s">
        <v>111</v>
      </c>
      <c r="O354" s="42" t="s">
        <v>253</v>
      </c>
      <c r="P354" s="60">
        <v>46267.528726851851</v>
      </c>
    </row>
    <row r="355" spans="2:16" x14ac:dyDescent="0.25">
      <c r="B355" s="57" t="s">
        <v>1242</v>
      </c>
      <c r="C355" s="49" t="s">
        <v>55</v>
      </c>
      <c r="D355" s="58">
        <v>46267</v>
      </c>
      <c r="E355" s="49" t="s">
        <v>357</v>
      </c>
      <c r="F355" s="56">
        <v>22</v>
      </c>
      <c r="G355" s="42" t="s">
        <v>1243</v>
      </c>
      <c r="H355" s="49"/>
      <c r="I355" s="59">
        <v>-22</v>
      </c>
      <c r="J355" s="43" t="s">
        <v>349</v>
      </c>
      <c r="K355" s="49" t="s">
        <v>110</v>
      </c>
      <c r="L355" s="42" t="s">
        <v>181</v>
      </c>
      <c r="M355" s="55">
        <v>-1</v>
      </c>
      <c r="N355" s="49" t="s">
        <v>109</v>
      </c>
      <c r="O355" s="42" t="s">
        <v>186</v>
      </c>
      <c r="P355" s="60">
        <v>46267.553437499999</v>
      </c>
    </row>
    <row r="356" spans="2:16" x14ac:dyDescent="0.25">
      <c r="B356" s="57" t="s">
        <v>1244</v>
      </c>
      <c r="C356" s="49" t="s">
        <v>55</v>
      </c>
      <c r="D356" s="58">
        <v>46268</v>
      </c>
      <c r="E356" s="49" t="s">
        <v>346</v>
      </c>
      <c r="F356" s="56">
        <v>16</v>
      </c>
      <c r="G356" s="42" t="s">
        <v>1245</v>
      </c>
      <c r="H356" s="49"/>
      <c r="I356" s="59">
        <v>-16</v>
      </c>
      <c r="J356" s="43" t="s">
        <v>349</v>
      </c>
      <c r="K356" s="49" t="s">
        <v>110</v>
      </c>
      <c r="L356" s="42" t="s">
        <v>173</v>
      </c>
      <c r="M356" s="55">
        <v>-1</v>
      </c>
      <c r="N356" s="49" t="s">
        <v>109</v>
      </c>
      <c r="O356" s="42" t="s">
        <v>170</v>
      </c>
      <c r="P356" s="60">
        <v>46268.56962962963</v>
      </c>
    </row>
    <row r="357" spans="2:16" x14ac:dyDescent="0.25">
      <c r="B357" s="57" t="s">
        <v>1246</v>
      </c>
      <c r="C357" s="49" t="s">
        <v>55</v>
      </c>
      <c r="D357" s="58">
        <v>46268</v>
      </c>
      <c r="E357" s="49" t="s">
        <v>370</v>
      </c>
      <c r="F357" s="56">
        <v>33</v>
      </c>
      <c r="G357" s="42" t="s">
        <v>1247</v>
      </c>
      <c r="H357" s="49"/>
      <c r="I357" s="59">
        <v>-33</v>
      </c>
      <c r="J357" s="43" t="s">
        <v>349</v>
      </c>
      <c r="K357" s="49" t="s">
        <v>110</v>
      </c>
      <c r="L357" s="42" t="s">
        <v>181</v>
      </c>
      <c r="M357" s="55">
        <v>-1</v>
      </c>
      <c r="N357" s="49" t="s">
        <v>109</v>
      </c>
      <c r="O357" s="42" t="s">
        <v>210</v>
      </c>
      <c r="P357" s="60">
        <v>46268.63685185185</v>
      </c>
    </row>
    <row r="358" spans="2:16" x14ac:dyDescent="0.25">
      <c r="B358" s="57" t="s">
        <v>1248</v>
      </c>
      <c r="C358" s="49" t="s">
        <v>55</v>
      </c>
      <c r="D358" s="58">
        <v>46269</v>
      </c>
      <c r="E358" s="49" t="s">
        <v>370</v>
      </c>
      <c r="F358" s="56">
        <v>17</v>
      </c>
      <c r="G358" s="42" t="s">
        <v>1249</v>
      </c>
      <c r="H358" s="49"/>
      <c r="I358" s="59">
        <v>-17</v>
      </c>
      <c r="J358" s="43" t="s">
        <v>349</v>
      </c>
      <c r="K358" s="49" t="s">
        <v>112</v>
      </c>
      <c r="L358" s="42" t="s">
        <v>181</v>
      </c>
      <c r="M358" s="55">
        <v>-1</v>
      </c>
      <c r="N358" s="49" t="s">
        <v>111</v>
      </c>
      <c r="O358" s="42" t="s">
        <v>210</v>
      </c>
      <c r="P358" s="60">
        <v>46269.600370370368</v>
      </c>
    </row>
    <row r="359" spans="2:16" x14ac:dyDescent="0.25">
      <c r="B359" s="57" t="s">
        <v>1250</v>
      </c>
      <c r="C359" s="49" t="s">
        <v>55</v>
      </c>
      <c r="D359" s="58">
        <v>46269</v>
      </c>
      <c r="E359" s="49" t="s">
        <v>364</v>
      </c>
      <c r="F359" s="56">
        <v>33</v>
      </c>
      <c r="G359" s="42" t="s">
        <v>1251</v>
      </c>
      <c r="H359" s="49" t="s">
        <v>593</v>
      </c>
      <c r="I359" s="59">
        <v>-33</v>
      </c>
      <c r="J359" s="43" t="s">
        <v>349</v>
      </c>
      <c r="K359" s="49" t="s">
        <v>112</v>
      </c>
      <c r="L359" s="42" t="s">
        <v>181</v>
      </c>
      <c r="M359" s="55">
        <v>-1</v>
      </c>
      <c r="N359" s="49" t="s">
        <v>111</v>
      </c>
      <c r="O359" s="42" t="s">
        <v>201</v>
      </c>
      <c r="P359" s="60">
        <v>46269.710486111107</v>
      </c>
    </row>
    <row r="360" spans="2:16" x14ac:dyDescent="0.25">
      <c r="B360" s="57" t="s">
        <v>1252</v>
      </c>
      <c r="C360" s="49" t="s">
        <v>55</v>
      </c>
      <c r="D360" s="58">
        <v>46270</v>
      </c>
      <c r="E360" s="49" t="s">
        <v>374</v>
      </c>
      <c r="F360" s="56">
        <v>100</v>
      </c>
      <c r="G360" s="42" t="s">
        <v>1253</v>
      </c>
      <c r="H360" s="49" t="s">
        <v>593</v>
      </c>
      <c r="I360" s="59">
        <v>-100</v>
      </c>
      <c r="J360" s="43" t="s">
        <v>349</v>
      </c>
      <c r="K360" s="49" t="s">
        <v>112</v>
      </c>
      <c r="L360" s="42" t="s">
        <v>218</v>
      </c>
      <c r="M360" s="55">
        <v>-1</v>
      </c>
      <c r="N360" s="49" t="s">
        <v>111</v>
      </c>
      <c r="O360" s="42" t="s">
        <v>216</v>
      </c>
      <c r="P360" s="60">
        <v>46270.541134259263</v>
      </c>
    </row>
    <row r="361" spans="2:16" x14ac:dyDescent="0.25">
      <c r="B361" s="57" t="s">
        <v>1254</v>
      </c>
      <c r="C361" s="49" t="s">
        <v>55</v>
      </c>
      <c r="D361" s="58">
        <v>46270</v>
      </c>
      <c r="E361" s="49" t="s">
        <v>408</v>
      </c>
      <c r="F361" s="56">
        <v>16.5</v>
      </c>
      <c r="G361" s="42" t="s">
        <v>1255</v>
      </c>
      <c r="H361" s="49" t="s">
        <v>593</v>
      </c>
      <c r="I361" s="59">
        <v>-16.5</v>
      </c>
      <c r="J361" s="43" t="s">
        <v>349</v>
      </c>
      <c r="K361" s="49" t="s">
        <v>112</v>
      </c>
      <c r="L361" s="42" t="s">
        <v>276</v>
      </c>
      <c r="M361" s="55">
        <v>-1</v>
      </c>
      <c r="N361" s="49" t="s">
        <v>111</v>
      </c>
      <c r="O361" s="42" t="s">
        <v>274</v>
      </c>
      <c r="P361" s="60">
        <v>46270.70689814815</v>
      </c>
    </row>
    <row r="362" spans="2:16" x14ac:dyDescent="0.25">
      <c r="B362" s="57" t="s">
        <v>1256</v>
      </c>
      <c r="C362" s="49" t="s">
        <v>55</v>
      </c>
      <c r="D362" s="58">
        <v>46272</v>
      </c>
      <c r="E362" s="49" t="s">
        <v>374</v>
      </c>
      <c r="F362" s="56">
        <v>83</v>
      </c>
      <c r="G362" s="42" t="s">
        <v>1257</v>
      </c>
      <c r="H362" s="49" t="s">
        <v>585</v>
      </c>
      <c r="I362" s="59">
        <v>-83</v>
      </c>
      <c r="J362" s="43" t="s">
        <v>349</v>
      </c>
      <c r="K362" s="49" t="s">
        <v>112</v>
      </c>
      <c r="L362" s="42" t="s">
        <v>218</v>
      </c>
      <c r="M362" s="55">
        <v>-1</v>
      </c>
      <c r="N362" s="49" t="s">
        <v>111</v>
      </c>
      <c r="O362" s="42" t="s">
        <v>216</v>
      </c>
      <c r="P362" s="60">
        <v>46272.41847222222</v>
      </c>
    </row>
    <row r="363" spans="2:16" x14ac:dyDescent="0.25">
      <c r="B363" s="57" t="s">
        <v>1258</v>
      </c>
      <c r="C363" s="49" t="s">
        <v>55</v>
      </c>
      <c r="D363" s="58">
        <v>46272</v>
      </c>
      <c r="E363" s="49" t="s">
        <v>374</v>
      </c>
      <c r="F363" s="56">
        <v>71</v>
      </c>
      <c r="G363" s="42" t="s">
        <v>1259</v>
      </c>
      <c r="H363" s="49"/>
      <c r="I363" s="59">
        <v>-71</v>
      </c>
      <c r="J363" s="43" t="s">
        <v>349</v>
      </c>
      <c r="K363" s="49" t="s">
        <v>112</v>
      </c>
      <c r="L363" s="42" t="s">
        <v>218</v>
      </c>
      <c r="M363" s="55">
        <v>-1</v>
      </c>
      <c r="N363" s="49" t="s">
        <v>111</v>
      </c>
      <c r="O363" s="42" t="s">
        <v>216</v>
      </c>
      <c r="P363" s="60">
        <v>46272.611157407409</v>
      </c>
    </row>
    <row r="364" spans="2:16" x14ac:dyDescent="0.25">
      <c r="B364" s="57" t="s">
        <v>1260</v>
      </c>
      <c r="C364" s="49" t="s">
        <v>55</v>
      </c>
      <c r="D364" s="58">
        <v>46272</v>
      </c>
      <c r="E364" s="49" t="s">
        <v>402</v>
      </c>
      <c r="F364" s="56">
        <v>3</v>
      </c>
      <c r="G364" s="42" t="s">
        <v>1261</v>
      </c>
      <c r="H364" s="49" t="s">
        <v>593</v>
      </c>
      <c r="I364" s="59">
        <v>-3</v>
      </c>
      <c r="J364" s="43" t="s">
        <v>349</v>
      </c>
      <c r="K364" s="49" t="s">
        <v>112</v>
      </c>
      <c r="L364" s="42" t="s">
        <v>256</v>
      </c>
      <c r="M364" s="55">
        <v>-1</v>
      </c>
      <c r="N364" s="49" t="s">
        <v>111</v>
      </c>
      <c r="O364" s="42" t="s">
        <v>264</v>
      </c>
      <c r="P364" s="60">
        <v>46272.651817129627</v>
      </c>
    </row>
    <row r="365" spans="2:16" x14ac:dyDescent="0.25">
      <c r="B365" s="57" t="s">
        <v>1262</v>
      </c>
      <c r="C365" s="49" t="s">
        <v>55</v>
      </c>
      <c r="D365" s="58">
        <v>46272</v>
      </c>
      <c r="E365" s="49" t="s">
        <v>370</v>
      </c>
      <c r="F365" s="56">
        <v>27</v>
      </c>
      <c r="G365" s="42" t="s">
        <v>1263</v>
      </c>
      <c r="H365" s="49" t="s">
        <v>612</v>
      </c>
      <c r="I365" s="59">
        <v>-27</v>
      </c>
      <c r="J365" s="43" t="s">
        <v>349</v>
      </c>
      <c r="K365" s="49" t="s">
        <v>112</v>
      </c>
      <c r="L365" s="42" t="s">
        <v>181</v>
      </c>
      <c r="M365" s="55">
        <v>-1</v>
      </c>
      <c r="N365" s="49" t="s">
        <v>111</v>
      </c>
      <c r="O365" s="42" t="s">
        <v>210</v>
      </c>
      <c r="P365" s="60">
        <v>46272.684201388889</v>
      </c>
    </row>
    <row r="366" spans="2:16" x14ac:dyDescent="0.25">
      <c r="B366" s="57" t="s">
        <v>1264</v>
      </c>
      <c r="C366" s="49" t="s">
        <v>55</v>
      </c>
      <c r="D366" s="58">
        <v>46273</v>
      </c>
      <c r="E366" s="49" t="s">
        <v>384</v>
      </c>
      <c r="F366" s="56">
        <v>34</v>
      </c>
      <c r="G366" s="42" t="s">
        <v>1265</v>
      </c>
      <c r="H366" s="49" t="s">
        <v>585</v>
      </c>
      <c r="I366" s="59">
        <v>-34</v>
      </c>
      <c r="J366" s="43" t="s">
        <v>349</v>
      </c>
      <c r="K366" s="49" t="s">
        <v>110</v>
      </c>
      <c r="L366" s="42" t="s">
        <v>181</v>
      </c>
      <c r="M366" s="55">
        <v>-1</v>
      </c>
      <c r="N366" s="49" t="s">
        <v>109</v>
      </c>
      <c r="O366" s="42" t="s">
        <v>233</v>
      </c>
      <c r="P366" s="60">
        <v>46273.446076388893</v>
      </c>
    </row>
    <row r="367" spans="2:16" x14ac:dyDescent="0.25">
      <c r="B367" s="57" t="s">
        <v>1266</v>
      </c>
      <c r="C367" s="49" t="s">
        <v>55</v>
      </c>
      <c r="D367" s="58">
        <v>46274</v>
      </c>
      <c r="E367" s="49" t="s">
        <v>370</v>
      </c>
      <c r="F367" s="56">
        <v>19</v>
      </c>
      <c r="G367" s="42" t="s">
        <v>1267</v>
      </c>
      <c r="H367" s="49" t="s">
        <v>615</v>
      </c>
      <c r="I367" s="59">
        <v>-19</v>
      </c>
      <c r="J367" s="43" t="s">
        <v>349</v>
      </c>
      <c r="K367" s="49" t="s">
        <v>110</v>
      </c>
      <c r="L367" s="42" t="s">
        <v>181</v>
      </c>
      <c r="M367" s="55">
        <v>-1</v>
      </c>
      <c r="N367" s="49" t="s">
        <v>109</v>
      </c>
      <c r="O367" s="42" t="s">
        <v>210</v>
      </c>
      <c r="P367" s="60">
        <v>46274.445196759261</v>
      </c>
    </row>
    <row r="368" spans="2:16" x14ac:dyDescent="0.25">
      <c r="B368" s="57" t="s">
        <v>1268</v>
      </c>
      <c r="C368" s="49" t="s">
        <v>55</v>
      </c>
      <c r="D368" s="58">
        <v>46274</v>
      </c>
      <c r="E368" s="49" t="s">
        <v>357</v>
      </c>
      <c r="F368" s="56">
        <v>13</v>
      </c>
      <c r="G368" s="42" t="s">
        <v>1269</v>
      </c>
      <c r="H368" s="49"/>
      <c r="I368" s="59">
        <v>-13</v>
      </c>
      <c r="J368" s="43" t="s">
        <v>349</v>
      </c>
      <c r="K368" s="49" t="s">
        <v>112</v>
      </c>
      <c r="L368" s="42" t="s">
        <v>181</v>
      </c>
      <c r="M368" s="55">
        <v>-1</v>
      </c>
      <c r="N368" s="49" t="s">
        <v>111</v>
      </c>
      <c r="O368" s="42" t="s">
        <v>186</v>
      </c>
      <c r="P368" s="60">
        <v>46274.527361111112</v>
      </c>
    </row>
    <row r="369" spans="2:16" x14ac:dyDescent="0.25">
      <c r="B369" s="57" t="s">
        <v>1270</v>
      </c>
      <c r="C369" s="49" t="s">
        <v>55</v>
      </c>
      <c r="D369" s="58">
        <v>46275</v>
      </c>
      <c r="E369" s="49" t="s">
        <v>374</v>
      </c>
      <c r="F369" s="56">
        <v>10.5</v>
      </c>
      <c r="G369" s="42" t="s">
        <v>1271</v>
      </c>
      <c r="H369" s="49" t="s">
        <v>604</v>
      </c>
      <c r="I369" s="59">
        <v>-10.5</v>
      </c>
      <c r="J369" s="43" t="s">
        <v>349</v>
      </c>
      <c r="K369" s="49" t="s">
        <v>110</v>
      </c>
      <c r="L369" s="42" t="s">
        <v>218</v>
      </c>
      <c r="M369" s="55">
        <v>-1</v>
      </c>
      <c r="N369" s="49" t="s">
        <v>109</v>
      </c>
      <c r="O369" s="42" t="s">
        <v>216</v>
      </c>
      <c r="P369" s="60">
        <v>46275.41511574074</v>
      </c>
    </row>
    <row r="370" spans="2:16" x14ac:dyDescent="0.25">
      <c r="B370" s="57" t="s">
        <v>1272</v>
      </c>
      <c r="C370" s="49" t="s">
        <v>55</v>
      </c>
      <c r="D370" s="58">
        <v>46275</v>
      </c>
      <c r="E370" s="49" t="s">
        <v>378</v>
      </c>
      <c r="F370" s="56">
        <v>38</v>
      </c>
      <c r="G370" s="42" t="s">
        <v>1273</v>
      </c>
      <c r="H370" s="49" t="s">
        <v>615</v>
      </c>
      <c r="I370" s="59">
        <v>-38</v>
      </c>
      <c r="J370" s="43" t="s">
        <v>349</v>
      </c>
      <c r="K370" s="49" t="s">
        <v>112</v>
      </c>
      <c r="L370" s="42" t="s">
        <v>181</v>
      </c>
      <c r="M370" s="55">
        <v>-1</v>
      </c>
      <c r="N370" s="49" t="s">
        <v>111</v>
      </c>
      <c r="O370" s="42" t="s">
        <v>224</v>
      </c>
      <c r="P370" s="60">
        <v>46275.418310185189</v>
      </c>
    </row>
    <row r="371" spans="2:16" x14ac:dyDescent="0.25">
      <c r="B371" s="57" t="s">
        <v>1274</v>
      </c>
      <c r="C371" s="49" t="s">
        <v>55</v>
      </c>
      <c r="D371" s="58">
        <v>46275</v>
      </c>
      <c r="E371" s="49" t="s">
        <v>370</v>
      </c>
      <c r="F371" s="56">
        <v>25</v>
      </c>
      <c r="G371" s="42" t="s">
        <v>1275</v>
      </c>
      <c r="H371" s="49" t="s">
        <v>593</v>
      </c>
      <c r="I371" s="59">
        <v>-25</v>
      </c>
      <c r="J371" s="43" t="s">
        <v>349</v>
      </c>
      <c r="K371" s="49" t="s">
        <v>112</v>
      </c>
      <c r="L371" s="42" t="s">
        <v>181</v>
      </c>
      <c r="M371" s="55">
        <v>-1</v>
      </c>
      <c r="N371" s="49" t="s">
        <v>111</v>
      </c>
      <c r="O371" s="42" t="s">
        <v>210</v>
      </c>
      <c r="P371" s="60">
        <v>46275.531712962962</v>
      </c>
    </row>
    <row r="372" spans="2:16" x14ac:dyDescent="0.25">
      <c r="B372" s="57" t="s">
        <v>1276</v>
      </c>
      <c r="C372" s="49" t="s">
        <v>55</v>
      </c>
      <c r="D372" s="58">
        <v>46275</v>
      </c>
      <c r="E372" s="49" t="s">
        <v>364</v>
      </c>
      <c r="F372" s="56">
        <v>37</v>
      </c>
      <c r="G372" s="42" t="s">
        <v>1277</v>
      </c>
      <c r="H372" s="49" t="s">
        <v>588</v>
      </c>
      <c r="I372" s="59">
        <v>-37</v>
      </c>
      <c r="J372" s="43" t="s">
        <v>349</v>
      </c>
      <c r="K372" s="49" t="s">
        <v>112</v>
      </c>
      <c r="L372" s="42" t="s">
        <v>181</v>
      </c>
      <c r="M372" s="55">
        <v>-1</v>
      </c>
      <c r="N372" s="49" t="s">
        <v>111</v>
      </c>
      <c r="O372" s="42" t="s">
        <v>201</v>
      </c>
      <c r="P372" s="60">
        <v>46275.577372685177</v>
      </c>
    </row>
    <row r="373" spans="2:16" x14ac:dyDescent="0.25">
      <c r="B373" s="57" t="s">
        <v>1278</v>
      </c>
      <c r="C373" s="49" t="s">
        <v>55</v>
      </c>
      <c r="D373" s="58">
        <v>46276</v>
      </c>
      <c r="E373" s="49" t="s">
        <v>346</v>
      </c>
      <c r="F373" s="56">
        <v>15</v>
      </c>
      <c r="G373" s="42" t="s">
        <v>1279</v>
      </c>
      <c r="H373" s="49" t="s">
        <v>604</v>
      </c>
      <c r="I373" s="59">
        <v>-15</v>
      </c>
      <c r="J373" s="43" t="s">
        <v>349</v>
      </c>
      <c r="K373" s="49" t="s">
        <v>110</v>
      </c>
      <c r="L373" s="42" t="s">
        <v>173</v>
      </c>
      <c r="M373" s="55">
        <v>-1</v>
      </c>
      <c r="N373" s="49" t="s">
        <v>109</v>
      </c>
      <c r="O373" s="42" t="s">
        <v>170</v>
      </c>
      <c r="P373" s="60">
        <v>46276.499027777783</v>
      </c>
    </row>
    <row r="374" spans="2:16" x14ac:dyDescent="0.25">
      <c r="B374" s="57" t="s">
        <v>1280</v>
      </c>
      <c r="C374" s="49" t="s">
        <v>55</v>
      </c>
      <c r="D374" s="58">
        <v>46277</v>
      </c>
      <c r="E374" s="49" t="s">
        <v>372</v>
      </c>
      <c r="F374" s="56">
        <v>7</v>
      </c>
      <c r="G374" s="42" t="s">
        <v>1281</v>
      </c>
      <c r="H374" s="49"/>
      <c r="I374" s="59">
        <v>-7</v>
      </c>
      <c r="J374" s="43" t="s">
        <v>349</v>
      </c>
      <c r="K374" s="49" t="s">
        <v>110</v>
      </c>
      <c r="L374" s="42" t="s">
        <v>181</v>
      </c>
      <c r="M374" s="55">
        <v>-1</v>
      </c>
      <c r="N374" s="49" t="s">
        <v>109</v>
      </c>
      <c r="O374" s="42" t="s">
        <v>213</v>
      </c>
      <c r="P374" s="60">
        <v>46277.389432870368</v>
      </c>
    </row>
    <row r="375" spans="2:16" x14ac:dyDescent="0.25">
      <c r="B375" s="57" t="s">
        <v>1282</v>
      </c>
      <c r="C375" s="49" t="s">
        <v>55</v>
      </c>
      <c r="D375" s="58">
        <v>46277</v>
      </c>
      <c r="E375" s="49" t="s">
        <v>364</v>
      </c>
      <c r="F375" s="56">
        <v>25</v>
      </c>
      <c r="G375" s="42" t="s">
        <v>1283</v>
      </c>
      <c r="H375" s="49" t="s">
        <v>609</v>
      </c>
      <c r="I375" s="59">
        <v>-25</v>
      </c>
      <c r="J375" s="43" t="s">
        <v>349</v>
      </c>
      <c r="K375" s="49" t="s">
        <v>110</v>
      </c>
      <c r="L375" s="42" t="s">
        <v>181</v>
      </c>
      <c r="M375" s="55">
        <v>-1</v>
      </c>
      <c r="N375" s="49" t="s">
        <v>109</v>
      </c>
      <c r="O375" s="42" t="s">
        <v>201</v>
      </c>
      <c r="P375" s="60">
        <v>46277.468090277784</v>
      </c>
    </row>
    <row r="376" spans="2:16" x14ac:dyDescent="0.25">
      <c r="B376" s="57" t="s">
        <v>1284</v>
      </c>
      <c r="C376" s="49" t="s">
        <v>55</v>
      </c>
      <c r="D376" s="58">
        <v>46277</v>
      </c>
      <c r="E376" s="49" t="s">
        <v>414</v>
      </c>
      <c r="F376" s="56">
        <v>25</v>
      </c>
      <c r="G376" s="42" t="s">
        <v>1285</v>
      </c>
      <c r="H376" s="49" t="s">
        <v>615</v>
      </c>
      <c r="I376" s="59">
        <v>-25</v>
      </c>
      <c r="J376" s="43" t="s">
        <v>349</v>
      </c>
      <c r="K376" s="49" t="s">
        <v>110</v>
      </c>
      <c r="L376" s="42" t="s">
        <v>286</v>
      </c>
      <c r="M376" s="55">
        <v>-1</v>
      </c>
      <c r="N376" s="49" t="s">
        <v>109</v>
      </c>
      <c r="O376" s="42" t="s">
        <v>284</v>
      </c>
      <c r="P376" s="60">
        <v>46277.541539351849</v>
      </c>
    </row>
    <row r="377" spans="2:16" x14ac:dyDescent="0.25">
      <c r="B377" s="57" t="s">
        <v>1286</v>
      </c>
      <c r="C377" s="49" t="s">
        <v>55</v>
      </c>
      <c r="D377" s="58">
        <v>46279</v>
      </c>
      <c r="E377" s="49" t="s">
        <v>380</v>
      </c>
      <c r="F377" s="56">
        <v>4</v>
      </c>
      <c r="G377" s="42" t="s">
        <v>1287</v>
      </c>
      <c r="H377" s="49" t="s">
        <v>671</v>
      </c>
      <c r="I377" s="59">
        <v>-4</v>
      </c>
      <c r="J377" s="43" t="s">
        <v>349</v>
      </c>
      <c r="K377" s="49" t="s">
        <v>110</v>
      </c>
      <c r="L377" s="42" t="s">
        <v>181</v>
      </c>
      <c r="M377" s="55">
        <v>-1</v>
      </c>
      <c r="N377" s="49" t="s">
        <v>109</v>
      </c>
      <c r="O377" s="42" t="s">
        <v>227</v>
      </c>
      <c r="P377" s="60">
        <v>46279.419479166667</v>
      </c>
    </row>
    <row r="378" spans="2:16" x14ac:dyDescent="0.25">
      <c r="B378" s="57" t="s">
        <v>1288</v>
      </c>
      <c r="C378" s="49" t="s">
        <v>55</v>
      </c>
      <c r="D378" s="58">
        <v>46279</v>
      </c>
      <c r="E378" s="49" t="s">
        <v>353</v>
      </c>
      <c r="F378" s="56">
        <v>4</v>
      </c>
      <c r="G378" s="42" t="s">
        <v>1289</v>
      </c>
      <c r="H378" s="49" t="s">
        <v>585</v>
      </c>
      <c r="I378" s="59">
        <v>-4</v>
      </c>
      <c r="J378" s="43" t="s">
        <v>349</v>
      </c>
      <c r="K378" s="49" t="s">
        <v>112</v>
      </c>
      <c r="L378" s="42" t="s">
        <v>181</v>
      </c>
      <c r="M378" s="55">
        <v>-1</v>
      </c>
      <c r="N378" s="49" t="s">
        <v>111</v>
      </c>
      <c r="O378" s="42" t="s">
        <v>179</v>
      </c>
      <c r="P378" s="60">
        <v>46279.498217592591</v>
      </c>
    </row>
    <row r="379" spans="2:16" x14ac:dyDescent="0.25">
      <c r="B379" s="57" t="s">
        <v>1290</v>
      </c>
      <c r="C379" s="49" t="s">
        <v>55</v>
      </c>
      <c r="D379" s="58">
        <v>46279</v>
      </c>
      <c r="E379" s="49" t="s">
        <v>351</v>
      </c>
      <c r="F379" s="56">
        <v>12</v>
      </c>
      <c r="G379" s="42" t="s">
        <v>1291</v>
      </c>
      <c r="H379" s="49"/>
      <c r="I379" s="59">
        <v>-12</v>
      </c>
      <c r="J379" s="43" t="s">
        <v>349</v>
      </c>
      <c r="K379" s="49" t="s">
        <v>110</v>
      </c>
      <c r="L379" s="42" t="s">
        <v>177</v>
      </c>
      <c r="M379" s="55">
        <v>-1</v>
      </c>
      <c r="N379" s="49" t="s">
        <v>109</v>
      </c>
      <c r="O379" s="42" t="s">
        <v>175</v>
      </c>
      <c r="P379" s="60">
        <v>46279.595208333332</v>
      </c>
    </row>
    <row r="380" spans="2:16" x14ac:dyDescent="0.25">
      <c r="B380" s="57" t="s">
        <v>1292</v>
      </c>
      <c r="C380" s="49" t="s">
        <v>55</v>
      </c>
      <c r="D380" s="58">
        <v>46280</v>
      </c>
      <c r="E380" s="49" t="s">
        <v>378</v>
      </c>
      <c r="F380" s="56">
        <v>33</v>
      </c>
      <c r="G380" s="42" t="s">
        <v>1293</v>
      </c>
      <c r="H380" s="49" t="s">
        <v>588</v>
      </c>
      <c r="I380" s="59">
        <v>-33</v>
      </c>
      <c r="J380" s="43" t="s">
        <v>349</v>
      </c>
      <c r="K380" s="49" t="s">
        <v>112</v>
      </c>
      <c r="L380" s="42" t="s">
        <v>181</v>
      </c>
      <c r="M380" s="55">
        <v>-1</v>
      </c>
      <c r="N380" s="49" t="s">
        <v>111</v>
      </c>
      <c r="O380" s="42" t="s">
        <v>224</v>
      </c>
      <c r="P380" s="60">
        <v>46280.404270833344</v>
      </c>
    </row>
    <row r="381" spans="2:16" x14ac:dyDescent="0.25">
      <c r="B381" s="57" t="s">
        <v>1294</v>
      </c>
      <c r="C381" s="49" t="s">
        <v>55</v>
      </c>
      <c r="D381" s="58">
        <v>46281</v>
      </c>
      <c r="E381" s="49" t="s">
        <v>374</v>
      </c>
      <c r="F381" s="56">
        <v>60</v>
      </c>
      <c r="G381" s="42" t="s">
        <v>1295</v>
      </c>
      <c r="H381" s="49" t="s">
        <v>588</v>
      </c>
      <c r="I381" s="59">
        <v>-60</v>
      </c>
      <c r="J381" s="43" t="s">
        <v>349</v>
      </c>
      <c r="K381" s="49" t="s">
        <v>112</v>
      </c>
      <c r="L381" s="42" t="s">
        <v>218</v>
      </c>
      <c r="M381" s="55">
        <v>-1</v>
      </c>
      <c r="N381" s="49" t="s">
        <v>111</v>
      </c>
      <c r="O381" s="42" t="s">
        <v>216</v>
      </c>
      <c r="P381" s="60">
        <v>46281.337222222217</v>
      </c>
    </row>
    <row r="382" spans="2:16" x14ac:dyDescent="0.25">
      <c r="B382" s="57" t="s">
        <v>1296</v>
      </c>
      <c r="C382" s="49" t="s">
        <v>55</v>
      </c>
      <c r="D382" s="58">
        <v>46281</v>
      </c>
      <c r="E382" s="49" t="s">
        <v>357</v>
      </c>
      <c r="F382" s="56">
        <v>1</v>
      </c>
      <c r="G382" s="42" t="s">
        <v>1297</v>
      </c>
      <c r="H382" s="49" t="s">
        <v>585</v>
      </c>
      <c r="I382" s="59">
        <v>-1</v>
      </c>
      <c r="J382" s="43" t="s">
        <v>349</v>
      </c>
      <c r="K382" s="49" t="s">
        <v>112</v>
      </c>
      <c r="L382" s="42" t="s">
        <v>181</v>
      </c>
      <c r="M382" s="55">
        <v>-1</v>
      </c>
      <c r="N382" s="49" t="s">
        <v>111</v>
      </c>
      <c r="O382" s="42" t="s">
        <v>186</v>
      </c>
      <c r="P382" s="60">
        <v>46281.354097222233</v>
      </c>
    </row>
    <row r="383" spans="2:16" x14ac:dyDescent="0.25">
      <c r="B383" s="57" t="s">
        <v>1298</v>
      </c>
      <c r="C383" s="49" t="s">
        <v>55</v>
      </c>
      <c r="D383" s="58">
        <v>46281</v>
      </c>
      <c r="E383" s="49" t="s">
        <v>380</v>
      </c>
      <c r="F383" s="56">
        <v>2</v>
      </c>
      <c r="G383" s="42" t="s">
        <v>1299</v>
      </c>
      <c r="H383" s="49"/>
      <c r="I383" s="59">
        <v>-2</v>
      </c>
      <c r="J383" s="43" t="s">
        <v>349</v>
      </c>
      <c r="K383" s="49" t="s">
        <v>112</v>
      </c>
      <c r="L383" s="42" t="s">
        <v>181</v>
      </c>
      <c r="M383" s="55">
        <v>-1</v>
      </c>
      <c r="N383" s="49" t="s">
        <v>111</v>
      </c>
      <c r="O383" s="42" t="s">
        <v>227</v>
      </c>
      <c r="P383" s="60">
        <v>46281.370706018519</v>
      </c>
    </row>
    <row r="384" spans="2:16" x14ac:dyDescent="0.25">
      <c r="B384" s="57" t="s">
        <v>1300</v>
      </c>
      <c r="C384" s="49" t="s">
        <v>55</v>
      </c>
      <c r="D384" s="58">
        <v>46282</v>
      </c>
      <c r="E384" s="49" t="s">
        <v>410</v>
      </c>
      <c r="F384" s="56">
        <v>18</v>
      </c>
      <c r="G384" s="42" t="s">
        <v>1301</v>
      </c>
      <c r="H384" s="49" t="s">
        <v>671</v>
      </c>
      <c r="I384" s="59">
        <v>-18</v>
      </c>
      <c r="J384" s="43" t="s">
        <v>349</v>
      </c>
      <c r="K384" s="49" t="s">
        <v>110</v>
      </c>
      <c r="L384" s="42" t="s">
        <v>177</v>
      </c>
      <c r="M384" s="55">
        <v>-1</v>
      </c>
      <c r="N384" s="49" t="s">
        <v>109</v>
      </c>
      <c r="O384" s="42" t="s">
        <v>278</v>
      </c>
      <c r="P384" s="60">
        <v>46282.418344907397</v>
      </c>
    </row>
    <row r="385" spans="2:16" x14ac:dyDescent="0.25">
      <c r="B385" s="57" t="s">
        <v>1302</v>
      </c>
      <c r="C385" s="49" t="s">
        <v>55</v>
      </c>
      <c r="D385" s="58">
        <v>46283</v>
      </c>
      <c r="E385" s="49" t="s">
        <v>414</v>
      </c>
      <c r="F385" s="56">
        <v>13</v>
      </c>
      <c r="G385" s="42" t="s">
        <v>1303</v>
      </c>
      <c r="H385" s="49" t="s">
        <v>585</v>
      </c>
      <c r="I385" s="59">
        <v>-13</v>
      </c>
      <c r="J385" s="43" t="s">
        <v>349</v>
      </c>
      <c r="K385" s="49" t="s">
        <v>110</v>
      </c>
      <c r="L385" s="42" t="s">
        <v>286</v>
      </c>
      <c r="M385" s="55">
        <v>-1</v>
      </c>
      <c r="N385" s="49" t="s">
        <v>109</v>
      </c>
      <c r="O385" s="42" t="s">
        <v>284</v>
      </c>
      <c r="P385" s="60">
        <v>46283.609490740739</v>
      </c>
    </row>
    <row r="386" spans="2:16" x14ac:dyDescent="0.25">
      <c r="B386" s="57" t="s">
        <v>1304</v>
      </c>
      <c r="C386" s="49" t="s">
        <v>55</v>
      </c>
      <c r="D386" s="58">
        <v>46283</v>
      </c>
      <c r="E386" s="49" t="s">
        <v>351</v>
      </c>
      <c r="F386" s="56">
        <v>9</v>
      </c>
      <c r="G386" s="42" t="s">
        <v>1305</v>
      </c>
      <c r="H386" s="49" t="s">
        <v>593</v>
      </c>
      <c r="I386" s="59">
        <v>-9</v>
      </c>
      <c r="J386" s="43" t="s">
        <v>349</v>
      </c>
      <c r="K386" s="49" t="s">
        <v>110</v>
      </c>
      <c r="L386" s="42" t="s">
        <v>177</v>
      </c>
      <c r="M386" s="55">
        <v>-1</v>
      </c>
      <c r="N386" s="49" t="s">
        <v>109</v>
      </c>
      <c r="O386" s="42" t="s">
        <v>175</v>
      </c>
      <c r="P386" s="60">
        <v>46283.63521990741</v>
      </c>
    </row>
    <row r="387" spans="2:16" x14ac:dyDescent="0.25">
      <c r="B387" s="57" t="s">
        <v>1306</v>
      </c>
      <c r="C387" s="49" t="s">
        <v>55</v>
      </c>
      <c r="D387" s="58">
        <v>46284</v>
      </c>
      <c r="E387" s="49" t="s">
        <v>404</v>
      </c>
      <c r="F387" s="56">
        <v>7</v>
      </c>
      <c r="G387" s="42" t="s">
        <v>1307</v>
      </c>
      <c r="H387" s="49" t="s">
        <v>612</v>
      </c>
      <c r="I387" s="59">
        <v>-7</v>
      </c>
      <c r="J387" s="43" t="s">
        <v>349</v>
      </c>
      <c r="K387" s="49" t="s">
        <v>110</v>
      </c>
      <c r="L387" s="42" t="s">
        <v>173</v>
      </c>
      <c r="M387" s="55">
        <v>-1</v>
      </c>
      <c r="N387" s="49" t="s">
        <v>109</v>
      </c>
      <c r="O387" s="42" t="s">
        <v>267</v>
      </c>
      <c r="P387" s="60">
        <v>46284.485243055547</v>
      </c>
    </row>
    <row r="388" spans="2:16" x14ac:dyDescent="0.25">
      <c r="B388" s="57" t="s">
        <v>1308</v>
      </c>
      <c r="C388" s="49" t="s">
        <v>55</v>
      </c>
      <c r="D388" s="58">
        <v>46284</v>
      </c>
      <c r="E388" s="49" t="s">
        <v>370</v>
      </c>
      <c r="F388" s="56">
        <v>38</v>
      </c>
      <c r="G388" s="42" t="s">
        <v>1309</v>
      </c>
      <c r="H388" s="49" t="s">
        <v>593</v>
      </c>
      <c r="I388" s="59">
        <v>-38</v>
      </c>
      <c r="J388" s="43" t="s">
        <v>349</v>
      </c>
      <c r="K388" s="49" t="s">
        <v>110</v>
      </c>
      <c r="L388" s="42" t="s">
        <v>181</v>
      </c>
      <c r="M388" s="55">
        <v>-1</v>
      </c>
      <c r="N388" s="49" t="s">
        <v>109</v>
      </c>
      <c r="O388" s="42" t="s">
        <v>210</v>
      </c>
      <c r="P388" s="60">
        <v>46284.545127314806</v>
      </c>
    </row>
    <row r="389" spans="2:16" x14ac:dyDescent="0.25">
      <c r="B389" s="57" t="s">
        <v>1310</v>
      </c>
      <c r="C389" s="49" t="s">
        <v>55</v>
      </c>
      <c r="D389" s="58">
        <v>46286</v>
      </c>
      <c r="E389" s="49" t="s">
        <v>388</v>
      </c>
      <c r="F389" s="56">
        <v>4.5</v>
      </c>
      <c r="G389" s="42" t="s">
        <v>1311</v>
      </c>
      <c r="H389" s="49"/>
      <c r="I389" s="59">
        <v>-4.5</v>
      </c>
      <c r="J389" s="43" t="s">
        <v>349</v>
      </c>
      <c r="K389" s="49" t="s">
        <v>110</v>
      </c>
      <c r="L389" s="42" t="s">
        <v>239</v>
      </c>
      <c r="M389" s="55">
        <v>-1</v>
      </c>
      <c r="N389" s="49" t="s">
        <v>109</v>
      </c>
      <c r="O389" s="42" t="s">
        <v>241</v>
      </c>
      <c r="P389" s="60">
        <v>46286.555972222217</v>
      </c>
    </row>
    <row r="390" spans="2:16" x14ac:dyDescent="0.25">
      <c r="B390" s="57" t="s">
        <v>1312</v>
      </c>
      <c r="C390" s="49" t="s">
        <v>55</v>
      </c>
      <c r="D390" s="58">
        <v>46286</v>
      </c>
      <c r="E390" s="49" t="s">
        <v>357</v>
      </c>
      <c r="F390" s="56">
        <v>14</v>
      </c>
      <c r="G390" s="42" t="s">
        <v>1313</v>
      </c>
      <c r="H390" s="49"/>
      <c r="I390" s="59">
        <v>-14</v>
      </c>
      <c r="J390" s="43" t="s">
        <v>349</v>
      </c>
      <c r="K390" s="49" t="s">
        <v>112</v>
      </c>
      <c r="L390" s="42" t="s">
        <v>181</v>
      </c>
      <c r="M390" s="55">
        <v>-1</v>
      </c>
      <c r="N390" s="49" t="s">
        <v>111</v>
      </c>
      <c r="O390" s="42" t="s">
        <v>186</v>
      </c>
      <c r="P390" s="60">
        <v>46286.698773148149</v>
      </c>
    </row>
    <row r="391" spans="2:16" x14ac:dyDescent="0.25">
      <c r="B391" s="57" t="s">
        <v>1314</v>
      </c>
      <c r="C391" s="49" t="s">
        <v>55</v>
      </c>
      <c r="D391" s="58">
        <v>46286</v>
      </c>
      <c r="E391" s="49" t="s">
        <v>372</v>
      </c>
      <c r="F391" s="56">
        <v>9</v>
      </c>
      <c r="G391" s="42" t="s">
        <v>1315</v>
      </c>
      <c r="H391" s="49" t="s">
        <v>671</v>
      </c>
      <c r="I391" s="59">
        <v>-9</v>
      </c>
      <c r="J391" s="43" t="s">
        <v>349</v>
      </c>
      <c r="K391" s="49" t="s">
        <v>112</v>
      </c>
      <c r="L391" s="42" t="s">
        <v>181</v>
      </c>
      <c r="M391" s="55">
        <v>-1</v>
      </c>
      <c r="N391" s="49" t="s">
        <v>111</v>
      </c>
      <c r="O391" s="42" t="s">
        <v>213</v>
      </c>
      <c r="P391" s="60">
        <v>46286.716099537043</v>
      </c>
    </row>
    <row r="392" spans="2:16" x14ac:dyDescent="0.25">
      <c r="B392" s="57" t="s">
        <v>1316</v>
      </c>
      <c r="C392" s="49" t="s">
        <v>55</v>
      </c>
      <c r="D392" s="58">
        <v>46287</v>
      </c>
      <c r="E392" s="49" t="s">
        <v>374</v>
      </c>
      <c r="F392" s="56">
        <v>46.5</v>
      </c>
      <c r="G392" s="42" t="s">
        <v>1317</v>
      </c>
      <c r="H392" s="49"/>
      <c r="I392" s="59">
        <v>-46.5</v>
      </c>
      <c r="J392" s="43" t="s">
        <v>349</v>
      </c>
      <c r="K392" s="49" t="s">
        <v>110</v>
      </c>
      <c r="L392" s="42" t="s">
        <v>218</v>
      </c>
      <c r="M392" s="55">
        <v>-1</v>
      </c>
      <c r="N392" s="49" t="s">
        <v>109</v>
      </c>
      <c r="O392" s="42" t="s">
        <v>216</v>
      </c>
      <c r="P392" s="60">
        <v>46287.5309375</v>
      </c>
    </row>
    <row r="393" spans="2:16" x14ac:dyDescent="0.25">
      <c r="B393" s="57" t="s">
        <v>1318</v>
      </c>
      <c r="C393" s="49" t="s">
        <v>55</v>
      </c>
      <c r="D393" s="58">
        <v>46287</v>
      </c>
      <c r="E393" s="49" t="s">
        <v>410</v>
      </c>
      <c r="F393" s="56">
        <v>8</v>
      </c>
      <c r="G393" s="42" t="s">
        <v>1319</v>
      </c>
      <c r="H393" s="49"/>
      <c r="I393" s="59">
        <v>-8</v>
      </c>
      <c r="J393" s="43" t="s">
        <v>349</v>
      </c>
      <c r="K393" s="49" t="s">
        <v>110</v>
      </c>
      <c r="L393" s="42" t="s">
        <v>177</v>
      </c>
      <c r="M393" s="55">
        <v>-1</v>
      </c>
      <c r="N393" s="49" t="s">
        <v>109</v>
      </c>
      <c r="O393" s="42" t="s">
        <v>278</v>
      </c>
      <c r="P393" s="60">
        <v>46287.585844907408</v>
      </c>
    </row>
    <row r="394" spans="2:16" x14ac:dyDescent="0.25">
      <c r="B394" s="57" t="s">
        <v>1320</v>
      </c>
      <c r="C394" s="49" t="s">
        <v>55</v>
      </c>
      <c r="D394" s="58">
        <v>46287</v>
      </c>
      <c r="E394" s="49" t="s">
        <v>335</v>
      </c>
      <c r="F394" s="56">
        <v>2</v>
      </c>
      <c r="G394" s="42" t="s">
        <v>1321</v>
      </c>
      <c r="H394" s="49" t="s">
        <v>593</v>
      </c>
      <c r="I394" s="59">
        <v>-2</v>
      </c>
      <c r="J394" s="43" t="s">
        <v>349</v>
      </c>
      <c r="K394" s="49" t="s">
        <v>110</v>
      </c>
      <c r="L394" s="42" t="s">
        <v>199</v>
      </c>
      <c r="M394" s="55">
        <v>-1</v>
      </c>
      <c r="N394" s="49" t="s">
        <v>109</v>
      </c>
      <c r="O394" s="42" t="s">
        <v>196</v>
      </c>
      <c r="P394" s="60">
        <v>46287.609293981477</v>
      </c>
    </row>
    <row r="395" spans="2:16" x14ac:dyDescent="0.25">
      <c r="B395" s="57" t="s">
        <v>1322</v>
      </c>
      <c r="C395" s="49" t="s">
        <v>55</v>
      </c>
      <c r="D395" s="58">
        <v>46287</v>
      </c>
      <c r="E395" s="49" t="s">
        <v>378</v>
      </c>
      <c r="F395" s="56">
        <v>43</v>
      </c>
      <c r="G395" s="42" t="s">
        <v>1323</v>
      </c>
      <c r="H395" s="49" t="s">
        <v>609</v>
      </c>
      <c r="I395" s="59">
        <v>-43</v>
      </c>
      <c r="J395" s="43" t="s">
        <v>349</v>
      </c>
      <c r="K395" s="49" t="s">
        <v>110</v>
      </c>
      <c r="L395" s="42" t="s">
        <v>181</v>
      </c>
      <c r="M395" s="55">
        <v>-1</v>
      </c>
      <c r="N395" s="49" t="s">
        <v>109</v>
      </c>
      <c r="O395" s="42" t="s">
        <v>224</v>
      </c>
      <c r="P395" s="60">
        <v>46287.683449074073</v>
      </c>
    </row>
    <row r="396" spans="2:16" x14ac:dyDescent="0.25">
      <c r="B396" s="57" t="s">
        <v>1324</v>
      </c>
      <c r="C396" s="49" t="s">
        <v>55</v>
      </c>
      <c r="D396" s="58">
        <v>46288</v>
      </c>
      <c r="E396" s="49" t="s">
        <v>378</v>
      </c>
      <c r="F396" s="56">
        <v>34</v>
      </c>
      <c r="G396" s="42" t="s">
        <v>1325</v>
      </c>
      <c r="H396" s="49"/>
      <c r="I396" s="59">
        <v>-34</v>
      </c>
      <c r="J396" s="43" t="s">
        <v>349</v>
      </c>
      <c r="K396" s="49" t="s">
        <v>112</v>
      </c>
      <c r="L396" s="42" t="s">
        <v>181</v>
      </c>
      <c r="M396" s="55">
        <v>-1</v>
      </c>
      <c r="N396" s="49" t="s">
        <v>111</v>
      </c>
      <c r="O396" s="42" t="s">
        <v>224</v>
      </c>
      <c r="P396" s="60">
        <v>46288.375439814823</v>
      </c>
    </row>
    <row r="397" spans="2:16" x14ac:dyDescent="0.25">
      <c r="B397" s="57" t="s">
        <v>1326</v>
      </c>
      <c r="C397" s="49" t="s">
        <v>55</v>
      </c>
      <c r="D397" s="58">
        <v>46288</v>
      </c>
      <c r="E397" s="49" t="s">
        <v>370</v>
      </c>
      <c r="F397" s="56">
        <v>27</v>
      </c>
      <c r="G397" s="42" t="s">
        <v>1327</v>
      </c>
      <c r="H397" s="49"/>
      <c r="I397" s="59">
        <v>-27</v>
      </c>
      <c r="J397" s="43" t="s">
        <v>349</v>
      </c>
      <c r="K397" s="49" t="s">
        <v>112</v>
      </c>
      <c r="L397" s="42" t="s">
        <v>181</v>
      </c>
      <c r="M397" s="55">
        <v>-1</v>
      </c>
      <c r="N397" s="49" t="s">
        <v>111</v>
      </c>
      <c r="O397" s="42" t="s">
        <v>210</v>
      </c>
      <c r="P397" s="60">
        <v>46288.579479166663</v>
      </c>
    </row>
    <row r="398" spans="2:16" x14ac:dyDescent="0.25">
      <c r="B398" s="57" t="s">
        <v>1328</v>
      </c>
      <c r="C398" s="49" t="s">
        <v>55</v>
      </c>
      <c r="D398" s="58">
        <v>46289</v>
      </c>
      <c r="E398" s="49" t="s">
        <v>394</v>
      </c>
      <c r="F398" s="56">
        <v>8</v>
      </c>
      <c r="G398" s="42" t="s">
        <v>1329</v>
      </c>
      <c r="H398" s="49" t="s">
        <v>588</v>
      </c>
      <c r="I398" s="59">
        <v>-8</v>
      </c>
      <c r="J398" s="43" t="s">
        <v>349</v>
      </c>
      <c r="K398" s="49" t="s">
        <v>112</v>
      </c>
      <c r="L398" s="42" t="s">
        <v>181</v>
      </c>
      <c r="M398" s="55">
        <v>-1</v>
      </c>
      <c r="N398" s="49" t="s">
        <v>111</v>
      </c>
      <c r="O398" s="42" t="s">
        <v>250</v>
      </c>
      <c r="P398" s="60">
        <v>46289.496759259258</v>
      </c>
    </row>
    <row r="399" spans="2:16" x14ac:dyDescent="0.25">
      <c r="B399" s="57" t="s">
        <v>1330</v>
      </c>
      <c r="C399" s="49" t="s">
        <v>55</v>
      </c>
      <c r="D399" s="58">
        <v>46289</v>
      </c>
      <c r="E399" s="49" t="s">
        <v>384</v>
      </c>
      <c r="F399" s="56">
        <v>38</v>
      </c>
      <c r="G399" s="42" t="s">
        <v>1331</v>
      </c>
      <c r="H399" s="49" t="s">
        <v>604</v>
      </c>
      <c r="I399" s="59">
        <v>-38</v>
      </c>
      <c r="J399" s="43" t="s">
        <v>349</v>
      </c>
      <c r="K399" s="49" t="s">
        <v>112</v>
      </c>
      <c r="L399" s="42" t="s">
        <v>181</v>
      </c>
      <c r="M399" s="55">
        <v>-1</v>
      </c>
      <c r="N399" s="49" t="s">
        <v>111</v>
      </c>
      <c r="O399" s="42" t="s">
        <v>233</v>
      </c>
      <c r="P399" s="60">
        <v>46289.667905092603</v>
      </c>
    </row>
    <row r="400" spans="2:16" x14ac:dyDescent="0.25">
      <c r="B400" s="57" t="s">
        <v>1332</v>
      </c>
      <c r="C400" s="49" t="s">
        <v>55</v>
      </c>
      <c r="D400" s="58">
        <v>46289</v>
      </c>
      <c r="E400" s="49" t="s">
        <v>378</v>
      </c>
      <c r="F400" s="56">
        <v>39</v>
      </c>
      <c r="G400" s="42" t="s">
        <v>1333</v>
      </c>
      <c r="H400" s="49" t="s">
        <v>609</v>
      </c>
      <c r="I400" s="59">
        <v>-39</v>
      </c>
      <c r="J400" s="43" t="s">
        <v>349</v>
      </c>
      <c r="K400" s="49" t="s">
        <v>110</v>
      </c>
      <c r="L400" s="42" t="s">
        <v>181</v>
      </c>
      <c r="M400" s="55">
        <v>-1</v>
      </c>
      <c r="N400" s="49" t="s">
        <v>109</v>
      </c>
      <c r="O400" s="42" t="s">
        <v>224</v>
      </c>
      <c r="P400" s="60">
        <v>46289.673576388886</v>
      </c>
    </row>
    <row r="401" spans="2:16" x14ac:dyDescent="0.25">
      <c r="B401" s="57" t="s">
        <v>1334</v>
      </c>
      <c r="C401" s="49" t="s">
        <v>55</v>
      </c>
      <c r="D401" s="58">
        <v>46289</v>
      </c>
      <c r="E401" s="49" t="s">
        <v>374</v>
      </c>
      <c r="F401" s="56">
        <v>55.5</v>
      </c>
      <c r="G401" s="42" t="s">
        <v>1335</v>
      </c>
      <c r="H401" s="49" t="s">
        <v>609</v>
      </c>
      <c r="I401" s="59">
        <v>-55.5</v>
      </c>
      <c r="J401" s="43" t="s">
        <v>349</v>
      </c>
      <c r="K401" s="49" t="s">
        <v>112</v>
      </c>
      <c r="L401" s="42" t="s">
        <v>218</v>
      </c>
      <c r="M401" s="55">
        <v>-1</v>
      </c>
      <c r="N401" s="49" t="s">
        <v>111</v>
      </c>
      <c r="O401" s="42" t="s">
        <v>216</v>
      </c>
      <c r="P401" s="60">
        <v>46289.675462962958</v>
      </c>
    </row>
    <row r="402" spans="2:16" x14ac:dyDescent="0.25">
      <c r="B402" s="57" t="s">
        <v>1336</v>
      </c>
      <c r="C402" s="49" t="s">
        <v>55</v>
      </c>
      <c r="D402" s="58">
        <v>46290</v>
      </c>
      <c r="E402" s="49" t="s">
        <v>346</v>
      </c>
      <c r="F402" s="56">
        <v>7</v>
      </c>
      <c r="G402" s="42" t="s">
        <v>1337</v>
      </c>
      <c r="H402" s="49" t="s">
        <v>1338</v>
      </c>
      <c r="I402" s="59">
        <v>-7</v>
      </c>
      <c r="J402" s="43" t="s">
        <v>349</v>
      </c>
      <c r="K402" s="49" t="s">
        <v>112</v>
      </c>
      <c r="L402" s="42" t="s">
        <v>173</v>
      </c>
      <c r="M402" s="55">
        <v>-1</v>
      </c>
      <c r="N402" s="49" t="s">
        <v>111</v>
      </c>
      <c r="O402" s="42" t="s">
        <v>170</v>
      </c>
      <c r="P402" s="60">
        <v>46290.36996527778</v>
      </c>
    </row>
    <row r="403" spans="2:16" x14ac:dyDescent="0.25">
      <c r="B403" s="57" t="s">
        <v>1339</v>
      </c>
      <c r="C403" s="49" t="s">
        <v>55</v>
      </c>
      <c r="D403" s="58">
        <v>46290</v>
      </c>
      <c r="E403" s="49" t="s">
        <v>357</v>
      </c>
      <c r="F403" s="56">
        <v>121</v>
      </c>
      <c r="G403" s="42" t="s">
        <v>1340</v>
      </c>
      <c r="H403" s="49" t="s">
        <v>1338</v>
      </c>
      <c r="I403" s="59">
        <v>-121</v>
      </c>
      <c r="J403" s="43" t="s">
        <v>349</v>
      </c>
      <c r="K403" s="49" t="s">
        <v>110</v>
      </c>
      <c r="L403" s="42" t="s">
        <v>181</v>
      </c>
      <c r="M403" s="55">
        <v>-1</v>
      </c>
      <c r="N403" s="49" t="s">
        <v>109</v>
      </c>
      <c r="O403" s="42" t="s">
        <v>186</v>
      </c>
      <c r="P403" s="60">
        <v>46290.38490740741</v>
      </c>
    </row>
    <row r="404" spans="2:16" x14ac:dyDescent="0.25">
      <c r="B404" s="57" t="s">
        <v>1341</v>
      </c>
      <c r="C404" s="49" t="s">
        <v>55</v>
      </c>
      <c r="D404" s="58">
        <v>46290</v>
      </c>
      <c r="E404" s="49" t="s">
        <v>335</v>
      </c>
      <c r="F404" s="56">
        <v>9</v>
      </c>
      <c r="G404" s="42" t="s">
        <v>1342</v>
      </c>
      <c r="H404" s="49" t="s">
        <v>1343</v>
      </c>
      <c r="I404" s="59">
        <v>-9</v>
      </c>
      <c r="J404" s="43" t="s">
        <v>349</v>
      </c>
      <c r="K404" s="49" t="s">
        <v>112</v>
      </c>
      <c r="L404" s="42" t="s">
        <v>199</v>
      </c>
      <c r="M404" s="55">
        <v>-1</v>
      </c>
      <c r="N404" s="49" t="s">
        <v>111</v>
      </c>
      <c r="O404" s="42" t="s">
        <v>196</v>
      </c>
      <c r="P404" s="60">
        <v>46290.435011574067</v>
      </c>
    </row>
    <row r="405" spans="2:16" x14ac:dyDescent="0.25">
      <c r="B405" s="57" t="s">
        <v>1344</v>
      </c>
      <c r="C405" s="49" t="s">
        <v>55</v>
      </c>
      <c r="D405" s="58">
        <v>46290</v>
      </c>
      <c r="E405" s="49" t="s">
        <v>368</v>
      </c>
      <c r="F405" s="56">
        <v>9</v>
      </c>
      <c r="G405" s="42" t="s">
        <v>1345</v>
      </c>
      <c r="H405" s="49" t="s">
        <v>1343</v>
      </c>
      <c r="I405" s="59">
        <v>-9</v>
      </c>
      <c r="J405" s="43" t="s">
        <v>349</v>
      </c>
      <c r="K405" s="49" t="s">
        <v>110</v>
      </c>
      <c r="L405" s="42" t="s">
        <v>181</v>
      </c>
      <c r="M405" s="55">
        <v>-1</v>
      </c>
      <c r="N405" s="49" t="s">
        <v>109</v>
      </c>
      <c r="O405" s="42" t="s">
        <v>207</v>
      </c>
      <c r="P405" s="60">
        <v>46290.44326388889</v>
      </c>
    </row>
    <row r="406" spans="2:16" x14ac:dyDescent="0.25">
      <c r="B406" s="57" t="s">
        <v>1346</v>
      </c>
      <c r="C406" s="49" t="s">
        <v>55</v>
      </c>
      <c r="D406" s="58">
        <v>46290</v>
      </c>
      <c r="E406" s="49" t="s">
        <v>380</v>
      </c>
      <c r="F406" s="56">
        <v>31</v>
      </c>
      <c r="G406" s="42" t="s">
        <v>1347</v>
      </c>
      <c r="H406" s="49" t="s">
        <v>1348</v>
      </c>
      <c r="I406" s="59">
        <v>-31</v>
      </c>
      <c r="J406" s="43" t="s">
        <v>349</v>
      </c>
      <c r="K406" s="49" t="s">
        <v>110</v>
      </c>
      <c r="L406" s="42" t="s">
        <v>181</v>
      </c>
      <c r="M406" s="55">
        <v>-1</v>
      </c>
      <c r="N406" s="49" t="s">
        <v>109</v>
      </c>
      <c r="O406" s="42" t="s">
        <v>227</v>
      </c>
      <c r="P406" s="60">
        <v>46290.506307870368</v>
      </c>
    </row>
    <row r="407" spans="2:16" x14ac:dyDescent="0.25">
      <c r="B407" s="57" t="s">
        <v>1349</v>
      </c>
      <c r="C407" s="49" t="s">
        <v>55</v>
      </c>
      <c r="D407" s="58">
        <v>46290</v>
      </c>
      <c r="E407" s="49" t="s">
        <v>388</v>
      </c>
      <c r="F407" s="56">
        <v>8.5</v>
      </c>
      <c r="G407" s="42" t="s">
        <v>1350</v>
      </c>
      <c r="H407" s="49" t="s">
        <v>1348</v>
      </c>
      <c r="I407" s="59">
        <v>-8.5</v>
      </c>
      <c r="J407" s="43" t="s">
        <v>349</v>
      </c>
      <c r="K407" s="49" t="s">
        <v>110</v>
      </c>
      <c r="L407" s="42" t="s">
        <v>239</v>
      </c>
      <c r="M407" s="55">
        <v>-1</v>
      </c>
      <c r="N407" s="49" t="s">
        <v>109</v>
      </c>
      <c r="O407" s="42" t="s">
        <v>241</v>
      </c>
      <c r="P407" s="60">
        <v>46290.592013888891</v>
      </c>
    </row>
    <row r="408" spans="2:16" x14ac:dyDescent="0.25">
      <c r="B408" s="57" t="s">
        <v>1351</v>
      </c>
      <c r="C408" s="49" t="s">
        <v>55</v>
      </c>
      <c r="D408" s="58">
        <v>46290</v>
      </c>
      <c r="E408" s="49" t="s">
        <v>392</v>
      </c>
      <c r="F408" s="56">
        <v>9</v>
      </c>
      <c r="G408" s="42" t="s">
        <v>1352</v>
      </c>
      <c r="H408" s="49" t="s">
        <v>1343</v>
      </c>
      <c r="I408" s="59">
        <v>-9</v>
      </c>
      <c r="J408" s="43" t="s">
        <v>349</v>
      </c>
      <c r="K408" s="49" t="s">
        <v>112</v>
      </c>
      <c r="L408" s="42" t="s">
        <v>181</v>
      </c>
      <c r="M408" s="55">
        <v>-1</v>
      </c>
      <c r="N408" s="49" t="s">
        <v>111</v>
      </c>
      <c r="O408" s="42" t="s">
        <v>247</v>
      </c>
      <c r="P408" s="60">
        <v>46290.610231481478</v>
      </c>
    </row>
    <row r="409" spans="2:16" x14ac:dyDescent="0.25">
      <c r="B409" s="57" t="s">
        <v>1353</v>
      </c>
      <c r="C409" s="49" t="s">
        <v>55</v>
      </c>
      <c r="D409" s="58">
        <v>46290</v>
      </c>
      <c r="E409" s="49" t="s">
        <v>402</v>
      </c>
      <c r="F409" s="56">
        <v>13</v>
      </c>
      <c r="G409" s="42" t="s">
        <v>1354</v>
      </c>
      <c r="H409" s="49" t="s">
        <v>1343</v>
      </c>
      <c r="I409" s="59">
        <v>-13</v>
      </c>
      <c r="J409" s="43" t="s">
        <v>349</v>
      </c>
      <c r="K409" s="49" t="s">
        <v>112</v>
      </c>
      <c r="L409" s="42" t="s">
        <v>256</v>
      </c>
      <c r="M409" s="55">
        <v>-1</v>
      </c>
      <c r="N409" s="49" t="s">
        <v>111</v>
      </c>
      <c r="O409" s="42" t="s">
        <v>264</v>
      </c>
      <c r="P409" s="60">
        <v>46290.610497685193</v>
      </c>
    </row>
    <row r="410" spans="2:16" x14ac:dyDescent="0.25">
      <c r="B410" s="57" t="s">
        <v>1355</v>
      </c>
      <c r="C410" s="49" t="s">
        <v>55</v>
      </c>
      <c r="D410" s="58">
        <v>46290</v>
      </c>
      <c r="E410" s="49" t="s">
        <v>408</v>
      </c>
      <c r="F410" s="56">
        <v>54.5</v>
      </c>
      <c r="G410" s="42" t="s">
        <v>1356</v>
      </c>
      <c r="H410" s="49" t="s">
        <v>1357</v>
      </c>
      <c r="I410" s="59">
        <v>-54.5</v>
      </c>
      <c r="J410" s="43" t="s">
        <v>349</v>
      </c>
      <c r="K410" s="49" t="s">
        <v>110</v>
      </c>
      <c r="L410" s="42" t="s">
        <v>276</v>
      </c>
      <c r="M410" s="55">
        <v>-1</v>
      </c>
      <c r="N410" s="49" t="s">
        <v>109</v>
      </c>
      <c r="O410" s="42" t="s">
        <v>274</v>
      </c>
      <c r="P410" s="60">
        <v>46290.63009259259</v>
      </c>
    </row>
  </sheetData>
  <sheetProtection password="930D" sheet="1" objects="1" scenarios="1" formatColumns="0" autoFilter="0"/>
  <protectedRanges>
    <protectedRange sqref="D9:H23" name="Captura Ventas"/>
  </protectedRanges>
  <mergeCells count="3">
    <mergeCell ref="C6:D6"/>
    <mergeCell ref="J6:K6"/>
    <mergeCell ref="F6:I6"/>
  </mergeCells>
  <conditionalFormatting sqref="B9:B23">
    <cfRule type="expression" dxfId="126" priority="17">
      <formula>$N9=""</formula>
    </cfRule>
    <cfRule type="expression" dxfId="125" priority="14">
      <formula>$N9&lt;&gt;""</formula>
    </cfRule>
  </conditionalFormatting>
  <conditionalFormatting sqref="B9:P23">
    <cfRule type="expression" dxfId="124" priority="3">
      <formula>$N9=""</formula>
    </cfRule>
  </conditionalFormatting>
  <conditionalFormatting sqref="B28:P20028">
    <cfRule type="expression" dxfId="123" priority="34">
      <formula>AND($B28&lt;&gt;"",MOD(ROW(),2)=0)</formula>
    </cfRule>
  </conditionalFormatting>
  <conditionalFormatting sqref="C28:C20028">
    <cfRule type="expression" dxfId="122" priority="26">
      <formula>$M28=1</formula>
    </cfRule>
    <cfRule type="expression" dxfId="121" priority="27">
      <formula>$M28=-1</formula>
    </cfRule>
  </conditionalFormatting>
  <conditionalFormatting sqref="F9:F23">
    <cfRule type="expression" dxfId="120" priority="15">
      <formula>AND(ISNUMBER(F9),F9&lt;&gt;INT(F9))</formula>
    </cfRule>
    <cfRule type="expression" dxfId="119" priority="1" stopIfTrue="1">
      <formula>AND(ISNUMBER($P9),$P9&lt;0)</formula>
    </cfRule>
  </conditionalFormatting>
  <conditionalFormatting sqref="F28:F20028">
    <cfRule type="expression" dxfId="118" priority="32">
      <formula>AND(ISNUMBER(F28),F28&lt;&gt;INT(F28))</formula>
    </cfRule>
    <cfRule type="expression" dxfId="117" priority="18" stopIfTrue="1">
      <formula>LEFT($J28,1)="✖"</formula>
    </cfRule>
  </conditionalFormatting>
  <conditionalFormatting sqref="I9:I23">
    <cfRule type="expression" dxfId="116" priority="2" stopIfTrue="1">
      <formula>AND(ISNUMBER($P9),$P9&lt;0)</formula>
    </cfRule>
    <cfRule type="expression" dxfId="115" priority="16">
      <formula>AND(ISNUMBER(I9),I9&lt;&gt;INT(I9))</formula>
    </cfRule>
  </conditionalFormatting>
  <conditionalFormatting sqref="I28:I20028">
    <cfRule type="expression" dxfId="114" priority="28">
      <formula>$M28=1</formula>
    </cfRule>
    <cfRule type="expression" dxfId="113" priority="29">
      <formula>$M28=-1</formula>
    </cfRule>
    <cfRule type="expression" dxfId="112" priority="33">
      <formula>AND(ISNUMBER(I28),I28&lt;&gt;INT(I28))</formula>
    </cfRule>
  </conditionalFormatting>
  <conditionalFormatting sqref="I28:J20028">
    <cfRule type="expression" dxfId="111" priority="19" stopIfTrue="1">
      <formula>LEFT($J28,1)="✖"</formula>
    </cfRule>
  </conditionalFormatting>
  <conditionalFormatting sqref="J9:J23">
    <cfRule type="expression" dxfId="110" priority="4">
      <formula>LEFT($J9,1)="✖"</formula>
    </cfRule>
    <cfRule type="expression" dxfId="109" priority="5">
      <formula>LEFT($J9,1)="⚠"</formula>
    </cfRule>
    <cfRule type="expression" dxfId="108" priority="6">
      <formula>LEFT($J9,1)="✔"</formula>
    </cfRule>
    <cfRule type="expression" dxfId="107" priority="7">
      <formula>LEFT($J9,1)="●"</formula>
    </cfRule>
    <cfRule type="expression" dxfId="106" priority="8">
      <formula>LEFT($J9,1)="○"</formula>
    </cfRule>
  </conditionalFormatting>
  <conditionalFormatting sqref="J28:J20028">
    <cfRule type="expression" dxfId="105" priority="21">
      <formula>LEFT($J28,1)="✖"</formula>
    </cfRule>
    <cfRule type="expression" dxfId="104" priority="22">
      <formula>LEFT($J28,1)="⚠"</formula>
    </cfRule>
    <cfRule type="expression" dxfId="103" priority="23">
      <formula>LEFT($J28,1)="✔"</formula>
    </cfRule>
    <cfRule type="expression" dxfId="102" priority="24">
      <formula>LEFT($J28,1)="●"</formula>
    </cfRule>
    <cfRule type="expression" dxfId="101" priority="25">
      <formula>LEFT($J28,1)="○"</formula>
    </cfRule>
  </conditionalFormatting>
  <conditionalFormatting sqref="K9:K23">
    <cfRule type="expression" dxfId="100" priority="9">
      <formula>LEFT($K9,1)="✖"</formula>
    </cfRule>
    <cfRule type="expression" dxfId="99" priority="10">
      <formula>LEFT($K9,1)="⚠"</formula>
    </cfRule>
    <cfRule type="expression" dxfId="98" priority="11">
      <formula>LEFT($K9,1)="✔"</formula>
    </cfRule>
    <cfRule type="expression" dxfId="97" priority="12">
      <formula>LEFT($K9,1)="●"</formula>
    </cfRule>
    <cfRule type="expression" dxfId="96" priority="13">
      <formula>LEFT($K9,1)="○"</formula>
    </cfRule>
  </conditionalFormatting>
  <conditionalFormatting sqref="M28:M20028">
    <cfRule type="expression" dxfId="95" priority="30">
      <formula>$M28=1</formula>
    </cfRule>
    <cfRule type="expression" dxfId="94" priority="31">
      <formula>$M28=-1</formula>
    </cfRule>
  </conditionalFormatting>
  <dataValidations count="35">
    <dataValidation allowBlank="1" showInputMessage="1" showErrorMessage="1" promptTitle="ƒx Usuario" prompt="Persona dueña de esta fila (según 02_USUARIOS). Escriba solo en SU fila." sqref="B8" xr:uid="{00000000-0002-0000-0A00-000000000000}"/>
    <dataValidation allowBlank="1" showInputMessage="1" showErrorMessage="1" promptTitle="ƒx Tipo" prompt="Siempre SALIDA en este fragmento." sqref="C8" xr:uid="{00000000-0002-0000-0A00-000001000000}"/>
    <dataValidation allowBlank="1" showInputMessage="1" showErrorMessage="1" promptTitle="✎ Fecha" prompt="Opcional. Vacía = hoy. Para registrar un movimiento de otro día: dd/mm/aaaa." sqref="D8" xr:uid="{00000000-0002-0000-0A00-000002000000}"/>
    <dataValidation allowBlank="1" showInputMessage="1" showErrorMessage="1" promptTitle="✎ Producto" prompt="Elija de la lista. Escriba parte del nombre o del SKU para filtrarla." sqref="E8" xr:uid="{00000000-0002-0000-0A00-000003000000}"/>
    <dataValidation allowBlank="1" showInputMessage="1" showErrorMessage="1" promptTitle="✎ Cantidad" prompt="Siempre positiva, en la unidad del producto. El signo lo pone el tipo." sqref="F8" xr:uid="{00000000-0002-0000-0A00-000004000000}"/>
    <dataValidation allowBlank="1" showInputMessage="1" showErrorMessage="1" promptTitle="✎ Documento" prompt="Opcional: factura, remisión, orden o cliente. Máximo 30 caracteres." sqref="G8" xr:uid="{00000000-0002-0000-0A00-000005000000}"/>
    <dataValidation allowBlank="1" showInputMessage="1" showErrorMessage="1" promptTitle="✎ Observaciones" prompt="Obligatoria en los AJUSTES (motivo). Máximo 250 caracteres." sqref="H8" xr:uid="{00000000-0002-0000-0A00-000006000000}"/>
    <dataValidation allowBlank="1" showInputMessage="1" showErrorMessage="1" promptTitle="ƒx Disponible" prompt="Stock exacto en este instante: suma de las dos bitácoras oficiales." sqref="I8" xr:uid="{00000000-0002-0000-0A00-000007000000}"/>
    <dataValidation allowBlank="1" showInputMessage="1" showErrorMessage="1" promptTitle="ƒx Validación" prompt="✔ lista para registrar · ○ falta un dato · ✖ error que impide registrar." sqref="J8" xr:uid="{00000000-0002-0000-0A00-000008000000}"/>
    <dataValidation allowBlank="1" showInputMessage="1" showErrorMessage="1" promptTitle="ƒx Resultado" prompt="Lo escribe el script al pulsar el botón: ✔ registrado (con ID) o ✖ bloqueado." sqref="K8" xr:uid="{00000000-0002-0000-0A00-000009000000}"/>
    <dataValidation allowBlank="1" showInputMessage="1" showErrorMessage="1" promptTitle="ƒx Unidad" prompt="Unidad de medida del producto." sqref="L8" xr:uid="{00000000-0002-0000-0A00-00000A000000}"/>
    <dataValidation allowBlank="1" showInputMessage="1" showErrorMessage="1" promptTitle="ƒx Factor" prompt="+1 suma al inventario, −1 resta." sqref="M8" xr:uid="{00000000-0002-0000-0A00-00000B000000}"/>
    <dataValidation allowBlank="1" showInputMessage="1" showErrorMessage="1" promptTitle="ƒx Correo" prompt="Técnica (oculta): correo de Microsoft 365 del dueño de la fila." sqref="N8" xr:uid="{00000000-0002-0000-0A00-00000C000000}"/>
    <dataValidation allowBlank="1" showInputMessage="1" showErrorMessage="1" promptTitle="ƒx SKU" prompt="Técnica (oculta): código extraído del producto." sqref="O8" xr:uid="{00000000-0002-0000-0A00-00000D000000}"/>
    <dataValidation allowBlank="1" showInputMessage="1" showErrorMessage="1" promptTitle="ƒx Queda" prompt="Técnica (oculta): stock resultante si se registra." sqref="P8" xr:uid="{00000000-0002-0000-0A00-00000E000000}"/>
    <dataValidation type="date" allowBlank="1" showInputMessage="1" showErrorMessage="1" errorTitle="Fecha no válida" error="Use dd/mm/aaaa, sin fechas futuras ni anteriores a la mínima." promptTitle="Fecha (opcional)" prompt="Vacía = hoy. Otro día: dd/mm/aaaa. No se admiten fechas futuras." sqref="D9:D23" xr:uid="{00000000-0002-0000-0A00-00000F000000}">
      <formula1>cfgFechaMin</formula1>
      <formula2>TODAY()</formula2>
    </dataValidation>
    <dataValidation type="list" allowBlank="1" showInputMessage="1" showErrorMessage="1" errorTitle="Producto no válido" error="Elija un producto de la lista del catálogo." promptTitle="Producto" prompt="Elija de la lista. Escriba parte del nombre o del SKU para filtrarla. Nunca lo escriba completo a mano." sqref="E9:E23" xr:uid="{00000000-0002-0000-0A00-000010000000}">
      <formula1>lstProductos</formula1>
    </dataValidation>
    <dataValidation type="custom" allowBlank="1" showInputMessage="1" showErrorMessage="1" errorTitle="Cantidad no válida" error="Debe ser mayor que 0. Si la unidad no admite decimales, use un entero." promptTitle="Cantidad" prompt="Mayor que 0, en la unidad del producto. UND, CAJA, PAQ, PAR y ROLLO: solo enteros." sqref="F9:F23" xr:uid="{00000000-0002-0000-0A00-000011000000}">
      <formula1>AND(ISNUMBER(F9),F9&gt;0,IFERROR(OR(INDEX(lstUniDec,MATCH($L9,lstUniCod,0))="SI",F9=INT(F9)),TRUE))</formula1>
    </dataValidation>
    <dataValidation type="textLength" operator="lessThanOrEqual" allowBlank="1" showInputMessage="1" showErrorMessage="1" errorTitle="Texto muy largo" error="Máximo 30 caracteres." promptTitle="Documento (opcional)" prompt="Factura, remisión, orden o cliente." sqref="G9:G23" xr:uid="{00000000-0002-0000-0A00-000012000000}">
      <formula1>30</formula1>
    </dataValidation>
    <dataValidation type="textLength" operator="lessThanOrEqual" allowBlank="1" showInputMessage="1" showErrorMessage="1" errorTitle="Texto muy largo" error="Máximo 250 caracteres." promptTitle="Observaciones" prompt="Obligatoria en los AJUSTES: explique el motivo." sqref="H9:H23" xr:uid="{00000000-0002-0000-0A00-000013000000}">
      <formula1>250</formula1>
    </dataValidation>
    <dataValidation allowBlank="1" showInputMessage="1" showErrorMessage="1" promptTitle="ƒx ID" prompt="Identificador único generado por el script (fragmento-fecha-hora-aleatorio): no requiere coordinación." sqref="B27" xr:uid="{00000000-0002-0000-0A00-000014000000}"/>
    <dataValidation allowBlank="1" showInputMessage="1" showErrorMessage="1" promptTitle="ƒx Tipo" prompt="Tipo de movimiento." sqref="C27" xr:uid="{00000000-0002-0000-0A00-000015000000}"/>
    <dataValidation allowBlank="1" showInputMessage="1" showErrorMessage="1" promptTitle="ƒx Fecha" prompt="Fecha del movimiento (negocio)." sqref="D27" xr:uid="{00000000-0002-0000-0A00-000016000000}"/>
    <dataValidation allowBlank="1" showInputMessage="1" showErrorMessage="1" promptTitle="ƒx Producto" prompt="Etiqueta SKU · Nombre al momento del registro." sqref="E27" xr:uid="{00000000-0002-0000-0A00-000017000000}"/>
    <dataValidation allowBlank="1" showInputMessage="1" showErrorMessage="1" promptTitle="ƒx Cantidad" prompt="Cantidad positiva." sqref="F27" xr:uid="{00000000-0002-0000-0A00-000018000000}"/>
    <dataValidation allowBlank="1" showInputMessage="1" showErrorMessage="1" promptTitle="ƒx Documento" prompt="Soporte del movimiento." sqref="G27" xr:uid="{00000000-0002-0000-0A00-000019000000}"/>
    <dataValidation allowBlank="1" showInputMessage="1" showErrorMessage="1" promptTitle="ƒx Observaciones" prompt="Detalle o motivo." sqref="H27" xr:uid="{00000000-0002-0000-0A00-00001A000000}"/>
    <dataValidation allowBlank="1" showInputMessage="1" showErrorMessage="1" promptTitle="ƒx CantidadNeta" prompt="Cantidad × FactorStock: lo único que suma el stock." sqref="I27" xr:uid="{00000000-0002-0000-0A00-00001B000000}"/>
    <dataValidation allowBlank="1" showInputMessage="1" showErrorMessage="1" promptTitle="ƒx Estado" prompt="✔ Consolidado o ✖ Rechazado (con motivo). Los rechazados no suman." sqref="J27" xr:uid="{00000000-0002-0000-0A00-00001C000000}"/>
    <dataValidation allowBlank="1" showInputMessage="1" showErrorMessage="1" promptTitle="ƒx Registró" prompt="Nombre de quien ejecutó el script." sqref="K27" xr:uid="{00000000-0002-0000-0A00-00001D000000}"/>
    <dataValidation allowBlank="1" showInputMessage="1" showErrorMessage="1" promptTitle="ƒx Unidad" prompt="Unidad de medida." sqref="L27" xr:uid="{00000000-0002-0000-0A00-00001E000000}"/>
    <dataValidation allowBlank="1" showInputMessage="1" showErrorMessage="1" promptTitle="ƒx FactorStock" prompt="+1 o −1 según el tipo." sqref="M27" xr:uid="{00000000-0002-0000-0A00-00001F000000}"/>
    <dataValidation allowBlank="1" showInputMessage="1" showErrorMessage="1" promptTitle="ƒx Usuario_O365" prompt="Auditoría (oculta): correo de Microsoft 365 que ejecutó el script." sqref="N27" xr:uid="{00000000-0002-0000-0A00-000020000000}"/>
    <dataValidation allowBlank="1" showInputMessage="1" showErrorMessage="1" promptTitle="ƒx SKU" prompt="Técnica (oculta): clave del producto." sqref="O27" xr:uid="{00000000-0002-0000-0A00-000021000000}"/>
    <dataValidation allowBlank="1" showInputMessage="1" showErrorMessage="1" promptTitle="ƒx Timestamp" prompt="Auditoría (oculta): fecha y hora exactas del registro." sqref="P27" xr:uid="{00000000-0002-0000-0A00-000022000000}"/>
  </dataValidations>
  <hyperlinks>
    <hyperlink ref="B5" location="'00_PORTADA_BODEGA'!A1" tooltip="Portada de Bodega" display="⌂ Bodega" xr:uid="{00000000-0004-0000-0A00-000000000000}"/>
    <hyperlink ref="C5" location="'00_PORTADA_VENTAS'!A1" tooltip="Portada de Ventas" display="⌂ Ventas" xr:uid="{00000000-0004-0000-0A00-000001000000}"/>
    <hyperlink ref="D5" location="'00_PORTADA_GERENCIA'!A1" tooltip="Portada de Gerencia: indicadores, pedido y actividad" display="◈ Gerencia" xr:uid="{00000000-0004-0000-0A00-000002000000}"/>
    <hyperlink ref="E5" location="'10A_ENTRADAS'!C9" tooltip="Registrar entradas y ajustes (Bodega)" display="⇩ Entradas" xr:uid="{00000000-0004-0000-0A00-000003000000}"/>
    <hyperlink ref="F5" location="'10B_SALIDAS'!E9" tooltip="Registrar salidas (Ventas)" display="⇧ Salidas" xr:uid="{00000000-0004-0000-0A00-000004000000}"/>
    <hyperlink ref="G5" location="'17_CONSULTA'!C9" tooltip="Consultar un producto en su fila" display="⌕ Consulta" xr:uid="{00000000-0004-0000-0A00-000005000000}"/>
    <hyperlink ref="H5" location="'15_STOCK'!A1" tooltip="Stock (instantánea recalculada a demanda)" display="▦ Stock" xr:uid="{00000000-0004-0000-0A00-000006000000}"/>
    <hyperlink ref="I5" location="'18_PEDIDO'!A1" tooltip="Pedido sugerido por proveedor" display="✚ Pedido" xr:uid="{00000000-0004-0000-0A00-000007000000}"/>
    <hyperlink ref="J5" location="'13_CONTEO'!I9" tooltip="Toma física (conteo) colaborativa" display="✓ Conteo" xr:uid="{00000000-0004-0000-0A00-000008000000}"/>
    <hyperlink ref="K5" location="'99_AYUDA'!A1" tooltip="Guía de uso, acceso e instalación" display="? Guía" xr:uid="{00000000-0004-0000-0A00-000009000000}"/>
  </hyperlinks>
  <pageMargins left="0.7" right="0.7" top="0.75" bottom="0.75" header="0.3" footer="0.3"/>
  <pageSetup fitToHeight="0" orientation="landscape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5E35B1"/>
    <pageSetUpPr fitToPage="1"/>
  </sheetPr>
  <dimension ref="B1:M508"/>
  <sheetViews>
    <sheetView showGridLines="0" showRowColHeaders="0" zoomScale="90" zoomScaleNormal="90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I9" sqref="I9"/>
    </sheetView>
  </sheetViews>
  <sheetFormatPr baseColWidth="10" defaultColWidth="0" defaultRowHeight="15" zeroHeight="1" x14ac:dyDescent="0.25"/>
  <cols>
    <col min="1" max="1" width="2.28515625" customWidth="1"/>
    <col min="2" max="2" width="12" customWidth="1"/>
    <col min="3" max="3" width="38.5703125" customWidth="1"/>
    <col min="4" max="4" width="22.85546875" customWidth="1"/>
    <col min="5" max="5" width="16" customWidth="1"/>
    <col min="6" max="6" width="12" customWidth="1"/>
    <col min="7" max="7" width="11.140625" customWidth="1"/>
    <col min="8" max="8" width="17.140625" customWidth="1"/>
    <col min="9" max="9" width="14.85546875" customWidth="1"/>
    <col min="10" max="10" width="15.7109375" customWidth="1"/>
    <col min="11" max="11" width="20.85546875" customWidth="1"/>
    <col min="12" max="12" width="21.42578125" customWidth="1"/>
    <col min="13" max="13" width="32.85546875" customWidth="1"/>
    <col min="14" max="14" width="2.28515625" customWidth="1"/>
    <col min="15" max="15" width="0" hidden="1" customWidth="1"/>
  </cols>
  <sheetData>
    <row r="1" spans="2:13" s="1" customFormat="1" ht="4.5" customHeight="1" x14ac:dyDescent="0.25"/>
    <row r="2" spans="2:13" s="1" customFormat="1" ht="22.5" customHeight="1" x14ac:dyDescent="0.25">
      <c r="B2" s="2" t="s">
        <v>1359</v>
      </c>
    </row>
    <row r="3" spans="2:13" s="1" customFormat="1" ht="14.25" x14ac:dyDescent="0.25">
      <c r="B3" s="3" t="s">
        <v>1360</v>
      </c>
    </row>
    <row r="4" spans="2:13" s="1" customFormat="1" ht="4.5" customHeight="1" x14ac:dyDescent="0.25"/>
    <row r="5" spans="2:13" s="4" customFormat="1" ht="21" customHeight="1" x14ac:dyDescent="0.25">
      <c r="B5" s="6" t="s">
        <v>85</v>
      </c>
      <c r="C5" s="6" t="s">
        <v>86</v>
      </c>
      <c r="D5" s="6" t="s">
        <v>87</v>
      </c>
      <c r="E5" s="6" t="s">
        <v>88</v>
      </c>
      <c r="F5" s="6" t="s">
        <v>89</v>
      </c>
      <c r="G5" s="125" t="s">
        <v>90</v>
      </c>
      <c r="H5" s="125"/>
      <c r="I5" s="6" t="s">
        <v>91</v>
      </c>
      <c r="J5" s="6" t="s">
        <v>92</v>
      </c>
      <c r="K5" s="5" t="s">
        <v>93</v>
      </c>
      <c r="L5" s="6" t="s">
        <v>94</v>
      </c>
    </row>
    <row r="6" spans="2:13" s="7" customFormat="1" ht="25.5" customHeight="1" x14ac:dyDescent="0.25">
      <c r="B6" s="126" t="str">
        <f>"Contados: "&amp;kpiConteoContados&amp;" de "&amp;kpiActivos</f>
        <v>Contados: 2 de 33</v>
      </c>
      <c r="C6" s="126"/>
      <c r="D6" s="126" t="str">
        <f>"Con diferencia: "&amp;kpiConteoDif</f>
        <v>Con diferencia: 2</v>
      </c>
      <c r="E6" s="126"/>
      <c r="F6" s="126" t="str">
        <f>"Valor neto de diferencias: $ "&amp;FIXED(kpiConteoValor,0)</f>
        <v>Valor neto de diferencias: $ 41.500</v>
      </c>
      <c r="G6" s="126"/>
      <c r="H6" s="126"/>
      <c r="J6" s="93" t="s">
        <v>1361</v>
      </c>
      <c r="K6" s="93"/>
      <c r="L6" s="93"/>
      <c r="M6" s="93"/>
    </row>
    <row r="7" spans="2:13" s="7" customFormat="1" ht="22.5" customHeight="1" x14ac:dyDescent="0.25">
      <c r="B7" s="128" t="s">
        <v>1362</v>
      </c>
      <c r="C7" s="128"/>
      <c r="D7" s="51"/>
      <c r="E7" s="128" t="s">
        <v>1363</v>
      </c>
      <c r="F7" s="128"/>
      <c r="G7" s="128"/>
      <c r="H7" s="61"/>
      <c r="I7" s="129" t="s">
        <v>1364</v>
      </c>
      <c r="J7" s="129"/>
      <c r="K7" s="129"/>
      <c r="L7" s="129"/>
      <c r="M7" s="129"/>
    </row>
    <row r="8" spans="2:13" ht="24" customHeight="1" x14ac:dyDescent="0.25">
      <c r="B8" s="17" t="s">
        <v>160</v>
      </c>
      <c r="C8" s="17" t="s">
        <v>161</v>
      </c>
      <c r="D8" s="17" t="s">
        <v>162</v>
      </c>
      <c r="E8" s="17" t="s">
        <v>167</v>
      </c>
      <c r="F8" s="17" t="s">
        <v>163</v>
      </c>
      <c r="G8" s="17" t="s">
        <v>98</v>
      </c>
      <c r="H8" s="17" t="s">
        <v>1365</v>
      </c>
      <c r="I8" s="18" t="s">
        <v>1366</v>
      </c>
      <c r="J8" s="17" t="s">
        <v>1367</v>
      </c>
      <c r="K8" s="17" t="s">
        <v>1368</v>
      </c>
      <c r="L8" s="17" t="s">
        <v>332</v>
      </c>
      <c r="M8" s="17" t="s">
        <v>1369</v>
      </c>
    </row>
    <row r="9" spans="2:13" x14ac:dyDescent="0.25">
      <c r="B9" s="42" t="str">
        <f>IF(INDEX(tblProductos[SKU],ROW()-ROW(tblConteo[#Headers]))="","",INDEX(tblProductos[SKU],ROW()-ROW(tblConteo[#Headers])))</f>
        <v>FER-001</v>
      </c>
      <c r="C9" s="49" t="str">
        <f>IF(tblConteo[[#This Row],[SKU]]="","",INDEX(tblProductos[Producto],ROW()-ROW(tblConteo[#Headers])))</f>
        <v>Tornillo drywall 6x1" (caja x100)</v>
      </c>
      <c r="D9" s="49" t="str">
        <f>IF(tblConteo[[#This Row],[SKU]]="","",INDEX(tblProductos[Categoría],ROW()-ROW(tblConteo[#Headers]))&amp;"")</f>
        <v>FERRETERÍA</v>
      </c>
      <c r="E9" s="42" t="str">
        <f>IF(tblConteo[[#This Row],[SKU]]="","",INDEX(tblProductos[Ubicación],ROW()-ROW(tblConteo[#Headers]))&amp;"")</f>
        <v>A-01-01</v>
      </c>
      <c r="F9" s="42" t="str">
        <f>IF(tblConteo[[#This Row],[SKU]]="","",INDEX(tblProductos[Unidad],ROW()-ROW(tblConteo[#Headers]))&amp;"")</f>
        <v>CAJA</v>
      </c>
      <c r="G9" s="42" t="str">
        <f>IF(tblConteo[[#This Row],[SKU]]="","",IF(INDEX(tblProductos[Activo],ROW()-ROW(tblConteo[#Headers]))="NO","NO","SI"))</f>
        <v>SI</v>
      </c>
      <c r="H9" s="53">
        <f>IF(tblConteo[[#This Row],[SKU]]="","",IFERROR(N(INDEX(tblStock[StockActual],MATCH(tblConteo[[#This Row],[SKU]],tblStock[SKU],0))),0))</f>
        <v>22</v>
      </c>
      <c r="I9" s="52"/>
      <c r="J9" s="59" t="str">
        <f>IF(OR(tblConteo[[#This Row],[SKU]]="",tblConteo[[#This Row],[Conteo]]=""),"",IF(ISNUMBER(tblConteo[[#This Row],[Conteo]]),tblConteo[[#This Row],[Conteo]]-N(tblConteo[[#This Row],[Sistema]]),""))</f>
        <v/>
      </c>
      <c r="K9" s="62" t="str">
        <f>IF(tblConteo[[#This Row],[Diferencia]]="","",tblConteo[[#This Row],[Diferencia]]*N(INDEX(tblProductos[CostoUnitario],ROW()-ROW(tblConteo[#Headers]))))</f>
        <v/>
      </c>
      <c r="L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" spans="2:13" x14ac:dyDescent="0.25">
      <c r="B10" s="42" t="str">
        <f>IF(INDEX(tblProductos[SKU],ROW()-ROW(tblConteo[#Headers]))="","",INDEX(tblProductos[SKU],ROW()-ROW(tblConteo[#Headers])))</f>
        <v>FER-002</v>
      </c>
      <c r="C10" s="49" t="str">
        <f>IF(tblConteo[[#This Row],[SKU]]="","",INDEX(tblProductos[Producto],ROW()-ROW(tblConteo[#Headers])))</f>
        <v>Chazo plástico 1/4" (bolsa x100)</v>
      </c>
      <c r="D10" s="49" t="str">
        <f>IF(tblConteo[[#This Row],[SKU]]="","",INDEX(tblProductos[Categoría],ROW()-ROW(tblConteo[#Headers]))&amp;"")</f>
        <v>FERRETERÍA</v>
      </c>
      <c r="E10" s="42" t="str">
        <f>IF(tblConteo[[#This Row],[SKU]]="","",INDEX(tblProductos[Ubicación],ROW()-ROW(tblConteo[#Headers]))&amp;"")</f>
        <v>A-01-02</v>
      </c>
      <c r="F10" s="42" t="str">
        <f>IF(tblConteo[[#This Row],[SKU]]="","",INDEX(tblProductos[Unidad],ROW()-ROW(tblConteo[#Headers]))&amp;"")</f>
        <v>PAQ</v>
      </c>
      <c r="G10" s="42" t="str">
        <f>IF(tblConteo[[#This Row],[SKU]]="","",IF(INDEX(tblProductos[Activo],ROW()-ROW(tblConteo[#Headers]))="NO","NO","SI"))</f>
        <v>SI</v>
      </c>
      <c r="H10" s="53">
        <f>IF(tblConteo[[#This Row],[SKU]]="","",IFERROR(N(INDEX(tblStock[StockActual],MATCH(tblConteo[[#This Row],[SKU]],tblStock[SKU],0))),0))</f>
        <v>34</v>
      </c>
      <c r="I10" s="52"/>
      <c r="J10" s="59" t="str">
        <f>IF(OR(tblConteo[[#This Row],[SKU]]="",tblConteo[[#This Row],[Conteo]]=""),"",IF(ISNUMBER(tblConteo[[#This Row],[Conteo]]),tblConteo[[#This Row],[Conteo]]-N(tblConteo[[#This Row],[Sistema]]),""))</f>
        <v/>
      </c>
      <c r="K10" s="62" t="str">
        <f>IF(tblConteo[[#This Row],[Diferencia]]="","",tblConteo[[#This Row],[Diferencia]]*N(INDEX(tblProductos[CostoUnitario],ROW()-ROW(tblConteo[#Headers]))))</f>
        <v/>
      </c>
      <c r="L1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" spans="2:13" x14ac:dyDescent="0.25">
      <c r="B11" s="42" t="str">
        <f>IF(INDEX(tblProductos[SKU],ROW()-ROW(tblConteo[#Headers]))="","",INDEX(tblProductos[SKU],ROW()-ROW(tblConteo[#Headers])))</f>
        <v>FER-003</v>
      </c>
      <c r="C11" s="49" t="str">
        <f>IF(tblConteo[[#This Row],[SKU]]="","",INDEX(tblProductos[Producto],ROW()-ROW(tblConteo[#Headers])))</f>
        <v>Martillo uña 16 oz mango fibra</v>
      </c>
      <c r="D11" s="49" t="str">
        <f>IF(tblConteo[[#This Row],[SKU]]="","",INDEX(tblProductos[Categoría],ROW()-ROW(tblConteo[#Headers]))&amp;"")</f>
        <v>FERRETERÍA</v>
      </c>
      <c r="E11" s="42" t="str">
        <f>IF(tblConteo[[#This Row],[SKU]]="","",INDEX(tblProductos[Ubicación],ROW()-ROW(tblConteo[#Headers]))&amp;"")</f>
        <v>A-02-01</v>
      </c>
      <c r="F11" s="42" t="str">
        <f>IF(tblConteo[[#This Row],[SKU]]="","",INDEX(tblProductos[Unidad],ROW()-ROW(tblConteo[#Headers]))&amp;"")</f>
        <v>UND</v>
      </c>
      <c r="G11" s="42" t="str">
        <f>IF(tblConteo[[#This Row],[SKU]]="","",IF(INDEX(tblProductos[Activo],ROW()-ROW(tblConteo[#Headers]))="NO","NO","SI"))</f>
        <v>SI</v>
      </c>
      <c r="H11" s="53">
        <f>IF(tblConteo[[#This Row],[SKU]]="","",IFERROR(N(INDEX(tblStock[StockActual],MATCH(tblConteo[[#This Row],[SKU]],tblStock[SKU],0))),0))</f>
        <v>26</v>
      </c>
      <c r="I11" s="52">
        <v>28</v>
      </c>
      <c r="J11" s="59">
        <f>IF(OR(tblConteo[[#This Row],[SKU]]="",tblConteo[[#This Row],[Conteo]]=""),"",IF(ISNUMBER(tblConteo[[#This Row],[Conteo]]),tblConteo[[#This Row],[Conteo]]-N(tblConteo[[#This Row],[Sistema]]),""))</f>
        <v>2</v>
      </c>
      <c r="K11" s="62">
        <f>IF(tblConteo[[#This Row],[Diferencia]]="","",tblConteo[[#This Row],[Diferencia]]*N(INDEX(tblProductos[CostoUnitario],ROW()-ROW(tblConteo[#Headers]))))</f>
        <v>56000</v>
      </c>
      <c r="L1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>▲ Sobrante</v>
      </c>
      <c r="M1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>AJUSTE (+) 2 UND</v>
      </c>
    </row>
    <row r="12" spans="2:13" x14ac:dyDescent="0.25">
      <c r="B12" s="42" t="str">
        <f>IF(INDEX(tblProductos[SKU],ROW()-ROW(tblConteo[#Headers]))="","",INDEX(tblProductos[SKU],ROW()-ROW(tblConteo[#Headers])))</f>
        <v>FER-004</v>
      </c>
      <c r="C12" s="49" t="str">
        <f>IF(tblConteo[[#This Row],[SKU]]="","",INDEX(tblProductos[Producto],ROW()-ROW(tblConteo[#Headers])))</f>
        <v>Cinta métrica 5 m</v>
      </c>
      <c r="D12" s="49" t="str">
        <f>IF(tblConteo[[#This Row],[SKU]]="","",INDEX(tblProductos[Categoría],ROW()-ROW(tblConteo[#Headers]))&amp;"")</f>
        <v>FERRETERÍA</v>
      </c>
      <c r="E12" s="42" t="str">
        <f>IF(tblConteo[[#This Row],[SKU]]="","",INDEX(tblProductos[Ubicación],ROW()-ROW(tblConteo[#Headers]))&amp;"")</f>
        <v>A-02-02</v>
      </c>
      <c r="F12" s="42" t="str">
        <f>IF(tblConteo[[#This Row],[SKU]]="","",INDEX(tblProductos[Unidad],ROW()-ROW(tblConteo[#Headers]))&amp;"")</f>
        <v>UND</v>
      </c>
      <c r="G12" s="42" t="str">
        <f>IF(tblConteo[[#This Row],[SKU]]="","",IF(INDEX(tblProductos[Activo],ROW()-ROW(tblConteo[#Headers]))="NO","NO","SI"))</f>
        <v>SI</v>
      </c>
      <c r="H12" s="53">
        <f>IF(tblConteo[[#This Row],[SKU]]="","",IFERROR(N(INDEX(tblStock[StockActual],MATCH(tblConteo[[#This Row],[SKU]],tblStock[SKU],0))),0))</f>
        <v>26</v>
      </c>
      <c r="I12" s="52">
        <v>25</v>
      </c>
      <c r="J12" s="59">
        <f>IF(OR(tblConteo[[#This Row],[SKU]]="",tblConteo[[#This Row],[Conteo]]=""),"",IF(ISNUMBER(tblConteo[[#This Row],[Conteo]]),tblConteo[[#This Row],[Conteo]]-N(tblConteo[[#This Row],[Sistema]]),""))</f>
        <v>-1</v>
      </c>
      <c r="K12" s="62">
        <f>IF(tblConteo[[#This Row],[Diferencia]]="","",tblConteo[[#This Row],[Diferencia]]*N(INDEX(tblProductos[CostoUnitario],ROW()-ROW(tblConteo[#Headers]))))</f>
        <v>-14500</v>
      </c>
      <c r="L1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>▼ Faltante</v>
      </c>
      <c r="M1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>AJUSTE (-) 1 UND</v>
      </c>
    </row>
    <row r="13" spans="2:13" x14ac:dyDescent="0.25">
      <c r="B13" s="42" t="str">
        <f>IF(INDEX(tblProductos[SKU],ROW()-ROW(tblConteo[#Headers]))="","",INDEX(tblProductos[SKU],ROW()-ROW(tblConteo[#Headers])))</f>
        <v>FER-005</v>
      </c>
      <c r="C13" s="49" t="str">
        <f>IF(tblConteo[[#This Row],[SKU]]="","",INDEX(tblProductos[Producto],ROW()-ROW(tblConteo[#Headers])))</f>
        <v>Disco de corte metal 4-1/2"</v>
      </c>
      <c r="D13" s="49" t="str">
        <f>IF(tblConteo[[#This Row],[SKU]]="","",INDEX(tblProductos[Categoría],ROW()-ROW(tblConteo[#Headers]))&amp;"")</f>
        <v>FERRETERÍA</v>
      </c>
      <c r="E13" s="42" t="str">
        <f>IF(tblConteo[[#This Row],[SKU]]="","",INDEX(tblProductos[Ubicación],ROW()-ROW(tblConteo[#Headers]))&amp;"")</f>
        <v>A-02-03</v>
      </c>
      <c r="F13" s="42" t="str">
        <f>IF(tblConteo[[#This Row],[SKU]]="","",INDEX(tblProductos[Unidad],ROW()-ROW(tblConteo[#Headers]))&amp;"")</f>
        <v>UND</v>
      </c>
      <c r="G13" s="42" t="str">
        <f>IF(tblConteo[[#This Row],[SKU]]="","",IF(INDEX(tblProductos[Activo],ROW()-ROW(tblConteo[#Headers]))="NO","NO","SI"))</f>
        <v>SI</v>
      </c>
      <c r="H13" s="53">
        <f>IF(tblConteo[[#This Row],[SKU]]="","",IFERROR(N(INDEX(tblStock[StockActual],MATCH(tblConteo[[#This Row],[SKU]],tblStock[SKU],0))),0))</f>
        <v>14</v>
      </c>
      <c r="I13" s="52"/>
      <c r="J13" s="59" t="str">
        <f>IF(OR(tblConteo[[#This Row],[SKU]]="",tblConteo[[#This Row],[Conteo]]=""),"",IF(ISNUMBER(tblConteo[[#This Row],[Conteo]]),tblConteo[[#This Row],[Conteo]]-N(tblConteo[[#This Row],[Sistema]]),""))</f>
        <v/>
      </c>
      <c r="K13" s="62" t="str">
        <f>IF(tblConteo[[#This Row],[Diferencia]]="","",tblConteo[[#This Row],[Diferencia]]*N(INDEX(tblProductos[CostoUnitario],ROW()-ROW(tblConteo[#Headers]))))</f>
        <v/>
      </c>
      <c r="L1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" spans="2:13" x14ac:dyDescent="0.25">
      <c r="B14" s="42" t="str">
        <f>IF(INDEX(tblProductos[SKU],ROW()-ROW(tblConteo[#Headers]))="","",INDEX(tblProductos[SKU],ROW()-ROW(tblConteo[#Headers])))</f>
        <v>FER-006</v>
      </c>
      <c r="C14" s="49" t="str">
        <f>IF(tblConteo[[#This Row],[SKU]]="","",INDEX(tblProductos[Producto],ROW()-ROW(tblConteo[#Headers])))</f>
        <v>Candado de seguridad 40 mm</v>
      </c>
      <c r="D14" s="49" t="str">
        <f>IF(tblConteo[[#This Row],[SKU]]="","",INDEX(tblProductos[Categoría],ROW()-ROW(tblConteo[#Headers]))&amp;"")</f>
        <v>FERRETERÍA</v>
      </c>
      <c r="E14" s="42" t="str">
        <f>IF(tblConteo[[#This Row],[SKU]]="","",INDEX(tblProductos[Ubicación],ROW()-ROW(tblConteo[#Headers]))&amp;"")</f>
        <v>A-02-04</v>
      </c>
      <c r="F14" s="42" t="str">
        <f>IF(tblConteo[[#This Row],[SKU]]="","",INDEX(tblProductos[Unidad],ROW()-ROW(tblConteo[#Headers]))&amp;"")</f>
        <v>UND</v>
      </c>
      <c r="G14" s="42" t="str">
        <f>IF(tblConteo[[#This Row],[SKU]]="","",IF(INDEX(tblProductos[Activo],ROW()-ROW(tblConteo[#Headers]))="NO","NO","SI"))</f>
        <v>SI</v>
      </c>
      <c r="H14" s="53">
        <f>IF(tblConteo[[#This Row],[SKU]]="","",IFERROR(N(INDEX(tblStock[StockActual],MATCH(tblConteo[[#This Row],[SKU]],tblStock[SKU],0))),0))</f>
        <v>19</v>
      </c>
      <c r="I14" s="52"/>
      <c r="J14" s="59" t="str">
        <f>IF(OR(tblConteo[[#This Row],[SKU]]="",tblConteo[[#This Row],[Conteo]]=""),"",IF(ISNUMBER(tblConteo[[#This Row],[Conteo]]),tblConteo[[#This Row],[Conteo]]-N(tblConteo[[#This Row],[Sistema]]),""))</f>
        <v/>
      </c>
      <c r="K14" s="62" t="str">
        <f>IF(tblConteo[[#This Row],[Diferencia]]="","",tblConteo[[#This Row],[Diferencia]]*N(INDEX(tblProductos[CostoUnitario],ROW()-ROW(tblConteo[#Headers]))))</f>
        <v/>
      </c>
      <c r="L1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" spans="2:13" x14ac:dyDescent="0.25">
      <c r="B15" s="42" t="str">
        <f>IF(INDEX(tblProductos[SKU],ROW()-ROW(tblConteo[#Headers]))="","",INDEX(tblProductos[SKU],ROW()-ROW(tblConteo[#Headers])))</f>
        <v>FER-007</v>
      </c>
      <c r="C15" s="49" t="str">
        <f>IF(tblConteo[[#This Row],[SKU]]="","",INDEX(tblProductos[Producto],ROW()-ROW(tblConteo[#Headers])))</f>
        <v>Serrucho 20" (descontinuado)</v>
      </c>
      <c r="D15" s="49" t="str">
        <f>IF(tblConteo[[#This Row],[SKU]]="","",INDEX(tblProductos[Categoría],ROW()-ROW(tblConteo[#Headers]))&amp;"")</f>
        <v>FERRETERÍA</v>
      </c>
      <c r="E15" s="42" t="str">
        <f>IF(tblConteo[[#This Row],[SKU]]="","",INDEX(tblProductos[Ubicación],ROW()-ROW(tblConteo[#Headers]))&amp;"")</f>
        <v>A-02-05</v>
      </c>
      <c r="F15" s="42" t="str">
        <f>IF(tblConteo[[#This Row],[SKU]]="","",INDEX(tblProductos[Unidad],ROW()-ROW(tblConteo[#Headers]))&amp;"")</f>
        <v>UND</v>
      </c>
      <c r="G15" s="42" t="str">
        <f>IF(tblConteo[[#This Row],[SKU]]="","",IF(INDEX(tblProductos[Activo],ROW()-ROW(tblConteo[#Headers]))="NO","NO","SI"))</f>
        <v>NO</v>
      </c>
      <c r="H15" s="53">
        <f>IF(tblConteo[[#This Row],[SKU]]="","",IFERROR(N(INDEX(tblStock[StockActual],MATCH(tblConteo[[#This Row],[SKU]],tblStock[SKU],0))),0))</f>
        <v>0</v>
      </c>
      <c r="I15" s="52"/>
      <c r="J15" s="59" t="str">
        <f>IF(OR(tblConteo[[#This Row],[SKU]]="",tblConteo[[#This Row],[Conteo]]=""),"",IF(ISNUMBER(tblConteo[[#This Row],[Conteo]]),tblConteo[[#This Row],[Conteo]]-N(tblConteo[[#This Row],[Sistema]]),""))</f>
        <v/>
      </c>
      <c r="K15" s="62" t="str">
        <f>IF(tblConteo[[#This Row],[Diferencia]]="","",tblConteo[[#This Row],[Diferencia]]*N(INDEX(tblProductos[CostoUnitario],ROW()-ROW(tblConteo[#Headers]))))</f>
        <v/>
      </c>
      <c r="L1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" spans="2:13" x14ac:dyDescent="0.25">
      <c r="B16" s="42" t="str">
        <f>IF(INDEX(tblProductos[SKU],ROW()-ROW(tblConteo[#Headers]))="","",INDEX(tblProductos[SKU],ROW()-ROW(tblConteo[#Headers])))</f>
        <v>ELE-001</v>
      </c>
      <c r="C16" s="49" t="str">
        <f>IF(tblConteo[[#This Row],[SKU]]="","",INDEX(tblProductos[Producto],ROW()-ROW(tblConteo[#Headers])))</f>
        <v>Cable THHN 12 AWG (rollo 100 m)</v>
      </c>
      <c r="D16" s="49" t="str">
        <f>IF(tblConteo[[#This Row],[SKU]]="","",INDEX(tblProductos[Categoría],ROW()-ROW(tblConteo[#Headers]))&amp;"")</f>
        <v>ELÉCTRICOS</v>
      </c>
      <c r="E16" s="42" t="str">
        <f>IF(tblConteo[[#This Row],[SKU]]="","",INDEX(tblProductos[Ubicación],ROW()-ROW(tblConteo[#Headers]))&amp;"")</f>
        <v>B-01-01</v>
      </c>
      <c r="F16" s="42" t="str">
        <f>IF(tblConteo[[#This Row],[SKU]]="","",INDEX(tblProductos[Unidad],ROW()-ROW(tblConteo[#Headers]))&amp;"")</f>
        <v>ROLLO</v>
      </c>
      <c r="G16" s="42" t="str">
        <f>IF(tblConteo[[#This Row],[SKU]]="","",IF(INDEX(tblProductos[Activo],ROW()-ROW(tblConteo[#Headers]))="NO","NO","SI"))</f>
        <v>SI</v>
      </c>
      <c r="H16" s="53">
        <f>IF(tblConteo[[#This Row],[SKU]]="","",IFERROR(N(INDEX(tblStock[StockActual],MATCH(tblConteo[[#This Row],[SKU]],tblStock[SKU],0))),0))</f>
        <v>0</v>
      </c>
      <c r="I16" s="52"/>
      <c r="J16" s="59" t="str">
        <f>IF(OR(tblConteo[[#This Row],[SKU]]="",tblConteo[[#This Row],[Conteo]]=""),"",IF(ISNUMBER(tblConteo[[#This Row],[Conteo]]),tblConteo[[#This Row],[Conteo]]-N(tblConteo[[#This Row],[Sistema]]),""))</f>
        <v/>
      </c>
      <c r="K16" s="62" t="str">
        <f>IF(tblConteo[[#This Row],[Diferencia]]="","",tblConteo[[#This Row],[Diferencia]]*N(INDEX(tblProductos[CostoUnitario],ROW()-ROW(tblConteo[#Headers]))))</f>
        <v/>
      </c>
      <c r="L1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" spans="2:13" x14ac:dyDescent="0.25">
      <c r="B17" s="42" t="str">
        <f>IF(INDEX(tblProductos[SKU],ROW()-ROW(tblConteo[#Headers]))="","",INDEX(tblProductos[SKU],ROW()-ROW(tblConteo[#Headers])))</f>
        <v>ELE-002</v>
      </c>
      <c r="C17" s="49" t="str">
        <f>IF(tblConteo[[#This Row],[SKU]]="","",INDEX(tblProductos[Producto],ROW()-ROW(tblConteo[#Headers])))</f>
        <v>Bombillo LED 9 W luz blanca</v>
      </c>
      <c r="D17" s="49" t="str">
        <f>IF(tblConteo[[#This Row],[SKU]]="","",INDEX(tblProductos[Categoría],ROW()-ROW(tblConteo[#Headers]))&amp;"")</f>
        <v>ELÉCTRICOS</v>
      </c>
      <c r="E17" s="42" t="str">
        <f>IF(tblConteo[[#This Row],[SKU]]="","",INDEX(tblProductos[Ubicación],ROW()-ROW(tblConteo[#Headers]))&amp;"")</f>
        <v>B-01-02</v>
      </c>
      <c r="F17" s="42" t="str">
        <f>IF(tblConteo[[#This Row],[SKU]]="","",INDEX(tblProductos[Unidad],ROW()-ROW(tblConteo[#Headers]))&amp;"")</f>
        <v>UND</v>
      </c>
      <c r="G17" s="42" t="str">
        <f>IF(tblConteo[[#This Row],[SKU]]="","",IF(INDEX(tblProductos[Activo],ROW()-ROW(tblConteo[#Headers]))="NO","NO","SI"))</f>
        <v>SI</v>
      </c>
      <c r="H17" s="53">
        <f>IF(tblConteo[[#This Row],[SKU]]="","",IFERROR(N(INDEX(tblStock[StockActual],MATCH(tblConteo[[#This Row],[SKU]],tblStock[SKU],0))),0))</f>
        <v>155</v>
      </c>
      <c r="I17" s="52"/>
      <c r="J17" s="59" t="str">
        <f>IF(OR(tblConteo[[#This Row],[SKU]]="",tblConteo[[#This Row],[Conteo]]=""),"",IF(ISNUMBER(tblConteo[[#This Row],[Conteo]]),tblConteo[[#This Row],[Conteo]]-N(tblConteo[[#This Row],[Sistema]]),""))</f>
        <v/>
      </c>
      <c r="K17" s="62" t="str">
        <f>IF(tblConteo[[#This Row],[Diferencia]]="","",tblConteo[[#This Row],[Diferencia]]*N(INDEX(tblProductos[CostoUnitario],ROW()-ROW(tblConteo[#Headers]))))</f>
        <v/>
      </c>
      <c r="L1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" spans="2:13" x14ac:dyDescent="0.25">
      <c r="B18" s="42" t="str">
        <f>IF(INDEX(tblProductos[SKU],ROW()-ROW(tblConteo[#Headers]))="","",INDEX(tblProductos[SKU],ROW()-ROW(tblConteo[#Headers])))</f>
        <v>ELE-003</v>
      </c>
      <c r="C18" s="49" t="str">
        <f>IF(tblConteo[[#This Row],[SKU]]="","",INDEX(tblProductos[Producto],ROW()-ROW(tblConteo[#Headers])))</f>
        <v>Toma doble con polo a tierra</v>
      </c>
      <c r="D18" s="49" t="str">
        <f>IF(tblConteo[[#This Row],[SKU]]="","",INDEX(tblProductos[Categoría],ROW()-ROW(tblConteo[#Headers]))&amp;"")</f>
        <v>ELÉCTRICOS</v>
      </c>
      <c r="E18" s="42" t="str">
        <f>IF(tblConteo[[#This Row],[SKU]]="","",INDEX(tblProductos[Ubicación],ROW()-ROW(tblConteo[#Headers]))&amp;"")</f>
        <v>B-01-03</v>
      </c>
      <c r="F18" s="42" t="str">
        <f>IF(tblConteo[[#This Row],[SKU]]="","",INDEX(tblProductos[Unidad],ROW()-ROW(tblConteo[#Headers]))&amp;"")</f>
        <v>UND</v>
      </c>
      <c r="G18" s="42" t="str">
        <f>IF(tblConteo[[#This Row],[SKU]]="","",IF(INDEX(tblProductos[Activo],ROW()-ROW(tblConteo[#Headers]))="NO","NO","SI"))</f>
        <v>SI</v>
      </c>
      <c r="H18" s="53">
        <f>IF(tblConteo[[#This Row],[SKU]]="","",IFERROR(N(INDEX(tblStock[StockActual],MATCH(tblConteo[[#This Row],[SKU]],tblStock[SKU],0))),0))</f>
        <v>101</v>
      </c>
      <c r="I18" s="52"/>
      <c r="J18" s="59" t="str">
        <f>IF(OR(tblConteo[[#This Row],[SKU]]="",tblConteo[[#This Row],[Conteo]]=""),"",IF(ISNUMBER(tblConteo[[#This Row],[Conteo]]),tblConteo[[#This Row],[Conteo]]-N(tblConteo[[#This Row],[Sistema]]),""))</f>
        <v/>
      </c>
      <c r="K18" s="62" t="str">
        <f>IF(tblConteo[[#This Row],[Diferencia]]="","",tblConteo[[#This Row],[Diferencia]]*N(INDEX(tblProductos[CostoUnitario],ROW()-ROW(tblConteo[#Headers]))))</f>
        <v/>
      </c>
      <c r="L1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" spans="2:13" x14ac:dyDescent="0.25">
      <c r="B19" s="42" t="str">
        <f>IF(INDEX(tblProductos[SKU],ROW()-ROW(tblConteo[#Headers]))="","",INDEX(tblProductos[SKU],ROW()-ROW(tblConteo[#Headers])))</f>
        <v>ELE-004</v>
      </c>
      <c r="C19" s="49" t="str">
        <f>IF(tblConteo[[#This Row],[SKU]]="","",INDEX(tblProductos[Producto],ROW()-ROW(tblConteo[#Headers])))</f>
        <v>Breaker enchufable 1x20 A</v>
      </c>
      <c r="D19" s="49" t="str">
        <f>IF(tblConteo[[#This Row],[SKU]]="","",INDEX(tblProductos[Categoría],ROW()-ROW(tblConteo[#Headers]))&amp;"")</f>
        <v>ELÉCTRICOS</v>
      </c>
      <c r="E19" s="42" t="str">
        <f>IF(tblConteo[[#This Row],[SKU]]="","",INDEX(tblProductos[Ubicación],ROW()-ROW(tblConteo[#Headers]))&amp;"")</f>
        <v>B-02-01</v>
      </c>
      <c r="F19" s="42" t="str">
        <f>IF(tblConteo[[#This Row],[SKU]]="","",INDEX(tblProductos[Unidad],ROW()-ROW(tblConteo[#Headers]))&amp;"")</f>
        <v>UND</v>
      </c>
      <c r="G19" s="42" t="str">
        <f>IF(tblConteo[[#This Row],[SKU]]="","",IF(INDEX(tblProductos[Activo],ROW()-ROW(tblConteo[#Headers]))="NO","NO","SI"))</f>
        <v>SI</v>
      </c>
      <c r="H19" s="53">
        <f>IF(tblConteo[[#This Row],[SKU]]="","",IFERROR(N(INDEX(tblStock[StockActual],MATCH(tblConteo[[#This Row],[SKU]],tblStock[SKU],0))),0))</f>
        <v>11</v>
      </c>
      <c r="I19" s="52"/>
      <c r="J19" s="59" t="str">
        <f>IF(OR(tblConteo[[#This Row],[SKU]]="",tblConteo[[#This Row],[Conteo]]=""),"",IF(ISNUMBER(tblConteo[[#This Row],[Conteo]]),tblConteo[[#This Row],[Conteo]]-N(tblConteo[[#This Row],[Sistema]]),""))</f>
        <v/>
      </c>
      <c r="K19" s="62" t="str">
        <f>IF(tblConteo[[#This Row],[Diferencia]]="","",tblConteo[[#This Row],[Diferencia]]*N(INDEX(tblProductos[CostoUnitario],ROW()-ROW(tblConteo[#Headers]))))</f>
        <v/>
      </c>
      <c r="L1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" spans="2:13" x14ac:dyDescent="0.25">
      <c r="B20" s="42" t="str">
        <f>IF(INDEX(tblProductos[SKU],ROW()-ROW(tblConteo[#Headers]))="","",INDEX(tblProductos[SKU],ROW()-ROW(tblConteo[#Headers])))</f>
        <v>ELE-005</v>
      </c>
      <c r="C20" s="49" t="str">
        <f>IF(tblConteo[[#This Row],[SKU]]="","",INDEX(tblProductos[Producto],ROW()-ROW(tblConteo[#Headers])))</f>
        <v>Cinta aislante negra 3/4"</v>
      </c>
      <c r="D20" s="49" t="str">
        <f>IF(tblConteo[[#This Row],[SKU]]="","",INDEX(tblProductos[Categoría],ROW()-ROW(tblConteo[#Headers]))&amp;"")</f>
        <v>ELÉCTRICOS</v>
      </c>
      <c r="E20" s="42" t="str">
        <f>IF(tblConteo[[#This Row],[SKU]]="","",INDEX(tblProductos[Ubicación],ROW()-ROW(tblConteo[#Headers]))&amp;"")</f>
        <v>B-02-02</v>
      </c>
      <c r="F20" s="42" t="str">
        <f>IF(tblConteo[[#This Row],[SKU]]="","",INDEX(tblProductos[Unidad],ROW()-ROW(tblConteo[#Headers]))&amp;"")</f>
        <v>UND</v>
      </c>
      <c r="G20" s="42" t="str">
        <f>IF(tblConteo[[#This Row],[SKU]]="","",IF(INDEX(tblProductos[Activo],ROW()-ROW(tblConteo[#Headers]))="NO","NO","SI"))</f>
        <v>SI</v>
      </c>
      <c r="H20" s="53">
        <f>IF(tblConteo[[#This Row],[SKU]]="","",IFERROR(N(INDEX(tblStock[StockActual],MATCH(tblConteo[[#This Row],[SKU]],tblStock[SKU],0))),0))</f>
        <v>173</v>
      </c>
      <c r="I20" s="52"/>
      <c r="J20" s="59" t="str">
        <f>IF(OR(tblConteo[[#This Row],[SKU]]="",tblConteo[[#This Row],[Conteo]]=""),"",IF(ISNUMBER(tblConteo[[#This Row],[Conteo]]),tblConteo[[#This Row],[Conteo]]-N(tblConteo[[#This Row],[Sistema]]),""))</f>
        <v/>
      </c>
      <c r="K20" s="62" t="str">
        <f>IF(tblConteo[[#This Row],[Diferencia]]="","",tblConteo[[#This Row],[Diferencia]]*N(INDEX(tblProductos[CostoUnitario],ROW()-ROW(tblConteo[#Headers]))))</f>
        <v/>
      </c>
      <c r="L2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" spans="2:13" x14ac:dyDescent="0.25">
      <c r="B21" s="42" t="str">
        <f>IF(INDEX(tblProductos[SKU],ROW()-ROW(tblConteo[#Headers]))="","",INDEX(tblProductos[SKU],ROW()-ROW(tblConteo[#Headers])))</f>
        <v>ELE-006</v>
      </c>
      <c r="C21" s="49" t="str">
        <f>IF(tblConteo[[#This Row],[SKU]]="","",INDEX(tblProductos[Producto],ROW()-ROW(tblConteo[#Headers])))</f>
        <v>Canaleta plástica 20x12 mm x 2 m</v>
      </c>
      <c r="D21" s="49" t="str">
        <f>IF(tblConteo[[#This Row],[SKU]]="","",INDEX(tblProductos[Categoría],ROW()-ROW(tblConteo[#Headers]))&amp;"")</f>
        <v>ELÉCTRICOS</v>
      </c>
      <c r="E21" s="42" t="str">
        <f>IF(tblConteo[[#This Row],[SKU]]="","",INDEX(tblProductos[Ubicación],ROW()-ROW(tblConteo[#Headers]))&amp;"")</f>
        <v>B-02-03</v>
      </c>
      <c r="F21" s="42" t="str">
        <f>IF(tblConteo[[#This Row],[SKU]]="","",INDEX(tblProductos[Unidad],ROW()-ROW(tblConteo[#Headers]))&amp;"")</f>
        <v>UND</v>
      </c>
      <c r="G21" s="42" t="str">
        <f>IF(tblConteo[[#This Row],[SKU]]="","",IF(INDEX(tblProductos[Activo],ROW()-ROW(tblConteo[#Headers]))="NO","NO","SI"))</f>
        <v>SI</v>
      </c>
      <c r="H21" s="53">
        <f>IF(tblConteo[[#This Row],[SKU]]="","",IFERROR(N(INDEX(tblStock[StockActual],MATCH(tblConteo[[#This Row],[SKU]],tblStock[SKU],0))),0))</f>
        <v>46</v>
      </c>
      <c r="I21" s="52"/>
      <c r="J21" s="59" t="str">
        <f>IF(OR(tblConteo[[#This Row],[SKU]]="",tblConteo[[#This Row],[Conteo]]=""),"",IF(ISNUMBER(tblConteo[[#This Row],[Conteo]]),tblConteo[[#This Row],[Conteo]]-N(tblConteo[[#This Row],[Sistema]]),""))</f>
        <v/>
      </c>
      <c r="K21" s="62" t="str">
        <f>IF(tblConteo[[#This Row],[Diferencia]]="","",tblConteo[[#This Row],[Diferencia]]*N(INDEX(tblProductos[CostoUnitario],ROW()-ROW(tblConteo[#Headers]))))</f>
        <v/>
      </c>
      <c r="L2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" spans="2:13" x14ac:dyDescent="0.25">
      <c r="B22" s="42" t="str">
        <f>IF(INDEX(tblProductos[SKU],ROW()-ROW(tblConteo[#Headers]))="","",INDEX(tblProductos[SKU],ROW()-ROW(tblConteo[#Headers])))</f>
        <v>ELE-007</v>
      </c>
      <c r="C22" s="49" t="str">
        <f>IF(tblConteo[[#This Row],[SKU]]="","",INDEX(tblProductos[Producto],ROW()-ROW(tblConteo[#Headers])))</f>
        <v>Cable dúplex 2x14 AWG (por metro)</v>
      </c>
      <c r="D22" s="49" t="str">
        <f>IF(tblConteo[[#This Row],[SKU]]="","",INDEX(tblProductos[Categoría],ROW()-ROW(tblConteo[#Headers]))&amp;"")</f>
        <v>ELÉCTRICOS</v>
      </c>
      <c r="E22" s="42" t="str">
        <f>IF(tblConteo[[#This Row],[SKU]]="","",INDEX(tblProductos[Ubicación],ROW()-ROW(tblConteo[#Headers]))&amp;"")</f>
        <v>B-03-01</v>
      </c>
      <c r="F22" s="42" t="str">
        <f>IF(tblConteo[[#This Row],[SKU]]="","",INDEX(tblProductos[Unidad],ROW()-ROW(tblConteo[#Headers]))&amp;"")</f>
        <v>MT</v>
      </c>
      <c r="G22" s="42" t="str">
        <f>IF(tblConteo[[#This Row],[SKU]]="","",IF(INDEX(tblProductos[Activo],ROW()-ROW(tblConteo[#Headers]))="NO","NO","SI"))</f>
        <v>SI</v>
      </c>
      <c r="H22" s="53">
        <f>IF(tblConteo[[#This Row],[SKU]]="","",IFERROR(N(INDEX(tblStock[StockActual],MATCH(tblConteo[[#This Row],[SKU]],tblStock[SKU],0))),0))</f>
        <v>356.5</v>
      </c>
      <c r="I22" s="52"/>
      <c r="J22" s="59" t="str">
        <f>IF(OR(tblConteo[[#This Row],[SKU]]="",tblConteo[[#This Row],[Conteo]]=""),"",IF(ISNUMBER(tblConteo[[#This Row],[Conteo]]),tblConteo[[#This Row],[Conteo]]-N(tblConteo[[#This Row],[Sistema]]),""))</f>
        <v/>
      </c>
      <c r="K22" s="62" t="str">
        <f>IF(tblConteo[[#This Row],[Diferencia]]="","",tblConteo[[#This Row],[Diferencia]]*N(INDEX(tblProductos[CostoUnitario],ROW()-ROW(tblConteo[#Headers]))))</f>
        <v/>
      </c>
      <c r="L2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" spans="2:13" x14ac:dyDescent="0.25">
      <c r="B23" s="42" t="str">
        <f>IF(INDEX(tblProductos[SKU],ROW()-ROW(tblConteo[#Headers]))="","",INDEX(tblProductos[SKU],ROW()-ROW(tblConteo[#Headers])))</f>
        <v>PLO-001</v>
      </c>
      <c r="C23" s="49" t="str">
        <f>IF(tblConteo[[#This Row],[SKU]]="","",INDEX(tblProductos[Producto],ROW()-ROW(tblConteo[#Headers])))</f>
        <v>Tubo PVC presión 1/2" x 6 m</v>
      </c>
      <c r="D23" s="49" t="str">
        <f>IF(tblConteo[[#This Row],[SKU]]="","",INDEX(tblProductos[Categoría],ROW()-ROW(tblConteo[#Headers]))&amp;"")</f>
        <v>PLOMERÍA</v>
      </c>
      <c r="E23" s="42" t="str">
        <f>IF(tblConteo[[#This Row],[SKU]]="","",INDEX(tblProductos[Ubicación],ROW()-ROW(tblConteo[#Headers]))&amp;"")</f>
        <v>C-01-01</v>
      </c>
      <c r="F23" s="42" t="str">
        <f>IF(tblConteo[[#This Row],[SKU]]="","",INDEX(tblProductos[Unidad],ROW()-ROW(tblConteo[#Headers]))&amp;"")</f>
        <v>UND</v>
      </c>
      <c r="G23" s="42" t="str">
        <f>IF(tblConteo[[#This Row],[SKU]]="","",IF(INDEX(tblProductos[Activo],ROW()-ROW(tblConteo[#Headers]))="NO","NO","SI"))</f>
        <v>SI</v>
      </c>
      <c r="H23" s="53">
        <f>IF(tblConteo[[#This Row],[SKU]]="","",IFERROR(N(INDEX(tblStock[StockActual],MATCH(tblConteo[[#This Row],[SKU]],tblStock[SKU],0))),0))</f>
        <v>20</v>
      </c>
      <c r="I23" s="52"/>
      <c r="J23" s="59" t="str">
        <f>IF(OR(tblConteo[[#This Row],[SKU]]="",tblConteo[[#This Row],[Conteo]]=""),"",IF(ISNUMBER(tblConteo[[#This Row],[Conteo]]),tblConteo[[#This Row],[Conteo]]-N(tblConteo[[#This Row],[Sistema]]),""))</f>
        <v/>
      </c>
      <c r="K23" s="62" t="str">
        <f>IF(tblConteo[[#This Row],[Diferencia]]="","",tblConteo[[#This Row],[Diferencia]]*N(INDEX(tblProductos[CostoUnitario],ROW()-ROW(tblConteo[#Headers]))))</f>
        <v/>
      </c>
      <c r="L2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" spans="2:13" x14ac:dyDescent="0.25">
      <c r="B24" s="42" t="str">
        <f>IF(INDEX(tblProductos[SKU],ROW()-ROW(tblConteo[#Headers]))="","",INDEX(tblProductos[SKU],ROW()-ROW(tblConteo[#Headers])))</f>
        <v>PLO-002</v>
      </c>
      <c r="C24" s="49" t="str">
        <f>IF(tblConteo[[#This Row],[SKU]]="","",INDEX(tblProductos[Producto],ROW()-ROW(tblConteo[#Headers])))</f>
        <v>Codo PVC 1/2" x 90°</v>
      </c>
      <c r="D24" s="49" t="str">
        <f>IF(tblConteo[[#This Row],[SKU]]="","",INDEX(tblProductos[Categoría],ROW()-ROW(tblConteo[#Headers]))&amp;"")</f>
        <v>PLOMERÍA</v>
      </c>
      <c r="E24" s="42" t="str">
        <f>IF(tblConteo[[#This Row],[SKU]]="","",INDEX(tblProductos[Ubicación],ROW()-ROW(tblConteo[#Headers]))&amp;"")</f>
        <v>C-01-02</v>
      </c>
      <c r="F24" s="42" t="str">
        <f>IF(tblConteo[[#This Row],[SKU]]="","",INDEX(tblProductos[Unidad],ROW()-ROW(tblConteo[#Headers]))&amp;"")</f>
        <v>UND</v>
      </c>
      <c r="G24" s="42" t="str">
        <f>IF(tblConteo[[#This Row],[SKU]]="","",IF(INDEX(tblProductos[Activo],ROW()-ROW(tblConteo[#Headers]))="NO","NO","SI"))</f>
        <v>SI</v>
      </c>
      <c r="H24" s="53">
        <f>IF(tblConteo[[#This Row],[SKU]]="","",IFERROR(N(INDEX(tblStock[StockActual],MATCH(tblConteo[[#This Row],[SKU]],tblStock[SKU],0))),0))</f>
        <v>85</v>
      </c>
      <c r="I24" s="52"/>
      <c r="J24" s="59" t="str">
        <f>IF(OR(tblConteo[[#This Row],[SKU]]="",tblConteo[[#This Row],[Conteo]]=""),"",IF(ISNUMBER(tblConteo[[#This Row],[Conteo]]),tblConteo[[#This Row],[Conteo]]-N(tblConteo[[#This Row],[Sistema]]),""))</f>
        <v/>
      </c>
      <c r="K24" s="62" t="str">
        <f>IF(tblConteo[[#This Row],[Diferencia]]="","",tblConteo[[#This Row],[Diferencia]]*N(INDEX(tblProductos[CostoUnitario],ROW()-ROW(tblConteo[#Headers]))))</f>
        <v/>
      </c>
      <c r="L2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" spans="2:13" x14ac:dyDescent="0.25">
      <c r="B25" s="42" t="str">
        <f>IF(INDEX(tblProductos[SKU],ROW()-ROW(tblConteo[#Headers]))="","",INDEX(tblProductos[SKU],ROW()-ROW(tblConteo[#Headers])))</f>
        <v>PLO-003</v>
      </c>
      <c r="C25" s="49" t="str">
        <f>IF(tblConteo[[#This Row],[SKU]]="","",INDEX(tblProductos[Producto],ROW()-ROW(tblConteo[#Headers])))</f>
        <v>Llave de paso 1/2" en bronce</v>
      </c>
      <c r="D25" s="49" t="str">
        <f>IF(tblConteo[[#This Row],[SKU]]="","",INDEX(tblProductos[Categoría],ROW()-ROW(tblConteo[#Headers]))&amp;"")</f>
        <v>PLOMERÍA</v>
      </c>
      <c r="E25" s="42" t="str">
        <f>IF(tblConteo[[#This Row],[SKU]]="","",INDEX(tblProductos[Ubicación],ROW()-ROW(tblConteo[#Headers]))&amp;"")</f>
        <v>C-01-03</v>
      </c>
      <c r="F25" s="42" t="str">
        <f>IF(tblConteo[[#This Row],[SKU]]="","",INDEX(tblProductos[Unidad],ROW()-ROW(tblConteo[#Headers]))&amp;"")</f>
        <v>UND</v>
      </c>
      <c r="G25" s="42" t="str">
        <f>IF(tblConteo[[#This Row],[SKU]]="","",IF(INDEX(tblProductos[Activo],ROW()-ROW(tblConteo[#Headers]))="NO","NO","SI"))</f>
        <v>SI</v>
      </c>
      <c r="H25" s="53">
        <f>IF(tblConteo[[#This Row],[SKU]]="","",IFERROR(N(INDEX(tblStock[StockActual],MATCH(tblConteo[[#This Row],[SKU]],tblStock[SKU],0))),0))</f>
        <v>3</v>
      </c>
      <c r="I25" s="52"/>
      <c r="J25" s="59" t="str">
        <f>IF(OR(tblConteo[[#This Row],[SKU]]="",tblConteo[[#This Row],[Conteo]]=""),"",IF(ISNUMBER(tblConteo[[#This Row],[Conteo]]),tblConteo[[#This Row],[Conteo]]-N(tblConteo[[#This Row],[Sistema]]),""))</f>
        <v/>
      </c>
      <c r="K25" s="62" t="str">
        <f>IF(tblConteo[[#This Row],[Diferencia]]="","",tblConteo[[#This Row],[Diferencia]]*N(INDEX(tblProductos[CostoUnitario],ROW()-ROW(tblConteo[#Headers]))))</f>
        <v/>
      </c>
      <c r="L2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" spans="2:13" x14ac:dyDescent="0.25">
      <c r="B26" s="42" t="str">
        <f>IF(INDEX(tblProductos[SKU],ROW()-ROW(tblConteo[#Headers]))="","",INDEX(tblProductos[SKU],ROW()-ROW(tblConteo[#Headers])))</f>
        <v>PLO-004</v>
      </c>
      <c r="C26" s="49" t="str">
        <f>IF(tblConteo[[#This Row],[SKU]]="","",INDEX(tblProductos[Producto],ROW()-ROW(tblConteo[#Headers])))</f>
        <v>Soldadura líquida PVC 1/4 gal</v>
      </c>
      <c r="D26" s="49" t="str">
        <f>IF(tblConteo[[#This Row],[SKU]]="","",INDEX(tblProductos[Categoría],ROW()-ROW(tblConteo[#Headers]))&amp;"")</f>
        <v>PLOMERÍA</v>
      </c>
      <c r="E26" s="42" t="str">
        <f>IF(tblConteo[[#This Row],[SKU]]="","",INDEX(tblProductos[Ubicación],ROW()-ROW(tblConteo[#Headers]))&amp;"")</f>
        <v>C-02-01</v>
      </c>
      <c r="F26" s="42" t="str">
        <f>IF(tblConteo[[#This Row],[SKU]]="","",INDEX(tblProductos[Unidad],ROW()-ROW(tblConteo[#Headers]))&amp;"")</f>
        <v>UND</v>
      </c>
      <c r="G26" s="42" t="str">
        <f>IF(tblConteo[[#This Row],[SKU]]="","",IF(INDEX(tblProductos[Activo],ROW()-ROW(tblConteo[#Headers]))="NO","NO","SI"))</f>
        <v>SI</v>
      </c>
      <c r="H26" s="53">
        <f>IF(tblConteo[[#This Row],[SKU]]="","",IFERROR(N(INDEX(tblStock[StockActual],MATCH(tblConteo[[#This Row],[SKU]],tblStock[SKU],0))),0))</f>
        <v>38</v>
      </c>
      <c r="I26" s="52"/>
      <c r="J26" s="59" t="str">
        <f>IF(OR(tblConteo[[#This Row],[SKU]]="",tblConteo[[#This Row],[Conteo]]=""),"",IF(ISNUMBER(tblConteo[[#This Row],[Conteo]]),tblConteo[[#This Row],[Conteo]]-N(tblConteo[[#This Row],[Sistema]]),""))</f>
        <v/>
      </c>
      <c r="K26" s="62" t="str">
        <f>IF(tblConteo[[#This Row],[Diferencia]]="","",tblConteo[[#This Row],[Diferencia]]*N(INDEX(tblProductos[CostoUnitario],ROW()-ROW(tblConteo[#Headers]))))</f>
        <v/>
      </c>
      <c r="L2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" spans="2:13" x14ac:dyDescent="0.25">
      <c r="B27" s="42" t="str">
        <f>IF(INDEX(tblProductos[SKU],ROW()-ROW(tblConteo[#Headers]))="","",INDEX(tblProductos[SKU],ROW()-ROW(tblConteo[#Headers])))</f>
        <v>PLO-005</v>
      </c>
      <c r="C27" s="49" t="str">
        <f>IF(tblConteo[[#This Row],[SKU]]="","",INDEX(tblProductos[Producto],ROW()-ROW(tblConteo[#Headers])))</f>
        <v>Cinta teflón 1/2" x 10 m</v>
      </c>
      <c r="D27" s="49" t="str">
        <f>IF(tblConteo[[#This Row],[SKU]]="","",INDEX(tblProductos[Categoría],ROW()-ROW(tblConteo[#Headers]))&amp;"")</f>
        <v>PLOMERÍA</v>
      </c>
      <c r="E27" s="42" t="str">
        <f>IF(tblConteo[[#This Row],[SKU]]="","",INDEX(tblProductos[Ubicación],ROW()-ROW(tblConteo[#Headers]))&amp;"")</f>
        <v>C-02-02</v>
      </c>
      <c r="F27" s="42" t="str">
        <f>IF(tblConteo[[#This Row],[SKU]]="","",INDEX(tblProductos[Unidad],ROW()-ROW(tblConteo[#Headers]))&amp;"")</f>
        <v>UND</v>
      </c>
      <c r="G27" s="42" t="str">
        <f>IF(tblConteo[[#This Row],[SKU]]="","",IF(INDEX(tblProductos[Activo],ROW()-ROW(tblConteo[#Headers]))="NO","NO","SI"))</f>
        <v>SI</v>
      </c>
      <c r="H27" s="53">
        <f>IF(tblConteo[[#This Row],[SKU]]="","",IFERROR(N(INDEX(tblStock[StockActual],MATCH(tblConteo[[#This Row],[SKU]],tblStock[SKU],0))),0))</f>
        <v>325</v>
      </c>
      <c r="I27" s="52"/>
      <c r="J27" s="59" t="str">
        <f>IF(OR(tblConteo[[#This Row],[SKU]]="",tblConteo[[#This Row],[Conteo]]=""),"",IF(ISNUMBER(tblConteo[[#This Row],[Conteo]]),tblConteo[[#This Row],[Conteo]]-N(tblConteo[[#This Row],[Sistema]]),""))</f>
        <v/>
      </c>
      <c r="K27" s="62" t="str">
        <f>IF(tblConteo[[#This Row],[Diferencia]]="","",tblConteo[[#This Row],[Diferencia]]*N(INDEX(tblProductos[CostoUnitario],ROW()-ROW(tblConteo[#Headers]))))</f>
        <v/>
      </c>
      <c r="L2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" spans="2:13" x14ac:dyDescent="0.25">
      <c r="B28" s="42" t="str">
        <f>IF(INDEX(tblProductos[SKU],ROW()-ROW(tblConteo[#Headers]))="","",INDEX(tblProductos[SKU],ROW()-ROW(tblConteo[#Headers])))</f>
        <v>PIN-001</v>
      </c>
      <c r="C28" s="49" t="str">
        <f>IF(tblConteo[[#This Row],[SKU]]="","",INDEX(tblProductos[Producto],ROW()-ROW(tblConteo[#Headers])))</f>
        <v>Vinilo tipo 1 blanco</v>
      </c>
      <c r="D28" s="49" t="str">
        <f>IF(tblConteo[[#This Row],[SKU]]="","",INDEX(tblProductos[Categoría],ROW()-ROW(tblConteo[#Headers]))&amp;"")</f>
        <v>PINTURAS</v>
      </c>
      <c r="E28" s="42" t="str">
        <f>IF(tblConteo[[#This Row],[SKU]]="","",INDEX(tblProductos[Ubicación],ROW()-ROW(tblConteo[#Headers]))&amp;"")</f>
        <v>D-01-01</v>
      </c>
      <c r="F28" s="42" t="str">
        <f>IF(tblConteo[[#This Row],[SKU]]="","",INDEX(tblProductos[Unidad],ROW()-ROW(tblConteo[#Headers]))&amp;"")</f>
        <v>GL</v>
      </c>
      <c r="G28" s="42" t="str">
        <f>IF(tblConteo[[#This Row],[SKU]]="","",IF(INDEX(tblProductos[Activo],ROW()-ROW(tblConteo[#Headers]))="NO","NO","SI"))</f>
        <v>SI</v>
      </c>
      <c r="H28" s="53">
        <f>IF(tblConteo[[#This Row],[SKU]]="","",IFERROR(N(INDEX(tblStock[StockActual],MATCH(tblConteo[[#This Row],[SKU]],tblStock[SKU],0))),0))</f>
        <v>53.5</v>
      </c>
      <c r="I28" s="52"/>
      <c r="J28" s="59" t="str">
        <f>IF(OR(tblConteo[[#This Row],[SKU]]="",tblConteo[[#This Row],[Conteo]]=""),"",IF(ISNUMBER(tblConteo[[#This Row],[Conteo]]),tblConteo[[#This Row],[Conteo]]-N(tblConteo[[#This Row],[Sistema]]),""))</f>
        <v/>
      </c>
      <c r="K28" s="62" t="str">
        <f>IF(tblConteo[[#This Row],[Diferencia]]="","",tblConteo[[#This Row],[Diferencia]]*N(INDEX(tblProductos[CostoUnitario],ROW()-ROW(tblConteo[#Headers]))))</f>
        <v/>
      </c>
      <c r="L2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" spans="2:13" x14ac:dyDescent="0.25">
      <c r="B29" s="42" t="str">
        <f>IF(INDEX(tblProductos[SKU],ROW()-ROW(tblConteo[#Headers]))="","",INDEX(tblProductos[SKU],ROW()-ROW(tblConteo[#Headers])))</f>
        <v>PIN-002</v>
      </c>
      <c r="C29" s="49" t="str">
        <f>IF(tblConteo[[#This Row],[SKU]]="","",INDEX(tblProductos[Producto],ROW()-ROW(tblConteo[#Headers])))</f>
        <v>Esmalte sintético negro</v>
      </c>
      <c r="D29" s="49" t="str">
        <f>IF(tblConteo[[#This Row],[SKU]]="","",INDEX(tblProductos[Categoría],ROW()-ROW(tblConteo[#Headers]))&amp;"")</f>
        <v>PINTURAS</v>
      </c>
      <c r="E29" s="42" t="str">
        <f>IF(tblConteo[[#This Row],[SKU]]="","",INDEX(tblProductos[Ubicación],ROW()-ROW(tblConteo[#Headers]))&amp;"")</f>
        <v>D-01-02</v>
      </c>
      <c r="F29" s="42" t="str">
        <f>IF(tblConteo[[#This Row],[SKU]]="","",INDEX(tblProductos[Unidad],ROW()-ROW(tblConteo[#Headers]))&amp;"")</f>
        <v>GL</v>
      </c>
      <c r="G29" s="42" t="str">
        <f>IF(tblConteo[[#This Row],[SKU]]="","",IF(INDEX(tblProductos[Activo],ROW()-ROW(tblConteo[#Headers]))="NO","NO","SI"))</f>
        <v>SI</v>
      </c>
      <c r="H29" s="53">
        <f>IF(tblConteo[[#This Row],[SKU]]="","",IFERROR(N(INDEX(tblStock[StockActual],MATCH(tblConteo[[#This Row],[SKU]],tblStock[SKU],0))),0))</f>
        <v>0</v>
      </c>
      <c r="I29" s="52"/>
      <c r="J29" s="59" t="str">
        <f>IF(OR(tblConteo[[#This Row],[SKU]]="",tblConteo[[#This Row],[Conteo]]=""),"",IF(ISNUMBER(tblConteo[[#This Row],[Conteo]]),tblConteo[[#This Row],[Conteo]]-N(tblConteo[[#This Row],[Sistema]]),""))</f>
        <v/>
      </c>
      <c r="K29" s="62" t="str">
        <f>IF(tblConteo[[#This Row],[Diferencia]]="","",tblConteo[[#This Row],[Diferencia]]*N(INDEX(tblProductos[CostoUnitario],ROW()-ROW(tblConteo[#Headers]))))</f>
        <v/>
      </c>
      <c r="L2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" spans="2:13" x14ac:dyDescent="0.25">
      <c r="B30" s="42" t="str">
        <f>IF(INDEX(tblProductos[SKU],ROW()-ROW(tblConteo[#Headers]))="","",INDEX(tblProductos[SKU],ROW()-ROW(tblConteo[#Headers])))</f>
        <v>PIN-003</v>
      </c>
      <c r="C30" s="49" t="str">
        <f>IF(tblConteo[[#This Row],[SKU]]="","",INDEX(tblProductos[Producto],ROW()-ROW(tblConteo[#Headers])))</f>
        <v>Thinner corriente</v>
      </c>
      <c r="D30" s="49" t="str">
        <f>IF(tblConteo[[#This Row],[SKU]]="","",INDEX(tblProductos[Categoría],ROW()-ROW(tblConteo[#Headers]))&amp;"")</f>
        <v>PINTURAS</v>
      </c>
      <c r="E30" s="42" t="str">
        <f>IF(tblConteo[[#This Row],[SKU]]="","",INDEX(tblProductos[Ubicación],ROW()-ROW(tblConteo[#Headers]))&amp;"")</f>
        <v>D-01-03</v>
      </c>
      <c r="F30" s="42" t="str">
        <f>IF(tblConteo[[#This Row],[SKU]]="","",INDEX(tblProductos[Unidad],ROW()-ROW(tblConteo[#Headers]))&amp;"")</f>
        <v>GL</v>
      </c>
      <c r="G30" s="42" t="str">
        <f>IF(tblConteo[[#This Row],[SKU]]="","",IF(INDEX(tblProductos[Activo],ROW()-ROW(tblConteo[#Headers]))="NO","NO","SI"))</f>
        <v>SI</v>
      </c>
      <c r="H30" s="53">
        <f>IF(tblConteo[[#This Row],[SKU]]="","",IFERROR(N(INDEX(tblStock[StockActual],MATCH(tblConteo[[#This Row],[SKU]],tblStock[SKU],0))),0))</f>
        <v>40</v>
      </c>
      <c r="I30" s="52"/>
      <c r="J30" s="59" t="str">
        <f>IF(OR(tblConteo[[#This Row],[SKU]]="",tblConteo[[#This Row],[Conteo]]=""),"",IF(ISNUMBER(tblConteo[[#This Row],[Conteo]]),tblConteo[[#This Row],[Conteo]]-N(tblConteo[[#This Row],[Sistema]]),""))</f>
        <v/>
      </c>
      <c r="K30" s="62" t="str">
        <f>IF(tblConteo[[#This Row],[Diferencia]]="","",tblConteo[[#This Row],[Diferencia]]*N(INDEX(tblProductos[CostoUnitario],ROW()-ROW(tblConteo[#Headers]))))</f>
        <v/>
      </c>
      <c r="L3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" spans="2:13" x14ac:dyDescent="0.25">
      <c r="B31" s="42" t="str">
        <f>IF(INDEX(tblProductos[SKU],ROW()-ROW(tblConteo[#Headers]))="","",INDEX(tblProductos[SKU],ROW()-ROW(tblConteo[#Headers])))</f>
        <v>PIN-004</v>
      </c>
      <c r="C31" s="49" t="str">
        <f>IF(tblConteo[[#This Row],[SKU]]="","",INDEX(tblProductos[Producto],ROW()-ROW(tblConteo[#Headers])))</f>
        <v>Rodillo de felpa 9"</v>
      </c>
      <c r="D31" s="49" t="str">
        <f>IF(tblConteo[[#This Row],[SKU]]="","",INDEX(tblProductos[Categoría],ROW()-ROW(tblConteo[#Headers]))&amp;"")</f>
        <v>PINTURAS</v>
      </c>
      <c r="E31" s="42" t="str">
        <f>IF(tblConteo[[#This Row],[SKU]]="","",INDEX(tblProductos[Ubicación],ROW()-ROW(tblConteo[#Headers]))&amp;"")</f>
        <v>D-02-01</v>
      </c>
      <c r="F31" s="42" t="str">
        <f>IF(tblConteo[[#This Row],[SKU]]="","",INDEX(tblProductos[Unidad],ROW()-ROW(tblConteo[#Headers]))&amp;"")</f>
        <v>UND</v>
      </c>
      <c r="G31" s="42" t="str">
        <f>IF(tblConteo[[#This Row],[SKU]]="","",IF(INDEX(tblProductos[Activo],ROW()-ROW(tblConteo[#Headers]))="NO","NO","SI"))</f>
        <v>SI</v>
      </c>
      <c r="H31" s="53">
        <f>IF(tblConteo[[#This Row],[SKU]]="","",IFERROR(N(INDEX(tblStock[StockActual],MATCH(tblConteo[[#This Row],[SKU]],tblStock[SKU],0))),0))</f>
        <v>11</v>
      </c>
      <c r="I31" s="52"/>
      <c r="J31" s="59" t="str">
        <f>IF(OR(tblConteo[[#This Row],[SKU]]="",tblConteo[[#This Row],[Conteo]]=""),"",IF(ISNUMBER(tblConteo[[#This Row],[Conteo]]),tblConteo[[#This Row],[Conteo]]-N(tblConteo[[#This Row],[Sistema]]),""))</f>
        <v/>
      </c>
      <c r="K31" s="62" t="str">
        <f>IF(tblConteo[[#This Row],[Diferencia]]="","",tblConteo[[#This Row],[Diferencia]]*N(INDEX(tblProductos[CostoUnitario],ROW()-ROW(tblConteo[#Headers]))))</f>
        <v/>
      </c>
      <c r="L3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" spans="2:13" x14ac:dyDescent="0.25">
      <c r="B32" s="42" t="str">
        <f>IF(INDEX(tblProductos[SKU],ROW()-ROW(tblConteo[#Headers]))="","",INDEX(tblProductos[SKU],ROW()-ROW(tblConteo[#Headers])))</f>
        <v>PIN-005</v>
      </c>
      <c r="C32" s="49" t="str">
        <f>IF(tblConteo[[#This Row],[SKU]]="","",INDEX(tblProductos[Producto],ROW()-ROW(tblConteo[#Headers])))</f>
        <v>Brocha 3" cerda natural</v>
      </c>
      <c r="D32" s="49" t="str">
        <f>IF(tblConteo[[#This Row],[SKU]]="","",INDEX(tblProductos[Categoría],ROW()-ROW(tblConteo[#Headers]))&amp;"")</f>
        <v>PINTURAS</v>
      </c>
      <c r="E32" s="42" t="str">
        <f>IF(tblConteo[[#This Row],[SKU]]="","",INDEX(tblProductos[Ubicación],ROW()-ROW(tblConteo[#Headers]))&amp;"")</f>
        <v>D-02-02</v>
      </c>
      <c r="F32" s="42" t="str">
        <f>IF(tblConteo[[#This Row],[SKU]]="","",INDEX(tblProductos[Unidad],ROW()-ROW(tblConteo[#Headers]))&amp;"")</f>
        <v>UND</v>
      </c>
      <c r="G32" s="42" t="str">
        <f>IF(tblConteo[[#This Row],[SKU]]="","",IF(INDEX(tblProductos[Activo],ROW()-ROW(tblConteo[#Headers]))="NO","NO","SI"))</f>
        <v>SI</v>
      </c>
      <c r="H32" s="53">
        <f>IF(tblConteo[[#This Row],[SKU]]="","",IFERROR(N(INDEX(tblStock[StockActual],MATCH(tblConteo[[#This Row],[SKU]],tblStock[SKU],0))),0))</f>
        <v>46</v>
      </c>
      <c r="I32" s="52"/>
      <c r="J32" s="59" t="str">
        <f>IF(OR(tblConteo[[#This Row],[SKU]]="",tblConteo[[#This Row],[Conteo]]=""),"",IF(ISNUMBER(tblConteo[[#This Row],[Conteo]]),tblConteo[[#This Row],[Conteo]]-N(tblConteo[[#This Row],[Sistema]]),""))</f>
        <v/>
      </c>
      <c r="K32" s="62" t="str">
        <f>IF(tblConteo[[#This Row],[Diferencia]]="","",tblConteo[[#This Row],[Diferencia]]*N(INDEX(tblProductos[CostoUnitario],ROW()-ROW(tblConteo[#Headers]))))</f>
        <v/>
      </c>
      <c r="L3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" spans="2:13" x14ac:dyDescent="0.25">
      <c r="B33" s="42" t="str">
        <f>IF(INDEX(tblProductos[SKU],ROW()-ROW(tblConteo[#Headers]))="","",INDEX(tblProductos[SKU],ROW()-ROW(tblConteo[#Headers])))</f>
        <v>SEG-001</v>
      </c>
      <c r="C33" s="49" t="str">
        <f>IF(tblConteo[[#This Row],[SKU]]="","",INDEX(tblProductos[Producto],ROW()-ROW(tblConteo[#Headers])))</f>
        <v>Guantes de nitrilo</v>
      </c>
      <c r="D33" s="49" t="str">
        <f>IF(tblConteo[[#This Row],[SKU]]="","",INDEX(tblProductos[Categoría],ROW()-ROW(tblConteo[#Headers]))&amp;"")</f>
        <v>SEGURIDAD INDUSTRIAL</v>
      </c>
      <c r="E33" s="42" t="str">
        <f>IF(tblConteo[[#This Row],[SKU]]="","",INDEX(tblProductos[Ubicación],ROW()-ROW(tblConteo[#Headers]))&amp;"")</f>
        <v>E-01-01</v>
      </c>
      <c r="F33" s="42" t="str">
        <f>IF(tblConteo[[#This Row],[SKU]]="","",INDEX(tblProductos[Unidad],ROW()-ROW(tblConteo[#Headers]))&amp;"")</f>
        <v>PAR</v>
      </c>
      <c r="G33" s="42" t="str">
        <f>IF(tblConteo[[#This Row],[SKU]]="","",IF(INDEX(tblProductos[Activo],ROW()-ROW(tblConteo[#Headers]))="NO","NO","SI"))</f>
        <v>SI</v>
      </c>
      <c r="H33" s="53">
        <f>IF(tblConteo[[#This Row],[SKU]]="","",IFERROR(N(INDEX(tblStock[StockActual],MATCH(tblConteo[[#This Row],[SKU]],tblStock[SKU],0))),0))</f>
        <v>53</v>
      </c>
      <c r="I33" s="52"/>
      <c r="J33" s="59" t="str">
        <f>IF(OR(tblConteo[[#This Row],[SKU]]="",tblConteo[[#This Row],[Conteo]]=""),"",IF(ISNUMBER(tblConteo[[#This Row],[Conteo]]),tblConteo[[#This Row],[Conteo]]-N(tblConteo[[#This Row],[Sistema]]),""))</f>
        <v/>
      </c>
      <c r="K33" s="62" t="str">
        <f>IF(tblConteo[[#This Row],[Diferencia]]="","",tblConteo[[#This Row],[Diferencia]]*N(INDEX(tblProductos[CostoUnitario],ROW()-ROW(tblConteo[#Headers]))))</f>
        <v/>
      </c>
      <c r="L3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" spans="2:13" x14ac:dyDescent="0.25">
      <c r="B34" s="42" t="str">
        <f>IF(INDEX(tblProductos[SKU],ROW()-ROW(tblConteo[#Headers]))="","",INDEX(tblProductos[SKU],ROW()-ROW(tblConteo[#Headers])))</f>
        <v>SEG-002</v>
      </c>
      <c r="C34" s="49" t="str">
        <f>IF(tblConteo[[#This Row],[SKU]]="","",INDEX(tblProductos[Producto],ROW()-ROW(tblConteo[#Headers])))</f>
        <v>Casco de seguridad blanco</v>
      </c>
      <c r="D34" s="49" t="str">
        <f>IF(tblConteo[[#This Row],[SKU]]="","",INDEX(tblProductos[Categoría],ROW()-ROW(tblConteo[#Headers]))&amp;"")</f>
        <v>SEGURIDAD INDUSTRIAL</v>
      </c>
      <c r="E34" s="42" t="str">
        <f>IF(tblConteo[[#This Row],[SKU]]="","",INDEX(tblProductos[Ubicación],ROW()-ROW(tblConteo[#Headers]))&amp;"")</f>
        <v>E-01-02</v>
      </c>
      <c r="F34" s="42" t="str">
        <f>IF(tblConteo[[#This Row],[SKU]]="","",INDEX(tblProductos[Unidad],ROW()-ROW(tblConteo[#Headers]))&amp;"")</f>
        <v>UND</v>
      </c>
      <c r="G34" s="42" t="str">
        <f>IF(tblConteo[[#This Row],[SKU]]="","",IF(INDEX(tblProductos[Activo],ROW()-ROW(tblConteo[#Headers]))="NO","NO","SI"))</f>
        <v>SI</v>
      </c>
      <c r="H34" s="53">
        <f>IF(tblConteo[[#This Row],[SKU]]="","",IFERROR(N(INDEX(tblStock[StockActual],MATCH(tblConteo[[#This Row],[SKU]],tblStock[SKU],0))),0))</f>
        <v>36</v>
      </c>
      <c r="I34" s="52"/>
      <c r="J34" s="59" t="str">
        <f>IF(OR(tblConteo[[#This Row],[SKU]]="",tblConteo[[#This Row],[Conteo]]=""),"",IF(ISNUMBER(tblConteo[[#This Row],[Conteo]]),tblConteo[[#This Row],[Conteo]]-N(tblConteo[[#This Row],[Sistema]]),""))</f>
        <v/>
      </c>
      <c r="K34" s="62" t="str">
        <f>IF(tblConteo[[#This Row],[Diferencia]]="","",tblConteo[[#This Row],[Diferencia]]*N(INDEX(tblProductos[CostoUnitario],ROW()-ROW(tblConteo[#Headers]))))</f>
        <v/>
      </c>
      <c r="L3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" spans="2:13" x14ac:dyDescent="0.25">
      <c r="B35" s="42" t="str">
        <f>IF(INDEX(tblProductos[SKU],ROW()-ROW(tblConteo[#Headers]))="","",INDEX(tblProductos[SKU],ROW()-ROW(tblConteo[#Headers])))</f>
        <v>SEG-003</v>
      </c>
      <c r="C35" s="49" t="str">
        <f>IF(tblConteo[[#This Row],[SKU]]="","",INDEX(tblProductos[Producto],ROW()-ROW(tblConteo[#Headers])))</f>
        <v>Gafas de seguridad lente claro</v>
      </c>
      <c r="D35" s="49" t="str">
        <f>IF(tblConteo[[#This Row],[SKU]]="","",INDEX(tblProductos[Categoría],ROW()-ROW(tblConteo[#Headers]))&amp;"")</f>
        <v>SEGURIDAD INDUSTRIAL</v>
      </c>
      <c r="E35" s="42" t="str">
        <f>IF(tblConteo[[#This Row],[SKU]]="","",INDEX(tblProductos[Ubicación],ROW()-ROW(tblConteo[#Headers]))&amp;"")</f>
        <v>E-01-03</v>
      </c>
      <c r="F35" s="42" t="str">
        <f>IF(tblConteo[[#This Row],[SKU]]="","",INDEX(tblProductos[Unidad],ROW()-ROW(tblConteo[#Headers]))&amp;"")</f>
        <v>UND</v>
      </c>
      <c r="G35" s="42" t="str">
        <f>IF(tblConteo[[#This Row],[SKU]]="","",IF(INDEX(tblProductos[Activo],ROW()-ROW(tblConteo[#Headers]))="NO","NO","SI"))</f>
        <v>SI</v>
      </c>
      <c r="H35" s="53">
        <f>IF(tblConteo[[#This Row],[SKU]]="","",IFERROR(N(INDEX(tblStock[StockActual],MATCH(tblConteo[[#This Row],[SKU]],tblStock[SKU],0))),0))</f>
        <v>25</v>
      </c>
      <c r="I35" s="52"/>
      <c r="J35" s="59" t="str">
        <f>IF(OR(tblConteo[[#This Row],[SKU]]="",tblConteo[[#This Row],[Conteo]]=""),"",IF(ISNUMBER(tblConteo[[#This Row],[Conteo]]),tblConteo[[#This Row],[Conteo]]-N(tblConteo[[#This Row],[Sistema]]),""))</f>
        <v/>
      </c>
      <c r="K35" s="62" t="str">
        <f>IF(tblConteo[[#This Row],[Diferencia]]="","",tblConteo[[#This Row],[Diferencia]]*N(INDEX(tblProductos[CostoUnitario],ROW()-ROW(tblConteo[#Headers]))))</f>
        <v/>
      </c>
      <c r="L3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" spans="2:13" x14ac:dyDescent="0.25">
      <c r="B36" s="42" t="str">
        <f>IF(INDEX(tblProductos[SKU],ROW()-ROW(tblConteo[#Headers]))="","",INDEX(tblProductos[SKU],ROW()-ROW(tblConteo[#Headers])))</f>
        <v>SEG-004</v>
      </c>
      <c r="C36" s="49" t="str">
        <f>IF(tblConteo[[#This Row],[SKU]]="","",INDEX(tblProductos[Producto],ROW()-ROW(tblConteo[#Headers])))</f>
        <v>Botas de seguridad punta de acero</v>
      </c>
      <c r="D36" s="49" t="str">
        <f>IF(tblConteo[[#This Row],[SKU]]="","",INDEX(tblProductos[Categoría],ROW()-ROW(tblConteo[#Headers]))&amp;"")</f>
        <v>SEGURIDAD INDUSTRIAL</v>
      </c>
      <c r="E36" s="42" t="str">
        <f>IF(tblConteo[[#This Row],[SKU]]="","",INDEX(tblProductos[Ubicación],ROW()-ROW(tblConteo[#Headers]))&amp;"")</f>
        <v>E-02-01</v>
      </c>
      <c r="F36" s="42" t="str">
        <f>IF(tblConteo[[#This Row],[SKU]]="","",INDEX(tblProductos[Unidad],ROW()-ROW(tblConteo[#Headers]))&amp;"")</f>
        <v>PAR</v>
      </c>
      <c r="G36" s="42" t="str">
        <f>IF(tblConteo[[#This Row],[SKU]]="","",IF(INDEX(tblProductos[Activo],ROW()-ROW(tblConteo[#Headers]))="NO","NO","SI"))</f>
        <v>SI</v>
      </c>
      <c r="H36" s="53">
        <f>IF(tblConteo[[#This Row],[SKU]]="","",IFERROR(N(INDEX(tblStock[StockActual],MATCH(tblConteo[[#This Row],[SKU]],tblStock[SKU],0))),0))</f>
        <v>0</v>
      </c>
      <c r="I36" s="52"/>
      <c r="J36" s="59" t="str">
        <f>IF(OR(tblConteo[[#This Row],[SKU]]="",tblConteo[[#This Row],[Conteo]]=""),"",IF(ISNUMBER(tblConteo[[#This Row],[Conteo]]),tblConteo[[#This Row],[Conteo]]-N(tblConteo[[#This Row],[Sistema]]),""))</f>
        <v/>
      </c>
      <c r="K36" s="62" t="str">
        <f>IF(tblConteo[[#This Row],[Diferencia]]="","",tblConteo[[#This Row],[Diferencia]]*N(INDEX(tblProductos[CostoUnitario],ROW()-ROW(tblConteo[#Headers]))))</f>
        <v/>
      </c>
      <c r="L3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" spans="2:13" x14ac:dyDescent="0.25">
      <c r="B37" s="42" t="str">
        <f>IF(INDEX(tblProductos[SKU],ROW()-ROW(tblConteo[#Headers]))="","",INDEX(tblProductos[SKU],ROW()-ROW(tblConteo[#Headers])))</f>
        <v>SEG-005</v>
      </c>
      <c r="C37" s="49" t="str">
        <f>IF(tblConteo[[#This Row],[SKU]]="","",INDEX(tblProductos[Producto],ROW()-ROW(tblConteo[#Headers])))</f>
        <v>Tapabocas N95 (caja x20)</v>
      </c>
      <c r="D37" s="49" t="str">
        <f>IF(tblConteo[[#This Row],[SKU]]="","",INDEX(tblProductos[Categoría],ROW()-ROW(tblConteo[#Headers]))&amp;"")</f>
        <v>SEGURIDAD INDUSTRIAL</v>
      </c>
      <c r="E37" s="42" t="str">
        <f>IF(tblConteo[[#This Row],[SKU]]="","",INDEX(tblProductos[Ubicación],ROW()-ROW(tblConteo[#Headers]))&amp;"")</f>
        <v>E-02-02</v>
      </c>
      <c r="F37" s="42" t="str">
        <f>IF(tblConteo[[#This Row],[SKU]]="","",INDEX(tblProductos[Unidad],ROW()-ROW(tblConteo[#Headers]))&amp;"")</f>
        <v>CAJA</v>
      </c>
      <c r="G37" s="42" t="str">
        <f>IF(tblConteo[[#This Row],[SKU]]="","",IF(INDEX(tblProductos[Activo],ROW()-ROW(tblConteo[#Headers]))="NO","NO","SI"))</f>
        <v>SI</v>
      </c>
      <c r="H37" s="53">
        <f>IF(tblConteo[[#This Row],[SKU]]="","",IFERROR(N(INDEX(tblStock[StockActual],MATCH(tblConteo[[#This Row],[SKU]],tblStock[SKU],0))),0))</f>
        <v>1</v>
      </c>
      <c r="I37" s="52"/>
      <c r="J37" s="59" t="str">
        <f>IF(OR(tblConteo[[#This Row],[SKU]]="",tblConteo[[#This Row],[Conteo]]=""),"",IF(ISNUMBER(tblConteo[[#This Row],[Conteo]]),tblConteo[[#This Row],[Conteo]]-N(tblConteo[[#This Row],[Sistema]]),""))</f>
        <v/>
      </c>
      <c r="K37" s="62" t="str">
        <f>IF(tblConteo[[#This Row],[Diferencia]]="","",tblConteo[[#This Row],[Diferencia]]*N(INDEX(tblProductos[CostoUnitario],ROW()-ROW(tblConteo[#Headers]))))</f>
        <v/>
      </c>
      <c r="L3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" spans="2:13" x14ac:dyDescent="0.25">
      <c r="B38" s="42" t="str">
        <f>IF(INDEX(tblProductos[SKU],ROW()-ROW(tblConteo[#Headers]))="","",INDEX(tblProductos[SKU],ROW()-ROW(tblConteo[#Headers])))</f>
        <v>ASE-001</v>
      </c>
      <c r="C38" s="49" t="str">
        <f>IF(tblConteo[[#This Row],[SKU]]="","",INDEX(tblProductos[Producto],ROW()-ROW(tblConteo[#Headers])))</f>
        <v>Desengrasante industrial</v>
      </c>
      <c r="D38" s="49" t="str">
        <f>IF(tblConteo[[#This Row],[SKU]]="","",INDEX(tblProductos[Categoría],ROW()-ROW(tblConteo[#Headers]))&amp;"")</f>
        <v>ASEO Y LIMPIEZA</v>
      </c>
      <c r="E38" s="42" t="str">
        <f>IF(tblConteo[[#This Row],[SKU]]="","",INDEX(tblProductos[Ubicación],ROW()-ROW(tblConteo[#Headers]))&amp;"")</f>
        <v>F-01-01</v>
      </c>
      <c r="F38" s="42" t="str">
        <f>IF(tblConteo[[#This Row],[SKU]]="","",INDEX(tblProductos[Unidad],ROW()-ROW(tblConteo[#Headers]))&amp;"")</f>
        <v>GL</v>
      </c>
      <c r="G38" s="42" t="str">
        <f>IF(tblConteo[[#This Row],[SKU]]="","",IF(INDEX(tblProductos[Activo],ROW()-ROW(tblConteo[#Headers]))="NO","NO","SI"))</f>
        <v>SI</v>
      </c>
      <c r="H38" s="53">
        <f>IF(tblConteo[[#This Row],[SKU]]="","",IFERROR(N(INDEX(tblStock[StockActual],MATCH(tblConteo[[#This Row],[SKU]],tblStock[SKU],0))),0))</f>
        <v>13.5</v>
      </c>
      <c r="I38" s="52"/>
      <c r="J38" s="59" t="str">
        <f>IF(OR(tblConteo[[#This Row],[SKU]]="",tblConteo[[#This Row],[Conteo]]=""),"",IF(ISNUMBER(tblConteo[[#This Row],[Conteo]]),tblConteo[[#This Row],[Conteo]]-N(tblConteo[[#This Row],[Sistema]]),""))</f>
        <v/>
      </c>
      <c r="K38" s="62" t="str">
        <f>IF(tblConteo[[#This Row],[Diferencia]]="","",tblConteo[[#This Row],[Diferencia]]*N(INDEX(tblProductos[CostoUnitario],ROW()-ROW(tblConteo[#Headers]))))</f>
        <v/>
      </c>
      <c r="L3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" spans="2:13" x14ac:dyDescent="0.25">
      <c r="B39" s="42" t="str">
        <f>IF(INDEX(tblProductos[SKU],ROW()-ROW(tblConteo[#Headers]))="","",INDEX(tblProductos[SKU],ROW()-ROW(tblConteo[#Headers])))</f>
        <v>ASE-002</v>
      </c>
      <c r="C39" s="49" t="str">
        <f>IF(tblConteo[[#This Row],[SKU]]="","",INDEX(tblProductos[Producto],ROW()-ROW(tblConteo[#Headers])))</f>
        <v>Hipoclorito de sodio 5%</v>
      </c>
      <c r="D39" s="49" t="str">
        <f>IF(tblConteo[[#This Row],[SKU]]="","",INDEX(tblProductos[Categoría],ROW()-ROW(tblConteo[#Headers]))&amp;"")</f>
        <v>ASEO Y LIMPIEZA</v>
      </c>
      <c r="E39" s="42" t="str">
        <f>IF(tblConteo[[#This Row],[SKU]]="","",INDEX(tblProductos[Ubicación],ROW()-ROW(tblConteo[#Headers]))&amp;"")</f>
        <v>F-01-02</v>
      </c>
      <c r="F39" s="42" t="str">
        <f>IF(tblConteo[[#This Row],[SKU]]="","",INDEX(tblProductos[Unidad],ROW()-ROW(tblConteo[#Headers]))&amp;"")</f>
        <v>LT</v>
      </c>
      <c r="G39" s="42" t="str">
        <f>IF(tblConteo[[#This Row],[SKU]]="","",IF(INDEX(tblProductos[Activo],ROW()-ROW(tblConteo[#Headers]))="NO","NO","SI"))</f>
        <v>SI</v>
      </c>
      <c r="H39" s="53">
        <f>IF(tblConteo[[#This Row],[SKU]]="","",IFERROR(N(INDEX(tblStock[StockActual],MATCH(tblConteo[[#This Row],[SKU]],tblStock[SKU],0))),0))</f>
        <v>68.5</v>
      </c>
      <c r="I39" s="52"/>
      <c r="J39" s="59" t="str">
        <f>IF(OR(tblConteo[[#This Row],[SKU]]="",tblConteo[[#This Row],[Conteo]]=""),"",IF(ISNUMBER(tblConteo[[#This Row],[Conteo]]),tblConteo[[#This Row],[Conteo]]-N(tblConteo[[#This Row],[Sistema]]),""))</f>
        <v/>
      </c>
      <c r="K39" s="62" t="str">
        <f>IF(tblConteo[[#This Row],[Diferencia]]="","",tblConteo[[#This Row],[Diferencia]]*N(INDEX(tblProductos[CostoUnitario],ROW()-ROW(tblConteo[#Headers]))))</f>
        <v/>
      </c>
      <c r="L3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" spans="2:13" x14ac:dyDescent="0.25">
      <c r="B40" s="42" t="str">
        <f>IF(INDEX(tblProductos[SKU],ROW()-ROW(tblConteo[#Headers]))="","",INDEX(tblProductos[SKU],ROW()-ROW(tblConteo[#Headers])))</f>
        <v>ASE-003</v>
      </c>
      <c r="C40" s="49" t="str">
        <f>IF(tblConteo[[#This Row],[SKU]]="","",INDEX(tblProductos[Producto],ROW()-ROW(tblConteo[#Headers])))</f>
        <v>Bolsa de basura negra 90x110 (paq x10)</v>
      </c>
      <c r="D40" s="49" t="str">
        <f>IF(tblConteo[[#This Row],[SKU]]="","",INDEX(tblProductos[Categoría],ROW()-ROW(tblConteo[#Headers]))&amp;"")</f>
        <v>ASEO Y LIMPIEZA</v>
      </c>
      <c r="E40" s="42" t="str">
        <f>IF(tblConteo[[#This Row],[SKU]]="","",INDEX(tblProductos[Ubicación],ROW()-ROW(tblConteo[#Headers]))&amp;"")</f>
        <v>F-01-03</v>
      </c>
      <c r="F40" s="42" t="str">
        <f>IF(tblConteo[[#This Row],[SKU]]="","",INDEX(tblProductos[Unidad],ROW()-ROW(tblConteo[#Headers]))&amp;"")</f>
        <v>PAQ</v>
      </c>
      <c r="G40" s="42" t="str">
        <f>IF(tblConteo[[#This Row],[SKU]]="","",IF(INDEX(tblProductos[Activo],ROW()-ROW(tblConteo[#Headers]))="NO","NO","SI"))</f>
        <v>SI</v>
      </c>
      <c r="H40" s="53">
        <f>IF(tblConteo[[#This Row],[SKU]]="","",IFERROR(N(INDEX(tblStock[StockActual],MATCH(tblConteo[[#This Row],[SKU]],tblStock[SKU],0))),0))</f>
        <v>29</v>
      </c>
      <c r="I40" s="52"/>
      <c r="J40" s="59" t="str">
        <f>IF(OR(tblConteo[[#This Row],[SKU]]="",tblConteo[[#This Row],[Conteo]]=""),"",IF(ISNUMBER(tblConteo[[#This Row],[Conteo]]),tblConteo[[#This Row],[Conteo]]-N(tblConteo[[#This Row],[Sistema]]),""))</f>
        <v/>
      </c>
      <c r="K40" s="62" t="str">
        <f>IF(tblConteo[[#This Row],[Diferencia]]="","",tblConteo[[#This Row],[Diferencia]]*N(INDEX(tblProductos[CostoUnitario],ROW()-ROW(tblConteo[#Headers]))))</f>
        <v/>
      </c>
      <c r="L4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" spans="2:13" x14ac:dyDescent="0.25">
      <c r="B41" s="42" t="str">
        <f>IF(INDEX(tblProductos[SKU],ROW()-ROW(tblConteo[#Headers]))="","",INDEX(tblProductos[SKU],ROW()-ROW(tblConteo[#Headers])))</f>
        <v>ASE-004</v>
      </c>
      <c r="C41" s="49" t="str">
        <f>IF(tblConteo[[#This Row],[SKU]]="","",INDEX(tblProductos[Producto],ROW()-ROW(tblConteo[#Headers])))</f>
        <v>Trapero industrial en algodón</v>
      </c>
      <c r="D41" s="49" t="str">
        <f>IF(tblConteo[[#This Row],[SKU]]="","",INDEX(tblProductos[Categoría],ROW()-ROW(tblConteo[#Headers]))&amp;"")</f>
        <v>ASEO Y LIMPIEZA</v>
      </c>
      <c r="E41" s="42" t="str">
        <f>IF(tblConteo[[#This Row],[SKU]]="","",INDEX(tblProductos[Ubicación],ROW()-ROW(tblConteo[#Headers]))&amp;"")</f>
        <v>F-02-01</v>
      </c>
      <c r="F41" s="42" t="str">
        <f>IF(tblConteo[[#This Row],[SKU]]="","",INDEX(tblProductos[Unidad],ROW()-ROW(tblConteo[#Headers]))&amp;"")</f>
        <v>UND</v>
      </c>
      <c r="G41" s="42" t="str">
        <f>IF(tblConteo[[#This Row],[SKU]]="","",IF(INDEX(tblProductos[Activo],ROW()-ROW(tblConteo[#Headers]))="NO","NO","SI"))</f>
        <v>SI</v>
      </c>
      <c r="H41" s="53">
        <f>IF(tblConteo[[#This Row],[SKU]]="","",IFERROR(N(INDEX(tblStock[StockActual],MATCH(tblConteo[[#This Row],[SKU]],tblStock[SKU],0))),0))</f>
        <v>31</v>
      </c>
      <c r="I41" s="52"/>
      <c r="J41" s="59" t="str">
        <f>IF(OR(tblConteo[[#This Row],[SKU]]="",tblConteo[[#This Row],[Conteo]]=""),"",IF(ISNUMBER(tblConteo[[#This Row],[Conteo]]),tblConteo[[#This Row],[Conteo]]-N(tblConteo[[#This Row],[Sistema]]),""))</f>
        <v/>
      </c>
      <c r="K41" s="62" t="str">
        <f>IF(tblConteo[[#This Row],[Diferencia]]="","",tblConteo[[#This Row],[Diferencia]]*N(INDEX(tblProductos[CostoUnitario],ROW()-ROW(tblConteo[#Headers]))))</f>
        <v/>
      </c>
      <c r="L4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" spans="2:13" x14ac:dyDescent="0.25">
      <c r="B42" s="42" t="str">
        <f>IF(INDEX(tblProductos[SKU],ROW()-ROW(tblConteo[#Headers]))="","",INDEX(tblProductos[SKU],ROW()-ROW(tblConteo[#Headers])))</f>
        <v>ASE-005</v>
      </c>
      <c r="C42" s="49" t="str">
        <f>IF(tblConteo[[#This Row],[SKU]]="","",INDEX(tblProductos[Producto],ROW()-ROW(tblConteo[#Headers])))</f>
        <v>Detergente en polvo</v>
      </c>
      <c r="D42" s="49" t="str">
        <f>IF(tblConteo[[#This Row],[SKU]]="","",INDEX(tblProductos[Categoría],ROW()-ROW(tblConteo[#Headers]))&amp;"")</f>
        <v>ASEO Y LIMPIEZA</v>
      </c>
      <c r="E42" s="42" t="str">
        <f>IF(tblConteo[[#This Row],[SKU]]="","",INDEX(tblProductos[Ubicación],ROW()-ROW(tblConteo[#Headers]))&amp;"")</f>
        <v>F-02-02</v>
      </c>
      <c r="F42" s="42" t="str">
        <f>IF(tblConteo[[#This Row],[SKU]]="","",INDEX(tblProductos[Unidad],ROW()-ROW(tblConteo[#Headers]))&amp;"")</f>
        <v>KG</v>
      </c>
      <c r="G42" s="42" t="str">
        <f>IF(tblConteo[[#This Row],[SKU]]="","",IF(INDEX(tblProductos[Activo],ROW()-ROW(tblConteo[#Headers]))="NO","NO","SI"))</f>
        <v>SI</v>
      </c>
      <c r="H42" s="53">
        <f>IF(tblConteo[[#This Row],[SKU]]="","",IFERROR(N(INDEX(tblStock[StockActual],MATCH(tblConteo[[#This Row],[SKU]],tblStock[SKU],0))),0))</f>
        <v>50</v>
      </c>
      <c r="I42" s="52"/>
      <c r="J42" s="59" t="str">
        <f>IF(OR(tblConteo[[#This Row],[SKU]]="",tblConteo[[#This Row],[Conteo]]=""),"",IF(ISNUMBER(tblConteo[[#This Row],[Conteo]]),tblConteo[[#This Row],[Conteo]]-N(tblConteo[[#This Row],[Sistema]]),""))</f>
        <v/>
      </c>
      <c r="K42" s="62" t="str">
        <f>IF(tblConteo[[#This Row],[Diferencia]]="","",tblConteo[[#This Row],[Diferencia]]*N(INDEX(tblProductos[CostoUnitario],ROW()-ROW(tblConteo[#Headers]))))</f>
        <v/>
      </c>
      <c r="L4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" spans="2:13" x14ac:dyDescent="0.25">
      <c r="B43" s="42" t="str">
        <f>IF(INDEX(tblProductos[SKU],ROW()-ROW(tblConteo[#Headers]))="","",INDEX(tblProductos[SKU],ROW()-ROW(tblConteo[#Headers])))</f>
        <v/>
      </c>
      <c r="C43" s="49" t="str">
        <f>IF(tblConteo[[#This Row],[SKU]]="","",INDEX(tblProductos[Producto],ROW()-ROW(tblConteo[#Headers])))</f>
        <v/>
      </c>
      <c r="D43" s="49" t="str">
        <f>IF(tblConteo[[#This Row],[SKU]]="","",INDEX(tblProductos[Categoría],ROW()-ROW(tblConteo[#Headers]))&amp;"")</f>
        <v/>
      </c>
      <c r="E43" s="42" t="str">
        <f>IF(tblConteo[[#This Row],[SKU]]="","",INDEX(tblProductos[Ubicación],ROW()-ROW(tblConteo[#Headers]))&amp;"")</f>
        <v/>
      </c>
      <c r="F43" s="42" t="str">
        <f>IF(tblConteo[[#This Row],[SKU]]="","",INDEX(tblProductos[Unidad],ROW()-ROW(tblConteo[#Headers]))&amp;"")</f>
        <v/>
      </c>
      <c r="G43" s="42" t="str">
        <f>IF(tblConteo[[#This Row],[SKU]]="","",IF(INDEX(tblProductos[Activo],ROW()-ROW(tblConteo[#Headers]))="NO","NO","SI"))</f>
        <v/>
      </c>
      <c r="H43" s="53" t="str">
        <f>IF(tblConteo[[#This Row],[SKU]]="","",IFERROR(N(INDEX(tblStock[StockActual],MATCH(tblConteo[[#This Row],[SKU]],tblStock[SKU],0))),0))</f>
        <v/>
      </c>
      <c r="I43" s="52"/>
      <c r="J43" s="59" t="str">
        <f>IF(OR(tblConteo[[#This Row],[SKU]]="",tblConteo[[#This Row],[Conteo]]=""),"",IF(ISNUMBER(tblConteo[[#This Row],[Conteo]]),tblConteo[[#This Row],[Conteo]]-N(tblConteo[[#This Row],[Sistema]]),""))</f>
        <v/>
      </c>
      <c r="K43" s="62" t="str">
        <f>IF(tblConteo[[#This Row],[Diferencia]]="","",tblConteo[[#This Row],[Diferencia]]*N(INDEX(tblProductos[CostoUnitario],ROW()-ROW(tblConteo[#Headers]))))</f>
        <v/>
      </c>
      <c r="L4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" spans="2:13" x14ac:dyDescent="0.25">
      <c r="B44" s="42" t="str">
        <f>IF(INDEX(tblProductos[SKU],ROW()-ROW(tblConteo[#Headers]))="","",INDEX(tblProductos[SKU],ROW()-ROW(tblConteo[#Headers])))</f>
        <v/>
      </c>
      <c r="C44" s="49" t="str">
        <f>IF(tblConteo[[#This Row],[SKU]]="","",INDEX(tblProductos[Producto],ROW()-ROW(tblConteo[#Headers])))</f>
        <v/>
      </c>
      <c r="D44" s="49" t="str">
        <f>IF(tblConteo[[#This Row],[SKU]]="","",INDEX(tblProductos[Categoría],ROW()-ROW(tblConteo[#Headers]))&amp;"")</f>
        <v/>
      </c>
      <c r="E44" s="42" t="str">
        <f>IF(tblConteo[[#This Row],[SKU]]="","",INDEX(tblProductos[Ubicación],ROW()-ROW(tblConteo[#Headers]))&amp;"")</f>
        <v/>
      </c>
      <c r="F44" s="42" t="str">
        <f>IF(tblConteo[[#This Row],[SKU]]="","",INDEX(tblProductos[Unidad],ROW()-ROW(tblConteo[#Headers]))&amp;"")</f>
        <v/>
      </c>
      <c r="G44" s="42" t="str">
        <f>IF(tblConteo[[#This Row],[SKU]]="","",IF(INDEX(tblProductos[Activo],ROW()-ROW(tblConteo[#Headers]))="NO","NO","SI"))</f>
        <v/>
      </c>
      <c r="H44" s="53" t="str">
        <f>IF(tblConteo[[#This Row],[SKU]]="","",IFERROR(N(INDEX(tblStock[StockActual],MATCH(tblConteo[[#This Row],[SKU]],tblStock[SKU],0))),0))</f>
        <v/>
      </c>
      <c r="I44" s="52"/>
      <c r="J44" s="59" t="str">
        <f>IF(OR(tblConteo[[#This Row],[SKU]]="",tblConteo[[#This Row],[Conteo]]=""),"",IF(ISNUMBER(tblConteo[[#This Row],[Conteo]]),tblConteo[[#This Row],[Conteo]]-N(tblConteo[[#This Row],[Sistema]]),""))</f>
        <v/>
      </c>
      <c r="K44" s="62" t="str">
        <f>IF(tblConteo[[#This Row],[Diferencia]]="","",tblConteo[[#This Row],[Diferencia]]*N(INDEX(tblProductos[CostoUnitario],ROW()-ROW(tblConteo[#Headers]))))</f>
        <v/>
      </c>
      <c r="L4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" spans="2:13" x14ac:dyDescent="0.25">
      <c r="B45" s="42" t="str">
        <f>IF(INDEX(tblProductos[SKU],ROW()-ROW(tblConteo[#Headers]))="","",INDEX(tblProductos[SKU],ROW()-ROW(tblConteo[#Headers])))</f>
        <v/>
      </c>
      <c r="C45" s="49" t="str">
        <f>IF(tblConteo[[#This Row],[SKU]]="","",INDEX(tblProductos[Producto],ROW()-ROW(tblConteo[#Headers])))</f>
        <v/>
      </c>
      <c r="D45" s="49" t="str">
        <f>IF(tblConteo[[#This Row],[SKU]]="","",INDEX(tblProductos[Categoría],ROW()-ROW(tblConteo[#Headers]))&amp;"")</f>
        <v/>
      </c>
      <c r="E45" s="42" t="str">
        <f>IF(tblConteo[[#This Row],[SKU]]="","",INDEX(tblProductos[Ubicación],ROW()-ROW(tblConteo[#Headers]))&amp;"")</f>
        <v/>
      </c>
      <c r="F45" s="42" t="str">
        <f>IF(tblConteo[[#This Row],[SKU]]="","",INDEX(tblProductos[Unidad],ROW()-ROW(tblConteo[#Headers]))&amp;"")</f>
        <v/>
      </c>
      <c r="G45" s="42" t="str">
        <f>IF(tblConteo[[#This Row],[SKU]]="","",IF(INDEX(tblProductos[Activo],ROW()-ROW(tblConteo[#Headers]))="NO","NO","SI"))</f>
        <v/>
      </c>
      <c r="H45" s="53" t="str">
        <f>IF(tblConteo[[#This Row],[SKU]]="","",IFERROR(N(INDEX(tblStock[StockActual],MATCH(tblConteo[[#This Row],[SKU]],tblStock[SKU],0))),0))</f>
        <v/>
      </c>
      <c r="I45" s="52"/>
      <c r="J45" s="59" t="str">
        <f>IF(OR(tblConteo[[#This Row],[SKU]]="",tblConteo[[#This Row],[Conteo]]=""),"",IF(ISNUMBER(tblConteo[[#This Row],[Conteo]]),tblConteo[[#This Row],[Conteo]]-N(tblConteo[[#This Row],[Sistema]]),""))</f>
        <v/>
      </c>
      <c r="K45" s="62" t="str">
        <f>IF(tblConteo[[#This Row],[Diferencia]]="","",tblConteo[[#This Row],[Diferencia]]*N(INDEX(tblProductos[CostoUnitario],ROW()-ROW(tblConteo[#Headers]))))</f>
        <v/>
      </c>
      <c r="L4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" spans="2:13" x14ac:dyDescent="0.25">
      <c r="B46" s="42" t="str">
        <f>IF(INDEX(tblProductos[SKU],ROW()-ROW(tblConteo[#Headers]))="","",INDEX(tblProductos[SKU],ROW()-ROW(tblConteo[#Headers])))</f>
        <v/>
      </c>
      <c r="C46" s="49" t="str">
        <f>IF(tblConteo[[#This Row],[SKU]]="","",INDEX(tblProductos[Producto],ROW()-ROW(tblConteo[#Headers])))</f>
        <v/>
      </c>
      <c r="D46" s="49" t="str">
        <f>IF(tblConteo[[#This Row],[SKU]]="","",INDEX(tblProductos[Categoría],ROW()-ROW(tblConteo[#Headers]))&amp;"")</f>
        <v/>
      </c>
      <c r="E46" s="42" t="str">
        <f>IF(tblConteo[[#This Row],[SKU]]="","",INDEX(tblProductos[Ubicación],ROW()-ROW(tblConteo[#Headers]))&amp;"")</f>
        <v/>
      </c>
      <c r="F46" s="42" t="str">
        <f>IF(tblConteo[[#This Row],[SKU]]="","",INDEX(tblProductos[Unidad],ROW()-ROW(tblConteo[#Headers]))&amp;"")</f>
        <v/>
      </c>
      <c r="G46" s="42" t="str">
        <f>IF(tblConteo[[#This Row],[SKU]]="","",IF(INDEX(tblProductos[Activo],ROW()-ROW(tblConteo[#Headers]))="NO","NO","SI"))</f>
        <v/>
      </c>
      <c r="H46" s="53" t="str">
        <f>IF(tblConteo[[#This Row],[SKU]]="","",IFERROR(N(INDEX(tblStock[StockActual],MATCH(tblConteo[[#This Row],[SKU]],tblStock[SKU],0))),0))</f>
        <v/>
      </c>
      <c r="I46" s="52"/>
      <c r="J46" s="59" t="str">
        <f>IF(OR(tblConteo[[#This Row],[SKU]]="",tblConteo[[#This Row],[Conteo]]=""),"",IF(ISNUMBER(tblConteo[[#This Row],[Conteo]]),tblConteo[[#This Row],[Conteo]]-N(tblConteo[[#This Row],[Sistema]]),""))</f>
        <v/>
      </c>
      <c r="K46" s="62" t="str">
        <f>IF(tblConteo[[#This Row],[Diferencia]]="","",tblConteo[[#This Row],[Diferencia]]*N(INDEX(tblProductos[CostoUnitario],ROW()-ROW(tblConteo[#Headers]))))</f>
        <v/>
      </c>
      <c r="L4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" spans="2:13" x14ac:dyDescent="0.25">
      <c r="B47" s="42" t="str">
        <f>IF(INDEX(tblProductos[SKU],ROW()-ROW(tblConteo[#Headers]))="","",INDEX(tblProductos[SKU],ROW()-ROW(tblConteo[#Headers])))</f>
        <v/>
      </c>
      <c r="C47" s="49" t="str">
        <f>IF(tblConteo[[#This Row],[SKU]]="","",INDEX(tblProductos[Producto],ROW()-ROW(tblConteo[#Headers])))</f>
        <v/>
      </c>
      <c r="D47" s="49" t="str">
        <f>IF(tblConteo[[#This Row],[SKU]]="","",INDEX(tblProductos[Categoría],ROW()-ROW(tblConteo[#Headers]))&amp;"")</f>
        <v/>
      </c>
      <c r="E47" s="42" t="str">
        <f>IF(tblConteo[[#This Row],[SKU]]="","",INDEX(tblProductos[Ubicación],ROW()-ROW(tblConteo[#Headers]))&amp;"")</f>
        <v/>
      </c>
      <c r="F47" s="42" t="str">
        <f>IF(tblConteo[[#This Row],[SKU]]="","",INDEX(tblProductos[Unidad],ROW()-ROW(tblConteo[#Headers]))&amp;"")</f>
        <v/>
      </c>
      <c r="G47" s="42" t="str">
        <f>IF(tblConteo[[#This Row],[SKU]]="","",IF(INDEX(tblProductos[Activo],ROW()-ROW(tblConteo[#Headers]))="NO","NO","SI"))</f>
        <v/>
      </c>
      <c r="H47" s="53" t="str">
        <f>IF(tblConteo[[#This Row],[SKU]]="","",IFERROR(N(INDEX(tblStock[StockActual],MATCH(tblConteo[[#This Row],[SKU]],tblStock[SKU],0))),0))</f>
        <v/>
      </c>
      <c r="I47" s="52"/>
      <c r="J47" s="59" t="str">
        <f>IF(OR(tblConteo[[#This Row],[SKU]]="",tblConteo[[#This Row],[Conteo]]=""),"",IF(ISNUMBER(tblConteo[[#This Row],[Conteo]]),tblConteo[[#This Row],[Conteo]]-N(tblConteo[[#This Row],[Sistema]]),""))</f>
        <v/>
      </c>
      <c r="K47" s="62" t="str">
        <f>IF(tblConteo[[#This Row],[Diferencia]]="","",tblConteo[[#This Row],[Diferencia]]*N(INDEX(tblProductos[CostoUnitario],ROW()-ROW(tblConteo[#Headers]))))</f>
        <v/>
      </c>
      <c r="L4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" spans="2:13" x14ac:dyDescent="0.25">
      <c r="B48" s="42" t="str">
        <f>IF(INDEX(tblProductos[SKU],ROW()-ROW(tblConteo[#Headers]))="","",INDEX(tblProductos[SKU],ROW()-ROW(tblConteo[#Headers])))</f>
        <v/>
      </c>
      <c r="C48" s="49" t="str">
        <f>IF(tblConteo[[#This Row],[SKU]]="","",INDEX(tblProductos[Producto],ROW()-ROW(tblConteo[#Headers])))</f>
        <v/>
      </c>
      <c r="D48" s="49" t="str">
        <f>IF(tblConteo[[#This Row],[SKU]]="","",INDEX(tblProductos[Categoría],ROW()-ROW(tblConteo[#Headers]))&amp;"")</f>
        <v/>
      </c>
      <c r="E48" s="42" t="str">
        <f>IF(tblConteo[[#This Row],[SKU]]="","",INDEX(tblProductos[Ubicación],ROW()-ROW(tblConteo[#Headers]))&amp;"")</f>
        <v/>
      </c>
      <c r="F48" s="42" t="str">
        <f>IF(tblConteo[[#This Row],[SKU]]="","",INDEX(tblProductos[Unidad],ROW()-ROW(tblConteo[#Headers]))&amp;"")</f>
        <v/>
      </c>
      <c r="G48" s="42" t="str">
        <f>IF(tblConteo[[#This Row],[SKU]]="","",IF(INDEX(tblProductos[Activo],ROW()-ROW(tblConteo[#Headers]))="NO","NO","SI"))</f>
        <v/>
      </c>
      <c r="H48" s="53" t="str">
        <f>IF(tblConteo[[#This Row],[SKU]]="","",IFERROR(N(INDEX(tblStock[StockActual],MATCH(tblConteo[[#This Row],[SKU]],tblStock[SKU],0))),0))</f>
        <v/>
      </c>
      <c r="I48" s="52"/>
      <c r="J48" s="59" t="str">
        <f>IF(OR(tblConteo[[#This Row],[SKU]]="",tblConteo[[#This Row],[Conteo]]=""),"",IF(ISNUMBER(tblConteo[[#This Row],[Conteo]]),tblConteo[[#This Row],[Conteo]]-N(tblConteo[[#This Row],[Sistema]]),""))</f>
        <v/>
      </c>
      <c r="K48" s="62" t="str">
        <f>IF(tblConteo[[#This Row],[Diferencia]]="","",tblConteo[[#This Row],[Diferencia]]*N(INDEX(tblProductos[CostoUnitario],ROW()-ROW(tblConteo[#Headers]))))</f>
        <v/>
      </c>
      <c r="L4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" spans="2:13" x14ac:dyDescent="0.25">
      <c r="B49" s="42" t="str">
        <f>IF(INDEX(tblProductos[SKU],ROW()-ROW(tblConteo[#Headers]))="","",INDEX(tblProductos[SKU],ROW()-ROW(tblConteo[#Headers])))</f>
        <v/>
      </c>
      <c r="C49" s="49" t="str">
        <f>IF(tblConteo[[#This Row],[SKU]]="","",INDEX(tblProductos[Producto],ROW()-ROW(tblConteo[#Headers])))</f>
        <v/>
      </c>
      <c r="D49" s="49" t="str">
        <f>IF(tblConteo[[#This Row],[SKU]]="","",INDEX(tblProductos[Categoría],ROW()-ROW(tblConteo[#Headers]))&amp;"")</f>
        <v/>
      </c>
      <c r="E49" s="42" t="str">
        <f>IF(tblConteo[[#This Row],[SKU]]="","",INDEX(tblProductos[Ubicación],ROW()-ROW(tblConteo[#Headers]))&amp;"")</f>
        <v/>
      </c>
      <c r="F49" s="42" t="str">
        <f>IF(tblConteo[[#This Row],[SKU]]="","",INDEX(tblProductos[Unidad],ROW()-ROW(tblConteo[#Headers]))&amp;"")</f>
        <v/>
      </c>
      <c r="G49" s="42" t="str">
        <f>IF(tblConteo[[#This Row],[SKU]]="","",IF(INDEX(tblProductos[Activo],ROW()-ROW(tblConteo[#Headers]))="NO","NO","SI"))</f>
        <v/>
      </c>
      <c r="H49" s="53" t="str">
        <f>IF(tblConteo[[#This Row],[SKU]]="","",IFERROR(N(INDEX(tblStock[StockActual],MATCH(tblConteo[[#This Row],[SKU]],tblStock[SKU],0))),0))</f>
        <v/>
      </c>
      <c r="I49" s="52"/>
      <c r="J49" s="59" t="str">
        <f>IF(OR(tblConteo[[#This Row],[SKU]]="",tblConteo[[#This Row],[Conteo]]=""),"",IF(ISNUMBER(tblConteo[[#This Row],[Conteo]]),tblConteo[[#This Row],[Conteo]]-N(tblConteo[[#This Row],[Sistema]]),""))</f>
        <v/>
      </c>
      <c r="K49" s="62" t="str">
        <f>IF(tblConteo[[#This Row],[Diferencia]]="","",tblConteo[[#This Row],[Diferencia]]*N(INDEX(tblProductos[CostoUnitario],ROW()-ROW(tblConteo[#Headers]))))</f>
        <v/>
      </c>
      <c r="L4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" spans="2:13" x14ac:dyDescent="0.25">
      <c r="B50" s="42" t="str">
        <f>IF(INDEX(tblProductos[SKU],ROW()-ROW(tblConteo[#Headers]))="","",INDEX(tblProductos[SKU],ROW()-ROW(tblConteo[#Headers])))</f>
        <v/>
      </c>
      <c r="C50" s="49" t="str">
        <f>IF(tblConteo[[#This Row],[SKU]]="","",INDEX(tblProductos[Producto],ROW()-ROW(tblConteo[#Headers])))</f>
        <v/>
      </c>
      <c r="D50" s="49" t="str">
        <f>IF(tblConteo[[#This Row],[SKU]]="","",INDEX(tblProductos[Categoría],ROW()-ROW(tblConteo[#Headers]))&amp;"")</f>
        <v/>
      </c>
      <c r="E50" s="42" t="str">
        <f>IF(tblConteo[[#This Row],[SKU]]="","",INDEX(tblProductos[Ubicación],ROW()-ROW(tblConteo[#Headers]))&amp;"")</f>
        <v/>
      </c>
      <c r="F50" s="42" t="str">
        <f>IF(tblConteo[[#This Row],[SKU]]="","",INDEX(tblProductos[Unidad],ROW()-ROW(tblConteo[#Headers]))&amp;"")</f>
        <v/>
      </c>
      <c r="G50" s="42" t="str">
        <f>IF(tblConteo[[#This Row],[SKU]]="","",IF(INDEX(tblProductos[Activo],ROW()-ROW(tblConteo[#Headers]))="NO","NO","SI"))</f>
        <v/>
      </c>
      <c r="H50" s="53" t="str">
        <f>IF(tblConteo[[#This Row],[SKU]]="","",IFERROR(N(INDEX(tblStock[StockActual],MATCH(tblConteo[[#This Row],[SKU]],tblStock[SKU],0))),0))</f>
        <v/>
      </c>
      <c r="I50" s="52"/>
      <c r="J50" s="59" t="str">
        <f>IF(OR(tblConteo[[#This Row],[SKU]]="",tblConteo[[#This Row],[Conteo]]=""),"",IF(ISNUMBER(tblConteo[[#This Row],[Conteo]]),tblConteo[[#This Row],[Conteo]]-N(tblConteo[[#This Row],[Sistema]]),""))</f>
        <v/>
      </c>
      <c r="K50" s="62" t="str">
        <f>IF(tblConteo[[#This Row],[Diferencia]]="","",tblConteo[[#This Row],[Diferencia]]*N(INDEX(tblProductos[CostoUnitario],ROW()-ROW(tblConteo[#Headers]))))</f>
        <v/>
      </c>
      <c r="L5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1" spans="2:13" x14ac:dyDescent="0.25">
      <c r="B51" s="42" t="str">
        <f>IF(INDEX(tblProductos[SKU],ROW()-ROW(tblConteo[#Headers]))="","",INDEX(tblProductos[SKU],ROW()-ROW(tblConteo[#Headers])))</f>
        <v/>
      </c>
      <c r="C51" s="49" t="str">
        <f>IF(tblConteo[[#This Row],[SKU]]="","",INDEX(tblProductos[Producto],ROW()-ROW(tblConteo[#Headers])))</f>
        <v/>
      </c>
      <c r="D51" s="49" t="str">
        <f>IF(tblConteo[[#This Row],[SKU]]="","",INDEX(tblProductos[Categoría],ROW()-ROW(tblConteo[#Headers]))&amp;"")</f>
        <v/>
      </c>
      <c r="E51" s="42" t="str">
        <f>IF(tblConteo[[#This Row],[SKU]]="","",INDEX(tblProductos[Ubicación],ROW()-ROW(tblConteo[#Headers]))&amp;"")</f>
        <v/>
      </c>
      <c r="F51" s="42" t="str">
        <f>IF(tblConteo[[#This Row],[SKU]]="","",INDEX(tblProductos[Unidad],ROW()-ROW(tblConteo[#Headers]))&amp;"")</f>
        <v/>
      </c>
      <c r="G51" s="42" t="str">
        <f>IF(tblConteo[[#This Row],[SKU]]="","",IF(INDEX(tblProductos[Activo],ROW()-ROW(tblConteo[#Headers]))="NO","NO","SI"))</f>
        <v/>
      </c>
      <c r="H51" s="53" t="str">
        <f>IF(tblConteo[[#This Row],[SKU]]="","",IFERROR(N(INDEX(tblStock[StockActual],MATCH(tblConteo[[#This Row],[SKU]],tblStock[SKU],0))),0))</f>
        <v/>
      </c>
      <c r="I51" s="52"/>
      <c r="J51" s="59" t="str">
        <f>IF(OR(tblConteo[[#This Row],[SKU]]="",tblConteo[[#This Row],[Conteo]]=""),"",IF(ISNUMBER(tblConteo[[#This Row],[Conteo]]),tblConteo[[#This Row],[Conteo]]-N(tblConteo[[#This Row],[Sistema]]),""))</f>
        <v/>
      </c>
      <c r="K51" s="62" t="str">
        <f>IF(tblConteo[[#This Row],[Diferencia]]="","",tblConteo[[#This Row],[Diferencia]]*N(INDEX(tblProductos[CostoUnitario],ROW()-ROW(tblConteo[#Headers]))))</f>
        <v/>
      </c>
      <c r="L5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2" spans="2:13" x14ac:dyDescent="0.25">
      <c r="B52" s="42" t="str">
        <f>IF(INDEX(tblProductos[SKU],ROW()-ROW(tblConteo[#Headers]))="","",INDEX(tblProductos[SKU],ROW()-ROW(tblConteo[#Headers])))</f>
        <v/>
      </c>
      <c r="C52" s="49" t="str">
        <f>IF(tblConteo[[#This Row],[SKU]]="","",INDEX(tblProductos[Producto],ROW()-ROW(tblConteo[#Headers])))</f>
        <v/>
      </c>
      <c r="D52" s="49" t="str">
        <f>IF(tblConteo[[#This Row],[SKU]]="","",INDEX(tblProductos[Categoría],ROW()-ROW(tblConteo[#Headers]))&amp;"")</f>
        <v/>
      </c>
      <c r="E52" s="42" t="str">
        <f>IF(tblConteo[[#This Row],[SKU]]="","",INDEX(tblProductos[Ubicación],ROW()-ROW(tblConteo[#Headers]))&amp;"")</f>
        <v/>
      </c>
      <c r="F52" s="42" t="str">
        <f>IF(tblConteo[[#This Row],[SKU]]="","",INDEX(tblProductos[Unidad],ROW()-ROW(tblConteo[#Headers]))&amp;"")</f>
        <v/>
      </c>
      <c r="G52" s="42" t="str">
        <f>IF(tblConteo[[#This Row],[SKU]]="","",IF(INDEX(tblProductos[Activo],ROW()-ROW(tblConteo[#Headers]))="NO","NO","SI"))</f>
        <v/>
      </c>
      <c r="H52" s="53" t="str">
        <f>IF(tblConteo[[#This Row],[SKU]]="","",IFERROR(N(INDEX(tblStock[StockActual],MATCH(tblConteo[[#This Row],[SKU]],tblStock[SKU],0))),0))</f>
        <v/>
      </c>
      <c r="I52" s="52"/>
      <c r="J52" s="59" t="str">
        <f>IF(OR(tblConteo[[#This Row],[SKU]]="",tblConteo[[#This Row],[Conteo]]=""),"",IF(ISNUMBER(tblConteo[[#This Row],[Conteo]]),tblConteo[[#This Row],[Conteo]]-N(tblConteo[[#This Row],[Sistema]]),""))</f>
        <v/>
      </c>
      <c r="K52" s="62" t="str">
        <f>IF(tblConteo[[#This Row],[Diferencia]]="","",tblConteo[[#This Row],[Diferencia]]*N(INDEX(tblProductos[CostoUnitario],ROW()-ROW(tblConteo[#Headers]))))</f>
        <v/>
      </c>
      <c r="L5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3" spans="2:13" x14ac:dyDescent="0.25">
      <c r="B53" s="42" t="str">
        <f>IF(INDEX(tblProductos[SKU],ROW()-ROW(tblConteo[#Headers]))="","",INDEX(tblProductos[SKU],ROW()-ROW(tblConteo[#Headers])))</f>
        <v/>
      </c>
      <c r="C53" s="49" t="str">
        <f>IF(tblConteo[[#This Row],[SKU]]="","",INDEX(tblProductos[Producto],ROW()-ROW(tblConteo[#Headers])))</f>
        <v/>
      </c>
      <c r="D53" s="49" t="str">
        <f>IF(tblConteo[[#This Row],[SKU]]="","",INDEX(tblProductos[Categoría],ROW()-ROW(tblConteo[#Headers]))&amp;"")</f>
        <v/>
      </c>
      <c r="E53" s="42" t="str">
        <f>IF(tblConteo[[#This Row],[SKU]]="","",INDEX(tblProductos[Ubicación],ROW()-ROW(tblConteo[#Headers]))&amp;"")</f>
        <v/>
      </c>
      <c r="F53" s="42" t="str">
        <f>IF(tblConteo[[#This Row],[SKU]]="","",INDEX(tblProductos[Unidad],ROW()-ROW(tblConteo[#Headers]))&amp;"")</f>
        <v/>
      </c>
      <c r="G53" s="42" t="str">
        <f>IF(tblConteo[[#This Row],[SKU]]="","",IF(INDEX(tblProductos[Activo],ROW()-ROW(tblConteo[#Headers]))="NO","NO","SI"))</f>
        <v/>
      </c>
      <c r="H53" s="53" t="str">
        <f>IF(tblConteo[[#This Row],[SKU]]="","",IFERROR(N(INDEX(tblStock[StockActual],MATCH(tblConteo[[#This Row],[SKU]],tblStock[SKU],0))),0))</f>
        <v/>
      </c>
      <c r="I53" s="52"/>
      <c r="J53" s="59" t="str">
        <f>IF(OR(tblConteo[[#This Row],[SKU]]="",tblConteo[[#This Row],[Conteo]]=""),"",IF(ISNUMBER(tblConteo[[#This Row],[Conteo]]),tblConteo[[#This Row],[Conteo]]-N(tblConteo[[#This Row],[Sistema]]),""))</f>
        <v/>
      </c>
      <c r="K53" s="62" t="str">
        <f>IF(tblConteo[[#This Row],[Diferencia]]="","",tblConteo[[#This Row],[Diferencia]]*N(INDEX(tblProductos[CostoUnitario],ROW()-ROW(tblConteo[#Headers]))))</f>
        <v/>
      </c>
      <c r="L5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4" spans="2:13" x14ac:dyDescent="0.25">
      <c r="B54" s="42" t="str">
        <f>IF(INDEX(tblProductos[SKU],ROW()-ROW(tblConteo[#Headers]))="","",INDEX(tblProductos[SKU],ROW()-ROW(tblConteo[#Headers])))</f>
        <v/>
      </c>
      <c r="C54" s="49" t="str">
        <f>IF(tblConteo[[#This Row],[SKU]]="","",INDEX(tblProductos[Producto],ROW()-ROW(tblConteo[#Headers])))</f>
        <v/>
      </c>
      <c r="D54" s="49" t="str">
        <f>IF(tblConteo[[#This Row],[SKU]]="","",INDEX(tblProductos[Categoría],ROW()-ROW(tblConteo[#Headers]))&amp;"")</f>
        <v/>
      </c>
      <c r="E54" s="42" t="str">
        <f>IF(tblConteo[[#This Row],[SKU]]="","",INDEX(tblProductos[Ubicación],ROW()-ROW(tblConteo[#Headers]))&amp;"")</f>
        <v/>
      </c>
      <c r="F54" s="42" t="str">
        <f>IF(tblConteo[[#This Row],[SKU]]="","",INDEX(tblProductos[Unidad],ROW()-ROW(tblConteo[#Headers]))&amp;"")</f>
        <v/>
      </c>
      <c r="G54" s="42" t="str">
        <f>IF(tblConteo[[#This Row],[SKU]]="","",IF(INDEX(tblProductos[Activo],ROW()-ROW(tblConteo[#Headers]))="NO","NO","SI"))</f>
        <v/>
      </c>
      <c r="H54" s="53" t="str">
        <f>IF(tblConteo[[#This Row],[SKU]]="","",IFERROR(N(INDEX(tblStock[StockActual],MATCH(tblConteo[[#This Row],[SKU]],tblStock[SKU],0))),0))</f>
        <v/>
      </c>
      <c r="I54" s="52"/>
      <c r="J54" s="59" t="str">
        <f>IF(OR(tblConteo[[#This Row],[SKU]]="",tblConteo[[#This Row],[Conteo]]=""),"",IF(ISNUMBER(tblConteo[[#This Row],[Conteo]]),tblConteo[[#This Row],[Conteo]]-N(tblConteo[[#This Row],[Sistema]]),""))</f>
        <v/>
      </c>
      <c r="K54" s="62" t="str">
        <f>IF(tblConteo[[#This Row],[Diferencia]]="","",tblConteo[[#This Row],[Diferencia]]*N(INDEX(tblProductos[CostoUnitario],ROW()-ROW(tblConteo[#Headers]))))</f>
        <v/>
      </c>
      <c r="L5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5" spans="2:13" x14ac:dyDescent="0.25">
      <c r="B55" s="42" t="str">
        <f>IF(INDEX(tblProductos[SKU],ROW()-ROW(tblConteo[#Headers]))="","",INDEX(tblProductos[SKU],ROW()-ROW(tblConteo[#Headers])))</f>
        <v/>
      </c>
      <c r="C55" s="49" t="str">
        <f>IF(tblConteo[[#This Row],[SKU]]="","",INDEX(tblProductos[Producto],ROW()-ROW(tblConteo[#Headers])))</f>
        <v/>
      </c>
      <c r="D55" s="49" t="str">
        <f>IF(tblConteo[[#This Row],[SKU]]="","",INDEX(tblProductos[Categoría],ROW()-ROW(tblConteo[#Headers]))&amp;"")</f>
        <v/>
      </c>
      <c r="E55" s="42" t="str">
        <f>IF(tblConteo[[#This Row],[SKU]]="","",INDEX(tblProductos[Ubicación],ROW()-ROW(tblConteo[#Headers]))&amp;"")</f>
        <v/>
      </c>
      <c r="F55" s="42" t="str">
        <f>IF(tblConteo[[#This Row],[SKU]]="","",INDEX(tblProductos[Unidad],ROW()-ROW(tblConteo[#Headers]))&amp;"")</f>
        <v/>
      </c>
      <c r="G55" s="42" t="str">
        <f>IF(tblConteo[[#This Row],[SKU]]="","",IF(INDEX(tblProductos[Activo],ROW()-ROW(tblConteo[#Headers]))="NO","NO","SI"))</f>
        <v/>
      </c>
      <c r="H55" s="53" t="str">
        <f>IF(tblConteo[[#This Row],[SKU]]="","",IFERROR(N(INDEX(tblStock[StockActual],MATCH(tblConteo[[#This Row],[SKU]],tblStock[SKU],0))),0))</f>
        <v/>
      </c>
      <c r="I55" s="52"/>
      <c r="J55" s="59" t="str">
        <f>IF(OR(tblConteo[[#This Row],[SKU]]="",tblConteo[[#This Row],[Conteo]]=""),"",IF(ISNUMBER(tblConteo[[#This Row],[Conteo]]),tblConteo[[#This Row],[Conteo]]-N(tblConteo[[#This Row],[Sistema]]),""))</f>
        <v/>
      </c>
      <c r="K55" s="62" t="str">
        <f>IF(tblConteo[[#This Row],[Diferencia]]="","",tblConteo[[#This Row],[Diferencia]]*N(INDEX(tblProductos[CostoUnitario],ROW()-ROW(tblConteo[#Headers]))))</f>
        <v/>
      </c>
      <c r="L5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6" spans="2:13" x14ac:dyDescent="0.25">
      <c r="B56" s="42" t="str">
        <f>IF(INDEX(tblProductos[SKU],ROW()-ROW(tblConteo[#Headers]))="","",INDEX(tblProductos[SKU],ROW()-ROW(tblConteo[#Headers])))</f>
        <v/>
      </c>
      <c r="C56" s="49" t="str">
        <f>IF(tblConteo[[#This Row],[SKU]]="","",INDEX(tblProductos[Producto],ROW()-ROW(tblConteo[#Headers])))</f>
        <v/>
      </c>
      <c r="D56" s="49" t="str">
        <f>IF(tblConteo[[#This Row],[SKU]]="","",INDEX(tblProductos[Categoría],ROW()-ROW(tblConteo[#Headers]))&amp;"")</f>
        <v/>
      </c>
      <c r="E56" s="42" t="str">
        <f>IF(tblConteo[[#This Row],[SKU]]="","",INDEX(tblProductos[Ubicación],ROW()-ROW(tblConteo[#Headers]))&amp;"")</f>
        <v/>
      </c>
      <c r="F56" s="42" t="str">
        <f>IF(tblConteo[[#This Row],[SKU]]="","",INDEX(tblProductos[Unidad],ROW()-ROW(tblConteo[#Headers]))&amp;"")</f>
        <v/>
      </c>
      <c r="G56" s="42" t="str">
        <f>IF(tblConteo[[#This Row],[SKU]]="","",IF(INDEX(tblProductos[Activo],ROW()-ROW(tblConteo[#Headers]))="NO","NO","SI"))</f>
        <v/>
      </c>
      <c r="H56" s="53" t="str">
        <f>IF(tblConteo[[#This Row],[SKU]]="","",IFERROR(N(INDEX(tblStock[StockActual],MATCH(tblConteo[[#This Row],[SKU]],tblStock[SKU],0))),0))</f>
        <v/>
      </c>
      <c r="I56" s="52"/>
      <c r="J56" s="59" t="str">
        <f>IF(OR(tblConteo[[#This Row],[SKU]]="",tblConteo[[#This Row],[Conteo]]=""),"",IF(ISNUMBER(tblConteo[[#This Row],[Conteo]]),tblConteo[[#This Row],[Conteo]]-N(tblConteo[[#This Row],[Sistema]]),""))</f>
        <v/>
      </c>
      <c r="K56" s="62" t="str">
        <f>IF(tblConteo[[#This Row],[Diferencia]]="","",tblConteo[[#This Row],[Diferencia]]*N(INDEX(tblProductos[CostoUnitario],ROW()-ROW(tblConteo[#Headers]))))</f>
        <v/>
      </c>
      <c r="L5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7" spans="2:13" x14ac:dyDescent="0.25">
      <c r="B57" s="42" t="str">
        <f>IF(INDEX(tblProductos[SKU],ROW()-ROW(tblConteo[#Headers]))="","",INDEX(tblProductos[SKU],ROW()-ROW(tblConteo[#Headers])))</f>
        <v/>
      </c>
      <c r="C57" s="49" t="str">
        <f>IF(tblConteo[[#This Row],[SKU]]="","",INDEX(tblProductos[Producto],ROW()-ROW(tblConteo[#Headers])))</f>
        <v/>
      </c>
      <c r="D57" s="49" t="str">
        <f>IF(tblConteo[[#This Row],[SKU]]="","",INDEX(tblProductos[Categoría],ROW()-ROW(tblConteo[#Headers]))&amp;"")</f>
        <v/>
      </c>
      <c r="E57" s="42" t="str">
        <f>IF(tblConteo[[#This Row],[SKU]]="","",INDEX(tblProductos[Ubicación],ROW()-ROW(tblConteo[#Headers]))&amp;"")</f>
        <v/>
      </c>
      <c r="F57" s="42" t="str">
        <f>IF(tblConteo[[#This Row],[SKU]]="","",INDEX(tblProductos[Unidad],ROW()-ROW(tblConteo[#Headers]))&amp;"")</f>
        <v/>
      </c>
      <c r="G57" s="42" t="str">
        <f>IF(tblConteo[[#This Row],[SKU]]="","",IF(INDEX(tblProductos[Activo],ROW()-ROW(tblConteo[#Headers]))="NO","NO","SI"))</f>
        <v/>
      </c>
      <c r="H57" s="53" t="str">
        <f>IF(tblConteo[[#This Row],[SKU]]="","",IFERROR(N(INDEX(tblStock[StockActual],MATCH(tblConteo[[#This Row],[SKU]],tblStock[SKU],0))),0))</f>
        <v/>
      </c>
      <c r="I57" s="52"/>
      <c r="J57" s="59" t="str">
        <f>IF(OR(tblConteo[[#This Row],[SKU]]="",tblConteo[[#This Row],[Conteo]]=""),"",IF(ISNUMBER(tblConteo[[#This Row],[Conteo]]),tblConteo[[#This Row],[Conteo]]-N(tblConteo[[#This Row],[Sistema]]),""))</f>
        <v/>
      </c>
      <c r="K57" s="62" t="str">
        <f>IF(tblConteo[[#This Row],[Diferencia]]="","",tblConteo[[#This Row],[Diferencia]]*N(INDEX(tblProductos[CostoUnitario],ROW()-ROW(tblConteo[#Headers]))))</f>
        <v/>
      </c>
      <c r="L5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8" spans="2:13" x14ac:dyDescent="0.25">
      <c r="B58" s="42" t="str">
        <f>IF(INDEX(tblProductos[SKU],ROW()-ROW(tblConteo[#Headers]))="","",INDEX(tblProductos[SKU],ROW()-ROW(tblConteo[#Headers])))</f>
        <v/>
      </c>
      <c r="C58" s="49" t="str">
        <f>IF(tblConteo[[#This Row],[SKU]]="","",INDEX(tblProductos[Producto],ROW()-ROW(tblConteo[#Headers])))</f>
        <v/>
      </c>
      <c r="D58" s="49" t="str">
        <f>IF(tblConteo[[#This Row],[SKU]]="","",INDEX(tblProductos[Categoría],ROW()-ROW(tblConteo[#Headers]))&amp;"")</f>
        <v/>
      </c>
      <c r="E58" s="42" t="str">
        <f>IF(tblConteo[[#This Row],[SKU]]="","",INDEX(tblProductos[Ubicación],ROW()-ROW(tblConteo[#Headers]))&amp;"")</f>
        <v/>
      </c>
      <c r="F58" s="42" t="str">
        <f>IF(tblConteo[[#This Row],[SKU]]="","",INDEX(tblProductos[Unidad],ROW()-ROW(tblConteo[#Headers]))&amp;"")</f>
        <v/>
      </c>
      <c r="G58" s="42" t="str">
        <f>IF(tblConteo[[#This Row],[SKU]]="","",IF(INDEX(tblProductos[Activo],ROW()-ROW(tblConteo[#Headers]))="NO","NO","SI"))</f>
        <v/>
      </c>
      <c r="H58" s="53" t="str">
        <f>IF(tblConteo[[#This Row],[SKU]]="","",IFERROR(N(INDEX(tblStock[StockActual],MATCH(tblConteo[[#This Row],[SKU]],tblStock[SKU],0))),0))</f>
        <v/>
      </c>
      <c r="I58" s="52"/>
      <c r="J58" s="59" t="str">
        <f>IF(OR(tblConteo[[#This Row],[SKU]]="",tblConteo[[#This Row],[Conteo]]=""),"",IF(ISNUMBER(tblConteo[[#This Row],[Conteo]]),tblConteo[[#This Row],[Conteo]]-N(tblConteo[[#This Row],[Sistema]]),""))</f>
        <v/>
      </c>
      <c r="K58" s="62" t="str">
        <f>IF(tblConteo[[#This Row],[Diferencia]]="","",tblConteo[[#This Row],[Diferencia]]*N(INDEX(tblProductos[CostoUnitario],ROW()-ROW(tblConteo[#Headers]))))</f>
        <v/>
      </c>
      <c r="L5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9" spans="2:13" x14ac:dyDescent="0.25">
      <c r="B59" s="42" t="str">
        <f>IF(INDEX(tblProductos[SKU],ROW()-ROW(tblConteo[#Headers]))="","",INDEX(tblProductos[SKU],ROW()-ROW(tblConteo[#Headers])))</f>
        <v/>
      </c>
      <c r="C59" s="49" t="str">
        <f>IF(tblConteo[[#This Row],[SKU]]="","",INDEX(tblProductos[Producto],ROW()-ROW(tblConteo[#Headers])))</f>
        <v/>
      </c>
      <c r="D59" s="49" t="str">
        <f>IF(tblConteo[[#This Row],[SKU]]="","",INDEX(tblProductos[Categoría],ROW()-ROW(tblConteo[#Headers]))&amp;"")</f>
        <v/>
      </c>
      <c r="E59" s="42" t="str">
        <f>IF(tblConteo[[#This Row],[SKU]]="","",INDEX(tblProductos[Ubicación],ROW()-ROW(tblConteo[#Headers]))&amp;"")</f>
        <v/>
      </c>
      <c r="F59" s="42" t="str">
        <f>IF(tblConteo[[#This Row],[SKU]]="","",INDEX(tblProductos[Unidad],ROW()-ROW(tblConteo[#Headers]))&amp;"")</f>
        <v/>
      </c>
      <c r="G59" s="42" t="str">
        <f>IF(tblConteo[[#This Row],[SKU]]="","",IF(INDEX(tblProductos[Activo],ROW()-ROW(tblConteo[#Headers]))="NO","NO","SI"))</f>
        <v/>
      </c>
      <c r="H59" s="53" t="str">
        <f>IF(tblConteo[[#This Row],[SKU]]="","",IFERROR(N(INDEX(tblStock[StockActual],MATCH(tblConteo[[#This Row],[SKU]],tblStock[SKU],0))),0))</f>
        <v/>
      </c>
      <c r="I59" s="52"/>
      <c r="J59" s="59" t="str">
        <f>IF(OR(tblConteo[[#This Row],[SKU]]="",tblConteo[[#This Row],[Conteo]]=""),"",IF(ISNUMBER(tblConteo[[#This Row],[Conteo]]),tblConteo[[#This Row],[Conteo]]-N(tblConteo[[#This Row],[Sistema]]),""))</f>
        <v/>
      </c>
      <c r="K59" s="62" t="str">
        <f>IF(tblConteo[[#This Row],[Diferencia]]="","",tblConteo[[#This Row],[Diferencia]]*N(INDEX(tblProductos[CostoUnitario],ROW()-ROW(tblConteo[#Headers]))))</f>
        <v/>
      </c>
      <c r="L5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0" spans="2:13" x14ac:dyDescent="0.25">
      <c r="B60" s="42" t="str">
        <f>IF(INDEX(tblProductos[SKU],ROW()-ROW(tblConteo[#Headers]))="","",INDEX(tblProductos[SKU],ROW()-ROW(tblConteo[#Headers])))</f>
        <v/>
      </c>
      <c r="C60" s="49" t="str">
        <f>IF(tblConteo[[#This Row],[SKU]]="","",INDEX(tblProductos[Producto],ROW()-ROW(tblConteo[#Headers])))</f>
        <v/>
      </c>
      <c r="D60" s="49" t="str">
        <f>IF(tblConteo[[#This Row],[SKU]]="","",INDEX(tblProductos[Categoría],ROW()-ROW(tblConteo[#Headers]))&amp;"")</f>
        <v/>
      </c>
      <c r="E60" s="42" t="str">
        <f>IF(tblConteo[[#This Row],[SKU]]="","",INDEX(tblProductos[Ubicación],ROW()-ROW(tblConteo[#Headers]))&amp;"")</f>
        <v/>
      </c>
      <c r="F60" s="42" t="str">
        <f>IF(tblConteo[[#This Row],[SKU]]="","",INDEX(tblProductos[Unidad],ROW()-ROW(tblConteo[#Headers]))&amp;"")</f>
        <v/>
      </c>
      <c r="G60" s="42" t="str">
        <f>IF(tblConteo[[#This Row],[SKU]]="","",IF(INDEX(tblProductos[Activo],ROW()-ROW(tblConteo[#Headers]))="NO","NO","SI"))</f>
        <v/>
      </c>
      <c r="H60" s="53" t="str">
        <f>IF(tblConteo[[#This Row],[SKU]]="","",IFERROR(N(INDEX(tblStock[StockActual],MATCH(tblConteo[[#This Row],[SKU]],tblStock[SKU],0))),0))</f>
        <v/>
      </c>
      <c r="I60" s="52"/>
      <c r="J60" s="59" t="str">
        <f>IF(OR(tblConteo[[#This Row],[SKU]]="",tblConteo[[#This Row],[Conteo]]=""),"",IF(ISNUMBER(tblConteo[[#This Row],[Conteo]]),tblConteo[[#This Row],[Conteo]]-N(tblConteo[[#This Row],[Sistema]]),""))</f>
        <v/>
      </c>
      <c r="K60" s="62" t="str">
        <f>IF(tblConteo[[#This Row],[Diferencia]]="","",tblConteo[[#This Row],[Diferencia]]*N(INDEX(tblProductos[CostoUnitario],ROW()-ROW(tblConteo[#Headers]))))</f>
        <v/>
      </c>
      <c r="L6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1" spans="2:13" x14ac:dyDescent="0.25">
      <c r="B61" s="42" t="str">
        <f>IF(INDEX(tblProductos[SKU],ROW()-ROW(tblConteo[#Headers]))="","",INDEX(tblProductos[SKU],ROW()-ROW(tblConteo[#Headers])))</f>
        <v/>
      </c>
      <c r="C61" s="49" t="str">
        <f>IF(tblConteo[[#This Row],[SKU]]="","",INDEX(tblProductos[Producto],ROW()-ROW(tblConteo[#Headers])))</f>
        <v/>
      </c>
      <c r="D61" s="49" t="str">
        <f>IF(tblConteo[[#This Row],[SKU]]="","",INDEX(tblProductos[Categoría],ROW()-ROW(tblConteo[#Headers]))&amp;"")</f>
        <v/>
      </c>
      <c r="E61" s="42" t="str">
        <f>IF(tblConteo[[#This Row],[SKU]]="","",INDEX(tblProductos[Ubicación],ROW()-ROW(tblConteo[#Headers]))&amp;"")</f>
        <v/>
      </c>
      <c r="F61" s="42" t="str">
        <f>IF(tblConteo[[#This Row],[SKU]]="","",INDEX(tblProductos[Unidad],ROW()-ROW(tblConteo[#Headers]))&amp;"")</f>
        <v/>
      </c>
      <c r="G61" s="42" t="str">
        <f>IF(tblConteo[[#This Row],[SKU]]="","",IF(INDEX(tblProductos[Activo],ROW()-ROW(tblConteo[#Headers]))="NO","NO","SI"))</f>
        <v/>
      </c>
      <c r="H61" s="53" t="str">
        <f>IF(tblConteo[[#This Row],[SKU]]="","",IFERROR(N(INDEX(tblStock[StockActual],MATCH(tblConteo[[#This Row],[SKU]],tblStock[SKU],0))),0))</f>
        <v/>
      </c>
      <c r="I61" s="52"/>
      <c r="J61" s="59" t="str">
        <f>IF(OR(tblConteo[[#This Row],[SKU]]="",tblConteo[[#This Row],[Conteo]]=""),"",IF(ISNUMBER(tblConteo[[#This Row],[Conteo]]),tblConteo[[#This Row],[Conteo]]-N(tblConteo[[#This Row],[Sistema]]),""))</f>
        <v/>
      </c>
      <c r="K61" s="62" t="str">
        <f>IF(tblConteo[[#This Row],[Diferencia]]="","",tblConteo[[#This Row],[Diferencia]]*N(INDEX(tblProductos[CostoUnitario],ROW()-ROW(tblConteo[#Headers]))))</f>
        <v/>
      </c>
      <c r="L6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2" spans="2:13" x14ac:dyDescent="0.25">
      <c r="B62" s="42" t="str">
        <f>IF(INDEX(tblProductos[SKU],ROW()-ROW(tblConteo[#Headers]))="","",INDEX(tblProductos[SKU],ROW()-ROW(tblConteo[#Headers])))</f>
        <v/>
      </c>
      <c r="C62" s="49" t="str">
        <f>IF(tblConteo[[#This Row],[SKU]]="","",INDEX(tblProductos[Producto],ROW()-ROW(tblConteo[#Headers])))</f>
        <v/>
      </c>
      <c r="D62" s="49" t="str">
        <f>IF(tblConteo[[#This Row],[SKU]]="","",INDEX(tblProductos[Categoría],ROW()-ROW(tblConteo[#Headers]))&amp;"")</f>
        <v/>
      </c>
      <c r="E62" s="42" t="str">
        <f>IF(tblConteo[[#This Row],[SKU]]="","",INDEX(tblProductos[Ubicación],ROW()-ROW(tblConteo[#Headers]))&amp;"")</f>
        <v/>
      </c>
      <c r="F62" s="42" t="str">
        <f>IF(tblConteo[[#This Row],[SKU]]="","",INDEX(tblProductos[Unidad],ROW()-ROW(tblConteo[#Headers]))&amp;"")</f>
        <v/>
      </c>
      <c r="G62" s="42" t="str">
        <f>IF(tblConteo[[#This Row],[SKU]]="","",IF(INDEX(tblProductos[Activo],ROW()-ROW(tblConteo[#Headers]))="NO","NO","SI"))</f>
        <v/>
      </c>
      <c r="H62" s="53" t="str">
        <f>IF(tblConteo[[#This Row],[SKU]]="","",IFERROR(N(INDEX(tblStock[StockActual],MATCH(tblConteo[[#This Row],[SKU]],tblStock[SKU],0))),0))</f>
        <v/>
      </c>
      <c r="I62" s="52"/>
      <c r="J62" s="59" t="str">
        <f>IF(OR(tblConteo[[#This Row],[SKU]]="",tblConteo[[#This Row],[Conteo]]=""),"",IF(ISNUMBER(tblConteo[[#This Row],[Conteo]]),tblConteo[[#This Row],[Conteo]]-N(tblConteo[[#This Row],[Sistema]]),""))</f>
        <v/>
      </c>
      <c r="K62" s="62" t="str">
        <f>IF(tblConteo[[#This Row],[Diferencia]]="","",tblConteo[[#This Row],[Diferencia]]*N(INDEX(tblProductos[CostoUnitario],ROW()-ROW(tblConteo[#Headers]))))</f>
        <v/>
      </c>
      <c r="L6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3" spans="2:13" x14ac:dyDescent="0.25">
      <c r="B63" s="42" t="str">
        <f>IF(INDEX(tblProductos[SKU],ROW()-ROW(tblConteo[#Headers]))="","",INDEX(tblProductos[SKU],ROW()-ROW(tblConteo[#Headers])))</f>
        <v/>
      </c>
      <c r="C63" s="49" t="str">
        <f>IF(tblConteo[[#This Row],[SKU]]="","",INDEX(tblProductos[Producto],ROW()-ROW(tblConteo[#Headers])))</f>
        <v/>
      </c>
      <c r="D63" s="49" t="str">
        <f>IF(tblConteo[[#This Row],[SKU]]="","",INDEX(tblProductos[Categoría],ROW()-ROW(tblConteo[#Headers]))&amp;"")</f>
        <v/>
      </c>
      <c r="E63" s="42" t="str">
        <f>IF(tblConteo[[#This Row],[SKU]]="","",INDEX(tblProductos[Ubicación],ROW()-ROW(tblConteo[#Headers]))&amp;"")</f>
        <v/>
      </c>
      <c r="F63" s="42" t="str">
        <f>IF(tblConteo[[#This Row],[SKU]]="","",INDEX(tblProductos[Unidad],ROW()-ROW(tblConteo[#Headers]))&amp;"")</f>
        <v/>
      </c>
      <c r="G63" s="42" t="str">
        <f>IF(tblConteo[[#This Row],[SKU]]="","",IF(INDEX(tblProductos[Activo],ROW()-ROW(tblConteo[#Headers]))="NO","NO","SI"))</f>
        <v/>
      </c>
      <c r="H63" s="53" t="str">
        <f>IF(tblConteo[[#This Row],[SKU]]="","",IFERROR(N(INDEX(tblStock[StockActual],MATCH(tblConteo[[#This Row],[SKU]],tblStock[SKU],0))),0))</f>
        <v/>
      </c>
      <c r="I63" s="52"/>
      <c r="J63" s="59" t="str">
        <f>IF(OR(tblConteo[[#This Row],[SKU]]="",tblConteo[[#This Row],[Conteo]]=""),"",IF(ISNUMBER(tblConteo[[#This Row],[Conteo]]),tblConteo[[#This Row],[Conteo]]-N(tblConteo[[#This Row],[Sistema]]),""))</f>
        <v/>
      </c>
      <c r="K63" s="62" t="str">
        <f>IF(tblConteo[[#This Row],[Diferencia]]="","",tblConteo[[#This Row],[Diferencia]]*N(INDEX(tblProductos[CostoUnitario],ROW()-ROW(tblConteo[#Headers]))))</f>
        <v/>
      </c>
      <c r="L6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4" spans="2:13" x14ac:dyDescent="0.25">
      <c r="B64" s="42" t="str">
        <f>IF(INDEX(tblProductos[SKU],ROW()-ROW(tblConteo[#Headers]))="","",INDEX(tblProductos[SKU],ROW()-ROW(tblConteo[#Headers])))</f>
        <v/>
      </c>
      <c r="C64" s="49" t="str">
        <f>IF(tblConteo[[#This Row],[SKU]]="","",INDEX(tblProductos[Producto],ROW()-ROW(tblConteo[#Headers])))</f>
        <v/>
      </c>
      <c r="D64" s="49" t="str">
        <f>IF(tblConteo[[#This Row],[SKU]]="","",INDEX(tblProductos[Categoría],ROW()-ROW(tblConteo[#Headers]))&amp;"")</f>
        <v/>
      </c>
      <c r="E64" s="42" t="str">
        <f>IF(tblConteo[[#This Row],[SKU]]="","",INDEX(tblProductos[Ubicación],ROW()-ROW(tblConteo[#Headers]))&amp;"")</f>
        <v/>
      </c>
      <c r="F64" s="42" t="str">
        <f>IF(tblConteo[[#This Row],[SKU]]="","",INDEX(tblProductos[Unidad],ROW()-ROW(tblConteo[#Headers]))&amp;"")</f>
        <v/>
      </c>
      <c r="G64" s="42" t="str">
        <f>IF(tblConteo[[#This Row],[SKU]]="","",IF(INDEX(tblProductos[Activo],ROW()-ROW(tblConteo[#Headers]))="NO","NO","SI"))</f>
        <v/>
      </c>
      <c r="H64" s="53" t="str">
        <f>IF(tblConteo[[#This Row],[SKU]]="","",IFERROR(N(INDEX(tblStock[StockActual],MATCH(tblConteo[[#This Row],[SKU]],tblStock[SKU],0))),0))</f>
        <v/>
      </c>
      <c r="I64" s="52"/>
      <c r="J64" s="59" t="str">
        <f>IF(OR(tblConteo[[#This Row],[SKU]]="",tblConteo[[#This Row],[Conteo]]=""),"",IF(ISNUMBER(tblConteo[[#This Row],[Conteo]]),tblConteo[[#This Row],[Conteo]]-N(tblConteo[[#This Row],[Sistema]]),""))</f>
        <v/>
      </c>
      <c r="K64" s="62" t="str">
        <f>IF(tblConteo[[#This Row],[Diferencia]]="","",tblConteo[[#This Row],[Diferencia]]*N(INDEX(tblProductos[CostoUnitario],ROW()-ROW(tblConteo[#Headers]))))</f>
        <v/>
      </c>
      <c r="L6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5" spans="2:13" x14ac:dyDescent="0.25">
      <c r="B65" s="42" t="str">
        <f>IF(INDEX(tblProductos[SKU],ROW()-ROW(tblConteo[#Headers]))="","",INDEX(tblProductos[SKU],ROW()-ROW(tblConteo[#Headers])))</f>
        <v/>
      </c>
      <c r="C65" s="49" t="str">
        <f>IF(tblConteo[[#This Row],[SKU]]="","",INDEX(tblProductos[Producto],ROW()-ROW(tblConteo[#Headers])))</f>
        <v/>
      </c>
      <c r="D65" s="49" t="str">
        <f>IF(tblConteo[[#This Row],[SKU]]="","",INDEX(tblProductos[Categoría],ROW()-ROW(tblConteo[#Headers]))&amp;"")</f>
        <v/>
      </c>
      <c r="E65" s="42" t="str">
        <f>IF(tblConteo[[#This Row],[SKU]]="","",INDEX(tblProductos[Ubicación],ROW()-ROW(tblConteo[#Headers]))&amp;"")</f>
        <v/>
      </c>
      <c r="F65" s="42" t="str">
        <f>IF(tblConteo[[#This Row],[SKU]]="","",INDEX(tblProductos[Unidad],ROW()-ROW(tblConteo[#Headers]))&amp;"")</f>
        <v/>
      </c>
      <c r="G65" s="42" t="str">
        <f>IF(tblConteo[[#This Row],[SKU]]="","",IF(INDEX(tblProductos[Activo],ROW()-ROW(tblConteo[#Headers]))="NO","NO","SI"))</f>
        <v/>
      </c>
      <c r="H65" s="53" t="str">
        <f>IF(tblConteo[[#This Row],[SKU]]="","",IFERROR(N(INDEX(tblStock[StockActual],MATCH(tblConteo[[#This Row],[SKU]],tblStock[SKU],0))),0))</f>
        <v/>
      </c>
      <c r="I65" s="52"/>
      <c r="J65" s="59" t="str">
        <f>IF(OR(tblConteo[[#This Row],[SKU]]="",tblConteo[[#This Row],[Conteo]]=""),"",IF(ISNUMBER(tblConteo[[#This Row],[Conteo]]),tblConteo[[#This Row],[Conteo]]-N(tblConteo[[#This Row],[Sistema]]),""))</f>
        <v/>
      </c>
      <c r="K65" s="62" t="str">
        <f>IF(tblConteo[[#This Row],[Diferencia]]="","",tblConteo[[#This Row],[Diferencia]]*N(INDEX(tblProductos[CostoUnitario],ROW()-ROW(tblConteo[#Headers]))))</f>
        <v/>
      </c>
      <c r="L6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6" spans="2:13" x14ac:dyDescent="0.25">
      <c r="B66" s="42" t="str">
        <f>IF(INDEX(tblProductos[SKU],ROW()-ROW(tblConteo[#Headers]))="","",INDEX(tblProductos[SKU],ROW()-ROW(tblConteo[#Headers])))</f>
        <v/>
      </c>
      <c r="C66" s="49" t="str">
        <f>IF(tblConteo[[#This Row],[SKU]]="","",INDEX(tblProductos[Producto],ROW()-ROW(tblConteo[#Headers])))</f>
        <v/>
      </c>
      <c r="D66" s="49" t="str">
        <f>IF(tblConteo[[#This Row],[SKU]]="","",INDEX(tblProductos[Categoría],ROW()-ROW(tblConteo[#Headers]))&amp;"")</f>
        <v/>
      </c>
      <c r="E66" s="42" t="str">
        <f>IF(tblConteo[[#This Row],[SKU]]="","",INDEX(tblProductos[Ubicación],ROW()-ROW(tblConteo[#Headers]))&amp;"")</f>
        <v/>
      </c>
      <c r="F66" s="42" t="str">
        <f>IF(tblConteo[[#This Row],[SKU]]="","",INDEX(tblProductos[Unidad],ROW()-ROW(tblConteo[#Headers]))&amp;"")</f>
        <v/>
      </c>
      <c r="G66" s="42" t="str">
        <f>IF(tblConteo[[#This Row],[SKU]]="","",IF(INDEX(tblProductos[Activo],ROW()-ROW(tblConteo[#Headers]))="NO","NO","SI"))</f>
        <v/>
      </c>
      <c r="H66" s="53" t="str">
        <f>IF(tblConteo[[#This Row],[SKU]]="","",IFERROR(N(INDEX(tblStock[StockActual],MATCH(tblConteo[[#This Row],[SKU]],tblStock[SKU],0))),0))</f>
        <v/>
      </c>
      <c r="I66" s="52"/>
      <c r="J66" s="59" t="str">
        <f>IF(OR(tblConteo[[#This Row],[SKU]]="",tblConteo[[#This Row],[Conteo]]=""),"",IF(ISNUMBER(tblConteo[[#This Row],[Conteo]]),tblConteo[[#This Row],[Conteo]]-N(tblConteo[[#This Row],[Sistema]]),""))</f>
        <v/>
      </c>
      <c r="K66" s="62" t="str">
        <f>IF(tblConteo[[#This Row],[Diferencia]]="","",tblConteo[[#This Row],[Diferencia]]*N(INDEX(tblProductos[CostoUnitario],ROW()-ROW(tblConteo[#Headers]))))</f>
        <v/>
      </c>
      <c r="L6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7" spans="2:13" x14ac:dyDescent="0.25">
      <c r="B67" s="42" t="str">
        <f>IF(INDEX(tblProductos[SKU],ROW()-ROW(tblConteo[#Headers]))="","",INDEX(tblProductos[SKU],ROW()-ROW(tblConteo[#Headers])))</f>
        <v/>
      </c>
      <c r="C67" s="49" t="str">
        <f>IF(tblConteo[[#This Row],[SKU]]="","",INDEX(tblProductos[Producto],ROW()-ROW(tblConteo[#Headers])))</f>
        <v/>
      </c>
      <c r="D67" s="49" t="str">
        <f>IF(tblConteo[[#This Row],[SKU]]="","",INDEX(tblProductos[Categoría],ROW()-ROW(tblConteo[#Headers]))&amp;"")</f>
        <v/>
      </c>
      <c r="E67" s="42" t="str">
        <f>IF(tblConteo[[#This Row],[SKU]]="","",INDEX(tblProductos[Ubicación],ROW()-ROW(tblConteo[#Headers]))&amp;"")</f>
        <v/>
      </c>
      <c r="F67" s="42" t="str">
        <f>IF(tblConteo[[#This Row],[SKU]]="","",INDEX(tblProductos[Unidad],ROW()-ROW(tblConteo[#Headers]))&amp;"")</f>
        <v/>
      </c>
      <c r="G67" s="42" t="str">
        <f>IF(tblConteo[[#This Row],[SKU]]="","",IF(INDEX(tblProductos[Activo],ROW()-ROW(tblConteo[#Headers]))="NO","NO","SI"))</f>
        <v/>
      </c>
      <c r="H67" s="53" t="str">
        <f>IF(tblConteo[[#This Row],[SKU]]="","",IFERROR(N(INDEX(tblStock[StockActual],MATCH(tblConteo[[#This Row],[SKU]],tblStock[SKU],0))),0))</f>
        <v/>
      </c>
      <c r="I67" s="52"/>
      <c r="J67" s="59" t="str">
        <f>IF(OR(tblConteo[[#This Row],[SKU]]="",tblConteo[[#This Row],[Conteo]]=""),"",IF(ISNUMBER(tblConteo[[#This Row],[Conteo]]),tblConteo[[#This Row],[Conteo]]-N(tblConteo[[#This Row],[Sistema]]),""))</f>
        <v/>
      </c>
      <c r="K67" s="62" t="str">
        <f>IF(tblConteo[[#This Row],[Diferencia]]="","",tblConteo[[#This Row],[Diferencia]]*N(INDEX(tblProductos[CostoUnitario],ROW()-ROW(tblConteo[#Headers]))))</f>
        <v/>
      </c>
      <c r="L6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8" spans="2:13" x14ac:dyDescent="0.25">
      <c r="B68" s="42" t="str">
        <f>IF(INDEX(tblProductos[SKU],ROW()-ROW(tblConteo[#Headers]))="","",INDEX(tblProductos[SKU],ROW()-ROW(tblConteo[#Headers])))</f>
        <v/>
      </c>
      <c r="C68" s="49" t="str">
        <f>IF(tblConteo[[#This Row],[SKU]]="","",INDEX(tblProductos[Producto],ROW()-ROW(tblConteo[#Headers])))</f>
        <v/>
      </c>
      <c r="D68" s="49" t="str">
        <f>IF(tblConteo[[#This Row],[SKU]]="","",INDEX(tblProductos[Categoría],ROW()-ROW(tblConteo[#Headers]))&amp;"")</f>
        <v/>
      </c>
      <c r="E68" s="42" t="str">
        <f>IF(tblConteo[[#This Row],[SKU]]="","",INDEX(tblProductos[Ubicación],ROW()-ROW(tblConteo[#Headers]))&amp;"")</f>
        <v/>
      </c>
      <c r="F68" s="42" t="str">
        <f>IF(tblConteo[[#This Row],[SKU]]="","",INDEX(tblProductos[Unidad],ROW()-ROW(tblConteo[#Headers]))&amp;"")</f>
        <v/>
      </c>
      <c r="G68" s="42" t="str">
        <f>IF(tblConteo[[#This Row],[SKU]]="","",IF(INDEX(tblProductos[Activo],ROW()-ROW(tblConteo[#Headers]))="NO","NO","SI"))</f>
        <v/>
      </c>
      <c r="H68" s="53" t="str">
        <f>IF(tblConteo[[#This Row],[SKU]]="","",IFERROR(N(INDEX(tblStock[StockActual],MATCH(tblConteo[[#This Row],[SKU]],tblStock[SKU],0))),0))</f>
        <v/>
      </c>
      <c r="I68" s="52"/>
      <c r="J68" s="59" t="str">
        <f>IF(OR(tblConteo[[#This Row],[SKU]]="",tblConteo[[#This Row],[Conteo]]=""),"",IF(ISNUMBER(tblConteo[[#This Row],[Conteo]]),tblConteo[[#This Row],[Conteo]]-N(tblConteo[[#This Row],[Sistema]]),""))</f>
        <v/>
      </c>
      <c r="K68" s="62" t="str">
        <f>IF(tblConteo[[#This Row],[Diferencia]]="","",tblConteo[[#This Row],[Diferencia]]*N(INDEX(tblProductos[CostoUnitario],ROW()-ROW(tblConteo[#Headers]))))</f>
        <v/>
      </c>
      <c r="L6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9" spans="2:13" x14ac:dyDescent="0.25">
      <c r="B69" s="42" t="str">
        <f>IF(INDEX(tblProductos[SKU],ROW()-ROW(tblConteo[#Headers]))="","",INDEX(tblProductos[SKU],ROW()-ROW(tblConteo[#Headers])))</f>
        <v/>
      </c>
      <c r="C69" s="49" t="str">
        <f>IF(tblConteo[[#This Row],[SKU]]="","",INDEX(tblProductos[Producto],ROW()-ROW(tblConteo[#Headers])))</f>
        <v/>
      </c>
      <c r="D69" s="49" t="str">
        <f>IF(tblConteo[[#This Row],[SKU]]="","",INDEX(tblProductos[Categoría],ROW()-ROW(tblConteo[#Headers]))&amp;"")</f>
        <v/>
      </c>
      <c r="E69" s="42" t="str">
        <f>IF(tblConteo[[#This Row],[SKU]]="","",INDEX(tblProductos[Ubicación],ROW()-ROW(tblConteo[#Headers]))&amp;"")</f>
        <v/>
      </c>
      <c r="F69" s="42" t="str">
        <f>IF(tblConteo[[#This Row],[SKU]]="","",INDEX(tblProductos[Unidad],ROW()-ROW(tblConteo[#Headers]))&amp;"")</f>
        <v/>
      </c>
      <c r="G69" s="42" t="str">
        <f>IF(tblConteo[[#This Row],[SKU]]="","",IF(INDEX(tblProductos[Activo],ROW()-ROW(tblConteo[#Headers]))="NO","NO","SI"))</f>
        <v/>
      </c>
      <c r="H69" s="53" t="str">
        <f>IF(tblConteo[[#This Row],[SKU]]="","",IFERROR(N(INDEX(tblStock[StockActual],MATCH(tblConteo[[#This Row],[SKU]],tblStock[SKU],0))),0))</f>
        <v/>
      </c>
      <c r="I69" s="52"/>
      <c r="J69" s="59" t="str">
        <f>IF(OR(tblConteo[[#This Row],[SKU]]="",tblConteo[[#This Row],[Conteo]]=""),"",IF(ISNUMBER(tblConteo[[#This Row],[Conteo]]),tblConteo[[#This Row],[Conteo]]-N(tblConteo[[#This Row],[Sistema]]),""))</f>
        <v/>
      </c>
      <c r="K69" s="62" t="str">
        <f>IF(tblConteo[[#This Row],[Diferencia]]="","",tblConteo[[#This Row],[Diferencia]]*N(INDEX(tblProductos[CostoUnitario],ROW()-ROW(tblConteo[#Headers]))))</f>
        <v/>
      </c>
      <c r="L6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0" spans="2:13" x14ac:dyDescent="0.25">
      <c r="B70" s="42" t="str">
        <f>IF(INDEX(tblProductos[SKU],ROW()-ROW(tblConteo[#Headers]))="","",INDEX(tblProductos[SKU],ROW()-ROW(tblConteo[#Headers])))</f>
        <v/>
      </c>
      <c r="C70" s="49" t="str">
        <f>IF(tblConteo[[#This Row],[SKU]]="","",INDEX(tblProductos[Producto],ROW()-ROW(tblConteo[#Headers])))</f>
        <v/>
      </c>
      <c r="D70" s="49" t="str">
        <f>IF(tblConteo[[#This Row],[SKU]]="","",INDEX(tblProductos[Categoría],ROW()-ROW(tblConteo[#Headers]))&amp;"")</f>
        <v/>
      </c>
      <c r="E70" s="42" t="str">
        <f>IF(tblConteo[[#This Row],[SKU]]="","",INDEX(tblProductos[Ubicación],ROW()-ROW(tblConteo[#Headers]))&amp;"")</f>
        <v/>
      </c>
      <c r="F70" s="42" t="str">
        <f>IF(tblConteo[[#This Row],[SKU]]="","",INDEX(tblProductos[Unidad],ROW()-ROW(tblConteo[#Headers]))&amp;"")</f>
        <v/>
      </c>
      <c r="G70" s="42" t="str">
        <f>IF(tblConteo[[#This Row],[SKU]]="","",IF(INDEX(tblProductos[Activo],ROW()-ROW(tblConteo[#Headers]))="NO","NO","SI"))</f>
        <v/>
      </c>
      <c r="H70" s="53" t="str">
        <f>IF(tblConteo[[#This Row],[SKU]]="","",IFERROR(N(INDEX(tblStock[StockActual],MATCH(tblConteo[[#This Row],[SKU]],tblStock[SKU],0))),0))</f>
        <v/>
      </c>
      <c r="I70" s="52"/>
      <c r="J70" s="59" t="str">
        <f>IF(OR(tblConteo[[#This Row],[SKU]]="",tblConteo[[#This Row],[Conteo]]=""),"",IF(ISNUMBER(tblConteo[[#This Row],[Conteo]]),tblConteo[[#This Row],[Conteo]]-N(tblConteo[[#This Row],[Sistema]]),""))</f>
        <v/>
      </c>
      <c r="K70" s="62" t="str">
        <f>IF(tblConteo[[#This Row],[Diferencia]]="","",tblConteo[[#This Row],[Diferencia]]*N(INDEX(tblProductos[CostoUnitario],ROW()-ROW(tblConteo[#Headers]))))</f>
        <v/>
      </c>
      <c r="L7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1" spans="2:13" x14ac:dyDescent="0.25">
      <c r="B71" s="42" t="str">
        <f>IF(INDEX(tblProductos[SKU],ROW()-ROW(tblConteo[#Headers]))="","",INDEX(tblProductos[SKU],ROW()-ROW(tblConteo[#Headers])))</f>
        <v/>
      </c>
      <c r="C71" s="49" t="str">
        <f>IF(tblConteo[[#This Row],[SKU]]="","",INDEX(tblProductos[Producto],ROW()-ROW(tblConteo[#Headers])))</f>
        <v/>
      </c>
      <c r="D71" s="49" t="str">
        <f>IF(tblConteo[[#This Row],[SKU]]="","",INDEX(tblProductos[Categoría],ROW()-ROW(tblConteo[#Headers]))&amp;"")</f>
        <v/>
      </c>
      <c r="E71" s="42" t="str">
        <f>IF(tblConteo[[#This Row],[SKU]]="","",INDEX(tblProductos[Ubicación],ROW()-ROW(tblConteo[#Headers]))&amp;"")</f>
        <v/>
      </c>
      <c r="F71" s="42" t="str">
        <f>IF(tblConteo[[#This Row],[SKU]]="","",INDEX(tblProductos[Unidad],ROW()-ROW(tblConteo[#Headers]))&amp;"")</f>
        <v/>
      </c>
      <c r="G71" s="42" t="str">
        <f>IF(tblConteo[[#This Row],[SKU]]="","",IF(INDEX(tblProductos[Activo],ROW()-ROW(tblConteo[#Headers]))="NO","NO","SI"))</f>
        <v/>
      </c>
      <c r="H71" s="53" t="str">
        <f>IF(tblConteo[[#This Row],[SKU]]="","",IFERROR(N(INDEX(tblStock[StockActual],MATCH(tblConteo[[#This Row],[SKU]],tblStock[SKU],0))),0))</f>
        <v/>
      </c>
      <c r="I71" s="52"/>
      <c r="J71" s="59" t="str">
        <f>IF(OR(tblConteo[[#This Row],[SKU]]="",tblConteo[[#This Row],[Conteo]]=""),"",IF(ISNUMBER(tblConteo[[#This Row],[Conteo]]),tblConteo[[#This Row],[Conteo]]-N(tblConteo[[#This Row],[Sistema]]),""))</f>
        <v/>
      </c>
      <c r="K71" s="62" t="str">
        <f>IF(tblConteo[[#This Row],[Diferencia]]="","",tblConteo[[#This Row],[Diferencia]]*N(INDEX(tblProductos[CostoUnitario],ROW()-ROW(tblConteo[#Headers]))))</f>
        <v/>
      </c>
      <c r="L7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2" spans="2:13" x14ac:dyDescent="0.25">
      <c r="B72" s="42" t="str">
        <f>IF(INDEX(tblProductos[SKU],ROW()-ROW(tblConteo[#Headers]))="","",INDEX(tblProductos[SKU],ROW()-ROW(tblConteo[#Headers])))</f>
        <v/>
      </c>
      <c r="C72" s="49" t="str">
        <f>IF(tblConteo[[#This Row],[SKU]]="","",INDEX(tblProductos[Producto],ROW()-ROW(tblConteo[#Headers])))</f>
        <v/>
      </c>
      <c r="D72" s="49" t="str">
        <f>IF(tblConteo[[#This Row],[SKU]]="","",INDEX(tblProductos[Categoría],ROW()-ROW(tblConteo[#Headers]))&amp;"")</f>
        <v/>
      </c>
      <c r="E72" s="42" t="str">
        <f>IF(tblConteo[[#This Row],[SKU]]="","",INDEX(tblProductos[Ubicación],ROW()-ROW(tblConteo[#Headers]))&amp;"")</f>
        <v/>
      </c>
      <c r="F72" s="42" t="str">
        <f>IF(tblConteo[[#This Row],[SKU]]="","",INDEX(tblProductos[Unidad],ROW()-ROW(tblConteo[#Headers]))&amp;"")</f>
        <v/>
      </c>
      <c r="G72" s="42" t="str">
        <f>IF(tblConteo[[#This Row],[SKU]]="","",IF(INDEX(tblProductos[Activo],ROW()-ROW(tblConteo[#Headers]))="NO","NO","SI"))</f>
        <v/>
      </c>
      <c r="H72" s="53" t="str">
        <f>IF(tblConteo[[#This Row],[SKU]]="","",IFERROR(N(INDEX(tblStock[StockActual],MATCH(tblConteo[[#This Row],[SKU]],tblStock[SKU],0))),0))</f>
        <v/>
      </c>
      <c r="I72" s="52"/>
      <c r="J72" s="59" t="str">
        <f>IF(OR(tblConteo[[#This Row],[SKU]]="",tblConteo[[#This Row],[Conteo]]=""),"",IF(ISNUMBER(tblConteo[[#This Row],[Conteo]]),tblConteo[[#This Row],[Conteo]]-N(tblConteo[[#This Row],[Sistema]]),""))</f>
        <v/>
      </c>
      <c r="K72" s="62" t="str">
        <f>IF(tblConteo[[#This Row],[Diferencia]]="","",tblConteo[[#This Row],[Diferencia]]*N(INDEX(tblProductos[CostoUnitario],ROW()-ROW(tblConteo[#Headers]))))</f>
        <v/>
      </c>
      <c r="L7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3" spans="2:13" x14ac:dyDescent="0.25">
      <c r="B73" s="42" t="str">
        <f>IF(INDEX(tblProductos[SKU],ROW()-ROW(tblConteo[#Headers]))="","",INDEX(tblProductos[SKU],ROW()-ROW(tblConteo[#Headers])))</f>
        <v/>
      </c>
      <c r="C73" s="49" t="str">
        <f>IF(tblConteo[[#This Row],[SKU]]="","",INDEX(tblProductos[Producto],ROW()-ROW(tblConteo[#Headers])))</f>
        <v/>
      </c>
      <c r="D73" s="49" t="str">
        <f>IF(tblConteo[[#This Row],[SKU]]="","",INDEX(tblProductos[Categoría],ROW()-ROW(tblConteo[#Headers]))&amp;"")</f>
        <v/>
      </c>
      <c r="E73" s="42" t="str">
        <f>IF(tblConteo[[#This Row],[SKU]]="","",INDEX(tblProductos[Ubicación],ROW()-ROW(tblConteo[#Headers]))&amp;"")</f>
        <v/>
      </c>
      <c r="F73" s="42" t="str">
        <f>IF(tblConteo[[#This Row],[SKU]]="","",INDEX(tblProductos[Unidad],ROW()-ROW(tblConteo[#Headers]))&amp;"")</f>
        <v/>
      </c>
      <c r="G73" s="42" t="str">
        <f>IF(tblConteo[[#This Row],[SKU]]="","",IF(INDEX(tblProductos[Activo],ROW()-ROW(tblConteo[#Headers]))="NO","NO","SI"))</f>
        <v/>
      </c>
      <c r="H73" s="53" t="str">
        <f>IF(tblConteo[[#This Row],[SKU]]="","",IFERROR(N(INDEX(tblStock[StockActual],MATCH(tblConteo[[#This Row],[SKU]],tblStock[SKU],0))),0))</f>
        <v/>
      </c>
      <c r="I73" s="52"/>
      <c r="J73" s="59" t="str">
        <f>IF(OR(tblConteo[[#This Row],[SKU]]="",tblConteo[[#This Row],[Conteo]]=""),"",IF(ISNUMBER(tblConteo[[#This Row],[Conteo]]),tblConteo[[#This Row],[Conteo]]-N(tblConteo[[#This Row],[Sistema]]),""))</f>
        <v/>
      </c>
      <c r="K73" s="62" t="str">
        <f>IF(tblConteo[[#This Row],[Diferencia]]="","",tblConteo[[#This Row],[Diferencia]]*N(INDEX(tblProductos[CostoUnitario],ROW()-ROW(tblConteo[#Headers]))))</f>
        <v/>
      </c>
      <c r="L7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4" spans="2:13" x14ac:dyDescent="0.25">
      <c r="B74" s="42" t="str">
        <f>IF(INDEX(tblProductos[SKU],ROW()-ROW(tblConteo[#Headers]))="","",INDEX(tblProductos[SKU],ROW()-ROW(tblConteo[#Headers])))</f>
        <v/>
      </c>
      <c r="C74" s="49" t="str">
        <f>IF(tblConteo[[#This Row],[SKU]]="","",INDEX(tblProductos[Producto],ROW()-ROW(tblConteo[#Headers])))</f>
        <v/>
      </c>
      <c r="D74" s="49" t="str">
        <f>IF(tblConteo[[#This Row],[SKU]]="","",INDEX(tblProductos[Categoría],ROW()-ROW(tblConteo[#Headers]))&amp;"")</f>
        <v/>
      </c>
      <c r="E74" s="42" t="str">
        <f>IF(tblConteo[[#This Row],[SKU]]="","",INDEX(tblProductos[Ubicación],ROW()-ROW(tblConteo[#Headers]))&amp;"")</f>
        <v/>
      </c>
      <c r="F74" s="42" t="str">
        <f>IF(tblConteo[[#This Row],[SKU]]="","",INDEX(tblProductos[Unidad],ROW()-ROW(tblConteo[#Headers]))&amp;"")</f>
        <v/>
      </c>
      <c r="G74" s="42" t="str">
        <f>IF(tblConteo[[#This Row],[SKU]]="","",IF(INDEX(tblProductos[Activo],ROW()-ROW(tblConteo[#Headers]))="NO","NO","SI"))</f>
        <v/>
      </c>
      <c r="H74" s="53" t="str">
        <f>IF(tblConteo[[#This Row],[SKU]]="","",IFERROR(N(INDEX(tblStock[StockActual],MATCH(tblConteo[[#This Row],[SKU]],tblStock[SKU],0))),0))</f>
        <v/>
      </c>
      <c r="I74" s="52"/>
      <c r="J74" s="59" t="str">
        <f>IF(OR(tblConteo[[#This Row],[SKU]]="",tblConteo[[#This Row],[Conteo]]=""),"",IF(ISNUMBER(tblConteo[[#This Row],[Conteo]]),tblConteo[[#This Row],[Conteo]]-N(tblConteo[[#This Row],[Sistema]]),""))</f>
        <v/>
      </c>
      <c r="K74" s="62" t="str">
        <f>IF(tblConteo[[#This Row],[Diferencia]]="","",tblConteo[[#This Row],[Diferencia]]*N(INDEX(tblProductos[CostoUnitario],ROW()-ROW(tblConteo[#Headers]))))</f>
        <v/>
      </c>
      <c r="L7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5" spans="2:13" x14ac:dyDescent="0.25">
      <c r="B75" s="42" t="str">
        <f>IF(INDEX(tblProductos[SKU],ROW()-ROW(tblConteo[#Headers]))="","",INDEX(tblProductos[SKU],ROW()-ROW(tblConteo[#Headers])))</f>
        <v/>
      </c>
      <c r="C75" s="49" t="str">
        <f>IF(tblConteo[[#This Row],[SKU]]="","",INDEX(tblProductos[Producto],ROW()-ROW(tblConteo[#Headers])))</f>
        <v/>
      </c>
      <c r="D75" s="49" t="str">
        <f>IF(tblConteo[[#This Row],[SKU]]="","",INDEX(tblProductos[Categoría],ROW()-ROW(tblConteo[#Headers]))&amp;"")</f>
        <v/>
      </c>
      <c r="E75" s="42" t="str">
        <f>IF(tblConteo[[#This Row],[SKU]]="","",INDEX(tblProductos[Ubicación],ROW()-ROW(tblConteo[#Headers]))&amp;"")</f>
        <v/>
      </c>
      <c r="F75" s="42" t="str">
        <f>IF(tblConteo[[#This Row],[SKU]]="","",INDEX(tblProductos[Unidad],ROW()-ROW(tblConteo[#Headers]))&amp;"")</f>
        <v/>
      </c>
      <c r="G75" s="42" t="str">
        <f>IF(tblConteo[[#This Row],[SKU]]="","",IF(INDEX(tblProductos[Activo],ROW()-ROW(tblConteo[#Headers]))="NO","NO","SI"))</f>
        <v/>
      </c>
      <c r="H75" s="53" t="str">
        <f>IF(tblConteo[[#This Row],[SKU]]="","",IFERROR(N(INDEX(tblStock[StockActual],MATCH(tblConteo[[#This Row],[SKU]],tblStock[SKU],0))),0))</f>
        <v/>
      </c>
      <c r="I75" s="52"/>
      <c r="J75" s="59" t="str">
        <f>IF(OR(tblConteo[[#This Row],[SKU]]="",tblConteo[[#This Row],[Conteo]]=""),"",IF(ISNUMBER(tblConteo[[#This Row],[Conteo]]),tblConteo[[#This Row],[Conteo]]-N(tblConteo[[#This Row],[Sistema]]),""))</f>
        <v/>
      </c>
      <c r="K75" s="62" t="str">
        <f>IF(tblConteo[[#This Row],[Diferencia]]="","",tblConteo[[#This Row],[Diferencia]]*N(INDEX(tblProductos[CostoUnitario],ROW()-ROW(tblConteo[#Headers]))))</f>
        <v/>
      </c>
      <c r="L7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6" spans="2:13" x14ac:dyDescent="0.25">
      <c r="B76" s="42" t="str">
        <f>IF(INDEX(tblProductos[SKU],ROW()-ROW(tblConteo[#Headers]))="","",INDEX(tblProductos[SKU],ROW()-ROW(tblConteo[#Headers])))</f>
        <v/>
      </c>
      <c r="C76" s="49" t="str">
        <f>IF(tblConteo[[#This Row],[SKU]]="","",INDEX(tblProductos[Producto],ROW()-ROW(tblConteo[#Headers])))</f>
        <v/>
      </c>
      <c r="D76" s="49" t="str">
        <f>IF(tblConteo[[#This Row],[SKU]]="","",INDEX(tblProductos[Categoría],ROW()-ROW(tblConteo[#Headers]))&amp;"")</f>
        <v/>
      </c>
      <c r="E76" s="42" t="str">
        <f>IF(tblConteo[[#This Row],[SKU]]="","",INDEX(tblProductos[Ubicación],ROW()-ROW(tblConteo[#Headers]))&amp;"")</f>
        <v/>
      </c>
      <c r="F76" s="42" t="str">
        <f>IF(tblConteo[[#This Row],[SKU]]="","",INDEX(tblProductos[Unidad],ROW()-ROW(tblConteo[#Headers]))&amp;"")</f>
        <v/>
      </c>
      <c r="G76" s="42" t="str">
        <f>IF(tblConteo[[#This Row],[SKU]]="","",IF(INDEX(tblProductos[Activo],ROW()-ROW(tblConteo[#Headers]))="NO","NO","SI"))</f>
        <v/>
      </c>
      <c r="H76" s="53" t="str">
        <f>IF(tblConteo[[#This Row],[SKU]]="","",IFERROR(N(INDEX(tblStock[StockActual],MATCH(tblConteo[[#This Row],[SKU]],tblStock[SKU],0))),0))</f>
        <v/>
      </c>
      <c r="I76" s="52"/>
      <c r="J76" s="59" t="str">
        <f>IF(OR(tblConteo[[#This Row],[SKU]]="",tblConteo[[#This Row],[Conteo]]=""),"",IF(ISNUMBER(tblConteo[[#This Row],[Conteo]]),tblConteo[[#This Row],[Conteo]]-N(tblConteo[[#This Row],[Sistema]]),""))</f>
        <v/>
      </c>
      <c r="K76" s="62" t="str">
        <f>IF(tblConteo[[#This Row],[Diferencia]]="","",tblConteo[[#This Row],[Diferencia]]*N(INDEX(tblProductos[CostoUnitario],ROW()-ROW(tblConteo[#Headers]))))</f>
        <v/>
      </c>
      <c r="L7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7" spans="2:13" x14ac:dyDescent="0.25">
      <c r="B77" s="42" t="str">
        <f>IF(INDEX(tblProductos[SKU],ROW()-ROW(tblConteo[#Headers]))="","",INDEX(tblProductos[SKU],ROW()-ROW(tblConteo[#Headers])))</f>
        <v/>
      </c>
      <c r="C77" s="49" t="str">
        <f>IF(tblConteo[[#This Row],[SKU]]="","",INDEX(tblProductos[Producto],ROW()-ROW(tblConteo[#Headers])))</f>
        <v/>
      </c>
      <c r="D77" s="49" t="str">
        <f>IF(tblConteo[[#This Row],[SKU]]="","",INDEX(tblProductos[Categoría],ROW()-ROW(tblConteo[#Headers]))&amp;"")</f>
        <v/>
      </c>
      <c r="E77" s="42" t="str">
        <f>IF(tblConteo[[#This Row],[SKU]]="","",INDEX(tblProductos[Ubicación],ROW()-ROW(tblConteo[#Headers]))&amp;"")</f>
        <v/>
      </c>
      <c r="F77" s="42" t="str">
        <f>IF(tblConteo[[#This Row],[SKU]]="","",INDEX(tblProductos[Unidad],ROW()-ROW(tblConteo[#Headers]))&amp;"")</f>
        <v/>
      </c>
      <c r="G77" s="42" t="str">
        <f>IF(tblConteo[[#This Row],[SKU]]="","",IF(INDEX(tblProductos[Activo],ROW()-ROW(tblConteo[#Headers]))="NO","NO","SI"))</f>
        <v/>
      </c>
      <c r="H77" s="53" t="str">
        <f>IF(tblConteo[[#This Row],[SKU]]="","",IFERROR(N(INDEX(tblStock[StockActual],MATCH(tblConteo[[#This Row],[SKU]],tblStock[SKU],0))),0))</f>
        <v/>
      </c>
      <c r="I77" s="52"/>
      <c r="J77" s="59" t="str">
        <f>IF(OR(tblConteo[[#This Row],[SKU]]="",tblConteo[[#This Row],[Conteo]]=""),"",IF(ISNUMBER(tblConteo[[#This Row],[Conteo]]),tblConteo[[#This Row],[Conteo]]-N(tblConteo[[#This Row],[Sistema]]),""))</f>
        <v/>
      </c>
      <c r="K77" s="62" t="str">
        <f>IF(tblConteo[[#This Row],[Diferencia]]="","",tblConteo[[#This Row],[Diferencia]]*N(INDEX(tblProductos[CostoUnitario],ROW()-ROW(tblConteo[#Headers]))))</f>
        <v/>
      </c>
      <c r="L7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8" spans="2:13" x14ac:dyDescent="0.25">
      <c r="B78" s="42" t="str">
        <f>IF(INDEX(tblProductos[SKU],ROW()-ROW(tblConteo[#Headers]))="","",INDEX(tblProductos[SKU],ROW()-ROW(tblConteo[#Headers])))</f>
        <v/>
      </c>
      <c r="C78" s="49" t="str">
        <f>IF(tblConteo[[#This Row],[SKU]]="","",INDEX(tblProductos[Producto],ROW()-ROW(tblConteo[#Headers])))</f>
        <v/>
      </c>
      <c r="D78" s="49" t="str">
        <f>IF(tblConteo[[#This Row],[SKU]]="","",INDEX(tblProductos[Categoría],ROW()-ROW(tblConteo[#Headers]))&amp;"")</f>
        <v/>
      </c>
      <c r="E78" s="42" t="str">
        <f>IF(tblConteo[[#This Row],[SKU]]="","",INDEX(tblProductos[Ubicación],ROW()-ROW(tblConteo[#Headers]))&amp;"")</f>
        <v/>
      </c>
      <c r="F78" s="42" t="str">
        <f>IF(tblConteo[[#This Row],[SKU]]="","",INDEX(tblProductos[Unidad],ROW()-ROW(tblConteo[#Headers]))&amp;"")</f>
        <v/>
      </c>
      <c r="G78" s="42" t="str">
        <f>IF(tblConteo[[#This Row],[SKU]]="","",IF(INDEX(tblProductos[Activo],ROW()-ROW(tblConteo[#Headers]))="NO","NO","SI"))</f>
        <v/>
      </c>
      <c r="H78" s="53" t="str">
        <f>IF(tblConteo[[#This Row],[SKU]]="","",IFERROR(N(INDEX(tblStock[StockActual],MATCH(tblConteo[[#This Row],[SKU]],tblStock[SKU],0))),0))</f>
        <v/>
      </c>
      <c r="I78" s="52"/>
      <c r="J78" s="59" t="str">
        <f>IF(OR(tblConteo[[#This Row],[SKU]]="",tblConteo[[#This Row],[Conteo]]=""),"",IF(ISNUMBER(tblConteo[[#This Row],[Conteo]]),tblConteo[[#This Row],[Conteo]]-N(tblConteo[[#This Row],[Sistema]]),""))</f>
        <v/>
      </c>
      <c r="K78" s="62" t="str">
        <f>IF(tblConteo[[#This Row],[Diferencia]]="","",tblConteo[[#This Row],[Diferencia]]*N(INDEX(tblProductos[CostoUnitario],ROW()-ROW(tblConteo[#Headers]))))</f>
        <v/>
      </c>
      <c r="L7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9" spans="2:13" x14ac:dyDescent="0.25">
      <c r="B79" s="42" t="str">
        <f>IF(INDEX(tblProductos[SKU],ROW()-ROW(tblConteo[#Headers]))="","",INDEX(tblProductos[SKU],ROW()-ROW(tblConteo[#Headers])))</f>
        <v/>
      </c>
      <c r="C79" s="49" t="str">
        <f>IF(tblConteo[[#This Row],[SKU]]="","",INDEX(tblProductos[Producto],ROW()-ROW(tblConteo[#Headers])))</f>
        <v/>
      </c>
      <c r="D79" s="49" t="str">
        <f>IF(tblConteo[[#This Row],[SKU]]="","",INDEX(tblProductos[Categoría],ROW()-ROW(tblConteo[#Headers]))&amp;"")</f>
        <v/>
      </c>
      <c r="E79" s="42" t="str">
        <f>IF(tblConteo[[#This Row],[SKU]]="","",INDEX(tblProductos[Ubicación],ROW()-ROW(tblConteo[#Headers]))&amp;"")</f>
        <v/>
      </c>
      <c r="F79" s="42" t="str">
        <f>IF(tblConteo[[#This Row],[SKU]]="","",INDEX(tblProductos[Unidad],ROW()-ROW(tblConteo[#Headers]))&amp;"")</f>
        <v/>
      </c>
      <c r="G79" s="42" t="str">
        <f>IF(tblConteo[[#This Row],[SKU]]="","",IF(INDEX(tblProductos[Activo],ROW()-ROW(tblConteo[#Headers]))="NO","NO","SI"))</f>
        <v/>
      </c>
      <c r="H79" s="53" t="str">
        <f>IF(tblConteo[[#This Row],[SKU]]="","",IFERROR(N(INDEX(tblStock[StockActual],MATCH(tblConteo[[#This Row],[SKU]],tblStock[SKU],0))),0))</f>
        <v/>
      </c>
      <c r="I79" s="52"/>
      <c r="J79" s="59" t="str">
        <f>IF(OR(tblConteo[[#This Row],[SKU]]="",tblConteo[[#This Row],[Conteo]]=""),"",IF(ISNUMBER(tblConteo[[#This Row],[Conteo]]),tblConteo[[#This Row],[Conteo]]-N(tblConteo[[#This Row],[Sistema]]),""))</f>
        <v/>
      </c>
      <c r="K79" s="62" t="str">
        <f>IF(tblConteo[[#This Row],[Diferencia]]="","",tblConteo[[#This Row],[Diferencia]]*N(INDEX(tblProductos[CostoUnitario],ROW()-ROW(tblConteo[#Headers]))))</f>
        <v/>
      </c>
      <c r="L7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0" spans="2:13" x14ac:dyDescent="0.25">
      <c r="B80" s="42" t="str">
        <f>IF(INDEX(tblProductos[SKU],ROW()-ROW(tblConteo[#Headers]))="","",INDEX(tblProductos[SKU],ROW()-ROW(tblConteo[#Headers])))</f>
        <v/>
      </c>
      <c r="C80" s="49" t="str">
        <f>IF(tblConteo[[#This Row],[SKU]]="","",INDEX(tblProductos[Producto],ROW()-ROW(tblConteo[#Headers])))</f>
        <v/>
      </c>
      <c r="D80" s="49" t="str">
        <f>IF(tblConteo[[#This Row],[SKU]]="","",INDEX(tblProductos[Categoría],ROW()-ROW(tblConteo[#Headers]))&amp;"")</f>
        <v/>
      </c>
      <c r="E80" s="42" t="str">
        <f>IF(tblConteo[[#This Row],[SKU]]="","",INDEX(tblProductos[Ubicación],ROW()-ROW(tblConteo[#Headers]))&amp;"")</f>
        <v/>
      </c>
      <c r="F80" s="42" t="str">
        <f>IF(tblConteo[[#This Row],[SKU]]="","",INDEX(tblProductos[Unidad],ROW()-ROW(tblConteo[#Headers]))&amp;"")</f>
        <v/>
      </c>
      <c r="G80" s="42" t="str">
        <f>IF(tblConteo[[#This Row],[SKU]]="","",IF(INDEX(tblProductos[Activo],ROW()-ROW(tblConteo[#Headers]))="NO","NO","SI"))</f>
        <v/>
      </c>
      <c r="H80" s="53" t="str">
        <f>IF(tblConteo[[#This Row],[SKU]]="","",IFERROR(N(INDEX(tblStock[StockActual],MATCH(tblConteo[[#This Row],[SKU]],tblStock[SKU],0))),0))</f>
        <v/>
      </c>
      <c r="I80" s="52"/>
      <c r="J80" s="59" t="str">
        <f>IF(OR(tblConteo[[#This Row],[SKU]]="",tblConteo[[#This Row],[Conteo]]=""),"",IF(ISNUMBER(tblConteo[[#This Row],[Conteo]]),tblConteo[[#This Row],[Conteo]]-N(tblConteo[[#This Row],[Sistema]]),""))</f>
        <v/>
      </c>
      <c r="K80" s="62" t="str">
        <f>IF(tblConteo[[#This Row],[Diferencia]]="","",tblConteo[[#This Row],[Diferencia]]*N(INDEX(tblProductos[CostoUnitario],ROW()-ROW(tblConteo[#Headers]))))</f>
        <v/>
      </c>
      <c r="L8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1" spans="2:13" x14ac:dyDescent="0.25">
      <c r="B81" s="42" t="str">
        <f>IF(INDEX(tblProductos[SKU],ROW()-ROW(tblConteo[#Headers]))="","",INDEX(tblProductos[SKU],ROW()-ROW(tblConteo[#Headers])))</f>
        <v/>
      </c>
      <c r="C81" s="49" t="str">
        <f>IF(tblConteo[[#This Row],[SKU]]="","",INDEX(tblProductos[Producto],ROW()-ROW(tblConteo[#Headers])))</f>
        <v/>
      </c>
      <c r="D81" s="49" t="str">
        <f>IF(tblConteo[[#This Row],[SKU]]="","",INDEX(tblProductos[Categoría],ROW()-ROW(tblConteo[#Headers]))&amp;"")</f>
        <v/>
      </c>
      <c r="E81" s="42" t="str">
        <f>IF(tblConteo[[#This Row],[SKU]]="","",INDEX(tblProductos[Ubicación],ROW()-ROW(tblConteo[#Headers]))&amp;"")</f>
        <v/>
      </c>
      <c r="F81" s="42" t="str">
        <f>IF(tblConteo[[#This Row],[SKU]]="","",INDEX(tblProductos[Unidad],ROW()-ROW(tblConteo[#Headers]))&amp;"")</f>
        <v/>
      </c>
      <c r="G81" s="42" t="str">
        <f>IF(tblConteo[[#This Row],[SKU]]="","",IF(INDEX(tblProductos[Activo],ROW()-ROW(tblConteo[#Headers]))="NO","NO","SI"))</f>
        <v/>
      </c>
      <c r="H81" s="53" t="str">
        <f>IF(tblConteo[[#This Row],[SKU]]="","",IFERROR(N(INDEX(tblStock[StockActual],MATCH(tblConteo[[#This Row],[SKU]],tblStock[SKU],0))),0))</f>
        <v/>
      </c>
      <c r="I81" s="52"/>
      <c r="J81" s="59" t="str">
        <f>IF(OR(tblConteo[[#This Row],[SKU]]="",tblConteo[[#This Row],[Conteo]]=""),"",IF(ISNUMBER(tblConteo[[#This Row],[Conteo]]),tblConteo[[#This Row],[Conteo]]-N(tblConteo[[#This Row],[Sistema]]),""))</f>
        <v/>
      </c>
      <c r="K81" s="62" t="str">
        <f>IF(tblConteo[[#This Row],[Diferencia]]="","",tblConteo[[#This Row],[Diferencia]]*N(INDEX(tblProductos[CostoUnitario],ROW()-ROW(tblConteo[#Headers]))))</f>
        <v/>
      </c>
      <c r="L8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2" spans="2:13" x14ac:dyDescent="0.25">
      <c r="B82" s="42" t="str">
        <f>IF(INDEX(tblProductos[SKU],ROW()-ROW(tblConteo[#Headers]))="","",INDEX(tblProductos[SKU],ROW()-ROW(tblConteo[#Headers])))</f>
        <v/>
      </c>
      <c r="C82" s="49" t="str">
        <f>IF(tblConteo[[#This Row],[SKU]]="","",INDEX(tblProductos[Producto],ROW()-ROW(tblConteo[#Headers])))</f>
        <v/>
      </c>
      <c r="D82" s="49" t="str">
        <f>IF(tblConteo[[#This Row],[SKU]]="","",INDEX(tblProductos[Categoría],ROW()-ROW(tblConteo[#Headers]))&amp;"")</f>
        <v/>
      </c>
      <c r="E82" s="42" t="str">
        <f>IF(tblConteo[[#This Row],[SKU]]="","",INDEX(tblProductos[Ubicación],ROW()-ROW(tblConteo[#Headers]))&amp;"")</f>
        <v/>
      </c>
      <c r="F82" s="42" t="str">
        <f>IF(tblConteo[[#This Row],[SKU]]="","",INDEX(tblProductos[Unidad],ROW()-ROW(tblConteo[#Headers]))&amp;"")</f>
        <v/>
      </c>
      <c r="G82" s="42" t="str">
        <f>IF(tblConteo[[#This Row],[SKU]]="","",IF(INDEX(tblProductos[Activo],ROW()-ROW(tblConteo[#Headers]))="NO","NO","SI"))</f>
        <v/>
      </c>
      <c r="H82" s="53" t="str">
        <f>IF(tblConteo[[#This Row],[SKU]]="","",IFERROR(N(INDEX(tblStock[StockActual],MATCH(tblConteo[[#This Row],[SKU]],tblStock[SKU],0))),0))</f>
        <v/>
      </c>
      <c r="I82" s="52"/>
      <c r="J82" s="59" t="str">
        <f>IF(OR(tblConteo[[#This Row],[SKU]]="",tblConteo[[#This Row],[Conteo]]=""),"",IF(ISNUMBER(tblConteo[[#This Row],[Conteo]]),tblConteo[[#This Row],[Conteo]]-N(tblConteo[[#This Row],[Sistema]]),""))</f>
        <v/>
      </c>
      <c r="K82" s="62" t="str">
        <f>IF(tblConteo[[#This Row],[Diferencia]]="","",tblConteo[[#This Row],[Diferencia]]*N(INDEX(tblProductos[CostoUnitario],ROW()-ROW(tblConteo[#Headers]))))</f>
        <v/>
      </c>
      <c r="L8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3" spans="2:13" x14ac:dyDescent="0.25">
      <c r="B83" s="42" t="str">
        <f>IF(INDEX(tblProductos[SKU],ROW()-ROW(tblConteo[#Headers]))="","",INDEX(tblProductos[SKU],ROW()-ROW(tblConteo[#Headers])))</f>
        <v/>
      </c>
      <c r="C83" s="49" t="str">
        <f>IF(tblConteo[[#This Row],[SKU]]="","",INDEX(tblProductos[Producto],ROW()-ROW(tblConteo[#Headers])))</f>
        <v/>
      </c>
      <c r="D83" s="49" t="str">
        <f>IF(tblConteo[[#This Row],[SKU]]="","",INDEX(tblProductos[Categoría],ROW()-ROW(tblConteo[#Headers]))&amp;"")</f>
        <v/>
      </c>
      <c r="E83" s="42" t="str">
        <f>IF(tblConteo[[#This Row],[SKU]]="","",INDEX(tblProductos[Ubicación],ROW()-ROW(tblConteo[#Headers]))&amp;"")</f>
        <v/>
      </c>
      <c r="F83" s="42" t="str">
        <f>IF(tblConteo[[#This Row],[SKU]]="","",INDEX(tblProductos[Unidad],ROW()-ROW(tblConteo[#Headers]))&amp;"")</f>
        <v/>
      </c>
      <c r="G83" s="42" t="str">
        <f>IF(tblConteo[[#This Row],[SKU]]="","",IF(INDEX(tblProductos[Activo],ROW()-ROW(tblConteo[#Headers]))="NO","NO","SI"))</f>
        <v/>
      </c>
      <c r="H83" s="53" t="str">
        <f>IF(tblConteo[[#This Row],[SKU]]="","",IFERROR(N(INDEX(tblStock[StockActual],MATCH(tblConteo[[#This Row],[SKU]],tblStock[SKU],0))),0))</f>
        <v/>
      </c>
      <c r="I83" s="52"/>
      <c r="J83" s="59" t="str">
        <f>IF(OR(tblConteo[[#This Row],[SKU]]="",tblConteo[[#This Row],[Conteo]]=""),"",IF(ISNUMBER(tblConteo[[#This Row],[Conteo]]),tblConteo[[#This Row],[Conteo]]-N(tblConteo[[#This Row],[Sistema]]),""))</f>
        <v/>
      </c>
      <c r="K83" s="62" t="str">
        <f>IF(tblConteo[[#This Row],[Diferencia]]="","",tblConteo[[#This Row],[Diferencia]]*N(INDEX(tblProductos[CostoUnitario],ROW()-ROW(tblConteo[#Headers]))))</f>
        <v/>
      </c>
      <c r="L8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4" spans="2:13" x14ac:dyDescent="0.25">
      <c r="B84" s="42" t="str">
        <f>IF(INDEX(tblProductos[SKU],ROW()-ROW(tblConteo[#Headers]))="","",INDEX(tblProductos[SKU],ROW()-ROW(tblConteo[#Headers])))</f>
        <v/>
      </c>
      <c r="C84" s="49" t="str">
        <f>IF(tblConteo[[#This Row],[SKU]]="","",INDEX(tblProductos[Producto],ROW()-ROW(tblConteo[#Headers])))</f>
        <v/>
      </c>
      <c r="D84" s="49" t="str">
        <f>IF(tblConteo[[#This Row],[SKU]]="","",INDEX(tblProductos[Categoría],ROW()-ROW(tblConteo[#Headers]))&amp;"")</f>
        <v/>
      </c>
      <c r="E84" s="42" t="str">
        <f>IF(tblConteo[[#This Row],[SKU]]="","",INDEX(tblProductos[Ubicación],ROW()-ROW(tblConteo[#Headers]))&amp;"")</f>
        <v/>
      </c>
      <c r="F84" s="42" t="str">
        <f>IF(tblConteo[[#This Row],[SKU]]="","",INDEX(tblProductos[Unidad],ROW()-ROW(tblConteo[#Headers]))&amp;"")</f>
        <v/>
      </c>
      <c r="G84" s="42" t="str">
        <f>IF(tblConteo[[#This Row],[SKU]]="","",IF(INDEX(tblProductos[Activo],ROW()-ROW(tblConteo[#Headers]))="NO","NO","SI"))</f>
        <v/>
      </c>
      <c r="H84" s="53" t="str">
        <f>IF(tblConteo[[#This Row],[SKU]]="","",IFERROR(N(INDEX(tblStock[StockActual],MATCH(tblConteo[[#This Row],[SKU]],tblStock[SKU],0))),0))</f>
        <v/>
      </c>
      <c r="I84" s="52"/>
      <c r="J84" s="59" t="str">
        <f>IF(OR(tblConteo[[#This Row],[SKU]]="",tblConteo[[#This Row],[Conteo]]=""),"",IF(ISNUMBER(tblConteo[[#This Row],[Conteo]]),tblConteo[[#This Row],[Conteo]]-N(tblConteo[[#This Row],[Sistema]]),""))</f>
        <v/>
      </c>
      <c r="K84" s="62" t="str">
        <f>IF(tblConteo[[#This Row],[Diferencia]]="","",tblConteo[[#This Row],[Diferencia]]*N(INDEX(tblProductos[CostoUnitario],ROW()-ROW(tblConteo[#Headers]))))</f>
        <v/>
      </c>
      <c r="L8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5" spans="2:13" x14ac:dyDescent="0.25">
      <c r="B85" s="42" t="str">
        <f>IF(INDEX(tblProductos[SKU],ROW()-ROW(tblConteo[#Headers]))="","",INDEX(tblProductos[SKU],ROW()-ROW(tblConteo[#Headers])))</f>
        <v/>
      </c>
      <c r="C85" s="49" t="str">
        <f>IF(tblConteo[[#This Row],[SKU]]="","",INDEX(tblProductos[Producto],ROW()-ROW(tblConteo[#Headers])))</f>
        <v/>
      </c>
      <c r="D85" s="49" t="str">
        <f>IF(tblConteo[[#This Row],[SKU]]="","",INDEX(tblProductos[Categoría],ROW()-ROW(tblConteo[#Headers]))&amp;"")</f>
        <v/>
      </c>
      <c r="E85" s="42" t="str">
        <f>IF(tblConteo[[#This Row],[SKU]]="","",INDEX(tblProductos[Ubicación],ROW()-ROW(tblConteo[#Headers]))&amp;"")</f>
        <v/>
      </c>
      <c r="F85" s="42" t="str">
        <f>IF(tblConteo[[#This Row],[SKU]]="","",INDEX(tblProductos[Unidad],ROW()-ROW(tblConteo[#Headers]))&amp;"")</f>
        <v/>
      </c>
      <c r="G85" s="42" t="str">
        <f>IF(tblConteo[[#This Row],[SKU]]="","",IF(INDEX(tblProductos[Activo],ROW()-ROW(tblConteo[#Headers]))="NO","NO","SI"))</f>
        <v/>
      </c>
      <c r="H85" s="53" t="str">
        <f>IF(tblConteo[[#This Row],[SKU]]="","",IFERROR(N(INDEX(tblStock[StockActual],MATCH(tblConteo[[#This Row],[SKU]],tblStock[SKU],0))),0))</f>
        <v/>
      </c>
      <c r="I85" s="52"/>
      <c r="J85" s="59" t="str">
        <f>IF(OR(tblConteo[[#This Row],[SKU]]="",tblConteo[[#This Row],[Conteo]]=""),"",IF(ISNUMBER(tblConteo[[#This Row],[Conteo]]),tblConteo[[#This Row],[Conteo]]-N(tblConteo[[#This Row],[Sistema]]),""))</f>
        <v/>
      </c>
      <c r="K85" s="62" t="str">
        <f>IF(tblConteo[[#This Row],[Diferencia]]="","",tblConteo[[#This Row],[Diferencia]]*N(INDEX(tblProductos[CostoUnitario],ROW()-ROW(tblConteo[#Headers]))))</f>
        <v/>
      </c>
      <c r="L8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6" spans="2:13" x14ac:dyDescent="0.25">
      <c r="B86" s="42" t="str">
        <f>IF(INDEX(tblProductos[SKU],ROW()-ROW(tblConteo[#Headers]))="","",INDEX(tblProductos[SKU],ROW()-ROW(tblConteo[#Headers])))</f>
        <v/>
      </c>
      <c r="C86" s="49" t="str">
        <f>IF(tblConteo[[#This Row],[SKU]]="","",INDEX(tblProductos[Producto],ROW()-ROW(tblConteo[#Headers])))</f>
        <v/>
      </c>
      <c r="D86" s="49" t="str">
        <f>IF(tblConteo[[#This Row],[SKU]]="","",INDEX(tblProductos[Categoría],ROW()-ROW(tblConteo[#Headers]))&amp;"")</f>
        <v/>
      </c>
      <c r="E86" s="42" t="str">
        <f>IF(tblConteo[[#This Row],[SKU]]="","",INDEX(tblProductos[Ubicación],ROW()-ROW(tblConteo[#Headers]))&amp;"")</f>
        <v/>
      </c>
      <c r="F86" s="42" t="str">
        <f>IF(tblConteo[[#This Row],[SKU]]="","",INDEX(tblProductos[Unidad],ROW()-ROW(tblConteo[#Headers]))&amp;"")</f>
        <v/>
      </c>
      <c r="G86" s="42" t="str">
        <f>IF(tblConteo[[#This Row],[SKU]]="","",IF(INDEX(tblProductos[Activo],ROW()-ROW(tblConteo[#Headers]))="NO","NO","SI"))</f>
        <v/>
      </c>
      <c r="H86" s="53" t="str">
        <f>IF(tblConteo[[#This Row],[SKU]]="","",IFERROR(N(INDEX(tblStock[StockActual],MATCH(tblConteo[[#This Row],[SKU]],tblStock[SKU],0))),0))</f>
        <v/>
      </c>
      <c r="I86" s="52"/>
      <c r="J86" s="59" t="str">
        <f>IF(OR(tblConteo[[#This Row],[SKU]]="",tblConteo[[#This Row],[Conteo]]=""),"",IF(ISNUMBER(tblConteo[[#This Row],[Conteo]]),tblConteo[[#This Row],[Conteo]]-N(tblConteo[[#This Row],[Sistema]]),""))</f>
        <v/>
      </c>
      <c r="K86" s="62" t="str">
        <f>IF(tblConteo[[#This Row],[Diferencia]]="","",tblConteo[[#This Row],[Diferencia]]*N(INDEX(tblProductos[CostoUnitario],ROW()-ROW(tblConteo[#Headers]))))</f>
        <v/>
      </c>
      <c r="L8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7" spans="2:13" x14ac:dyDescent="0.25">
      <c r="B87" s="42" t="str">
        <f>IF(INDEX(tblProductos[SKU],ROW()-ROW(tblConteo[#Headers]))="","",INDEX(tblProductos[SKU],ROW()-ROW(tblConteo[#Headers])))</f>
        <v/>
      </c>
      <c r="C87" s="49" t="str">
        <f>IF(tblConteo[[#This Row],[SKU]]="","",INDEX(tblProductos[Producto],ROW()-ROW(tblConteo[#Headers])))</f>
        <v/>
      </c>
      <c r="D87" s="49" t="str">
        <f>IF(tblConteo[[#This Row],[SKU]]="","",INDEX(tblProductos[Categoría],ROW()-ROW(tblConteo[#Headers]))&amp;"")</f>
        <v/>
      </c>
      <c r="E87" s="42" t="str">
        <f>IF(tblConteo[[#This Row],[SKU]]="","",INDEX(tblProductos[Ubicación],ROW()-ROW(tblConteo[#Headers]))&amp;"")</f>
        <v/>
      </c>
      <c r="F87" s="42" t="str">
        <f>IF(tblConteo[[#This Row],[SKU]]="","",INDEX(tblProductos[Unidad],ROW()-ROW(tblConteo[#Headers]))&amp;"")</f>
        <v/>
      </c>
      <c r="G87" s="42" t="str">
        <f>IF(tblConteo[[#This Row],[SKU]]="","",IF(INDEX(tblProductos[Activo],ROW()-ROW(tblConteo[#Headers]))="NO","NO","SI"))</f>
        <v/>
      </c>
      <c r="H87" s="53" t="str">
        <f>IF(tblConteo[[#This Row],[SKU]]="","",IFERROR(N(INDEX(tblStock[StockActual],MATCH(tblConteo[[#This Row],[SKU]],tblStock[SKU],0))),0))</f>
        <v/>
      </c>
      <c r="I87" s="52"/>
      <c r="J87" s="59" t="str">
        <f>IF(OR(tblConteo[[#This Row],[SKU]]="",tblConteo[[#This Row],[Conteo]]=""),"",IF(ISNUMBER(tblConteo[[#This Row],[Conteo]]),tblConteo[[#This Row],[Conteo]]-N(tblConteo[[#This Row],[Sistema]]),""))</f>
        <v/>
      </c>
      <c r="K87" s="62" t="str">
        <f>IF(tblConteo[[#This Row],[Diferencia]]="","",tblConteo[[#This Row],[Diferencia]]*N(INDEX(tblProductos[CostoUnitario],ROW()-ROW(tblConteo[#Headers]))))</f>
        <v/>
      </c>
      <c r="L8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8" spans="2:13" x14ac:dyDescent="0.25">
      <c r="B88" s="42" t="str">
        <f>IF(INDEX(tblProductos[SKU],ROW()-ROW(tblConteo[#Headers]))="","",INDEX(tblProductos[SKU],ROW()-ROW(tblConteo[#Headers])))</f>
        <v/>
      </c>
      <c r="C88" s="49" t="str">
        <f>IF(tblConteo[[#This Row],[SKU]]="","",INDEX(tblProductos[Producto],ROW()-ROW(tblConteo[#Headers])))</f>
        <v/>
      </c>
      <c r="D88" s="49" t="str">
        <f>IF(tblConteo[[#This Row],[SKU]]="","",INDEX(tblProductos[Categoría],ROW()-ROW(tblConteo[#Headers]))&amp;"")</f>
        <v/>
      </c>
      <c r="E88" s="42" t="str">
        <f>IF(tblConteo[[#This Row],[SKU]]="","",INDEX(tblProductos[Ubicación],ROW()-ROW(tblConteo[#Headers]))&amp;"")</f>
        <v/>
      </c>
      <c r="F88" s="42" t="str">
        <f>IF(tblConteo[[#This Row],[SKU]]="","",INDEX(tblProductos[Unidad],ROW()-ROW(tblConteo[#Headers]))&amp;"")</f>
        <v/>
      </c>
      <c r="G88" s="42" t="str">
        <f>IF(tblConteo[[#This Row],[SKU]]="","",IF(INDEX(tblProductos[Activo],ROW()-ROW(tblConteo[#Headers]))="NO","NO","SI"))</f>
        <v/>
      </c>
      <c r="H88" s="53" t="str">
        <f>IF(tblConteo[[#This Row],[SKU]]="","",IFERROR(N(INDEX(tblStock[StockActual],MATCH(tblConteo[[#This Row],[SKU]],tblStock[SKU],0))),0))</f>
        <v/>
      </c>
      <c r="I88" s="52"/>
      <c r="J88" s="59" t="str">
        <f>IF(OR(tblConteo[[#This Row],[SKU]]="",tblConteo[[#This Row],[Conteo]]=""),"",IF(ISNUMBER(tblConteo[[#This Row],[Conteo]]),tblConteo[[#This Row],[Conteo]]-N(tblConteo[[#This Row],[Sistema]]),""))</f>
        <v/>
      </c>
      <c r="K88" s="62" t="str">
        <f>IF(tblConteo[[#This Row],[Diferencia]]="","",tblConteo[[#This Row],[Diferencia]]*N(INDEX(tblProductos[CostoUnitario],ROW()-ROW(tblConteo[#Headers]))))</f>
        <v/>
      </c>
      <c r="L8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9" spans="2:13" x14ac:dyDescent="0.25">
      <c r="B89" s="42" t="str">
        <f>IF(INDEX(tblProductos[SKU],ROW()-ROW(tblConteo[#Headers]))="","",INDEX(tblProductos[SKU],ROW()-ROW(tblConteo[#Headers])))</f>
        <v/>
      </c>
      <c r="C89" s="49" t="str">
        <f>IF(tblConteo[[#This Row],[SKU]]="","",INDEX(tblProductos[Producto],ROW()-ROW(tblConteo[#Headers])))</f>
        <v/>
      </c>
      <c r="D89" s="49" t="str">
        <f>IF(tblConteo[[#This Row],[SKU]]="","",INDEX(tblProductos[Categoría],ROW()-ROW(tblConteo[#Headers]))&amp;"")</f>
        <v/>
      </c>
      <c r="E89" s="42" t="str">
        <f>IF(tblConteo[[#This Row],[SKU]]="","",INDEX(tblProductos[Ubicación],ROW()-ROW(tblConteo[#Headers]))&amp;"")</f>
        <v/>
      </c>
      <c r="F89" s="42" t="str">
        <f>IF(tblConteo[[#This Row],[SKU]]="","",INDEX(tblProductos[Unidad],ROW()-ROW(tblConteo[#Headers]))&amp;"")</f>
        <v/>
      </c>
      <c r="G89" s="42" t="str">
        <f>IF(tblConteo[[#This Row],[SKU]]="","",IF(INDEX(tblProductos[Activo],ROW()-ROW(tblConteo[#Headers]))="NO","NO","SI"))</f>
        <v/>
      </c>
      <c r="H89" s="53" t="str">
        <f>IF(tblConteo[[#This Row],[SKU]]="","",IFERROR(N(INDEX(tblStock[StockActual],MATCH(tblConteo[[#This Row],[SKU]],tblStock[SKU],0))),0))</f>
        <v/>
      </c>
      <c r="I89" s="52"/>
      <c r="J89" s="59" t="str">
        <f>IF(OR(tblConteo[[#This Row],[SKU]]="",tblConteo[[#This Row],[Conteo]]=""),"",IF(ISNUMBER(tblConteo[[#This Row],[Conteo]]),tblConteo[[#This Row],[Conteo]]-N(tblConteo[[#This Row],[Sistema]]),""))</f>
        <v/>
      </c>
      <c r="K89" s="62" t="str">
        <f>IF(tblConteo[[#This Row],[Diferencia]]="","",tblConteo[[#This Row],[Diferencia]]*N(INDEX(tblProductos[CostoUnitario],ROW()-ROW(tblConteo[#Headers]))))</f>
        <v/>
      </c>
      <c r="L8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0" spans="2:13" x14ac:dyDescent="0.25">
      <c r="B90" s="42" t="str">
        <f>IF(INDEX(tblProductos[SKU],ROW()-ROW(tblConteo[#Headers]))="","",INDEX(tblProductos[SKU],ROW()-ROW(tblConteo[#Headers])))</f>
        <v/>
      </c>
      <c r="C90" s="49" t="str">
        <f>IF(tblConteo[[#This Row],[SKU]]="","",INDEX(tblProductos[Producto],ROW()-ROW(tblConteo[#Headers])))</f>
        <v/>
      </c>
      <c r="D90" s="49" t="str">
        <f>IF(tblConteo[[#This Row],[SKU]]="","",INDEX(tblProductos[Categoría],ROW()-ROW(tblConteo[#Headers]))&amp;"")</f>
        <v/>
      </c>
      <c r="E90" s="42" t="str">
        <f>IF(tblConteo[[#This Row],[SKU]]="","",INDEX(tblProductos[Ubicación],ROW()-ROW(tblConteo[#Headers]))&amp;"")</f>
        <v/>
      </c>
      <c r="F90" s="42" t="str">
        <f>IF(tblConteo[[#This Row],[SKU]]="","",INDEX(tblProductos[Unidad],ROW()-ROW(tblConteo[#Headers]))&amp;"")</f>
        <v/>
      </c>
      <c r="G90" s="42" t="str">
        <f>IF(tblConteo[[#This Row],[SKU]]="","",IF(INDEX(tblProductos[Activo],ROW()-ROW(tblConteo[#Headers]))="NO","NO","SI"))</f>
        <v/>
      </c>
      <c r="H90" s="53" t="str">
        <f>IF(tblConteo[[#This Row],[SKU]]="","",IFERROR(N(INDEX(tblStock[StockActual],MATCH(tblConteo[[#This Row],[SKU]],tblStock[SKU],0))),0))</f>
        <v/>
      </c>
      <c r="I90" s="52"/>
      <c r="J90" s="59" t="str">
        <f>IF(OR(tblConteo[[#This Row],[SKU]]="",tblConteo[[#This Row],[Conteo]]=""),"",IF(ISNUMBER(tblConteo[[#This Row],[Conteo]]),tblConteo[[#This Row],[Conteo]]-N(tblConteo[[#This Row],[Sistema]]),""))</f>
        <v/>
      </c>
      <c r="K90" s="62" t="str">
        <f>IF(tblConteo[[#This Row],[Diferencia]]="","",tblConteo[[#This Row],[Diferencia]]*N(INDEX(tblProductos[CostoUnitario],ROW()-ROW(tblConteo[#Headers]))))</f>
        <v/>
      </c>
      <c r="L9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1" spans="2:13" x14ac:dyDescent="0.25">
      <c r="B91" s="42" t="str">
        <f>IF(INDEX(tblProductos[SKU],ROW()-ROW(tblConteo[#Headers]))="","",INDEX(tblProductos[SKU],ROW()-ROW(tblConteo[#Headers])))</f>
        <v/>
      </c>
      <c r="C91" s="49" t="str">
        <f>IF(tblConteo[[#This Row],[SKU]]="","",INDEX(tblProductos[Producto],ROW()-ROW(tblConteo[#Headers])))</f>
        <v/>
      </c>
      <c r="D91" s="49" t="str">
        <f>IF(tblConteo[[#This Row],[SKU]]="","",INDEX(tblProductos[Categoría],ROW()-ROW(tblConteo[#Headers]))&amp;"")</f>
        <v/>
      </c>
      <c r="E91" s="42" t="str">
        <f>IF(tblConteo[[#This Row],[SKU]]="","",INDEX(tblProductos[Ubicación],ROW()-ROW(tblConteo[#Headers]))&amp;"")</f>
        <v/>
      </c>
      <c r="F91" s="42" t="str">
        <f>IF(tblConteo[[#This Row],[SKU]]="","",INDEX(tblProductos[Unidad],ROW()-ROW(tblConteo[#Headers]))&amp;"")</f>
        <v/>
      </c>
      <c r="G91" s="42" t="str">
        <f>IF(tblConteo[[#This Row],[SKU]]="","",IF(INDEX(tblProductos[Activo],ROW()-ROW(tblConteo[#Headers]))="NO","NO","SI"))</f>
        <v/>
      </c>
      <c r="H91" s="53" t="str">
        <f>IF(tblConteo[[#This Row],[SKU]]="","",IFERROR(N(INDEX(tblStock[StockActual],MATCH(tblConteo[[#This Row],[SKU]],tblStock[SKU],0))),0))</f>
        <v/>
      </c>
      <c r="I91" s="52"/>
      <c r="J91" s="59" t="str">
        <f>IF(OR(tblConteo[[#This Row],[SKU]]="",tblConteo[[#This Row],[Conteo]]=""),"",IF(ISNUMBER(tblConteo[[#This Row],[Conteo]]),tblConteo[[#This Row],[Conteo]]-N(tblConteo[[#This Row],[Sistema]]),""))</f>
        <v/>
      </c>
      <c r="K91" s="62" t="str">
        <f>IF(tblConteo[[#This Row],[Diferencia]]="","",tblConteo[[#This Row],[Diferencia]]*N(INDEX(tblProductos[CostoUnitario],ROW()-ROW(tblConteo[#Headers]))))</f>
        <v/>
      </c>
      <c r="L9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2" spans="2:13" x14ac:dyDescent="0.25">
      <c r="B92" s="42" t="str">
        <f>IF(INDEX(tblProductos[SKU],ROW()-ROW(tblConteo[#Headers]))="","",INDEX(tblProductos[SKU],ROW()-ROW(tblConteo[#Headers])))</f>
        <v/>
      </c>
      <c r="C92" s="49" t="str">
        <f>IF(tblConteo[[#This Row],[SKU]]="","",INDEX(tblProductos[Producto],ROW()-ROW(tblConteo[#Headers])))</f>
        <v/>
      </c>
      <c r="D92" s="49" t="str">
        <f>IF(tblConteo[[#This Row],[SKU]]="","",INDEX(tblProductos[Categoría],ROW()-ROW(tblConteo[#Headers]))&amp;"")</f>
        <v/>
      </c>
      <c r="E92" s="42" t="str">
        <f>IF(tblConteo[[#This Row],[SKU]]="","",INDEX(tblProductos[Ubicación],ROW()-ROW(tblConteo[#Headers]))&amp;"")</f>
        <v/>
      </c>
      <c r="F92" s="42" t="str">
        <f>IF(tblConteo[[#This Row],[SKU]]="","",INDEX(tblProductos[Unidad],ROW()-ROW(tblConteo[#Headers]))&amp;"")</f>
        <v/>
      </c>
      <c r="G92" s="42" t="str">
        <f>IF(tblConteo[[#This Row],[SKU]]="","",IF(INDEX(tblProductos[Activo],ROW()-ROW(tblConteo[#Headers]))="NO","NO","SI"))</f>
        <v/>
      </c>
      <c r="H92" s="53" t="str">
        <f>IF(tblConteo[[#This Row],[SKU]]="","",IFERROR(N(INDEX(tblStock[StockActual],MATCH(tblConteo[[#This Row],[SKU]],tblStock[SKU],0))),0))</f>
        <v/>
      </c>
      <c r="I92" s="52"/>
      <c r="J92" s="59" t="str">
        <f>IF(OR(tblConteo[[#This Row],[SKU]]="",tblConteo[[#This Row],[Conteo]]=""),"",IF(ISNUMBER(tblConteo[[#This Row],[Conteo]]),tblConteo[[#This Row],[Conteo]]-N(tblConteo[[#This Row],[Sistema]]),""))</f>
        <v/>
      </c>
      <c r="K92" s="62" t="str">
        <f>IF(tblConteo[[#This Row],[Diferencia]]="","",tblConteo[[#This Row],[Diferencia]]*N(INDEX(tblProductos[CostoUnitario],ROW()-ROW(tblConteo[#Headers]))))</f>
        <v/>
      </c>
      <c r="L9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3" spans="2:13" x14ac:dyDescent="0.25">
      <c r="B93" s="42" t="str">
        <f>IF(INDEX(tblProductos[SKU],ROW()-ROW(tblConteo[#Headers]))="","",INDEX(tblProductos[SKU],ROW()-ROW(tblConteo[#Headers])))</f>
        <v/>
      </c>
      <c r="C93" s="49" t="str">
        <f>IF(tblConteo[[#This Row],[SKU]]="","",INDEX(tblProductos[Producto],ROW()-ROW(tblConteo[#Headers])))</f>
        <v/>
      </c>
      <c r="D93" s="49" t="str">
        <f>IF(tblConteo[[#This Row],[SKU]]="","",INDEX(tblProductos[Categoría],ROW()-ROW(tblConteo[#Headers]))&amp;"")</f>
        <v/>
      </c>
      <c r="E93" s="42" t="str">
        <f>IF(tblConteo[[#This Row],[SKU]]="","",INDEX(tblProductos[Ubicación],ROW()-ROW(tblConteo[#Headers]))&amp;"")</f>
        <v/>
      </c>
      <c r="F93" s="42" t="str">
        <f>IF(tblConteo[[#This Row],[SKU]]="","",INDEX(tblProductos[Unidad],ROW()-ROW(tblConteo[#Headers]))&amp;"")</f>
        <v/>
      </c>
      <c r="G93" s="42" t="str">
        <f>IF(tblConteo[[#This Row],[SKU]]="","",IF(INDEX(tblProductos[Activo],ROW()-ROW(tblConteo[#Headers]))="NO","NO","SI"))</f>
        <v/>
      </c>
      <c r="H93" s="53" t="str">
        <f>IF(tblConteo[[#This Row],[SKU]]="","",IFERROR(N(INDEX(tblStock[StockActual],MATCH(tblConteo[[#This Row],[SKU]],tblStock[SKU],0))),0))</f>
        <v/>
      </c>
      <c r="I93" s="52"/>
      <c r="J93" s="59" t="str">
        <f>IF(OR(tblConteo[[#This Row],[SKU]]="",tblConteo[[#This Row],[Conteo]]=""),"",IF(ISNUMBER(tblConteo[[#This Row],[Conteo]]),tblConteo[[#This Row],[Conteo]]-N(tblConteo[[#This Row],[Sistema]]),""))</f>
        <v/>
      </c>
      <c r="K93" s="62" t="str">
        <f>IF(tblConteo[[#This Row],[Diferencia]]="","",tblConteo[[#This Row],[Diferencia]]*N(INDEX(tblProductos[CostoUnitario],ROW()-ROW(tblConteo[#Headers]))))</f>
        <v/>
      </c>
      <c r="L9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4" spans="2:13" x14ac:dyDescent="0.25">
      <c r="B94" s="42" t="str">
        <f>IF(INDEX(tblProductos[SKU],ROW()-ROW(tblConteo[#Headers]))="","",INDEX(tblProductos[SKU],ROW()-ROW(tblConteo[#Headers])))</f>
        <v/>
      </c>
      <c r="C94" s="49" t="str">
        <f>IF(tblConteo[[#This Row],[SKU]]="","",INDEX(tblProductos[Producto],ROW()-ROW(tblConteo[#Headers])))</f>
        <v/>
      </c>
      <c r="D94" s="49" t="str">
        <f>IF(tblConteo[[#This Row],[SKU]]="","",INDEX(tblProductos[Categoría],ROW()-ROW(tblConteo[#Headers]))&amp;"")</f>
        <v/>
      </c>
      <c r="E94" s="42" t="str">
        <f>IF(tblConteo[[#This Row],[SKU]]="","",INDEX(tblProductos[Ubicación],ROW()-ROW(tblConteo[#Headers]))&amp;"")</f>
        <v/>
      </c>
      <c r="F94" s="42" t="str">
        <f>IF(tblConteo[[#This Row],[SKU]]="","",INDEX(tblProductos[Unidad],ROW()-ROW(tblConteo[#Headers]))&amp;"")</f>
        <v/>
      </c>
      <c r="G94" s="42" t="str">
        <f>IF(tblConteo[[#This Row],[SKU]]="","",IF(INDEX(tblProductos[Activo],ROW()-ROW(tblConteo[#Headers]))="NO","NO","SI"))</f>
        <v/>
      </c>
      <c r="H94" s="53" t="str">
        <f>IF(tblConteo[[#This Row],[SKU]]="","",IFERROR(N(INDEX(tblStock[StockActual],MATCH(tblConteo[[#This Row],[SKU]],tblStock[SKU],0))),0))</f>
        <v/>
      </c>
      <c r="I94" s="52"/>
      <c r="J94" s="59" t="str">
        <f>IF(OR(tblConteo[[#This Row],[SKU]]="",tblConteo[[#This Row],[Conteo]]=""),"",IF(ISNUMBER(tblConteo[[#This Row],[Conteo]]),tblConteo[[#This Row],[Conteo]]-N(tblConteo[[#This Row],[Sistema]]),""))</f>
        <v/>
      </c>
      <c r="K94" s="62" t="str">
        <f>IF(tblConteo[[#This Row],[Diferencia]]="","",tblConteo[[#This Row],[Diferencia]]*N(INDEX(tblProductos[CostoUnitario],ROW()-ROW(tblConteo[#Headers]))))</f>
        <v/>
      </c>
      <c r="L9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5" spans="2:13" x14ac:dyDescent="0.25">
      <c r="B95" s="42" t="str">
        <f>IF(INDEX(tblProductos[SKU],ROW()-ROW(tblConteo[#Headers]))="","",INDEX(tblProductos[SKU],ROW()-ROW(tblConteo[#Headers])))</f>
        <v/>
      </c>
      <c r="C95" s="49" t="str">
        <f>IF(tblConteo[[#This Row],[SKU]]="","",INDEX(tblProductos[Producto],ROW()-ROW(tblConteo[#Headers])))</f>
        <v/>
      </c>
      <c r="D95" s="49" t="str">
        <f>IF(tblConteo[[#This Row],[SKU]]="","",INDEX(tblProductos[Categoría],ROW()-ROW(tblConteo[#Headers]))&amp;"")</f>
        <v/>
      </c>
      <c r="E95" s="42" t="str">
        <f>IF(tblConteo[[#This Row],[SKU]]="","",INDEX(tblProductos[Ubicación],ROW()-ROW(tblConteo[#Headers]))&amp;"")</f>
        <v/>
      </c>
      <c r="F95" s="42" t="str">
        <f>IF(tblConteo[[#This Row],[SKU]]="","",INDEX(tblProductos[Unidad],ROW()-ROW(tblConteo[#Headers]))&amp;"")</f>
        <v/>
      </c>
      <c r="G95" s="42" t="str">
        <f>IF(tblConteo[[#This Row],[SKU]]="","",IF(INDEX(tblProductos[Activo],ROW()-ROW(tblConteo[#Headers]))="NO","NO","SI"))</f>
        <v/>
      </c>
      <c r="H95" s="53" t="str">
        <f>IF(tblConteo[[#This Row],[SKU]]="","",IFERROR(N(INDEX(tblStock[StockActual],MATCH(tblConteo[[#This Row],[SKU]],tblStock[SKU],0))),0))</f>
        <v/>
      </c>
      <c r="I95" s="52"/>
      <c r="J95" s="59" t="str">
        <f>IF(OR(tblConteo[[#This Row],[SKU]]="",tblConteo[[#This Row],[Conteo]]=""),"",IF(ISNUMBER(tblConteo[[#This Row],[Conteo]]),tblConteo[[#This Row],[Conteo]]-N(tblConteo[[#This Row],[Sistema]]),""))</f>
        <v/>
      </c>
      <c r="K95" s="62" t="str">
        <f>IF(tblConteo[[#This Row],[Diferencia]]="","",tblConteo[[#This Row],[Diferencia]]*N(INDEX(tblProductos[CostoUnitario],ROW()-ROW(tblConteo[#Headers]))))</f>
        <v/>
      </c>
      <c r="L9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6" spans="2:13" x14ac:dyDescent="0.25">
      <c r="B96" s="42" t="str">
        <f>IF(INDEX(tblProductos[SKU],ROW()-ROW(tblConteo[#Headers]))="","",INDEX(tblProductos[SKU],ROW()-ROW(tblConteo[#Headers])))</f>
        <v/>
      </c>
      <c r="C96" s="49" t="str">
        <f>IF(tblConteo[[#This Row],[SKU]]="","",INDEX(tblProductos[Producto],ROW()-ROW(tblConteo[#Headers])))</f>
        <v/>
      </c>
      <c r="D96" s="49" t="str">
        <f>IF(tblConteo[[#This Row],[SKU]]="","",INDEX(tblProductos[Categoría],ROW()-ROW(tblConteo[#Headers]))&amp;"")</f>
        <v/>
      </c>
      <c r="E96" s="42" t="str">
        <f>IF(tblConteo[[#This Row],[SKU]]="","",INDEX(tblProductos[Ubicación],ROW()-ROW(tblConteo[#Headers]))&amp;"")</f>
        <v/>
      </c>
      <c r="F96" s="42" t="str">
        <f>IF(tblConteo[[#This Row],[SKU]]="","",INDEX(tblProductos[Unidad],ROW()-ROW(tblConteo[#Headers]))&amp;"")</f>
        <v/>
      </c>
      <c r="G96" s="42" t="str">
        <f>IF(tblConteo[[#This Row],[SKU]]="","",IF(INDEX(tblProductos[Activo],ROW()-ROW(tblConteo[#Headers]))="NO","NO","SI"))</f>
        <v/>
      </c>
      <c r="H96" s="53" t="str">
        <f>IF(tblConteo[[#This Row],[SKU]]="","",IFERROR(N(INDEX(tblStock[StockActual],MATCH(tblConteo[[#This Row],[SKU]],tblStock[SKU],0))),0))</f>
        <v/>
      </c>
      <c r="I96" s="52"/>
      <c r="J96" s="59" t="str">
        <f>IF(OR(tblConteo[[#This Row],[SKU]]="",tblConteo[[#This Row],[Conteo]]=""),"",IF(ISNUMBER(tblConteo[[#This Row],[Conteo]]),tblConteo[[#This Row],[Conteo]]-N(tblConteo[[#This Row],[Sistema]]),""))</f>
        <v/>
      </c>
      <c r="K96" s="62" t="str">
        <f>IF(tblConteo[[#This Row],[Diferencia]]="","",tblConteo[[#This Row],[Diferencia]]*N(INDEX(tblProductos[CostoUnitario],ROW()-ROW(tblConteo[#Headers]))))</f>
        <v/>
      </c>
      <c r="L9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7" spans="2:13" x14ac:dyDescent="0.25">
      <c r="B97" s="42" t="str">
        <f>IF(INDEX(tblProductos[SKU],ROW()-ROW(tblConteo[#Headers]))="","",INDEX(tblProductos[SKU],ROW()-ROW(tblConteo[#Headers])))</f>
        <v/>
      </c>
      <c r="C97" s="49" t="str">
        <f>IF(tblConteo[[#This Row],[SKU]]="","",INDEX(tblProductos[Producto],ROW()-ROW(tblConteo[#Headers])))</f>
        <v/>
      </c>
      <c r="D97" s="49" t="str">
        <f>IF(tblConteo[[#This Row],[SKU]]="","",INDEX(tblProductos[Categoría],ROW()-ROW(tblConteo[#Headers]))&amp;"")</f>
        <v/>
      </c>
      <c r="E97" s="42" t="str">
        <f>IF(tblConteo[[#This Row],[SKU]]="","",INDEX(tblProductos[Ubicación],ROW()-ROW(tblConteo[#Headers]))&amp;"")</f>
        <v/>
      </c>
      <c r="F97" s="42" t="str">
        <f>IF(tblConteo[[#This Row],[SKU]]="","",INDEX(tblProductos[Unidad],ROW()-ROW(tblConteo[#Headers]))&amp;"")</f>
        <v/>
      </c>
      <c r="G97" s="42" t="str">
        <f>IF(tblConteo[[#This Row],[SKU]]="","",IF(INDEX(tblProductos[Activo],ROW()-ROW(tblConteo[#Headers]))="NO","NO","SI"))</f>
        <v/>
      </c>
      <c r="H97" s="53" t="str">
        <f>IF(tblConteo[[#This Row],[SKU]]="","",IFERROR(N(INDEX(tblStock[StockActual],MATCH(tblConteo[[#This Row],[SKU]],tblStock[SKU],0))),0))</f>
        <v/>
      </c>
      <c r="I97" s="52"/>
      <c r="J97" s="59" t="str">
        <f>IF(OR(tblConteo[[#This Row],[SKU]]="",tblConteo[[#This Row],[Conteo]]=""),"",IF(ISNUMBER(tblConteo[[#This Row],[Conteo]]),tblConteo[[#This Row],[Conteo]]-N(tblConteo[[#This Row],[Sistema]]),""))</f>
        <v/>
      </c>
      <c r="K97" s="62" t="str">
        <f>IF(tblConteo[[#This Row],[Diferencia]]="","",tblConteo[[#This Row],[Diferencia]]*N(INDEX(tblProductos[CostoUnitario],ROW()-ROW(tblConteo[#Headers]))))</f>
        <v/>
      </c>
      <c r="L9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8" spans="2:13" x14ac:dyDescent="0.25">
      <c r="B98" s="42" t="str">
        <f>IF(INDEX(tblProductos[SKU],ROW()-ROW(tblConteo[#Headers]))="","",INDEX(tblProductos[SKU],ROW()-ROW(tblConteo[#Headers])))</f>
        <v/>
      </c>
      <c r="C98" s="49" t="str">
        <f>IF(tblConteo[[#This Row],[SKU]]="","",INDEX(tblProductos[Producto],ROW()-ROW(tblConteo[#Headers])))</f>
        <v/>
      </c>
      <c r="D98" s="49" t="str">
        <f>IF(tblConteo[[#This Row],[SKU]]="","",INDEX(tblProductos[Categoría],ROW()-ROW(tblConteo[#Headers]))&amp;"")</f>
        <v/>
      </c>
      <c r="E98" s="42" t="str">
        <f>IF(tblConteo[[#This Row],[SKU]]="","",INDEX(tblProductos[Ubicación],ROW()-ROW(tblConteo[#Headers]))&amp;"")</f>
        <v/>
      </c>
      <c r="F98" s="42" t="str">
        <f>IF(tblConteo[[#This Row],[SKU]]="","",INDEX(tblProductos[Unidad],ROW()-ROW(tblConteo[#Headers]))&amp;"")</f>
        <v/>
      </c>
      <c r="G98" s="42" t="str">
        <f>IF(tblConteo[[#This Row],[SKU]]="","",IF(INDEX(tblProductos[Activo],ROW()-ROW(tblConteo[#Headers]))="NO","NO","SI"))</f>
        <v/>
      </c>
      <c r="H98" s="53" t="str">
        <f>IF(tblConteo[[#This Row],[SKU]]="","",IFERROR(N(INDEX(tblStock[StockActual],MATCH(tblConteo[[#This Row],[SKU]],tblStock[SKU],0))),0))</f>
        <v/>
      </c>
      <c r="I98" s="52"/>
      <c r="J98" s="59" t="str">
        <f>IF(OR(tblConteo[[#This Row],[SKU]]="",tblConteo[[#This Row],[Conteo]]=""),"",IF(ISNUMBER(tblConteo[[#This Row],[Conteo]]),tblConteo[[#This Row],[Conteo]]-N(tblConteo[[#This Row],[Sistema]]),""))</f>
        <v/>
      </c>
      <c r="K98" s="62" t="str">
        <f>IF(tblConteo[[#This Row],[Diferencia]]="","",tblConteo[[#This Row],[Diferencia]]*N(INDEX(tblProductos[CostoUnitario],ROW()-ROW(tblConteo[#Headers]))))</f>
        <v/>
      </c>
      <c r="L9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9" spans="2:13" x14ac:dyDescent="0.25">
      <c r="B99" s="42" t="str">
        <f>IF(INDEX(tblProductos[SKU],ROW()-ROW(tblConteo[#Headers]))="","",INDEX(tblProductos[SKU],ROW()-ROW(tblConteo[#Headers])))</f>
        <v/>
      </c>
      <c r="C99" s="49" t="str">
        <f>IF(tblConteo[[#This Row],[SKU]]="","",INDEX(tblProductos[Producto],ROW()-ROW(tblConteo[#Headers])))</f>
        <v/>
      </c>
      <c r="D99" s="49" t="str">
        <f>IF(tblConteo[[#This Row],[SKU]]="","",INDEX(tblProductos[Categoría],ROW()-ROW(tblConteo[#Headers]))&amp;"")</f>
        <v/>
      </c>
      <c r="E99" s="42" t="str">
        <f>IF(tblConteo[[#This Row],[SKU]]="","",INDEX(tblProductos[Ubicación],ROW()-ROW(tblConteo[#Headers]))&amp;"")</f>
        <v/>
      </c>
      <c r="F99" s="42" t="str">
        <f>IF(tblConteo[[#This Row],[SKU]]="","",INDEX(tblProductos[Unidad],ROW()-ROW(tblConteo[#Headers]))&amp;"")</f>
        <v/>
      </c>
      <c r="G99" s="42" t="str">
        <f>IF(tblConteo[[#This Row],[SKU]]="","",IF(INDEX(tblProductos[Activo],ROW()-ROW(tblConteo[#Headers]))="NO","NO","SI"))</f>
        <v/>
      </c>
      <c r="H99" s="53" t="str">
        <f>IF(tblConteo[[#This Row],[SKU]]="","",IFERROR(N(INDEX(tblStock[StockActual],MATCH(tblConteo[[#This Row],[SKU]],tblStock[SKU],0))),0))</f>
        <v/>
      </c>
      <c r="I99" s="52"/>
      <c r="J99" s="59" t="str">
        <f>IF(OR(tblConteo[[#This Row],[SKU]]="",tblConteo[[#This Row],[Conteo]]=""),"",IF(ISNUMBER(tblConteo[[#This Row],[Conteo]]),tblConteo[[#This Row],[Conteo]]-N(tblConteo[[#This Row],[Sistema]]),""))</f>
        <v/>
      </c>
      <c r="K99" s="62" t="str">
        <f>IF(tblConteo[[#This Row],[Diferencia]]="","",tblConteo[[#This Row],[Diferencia]]*N(INDEX(tblProductos[CostoUnitario],ROW()-ROW(tblConteo[#Headers]))))</f>
        <v/>
      </c>
      <c r="L9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0" spans="2:13" x14ac:dyDescent="0.25">
      <c r="B100" s="42" t="str">
        <f>IF(INDEX(tblProductos[SKU],ROW()-ROW(tblConteo[#Headers]))="","",INDEX(tblProductos[SKU],ROW()-ROW(tblConteo[#Headers])))</f>
        <v/>
      </c>
      <c r="C100" s="49" t="str">
        <f>IF(tblConteo[[#This Row],[SKU]]="","",INDEX(tblProductos[Producto],ROW()-ROW(tblConteo[#Headers])))</f>
        <v/>
      </c>
      <c r="D100" s="49" t="str">
        <f>IF(tblConteo[[#This Row],[SKU]]="","",INDEX(tblProductos[Categoría],ROW()-ROW(tblConteo[#Headers]))&amp;"")</f>
        <v/>
      </c>
      <c r="E100" s="42" t="str">
        <f>IF(tblConteo[[#This Row],[SKU]]="","",INDEX(tblProductos[Ubicación],ROW()-ROW(tblConteo[#Headers]))&amp;"")</f>
        <v/>
      </c>
      <c r="F100" s="42" t="str">
        <f>IF(tblConteo[[#This Row],[SKU]]="","",INDEX(tblProductos[Unidad],ROW()-ROW(tblConteo[#Headers]))&amp;"")</f>
        <v/>
      </c>
      <c r="G100" s="42" t="str">
        <f>IF(tblConteo[[#This Row],[SKU]]="","",IF(INDEX(tblProductos[Activo],ROW()-ROW(tblConteo[#Headers]))="NO","NO","SI"))</f>
        <v/>
      </c>
      <c r="H100" s="53" t="str">
        <f>IF(tblConteo[[#This Row],[SKU]]="","",IFERROR(N(INDEX(tblStock[StockActual],MATCH(tblConteo[[#This Row],[SKU]],tblStock[SKU],0))),0))</f>
        <v/>
      </c>
      <c r="I100" s="52"/>
      <c r="J100" s="59" t="str">
        <f>IF(OR(tblConteo[[#This Row],[SKU]]="",tblConteo[[#This Row],[Conteo]]=""),"",IF(ISNUMBER(tblConteo[[#This Row],[Conteo]]),tblConteo[[#This Row],[Conteo]]-N(tblConteo[[#This Row],[Sistema]]),""))</f>
        <v/>
      </c>
      <c r="K100" s="62" t="str">
        <f>IF(tblConteo[[#This Row],[Diferencia]]="","",tblConteo[[#This Row],[Diferencia]]*N(INDEX(tblProductos[CostoUnitario],ROW()-ROW(tblConteo[#Headers]))))</f>
        <v/>
      </c>
      <c r="L10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1" spans="2:13" x14ac:dyDescent="0.25">
      <c r="B101" s="42" t="str">
        <f>IF(INDEX(tblProductos[SKU],ROW()-ROW(tblConteo[#Headers]))="","",INDEX(tblProductos[SKU],ROW()-ROW(tblConteo[#Headers])))</f>
        <v/>
      </c>
      <c r="C101" s="49" t="str">
        <f>IF(tblConteo[[#This Row],[SKU]]="","",INDEX(tblProductos[Producto],ROW()-ROW(tblConteo[#Headers])))</f>
        <v/>
      </c>
      <c r="D101" s="49" t="str">
        <f>IF(tblConteo[[#This Row],[SKU]]="","",INDEX(tblProductos[Categoría],ROW()-ROW(tblConteo[#Headers]))&amp;"")</f>
        <v/>
      </c>
      <c r="E101" s="42" t="str">
        <f>IF(tblConteo[[#This Row],[SKU]]="","",INDEX(tblProductos[Ubicación],ROW()-ROW(tblConteo[#Headers]))&amp;"")</f>
        <v/>
      </c>
      <c r="F101" s="42" t="str">
        <f>IF(tblConteo[[#This Row],[SKU]]="","",INDEX(tblProductos[Unidad],ROW()-ROW(tblConteo[#Headers]))&amp;"")</f>
        <v/>
      </c>
      <c r="G101" s="42" t="str">
        <f>IF(tblConteo[[#This Row],[SKU]]="","",IF(INDEX(tblProductos[Activo],ROW()-ROW(tblConteo[#Headers]))="NO","NO","SI"))</f>
        <v/>
      </c>
      <c r="H101" s="53" t="str">
        <f>IF(tblConteo[[#This Row],[SKU]]="","",IFERROR(N(INDEX(tblStock[StockActual],MATCH(tblConteo[[#This Row],[SKU]],tblStock[SKU],0))),0))</f>
        <v/>
      </c>
      <c r="I101" s="52"/>
      <c r="J101" s="59" t="str">
        <f>IF(OR(tblConteo[[#This Row],[SKU]]="",tblConteo[[#This Row],[Conteo]]=""),"",IF(ISNUMBER(tblConteo[[#This Row],[Conteo]]),tblConteo[[#This Row],[Conteo]]-N(tblConteo[[#This Row],[Sistema]]),""))</f>
        <v/>
      </c>
      <c r="K101" s="62" t="str">
        <f>IF(tblConteo[[#This Row],[Diferencia]]="","",tblConteo[[#This Row],[Diferencia]]*N(INDEX(tblProductos[CostoUnitario],ROW()-ROW(tblConteo[#Headers]))))</f>
        <v/>
      </c>
      <c r="L10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2" spans="2:13" x14ac:dyDescent="0.25">
      <c r="B102" s="42" t="str">
        <f>IF(INDEX(tblProductos[SKU],ROW()-ROW(tblConteo[#Headers]))="","",INDEX(tblProductos[SKU],ROW()-ROW(tblConteo[#Headers])))</f>
        <v/>
      </c>
      <c r="C102" s="49" t="str">
        <f>IF(tblConteo[[#This Row],[SKU]]="","",INDEX(tblProductos[Producto],ROW()-ROW(tblConteo[#Headers])))</f>
        <v/>
      </c>
      <c r="D102" s="49" t="str">
        <f>IF(tblConteo[[#This Row],[SKU]]="","",INDEX(tblProductos[Categoría],ROW()-ROW(tblConteo[#Headers]))&amp;"")</f>
        <v/>
      </c>
      <c r="E102" s="42" t="str">
        <f>IF(tblConteo[[#This Row],[SKU]]="","",INDEX(tblProductos[Ubicación],ROW()-ROW(tblConteo[#Headers]))&amp;"")</f>
        <v/>
      </c>
      <c r="F102" s="42" t="str">
        <f>IF(tblConteo[[#This Row],[SKU]]="","",INDEX(tblProductos[Unidad],ROW()-ROW(tblConteo[#Headers]))&amp;"")</f>
        <v/>
      </c>
      <c r="G102" s="42" t="str">
        <f>IF(tblConteo[[#This Row],[SKU]]="","",IF(INDEX(tblProductos[Activo],ROW()-ROW(tblConteo[#Headers]))="NO","NO","SI"))</f>
        <v/>
      </c>
      <c r="H102" s="53" t="str">
        <f>IF(tblConteo[[#This Row],[SKU]]="","",IFERROR(N(INDEX(tblStock[StockActual],MATCH(tblConteo[[#This Row],[SKU]],tblStock[SKU],0))),0))</f>
        <v/>
      </c>
      <c r="I102" s="52"/>
      <c r="J102" s="59" t="str">
        <f>IF(OR(tblConteo[[#This Row],[SKU]]="",tblConteo[[#This Row],[Conteo]]=""),"",IF(ISNUMBER(tblConteo[[#This Row],[Conteo]]),tblConteo[[#This Row],[Conteo]]-N(tblConteo[[#This Row],[Sistema]]),""))</f>
        <v/>
      </c>
      <c r="K102" s="62" t="str">
        <f>IF(tblConteo[[#This Row],[Diferencia]]="","",tblConteo[[#This Row],[Diferencia]]*N(INDEX(tblProductos[CostoUnitario],ROW()-ROW(tblConteo[#Headers]))))</f>
        <v/>
      </c>
      <c r="L10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3" spans="2:13" x14ac:dyDescent="0.25">
      <c r="B103" s="42" t="str">
        <f>IF(INDEX(tblProductos[SKU],ROW()-ROW(tblConteo[#Headers]))="","",INDEX(tblProductos[SKU],ROW()-ROW(tblConteo[#Headers])))</f>
        <v/>
      </c>
      <c r="C103" s="49" t="str">
        <f>IF(tblConteo[[#This Row],[SKU]]="","",INDEX(tblProductos[Producto],ROW()-ROW(tblConteo[#Headers])))</f>
        <v/>
      </c>
      <c r="D103" s="49" t="str">
        <f>IF(tblConteo[[#This Row],[SKU]]="","",INDEX(tblProductos[Categoría],ROW()-ROW(tblConteo[#Headers]))&amp;"")</f>
        <v/>
      </c>
      <c r="E103" s="42" t="str">
        <f>IF(tblConteo[[#This Row],[SKU]]="","",INDEX(tblProductos[Ubicación],ROW()-ROW(tblConteo[#Headers]))&amp;"")</f>
        <v/>
      </c>
      <c r="F103" s="42" t="str">
        <f>IF(tblConteo[[#This Row],[SKU]]="","",INDEX(tblProductos[Unidad],ROW()-ROW(tblConteo[#Headers]))&amp;"")</f>
        <v/>
      </c>
      <c r="G103" s="42" t="str">
        <f>IF(tblConteo[[#This Row],[SKU]]="","",IF(INDEX(tblProductos[Activo],ROW()-ROW(tblConteo[#Headers]))="NO","NO","SI"))</f>
        <v/>
      </c>
      <c r="H103" s="53" t="str">
        <f>IF(tblConteo[[#This Row],[SKU]]="","",IFERROR(N(INDEX(tblStock[StockActual],MATCH(tblConteo[[#This Row],[SKU]],tblStock[SKU],0))),0))</f>
        <v/>
      </c>
      <c r="I103" s="52"/>
      <c r="J103" s="59" t="str">
        <f>IF(OR(tblConteo[[#This Row],[SKU]]="",tblConteo[[#This Row],[Conteo]]=""),"",IF(ISNUMBER(tblConteo[[#This Row],[Conteo]]),tblConteo[[#This Row],[Conteo]]-N(tblConteo[[#This Row],[Sistema]]),""))</f>
        <v/>
      </c>
      <c r="K103" s="62" t="str">
        <f>IF(tblConteo[[#This Row],[Diferencia]]="","",tblConteo[[#This Row],[Diferencia]]*N(INDEX(tblProductos[CostoUnitario],ROW()-ROW(tblConteo[#Headers]))))</f>
        <v/>
      </c>
      <c r="L10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4" spans="2:13" x14ac:dyDescent="0.25">
      <c r="B104" s="42" t="str">
        <f>IF(INDEX(tblProductos[SKU],ROW()-ROW(tblConteo[#Headers]))="","",INDEX(tblProductos[SKU],ROW()-ROW(tblConteo[#Headers])))</f>
        <v/>
      </c>
      <c r="C104" s="49" t="str">
        <f>IF(tblConteo[[#This Row],[SKU]]="","",INDEX(tblProductos[Producto],ROW()-ROW(tblConteo[#Headers])))</f>
        <v/>
      </c>
      <c r="D104" s="49" t="str">
        <f>IF(tblConteo[[#This Row],[SKU]]="","",INDEX(tblProductos[Categoría],ROW()-ROW(tblConteo[#Headers]))&amp;"")</f>
        <v/>
      </c>
      <c r="E104" s="42" t="str">
        <f>IF(tblConteo[[#This Row],[SKU]]="","",INDEX(tblProductos[Ubicación],ROW()-ROW(tblConteo[#Headers]))&amp;"")</f>
        <v/>
      </c>
      <c r="F104" s="42" t="str">
        <f>IF(tblConteo[[#This Row],[SKU]]="","",INDEX(tblProductos[Unidad],ROW()-ROW(tblConteo[#Headers]))&amp;"")</f>
        <v/>
      </c>
      <c r="G104" s="42" t="str">
        <f>IF(tblConteo[[#This Row],[SKU]]="","",IF(INDEX(tblProductos[Activo],ROW()-ROW(tblConteo[#Headers]))="NO","NO","SI"))</f>
        <v/>
      </c>
      <c r="H104" s="53" t="str">
        <f>IF(tblConteo[[#This Row],[SKU]]="","",IFERROR(N(INDEX(tblStock[StockActual],MATCH(tblConteo[[#This Row],[SKU]],tblStock[SKU],0))),0))</f>
        <v/>
      </c>
      <c r="I104" s="52"/>
      <c r="J104" s="59" t="str">
        <f>IF(OR(tblConteo[[#This Row],[SKU]]="",tblConteo[[#This Row],[Conteo]]=""),"",IF(ISNUMBER(tblConteo[[#This Row],[Conteo]]),tblConteo[[#This Row],[Conteo]]-N(tblConteo[[#This Row],[Sistema]]),""))</f>
        <v/>
      </c>
      <c r="K104" s="62" t="str">
        <f>IF(tblConteo[[#This Row],[Diferencia]]="","",tblConteo[[#This Row],[Diferencia]]*N(INDEX(tblProductos[CostoUnitario],ROW()-ROW(tblConteo[#Headers]))))</f>
        <v/>
      </c>
      <c r="L10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5" spans="2:13" x14ac:dyDescent="0.25">
      <c r="B105" s="42" t="str">
        <f>IF(INDEX(tblProductos[SKU],ROW()-ROW(tblConteo[#Headers]))="","",INDEX(tblProductos[SKU],ROW()-ROW(tblConteo[#Headers])))</f>
        <v/>
      </c>
      <c r="C105" s="49" t="str">
        <f>IF(tblConteo[[#This Row],[SKU]]="","",INDEX(tblProductos[Producto],ROW()-ROW(tblConteo[#Headers])))</f>
        <v/>
      </c>
      <c r="D105" s="49" t="str">
        <f>IF(tblConteo[[#This Row],[SKU]]="","",INDEX(tblProductos[Categoría],ROW()-ROW(tblConteo[#Headers]))&amp;"")</f>
        <v/>
      </c>
      <c r="E105" s="42" t="str">
        <f>IF(tblConteo[[#This Row],[SKU]]="","",INDEX(tblProductos[Ubicación],ROW()-ROW(tblConteo[#Headers]))&amp;"")</f>
        <v/>
      </c>
      <c r="F105" s="42" t="str">
        <f>IF(tblConteo[[#This Row],[SKU]]="","",INDEX(tblProductos[Unidad],ROW()-ROW(tblConteo[#Headers]))&amp;"")</f>
        <v/>
      </c>
      <c r="G105" s="42" t="str">
        <f>IF(tblConteo[[#This Row],[SKU]]="","",IF(INDEX(tblProductos[Activo],ROW()-ROW(tblConteo[#Headers]))="NO","NO","SI"))</f>
        <v/>
      </c>
      <c r="H105" s="53" t="str">
        <f>IF(tblConteo[[#This Row],[SKU]]="","",IFERROR(N(INDEX(tblStock[StockActual],MATCH(tblConteo[[#This Row],[SKU]],tblStock[SKU],0))),0))</f>
        <v/>
      </c>
      <c r="I105" s="52"/>
      <c r="J105" s="59" t="str">
        <f>IF(OR(tblConteo[[#This Row],[SKU]]="",tblConteo[[#This Row],[Conteo]]=""),"",IF(ISNUMBER(tblConteo[[#This Row],[Conteo]]),tblConteo[[#This Row],[Conteo]]-N(tblConteo[[#This Row],[Sistema]]),""))</f>
        <v/>
      </c>
      <c r="K105" s="62" t="str">
        <f>IF(tblConteo[[#This Row],[Diferencia]]="","",tblConteo[[#This Row],[Diferencia]]*N(INDEX(tblProductos[CostoUnitario],ROW()-ROW(tblConteo[#Headers]))))</f>
        <v/>
      </c>
      <c r="L10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6" spans="2:13" x14ac:dyDescent="0.25">
      <c r="B106" s="42" t="str">
        <f>IF(INDEX(tblProductos[SKU],ROW()-ROW(tblConteo[#Headers]))="","",INDEX(tblProductos[SKU],ROW()-ROW(tblConteo[#Headers])))</f>
        <v/>
      </c>
      <c r="C106" s="49" t="str">
        <f>IF(tblConteo[[#This Row],[SKU]]="","",INDEX(tblProductos[Producto],ROW()-ROW(tblConteo[#Headers])))</f>
        <v/>
      </c>
      <c r="D106" s="49" t="str">
        <f>IF(tblConteo[[#This Row],[SKU]]="","",INDEX(tblProductos[Categoría],ROW()-ROW(tblConteo[#Headers]))&amp;"")</f>
        <v/>
      </c>
      <c r="E106" s="42" t="str">
        <f>IF(tblConteo[[#This Row],[SKU]]="","",INDEX(tblProductos[Ubicación],ROW()-ROW(tblConteo[#Headers]))&amp;"")</f>
        <v/>
      </c>
      <c r="F106" s="42" t="str">
        <f>IF(tblConteo[[#This Row],[SKU]]="","",INDEX(tblProductos[Unidad],ROW()-ROW(tblConteo[#Headers]))&amp;"")</f>
        <v/>
      </c>
      <c r="G106" s="42" t="str">
        <f>IF(tblConteo[[#This Row],[SKU]]="","",IF(INDEX(tblProductos[Activo],ROW()-ROW(tblConteo[#Headers]))="NO","NO","SI"))</f>
        <v/>
      </c>
      <c r="H106" s="53" t="str">
        <f>IF(tblConteo[[#This Row],[SKU]]="","",IFERROR(N(INDEX(tblStock[StockActual],MATCH(tblConteo[[#This Row],[SKU]],tblStock[SKU],0))),0))</f>
        <v/>
      </c>
      <c r="I106" s="52"/>
      <c r="J106" s="59" t="str">
        <f>IF(OR(tblConteo[[#This Row],[SKU]]="",tblConteo[[#This Row],[Conteo]]=""),"",IF(ISNUMBER(tblConteo[[#This Row],[Conteo]]),tblConteo[[#This Row],[Conteo]]-N(tblConteo[[#This Row],[Sistema]]),""))</f>
        <v/>
      </c>
      <c r="K106" s="62" t="str">
        <f>IF(tblConteo[[#This Row],[Diferencia]]="","",tblConteo[[#This Row],[Diferencia]]*N(INDEX(tblProductos[CostoUnitario],ROW()-ROW(tblConteo[#Headers]))))</f>
        <v/>
      </c>
      <c r="L10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7" spans="2:13" x14ac:dyDescent="0.25">
      <c r="B107" s="42" t="str">
        <f>IF(INDEX(tblProductos[SKU],ROW()-ROW(tblConteo[#Headers]))="","",INDEX(tblProductos[SKU],ROW()-ROW(tblConteo[#Headers])))</f>
        <v/>
      </c>
      <c r="C107" s="49" t="str">
        <f>IF(tblConteo[[#This Row],[SKU]]="","",INDEX(tblProductos[Producto],ROW()-ROW(tblConteo[#Headers])))</f>
        <v/>
      </c>
      <c r="D107" s="49" t="str">
        <f>IF(tblConteo[[#This Row],[SKU]]="","",INDEX(tblProductos[Categoría],ROW()-ROW(tblConteo[#Headers]))&amp;"")</f>
        <v/>
      </c>
      <c r="E107" s="42" t="str">
        <f>IF(tblConteo[[#This Row],[SKU]]="","",INDEX(tblProductos[Ubicación],ROW()-ROW(tblConteo[#Headers]))&amp;"")</f>
        <v/>
      </c>
      <c r="F107" s="42" t="str">
        <f>IF(tblConteo[[#This Row],[SKU]]="","",INDEX(tblProductos[Unidad],ROW()-ROW(tblConteo[#Headers]))&amp;"")</f>
        <v/>
      </c>
      <c r="G107" s="42" t="str">
        <f>IF(tblConteo[[#This Row],[SKU]]="","",IF(INDEX(tblProductos[Activo],ROW()-ROW(tblConteo[#Headers]))="NO","NO","SI"))</f>
        <v/>
      </c>
      <c r="H107" s="53" t="str">
        <f>IF(tblConteo[[#This Row],[SKU]]="","",IFERROR(N(INDEX(tblStock[StockActual],MATCH(tblConteo[[#This Row],[SKU]],tblStock[SKU],0))),0))</f>
        <v/>
      </c>
      <c r="I107" s="52"/>
      <c r="J107" s="59" t="str">
        <f>IF(OR(tblConteo[[#This Row],[SKU]]="",tblConteo[[#This Row],[Conteo]]=""),"",IF(ISNUMBER(tblConteo[[#This Row],[Conteo]]),tblConteo[[#This Row],[Conteo]]-N(tblConteo[[#This Row],[Sistema]]),""))</f>
        <v/>
      </c>
      <c r="K107" s="62" t="str">
        <f>IF(tblConteo[[#This Row],[Diferencia]]="","",tblConteo[[#This Row],[Diferencia]]*N(INDEX(tblProductos[CostoUnitario],ROW()-ROW(tblConteo[#Headers]))))</f>
        <v/>
      </c>
      <c r="L10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8" spans="2:13" x14ac:dyDescent="0.25">
      <c r="B108" s="42" t="str">
        <f>IF(INDEX(tblProductos[SKU],ROW()-ROW(tblConteo[#Headers]))="","",INDEX(tblProductos[SKU],ROW()-ROW(tblConteo[#Headers])))</f>
        <v/>
      </c>
      <c r="C108" s="49" t="str">
        <f>IF(tblConteo[[#This Row],[SKU]]="","",INDEX(tblProductos[Producto],ROW()-ROW(tblConteo[#Headers])))</f>
        <v/>
      </c>
      <c r="D108" s="49" t="str">
        <f>IF(tblConteo[[#This Row],[SKU]]="","",INDEX(tblProductos[Categoría],ROW()-ROW(tblConteo[#Headers]))&amp;"")</f>
        <v/>
      </c>
      <c r="E108" s="42" t="str">
        <f>IF(tblConteo[[#This Row],[SKU]]="","",INDEX(tblProductos[Ubicación],ROW()-ROW(tblConteo[#Headers]))&amp;"")</f>
        <v/>
      </c>
      <c r="F108" s="42" t="str">
        <f>IF(tblConteo[[#This Row],[SKU]]="","",INDEX(tblProductos[Unidad],ROW()-ROW(tblConteo[#Headers]))&amp;"")</f>
        <v/>
      </c>
      <c r="G108" s="42" t="str">
        <f>IF(tblConteo[[#This Row],[SKU]]="","",IF(INDEX(tblProductos[Activo],ROW()-ROW(tblConteo[#Headers]))="NO","NO","SI"))</f>
        <v/>
      </c>
      <c r="H108" s="53" t="str">
        <f>IF(tblConteo[[#This Row],[SKU]]="","",IFERROR(N(INDEX(tblStock[StockActual],MATCH(tblConteo[[#This Row],[SKU]],tblStock[SKU],0))),0))</f>
        <v/>
      </c>
      <c r="I108" s="52"/>
      <c r="J108" s="59" t="str">
        <f>IF(OR(tblConteo[[#This Row],[SKU]]="",tblConteo[[#This Row],[Conteo]]=""),"",IF(ISNUMBER(tblConteo[[#This Row],[Conteo]]),tblConteo[[#This Row],[Conteo]]-N(tblConteo[[#This Row],[Sistema]]),""))</f>
        <v/>
      </c>
      <c r="K108" s="62" t="str">
        <f>IF(tblConteo[[#This Row],[Diferencia]]="","",tblConteo[[#This Row],[Diferencia]]*N(INDEX(tblProductos[CostoUnitario],ROW()-ROW(tblConteo[#Headers]))))</f>
        <v/>
      </c>
      <c r="L10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9" spans="2:13" x14ac:dyDescent="0.25">
      <c r="B109" s="42" t="str">
        <f>IF(INDEX(tblProductos[SKU],ROW()-ROW(tblConteo[#Headers]))="","",INDEX(tblProductos[SKU],ROW()-ROW(tblConteo[#Headers])))</f>
        <v/>
      </c>
      <c r="C109" s="49" t="str">
        <f>IF(tblConteo[[#This Row],[SKU]]="","",INDEX(tblProductos[Producto],ROW()-ROW(tblConteo[#Headers])))</f>
        <v/>
      </c>
      <c r="D109" s="49" t="str">
        <f>IF(tblConteo[[#This Row],[SKU]]="","",INDEX(tblProductos[Categoría],ROW()-ROW(tblConteo[#Headers]))&amp;"")</f>
        <v/>
      </c>
      <c r="E109" s="42" t="str">
        <f>IF(tblConteo[[#This Row],[SKU]]="","",INDEX(tblProductos[Ubicación],ROW()-ROW(tblConteo[#Headers]))&amp;"")</f>
        <v/>
      </c>
      <c r="F109" s="42" t="str">
        <f>IF(tblConteo[[#This Row],[SKU]]="","",INDEX(tblProductos[Unidad],ROW()-ROW(tblConteo[#Headers]))&amp;"")</f>
        <v/>
      </c>
      <c r="G109" s="42" t="str">
        <f>IF(tblConteo[[#This Row],[SKU]]="","",IF(INDEX(tblProductos[Activo],ROW()-ROW(tblConteo[#Headers]))="NO","NO","SI"))</f>
        <v/>
      </c>
      <c r="H109" s="53" t="str">
        <f>IF(tblConteo[[#This Row],[SKU]]="","",IFERROR(N(INDEX(tblStock[StockActual],MATCH(tblConteo[[#This Row],[SKU]],tblStock[SKU],0))),0))</f>
        <v/>
      </c>
      <c r="I109" s="52"/>
      <c r="J109" s="59" t="str">
        <f>IF(OR(tblConteo[[#This Row],[SKU]]="",tblConteo[[#This Row],[Conteo]]=""),"",IF(ISNUMBER(tblConteo[[#This Row],[Conteo]]),tblConteo[[#This Row],[Conteo]]-N(tblConteo[[#This Row],[Sistema]]),""))</f>
        <v/>
      </c>
      <c r="K109" s="62" t="str">
        <f>IF(tblConteo[[#This Row],[Diferencia]]="","",tblConteo[[#This Row],[Diferencia]]*N(INDEX(tblProductos[CostoUnitario],ROW()-ROW(tblConteo[#Headers]))))</f>
        <v/>
      </c>
      <c r="L10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0" spans="2:13" x14ac:dyDescent="0.25">
      <c r="B110" s="42" t="str">
        <f>IF(INDEX(tblProductos[SKU],ROW()-ROW(tblConteo[#Headers]))="","",INDEX(tblProductos[SKU],ROW()-ROW(tblConteo[#Headers])))</f>
        <v/>
      </c>
      <c r="C110" s="49" t="str">
        <f>IF(tblConteo[[#This Row],[SKU]]="","",INDEX(tblProductos[Producto],ROW()-ROW(tblConteo[#Headers])))</f>
        <v/>
      </c>
      <c r="D110" s="49" t="str">
        <f>IF(tblConteo[[#This Row],[SKU]]="","",INDEX(tblProductos[Categoría],ROW()-ROW(tblConteo[#Headers]))&amp;"")</f>
        <v/>
      </c>
      <c r="E110" s="42" t="str">
        <f>IF(tblConteo[[#This Row],[SKU]]="","",INDEX(tblProductos[Ubicación],ROW()-ROW(tblConteo[#Headers]))&amp;"")</f>
        <v/>
      </c>
      <c r="F110" s="42" t="str">
        <f>IF(tblConteo[[#This Row],[SKU]]="","",INDEX(tblProductos[Unidad],ROW()-ROW(tblConteo[#Headers]))&amp;"")</f>
        <v/>
      </c>
      <c r="G110" s="42" t="str">
        <f>IF(tblConteo[[#This Row],[SKU]]="","",IF(INDEX(tblProductos[Activo],ROW()-ROW(tblConteo[#Headers]))="NO","NO","SI"))</f>
        <v/>
      </c>
      <c r="H110" s="53" t="str">
        <f>IF(tblConteo[[#This Row],[SKU]]="","",IFERROR(N(INDEX(tblStock[StockActual],MATCH(tblConteo[[#This Row],[SKU]],tblStock[SKU],0))),0))</f>
        <v/>
      </c>
      <c r="I110" s="52"/>
      <c r="J110" s="59" t="str">
        <f>IF(OR(tblConteo[[#This Row],[SKU]]="",tblConteo[[#This Row],[Conteo]]=""),"",IF(ISNUMBER(tblConteo[[#This Row],[Conteo]]),tblConteo[[#This Row],[Conteo]]-N(tblConteo[[#This Row],[Sistema]]),""))</f>
        <v/>
      </c>
      <c r="K110" s="62" t="str">
        <f>IF(tblConteo[[#This Row],[Diferencia]]="","",tblConteo[[#This Row],[Diferencia]]*N(INDEX(tblProductos[CostoUnitario],ROW()-ROW(tblConteo[#Headers]))))</f>
        <v/>
      </c>
      <c r="L11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1" spans="2:13" x14ac:dyDescent="0.25">
      <c r="B111" s="42" t="str">
        <f>IF(INDEX(tblProductos[SKU],ROW()-ROW(tblConteo[#Headers]))="","",INDEX(tblProductos[SKU],ROW()-ROW(tblConteo[#Headers])))</f>
        <v/>
      </c>
      <c r="C111" s="49" t="str">
        <f>IF(tblConteo[[#This Row],[SKU]]="","",INDEX(tblProductos[Producto],ROW()-ROW(tblConteo[#Headers])))</f>
        <v/>
      </c>
      <c r="D111" s="49" t="str">
        <f>IF(tblConteo[[#This Row],[SKU]]="","",INDEX(tblProductos[Categoría],ROW()-ROW(tblConteo[#Headers]))&amp;"")</f>
        <v/>
      </c>
      <c r="E111" s="42" t="str">
        <f>IF(tblConteo[[#This Row],[SKU]]="","",INDEX(tblProductos[Ubicación],ROW()-ROW(tblConteo[#Headers]))&amp;"")</f>
        <v/>
      </c>
      <c r="F111" s="42" t="str">
        <f>IF(tblConteo[[#This Row],[SKU]]="","",INDEX(tblProductos[Unidad],ROW()-ROW(tblConteo[#Headers]))&amp;"")</f>
        <v/>
      </c>
      <c r="G111" s="42" t="str">
        <f>IF(tblConteo[[#This Row],[SKU]]="","",IF(INDEX(tblProductos[Activo],ROW()-ROW(tblConteo[#Headers]))="NO","NO","SI"))</f>
        <v/>
      </c>
      <c r="H111" s="53" t="str">
        <f>IF(tblConteo[[#This Row],[SKU]]="","",IFERROR(N(INDEX(tblStock[StockActual],MATCH(tblConteo[[#This Row],[SKU]],tblStock[SKU],0))),0))</f>
        <v/>
      </c>
      <c r="I111" s="52"/>
      <c r="J111" s="59" t="str">
        <f>IF(OR(tblConteo[[#This Row],[SKU]]="",tblConteo[[#This Row],[Conteo]]=""),"",IF(ISNUMBER(tblConteo[[#This Row],[Conteo]]),tblConteo[[#This Row],[Conteo]]-N(tblConteo[[#This Row],[Sistema]]),""))</f>
        <v/>
      </c>
      <c r="K111" s="62" t="str">
        <f>IF(tblConteo[[#This Row],[Diferencia]]="","",tblConteo[[#This Row],[Diferencia]]*N(INDEX(tblProductos[CostoUnitario],ROW()-ROW(tblConteo[#Headers]))))</f>
        <v/>
      </c>
      <c r="L11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2" spans="2:13" x14ac:dyDescent="0.25">
      <c r="B112" s="42" t="str">
        <f>IF(INDEX(tblProductos[SKU],ROW()-ROW(tblConteo[#Headers]))="","",INDEX(tblProductos[SKU],ROW()-ROW(tblConteo[#Headers])))</f>
        <v/>
      </c>
      <c r="C112" s="49" t="str">
        <f>IF(tblConteo[[#This Row],[SKU]]="","",INDEX(tblProductos[Producto],ROW()-ROW(tblConteo[#Headers])))</f>
        <v/>
      </c>
      <c r="D112" s="49" t="str">
        <f>IF(tblConteo[[#This Row],[SKU]]="","",INDEX(tblProductos[Categoría],ROW()-ROW(tblConteo[#Headers]))&amp;"")</f>
        <v/>
      </c>
      <c r="E112" s="42" t="str">
        <f>IF(tblConteo[[#This Row],[SKU]]="","",INDEX(tblProductos[Ubicación],ROW()-ROW(tblConteo[#Headers]))&amp;"")</f>
        <v/>
      </c>
      <c r="F112" s="42" t="str">
        <f>IF(tblConteo[[#This Row],[SKU]]="","",INDEX(tblProductos[Unidad],ROW()-ROW(tblConteo[#Headers]))&amp;"")</f>
        <v/>
      </c>
      <c r="G112" s="42" t="str">
        <f>IF(tblConteo[[#This Row],[SKU]]="","",IF(INDEX(tblProductos[Activo],ROW()-ROW(tblConteo[#Headers]))="NO","NO","SI"))</f>
        <v/>
      </c>
      <c r="H112" s="53" t="str">
        <f>IF(tblConteo[[#This Row],[SKU]]="","",IFERROR(N(INDEX(tblStock[StockActual],MATCH(tblConteo[[#This Row],[SKU]],tblStock[SKU],0))),0))</f>
        <v/>
      </c>
      <c r="I112" s="52"/>
      <c r="J112" s="59" t="str">
        <f>IF(OR(tblConteo[[#This Row],[SKU]]="",tblConteo[[#This Row],[Conteo]]=""),"",IF(ISNUMBER(tblConteo[[#This Row],[Conteo]]),tblConteo[[#This Row],[Conteo]]-N(tblConteo[[#This Row],[Sistema]]),""))</f>
        <v/>
      </c>
      <c r="K112" s="62" t="str">
        <f>IF(tblConteo[[#This Row],[Diferencia]]="","",tblConteo[[#This Row],[Diferencia]]*N(INDEX(tblProductos[CostoUnitario],ROW()-ROW(tblConteo[#Headers]))))</f>
        <v/>
      </c>
      <c r="L11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3" spans="2:13" x14ac:dyDescent="0.25">
      <c r="B113" s="42" t="str">
        <f>IF(INDEX(tblProductos[SKU],ROW()-ROW(tblConteo[#Headers]))="","",INDEX(tblProductos[SKU],ROW()-ROW(tblConteo[#Headers])))</f>
        <v/>
      </c>
      <c r="C113" s="49" t="str">
        <f>IF(tblConteo[[#This Row],[SKU]]="","",INDEX(tblProductos[Producto],ROW()-ROW(tblConteo[#Headers])))</f>
        <v/>
      </c>
      <c r="D113" s="49" t="str">
        <f>IF(tblConteo[[#This Row],[SKU]]="","",INDEX(tblProductos[Categoría],ROW()-ROW(tblConteo[#Headers]))&amp;"")</f>
        <v/>
      </c>
      <c r="E113" s="42" t="str">
        <f>IF(tblConteo[[#This Row],[SKU]]="","",INDEX(tblProductos[Ubicación],ROW()-ROW(tblConteo[#Headers]))&amp;"")</f>
        <v/>
      </c>
      <c r="F113" s="42" t="str">
        <f>IF(tblConteo[[#This Row],[SKU]]="","",INDEX(tblProductos[Unidad],ROW()-ROW(tblConteo[#Headers]))&amp;"")</f>
        <v/>
      </c>
      <c r="G113" s="42" t="str">
        <f>IF(tblConteo[[#This Row],[SKU]]="","",IF(INDEX(tblProductos[Activo],ROW()-ROW(tblConteo[#Headers]))="NO","NO","SI"))</f>
        <v/>
      </c>
      <c r="H113" s="53" t="str">
        <f>IF(tblConteo[[#This Row],[SKU]]="","",IFERROR(N(INDEX(tblStock[StockActual],MATCH(tblConteo[[#This Row],[SKU]],tblStock[SKU],0))),0))</f>
        <v/>
      </c>
      <c r="I113" s="52"/>
      <c r="J113" s="59" t="str">
        <f>IF(OR(tblConteo[[#This Row],[SKU]]="",tblConteo[[#This Row],[Conteo]]=""),"",IF(ISNUMBER(tblConteo[[#This Row],[Conteo]]),tblConteo[[#This Row],[Conteo]]-N(tblConteo[[#This Row],[Sistema]]),""))</f>
        <v/>
      </c>
      <c r="K113" s="62" t="str">
        <f>IF(tblConteo[[#This Row],[Diferencia]]="","",tblConteo[[#This Row],[Diferencia]]*N(INDEX(tblProductos[CostoUnitario],ROW()-ROW(tblConteo[#Headers]))))</f>
        <v/>
      </c>
      <c r="L11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4" spans="2:13" x14ac:dyDescent="0.25">
      <c r="B114" s="42" t="str">
        <f>IF(INDEX(tblProductos[SKU],ROW()-ROW(tblConteo[#Headers]))="","",INDEX(tblProductos[SKU],ROW()-ROW(tblConteo[#Headers])))</f>
        <v/>
      </c>
      <c r="C114" s="49" t="str">
        <f>IF(tblConteo[[#This Row],[SKU]]="","",INDEX(tblProductos[Producto],ROW()-ROW(tblConteo[#Headers])))</f>
        <v/>
      </c>
      <c r="D114" s="49" t="str">
        <f>IF(tblConteo[[#This Row],[SKU]]="","",INDEX(tblProductos[Categoría],ROW()-ROW(tblConteo[#Headers]))&amp;"")</f>
        <v/>
      </c>
      <c r="E114" s="42" t="str">
        <f>IF(tblConteo[[#This Row],[SKU]]="","",INDEX(tblProductos[Ubicación],ROW()-ROW(tblConteo[#Headers]))&amp;"")</f>
        <v/>
      </c>
      <c r="F114" s="42" t="str">
        <f>IF(tblConteo[[#This Row],[SKU]]="","",INDEX(tblProductos[Unidad],ROW()-ROW(tblConteo[#Headers]))&amp;"")</f>
        <v/>
      </c>
      <c r="G114" s="42" t="str">
        <f>IF(tblConteo[[#This Row],[SKU]]="","",IF(INDEX(tblProductos[Activo],ROW()-ROW(tblConteo[#Headers]))="NO","NO","SI"))</f>
        <v/>
      </c>
      <c r="H114" s="53" t="str">
        <f>IF(tblConteo[[#This Row],[SKU]]="","",IFERROR(N(INDEX(tblStock[StockActual],MATCH(tblConteo[[#This Row],[SKU]],tblStock[SKU],0))),0))</f>
        <v/>
      </c>
      <c r="I114" s="52"/>
      <c r="J114" s="59" t="str">
        <f>IF(OR(tblConteo[[#This Row],[SKU]]="",tblConteo[[#This Row],[Conteo]]=""),"",IF(ISNUMBER(tblConteo[[#This Row],[Conteo]]),tblConteo[[#This Row],[Conteo]]-N(tblConteo[[#This Row],[Sistema]]),""))</f>
        <v/>
      </c>
      <c r="K114" s="62" t="str">
        <f>IF(tblConteo[[#This Row],[Diferencia]]="","",tblConteo[[#This Row],[Diferencia]]*N(INDEX(tblProductos[CostoUnitario],ROW()-ROW(tblConteo[#Headers]))))</f>
        <v/>
      </c>
      <c r="L11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5" spans="2:13" x14ac:dyDescent="0.25">
      <c r="B115" s="42" t="str">
        <f>IF(INDEX(tblProductos[SKU],ROW()-ROW(tblConteo[#Headers]))="","",INDEX(tblProductos[SKU],ROW()-ROW(tblConteo[#Headers])))</f>
        <v/>
      </c>
      <c r="C115" s="49" t="str">
        <f>IF(tblConteo[[#This Row],[SKU]]="","",INDEX(tblProductos[Producto],ROW()-ROW(tblConteo[#Headers])))</f>
        <v/>
      </c>
      <c r="D115" s="49" t="str">
        <f>IF(tblConteo[[#This Row],[SKU]]="","",INDEX(tblProductos[Categoría],ROW()-ROW(tblConteo[#Headers]))&amp;"")</f>
        <v/>
      </c>
      <c r="E115" s="42" t="str">
        <f>IF(tblConteo[[#This Row],[SKU]]="","",INDEX(tblProductos[Ubicación],ROW()-ROW(tblConteo[#Headers]))&amp;"")</f>
        <v/>
      </c>
      <c r="F115" s="42" t="str">
        <f>IF(tblConteo[[#This Row],[SKU]]="","",INDEX(tblProductos[Unidad],ROW()-ROW(tblConteo[#Headers]))&amp;"")</f>
        <v/>
      </c>
      <c r="G115" s="42" t="str">
        <f>IF(tblConteo[[#This Row],[SKU]]="","",IF(INDEX(tblProductos[Activo],ROW()-ROW(tblConteo[#Headers]))="NO","NO","SI"))</f>
        <v/>
      </c>
      <c r="H115" s="53" t="str">
        <f>IF(tblConteo[[#This Row],[SKU]]="","",IFERROR(N(INDEX(tblStock[StockActual],MATCH(tblConteo[[#This Row],[SKU]],tblStock[SKU],0))),0))</f>
        <v/>
      </c>
      <c r="I115" s="52"/>
      <c r="J115" s="59" t="str">
        <f>IF(OR(tblConteo[[#This Row],[SKU]]="",tblConteo[[#This Row],[Conteo]]=""),"",IF(ISNUMBER(tblConteo[[#This Row],[Conteo]]),tblConteo[[#This Row],[Conteo]]-N(tblConteo[[#This Row],[Sistema]]),""))</f>
        <v/>
      </c>
      <c r="K115" s="62" t="str">
        <f>IF(tblConteo[[#This Row],[Diferencia]]="","",tblConteo[[#This Row],[Diferencia]]*N(INDEX(tblProductos[CostoUnitario],ROW()-ROW(tblConteo[#Headers]))))</f>
        <v/>
      </c>
      <c r="L11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6" spans="2:13" x14ac:dyDescent="0.25">
      <c r="B116" s="42" t="str">
        <f>IF(INDEX(tblProductos[SKU],ROW()-ROW(tblConteo[#Headers]))="","",INDEX(tblProductos[SKU],ROW()-ROW(tblConteo[#Headers])))</f>
        <v/>
      </c>
      <c r="C116" s="49" t="str">
        <f>IF(tblConteo[[#This Row],[SKU]]="","",INDEX(tblProductos[Producto],ROW()-ROW(tblConteo[#Headers])))</f>
        <v/>
      </c>
      <c r="D116" s="49" t="str">
        <f>IF(tblConteo[[#This Row],[SKU]]="","",INDEX(tblProductos[Categoría],ROW()-ROW(tblConteo[#Headers]))&amp;"")</f>
        <v/>
      </c>
      <c r="E116" s="42" t="str">
        <f>IF(tblConteo[[#This Row],[SKU]]="","",INDEX(tblProductos[Ubicación],ROW()-ROW(tblConteo[#Headers]))&amp;"")</f>
        <v/>
      </c>
      <c r="F116" s="42" t="str">
        <f>IF(tblConteo[[#This Row],[SKU]]="","",INDEX(tblProductos[Unidad],ROW()-ROW(tblConteo[#Headers]))&amp;"")</f>
        <v/>
      </c>
      <c r="G116" s="42" t="str">
        <f>IF(tblConteo[[#This Row],[SKU]]="","",IF(INDEX(tblProductos[Activo],ROW()-ROW(tblConteo[#Headers]))="NO","NO","SI"))</f>
        <v/>
      </c>
      <c r="H116" s="53" t="str">
        <f>IF(tblConteo[[#This Row],[SKU]]="","",IFERROR(N(INDEX(tblStock[StockActual],MATCH(tblConteo[[#This Row],[SKU]],tblStock[SKU],0))),0))</f>
        <v/>
      </c>
      <c r="I116" s="52"/>
      <c r="J116" s="59" t="str">
        <f>IF(OR(tblConteo[[#This Row],[SKU]]="",tblConteo[[#This Row],[Conteo]]=""),"",IF(ISNUMBER(tblConteo[[#This Row],[Conteo]]),tblConteo[[#This Row],[Conteo]]-N(tblConteo[[#This Row],[Sistema]]),""))</f>
        <v/>
      </c>
      <c r="K116" s="62" t="str">
        <f>IF(tblConteo[[#This Row],[Diferencia]]="","",tblConteo[[#This Row],[Diferencia]]*N(INDEX(tblProductos[CostoUnitario],ROW()-ROW(tblConteo[#Headers]))))</f>
        <v/>
      </c>
      <c r="L11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7" spans="2:13" x14ac:dyDescent="0.25">
      <c r="B117" s="42" t="str">
        <f>IF(INDEX(tblProductos[SKU],ROW()-ROW(tblConteo[#Headers]))="","",INDEX(tblProductos[SKU],ROW()-ROW(tblConteo[#Headers])))</f>
        <v/>
      </c>
      <c r="C117" s="49" t="str">
        <f>IF(tblConteo[[#This Row],[SKU]]="","",INDEX(tblProductos[Producto],ROW()-ROW(tblConteo[#Headers])))</f>
        <v/>
      </c>
      <c r="D117" s="49" t="str">
        <f>IF(tblConteo[[#This Row],[SKU]]="","",INDEX(tblProductos[Categoría],ROW()-ROW(tblConteo[#Headers]))&amp;"")</f>
        <v/>
      </c>
      <c r="E117" s="42" t="str">
        <f>IF(tblConteo[[#This Row],[SKU]]="","",INDEX(tblProductos[Ubicación],ROW()-ROW(tblConteo[#Headers]))&amp;"")</f>
        <v/>
      </c>
      <c r="F117" s="42" t="str">
        <f>IF(tblConteo[[#This Row],[SKU]]="","",INDEX(tblProductos[Unidad],ROW()-ROW(tblConteo[#Headers]))&amp;"")</f>
        <v/>
      </c>
      <c r="G117" s="42" t="str">
        <f>IF(tblConteo[[#This Row],[SKU]]="","",IF(INDEX(tblProductos[Activo],ROW()-ROW(tblConteo[#Headers]))="NO","NO","SI"))</f>
        <v/>
      </c>
      <c r="H117" s="53" t="str">
        <f>IF(tblConteo[[#This Row],[SKU]]="","",IFERROR(N(INDEX(tblStock[StockActual],MATCH(tblConteo[[#This Row],[SKU]],tblStock[SKU],0))),0))</f>
        <v/>
      </c>
      <c r="I117" s="52"/>
      <c r="J117" s="59" t="str">
        <f>IF(OR(tblConteo[[#This Row],[SKU]]="",tblConteo[[#This Row],[Conteo]]=""),"",IF(ISNUMBER(tblConteo[[#This Row],[Conteo]]),tblConteo[[#This Row],[Conteo]]-N(tblConteo[[#This Row],[Sistema]]),""))</f>
        <v/>
      </c>
      <c r="K117" s="62" t="str">
        <f>IF(tblConteo[[#This Row],[Diferencia]]="","",tblConteo[[#This Row],[Diferencia]]*N(INDEX(tblProductos[CostoUnitario],ROW()-ROW(tblConteo[#Headers]))))</f>
        <v/>
      </c>
      <c r="L11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8" spans="2:13" x14ac:dyDescent="0.25">
      <c r="B118" s="42" t="str">
        <f>IF(INDEX(tblProductos[SKU],ROW()-ROW(tblConteo[#Headers]))="","",INDEX(tblProductos[SKU],ROW()-ROW(tblConteo[#Headers])))</f>
        <v/>
      </c>
      <c r="C118" s="49" t="str">
        <f>IF(tblConteo[[#This Row],[SKU]]="","",INDEX(tblProductos[Producto],ROW()-ROW(tblConteo[#Headers])))</f>
        <v/>
      </c>
      <c r="D118" s="49" t="str">
        <f>IF(tblConteo[[#This Row],[SKU]]="","",INDEX(tblProductos[Categoría],ROW()-ROW(tblConteo[#Headers]))&amp;"")</f>
        <v/>
      </c>
      <c r="E118" s="42" t="str">
        <f>IF(tblConteo[[#This Row],[SKU]]="","",INDEX(tblProductos[Ubicación],ROW()-ROW(tblConteo[#Headers]))&amp;"")</f>
        <v/>
      </c>
      <c r="F118" s="42" t="str">
        <f>IF(tblConteo[[#This Row],[SKU]]="","",INDEX(tblProductos[Unidad],ROW()-ROW(tblConteo[#Headers]))&amp;"")</f>
        <v/>
      </c>
      <c r="G118" s="42" t="str">
        <f>IF(tblConteo[[#This Row],[SKU]]="","",IF(INDEX(tblProductos[Activo],ROW()-ROW(tblConteo[#Headers]))="NO","NO","SI"))</f>
        <v/>
      </c>
      <c r="H118" s="53" t="str">
        <f>IF(tblConteo[[#This Row],[SKU]]="","",IFERROR(N(INDEX(tblStock[StockActual],MATCH(tblConteo[[#This Row],[SKU]],tblStock[SKU],0))),0))</f>
        <v/>
      </c>
      <c r="I118" s="52"/>
      <c r="J118" s="59" t="str">
        <f>IF(OR(tblConteo[[#This Row],[SKU]]="",tblConteo[[#This Row],[Conteo]]=""),"",IF(ISNUMBER(tblConteo[[#This Row],[Conteo]]),tblConteo[[#This Row],[Conteo]]-N(tblConteo[[#This Row],[Sistema]]),""))</f>
        <v/>
      </c>
      <c r="K118" s="62" t="str">
        <f>IF(tblConteo[[#This Row],[Diferencia]]="","",tblConteo[[#This Row],[Diferencia]]*N(INDEX(tblProductos[CostoUnitario],ROW()-ROW(tblConteo[#Headers]))))</f>
        <v/>
      </c>
      <c r="L11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9" spans="2:13" x14ac:dyDescent="0.25">
      <c r="B119" s="42" t="str">
        <f>IF(INDEX(tblProductos[SKU],ROW()-ROW(tblConteo[#Headers]))="","",INDEX(tblProductos[SKU],ROW()-ROW(tblConteo[#Headers])))</f>
        <v/>
      </c>
      <c r="C119" s="49" t="str">
        <f>IF(tblConteo[[#This Row],[SKU]]="","",INDEX(tblProductos[Producto],ROW()-ROW(tblConteo[#Headers])))</f>
        <v/>
      </c>
      <c r="D119" s="49" t="str">
        <f>IF(tblConteo[[#This Row],[SKU]]="","",INDEX(tblProductos[Categoría],ROW()-ROW(tblConteo[#Headers]))&amp;"")</f>
        <v/>
      </c>
      <c r="E119" s="42" t="str">
        <f>IF(tblConteo[[#This Row],[SKU]]="","",INDEX(tblProductos[Ubicación],ROW()-ROW(tblConteo[#Headers]))&amp;"")</f>
        <v/>
      </c>
      <c r="F119" s="42" t="str">
        <f>IF(tblConteo[[#This Row],[SKU]]="","",INDEX(tblProductos[Unidad],ROW()-ROW(tblConteo[#Headers]))&amp;"")</f>
        <v/>
      </c>
      <c r="G119" s="42" t="str">
        <f>IF(tblConteo[[#This Row],[SKU]]="","",IF(INDEX(tblProductos[Activo],ROW()-ROW(tblConteo[#Headers]))="NO","NO","SI"))</f>
        <v/>
      </c>
      <c r="H119" s="53" t="str">
        <f>IF(tblConteo[[#This Row],[SKU]]="","",IFERROR(N(INDEX(tblStock[StockActual],MATCH(tblConteo[[#This Row],[SKU]],tblStock[SKU],0))),0))</f>
        <v/>
      </c>
      <c r="I119" s="52"/>
      <c r="J119" s="59" t="str">
        <f>IF(OR(tblConteo[[#This Row],[SKU]]="",tblConteo[[#This Row],[Conteo]]=""),"",IF(ISNUMBER(tblConteo[[#This Row],[Conteo]]),tblConteo[[#This Row],[Conteo]]-N(tblConteo[[#This Row],[Sistema]]),""))</f>
        <v/>
      </c>
      <c r="K119" s="62" t="str">
        <f>IF(tblConteo[[#This Row],[Diferencia]]="","",tblConteo[[#This Row],[Diferencia]]*N(INDEX(tblProductos[CostoUnitario],ROW()-ROW(tblConteo[#Headers]))))</f>
        <v/>
      </c>
      <c r="L11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0" spans="2:13" x14ac:dyDescent="0.25">
      <c r="B120" s="42" t="str">
        <f>IF(INDEX(tblProductos[SKU],ROW()-ROW(tblConteo[#Headers]))="","",INDEX(tblProductos[SKU],ROW()-ROW(tblConteo[#Headers])))</f>
        <v/>
      </c>
      <c r="C120" s="49" t="str">
        <f>IF(tblConteo[[#This Row],[SKU]]="","",INDEX(tblProductos[Producto],ROW()-ROW(tblConteo[#Headers])))</f>
        <v/>
      </c>
      <c r="D120" s="49" t="str">
        <f>IF(tblConteo[[#This Row],[SKU]]="","",INDEX(tblProductos[Categoría],ROW()-ROW(tblConteo[#Headers]))&amp;"")</f>
        <v/>
      </c>
      <c r="E120" s="42" t="str">
        <f>IF(tblConteo[[#This Row],[SKU]]="","",INDEX(tblProductos[Ubicación],ROW()-ROW(tblConteo[#Headers]))&amp;"")</f>
        <v/>
      </c>
      <c r="F120" s="42" t="str">
        <f>IF(tblConteo[[#This Row],[SKU]]="","",INDEX(tblProductos[Unidad],ROW()-ROW(tblConteo[#Headers]))&amp;"")</f>
        <v/>
      </c>
      <c r="G120" s="42" t="str">
        <f>IF(tblConteo[[#This Row],[SKU]]="","",IF(INDEX(tblProductos[Activo],ROW()-ROW(tblConteo[#Headers]))="NO","NO","SI"))</f>
        <v/>
      </c>
      <c r="H120" s="53" t="str">
        <f>IF(tblConteo[[#This Row],[SKU]]="","",IFERROR(N(INDEX(tblStock[StockActual],MATCH(tblConteo[[#This Row],[SKU]],tblStock[SKU],0))),0))</f>
        <v/>
      </c>
      <c r="I120" s="52"/>
      <c r="J120" s="59" t="str">
        <f>IF(OR(tblConteo[[#This Row],[SKU]]="",tblConteo[[#This Row],[Conteo]]=""),"",IF(ISNUMBER(tblConteo[[#This Row],[Conteo]]),tblConteo[[#This Row],[Conteo]]-N(tblConteo[[#This Row],[Sistema]]),""))</f>
        <v/>
      </c>
      <c r="K120" s="62" t="str">
        <f>IF(tblConteo[[#This Row],[Diferencia]]="","",tblConteo[[#This Row],[Diferencia]]*N(INDEX(tblProductos[CostoUnitario],ROW()-ROW(tblConteo[#Headers]))))</f>
        <v/>
      </c>
      <c r="L12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1" spans="2:13" x14ac:dyDescent="0.25">
      <c r="B121" s="42" t="str">
        <f>IF(INDEX(tblProductos[SKU],ROW()-ROW(tblConteo[#Headers]))="","",INDEX(tblProductos[SKU],ROW()-ROW(tblConteo[#Headers])))</f>
        <v/>
      </c>
      <c r="C121" s="49" t="str">
        <f>IF(tblConteo[[#This Row],[SKU]]="","",INDEX(tblProductos[Producto],ROW()-ROW(tblConteo[#Headers])))</f>
        <v/>
      </c>
      <c r="D121" s="49" t="str">
        <f>IF(tblConteo[[#This Row],[SKU]]="","",INDEX(tblProductos[Categoría],ROW()-ROW(tblConteo[#Headers]))&amp;"")</f>
        <v/>
      </c>
      <c r="E121" s="42" t="str">
        <f>IF(tblConteo[[#This Row],[SKU]]="","",INDEX(tblProductos[Ubicación],ROW()-ROW(tblConteo[#Headers]))&amp;"")</f>
        <v/>
      </c>
      <c r="F121" s="42" t="str">
        <f>IF(tblConteo[[#This Row],[SKU]]="","",INDEX(tblProductos[Unidad],ROW()-ROW(tblConteo[#Headers]))&amp;"")</f>
        <v/>
      </c>
      <c r="G121" s="42" t="str">
        <f>IF(tblConteo[[#This Row],[SKU]]="","",IF(INDEX(tblProductos[Activo],ROW()-ROW(tblConteo[#Headers]))="NO","NO","SI"))</f>
        <v/>
      </c>
      <c r="H121" s="53" t="str">
        <f>IF(tblConteo[[#This Row],[SKU]]="","",IFERROR(N(INDEX(tblStock[StockActual],MATCH(tblConteo[[#This Row],[SKU]],tblStock[SKU],0))),0))</f>
        <v/>
      </c>
      <c r="I121" s="52"/>
      <c r="J121" s="59" t="str">
        <f>IF(OR(tblConteo[[#This Row],[SKU]]="",tblConteo[[#This Row],[Conteo]]=""),"",IF(ISNUMBER(tblConteo[[#This Row],[Conteo]]),tblConteo[[#This Row],[Conteo]]-N(tblConteo[[#This Row],[Sistema]]),""))</f>
        <v/>
      </c>
      <c r="K121" s="62" t="str">
        <f>IF(tblConteo[[#This Row],[Diferencia]]="","",tblConteo[[#This Row],[Diferencia]]*N(INDEX(tblProductos[CostoUnitario],ROW()-ROW(tblConteo[#Headers]))))</f>
        <v/>
      </c>
      <c r="L12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2" spans="2:13" x14ac:dyDescent="0.25">
      <c r="B122" s="42" t="str">
        <f>IF(INDEX(tblProductos[SKU],ROW()-ROW(tblConteo[#Headers]))="","",INDEX(tblProductos[SKU],ROW()-ROW(tblConteo[#Headers])))</f>
        <v/>
      </c>
      <c r="C122" s="49" t="str">
        <f>IF(tblConteo[[#This Row],[SKU]]="","",INDEX(tblProductos[Producto],ROW()-ROW(tblConteo[#Headers])))</f>
        <v/>
      </c>
      <c r="D122" s="49" t="str">
        <f>IF(tblConteo[[#This Row],[SKU]]="","",INDEX(tblProductos[Categoría],ROW()-ROW(tblConteo[#Headers]))&amp;"")</f>
        <v/>
      </c>
      <c r="E122" s="42" t="str">
        <f>IF(tblConteo[[#This Row],[SKU]]="","",INDEX(tblProductos[Ubicación],ROW()-ROW(tblConteo[#Headers]))&amp;"")</f>
        <v/>
      </c>
      <c r="F122" s="42" t="str">
        <f>IF(tblConteo[[#This Row],[SKU]]="","",INDEX(tblProductos[Unidad],ROW()-ROW(tblConteo[#Headers]))&amp;"")</f>
        <v/>
      </c>
      <c r="G122" s="42" t="str">
        <f>IF(tblConteo[[#This Row],[SKU]]="","",IF(INDEX(tblProductos[Activo],ROW()-ROW(tblConteo[#Headers]))="NO","NO","SI"))</f>
        <v/>
      </c>
      <c r="H122" s="53" t="str">
        <f>IF(tblConteo[[#This Row],[SKU]]="","",IFERROR(N(INDEX(tblStock[StockActual],MATCH(tblConteo[[#This Row],[SKU]],tblStock[SKU],0))),0))</f>
        <v/>
      </c>
      <c r="I122" s="52"/>
      <c r="J122" s="59" t="str">
        <f>IF(OR(tblConteo[[#This Row],[SKU]]="",tblConteo[[#This Row],[Conteo]]=""),"",IF(ISNUMBER(tblConteo[[#This Row],[Conteo]]),tblConteo[[#This Row],[Conteo]]-N(tblConteo[[#This Row],[Sistema]]),""))</f>
        <v/>
      </c>
      <c r="K122" s="62" t="str">
        <f>IF(tblConteo[[#This Row],[Diferencia]]="","",tblConteo[[#This Row],[Diferencia]]*N(INDEX(tblProductos[CostoUnitario],ROW()-ROW(tblConteo[#Headers]))))</f>
        <v/>
      </c>
      <c r="L12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3" spans="2:13" x14ac:dyDescent="0.25">
      <c r="B123" s="42" t="str">
        <f>IF(INDEX(tblProductos[SKU],ROW()-ROW(tblConteo[#Headers]))="","",INDEX(tblProductos[SKU],ROW()-ROW(tblConteo[#Headers])))</f>
        <v/>
      </c>
      <c r="C123" s="49" t="str">
        <f>IF(tblConteo[[#This Row],[SKU]]="","",INDEX(tblProductos[Producto],ROW()-ROW(tblConteo[#Headers])))</f>
        <v/>
      </c>
      <c r="D123" s="49" t="str">
        <f>IF(tblConteo[[#This Row],[SKU]]="","",INDEX(tblProductos[Categoría],ROW()-ROW(tblConteo[#Headers]))&amp;"")</f>
        <v/>
      </c>
      <c r="E123" s="42" t="str">
        <f>IF(tblConteo[[#This Row],[SKU]]="","",INDEX(tblProductos[Ubicación],ROW()-ROW(tblConteo[#Headers]))&amp;"")</f>
        <v/>
      </c>
      <c r="F123" s="42" t="str">
        <f>IF(tblConteo[[#This Row],[SKU]]="","",INDEX(tblProductos[Unidad],ROW()-ROW(tblConteo[#Headers]))&amp;"")</f>
        <v/>
      </c>
      <c r="G123" s="42" t="str">
        <f>IF(tblConteo[[#This Row],[SKU]]="","",IF(INDEX(tblProductos[Activo],ROW()-ROW(tblConteo[#Headers]))="NO","NO","SI"))</f>
        <v/>
      </c>
      <c r="H123" s="53" t="str">
        <f>IF(tblConteo[[#This Row],[SKU]]="","",IFERROR(N(INDEX(tblStock[StockActual],MATCH(tblConteo[[#This Row],[SKU]],tblStock[SKU],0))),0))</f>
        <v/>
      </c>
      <c r="I123" s="52"/>
      <c r="J123" s="59" t="str">
        <f>IF(OR(tblConteo[[#This Row],[SKU]]="",tblConteo[[#This Row],[Conteo]]=""),"",IF(ISNUMBER(tblConteo[[#This Row],[Conteo]]),tblConteo[[#This Row],[Conteo]]-N(tblConteo[[#This Row],[Sistema]]),""))</f>
        <v/>
      </c>
      <c r="K123" s="62" t="str">
        <f>IF(tblConteo[[#This Row],[Diferencia]]="","",tblConteo[[#This Row],[Diferencia]]*N(INDEX(tblProductos[CostoUnitario],ROW()-ROW(tblConteo[#Headers]))))</f>
        <v/>
      </c>
      <c r="L12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4" spans="2:13" x14ac:dyDescent="0.25">
      <c r="B124" s="42" t="str">
        <f>IF(INDEX(tblProductos[SKU],ROW()-ROW(tblConteo[#Headers]))="","",INDEX(tblProductos[SKU],ROW()-ROW(tblConteo[#Headers])))</f>
        <v/>
      </c>
      <c r="C124" s="49" t="str">
        <f>IF(tblConteo[[#This Row],[SKU]]="","",INDEX(tblProductos[Producto],ROW()-ROW(tblConteo[#Headers])))</f>
        <v/>
      </c>
      <c r="D124" s="49" t="str">
        <f>IF(tblConteo[[#This Row],[SKU]]="","",INDEX(tblProductos[Categoría],ROW()-ROW(tblConteo[#Headers]))&amp;"")</f>
        <v/>
      </c>
      <c r="E124" s="42" t="str">
        <f>IF(tblConteo[[#This Row],[SKU]]="","",INDEX(tblProductos[Ubicación],ROW()-ROW(tblConteo[#Headers]))&amp;"")</f>
        <v/>
      </c>
      <c r="F124" s="42" t="str">
        <f>IF(tblConteo[[#This Row],[SKU]]="","",INDEX(tblProductos[Unidad],ROW()-ROW(tblConteo[#Headers]))&amp;"")</f>
        <v/>
      </c>
      <c r="G124" s="42" t="str">
        <f>IF(tblConteo[[#This Row],[SKU]]="","",IF(INDEX(tblProductos[Activo],ROW()-ROW(tblConteo[#Headers]))="NO","NO","SI"))</f>
        <v/>
      </c>
      <c r="H124" s="53" t="str">
        <f>IF(tblConteo[[#This Row],[SKU]]="","",IFERROR(N(INDEX(tblStock[StockActual],MATCH(tblConteo[[#This Row],[SKU]],tblStock[SKU],0))),0))</f>
        <v/>
      </c>
      <c r="I124" s="52"/>
      <c r="J124" s="59" t="str">
        <f>IF(OR(tblConteo[[#This Row],[SKU]]="",tblConteo[[#This Row],[Conteo]]=""),"",IF(ISNUMBER(tblConteo[[#This Row],[Conteo]]),tblConteo[[#This Row],[Conteo]]-N(tblConteo[[#This Row],[Sistema]]),""))</f>
        <v/>
      </c>
      <c r="K124" s="62" t="str">
        <f>IF(tblConteo[[#This Row],[Diferencia]]="","",tblConteo[[#This Row],[Diferencia]]*N(INDEX(tblProductos[CostoUnitario],ROW()-ROW(tblConteo[#Headers]))))</f>
        <v/>
      </c>
      <c r="L12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5" spans="2:13" x14ac:dyDescent="0.25">
      <c r="B125" s="42" t="str">
        <f>IF(INDEX(tblProductos[SKU],ROW()-ROW(tblConteo[#Headers]))="","",INDEX(tblProductos[SKU],ROW()-ROW(tblConteo[#Headers])))</f>
        <v/>
      </c>
      <c r="C125" s="49" t="str">
        <f>IF(tblConteo[[#This Row],[SKU]]="","",INDEX(tblProductos[Producto],ROW()-ROW(tblConteo[#Headers])))</f>
        <v/>
      </c>
      <c r="D125" s="49" t="str">
        <f>IF(tblConteo[[#This Row],[SKU]]="","",INDEX(tblProductos[Categoría],ROW()-ROW(tblConteo[#Headers]))&amp;"")</f>
        <v/>
      </c>
      <c r="E125" s="42" t="str">
        <f>IF(tblConteo[[#This Row],[SKU]]="","",INDEX(tblProductos[Ubicación],ROW()-ROW(tblConteo[#Headers]))&amp;"")</f>
        <v/>
      </c>
      <c r="F125" s="42" t="str">
        <f>IF(tblConteo[[#This Row],[SKU]]="","",INDEX(tblProductos[Unidad],ROW()-ROW(tblConteo[#Headers]))&amp;"")</f>
        <v/>
      </c>
      <c r="G125" s="42" t="str">
        <f>IF(tblConteo[[#This Row],[SKU]]="","",IF(INDEX(tblProductos[Activo],ROW()-ROW(tblConteo[#Headers]))="NO","NO","SI"))</f>
        <v/>
      </c>
      <c r="H125" s="53" t="str">
        <f>IF(tblConteo[[#This Row],[SKU]]="","",IFERROR(N(INDEX(tblStock[StockActual],MATCH(tblConteo[[#This Row],[SKU]],tblStock[SKU],0))),0))</f>
        <v/>
      </c>
      <c r="I125" s="52"/>
      <c r="J125" s="59" t="str">
        <f>IF(OR(tblConteo[[#This Row],[SKU]]="",tblConteo[[#This Row],[Conteo]]=""),"",IF(ISNUMBER(tblConteo[[#This Row],[Conteo]]),tblConteo[[#This Row],[Conteo]]-N(tblConteo[[#This Row],[Sistema]]),""))</f>
        <v/>
      </c>
      <c r="K125" s="62" t="str">
        <f>IF(tblConteo[[#This Row],[Diferencia]]="","",tblConteo[[#This Row],[Diferencia]]*N(INDEX(tblProductos[CostoUnitario],ROW()-ROW(tblConteo[#Headers]))))</f>
        <v/>
      </c>
      <c r="L12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6" spans="2:13" x14ac:dyDescent="0.25">
      <c r="B126" s="42" t="str">
        <f>IF(INDEX(tblProductos[SKU],ROW()-ROW(tblConteo[#Headers]))="","",INDEX(tblProductos[SKU],ROW()-ROW(tblConteo[#Headers])))</f>
        <v/>
      </c>
      <c r="C126" s="49" t="str">
        <f>IF(tblConteo[[#This Row],[SKU]]="","",INDEX(tblProductos[Producto],ROW()-ROW(tblConteo[#Headers])))</f>
        <v/>
      </c>
      <c r="D126" s="49" t="str">
        <f>IF(tblConteo[[#This Row],[SKU]]="","",INDEX(tblProductos[Categoría],ROW()-ROW(tblConteo[#Headers]))&amp;"")</f>
        <v/>
      </c>
      <c r="E126" s="42" t="str">
        <f>IF(tblConteo[[#This Row],[SKU]]="","",INDEX(tblProductos[Ubicación],ROW()-ROW(tblConteo[#Headers]))&amp;"")</f>
        <v/>
      </c>
      <c r="F126" s="42" t="str">
        <f>IF(tblConteo[[#This Row],[SKU]]="","",INDEX(tblProductos[Unidad],ROW()-ROW(tblConteo[#Headers]))&amp;"")</f>
        <v/>
      </c>
      <c r="G126" s="42" t="str">
        <f>IF(tblConteo[[#This Row],[SKU]]="","",IF(INDEX(tblProductos[Activo],ROW()-ROW(tblConteo[#Headers]))="NO","NO","SI"))</f>
        <v/>
      </c>
      <c r="H126" s="53" t="str">
        <f>IF(tblConteo[[#This Row],[SKU]]="","",IFERROR(N(INDEX(tblStock[StockActual],MATCH(tblConteo[[#This Row],[SKU]],tblStock[SKU],0))),0))</f>
        <v/>
      </c>
      <c r="I126" s="52"/>
      <c r="J126" s="59" t="str">
        <f>IF(OR(tblConteo[[#This Row],[SKU]]="",tblConteo[[#This Row],[Conteo]]=""),"",IF(ISNUMBER(tblConteo[[#This Row],[Conteo]]),tblConteo[[#This Row],[Conteo]]-N(tblConteo[[#This Row],[Sistema]]),""))</f>
        <v/>
      </c>
      <c r="K126" s="62" t="str">
        <f>IF(tblConteo[[#This Row],[Diferencia]]="","",tblConteo[[#This Row],[Diferencia]]*N(INDEX(tblProductos[CostoUnitario],ROW()-ROW(tblConteo[#Headers]))))</f>
        <v/>
      </c>
      <c r="L12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7" spans="2:13" x14ac:dyDescent="0.25">
      <c r="B127" s="42" t="str">
        <f>IF(INDEX(tblProductos[SKU],ROW()-ROW(tblConteo[#Headers]))="","",INDEX(tblProductos[SKU],ROW()-ROW(tblConteo[#Headers])))</f>
        <v/>
      </c>
      <c r="C127" s="49" t="str">
        <f>IF(tblConteo[[#This Row],[SKU]]="","",INDEX(tblProductos[Producto],ROW()-ROW(tblConteo[#Headers])))</f>
        <v/>
      </c>
      <c r="D127" s="49" t="str">
        <f>IF(tblConteo[[#This Row],[SKU]]="","",INDEX(tblProductos[Categoría],ROW()-ROW(tblConteo[#Headers]))&amp;"")</f>
        <v/>
      </c>
      <c r="E127" s="42" t="str">
        <f>IF(tblConteo[[#This Row],[SKU]]="","",INDEX(tblProductos[Ubicación],ROW()-ROW(tblConteo[#Headers]))&amp;"")</f>
        <v/>
      </c>
      <c r="F127" s="42" t="str">
        <f>IF(tblConteo[[#This Row],[SKU]]="","",INDEX(tblProductos[Unidad],ROW()-ROW(tblConteo[#Headers]))&amp;"")</f>
        <v/>
      </c>
      <c r="G127" s="42" t="str">
        <f>IF(tblConteo[[#This Row],[SKU]]="","",IF(INDEX(tblProductos[Activo],ROW()-ROW(tblConteo[#Headers]))="NO","NO","SI"))</f>
        <v/>
      </c>
      <c r="H127" s="53" t="str">
        <f>IF(tblConteo[[#This Row],[SKU]]="","",IFERROR(N(INDEX(tblStock[StockActual],MATCH(tblConteo[[#This Row],[SKU]],tblStock[SKU],0))),0))</f>
        <v/>
      </c>
      <c r="I127" s="52"/>
      <c r="J127" s="59" t="str">
        <f>IF(OR(tblConteo[[#This Row],[SKU]]="",tblConteo[[#This Row],[Conteo]]=""),"",IF(ISNUMBER(tblConteo[[#This Row],[Conteo]]),tblConteo[[#This Row],[Conteo]]-N(tblConteo[[#This Row],[Sistema]]),""))</f>
        <v/>
      </c>
      <c r="K127" s="62" t="str">
        <f>IF(tblConteo[[#This Row],[Diferencia]]="","",tblConteo[[#This Row],[Diferencia]]*N(INDEX(tblProductos[CostoUnitario],ROW()-ROW(tblConteo[#Headers]))))</f>
        <v/>
      </c>
      <c r="L12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8" spans="2:13" x14ac:dyDescent="0.25">
      <c r="B128" s="42" t="str">
        <f>IF(INDEX(tblProductos[SKU],ROW()-ROW(tblConteo[#Headers]))="","",INDEX(tblProductos[SKU],ROW()-ROW(tblConteo[#Headers])))</f>
        <v/>
      </c>
      <c r="C128" s="49" t="str">
        <f>IF(tblConteo[[#This Row],[SKU]]="","",INDEX(tblProductos[Producto],ROW()-ROW(tblConteo[#Headers])))</f>
        <v/>
      </c>
      <c r="D128" s="49" t="str">
        <f>IF(tblConteo[[#This Row],[SKU]]="","",INDEX(tblProductos[Categoría],ROW()-ROW(tblConteo[#Headers]))&amp;"")</f>
        <v/>
      </c>
      <c r="E128" s="42" t="str">
        <f>IF(tblConteo[[#This Row],[SKU]]="","",INDEX(tblProductos[Ubicación],ROW()-ROW(tblConteo[#Headers]))&amp;"")</f>
        <v/>
      </c>
      <c r="F128" s="42" t="str">
        <f>IF(tblConteo[[#This Row],[SKU]]="","",INDEX(tblProductos[Unidad],ROW()-ROW(tblConteo[#Headers]))&amp;"")</f>
        <v/>
      </c>
      <c r="G128" s="42" t="str">
        <f>IF(tblConteo[[#This Row],[SKU]]="","",IF(INDEX(tblProductos[Activo],ROW()-ROW(tblConteo[#Headers]))="NO","NO","SI"))</f>
        <v/>
      </c>
      <c r="H128" s="53" t="str">
        <f>IF(tblConteo[[#This Row],[SKU]]="","",IFERROR(N(INDEX(tblStock[StockActual],MATCH(tblConteo[[#This Row],[SKU]],tblStock[SKU],0))),0))</f>
        <v/>
      </c>
      <c r="I128" s="52"/>
      <c r="J128" s="59" t="str">
        <f>IF(OR(tblConteo[[#This Row],[SKU]]="",tblConteo[[#This Row],[Conteo]]=""),"",IF(ISNUMBER(tblConteo[[#This Row],[Conteo]]),tblConteo[[#This Row],[Conteo]]-N(tblConteo[[#This Row],[Sistema]]),""))</f>
        <v/>
      </c>
      <c r="K128" s="62" t="str">
        <f>IF(tblConteo[[#This Row],[Diferencia]]="","",tblConteo[[#This Row],[Diferencia]]*N(INDEX(tblProductos[CostoUnitario],ROW()-ROW(tblConteo[#Headers]))))</f>
        <v/>
      </c>
      <c r="L12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9" spans="2:13" x14ac:dyDescent="0.25">
      <c r="B129" s="42" t="str">
        <f>IF(INDEX(tblProductos[SKU],ROW()-ROW(tblConteo[#Headers]))="","",INDEX(tblProductos[SKU],ROW()-ROW(tblConteo[#Headers])))</f>
        <v/>
      </c>
      <c r="C129" s="49" t="str">
        <f>IF(tblConteo[[#This Row],[SKU]]="","",INDEX(tblProductos[Producto],ROW()-ROW(tblConteo[#Headers])))</f>
        <v/>
      </c>
      <c r="D129" s="49" t="str">
        <f>IF(tblConteo[[#This Row],[SKU]]="","",INDEX(tblProductos[Categoría],ROW()-ROW(tblConteo[#Headers]))&amp;"")</f>
        <v/>
      </c>
      <c r="E129" s="42" t="str">
        <f>IF(tblConteo[[#This Row],[SKU]]="","",INDEX(tblProductos[Ubicación],ROW()-ROW(tblConteo[#Headers]))&amp;"")</f>
        <v/>
      </c>
      <c r="F129" s="42" t="str">
        <f>IF(tblConteo[[#This Row],[SKU]]="","",INDEX(tblProductos[Unidad],ROW()-ROW(tblConteo[#Headers]))&amp;"")</f>
        <v/>
      </c>
      <c r="G129" s="42" t="str">
        <f>IF(tblConteo[[#This Row],[SKU]]="","",IF(INDEX(tblProductos[Activo],ROW()-ROW(tblConteo[#Headers]))="NO","NO","SI"))</f>
        <v/>
      </c>
      <c r="H129" s="53" t="str">
        <f>IF(tblConteo[[#This Row],[SKU]]="","",IFERROR(N(INDEX(tblStock[StockActual],MATCH(tblConteo[[#This Row],[SKU]],tblStock[SKU],0))),0))</f>
        <v/>
      </c>
      <c r="I129" s="52"/>
      <c r="J129" s="59" t="str">
        <f>IF(OR(tblConteo[[#This Row],[SKU]]="",tblConteo[[#This Row],[Conteo]]=""),"",IF(ISNUMBER(tblConteo[[#This Row],[Conteo]]),tblConteo[[#This Row],[Conteo]]-N(tblConteo[[#This Row],[Sistema]]),""))</f>
        <v/>
      </c>
      <c r="K129" s="62" t="str">
        <f>IF(tblConteo[[#This Row],[Diferencia]]="","",tblConteo[[#This Row],[Diferencia]]*N(INDEX(tblProductos[CostoUnitario],ROW()-ROW(tblConteo[#Headers]))))</f>
        <v/>
      </c>
      <c r="L12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0" spans="2:13" x14ac:dyDescent="0.25">
      <c r="B130" s="42" t="str">
        <f>IF(INDEX(tblProductos[SKU],ROW()-ROW(tblConteo[#Headers]))="","",INDEX(tblProductos[SKU],ROW()-ROW(tblConteo[#Headers])))</f>
        <v/>
      </c>
      <c r="C130" s="49" t="str">
        <f>IF(tblConteo[[#This Row],[SKU]]="","",INDEX(tblProductos[Producto],ROW()-ROW(tblConteo[#Headers])))</f>
        <v/>
      </c>
      <c r="D130" s="49" t="str">
        <f>IF(tblConteo[[#This Row],[SKU]]="","",INDEX(tblProductos[Categoría],ROW()-ROW(tblConteo[#Headers]))&amp;"")</f>
        <v/>
      </c>
      <c r="E130" s="42" t="str">
        <f>IF(tblConteo[[#This Row],[SKU]]="","",INDEX(tblProductos[Ubicación],ROW()-ROW(tblConteo[#Headers]))&amp;"")</f>
        <v/>
      </c>
      <c r="F130" s="42" t="str">
        <f>IF(tblConteo[[#This Row],[SKU]]="","",INDEX(tblProductos[Unidad],ROW()-ROW(tblConteo[#Headers]))&amp;"")</f>
        <v/>
      </c>
      <c r="G130" s="42" t="str">
        <f>IF(tblConteo[[#This Row],[SKU]]="","",IF(INDEX(tblProductos[Activo],ROW()-ROW(tblConteo[#Headers]))="NO","NO","SI"))</f>
        <v/>
      </c>
      <c r="H130" s="53" t="str">
        <f>IF(tblConteo[[#This Row],[SKU]]="","",IFERROR(N(INDEX(tblStock[StockActual],MATCH(tblConteo[[#This Row],[SKU]],tblStock[SKU],0))),0))</f>
        <v/>
      </c>
      <c r="I130" s="52"/>
      <c r="J130" s="59" t="str">
        <f>IF(OR(tblConteo[[#This Row],[SKU]]="",tblConteo[[#This Row],[Conteo]]=""),"",IF(ISNUMBER(tblConteo[[#This Row],[Conteo]]),tblConteo[[#This Row],[Conteo]]-N(tblConteo[[#This Row],[Sistema]]),""))</f>
        <v/>
      </c>
      <c r="K130" s="62" t="str">
        <f>IF(tblConteo[[#This Row],[Diferencia]]="","",tblConteo[[#This Row],[Diferencia]]*N(INDEX(tblProductos[CostoUnitario],ROW()-ROW(tblConteo[#Headers]))))</f>
        <v/>
      </c>
      <c r="L13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1" spans="2:13" x14ac:dyDescent="0.25">
      <c r="B131" s="42" t="str">
        <f>IF(INDEX(tblProductos[SKU],ROW()-ROW(tblConteo[#Headers]))="","",INDEX(tblProductos[SKU],ROW()-ROW(tblConteo[#Headers])))</f>
        <v/>
      </c>
      <c r="C131" s="49" t="str">
        <f>IF(tblConteo[[#This Row],[SKU]]="","",INDEX(tblProductos[Producto],ROW()-ROW(tblConteo[#Headers])))</f>
        <v/>
      </c>
      <c r="D131" s="49" t="str">
        <f>IF(tblConteo[[#This Row],[SKU]]="","",INDEX(tblProductos[Categoría],ROW()-ROW(tblConteo[#Headers]))&amp;"")</f>
        <v/>
      </c>
      <c r="E131" s="42" t="str">
        <f>IF(tblConteo[[#This Row],[SKU]]="","",INDEX(tblProductos[Ubicación],ROW()-ROW(tblConteo[#Headers]))&amp;"")</f>
        <v/>
      </c>
      <c r="F131" s="42" t="str">
        <f>IF(tblConteo[[#This Row],[SKU]]="","",INDEX(tblProductos[Unidad],ROW()-ROW(tblConteo[#Headers]))&amp;"")</f>
        <v/>
      </c>
      <c r="G131" s="42" t="str">
        <f>IF(tblConteo[[#This Row],[SKU]]="","",IF(INDEX(tblProductos[Activo],ROW()-ROW(tblConteo[#Headers]))="NO","NO","SI"))</f>
        <v/>
      </c>
      <c r="H131" s="53" t="str">
        <f>IF(tblConteo[[#This Row],[SKU]]="","",IFERROR(N(INDEX(tblStock[StockActual],MATCH(tblConteo[[#This Row],[SKU]],tblStock[SKU],0))),0))</f>
        <v/>
      </c>
      <c r="I131" s="52"/>
      <c r="J131" s="59" t="str">
        <f>IF(OR(tblConteo[[#This Row],[SKU]]="",tblConteo[[#This Row],[Conteo]]=""),"",IF(ISNUMBER(tblConteo[[#This Row],[Conteo]]),tblConteo[[#This Row],[Conteo]]-N(tblConteo[[#This Row],[Sistema]]),""))</f>
        <v/>
      </c>
      <c r="K131" s="62" t="str">
        <f>IF(tblConteo[[#This Row],[Diferencia]]="","",tblConteo[[#This Row],[Diferencia]]*N(INDEX(tblProductos[CostoUnitario],ROW()-ROW(tblConteo[#Headers]))))</f>
        <v/>
      </c>
      <c r="L13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2" spans="2:13" x14ac:dyDescent="0.25">
      <c r="B132" s="42" t="str">
        <f>IF(INDEX(tblProductos[SKU],ROW()-ROW(tblConteo[#Headers]))="","",INDEX(tblProductos[SKU],ROW()-ROW(tblConteo[#Headers])))</f>
        <v/>
      </c>
      <c r="C132" s="49" t="str">
        <f>IF(tblConteo[[#This Row],[SKU]]="","",INDEX(tblProductos[Producto],ROW()-ROW(tblConteo[#Headers])))</f>
        <v/>
      </c>
      <c r="D132" s="49" t="str">
        <f>IF(tblConteo[[#This Row],[SKU]]="","",INDEX(tblProductos[Categoría],ROW()-ROW(tblConteo[#Headers]))&amp;"")</f>
        <v/>
      </c>
      <c r="E132" s="42" t="str">
        <f>IF(tblConteo[[#This Row],[SKU]]="","",INDEX(tblProductos[Ubicación],ROW()-ROW(tblConteo[#Headers]))&amp;"")</f>
        <v/>
      </c>
      <c r="F132" s="42" t="str">
        <f>IF(tblConteo[[#This Row],[SKU]]="","",INDEX(tblProductos[Unidad],ROW()-ROW(tblConteo[#Headers]))&amp;"")</f>
        <v/>
      </c>
      <c r="G132" s="42" t="str">
        <f>IF(tblConteo[[#This Row],[SKU]]="","",IF(INDEX(tblProductos[Activo],ROW()-ROW(tblConteo[#Headers]))="NO","NO","SI"))</f>
        <v/>
      </c>
      <c r="H132" s="53" t="str">
        <f>IF(tblConteo[[#This Row],[SKU]]="","",IFERROR(N(INDEX(tblStock[StockActual],MATCH(tblConteo[[#This Row],[SKU]],tblStock[SKU],0))),0))</f>
        <v/>
      </c>
      <c r="I132" s="52"/>
      <c r="J132" s="59" t="str">
        <f>IF(OR(tblConteo[[#This Row],[SKU]]="",tblConteo[[#This Row],[Conteo]]=""),"",IF(ISNUMBER(tblConteo[[#This Row],[Conteo]]),tblConteo[[#This Row],[Conteo]]-N(tblConteo[[#This Row],[Sistema]]),""))</f>
        <v/>
      </c>
      <c r="K132" s="62" t="str">
        <f>IF(tblConteo[[#This Row],[Diferencia]]="","",tblConteo[[#This Row],[Diferencia]]*N(INDEX(tblProductos[CostoUnitario],ROW()-ROW(tblConteo[#Headers]))))</f>
        <v/>
      </c>
      <c r="L13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3" spans="2:13" x14ac:dyDescent="0.25">
      <c r="B133" s="42" t="str">
        <f>IF(INDEX(tblProductos[SKU],ROW()-ROW(tblConteo[#Headers]))="","",INDEX(tblProductos[SKU],ROW()-ROW(tblConteo[#Headers])))</f>
        <v/>
      </c>
      <c r="C133" s="49" t="str">
        <f>IF(tblConteo[[#This Row],[SKU]]="","",INDEX(tblProductos[Producto],ROW()-ROW(tblConteo[#Headers])))</f>
        <v/>
      </c>
      <c r="D133" s="49" t="str">
        <f>IF(tblConteo[[#This Row],[SKU]]="","",INDEX(tblProductos[Categoría],ROW()-ROW(tblConteo[#Headers]))&amp;"")</f>
        <v/>
      </c>
      <c r="E133" s="42" t="str">
        <f>IF(tblConteo[[#This Row],[SKU]]="","",INDEX(tblProductos[Ubicación],ROW()-ROW(tblConteo[#Headers]))&amp;"")</f>
        <v/>
      </c>
      <c r="F133" s="42" t="str">
        <f>IF(tblConteo[[#This Row],[SKU]]="","",INDEX(tblProductos[Unidad],ROW()-ROW(tblConteo[#Headers]))&amp;"")</f>
        <v/>
      </c>
      <c r="G133" s="42" t="str">
        <f>IF(tblConteo[[#This Row],[SKU]]="","",IF(INDEX(tblProductos[Activo],ROW()-ROW(tblConteo[#Headers]))="NO","NO","SI"))</f>
        <v/>
      </c>
      <c r="H133" s="53" t="str">
        <f>IF(tblConteo[[#This Row],[SKU]]="","",IFERROR(N(INDEX(tblStock[StockActual],MATCH(tblConteo[[#This Row],[SKU]],tblStock[SKU],0))),0))</f>
        <v/>
      </c>
      <c r="I133" s="52"/>
      <c r="J133" s="59" t="str">
        <f>IF(OR(tblConteo[[#This Row],[SKU]]="",tblConteo[[#This Row],[Conteo]]=""),"",IF(ISNUMBER(tblConteo[[#This Row],[Conteo]]),tblConteo[[#This Row],[Conteo]]-N(tblConteo[[#This Row],[Sistema]]),""))</f>
        <v/>
      </c>
      <c r="K133" s="62" t="str">
        <f>IF(tblConteo[[#This Row],[Diferencia]]="","",tblConteo[[#This Row],[Diferencia]]*N(INDEX(tblProductos[CostoUnitario],ROW()-ROW(tblConteo[#Headers]))))</f>
        <v/>
      </c>
      <c r="L13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4" spans="2:13" x14ac:dyDescent="0.25">
      <c r="B134" s="42" t="str">
        <f>IF(INDEX(tblProductos[SKU],ROW()-ROW(tblConteo[#Headers]))="","",INDEX(tblProductos[SKU],ROW()-ROW(tblConteo[#Headers])))</f>
        <v/>
      </c>
      <c r="C134" s="49" t="str">
        <f>IF(tblConteo[[#This Row],[SKU]]="","",INDEX(tblProductos[Producto],ROW()-ROW(tblConteo[#Headers])))</f>
        <v/>
      </c>
      <c r="D134" s="49" t="str">
        <f>IF(tblConteo[[#This Row],[SKU]]="","",INDEX(tblProductos[Categoría],ROW()-ROW(tblConteo[#Headers]))&amp;"")</f>
        <v/>
      </c>
      <c r="E134" s="42" t="str">
        <f>IF(tblConteo[[#This Row],[SKU]]="","",INDEX(tblProductos[Ubicación],ROW()-ROW(tblConteo[#Headers]))&amp;"")</f>
        <v/>
      </c>
      <c r="F134" s="42" t="str">
        <f>IF(tblConteo[[#This Row],[SKU]]="","",INDEX(tblProductos[Unidad],ROW()-ROW(tblConteo[#Headers]))&amp;"")</f>
        <v/>
      </c>
      <c r="G134" s="42" t="str">
        <f>IF(tblConteo[[#This Row],[SKU]]="","",IF(INDEX(tblProductos[Activo],ROW()-ROW(tblConteo[#Headers]))="NO","NO","SI"))</f>
        <v/>
      </c>
      <c r="H134" s="53" t="str">
        <f>IF(tblConteo[[#This Row],[SKU]]="","",IFERROR(N(INDEX(tblStock[StockActual],MATCH(tblConteo[[#This Row],[SKU]],tblStock[SKU],0))),0))</f>
        <v/>
      </c>
      <c r="I134" s="52"/>
      <c r="J134" s="59" t="str">
        <f>IF(OR(tblConteo[[#This Row],[SKU]]="",tblConteo[[#This Row],[Conteo]]=""),"",IF(ISNUMBER(tblConteo[[#This Row],[Conteo]]),tblConteo[[#This Row],[Conteo]]-N(tblConteo[[#This Row],[Sistema]]),""))</f>
        <v/>
      </c>
      <c r="K134" s="62" t="str">
        <f>IF(tblConteo[[#This Row],[Diferencia]]="","",tblConteo[[#This Row],[Diferencia]]*N(INDEX(tblProductos[CostoUnitario],ROW()-ROW(tblConteo[#Headers]))))</f>
        <v/>
      </c>
      <c r="L13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5" spans="2:13" x14ac:dyDescent="0.25">
      <c r="B135" s="42" t="str">
        <f>IF(INDEX(tblProductos[SKU],ROW()-ROW(tblConteo[#Headers]))="","",INDEX(tblProductos[SKU],ROW()-ROW(tblConteo[#Headers])))</f>
        <v/>
      </c>
      <c r="C135" s="49" t="str">
        <f>IF(tblConteo[[#This Row],[SKU]]="","",INDEX(tblProductos[Producto],ROW()-ROW(tblConteo[#Headers])))</f>
        <v/>
      </c>
      <c r="D135" s="49" t="str">
        <f>IF(tblConteo[[#This Row],[SKU]]="","",INDEX(tblProductos[Categoría],ROW()-ROW(tblConteo[#Headers]))&amp;"")</f>
        <v/>
      </c>
      <c r="E135" s="42" t="str">
        <f>IF(tblConteo[[#This Row],[SKU]]="","",INDEX(tblProductos[Ubicación],ROW()-ROW(tblConteo[#Headers]))&amp;"")</f>
        <v/>
      </c>
      <c r="F135" s="42" t="str">
        <f>IF(tblConteo[[#This Row],[SKU]]="","",INDEX(tblProductos[Unidad],ROW()-ROW(tblConteo[#Headers]))&amp;"")</f>
        <v/>
      </c>
      <c r="G135" s="42" t="str">
        <f>IF(tblConteo[[#This Row],[SKU]]="","",IF(INDEX(tblProductos[Activo],ROW()-ROW(tblConteo[#Headers]))="NO","NO","SI"))</f>
        <v/>
      </c>
      <c r="H135" s="53" t="str">
        <f>IF(tblConteo[[#This Row],[SKU]]="","",IFERROR(N(INDEX(tblStock[StockActual],MATCH(tblConteo[[#This Row],[SKU]],tblStock[SKU],0))),0))</f>
        <v/>
      </c>
      <c r="I135" s="52"/>
      <c r="J135" s="59" t="str">
        <f>IF(OR(tblConteo[[#This Row],[SKU]]="",tblConteo[[#This Row],[Conteo]]=""),"",IF(ISNUMBER(tblConteo[[#This Row],[Conteo]]),tblConteo[[#This Row],[Conteo]]-N(tblConteo[[#This Row],[Sistema]]),""))</f>
        <v/>
      </c>
      <c r="K135" s="62" t="str">
        <f>IF(tblConteo[[#This Row],[Diferencia]]="","",tblConteo[[#This Row],[Diferencia]]*N(INDEX(tblProductos[CostoUnitario],ROW()-ROW(tblConteo[#Headers]))))</f>
        <v/>
      </c>
      <c r="L13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6" spans="2:13" x14ac:dyDescent="0.25">
      <c r="B136" s="42" t="str">
        <f>IF(INDEX(tblProductos[SKU],ROW()-ROW(tblConteo[#Headers]))="","",INDEX(tblProductos[SKU],ROW()-ROW(tblConteo[#Headers])))</f>
        <v/>
      </c>
      <c r="C136" s="49" t="str">
        <f>IF(tblConteo[[#This Row],[SKU]]="","",INDEX(tblProductos[Producto],ROW()-ROW(tblConteo[#Headers])))</f>
        <v/>
      </c>
      <c r="D136" s="49" t="str">
        <f>IF(tblConteo[[#This Row],[SKU]]="","",INDEX(tblProductos[Categoría],ROW()-ROW(tblConteo[#Headers]))&amp;"")</f>
        <v/>
      </c>
      <c r="E136" s="42" t="str">
        <f>IF(tblConteo[[#This Row],[SKU]]="","",INDEX(tblProductos[Ubicación],ROW()-ROW(tblConteo[#Headers]))&amp;"")</f>
        <v/>
      </c>
      <c r="F136" s="42" t="str">
        <f>IF(tblConteo[[#This Row],[SKU]]="","",INDEX(tblProductos[Unidad],ROW()-ROW(tblConteo[#Headers]))&amp;"")</f>
        <v/>
      </c>
      <c r="G136" s="42" t="str">
        <f>IF(tblConteo[[#This Row],[SKU]]="","",IF(INDEX(tblProductos[Activo],ROW()-ROW(tblConteo[#Headers]))="NO","NO","SI"))</f>
        <v/>
      </c>
      <c r="H136" s="53" t="str">
        <f>IF(tblConteo[[#This Row],[SKU]]="","",IFERROR(N(INDEX(tblStock[StockActual],MATCH(tblConteo[[#This Row],[SKU]],tblStock[SKU],0))),0))</f>
        <v/>
      </c>
      <c r="I136" s="52"/>
      <c r="J136" s="59" t="str">
        <f>IF(OR(tblConteo[[#This Row],[SKU]]="",tblConteo[[#This Row],[Conteo]]=""),"",IF(ISNUMBER(tblConteo[[#This Row],[Conteo]]),tblConteo[[#This Row],[Conteo]]-N(tblConteo[[#This Row],[Sistema]]),""))</f>
        <v/>
      </c>
      <c r="K136" s="62" t="str">
        <f>IF(tblConteo[[#This Row],[Diferencia]]="","",tblConteo[[#This Row],[Diferencia]]*N(INDEX(tblProductos[CostoUnitario],ROW()-ROW(tblConteo[#Headers]))))</f>
        <v/>
      </c>
      <c r="L13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7" spans="2:13" x14ac:dyDescent="0.25">
      <c r="B137" s="42" t="str">
        <f>IF(INDEX(tblProductos[SKU],ROW()-ROW(tblConteo[#Headers]))="","",INDEX(tblProductos[SKU],ROW()-ROW(tblConteo[#Headers])))</f>
        <v/>
      </c>
      <c r="C137" s="49" t="str">
        <f>IF(tblConteo[[#This Row],[SKU]]="","",INDEX(tblProductos[Producto],ROW()-ROW(tblConteo[#Headers])))</f>
        <v/>
      </c>
      <c r="D137" s="49" t="str">
        <f>IF(tblConteo[[#This Row],[SKU]]="","",INDEX(tblProductos[Categoría],ROW()-ROW(tblConteo[#Headers]))&amp;"")</f>
        <v/>
      </c>
      <c r="E137" s="42" t="str">
        <f>IF(tblConteo[[#This Row],[SKU]]="","",INDEX(tblProductos[Ubicación],ROW()-ROW(tblConteo[#Headers]))&amp;"")</f>
        <v/>
      </c>
      <c r="F137" s="42" t="str">
        <f>IF(tblConteo[[#This Row],[SKU]]="","",INDEX(tblProductos[Unidad],ROW()-ROW(tblConteo[#Headers]))&amp;"")</f>
        <v/>
      </c>
      <c r="G137" s="42" t="str">
        <f>IF(tblConteo[[#This Row],[SKU]]="","",IF(INDEX(tblProductos[Activo],ROW()-ROW(tblConteo[#Headers]))="NO","NO","SI"))</f>
        <v/>
      </c>
      <c r="H137" s="53" t="str">
        <f>IF(tblConteo[[#This Row],[SKU]]="","",IFERROR(N(INDEX(tblStock[StockActual],MATCH(tblConteo[[#This Row],[SKU]],tblStock[SKU],0))),0))</f>
        <v/>
      </c>
      <c r="I137" s="52"/>
      <c r="J137" s="59" t="str">
        <f>IF(OR(tblConteo[[#This Row],[SKU]]="",tblConteo[[#This Row],[Conteo]]=""),"",IF(ISNUMBER(tblConteo[[#This Row],[Conteo]]),tblConteo[[#This Row],[Conteo]]-N(tblConteo[[#This Row],[Sistema]]),""))</f>
        <v/>
      </c>
      <c r="K137" s="62" t="str">
        <f>IF(tblConteo[[#This Row],[Diferencia]]="","",tblConteo[[#This Row],[Diferencia]]*N(INDEX(tblProductos[CostoUnitario],ROW()-ROW(tblConteo[#Headers]))))</f>
        <v/>
      </c>
      <c r="L13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8" spans="2:13" x14ac:dyDescent="0.25">
      <c r="B138" s="42" t="str">
        <f>IF(INDEX(tblProductos[SKU],ROW()-ROW(tblConteo[#Headers]))="","",INDEX(tblProductos[SKU],ROW()-ROW(tblConteo[#Headers])))</f>
        <v/>
      </c>
      <c r="C138" s="49" t="str">
        <f>IF(tblConteo[[#This Row],[SKU]]="","",INDEX(tblProductos[Producto],ROW()-ROW(tblConteo[#Headers])))</f>
        <v/>
      </c>
      <c r="D138" s="49" t="str">
        <f>IF(tblConteo[[#This Row],[SKU]]="","",INDEX(tblProductos[Categoría],ROW()-ROW(tblConteo[#Headers]))&amp;"")</f>
        <v/>
      </c>
      <c r="E138" s="42" t="str">
        <f>IF(tblConteo[[#This Row],[SKU]]="","",INDEX(tblProductos[Ubicación],ROW()-ROW(tblConteo[#Headers]))&amp;"")</f>
        <v/>
      </c>
      <c r="F138" s="42" t="str">
        <f>IF(tblConteo[[#This Row],[SKU]]="","",INDEX(tblProductos[Unidad],ROW()-ROW(tblConteo[#Headers]))&amp;"")</f>
        <v/>
      </c>
      <c r="G138" s="42" t="str">
        <f>IF(tblConteo[[#This Row],[SKU]]="","",IF(INDEX(tblProductos[Activo],ROW()-ROW(tblConteo[#Headers]))="NO","NO","SI"))</f>
        <v/>
      </c>
      <c r="H138" s="53" t="str">
        <f>IF(tblConteo[[#This Row],[SKU]]="","",IFERROR(N(INDEX(tblStock[StockActual],MATCH(tblConteo[[#This Row],[SKU]],tblStock[SKU],0))),0))</f>
        <v/>
      </c>
      <c r="I138" s="52"/>
      <c r="J138" s="59" t="str">
        <f>IF(OR(tblConteo[[#This Row],[SKU]]="",tblConteo[[#This Row],[Conteo]]=""),"",IF(ISNUMBER(tblConteo[[#This Row],[Conteo]]),tblConteo[[#This Row],[Conteo]]-N(tblConteo[[#This Row],[Sistema]]),""))</f>
        <v/>
      </c>
      <c r="K138" s="62" t="str">
        <f>IF(tblConteo[[#This Row],[Diferencia]]="","",tblConteo[[#This Row],[Diferencia]]*N(INDEX(tblProductos[CostoUnitario],ROW()-ROW(tblConteo[#Headers]))))</f>
        <v/>
      </c>
      <c r="L13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9" spans="2:13" x14ac:dyDescent="0.25">
      <c r="B139" s="42" t="str">
        <f>IF(INDEX(tblProductos[SKU],ROW()-ROW(tblConteo[#Headers]))="","",INDEX(tblProductos[SKU],ROW()-ROW(tblConteo[#Headers])))</f>
        <v/>
      </c>
      <c r="C139" s="49" t="str">
        <f>IF(tblConteo[[#This Row],[SKU]]="","",INDEX(tblProductos[Producto],ROW()-ROW(tblConteo[#Headers])))</f>
        <v/>
      </c>
      <c r="D139" s="49" t="str">
        <f>IF(tblConteo[[#This Row],[SKU]]="","",INDEX(tblProductos[Categoría],ROW()-ROW(tblConteo[#Headers]))&amp;"")</f>
        <v/>
      </c>
      <c r="E139" s="42" t="str">
        <f>IF(tblConteo[[#This Row],[SKU]]="","",INDEX(tblProductos[Ubicación],ROW()-ROW(tblConteo[#Headers]))&amp;"")</f>
        <v/>
      </c>
      <c r="F139" s="42" t="str">
        <f>IF(tblConteo[[#This Row],[SKU]]="","",INDEX(tblProductos[Unidad],ROW()-ROW(tblConteo[#Headers]))&amp;"")</f>
        <v/>
      </c>
      <c r="G139" s="42" t="str">
        <f>IF(tblConteo[[#This Row],[SKU]]="","",IF(INDEX(tblProductos[Activo],ROW()-ROW(tblConteo[#Headers]))="NO","NO","SI"))</f>
        <v/>
      </c>
      <c r="H139" s="53" t="str">
        <f>IF(tblConteo[[#This Row],[SKU]]="","",IFERROR(N(INDEX(tblStock[StockActual],MATCH(tblConteo[[#This Row],[SKU]],tblStock[SKU],0))),0))</f>
        <v/>
      </c>
      <c r="I139" s="52"/>
      <c r="J139" s="59" t="str">
        <f>IF(OR(tblConteo[[#This Row],[SKU]]="",tblConteo[[#This Row],[Conteo]]=""),"",IF(ISNUMBER(tblConteo[[#This Row],[Conteo]]),tblConteo[[#This Row],[Conteo]]-N(tblConteo[[#This Row],[Sistema]]),""))</f>
        <v/>
      </c>
      <c r="K139" s="62" t="str">
        <f>IF(tblConteo[[#This Row],[Diferencia]]="","",tblConteo[[#This Row],[Diferencia]]*N(INDEX(tblProductos[CostoUnitario],ROW()-ROW(tblConteo[#Headers]))))</f>
        <v/>
      </c>
      <c r="L13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0" spans="2:13" x14ac:dyDescent="0.25">
      <c r="B140" s="42" t="str">
        <f>IF(INDEX(tblProductos[SKU],ROW()-ROW(tblConteo[#Headers]))="","",INDEX(tblProductos[SKU],ROW()-ROW(tblConteo[#Headers])))</f>
        <v/>
      </c>
      <c r="C140" s="49" t="str">
        <f>IF(tblConteo[[#This Row],[SKU]]="","",INDEX(tblProductos[Producto],ROW()-ROW(tblConteo[#Headers])))</f>
        <v/>
      </c>
      <c r="D140" s="49" t="str">
        <f>IF(tblConteo[[#This Row],[SKU]]="","",INDEX(tblProductos[Categoría],ROW()-ROW(tblConteo[#Headers]))&amp;"")</f>
        <v/>
      </c>
      <c r="E140" s="42" t="str">
        <f>IF(tblConteo[[#This Row],[SKU]]="","",INDEX(tblProductos[Ubicación],ROW()-ROW(tblConteo[#Headers]))&amp;"")</f>
        <v/>
      </c>
      <c r="F140" s="42" t="str">
        <f>IF(tblConteo[[#This Row],[SKU]]="","",INDEX(tblProductos[Unidad],ROW()-ROW(tblConteo[#Headers]))&amp;"")</f>
        <v/>
      </c>
      <c r="G140" s="42" t="str">
        <f>IF(tblConteo[[#This Row],[SKU]]="","",IF(INDEX(tblProductos[Activo],ROW()-ROW(tblConteo[#Headers]))="NO","NO","SI"))</f>
        <v/>
      </c>
      <c r="H140" s="53" t="str">
        <f>IF(tblConteo[[#This Row],[SKU]]="","",IFERROR(N(INDEX(tblStock[StockActual],MATCH(tblConteo[[#This Row],[SKU]],tblStock[SKU],0))),0))</f>
        <v/>
      </c>
      <c r="I140" s="52"/>
      <c r="J140" s="59" t="str">
        <f>IF(OR(tblConteo[[#This Row],[SKU]]="",tblConteo[[#This Row],[Conteo]]=""),"",IF(ISNUMBER(tblConteo[[#This Row],[Conteo]]),tblConteo[[#This Row],[Conteo]]-N(tblConteo[[#This Row],[Sistema]]),""))</f>
        <v/>
      </c>
      <c r="K140" s="62" t="str">
        <f>IF(tblConteo[[#This Row],[Diferencia]]="","",tblConteo[[#This Row],[Diferencia]]*N(INDEX(tblProductos[CostoUnitario],ROW()-ROW(tblConteo[#Headers]))))</f>
        <v/>
      </c>
      <c r="L14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1" spans="2:13" x14ac:dyDescent="0.25">
      <c r="B141" s="42" t="str">
        <f>IF(INDEX(tblProductos[SKU],ROW()-ROW(tblConteo[#Headers]))="","",INDEX(tblProductos[SKU],ROW()-ROW(tblConteo[#Headers])))</f>
        <v/>
      </c>
      <c r="C141" s="49" t="str">
        <f>IF(tblConteo[[#This Row],[SKU]]="","",INDEX(tblProductos[Producto],ROW()-ROW(tblConteo[#Headers])))</f>
        <v/>
      </c>
      <c r="D141" s="49" t="str">
        <f>IF(tblConteo[[#This Row],[SKU]]="","",INDEX(tblProductos[Categoría],ROW()-ROW(tblConteo[#Headers]))&amp;"")</f>
        <v/>
      </c>
      <c r="E141" s="42" t="str">
        <f>IF(tblConteo[[#This Row],[SKU]]="","",INDEX(tblProductos[Ubicación],ROW()-ROW(tblConteo[#Headers]))&amp;"")</f>
        <v/>
      </c>
      <c r="F141" s="42" t="str">
        <f>IF(tblConteo[[#This Row],[SKU]]="","",INDEX(tblProductos[Unidad],ROW()-ROW(tblConteo[#Headers]))&amp;"")</f>
        <v/>
      </c>
      <c r="G141" s="42" t="str">
        <f>IF(tblConteo[[#This Row],[SKU]]="","",IF(INDEX(tblProductos[Activo],ROW()-ROW(tblConteo[#Headers]))="NO","NO","SI"))</f>
        <v/>
      </c>
      <c r="H141" s="53" t="str">
        <f>IF(tblConteo[[#This Row],[SKU]]="","",IFERROR(N(INDEX(tblStock[StockActual],MATCH(tblConteo[[#This Row],[SKU]],tblStock[SKU],0))),0))</f>
        <v/>
      </c>
      <c r="I141" s="52"/>
      <c r="J141" s="59" t="str">
        <f>IF(OR(tblConteo[[#This Row],[SKU]]="",tblConteo[[#This Row],[Conteo]]=""),"",IF(ISNUMBER(tblConteo[[#This Row],[Conteo]]),tblConteo[[#This Row],[Conteo]]-N(tblConteo[[#This Row],[Sistema]]),""))</f>
        <v/>
      </c>
      <c r="K141" s="62" t="str">
        <f>IF(tblConteo[[#This Row],[Diferencia]]="","",tblConteo[[#This Row],[Diferencia]]*N(INDEX(tblProductos[CostoUnitario],ROW()-ROW(tblConteo[#Headers]))))</f>
        <v/>
      </c>
      <c r="L14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2" spans="2:13" x14ac:dyDescent="0.25">
      <c r="B142" s="42" t="str">
        <f>IF(INDEX(tblProductos[SKU],ROW()-ROW(tblConteo[#Headers]))="","",INDEX(tblProductos[SKU],ROW()-ROW(tblConteo[#Headers])))</f>
        <v/>
      </c>
      <c r="C142" s="49" t="str">
        <f>IF(tblConteo[[#This Row],[SKU]]="","",INDEX(tblProductos[Producto],ROW()-ROW(tblConteo[#Headers])))</f>
        <v/>
      </c>
      <c r="D142" s="49" t="str">
        <f>IF(tblConteo[[#This Row],[SKU]]="","",INDEX(tblProductos[Categoría],ROW()-ROW(tblConteo[#Headers]))&amp;"")</f>
        <v/>
      </c>
      <c r="E142" s="42" t="str">
        <f>IF(tblConteo[[#This Row],[SKU]]="","",INDEX(tblProductos[Ubicación],ROW()-ROW(tblConteo[#Headers]))&amp;"")</f>
        <v/>
      </c>
      <c r="F142" s="42" t="str">
        <f>IF(tblConteo[[#This Row],[SKU]]="","",INDEX(tblProductos[Unidad],ROW()-ROW(tblConteo[#Headers]))&amp;"")</f>
        <v/>
      </c>
      <c r="G142" s="42" t="str">
        <f>IF(tblConteo[[#This Row],[SKU]]="","",IF(INDEX(tblProductos[Activo],ROW()-ROW(tblConteo[#Headers]))="NO","NO","SI"))</f>
        <v/>
      </c>
      <c r="H142" s="53" t="str">
        <f>IF(tblConteo[[#This Row],[SKU]]="","",IFERROR(N(INDEX(tblStock[StockActual],MATCH(tblConteo[[#This Row],[SKU]],tblStock[SKU],0))),0))</f>
        <v/>
      </c>
      <c r="I142" s="52"/>
      <c r="J142" s="59" t="str">
        <f>IF(OR(tblConteo[[#This Row],[SKU]]="",tblConteo[[#This Row],[Conteo]]=""),"",IF(ISNUMBER(tblConteo[[#This Row],[Conteo]]),tblConteo[[#This Row],[Conteo]]-N(tblConteo[[#This Row],[Sistema]]),""))</f>
        <v/>
      </c>
      <c r="K142" s="62" t="str">
        <f>IF(tblConteo[[#This Row],[Diferencia]]="","",tblConteo[[#This Row],[Diferencia]]*N(INDEX(tblProductos[CostoUnitario],ROW()-ROW(tblConteo[#Headers]))))</f>
        <v/>
      </c>
      <c r="L14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3" spans="2:13" x14ac:dyDescent="0.25">
      <c r="B143" s="42" t="str">
        <f>IF(INDEX(tblProductos[SKU],ROW()-ROW(tblConteo[#Headers]))="","",INDEX(tblProductos[SKU],ROW()-ROW(tblConteo[#Headers])))</f>
        <v/>
      </c>
      <c r="C143" s="49" t="str">
        <f>IF(tblConteo[[#This Row],[SKU]]="","",INDEX(tblProductos[Producto],ROW()-ROW(tblConteo[#Headers])))</f>
        <v/>
      </c>
      <c r="D143" s="49" t="str">
        <f>IF(tblConteo[[#This Row],[SKU]]="","",INDEX(tblProductos[Categoría],ROW()-ROW(tblConteo[#Headers]))&amp;"")</f>
        <v/>
      </c>
      <c r="E143" s="42" t="str">
        <f>IF(tblConteo[[#This Row],[SKU]]="","",INDEX(tblProductos[Ubicación],ROW()-ROW(tblConteo[#Headers]))&amp;"")</f>
        <v/>
      </c>
      <c r="F143" s="42" t="str">
        <f>IF(tblConteo[[#This Row],[SKU]]="","",INDEX(tblProductos[Unidad],ROW()-ROW(tblConteo[#Headers]))&amp;"")</f>
        <v/>
      </c>
      <c r="G143" s="42" t="str">
        <f>IF(tblConteo[[#This Row],[SKU]]="","",IF(INDEX(tblProductos[Activo],ROW()-ROW(tblConteo[#Headers]))="NO","NO","SI"))</f>
        <v/>
      </c>
      <c r="H143" s="53" t="str">
        <f>IF(tblConteo[[#This Row],[SKU]]="","",IFERROR(N(INDEX(tblStock[StockActual],MATCH(tblConteo[[#This Row],[SKU]],tblStock[SKU],0))),0))</f>
        <v/>
      </c>
      <c r="I143" s="52"/>
      <c r="J143" s="59" t="str">
        <f>IF(OR(tblConteo[[#This Row],[SKU]]="",tblConteo[[#This Row],[Conteo]]=""),"",IF(ISNUMBER(tblConteo[[#This Row],[Conteo]]),tblConteo[[#This Row],[Conteo]]-N(tblConteo[[#This Row],[Sistema]]),""))</f>
        <v/>
      </c>
      <c r="K143" s="62" t="str">
        <f>IF(tblConteo[[#This Row],[Diferencia]]="","",tblConteo[[#This Row],[Diferencia]]*N(INDEX(tblProductos[CostoUnitario],ROW()-ROW(tblConteo[#Headers]))))</f>
        <v/>
      </c>
      <c r="L14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4" spans="2:13" x14ac:dyDescent="0.25">
      <c r="B144" s="42" t="str">
        <f>IF(INDEX(tblProductos[SKU],ROW()-ROW(tblConteo[#Headers]))="","",INDEX(tblProductos[SKU],ROW()-ROW(tblConteo[#Headers])))</f>
        <v/>
      </c>
      <c r="C144" s="49" t="str">
        <f>IF(tblConteo[[#This Row],[SKU]]="","",INDEX(tblProductos[Producto],ROW()-ROW(tblConteo[#Headers])))</f>
        <v/>
      </c>
      <c r="D144" s="49" t="str">
        <f>IF(tblConteo[[#This Row],[SKU]]="","",INDEX(tblProductos[Categoría],ROW()-ROW(tblConteo[#Headers]))&amp;"")</f>
        <v/>
      </c>
      <c r="E144" s="42" t="str">
        <f>IF(tblConteo[[#This Row],[SKU]]="","",INDEX(tblProductos[Ubicación],ROW()-ROW(tblConteo[#Headers]))&amp;"")</f>
        <v/>
      </c>
      <c r="F144" s="42" t="str">
        <f>IF(tblConteo[[#This Row],[SKU]]="","",INDEX(tblProductos[Unidad],ROW()-ROW(tblConteo[#Headers]))&amp;"")</f>
        <v/>
      </c>
      <c r="G144" s="42" t="str">
        <f>IF(tblConteo[[#This Row],[SKU]]="","",IF(INDEX(tblProductos[Activo],ROW()-ROW(tblConteo[#Headers]))="NO","NO","SI"))</f>
        <v/>
      </c>
      <c r="H144" s="53" t="str">
        <f>IF(tblConteo[[#This Row],[SKU]]="","",IFERROR(N(INDEX(tblStock[StockActual],MATCH(tblConteo[[#This Row],[SKU]],tblStock[SKU],0))),0))</f>
        <v/>
      </c>
      <c r="I144" s="52"/>
      <c r="J144" s="59" t="str">
        <f>IF(OR(tblConteo[[#This Row],[SKU]]="",tblConteo[[#This Row],[Conteo]]=""),"",IF(ISNUMBER(tblConteo[[#This Row],[Conteo]]),tblConteo[[#This Row],[Conteo]]-N(tblConteo[[#This Row],[Sistema]]),""))</f>
        <v/>
      </c>
      <c r="K144" s="62" t="str">
        <f>IF(tblConteo[[#This Row],[Diferencia]]="","",tblConteo[[#This Row],[Diferencia]]*N(INDEX(tblProductos[CostoUnitario],ROW()-ROW(tblConteo[#Headers]))))</f>
        <v/>
      </c>
      <c r="L14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5" spans="2:13" x14ac:dyDescent="0.25">
      <c r="B145" s="42" t="str">
        <f>IF(INDEX(tblProductos[SKU],ROW()-ROW(tblConteo[#Headers]))="","",INDEX(tblProductos[SKU],ROW()-ROW(tblConteo[#Headers])))</f>
        <v/>
      </c>
      <c r="C145" s="49" t="str">
        <f>IF(tblConteo[[#This Row],[SKU]]="","",INDEX(tblProductos[Producto],ROW()-ROW(tblConteo[#Headers])))</f>
        <v/>
      </c>
      <c r="D145" s="49" t="str">
        <f>IF(tblConteo[[#This Row],[SKU]]="","",INDEX(tblProductos[Categoría],ROW()-ROW(tblConteo[#Headers]))&amp;"")</f>
        <v/>
      </c>
      <c r="E145" s="42" t="str">
        <f>IF(tblConteo[[#This Row],[SKU]]="","",INDEX(tblProductos[Ubicación],ROW()-ROW(tblConteo[#Headers]))&amp;"")</f>
        <v/>
      </c>
      <c r="F145" s="42" t="str">
        <f>IF(tblConteo[[#This Row],[SKU]]="","",INDEX(tblProductos[Unidad],ROW()-ROW(tblConteo[#Headers]))&amp;"")</f>
        <v/>
      </c>
      <c r="G145" s="42" t="str">
        <f>IF(tblConteo[[#This Row],[SKU]]="","",IF(INDEX(tblProductos[Activo],ROW()-ROW(tblConteo[#Headers]))="NO","NO","SI"))</f>
        <v/>
      </c>
      <c r="H145" s="53" t="str">
        <f>IF(tblConteo[[#This Row],[SKU]]="","",IFERROR(N(INDEX(tblStock[StockActual],MATCH(tblConteo[[#This Row],[SKU]],tblStock[SKU],0))),0))</f>
        <v/>
      </c>
      <c r="I145" s="52"/>
      <c r="J145" s="59" t="str">
        <f>IF(OR(tblConteo[[#This Row],[SKU]]="",tblConteo[[#This Row],[Conteo]]=""),"",IF(ISNUMBER(tblConteo[[#This Row],[Conteo]]),tblConteo[[#This Row],[Conteo]]-N(tblConteo[[#This Row],[Sistema]]),""))</f>
        <v/>
      </c>
      <c r="K145" s="62" t="str">
        <f>IF(tblConteo[[#This Row],[Diferencia]]="","",tblConteo[[#This Row],[Diferencia]]*N(INDEX(tblProductos[CostoUnitario],ROW()-ROW(tblConteo[#Headers]))))</f>
        <v/>
      </c>
      <c r="L14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6" spans="2:13" x14ac:dyDescent="0.25">
      <c r="B146" s="42" t="str">
        <f>IF(INDEX(tblProductos[SKU],ROW()-ROW(tblConteo[#Headers]))="","",INDEX(tblProductos[SKU],ROW()-ROW(tblConteo[#Headers])))</f>
        <v/>
      </c>
      <c r="C146" s="49" t="str">
        <f>IF(tblConteo[[#This Row],[SKU]]="","",INDEX(tblProductos[Producto],ROW()-ROW(tblConteo[#Headers])))</f>
        <v/>
      </c>
      <c r="D146" s="49" t="str">
        <f>IF(tblConteo[[#This Row],[SKU]]="","",INDEX(tblProductos[Categoría],ROW()-ROW(tblConteo[#Headers]))&amp;"")</f>
        <v/>
      </c>
      <c r="E146" s="42" t="str">
        <f>IF(tblConteo[[#This Row],[SKU]]="","",INDEX(tblProductos[Ubicación],ROW()-ROW(tblConteo[#Headers]))&amp;"")</f>
        <v/>
      </c>
      <c r="F146" s="42" t="str">
        <f>IF(tblConteo[[#This Row],[SKU]]="","",INDEX(tblProductos[Unidad],ROW()-ROW(tblConteo[#Headers]))&amp;"")</f>
        <v/>
      </c>
      <c r="G146" s="42" t="str">
        <f>IF(tblConteo[[#This Row],[SKU]]="","",IF(INDEX(tblProductos[Activo],ROW()-ROW(tblConteo[#Headers]))="NO","NO","SI"))</f>
        <v/>
      </c>
      <c r="H146" s="53" t="str">
        <f>IF(tblConteo[[#This Row],[SKU]]="","",IFERROR(N(INDEX(tblStock[StockActual],MATCH(tblConteo[[#This Row],[SKU]],tblStock[SKU],0))),0))</f>
        <v/>
      </c>
      <c r="I146" s="52"/>
      <c r="J146" s="59" t="str">
        <f>IF(OR(tblConteo[[#This Row],[SKU]]="",tblConteo[[#This Row],[Conteo]]=""),"",IF(ISNUMBER(tblConteo[[#This Row],[Conteo]]),tblConteo[[#This Row],[Conteo]]-N(tblConteo[[#This Row],[Sistema]]),""))</f>
        <v/>
      </c>
      <c r="K146" s="62" t="str">
        <f>IF(tblConteo[[#This Row],[Diferencia]]="","",tblConteo[[#This Row],[Diferencia]]*N(INDEX(tblProductos[CostoUnitario],ROW()-ROW(tblConteo[#Headers]))))</f>
        <v/>
      </c>
      <c r="L14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7" spans="2:13" x14ac:dyDescent="0.25">
      <c r="B147" s="42" t="str">
        <f>IF(INDEX(tblProductos[SKU],ROW()-ROW(tblConteo[#Headers]))="","",INDEX(tblProductos[SKU],ROW()-ROW(tblConteo[#Headers])))</f>
        <v/>
      </c>
      <c r="C147" s="49" t="str">
        <f>IF(tblConteo[[#This Row],[SKU]]="","",INDEX(tblProductos[Producto],ROW()-ROW(tblConteo[#Headers])))</f>
        <v/>
      </c>
      <c r="D147" s="49" t="str">
        <f>IF(tblConteo[[#This Row],[SKU]]="","",INDEX(tblProductos[Categoría],ROW()-ROW(tblConteo[#Headers]))&amp;"")</f>
        <v/>
      </c>
      <c r="E147" s="42" t="str">
        <f>IF(tblConteo[[#This Row],[SKU]]="","",INDEX(tblProductos[Ubicación],ROW()-ROW(tblConteo[#Headers]))&amp;"")</f>
        <v/>
      </c>
      <c r="F147" s="42" t="str">
        <f>IF(tblConteo[[#This Row],[SKU]]="","",INDEX(tblProductos[Unidad],ROW()-ROW(tblConteo[#Headers]))&amp;"")</f>
        <v/>
      </c>
      <c r="G147" s="42" t="str">
        <f>IF(tblConteo[[#This Row],[SKU]]="","",IF(INDEX(tblProductos[Activo],ROW()-ROW(tblConteo[#Headers]))="NO","NO","SI"))</f>
        <v/>
      </c>
      <c r="H147" s="53" t="str">
        <f>IF(tblConteo[[#This Row],[SKU]]="","",IFERROR(N(INDEX(tblStock[StockActual],MATCH(tblConteo[[#This Row],[SKU]],tblStock[SKU],0))),0))</f>
        <v/>
      </c>
      <c r="I147" s="52"/>
      <c r="J147" s="59" t="str">
        <f>IF(OR(tblConteo[[#This Row],[SKU]]="",tblConteo[[#This Row],[Conteo]]=""),"",IF(ISNUMBER(tblConteo[[#This Row],[Conteo]]),tblConteo[[#This Row],[Conteo]]-N(tblConteo[[#This Row],[Sistema]]),""))</f>
        <v/>
      </c>
      <c r="K147" s="62" t="str">
        <f>IF(tblConteo[[#This Row],[Diferencia]]="","",tblConteo[[#This Row],[Diferencia]]*N(INDEX(tblProductos[CostoUnitario],ROW()-ROW(tblConteo[#Headers]))))</f>
        <v/>
      </c>
      <c r="L14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8" spans="2:13" x14ac:dyDescent="0.25">
      <c r="B148" s="42" t="str">
        <f>IF(INDEX(tblProductos[SKU],ROW()-ROW(tblConteo[#Headers]))="","",INDEX(tblProductos[SKU],ROW()-ROW(tblConteo[#Headers])))</f>
        <v/>
      </c>
      <c r="C148" s="49" t="str">
        <f>IF(tblConteo[[#This Row],[SKU]]="","",INDEX(tblProductos[Producto],ROW()-ROW(tblConteo[#Headers])))</f>
        <v/>
      </c>
      <c r="D148" s="49" t="str">
        <f>IF(tblConteo[[#This Row],[SKU]]="","",INDEX(tblProductos[Categoría],ROW()-ROW(tblConteo[#Headers]))&amp;"")</f>
        <v/>
      </c>
      <c r="E148" s="42" t="str">
        <f>IF(tblConteo[[#This Row],[SKU]]="","",INDEX(tblProductos[Ubicación],ROW()-ROW(tblConteo[#Headers]))&amp;"")</f>
        <v/>
      </c>
      <c r="F148" s="42" t="str">
        <f>IF(tblConteo[[#This Row],[SKU]]="","",INDEX(tblProductos[Unidad],ROW()-ROW(tblConteo[#Headers]))&amp;"")</f>
        <v/>
      </c>
      <c r="G148" s="42" t="str">
        <f>IF(tblConteo[[#This Row],[SKU]]="","",IF(INDEX(tblProductos[Activo],ROW()-ROW(tblConteo[#Headers]))="NO","NO","SI"))</f>
        <v/>
      </c>
      <c r="H148" s="53" t="str">
        <f>IF(tblConteo[[#This Row],[SKU]]="","",IFERROR(N(INDEX(tblStock[StockActual],MATCH(tblConteo[[#This Row],[SKU]],tblStock[SKU],0))),0))</f>
        <v/>
      </c>
      <c r="I148" s="52"/>
      <c r="J148" s="59" t="str">
        <f>IF(OR(tblConteo[[#This Row],[SKU]]="",tblConteo[[#This Row],[Conteo]]=""),"",IF(ISNUMBER(tblConteo[[#This Row],[Conteo]]),tblConteo[[#This Row],[Conteo]]-N(tblConteo[[#This Row],[Sistema]]),""))</f>
        <v/>
      </c>
      <c r="K148" s="62" t="str">
        <f>IF(tblConteo[[#This Row],[Diferencia]]="","",tblConteo[[#This Row],[Diferencia]]*N(INDEX(tblProductos[CostoUnitario],ROW()-ROW(tblConteo[#Headers]))))</f>
        <v/>
      </c>
      <c r="L14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9" spans="2:13" x14ac:dyDescent="0.25">
      <c r="B149" s="42" t="str">
        <f>IF(INDEX(tblProductos[SKU],ROW()-ROW(tblConteo[#Headers]))="","",INDEX(tblProductos[SKU],ROW()-ROW(tblConteo[#Headers])))</f>
        <v/>
      </c>
      <c r="C149" s="49" t="str">
        <f>IF(tblConteo[[#This Row],[SKU]]="","",INDEX(tblProductos[Producto],ROW()-ROW(tblConteo[#Headers])))</f>
        <v/>
      </c>
      <c r="D149" s="49" t="str">
        <f>IF(tblConteo[[#This Row],[SKU]]="","",INDEX(tblProductos[Categoría],ROW()-ROW(tblConteo[#Headers]))&amp;"")</f>
        <v/>
      </c>
      <c r="E149" s="42" t="str">
        <f>IF(tblConteo[[#This Row],[SKU]]="","",INDEX(tblProductos[Ubicación],ROW()-ROW(tblConteo[#Headers]))&amp;"")</f>
        <v/>
      </c>
      <c r="F149" s="42" t="str">
        <f>IF(tblConteo[[#This Row],[SKU]]="","",INDEX(tblProductos[Unidad],ROW()-ROW(tblConteo[#Headers]))&amp;"")</f>
        <v/>
      </c>
      <c r="G149" s="42" t="str">
        <f>IF(tblConteo[[#This Row],[SKU]]="","",IF(INDEX(tblProductos[Activo],ROW()-ROW(tblConteo[#Headers]))="NO","NO","SI"))</f>
        <v/>
      </c>
      <c r="H149" s="53" t="str">
        <f>IF(tblConteo[[#This Row],[SKU]]="","",IFERROR(N(INDEX(tblStock[StockActual],MATCH(tblConteo[[#This Row],[SKU]],tblStock[SKU],0))),0))</f>
        <v/>
      </c>
      <c r="I149" s="52"/>
      <c r="J149" s="59" t="str">
        <f>IF(OR(tblConteo[[#This Row],[SKU]]="",tblConteo[[#This Row],[Conteo]]=""),"",IF(ISNUMBER(tblConteo[[#This Row],[Conteo]]),tblConteo[[#This Row],[Conteo]]-N(tblConteo[[#This Row],[Sistema]]),""))</f>
        <v/>
      </c>
      <c r="K149" s="62" t="str">
        <f>IF(tblConteo[[#This Row],[Diferencia]]="","",tblConteo[[#This Row],[Diferencia]]*N(INDEX(tblProductos[CostoUnitario],ROW()-ROW(tblConteo[#Headers]))))</f>
        <v/>
      </c>
      <c r="L14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0" spans="2:13" x14ac:dyDescent="0.25">
      <c r="B150" s="42" t="str">
        <f>IF(INDEX(tblProductos[SKU],ROW()-ROW(tblConteo[#Headers]))="","",INDEX(tblProductos[SKU],ROW()-ROW(tblConteo[#Headers])))</f>
        <v/>
      </c>
      <c r="C150" s="49" t="str">
        <f>IF(tblConteo[[#This Row],[SKU]]="","",INDEX(tblProductos[Producto],ROW()-ROW(tblConteo[#Headers])))</f>
        <v/>
      </c>
      <c r="D150" s="49" t="str">
        <f>IF(tblConteo[[#This Row],[SKU]]="","",INDEX(tblProductos[Categoría],ROW()-ROW(tblConteo[#Headers]))&amp;"")</f>
        <v/>
      </c>
      <c r="E150" s="42" t="str">
        <f>IF(tblConteo[[#This Row],[SKU]]="","",INDEX(tblProductos[Ubicación],ROW()-ROW(tblConteo[#Headers]))&amp;"")</f>
        <v/>
      </c>
      <c r="F150" s="42" t="str">
        <f>IF(tblConteo[[#This Row],[SKU]]="","",INDEX(tblProductos[Unidad],ROW()-ROW(tblConteo[#Headers]))&amp;"")</f>
        <v/>
      </c>
      <c r="G150" s="42" t="str">
        <f>IF(tblConteo[[#This Row],[SKU]]="","",IF(INDEX(tblProductos[Activo],ROW()-ROW(tblConteo[#Headers]))="NO","NO","SI"))</f>
        <v/>
      </c>
      <c r="H150" s="53" t="str">
        <f>IF(tblConteo[[#This Row],[SKU]]="","",IFERROR(N(INDEX(tblStock[StockActual],MATCH(tblConteo[[#This Row],[SKU]],tblStock[SKU],0))),0))</f>
        <v/>
      </c>
      <c r="I150" s="52"/>
      <c r="J150" s="59" t="str">
        <f>IF(OR(tblConteo[[#This Row],[SKU]]="",tblConteo[[#This Row],[Conteo]]=""),"",IF(ISNUMBER(tblConteo[[#This Row],[Conteo]]),tblConteo[[#This Row],[Conteo]]-N(tblConteo[[#This Row],[Sistema]]),""))</f>
        <v/>
      </c>
      <c r="K150" s="62" t="str">
        <f>IF(tblConteo[[#This Row],[Diferencia]]="","",tblConteo[[#This Row],[Diferencia]]*N(INDEX(tblProductos[CostoUnitario],ROW()-ROW(tblConteo[#Headers]))))</f>
        <v/>
      </c>
      <c r="L15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1" spans="2:13" x14ac:dyDescent="0.25">
      <c r="B151" s="42" t="str">
        <f>IF(INDEX(tblProductos[SKU],ROW()-ROW(tblConteo[#Headers]))="","",INDEX(tblProductos[SKU],ROW()-ROW(tblConteo[#Headers])))</f>
        <v/>
      </c>
      <c r="C151" s="49" t="str">
        <f>IF(tblConteo[[#This Row],[SKU]]="","",INDEX(tblProductos[Producto],ROW()-ROW(tblConteo[#Headers])))</f>
        <v/>
      </c>
      <c r="D151" s="49" t="str">
        <f>IF(tblConteo[[#This Row],[SKU]]="","",INDEX(tblProductos[Categoría],ROW()-ROW(tblConteo[#Headers]))&amp;"")</f>
        <v/>
      </c>
      <c r="E151" s="42" t="str">
        <f>IF(tblConteo[[#This Row],[SKU]]="","",INDEX(tblProductos[Ubicación],ROW()-ROW(tblConteo[#Headers]))&amp;"")</f>
        <v/>
      </c>
      <c r="F151" s="42" t="str">
        <f>IF(tblConteo[[#This Row],[SKU]]="","",INDEX(tblProductos[Unidad],ROW()-ROW(tblConteo[#Headers]))&amp;"")</f>
        <v/>
      </c>
      <c r="G151" s="42" t="str">
        <f>IF(tblConteo[[#This Row],[SKU]]="","",IF(INDEX(tblProductos[Activo],ROW()-ROW(tblConteo[#Headers]))="NO","NO","SI"))</f>
        <v/>
      </c>
      <c r="H151" s="53" t="str">
        <f>IF(tblConteo[[#This Row],[SKU]]="","",IFERROR(N(INDEX(tblStock[StockActual],MATCH(tblConteo[[#This Row],[SKU]],tblStock[SKU],0))),0))</f>
        <v/>
      </c>
      <c r="I151" s="52"/>
      <c r="J151" s="59" t="str">
        <f>IF(OR(tblConteo[[#This Row],[SKU]]="",tblConteo[[#This Row],[Conteo]]=""),"",IF(ISNUMBER(tblConteo[[#This Row],[Conteo]]),tblConteo[[#This Row],[Conteo]]-N(tblConteo[[#This Row],[Sistema]]),""))</f>
        <v/>
      </c>
      <c r="K151" s="62" t="str">
        <f>IF(tblConteo[[#This Row],[Diferencia]]="","",tblConteo[[#This Row],[Diferencia]]*N(INDEX(tblProductos[CostoUnitario],ROW()-ROW(tblConteo[#Headers]))))</f>
        <v/>
      </c>
      <c r="L15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2" spans="2:13" x14ac:dyDescent="0.25">
      <c r="B152" s="42" t="str">
        <f>IF(INDEX(tblProductos[SKU],ROW()-ROW(tblConteo[#Headers]))="","",INDEX(tblProductos[SKU],ROW()-ROW(tblConteo[#Headers])))</f>
        <v/>
      </c>
      <c r="C152" s="49" t="str">
        <f>IF(tblConteo[[#This Row],[SKU]]="","",INDEX(tblProductos[Producto],ROW()-ROW(tblConteo[#Headers])))</f>
        <v/>
      </c>
      <c r="D152" s="49" t="str">
        <f>IF(tblConteo[[#This Row],[SKU]]="","",INDEX(tblProductos[Categoría],ROW()-ROW(tblConteo[#Headers]))&amp;"")</f>
        <v/>
      </c>
      <c r="E152" s="42" t="str">
        <f>IF(tblConteo[[#This Row],[SKU]]="","",INDEX(tblProductos[Ubicación],ROW()-ROW(tblConteo[#Headers]))&amp;"")</f>
        <v/>
      </c>
      <c r="F152" s="42" t="str">
        <f>IF(tblConteo[[#This Row],[SKU]]="","",INDEX(tblProductos[Unidad],ROW()-ROW(tblConteo[#Headers]))&amp;"")</f>
        <v/>
      </c>
      <c r="G152" s="42" t="str">
        <f>IF(tblConteo[[#This Row],[SKU]]="","",IF(INDEX(tblProductos[Activo],ROW()-ROW(tblConteo[#Headers]))="NO","NO","SI"))</f>
        <v/>
      </c>
      <c r="H152" s="53" t="str">
        <f>IF(tblConteo[[#This Row],[SKU]]="","",IFERROR(N(INDEX(tblStock[StockActual],MATCH(tblConteo[[#This Row],[SKU]],tblStock[SKU],0))),0))</f>
        <v/>
      </c>
      <c r="I152" s="52"/>
      <c r="J152" s="59" t="str">
        <f>IF(OR(tblConteo[[#This Row],[SKU]]="",tblConteo[[#This Row],[Conteo]]=""),"",IF(ISNUMBER(tblConteo[[#This Row],[Conteo]]),tblConteo[[#This Row],[Conteo]]-N(tblConteo[[#This Row],[Sistema]]),""))</f>
        <v/>
      </c>
      <c r="K152" s="62" t="str">
        <f>IF(tblConteo[[#This Row],[Diferencia]]="","",tblConteo[[#This Row],[Diferencia]]*N(INDEX(tblProductos[CostoUnitario],ROW()-ROW(tblConteo[#Headers]))))</f>
        <v/>
      </c>
      <c r="L15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3" spans="2:13" x14ac:dyDescent="0.25">
      <c r="B153" s="42" t="str">
        <f>IF(INDEX(tblProductos[SKU],ROW()-ROW(tblConteo[#Headers]))="","",INDEX(tblProductos[SKU],ROW()-ROW(tblConteo[#Headers])))</f>
        <v/>
      </c>
      <c r="C153" s="49" t="str">
        <f>IF(tblConteo[[#This Row],[SKU]]="","",INDEX(tblProductos[Producto],ROW()-ROW(tblConteo[#Headers])))</f>
        <v/>
      </c>
      <c r="D153" s="49" t="str">
        <f>IF(tblConteo[[#This Row],[SKU]]="","",INDEX(tblProductos[Categoría],ROW()-ROW(tblConteo[#Headers]))&amp;"")</f>
        <v/>
      </c>
      <c r="E153" s="42" t="str">
        <f>IF(tblConteo[[#This Row],[SKU]]="","",INDEX(tblProductos[Ubicación],ROW()-ROW(tblConteo[#Headers]))&amp;"")</f>
        <v/>
      </c>
      <c r="F153" s="42" t="str">
        <f>IF(tblConteo[[#This Row],[SKU]]="","",INDEX(tblProductos[Unidad],ROW()-ROW(tblConteo[#Headers]))&amp;"")</f>
        <v/>
      </c>
      <c r="G153" s="42" t="str">
        <f>IF(tblConteo[[#This Row],[SKU]]="","",IF(INDEX(tblProductos[Activo],ROW()-ROW(tblConteo[#Headers]))="NO","NO","SI"))</f>
        <v/>
      </c>
      <c r="H153" s="53" t="str">
        <f>IF(tblConteo[[#This Row],[SKU]]="","",IFERROR(N(INDEX(tblStock[StockActual],MATCH(tblConteo[[#This Row],[SKU]],tblStock[SKU],0))),0))</f>
        <v/>
      </c>
      <c r="I153" s="52"/>
      <c r="J153" s="59" t="str">
        <f>IF(OR(tblConteo[[#This Row],[SKU]]="",tblConteo[[#This Row],[Conteo]]=""),"",IF(ISNUMBER(tblConteo[[#This Row],[Conteo]]),tblConteo[[#This Row],[Conteo]]-N(tblConteo[[#This Row],[Sistema]]),""))</f>
        <v/>
      </c>
      <c r="K153" s="62" t="str">
        <f>IF(tblConteo[[#This Row],[Diferencia]]="","",tblConteo[[#This Row],[Diferencia]]*N(INDEX(tblProductos[CostoUnitario],ROW()-ROW(tblConteo[#Headers]))))</f>
        <v/>
      </c>
      <c r="L15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4" spans="2:13" x14ac:dyDescent="0.25">
      <c r="B154" s="42" t="str">
        <f>IF(INDEX(tblProductos[SKU],ROW()-ROW(tblConteo[#Headers]))="","",INDEX(tblProductos[SKU],ROW()-ROW(tblConteo[#Headers])))</f>
        <v/>
      </c>
      <c r="C154" s="49" t="str">
        <f>IF(tblConteo[[#This Row],[SKU]]="","",INDEX(tblProductos[Producto],ROW()-ROW(tblConteo[#Headers])))</f>
        <v/>
      </c>
      <c r="D154" s="49" t="str">
        <f>IF(tblConteo[[#This Row],[SKU]]="","",INDEX(tblProductos[Categoría],ROW()-ROW(tblConteo[#Headers]))&amp;"")</f>
        <v/>
      </c>
      <c r="E154" s="42" t="str">
        <f>IF(tblConteo[[#This Row],[SKU]]="","",INDEX(tblProductos[Ubicación],ROW()-ROW(tblConteo[#Headers]))&amp;"")</f>
        <v/>
      </c>
      <c r="F154" s="42" t="str">
        <f>IF(tblConteo[[#This Row],[SKU]]="","",INDEX(tblProductos[Unidad],ROW()-ROW(tblConteo[#Headers]))&amp;"")</f>
        <v/>
      </c>
      <c r="G154" s="42" t="str">
        <f>IF(tblConteo[[#This Row],[SKU]]="","",IF(INDEX(tblProductos[Activo],ROW()-ROW(tblConteo[#Headers]))="NO","NO","SI"))</f>
        <v/>
      </c>
      <c r="H154" s="53" t="str">
        <f>IF(tblConteo[[#This Row],[SKU]]="","",IFERROR(N(INDEX(tblStock[StockActual],MATCH(tblConteo[[#This Row],[SKU]],tblStock[SKU],0))),0))</f>
        <v/>
      </c>
      <c r="I154" s="52"/>
      <c r="J154" s="59" t="str">
        <f>IF(OR(tblConteo[[#This Row],[SKU]]="",tblConteo[[#This Row],[Conteo]]=""),"",IF(ISNUMBER(tblConteo[[#This Row],[Conteo]]),tblConteo[[#This Row],[Conteo]]-N(tblConteo[[#This Row],[Sistema]]),""))</f>
        <v/>
      </c>
      <c r="K154" s="62" t="str">
        <f>IF(tblConteo[[#This Row],[Diferencia]]="","",tblConteo[[#This Row],[Diferencia]]*N(INDEX(tblProductos[CostoUnitario],ROW()-ROW(tblConteo[#Headers]))))</f>
        <v/>
      </c>
      <c r="L15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5" spans="2:13" x14ac:dyDescent="0.25">
      <c r="B155" s="42" t="str">
        <f>IF(INDEX(tblProductos[SKU],ROW()-ROW(tblConteo[#Headers]))="","",INDEX(tblProductos[SKU],ROW()-ROW(tblConteo[#Headers])))</f>
        <v/>
      </c>
      <c r="C155" s="49" t="str">
        <f>IF(tblConteo[[#This Row],[SKU]]="","",INDEX(tblProductos[Producto],ROW()-ROW(tblConteo[#Headers])))</f>
        <v/>
      </c>
      <c r="D155" s="49" t="str">
        <f>IF(tblConteo[[#This Row],[SKU]]="","",INDEX(tblProductos[Categoría],ROW()-ROW(tblConteo[#Headers]))&amp;"")</f>
        <v/>
      </c>
      <c r="E155" s="42" t="str">
        <f>IF(tblConteo[[#This Row],[SKU]]="","",INDEX(tblProductos[Ubicación],ROW()-ROW(tblConteo[#Headers]))&amp;"")</f>
        <v/>
      </c>
      <c r="F155" s="42" t="str">
        <f>IF(tblConteo[[#This Row],[SKU]]="","",INDEX(tblProductos[Unidad],ROW()-ROW(tblConteo[#Headers]))&amp;"")</f>
        <v/>
      </c>
      <c r="G155" s="42" t="str">
        <f>IF(tblConteo[[#This Row],[SKU]]="","",IF(INDEX(tblProductos[Activo],ROW()-ROW(tblConteo[#Headers]))="NO","NO","SI"))</f>
        <v/>
      </c>
      <c r="H155" s="53" t="str">
        <f>IF(tblConteo[[#This Row],[SKU]]="","",IFERROR(N(INDEX(tblStock[StockActual],MATCH(tblConteo[[#This Row],[SKU]],tblStock[SKU],0))),0))</f>
        <v/>
      </c>
      <c r="I155" s="52"/>
      <c r="J155" s="59" t="str">
        <f>IF(OR(tblConteo[[#This Row],[SKU]]="",tblConteo[[#This Row],[Conteo]]=""),"",IF(ISNUMBER(tblConteo[[#This Row],[Conteo]]),tblConteo[[#This Row],[Conteo]]-N(tblConteo[[#This Row],[Sistema]]),""))</f>
        <v/>
      </c>
      <c r="K155" s="62" t="str">
        <f>IF(tblConteo[[#This Row],[Diferencia]]="","",tblConteo[[#This Row],[Diferencia]]*N(INDEX(tblProductos[CostoUnitario],ROW()-ROW(tblConteo[#Headers]))))</f>
        <v/>
      </c>
      <c r="L15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6" spans="2:13" x14ac:dyDescent="0.25">
      <c r="B156" s="42" t="str">
        <f>IF(INDEX(tblProductos[SKU],ROW()-ROW(tblConteo[#Headers]))="","",INDEX(tblProductos[SKU],ROW()-ROW(tblConteo[#Headers])))</f>
        <v/>
      </c>
      <c r="C156" s="49" t="str">
        <f>IF(tblConteo[[#This Row],[SKU]]="","",INDEX(tblProductos[Producto],ROW()-ROW(tblConteo[#Headers])))</f>
        <v/>
      </c>
      <c r="D156" s="49" t="str">
        <f>IF(tblConteo[[#This Row],[SKU]]="","",INDEX(tblProductos[Categoría],ROW()-ROW(tblConteo[#Headers]))&amp;"")</f>
        <v/>
      </c>
      <c r="E156" s="42" t="str">
        <f>IF(tblConteo[[#This Row],[SKU]]="","",INDEX(tblProductos[Ubicación],ROW()-ROW(tblConteo[#Headers]))&amp;"")</f>
        <v/>
      </c>
      <c r="F156" s="42" t="str">
        <f>IF(tblConteo[[#This Row],[SKU]]="","",INDEX(tblProductos[Unidad],ROW()-ROW(tblConteo[#Headers]))&amp;"")</f>
        <v/>
      </c>
      <c r="G156" s="42" t="str">
        <f>IF(tblConteo[[#This Row],[SKU]]="","",IF(INDEX(tblProductos[Activo],ROW()-ROW(tblConteo[#Headers]))="NO","NO","SI"))</f>
        <v/>
      </c>
      <c r="H156" s="53" t="str">
        <f>IF(tblConteo[[#This Row],[SKU]]="","",IFERROR(N(INDEX(tblStock[StockActual],MATCH(tblConteo[[#This Row],[SKU]],tblStock[SKU],0))),0))</f>
        <v/>
      </c>
      <c r="I156" s="52"/>
      <c r="J156" s="59" t="str">
        <f>IF(OR(tblConteo[[#This Row],[SKU]]="",tblConteo[[#This Row],[Conteo]]=""),"",IF(ISNUMBER(tblConteo[[#This Row],[Conteo]]),tblConteo[[#This Row],[Conteo]]-N(tblConteo[[#This Row],[Sistema]]),""))</f>
        <v/>
      </c>
      <c r="K156" s="62" t="str">
        <f>IF(tblConteo[[#This Row],[Diferencia]]="","",tblConteo[[#This Row],[Diferencia]]*N(INDEX(tblProductos[CostoUnitario],ROW()-ROW(tblConteo[#Headers]))))</f>
        <v/>
      </c>
      <c r="L15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7" spans="2:13" x14ac:dyDescent="0.25">
      <c r="B157" s="42" t="str">
        <f>IF(INDEX(tblProductos[SKU],ROW()-ROW(tblConteo[#Headers]))="","",INDEX(tblProductos[SKU],ROW()-ROW(tblConteo[#Headers])))</f>
        <v/>
      </c>
      <c r="C157" s="49" t="str">
        <f>IF(tblConteo[[#This Row],[SKU]]="","",INDEX(tblProductos[Producto],ROW()-ROW(tblConteo[#Headers])))</f>
        <v/>
      </c>
      <c r="D157" s="49" t="str">
        <f>IF(tblConteo[[#This Row],[SKU]]="","",INDEX(tblProductos[Categoría],ROW()-ROW(tblConteo[#Headers]))&amp;"")</f>
        <v/>
      </c>
      <c r="E157" s="42" t="str">
        <f>IF(tblConteo[[#This Row],[SKU]]="","",INDEX(tblProductos[Ubicación],ROW()-ROW(tblConteo[#Headers]))&amp;"")</f>
        <v/>
      </c>
      <c r="F157" s="42" t="str">
        <f>IF(tblConteo[[#This Row],[SKU]]="","",INDEX(tblProductos[Unidad],ROW()-ROW(tblConteo[#Headers]))&amp;"")</f>
        <v/>
      </c>
      <c r="G157" s="42" t="str">
        <f>IF(tblConteo[[#This Row],[SKU]]="","",IF(INDEX(tblProductos[Activo],ROW()-ROW(tblConteo[#Headers]))="NO","NO","SI"))</f>
        <v/>
      </c>
      <c r="H157" s="53" t="str">
        <f>IF(tblConteo[[#This Row],[SKU]]="","",IFERROR(N(INDEX(tblStock[StockActual],MATCH(tblConteo[[#This Row],[SKU]],tblStock[SKU],0))),0))</f>
        <v/>
      </c>
      <c r="I157" s="52"/>
      <c r="J157" s="59" t="str">
        <f>IF(OR(tblConteo[[#This Row],[SKU]]="",tblConteo[[#This Row],[Conteo]]=""),"",IF(ISNUMBER(tblConteo[[#This Row],[Conteo]]),tblConteo[[#This Row],[Conteo]]-N(tblConteo[[#This Row],[Sistema]]),""))</f>
        <v/>
      </c>
      <c r="K157" s="62" t="str">
        <f>IF(tblConteo[[#This Row],[Diferencia]]="","",tblConteo[[#This Row],[Diferencia]]*N(INDEX(tblProductos[CostoUnitario],ROW()-ROW(tblConteo[#Headers]))))</f>
        <v/>
      </c>
      <c r="L15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8" spans="2:13" x14ac:dyDescent="0.25">
      <c r="B158" s="42" t="str">
        <f>IF(INDEX(tblProductos[SKU],ROW()-ROW(tblConteo[#Headers]))="","",INDEX(tblProductos[SKU],ROW()-ROW(tblConteo[#Headers])))</f>
        <v/>
      </c>
      <c r="C158" s="49" t="str">
        <f>IF(tblConteo[[#This Row],[SKU]]="","",INDEX(tblProductos[Producto],ROW()-ROW(tblConteo[#Headers])))</f>
        <v/>
      </c>
      <c r="D158" s="49" t="str">
        <f>IF(tblConteo[[#This Row],[SKU]]="","",INDEX(tblProductos[Categoría],ROW()-ROW(tblConteo[#Headers]))&amp;"")</f>
        <v/>
      </c>
      <c r="E158" s="42" t="str">
        <f>IF(tblConteo[[#This Row],[SKU]]="","",INDEX(tblProductos[Ubicación],ROW()-ROW(tblConteo[#Headers]))&amp;"")</f>
        <v/>
      </c>
      <c r="F158" s="42" t="str">
        <f>IF(tblConteo[[#This Row],[SKU]]="","",INDEX(tblProductos[Unidad],ROW()-ROW(tblConteo[#Headers]))&amp;"")</f>
        <v/>
      </c>
      <c r="G158" s="42" t="str">
        <f>IF(tblConteo[[#This Row],[SKU]]="","",IF(INDEX(tblProductos[Activo],ROW()-ROW(tblConteo[#Headers]))="NO","NO","SI"))</f>
        <v/>
      </c>
      <c r="H158" s="53" t="str">
        <f>IF(tblConteo[[#This Row],[SKU]]="","",IFERROR(N(INDEX(tblStock[StockActual],MATCH(tblConteo[[#This Row],[SKU]],tblStock[SKU],0))),0))</f>
        <v/>
      </c>
      <c r="I158" s="52"/>
      <c r="J158" s="59" t="str">
        <f>IF(OR(tblConteo[[#This Row],[SKU]]="",tblConteo[[#This Row],[Conteo]]=""),"",IF(ISNUMBER(tblConteo[[#This Row],[Conteo]]),tblConteo[[#This Row],[Conteo]]-N(tblConteo[[#This Row],[Sistema]]),""))</f>
        <v/>
      </c>
      <c r="K158" s="62" t="str">
        <f>IF(tblConteo[[#This Row],[Diferencia]]="","",tblConteo[[#This Row],[Diferencia]]*N(INDEX(tblProductos[CostoUnitario],ROW()-ROW(tblConteo[#Headers]))))</f>
        <v/>
      </c>
      <c r="L15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9" spans="2:13" x14ac:dyDescent="0.25">
      <c r="B159" s="42" t="str">
        <f>IF(INDEX(tblProductos[SKU],ROW()-ROW(tblConteo[#Headers]))="","",INDEX(tblProductos[SKU],ROW()-ROW(tblConteo[#Headers])))</f>
        <v/>
      </c>
      <c r="C159" s="49" t="str">
        <f>IF(tblConteo[[#This Row],[SKU]]="","",INDEX(tblProductos[Producto],ROW()-ROW(tblConteo[#Headers])))</f>
        <v/>
      </c>
      <c r="D159" s="49" t="str">
        <f>IF(tblConteo[[#This Row],[SKU]]="","",INDEX(tblProductos[Categoría],ROW()-ROW(tblConteo[#Headers]))&amp;"")</f>
        <v/>
      </c>
      <c r="E159" s="42" t="str">
        <f>IF(tblConteo[[#This Row],[SKU]]="","",INDEX(tblProductos[Ubicación],ROW()-ROW(tblConteo[#Headers]))&amp;"")</f>
        <v/>
      </c>
      <c r="F159" s="42" t="str">
        <f>IF(tblConteo[[#This Row],[SKU]]="","",INDEX(tblProductos[Unidad],ROW()-ROW(tblConteo[#Headers]))&amp;"")</f>
        <v/>
      </c>
      <c r="G159" s="42" t="str">
        <f>IF(tblConteo[[#This Row],[SKU]]="","",IF(INDEX(tblProductos[Activo],ROW()-ROW(tblConteo[#Headers]))="NO","NO","SI"))</f>
        <v/>
      </c>
      <c r="H159" s="53" t="str">
        <f>IF(tblConteo[[#This Row],[SKU]]="","",IFERROR(N(INDEX(tblStock[StockActual],MATCH(tblConteo[[#This Row],[SKU]],tblStock[SKU],0))),0))</f>
        <v/>
      </c>
      <c r="I159" s="52"/>
      <c r="J159" s="59" t="str">
        <f>IF(OR(tblConteo[[#This Row],[SKU]]="",tblConteo[[#This Row],[Conteo]]=""),"",IF(ISNUMBER(tblConteo[[#This Row],[Conteo]]),tblConteo[[#This Row],[Conteo]]-N(tblConteo[[#This Row],[Sistema]]),""))</f>
        <v/>
      </c>
      <c r="K159" s="62" t="str">
        <f>IF(tblConteo[[#This Row],[Diferencia]]="","",tblConteo[[#This Row],[Diferencia]]*N(INDEX(tblProductos[CostoUnitario],ROW()-ROW(tblConteo[#Headers]))))</f>
        <v/>
      </c>
      <c r="L15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0" spans="2:13" x14ac:dyDescent="0.25">
      <c r="B160" s="42" t="str">
        <f>IF(INDEX(tblProductos[SKU],ROW()-ROW(tblConteo[#Headers]))="","",INDEX(tblProductos[SKU],ROW()-ROW(tblConteo[#Headers])))</f>
        <v/>
      </c>
      <c r="C160" s="49" t="str">
        <f>IF(tblConteo[[#This Row],[SKU]]="","",INDEX(tblProductos[Producto],ROW()-ROW(tblConteo[#Headers])))</f>
        <v/>
      </c>
      <c r="D160" s="49" t="str">
        <f>IF(tblConteo[[#This Row],[SKU]]="","",INDEX(tblProductos[Categoría],ROW()-ROW(tblConteo[#Headers]))&amp;"")</f>
        <v/>
      </c>
      <c r="E160" s="42" t="str">
        <f>IF(tblConteo[[#This Row],[SKU]]="","",INDEX(tblProductos[Ubicación],ROW()-ROW(tblConteo[#Headers]))&amp;"")</f>
        <v/>
      </c>
      <c r="F160" s="42" t="str">
        <f>IF(tblConteo[[#This Row],[SKU]]="","",INDEX(tblProductos[Unidad],ROW()-ROW(tblConteo[#Headers]))&amp;"")</f>
        <v/>
      </c>
      <c r="G160" s="42" t="str">
        <f>IF(tblConteo[[#This Row],[SKU]]="","",IF(INDEX(tblProductos[Activo],ROW()-ROW(tblConteo[#Headers]))="NO","NO","SI"))</f>
        <v/>
      </c>
      <c r="H160" s="53" t="str">
        <f>IF(tblConteo[[#This Row],[SKU]]="","",IFERROR(N(INDEX(tblStock[StockActual],MATCH(tblConteo[[#This Row],[SKU]],tblStock[SKU],0))),0))</f>
        <v/>
      </c>
      <c r="I160" s="52"/>
      <c r="J160" s="59" t="str">
        <f>IF(OR(tblConteo[[#This Row],[SKU]]="",tblConteo[[#This Row],[Conteo]]=""),"",IF(ISNUMBER(tblConteo[[#This Row],[Conteo]]),tblConteo[[#This Row],[Conteo]]-N(tblConteo[[#This Row],[Sistema]]),""))</f>
        <v/>
      </c>
      <c r="K160" s="62" t="str">
        <f>IF(tblConteo[[#This Row],[Diferencia]]="","",tblConteo[[#This Row],[Diferencia]]*N(INDEX(tblProductos[CostoUnitario],ROW()-ROW(tblConteo[#Headers]))))</f>
        <v/>
      </c>
      <c r="L16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1" spans="2:13" x14ac:dyDescent="0.25">
      <c r="B161" s="42" t="str">
        <f>IF(INDEX(tblProductos[SKU],ROW()-ROW(tblConteo[#Headers]))="","",INDEX(tblProductos[SKU],ROW()-ROW(tblConteo[#Headers])))</f>
        <v/>
      </c>
      <c r="C161" s="49" t="str">
        <f>IF(tblConteo[[#This Row],[SKU]]="","",INDEX(tblProductos[Producto],ROW()-ROW(tblConteo[#Headers])))</f>
        <v/>
      </c>
      <c r="D161" s="49" t="str">
        <f>IF(tblConteo[[#This Row],[SKU]]="","",INDEX(tblProductos[Categoría],ROW()-ROW(tblConteo[#Headers]))&amp;"")</f>
        <v/>
      </c>
      <c r="E161" s="42" t="str">
        <f>IF(tblConteo[[#This Row],[SKU]]="","",INDEX(tblProductos[Ubicación],ROW()-ROW(tblConteo[#Headers]))&amp;"")</f>
        <v/>
      </c>
      <c r="F161" s="42" t="str">
        <f>IF(tblConteo[[#This Row],[SKU]]="","",INDEX(tblProductos[Unidad],ROW()-ROW(tblConteo[#Headers]))&amp;"")</f>
        <v/>
      </c>
      <c r="G161" s="42" t="str">
        <f>IF(tblConteo[[#This Row],[SKU]]="","",IF(INDEX(tblProductos[Activo],ROW()-ROW(tblConteo[#Headers]))="NO","NO","SI"))</f>
        <v/>
      </c>
      <c r="H161" s="53" t="str">
        <f>IF(tblConteo[[#This Row],[SKU]]="","",IFERROR(N(INDEX(tblStock[StockActual],MATCH(tblConteo[[#This Row],[SKU]],tblStock[SKU],0))),0))</f>
        <v/>
      </c>
      <c r="I161" s="52"/>
      <c r="J161" s="59" t="str">
        <f>IF(OR(tblConteo[[#This Row],[SKU]]="",tblConteo[[#This Row],[Conteo]]=""),"",IF(ISNUMBER(tblConteo[[#This Row],[Conteo]]),tblConteo[[#This Row],[Conteo]]-N(tblConteo[[#This Row],[Sistema]]),""))</f>
        <v/>
      </c>
      <c r="K161" s="62" t="str">
        <f>IF(tblConteo[[#This Row],[Diferencia]]="","",tblConteo[[#This Row],[Diferencia]]*N(INDEX(tblProductos[CostoUnitario],ROW()-ROW(tblConteo[#Headers]))))</f>
        <v/>
      </c>
      <c r="L16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2" spans="2:13" x14ac:dyDescent="0.25">
      <c r="B162" s="42" t="str">
        <f>IF(INDEX(tblProductos[SKU],ROW()-ROW(tblConteo[#Headers]))="","",INDEX(tblProductos[SKU],ROW()-ROW(tblConteo[#Headers])))</f>
        <v/>
      </c>
      <c r="C162" s="49" t="str">
        <f>IF(tblConteo[[#This Row],[SKU]]="","",INDEX(tblProductos[Producto],ROW()-ROW(tblConteo[#Headers])))</f>
        <v/>
      </c>
      <c r="D162" s="49" t="str">
        <f>IF(tblConteo[[#This Row],[SKU]]="","",INDEX(tblProductos[Categoría],ROW()-ROW(tblConteo[#Headers]))&amp;"")</f>
        <v/>
      </c>
      <c r="E162" s="42" t="str">
        <f>IF(tblConteo[[#This Row],[SKU]]="","",INDEX(tblProductos[Ubicación],ROW()-ROW(tblConteo[#Headers]))&amp;"")</f>
        <v/>
      </c>
      <c r="F162" s="42" t="str">
        <f>IF(tblConteo[[#This Row],[SKU]]="","",INDEX(tblProductos[Unidad],ROW()-ROW(tblConteo[#Headers]))&amp;"")</f>
        <v/>
      </c>
      <c r="G162" s="42" t="str">
        <f>IF(tblConteo[[#This Row],[SKU]]="","",IF(INDEX(tblProductos[Activo],ROW()-ROW(tblConteo[#Headers]))="NO","NO","SI"))</f>
        <v/>
      </c>
      <c r="H162" s="53" t="str">
        <f>IF(tblConteo[[#This Row],[SKU]]="","",IFERROR(N(INDEX(tblStock[StockActual],MATCH(tblConteo[[#This Row],[SKU]],tblStock[SKU],0))),0))</f>
        <v/>
      </c>
      <c r="I162" s="52"/>
      <c r="J162" s="59" t="str">
        <f>IF(OR(tblConteo[[#This Row],[SKU]]="",tblConteo[[#This Row],[Conteo]]=""),"",IF(ISNUMBER(tblConteo[[#This Row],[Conteo]]),tblConteo[[#This Row],[Conteo]]-N(tblConteo[[#This Row],[Sistema]]),""))</f>
        <v/>
      </c>
      <c r="K162" s="62" t="str">
        <f>IF(tblConteo[[#This Row],[Diferencia]]="","",tblConteo[[#This Row],[Diferencia]]*N(INDEX(tblProductos[CostoUnitario],ROW()-ROW(tblConteo[#Headers]))))</f>
        <v/>
      </c>
      <c r="L16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3" spans="2:13" x14ac:dyDescent="0.25">
      <c r="B163" s="42" t="str">
        <f>IF(INDEX(tblProductos[SKU],ROW()-ROW(tblConteo[#Headers]))="","",INDEX(tblProductos[SKU],ROW()-ROW(tblConteo[#Headers])))</f>
        <v/>
      </c>
      <c r="C163" s="49" t="str">
        <f>IF(tblConteo[[#This Row],[SKU]]="","",INDEX(tblProductos[Producto],ROW()-ROW(tblConteo[#Headers])))</f>
        <v/>
      </c>
      <c r="D163" s="49" t="str">
        <f>IF(tblConteo[[#This Row],[SKU]]="","",INDEX(tblProductos[Categoría],ROW()-ROW(tblConteo[#Headers]))&amp;"")</f>
        <v/>
      </c>
      <c r="E163" s="42" t="str">
        <f>IF(tblConteo[[#This Row],[SKU]]="","",INDEX(tblProductos[Ubicación],ROW()-ROW(tblConteo[#Headers]))&amp;"")</f>
        <v/>
      </c>
      <c r="F163" s="42" t="str">
        <f>IF(tblConteo[[#This Row],[SKU]]="","",INDEX(tblProductos[Unidad],ROW()-ROW(tblConteo[#Headers]))&amp;"")</f>
        <v/>
      </c>
      <c r="G163" s="42" t="str">
        <f>IF(tblConteo[[#This Row],[SKU]]="","",IF(INDEX(tblProductos[Activo],ROW()-ROW(tblConteo[#Headers]))="NO","NO","SI"))</f>
        <v/>
      </c>
      <c r="H163" s="53" t="str">
        <f>IF(tblConteo[[#This Row],[SKU]]="","",IFERROR(N(INDEX(tblStock[StockActual],MATCH(tblConteo[[#This Row],[SKU]],tblStock[SKU],0))),0))</f>
        <v/>
      </c>
      <c r="I163" s="52"/>
      <c r="J163" s="59" t="str">
        <f>IF(OR(tblConteo[[#This Row],[SKU]]="",tblConteo[[#This Row],[Conteo]]=""),"",IF(ISNUMBER(tblConteo[[#This Row],[Conteo]]),tblConteo[[#This Row],[Conteo]]-N(tblConteo[[#This Row],[Sistema]]),""))</f>
        <v/>
      </c>
      <c r="K163" s="62" t="str">
        <f>IF(tblConteo[[#This Row],[Diferencia]]="","",tblConteo[[#This Row],[Diferencia]]*N(INDEX(tblProductos[CostoUnitario],ROW()-ROW(tblConteo[#Headers]))))</f>
        <v/>
      </c>
      <c r="L16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4" spans="2:13" x14ac:dyDescent="0.25">
      <c r="B164" s="42" t="str">
        <f>IF(INDEX(tblProductos[SKU],ROW()-ROW(tblConteo[#Headers]))="","",INDEX(tblProductos[SKU],ROW()-ROW(tblConteo[#Headers])))</f>
        <v/>
      </c>
      <c r="C164" s="49" t="str">
        <f>IF(tblConteo[[#This Row],[SKU]]="","",INDEX(tblProductos[Producto],ROW()-ROW(tblConteo[#Headers])))</f>
        <v/>
      </c>
      <c r="D164" s="49" t="str">
        <f>IF(tblConteo[[#This Row],[SKU]]="","",INDEX(tblProductos[Categoría],ROW()-ROW(tblConteo[#Headers]))&amp;"")</f>
        <v/>
      </c>
      <c r="E164" s="42" t="str">
        <f>IF(tblConteo[[#This Row],[SKU]]="","",INDEX(tblProductos[Ubicación],ROW()-ROW(tblConteo[#Headers]))&amp;"")</f>
        <v/>
      </c>
      <c r="F164" s="42" t="str">
        <f>IF(tblConteo[[#This Row],[SKU]]="","",INDEX(tblProductos[Unidad],ROW()-ROW(tblConteo[#Headers]))&amp;"")</f>
        <v/>
      </c>
      <c r="G164" s="42" t="str">
        <f>IF(tblConteo[[#This Row],[SKU]]="","",IF(INDEX(tblProductos[Activo],ROW()-ROW(tblConteo[#Headers]))="NO","NO","SI"))</f>
        <v/>
      </c>
      <c r="H164" s="53" t="str">
        <f>IF(tblConteo[[#This Row],[SKU]]="","",IFERROR(N(INDEX(tblStock[StockActual],MATCH(tblConteo[[#This Row],[SKU]],tblStock[SKU],0))),0))</f>
        <v/>
      </c>
      <c r="I164" s="52"/>
      <c r="J164" s="59" t="str">
        <f>IF(OR(tblConteo[[#This Row],[SKU]]="",tblConteo[[#This Row],[Conteo]]=""),"",IF(ISNUMBER(tblConteo[[#This Row],[Conteo]]),tblConteo[[#This Row],[Conteo]]-N(tblConteo[[#This Row],[Sistema]]),""))</f>
        <v/>
      </c>
      <c r="K164" s="62" t="str">
        <f>IF(tblConteo[[#This Row],[Diferencia]]="","",tblConteo[[#This Row],[Diferencia]]*N(INDEX(tblProductos[CostoUnitario],ROW()-ROW(tblConteo[#Headers]))))</f>
        <v/>
      </c>
      <c r="L16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5" spans="2:13" x14ac:dyDescent="0.25">
      <c r="B165" s="42" t="str">
        <f>IF(INDEX(tblProductos[SKU],ROW()-ROW(tblConteo[#Headers]))="","",INDEX(tblProductos[SKU],ROW()-ROW(tblConteo[#Headers])))</f>
        <v/>
      </c>
      <c r="C165" s="49" t="str">
        <f>IF(tblConteo[[#This Row],[SKU]]="","",INDEX(tblProductos[Producto],ROW()-ROW(tblConteo[#Headers])))</f>
        <v/>
      </c>
      <c r="D165" s="49" t="str">
        <f>IF(tblConteo[[#This Row],[SKU]]="","",INDEX(tblProductos[Categoría],ROW()-ROW(tblConteo[#Headers]))&amp;"")</f>
        <v/>
      </c>
      <c r="E165" s="42" t="str">
        <f>IF(tblConteo[[#This Row],[SKU]]="","",INDEX(tblProductos[Ubicación],ROW()-ROW(tblConteo[#Headers]))&amp;"")</f>
        <v/>
      </c>
      <c r="F165" s="42" t="str">
        <f>IF(tblConteo[[#This Row],[SKU]]="","",INDEX(tblProductos[Unidad],ROW()-ROW(tblConteo[#Headers]))&amp;"")</f>
        <v/>
      </c>
      <c r="G165" s="42" t="str">
        <f>IF(tblConteo[[#This Row],[SKU]]="","",IF(INDEX(tblProductos[Activo],ROW()-ROW(tblConteo[#Headers]))="NO","NO","SI"))</f>
        <v/>
      </c>
      <c r="H165" s="53" t="str">
        <f>IF(tblConteo[[#This Row],[SKU]]="","",IFERROR(N(INDEX(tblStock[StockActual],MATCH(tblConteo[[#This Row],[SKU]],tblStock[SKU],0))),0))</f>
        <v/>
      </c>
      <c r="I165" s="52"/>
      <c r="J165" s="59" t="str">
        <f>IF(OR(tblConteo[[#This Row],[SKU]]="",tblConteo[[#This Row],[Conteo]]=""),"",IF(ISNUMBER(tblConteo[[#This Row],[Conteo]]),tblConteo[[#This Row],[Conteo]]-N(tblConteo[[#This Row],[Sistema]]),""))</f>
        <v/>
      </c>
      <c r="K165" s="62" t="str">
        <f>IF(tblConteo[[#This Row],[Diferencia]]="","",tblConteo[[#This Row],[Diferencia]]*N(INDEX(tblProductos[CostoUnitario],ROW()-ROW(tblConteo[#Headers]))))</f>
        <v/>
      </c>
      <c r="L16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6" spans="2:13" x14ac:dyDescent="0.25">
      <c r="B166" s="42" t="str">
        <f>IF(INDEX(tblProductos[SKU],ROW()-ROW(tblConteo[#Headers]))="","",INDEX(tblProductos[SKU],ROW()-ROW(tblConteo[#Headers])))</f>
        <v/>
      </c>
      <c r="C166" s="49" t="str">
        <f>IF(tblConteo[[#This Row],[SKU]]="","",INDEX(tblProductos[Producto],ROW()-ROW(tblConteo[#Headers])))</f>
        <v/>
      </c>
      <c r="D166" s="49" t="str">
        <f>IF(tblConteo[[#This Row],[SKU]]="","",INDEX(tblProductos[Categoría],ROW()-ROW(tblConteo[#Headers]))&amp;"")</f>
        <v/>
      </c>
      <c r="E166" s="42" t="str">
        <f>IF(tblConteo[[#This Row],[SKU]]="","",INDEX(tblProductos[Ubicación],ROW()-ROW(tblConteo[#Headers]))&amp;"")</f>
        <v/>
      </c>
      <c r="F166" s="42" t="str">
        <f>IF(tblConteo[[#This Row],[SKU]]="","",INDEX(tblProductos[Unidad],ROW()-ROW(tblConteo[#Headers]))&amp;"")</f>
        <v/>
      </c>
      <c r="G166" s="42" t="str">
        <f>IF(tblConteo[[#This Row],[SKU]]="","",IF(INDEX(tblProductos[Activo],ROW()-ROW(tblConteo[#Headers]))="NO","NO","SI"))</f>
        <v/>
      </c>
      <c r="H166" s="53" t="str">
        <f>IF(tblConteo[[#This Row],[SKU]]="","",IFERROR(N(INDEX(tblStock[StockActual],MATCH(tblConteo[[#This Row],[SKU]],tblStock[SKU],0))),0))</f>
        <v/>
      </c>
      <c r="I166" s="52"/>
      <c r="J166" s="59" t="str">
        <f>IF(OR(tblConteo[[#This Row],[SKU]]="",tblConteo[[#This Row],[Conteo]]=""),"",IF(ISNUMBER(tblConteo[[#This Row],[Conteo]]),tblConteo[[#This Row],[Conteo]]-N(tblConteo[[#This Row],[Sistema]]),""))</f>
        <v/>
      </c>
      <c r="K166" s="62" t="str">
        <f>IF(tblConteo[[#This Row],[Diferencia]]="","",tblConteo[[#This Row],[Diferencia]]*N(INDEX(tblProductos[CostoUnitario],ROW()-ROW(tblConteo[#Headers]))))</f>
        <v/>
      </c>
      <c r="L16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7" spans="2:13" x14ac:dyDescent="0.25">
      <c r="B167" s="42" t="str">
        <f>IF(INDEX(tblProductos[SKU],ROW()-ROW(tblConteo[#Headers]))="","",INDEX(tblProductos[SKU],ROW()-ROW(tblConteo[#Headers])))</f>
        <v/>
      </c>
      <c r="C167" s="49" t="str">
        <f>IF(tblConteo[[#This Row],[SKU]]="","",INDEX(tblProductos[Producto],ROW()-ROW(tblConteo[#Headers])))</f>
        <v/>
      </c>
      <c r="D167" s="49" t="str">
        <f>IF(tblConteo[[#This Row],[SKU]]="","",INDEX(tblProductos[Categoría],ROW()-ROW(tblConteo[#Headers]))&amp;"")</f>
        <v/>
      </c>
      <c r="E167" s="42" t="str">
        <f>IF(tblConteo[[#This Row],[SKU]]="","",INDEX(tblProductos[Ubicación],ROW()-ROW(tblConteo[#Headers]))&amp;"")</f>
        <v/>
      </c>
      <c r="F167" s="42" t="str">
        <f>IF(tblConteo[[#This Row],[SKU]]="","",INDEX(tblProductos[Unidad],ROW()-ROW(tblConteo[#Headers]))&amp;"")</f>
        <v/>
      </c>
      <c r="G167" s="42" t="str">
        <f>IF(tblConteo[[#This Row],[SKU]]="","",IF(INDEX(tblProductos[Activo],ROW()-ROW(tblConteo[#Headers]))="NO","NO","SI"))</f>
        <v/>
      </c>
      <c r="H167" s="53" t="str">
        <f>IF(tblConteo[[#This Row],[SKU]]="","",IFERROR(N(INDEX(tblStock[StockActual],MATCH(tblConteo[[#This Row],[SKU]],tblStock[SKU],0))),0))</f>
        <v/>
      </c>
      <c r="I167" s="52"/>
      <c r="J167" s="59" t="str">
        <f>IF(OR(tblConteo[[#This Row],[SKU]]="",tblConteo[[#This Row],[Conteo]]=""),"",IF(ISNUMBER(tblConteo[[#This Row],[Conteo]]),tblConteo[[#This Row],[Conteo]]-N(tblConteo[[#This Row],[Sistema]]),""))</f>
        <v/>
      </c>
      <c r="K167" s="62" t="str">
        <f>IF(tblConteo[[#This Row],[Diferencia]]="","",tblConteo[[#This Row],[Diferencia]]*N(INDEX(tblProductos[CostoUnitario],ROW()-ROW(tblConteo[#Headers]))))</f>
        <v/>
      </c>
      <c r="L16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8" spans="2:13" x14ac:dyDescent="0.25">
      <c r="B168" s="42" t="str">
        <f>IF(INDEX(tblProductos[SKU],ROW()-ROW(tblConteo[#Headers]))="","",INDEX(tblProductos[SKU],ROW()-ROW(tblConteo[#Headers])))</f>
        <v/>
      </c>
      <c r="C168" s="49" t="str">
        <f>IF(tblConteo[[#This Row],[SKU]]="","",INDEX(tblProductos[Producto],ROW()-ROW(tblConteo[#Headers])))</f>
        <v/>
      </c>
      <c r="D168" s="49" t="str">
        <f>IF(tblConteo[[#This Row],[SKU]]="","",INDEX(tblProductos[Categoría],ROW()-ROW(tblConteo[#Headers]))&amp;"")</f>
        <v/>
      </c>
      <c r="E168" s="42" t="str">
        <f>IF(tblConteo[[#This Row],[SKU]]="","",INDEX(tblProductos[Ubicación],ROW()-ROW(tblConteo[#Headers]))&amp;"")</f>
        <v/>
      </c>
      <c r="F168" s="42" t="str">
        <f>IF(tblConteo[[#This Row],[SKU]]="","",INDEX(tblProductos[Unidad],ROW()-ROW(tblConteo[#Headers]))&amp;"")</f>
        <v/>
      </c>
      <c r="G168" s="42" t="str">
        <f>IF(tblConteo[[#This Row],[SKU]]="","",IF(INDEX(tblProductos[Activo],ROW()-ROW(tblConteo[#Headers]))="NO","NO","SI"))</f>
        <v/>
      </c>
      <c r="H168" s="53" t="str">
        <f>IF(tblConteo[[#This Row],[SKU]]="","",IFERROR(N(INDEX(tblStock[StockActual],MATCH(tblConteo[[#This Row],[SKU]],tblStock[SKU],0))),0))</f>
        <v/>
      </c>
      <c r="I168" s="52"/>
      <c r="J168" s="59" t="str">
        <f>IF(OR(tblConteo[[#This Row],[SKU]]="",tblConteo[[#This Row],[Conteo]]=""),"",IF(ISNUMBER(tblConteo[[#This Row],[Conteo]]),tblConteo[[#This Row],[Conteo]]-N(tblConteo[[#This Row],[Sistema]]),""))</f>
        <v/>
      </c>
      <c r="K168" s="62" t="str">
        <f>IF(tblConteo[[#This Row],[Diferencia]]="","",tblConteo[[#This Row],[Diferencia]]*N(INDEX(tblProductos[CostoUnitario],ROW()-ROW(tblConteo[#Headers]))))</f>
        <v/>
      </c>
      <c r="L16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9" spans="2:13" x14ac:dyDescent="0.25">
      <c r="B169" s="42" t="str">
        <f>IF(INDEX(tblProductos[SKU],ROW()-ROW(tblConteo[#Headers]))="","",INDEX(tblProductos[SKU],ROW()-ROW(tblConteo[#Headers])))</f>
        <v/>
      </c>
      <c r="C169" s="49" t="str">
        <f>IF(tblConteo[[#This Row],[SKU]]="","",INDEX(tblProductos[Producto],ROW()-ROW(tblConteo[#Headers])))</f>
        <v/>
      </c>
      <c r="D169" s="49" t="str">
        <f>IF(tblConteo[[#This Row],[SKU]]="","",INDEX(tblProductos[Categoría],ROW()-ROW(tblConteo[#Headers]))&amp;"")</f>
        <v/>
      </c>
      <c r="E169" s="42" t="str">
        <f>IF(tblConteo[[#This Row],[SKU]]="","",INDEX(tblProductos[Ubicación],ROW()-ROW(tblConteo[#Headers]))&amp;"")</f>
        <v/>
      </c>
      <c r="F169" s="42" t="str">
        <f>IF(tblConteo[[#This Row],[SKU]]="","",INDEX(tblProductos[Unidad],ROW()-ROW(tblConteo[#Headers]))&amp;"")</f>
        <v/>
      </c>
      <c r="G169" s="42" t="str">
        <f>IF(tblConteo[[#This Row],[SKU]]="","",IF(INDEX(tblProductos[Activo],ROW()-ROW(tblConteo[#Headers]))="NO","NO","SI"))</f>
        <v/>
      </c>
      <c r="H169" s="53" t="str">
        <f>IF(tblConteo[[#This Row],[SKU]]="","",IFERROR(N(INDEX(tblStock[StockActual],MATCH(tblConteo[[#This Row],[SKU]],tblStock[SKU],0))),0))</f>
        <v/>
      </c>
      <c r="I169" s="52"/>
      <c r="J169" s="59" t="str">
        <f>IF(OR(tblConteo[[#This Row],[SKU]]="",tblConteo[[#This Row],[Conteo]]=""),"",IF(ISNUMBER(tblConteo[[#This Row],[Conteo]]),tblConteo[[#This Row],[Conteo]]-N(tblConteo[[#This Row],[Sistema]]),""))</f>
        <v/>
      </c>
      <c r="K169" s="62" t="str">
        <f>IF(tblConteo[[#This Row],[Diferencia]]="","",tblConteo[[#This Row],[Diferencia]]*N(INDEX(tblProductos[CostoUnitario],ROW()-ROW(tblConteo[#Headers]))))</f>
        <v/>
      </c>
      <c r="L16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0" spans="2:13" x14ac:dyDescent="0.25">
      <c r="B170" s="42" t="str">
        <f>IF(INDEX(tblProductos[SKU],ROW()-ROW(tblConteo[#Headers]))="","",INDEX(tblProductos[SKU],ROW()-ROW(tblConteo[#Headers])))</f>
        <v/>
      </c>
      <c r="C170" s="49" t="str">
        <f>IF(tblConteo[[#This Row],[SKU]]="","",INDEX(tblProductos[Producto],ROW()-ROW(tblConteo[#Headers])))</f>
        <v/>
      </c>
      <c r="D170" s="49" t="str">
        <f>IF(tblConteo[[#This Row],[SKU]]="","",INDEX(tblProductos[Categoría],ROW()-ROW(tblConteo[#Headers]))&amp;"")</f>
        <v/>
      </c>
      <c r="E170" s="42" t="str">
        <f>IF(tblConteo[[#This Row],[SKU]]="","",INDEX(tblProductos[Ubicación],ROW()-ROW(tblConteo[#Headers]))&amp;"")</f>
        <v/>
      </c>
      <c r="F170" s="42" t="str">
        <f>IF(tblConteo[[#This Row],[SKU]]="","",INDEX(tblProductos[Unidad],ROW()-ROW(tblConteo[#Headers]))&amp;"")</f>
        <v/>
      </c>
      <c r="G170" s="42" t="str">
        <f>IF(tblConteo[[#This Row],[SKU]]="","",IF(INDEX(tblProductos[Activo],ROW()-ROW(tblConteo[#Headers]))="NO","NO","SI"))</f>
        <v/>
      </c>
      <c r="H170" s="53" t="str">
        <f>IF(tblConteo[[#This Row],[SKU]]="","",IFERROR(N(INDEX(tblStock[StockActual],MATCH(tblConteo[[#This Row],[SKU]],tblStock[SKU],0))),0))</f>
        <v/>
      </c>
      <c r="I170" s="52"/>
      <c r="J170" s="59" t="str">
        <f>IF(OR(tblConteo[[#This Row],[SKU]]="",tblConteo[[#This Row],[Conteo]]=""),"",IF(ISNUMBER(tblConteo[[#This Row],[Conteo]]),tblConteo[[#This Row],[Conteo]]-N(tblConteo[[#This Row],[Sistema]]),""))</f>
        <v/>
      </c>
      <c r="K170" s="62" t="str">
        <f>IF(tblConteo[[#This Row],[Diferencia]]="","",tblConteo[[#This Row],[Diferencia]]*N(INDEX(tblProductos[CostoUnitario],ROW()-ROW(tblConteo[#Headers]))))</f>
        <v/>
      </c>
      <c r="L17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1" spans="2:13" x14ac:dyDescent="0.25">
      <c r="B171" s="42" t="str">
        <f>IF(INDEX(tblProductos[SKU],ROW()-ROW(tblConteo[#Headers]))="","",INDEX(tblProductos[SKU],ROW()-ROW(tblConteo[#Headers])))</f>
        <v/>
      </c>
      <c r="C171" s="49" t="str">
        <f>IF(tblConteo[[#This Row],[SKU]]="","",INDEX(tblProductos[Producto],ROW()-ROW(tblConteo[#Headers])))</f>
        <v/>
      </c>
      <c r="D171" s="49" t="str">
        <f>IF(tblConteo[[#This Row],[SKU]]="","",INDEX(tblProductos[Categoría],ROW()-ROW(tblConteo[#Headers]))&amp;"")</f>
        <v/>
      </c>
      <c r="E171" s="42" t="str">
        <f>IF(tblConteo[[#This Row],[SKU]]="","",INDEX(tblProductos[Ubicación],ROW()-ROW(tblConteo[#Headers]))&amp;"")</f>
        <v/>
      </c>
      <c r="F171" s="42" t="str">
        <f>IF(tblConteo[[#This Row],[SKU]]="","",INDEX(tblProductos[Unidad],ROW()-ROW(tblConteo[#Headers]))&amp;"")</f>
        <v/>
      </c>
      <c r="G171" s="42" t="str">
        <f>IF(tblConteo[[#This Row],[SKU]]="","",IF(INDEX(tblProductos[Activo],ROW()-ROW(tblConteo[#Headers]))="NO","NO","SI"))</f>
        <v/>
      </c>
      <c r="H171" s="53" t="str">
        <f>IF(tblConteo[[#This Row],[SKU]]="","",IFERROR(N(INDEX(tblStock[StockActual],MATCH(tblConteo[[#This Row],[SKU]],tblStock[SKU],0))),0))</f>
        <v/>
      </c>
      <c r="I171" s="52"/>
      <c r="J171" s="59" t="str">
        <f>IF(OR(tblConteo[[#This Row],[SKU]]="",tblConteo[[#This Row],[Conteo]]=""),"",IF(ISNUMBER(tblConteo[[#This Row],[Conteo]]),tblConteo[[#This Row],[Conteo]]-N(tblConteo[[#This Row],[Sistema]]),""))</f>
        <v/>
      </c>
      <c r="K171" s="62" t="str">
        <f>IF(tblConteo[[#This Row],[Diferencia]]="","",tblConteo[[#This Row],[Diferencia]]*N(INDEX(tblProductos[CostoUnitario],ROW()-ROW(tblConteo[#Headers]))))</f>
        <v/>
      </c>
      <c r="L17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2" spans="2:13" x14ac:dyDescent="0.25">
      <c r="B172" s="42" t="str">
        <f>IF(INDEX(tblProductos[SKU],ROW()-ROW(tblConteo[#Headers]))="","",INDEX(tblProductos[SKU],ROW()-ROW(tblConteo[#Headers])))</f>
        <v/>
      </c>
      <c r="C172" s="49" t="str">
        <f>IF(tblConteo[[#This Row],[SKU]]="","",INDEX(tblProductos[Producto],ROW()-ROW(tblConteo[#Headers])))</f>
        <v/>
      </c>
      <c r="D172" s="49" t="str">
        <f>IF(tblConteo[[#This Row],[SKU]]="","",INDEX(tblProductos[Categoría],ROW()-ROW(tblConteo[#Headers]))&amp;"")</f>
        <v/>
      </c>
      <c r="E172" s="42" t="str">
        <f>IF(tblConteo[[#This Row],[SKU]]="","",INDEX(tblProductos[Ubicación],ROW()-ROW(tblConteo[#Headers]))&amp;"")</f>
        <v/>
      </c>
      <c r="F172" s="42" t="str">
        <f>IF(tblConteo[[#This Row],[SKU]]="","",INDEX(tblProductos[Unidad],ROW()-ROW(tblConteo[#Headers]))&amp;"")</f>
        <v/>
      </c>
      <c r="G172" s="42" t="str">
        <f>IF(tblConteo[[#This Row],[SKU]]="","",IF(INDEX(tblProductos[Activo],ROW()-ROW(tblConteo[#Headers]))="NO","NO","SI"))</f>
        <v/>
      </c>
      <c r="H172" s="53" t="str">
        <f>IF(tblConteo[[#This Row],[SKU]]="","",IFERROR(N(INDEX(tblStock[StockActual],MATCH(tblConteo[[#This Row],[SKU]],tblStock[SKU],0))),0))</f>
        <v/>
      </c>
      <c r="I172" s="52"/>
      <c r="J172" s="59" t="str">
        <f>IF(OR(tblConteo[[#This Row],[SKU]]="",tblConteo[[#This Row],[Conteo]]=""),"",IF(ISNUMBER(tblConteo[[#This Row],[Conteo]]),tblConteo[[#This Row],[Conteo]]-N(tblConteo[[#This Row],[Sistema]]),""))</f>
        <v/>
      </c>
      <c r="K172" s="62" t="str">
        <f>IF(tblConteo[[#This Row],[Diferencia]]="","",tblConteo[[#This Row],[Diferencia]]*N(INDEX(tblProductos[CostoUnitario],ROW()-ROW(tblConteo[#Headers]))))</f>
        <v/>
      </c>
      <c r="L17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3" spans="2:13" x14ac:dyDescent="0.25">
      <c r="B173" s="42" t="str">
        <f>IF(INDEX(tblProductos[SKU],ROW()-ROW(tblConteo[#Headers]))="","",INDEX(tblProductos[SKU],ROW()-ROW(tblConteo[#Headers])))</f>
        <v/>
      </c>
      <c r="C173" s="49" t="str">
        <f>IF(tblConteo[[#This Row],[SKU]]="","",INDEX(tblProductos[Producto],ROW()-ROW(tblConteo[#Headers])))</f>
        <v/>
      </c>
      <c r="D173" s="49" t="str">
        <f>IF(tblConteo[[#This Row],[SKU]]="","",INDEX(tblProductos[Categoría],ROW()-ROW(tblConteo[#Headers]))&amp;"")</f>
        <v/>
      </c>
      <c r="E173" s="42" t="str">
        <f>IF(tblConteo[[#This Row],[SKU]]="","",INDEX(tblProductos[Ubicación],ROW()-ROW(tblConteo[#Headers]))&amp;"")</f>
        <v/>
      </c>
      <c r="F173" s="42" t="str">
        <f>IF(tblConteo[[#This Row],[SKU]]="","",INDEX(tblProductos[Unidad],ROW()-ROW(tblConteo[#Headers]))&amp;"")</f>
        <v/>
      </c>
      <c r="G173" s="42" t="str">
        <f>IF(tblConteo[[#This Row],[SKU]]="","",IF(INDEX(tblProductos[Activo],ROW()-ROW(tblConteo[#Headers]))="NO","NO","SI"))</f>
        <v/>
      </c>
      <c r="H173" s="53" t="str">
        <f>IF(tblConteo[[#This Row],[SKU]]="","",IFERROR(N(INDEX(tblStock[StockActual],MATCH(tblConteo[[#This Row],[SKU]],tblStock[SKU],0))),0))</f>
        <v/>
      </c>
      <c r="I173" s="52"/>
      <c r="J173" s="59" t="str">
        <f>IF(OR(tblConteo[[#This Row],[SKU]]="",tblConteo[[#This Row],[Conteo]]=""),"",IF(ISNUMBER(tblConteo[[#This Row],[Conteo]]),tblConteo[[#This Row],[Conteo]]-N(tblConteo[[#This Row],[Sistema]]),""))</f>
        <v/>
      </c>
      <c r="K173" s="62" t="str">
        <f>IF(tblConteo[[#This Row],[Diferencia]]="","",tblConteo[[#This Row],[Diferencia]]*N(INDEX(tblProductos[CostoUnitario],ROW()-ROW(tblConteo[#Headers]))))</f>
        <v/>
      </c>
      <c r="L17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4" spans="2:13" x14ac:dyDescent="0.25">
      <c r="B174" s="42" t="str">
        <f>IF(INDEX(tblProductos[SKU],ROW()-ROW(tblConteo[#Headers]))="","",INDEX(tblProductos[SKU],ROW()-ROW(tblConteo[#Headers])))</f>
        <v/>
      </c>
      <c r="C174" s="49" t="str">
        <f>IF(tblConteo[[#This Row],[SKU]]="","",INDEX(tblProductos[Producto],ROW()-ROW(tblConteo[#Headers])))</f>
        <v/>
      </c>
      <c r="D174" s="49" t="str">
        <f>IF(tblConteo[[#This Row],[SKU]]="","",INDEX(tblProductos[Categoría],ROW()-ROW(tblConteo[#Headers]))&amp;"")</f>
        <v/>
      </c>
      <c r="E174" s="42" t="str">
        <f>IF(tblConteo[[#This Row],[SKU]]="","",INDEX(tblProductos[Ubicación],ROW()-ROW(tblConteo[#Headers]))&amp;"")</f>
        <v/>
      </c>
      <c r="F174" s="42" t="str">
        <f>IF(tblConteo[[#This Row],[SKU]]="","",INDEX(tblProductos[Unidad],ROW()-ROW(tblConteo[#Headers]))&amp;"")</f>
        <v/>
      </c>
      <c r="G174" s="42" t="str">
        <f>IF(tblConteo[[#This Row],[SKU]]="","",IF(INDEX(tblProductos[Activo],ROW()-ROW(tblConteo[#Headers]))="NO","NO","SI"))</f>
        <v/>
      </c>
      <c r="H174" s="53" t="str">
        <f>IF(tblConteo[[#This Row],[SKU]]="","",IFERROR(N(INDEX(tblStock[StockActual],MATCH(tblConteo[[#This Row],[SKU]],tblStock[SKU],0))),0))</f>
        <v/>
      </c>
      <c r="I174" s="52"/>
      <c r="J174" s="59" t="str">
        <f>IF(OR(tblConteo[[#This Row],[SKU]]="",tblConteo[[#This Row],[Conteo]]=""),"",IF(ISNUMBER(tblConteo[[#This Row],[Conteo]]),tblConteo[[#This Row],[Conteo]]-N(tblConteo[[#This Row],[Sistema]]),""))</f>
        <v/>
      </c>
      <c r="K174" s="62" t="str">
        <f>IF(tblConteo[[#This Row],[Diferencia]]="","",tblConteo[[#This Row],[Diferencia]]*N(INDEX(tblProductos[CostoUnitario],ROW()-ROW(tblConteo[#Headers]))))</f>
        <v/>
      </c>
      <c r="L17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5" spans="2:13" x14ac:dyDescent="0.25">
      <c r="B175" s="42" t="str">
        <f>IF(INDEX(tblProductos[SKU],ROW()-ROW(tblConteo[#Headers]))="","",INDEX(tblProductos[SKU],ROW()-ROW(tblConteo[#Headers])))</f>
        <v/>
      </c>
      <c r="C175" s="49" t="str">
        <f>IF(tblConteo[[#This Row],[SKU]]="","",INDEX(tblProductos[Producto],ROW()-ROW(tblConteo[#Headers])))</f>
        <v/>
      </c>
      <c r="D175" s="49" t="str">
        <f>IF(tblConteo[[#This Row],[SKU]]="","",INDEX(tblProductos[Categoría],ROW()-ROW(tblConteo[#Headers]))&amp;"")</f>
        <v/>
      </c>
      <c r="E175" s="42" t="str">
        <f>IF(tblConteo[[#This Row],[SKU]]="","",INDEX(tblProductos[Ubicación],ROW()-ROW(tblConteo[#Headers]))&amp;"")</f>
        <v/>
      </c>
      <c r="F175" s="42" t="str">
        <f>IF(tblConteo[[#This Row],[SKU]]="","",INDEX(tblProductos[Unidad],ROW()-ROW(tblConteo[#Headers]))&amp;"")</f>
        <v/>
      </c>
      <c r="G175" s="42" t="str">
        <f>IF(tblConteo[[#This Row],[SKU]]="","",IF(INDEX(tblProductos[Activo],ROW()-ROW(tblConteo[#Headers]))="NO","NO","SI"))</f>
        <v/>
      </c>
      <c r="H175" s="53" t="str">
        <f>IF(tblConteo[[#This Row],[SKU]]="","",IFERROR(N(INDEX(tblStock[StockActual],MATCH(tblConteo[[#This Row],[SKU]],tblStock[SKU],0))),0))</f>
        <v/>
      </c>
      <c r="I175" s="52"/>
      <c r="J175" s="59" t="str">
        <f>IF(OR(tblConteo[[#This Row],[SKU]]="",tblConteo[[#This Row],[Conteo]]=""),"",IF(ISNUMBER(tblConteo[[#This Row],[Conteo]]),tblConteo[[#This Row],[Conteo]]-N(tblConteo[[#This Row],[Sistema]]),""))</f>
        <v/>
      </c>
      <c r="K175" s="62" t="str">
        <f>IF(tblConteo[[#This Row],[Diferencia]]="","",tblConteo[[#This Row],[Diferencia]]*N(INDEX(tblProductos[CostoUnitario],ROW()-ROW(tblConteo[#Headers]))))</f>
        <v/>
      </c>
      <c r="L17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6" spans="2:13" x14ac:dyDescent="0.25">
      <c r="B176" s="42" t="str">
        <f>IF(INDEX(tblProductos[SKU],ROW()-ROW(tblConteo[#Headers]))="","",INDEX(tblProductos[SKU],ROW()-ROW(tblConteo[#Headers])))</f>
        <v/>
      </c>
      <c r="C176" s="49" t="str">
        <f>IF(tblConteo[[#This Row],[SKU]]="","",INDEX(tblProductos[Producto],ROW()-ROW(tblConteo[#Headers])))</f>
        <v/>
      </c>
      <c r="D176" s="49" t="str">
        <f>IF(tblConteo[[#This Row],[SKU]]="","",INDEX(tblProductos[Categoría],ROW()-ROW(tblConteo[#Headers]))&amp;"")</f>
        <v/>
      </c>
      <c r="E176" s="42" t="str">
        <f>IF(tblConteo[[#This Row],[SKU]]="","",INDEX(tblProductos[Ubicación],ROW()-ROW(tblConteo[#Headers]))&amp;"")</f>
        <v/>
      </c>
      <c r="F176" s="42" t="str">
        <f>IF(tblConteo[[#This Row],[SKU]]="","",INDEX(tblProductos[Unidad],ROW()-ROW(tblConteo[#Headers]))&amp;"")</f>
        <v/>
      </c>
      <c r="G176" s="42" t="str">
        <f>IF(tblConteo[[#This Row],[SKU]]="","",IF(INDEX(tblProductos[Activo],ROW()-ROW(tblConteo[#Headers]))="NO","NO","SI"))</f>
        <v/>
      </c>
      <c r="H176" s="53" t="str">
        <f>IF(tblConteo[[#This Row],[SKU]]="","",IFERROR(N(INDEX(tblStock[StockActual],MATCH(tblConteo[[#This Row],[SKU]],tblStock[SKU],0))),0))</f>
        <v/>
      </c>
      <c r="I176" s="52"/>
      <c r="J176" s="59" t="str">
        <f>IF(OR(tblConteo[[#This Row],[SKU]]="",tblConteo[[#This Row],[Conteo]]=""),"",IF(ISNUMBER(tblConteo[[#This Row],[Conteo]]),tblConteo[[#This Row],[Conteo]]-N(tblConteo[[#This Row],[Sistema]]),""))</f>
        <v/>
      </c>
      <c r="K176" s="62" t="str">
        <f>IF(tblConteo[[#This Row],[Diferencia]]="","",tblConteo[[#This Row],[Diferencia]]*N(INDEX(tblProductos[CostoUnitario],ROW()-ROW(tblConteo[#Headers]))))</f>
        <v/>
      </c>
      <c r="L17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7" spans="2:13" x14ac:dyDescent="0.25">
      <c r="B177" s="42" t="str">
        <f>IF(INDEX(tblProductos[SKU],ROW()-ROW(tblConteo[#Headers]))="","",INDEX(tblProductos[SKU],ROW()-ROW(tblConteo[#Headers])))</f>
        <v/>
      </c>
      <c r="C177" s="49" t="str">
        <f>IF(tblConteo[[#This Row],[SKU]]="","",INDEX(tblProductos[Producto],ROW()-ROW(tblConteo[#Headers])))</f>
        <v/>
      </c>
      <c r="D177" s="49" t="str">
        <f>IF(tblConteo[[#This Row],[SKU]]="","",INDEX(tblProductos[Categoría],ROW()-ROW(tblConteo[#Headers]))&amp;"")</f>
        <v/>
      </c>
      <c r="E177" s="42" t="str">
        <f>IF(tblConteo[[#This Row],[SKU]]="","",INDEX(tblProductos[Ubicación],ROW()-ROW(tblConteo[#Headers]))&amp;"")</f>
        <v/>
      </c>
      <c r="F177" s="42" t="str">
        <f>IF(tblConteo[[#This Row],[SKU]]="","",INDEX(tblProductos[Unidad],ROW()-ROW(tblConteo[#Headers]))&amp;"")</f>
        <v/>
      </c>
      <c r="G177" s="42" t="str">
        <f>IF(tblConteo[[#This Row],[SKU]]="","",IF(INDEX(tblProductos[Activo],ROW()-ROW(tblConteo[#Headers]))="NO","NO","SI"))</f>
        <v/>
      </c>
      <c r="H177" s="53" t="str">
        <f>IF(tblConteo[[#This Row],[SKU]]="","",IFERROR(N(INDEX(tblStock[StockActual],MATCH(tblConteo[[#This Row],[SKU]],tblStock[SKU],0))),0))</f>
        <v/>
      </c>
      <c r="I177" s="52"/>
      <c r="J177" s="59" t="str">
        <f>IF(OR(tblConteo[[#This Row],[SKU]]="",tblConteo[[#This Row],[Conteo]]=""),"",IF(ISNUMBER(tblConteo[[#This Row],[Conteo]]),tblConteo[[#This Row],[Conteo]]-N(tblConteo[[#This Row],[Sistema]]),""))</f>
        <v/>
      </c>
      <c r="K177" s="62" t="str">
        <f>IF(tblConteo[[#This Row],[Diferencia]]="","",tblConteo[[#This Row],[Diferencia]]*N(INDEX(tblProductos[CostoUnitario],ROW()-ROW(tblConteo[#Headers]))))</f>
        <v/>
      </c>
      <c r="L17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8" spans="2:13" x14ac:dyDescent="0.25">
      <c r="B178" s="42" t="str">
        <f>IF(INDEX(tblProductos[SKU],ROW()-ROW(tblConteo[#Headers]))="","",INDEX(tblProductos[SKU],ROW()-ROW(tblConteo[#Headers])))</f>
        <v/>
      </c>
      <c r="C178" s="49" t="str">
        <f>IF(tblConteo[[#This Row],[SKU]]="","",INDEX(tblProductos[Producto],ROW()-ROW(tblConteo[#Headers])))</f>
        <v/>
      </c>
      <c r="D178" s="49" t="str">
        <f>IF(tblConteo[[#This Row],[SKU]]="","",INDEX(tblProductos[Categoría],ROW()-ROW(tblConteo[#Headers]))&amp;"")</f>
        <v/>
      </c>
      <c r="E178" s="42" t="str">
        <f>IF(tblConteo[[#This Row],[SKU]]="","",INDEX(tblProductos[Ubicación],ROW()-ROW(tblConteo[#Headers]))&amp;"")</f>
        <v/>
      </c>
      <c r="F178" s="42" t="str">
        <f>IF(tblConteo[[#This Row],[SKU]]="","",INDEX(tblProductos[Unidad],ROW()-ROW(tblConteo[#Headers]))&amp;"")</f>
        <v/>
      </c>
      <c r="G178" s="42" t="str">
        <f>IF(tblConteo[[#This Row],[SKU]]="","",IF(INDEX(tblProductos[Activo],ROW()-ROW(tblConteo[#Headers]))="NO","NO","SI"))</f>
        <v/>
      </c>
      <c r="H178" s="53" t="str">
        <f>IF(tblConteo[[#This Row],[SKU]]="","",IFERROR(N(INDEX(tblStock[StockActual],MATCH(tblConteo[[#This Row],[SKU]],tblStock[SKU],0))),0))</f>
        <v/>
      </c>
      <c r="I178" s="52"/>
      <c r="J178" s="59" t="str">
        <f>IF(OR(tblConteo[[#This Row],[SKU]]="",tblConteo[[#This Row],[Conteo]]=""),"",IF(ISNUMBER(tblConteo[[#This Row],[Conteo]]),tblConteo[[#This Row],[Conteo]]-N(tblConteo[[#This Row],[Sistema]]),""))</f>
        <v/>
      </c>
      <c r="K178" s="62" t="str">
        <f>IF(tblConteo[[#This Row],[Diferencia]]="","",tblConteo[[#This Row],[Diferencia]]*N(INDEX(tblProductos[CostoUnitario],ROW()-ROW(tblConteo[#Headers]))))</f>
        <v/>
      </c>
      <c r="L17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9" spans="2:13" x14ac:dyDescent="0.25">
      <c r="B179" s="42" t="str">
        <f>IF(INDEX(tblProductos[SKU],ROW()-ROW(tblConteo[#Headers]))="","",INDEX(tblProductos[SKU],ROW()-ROW(tblConteo[#Headers])))</f>
        <v/>
      </c>
      <c r="C179" s="49" t="str">
        <f>IF(tblConteo[[#This Row],[SKU]]="","",INDEX(tblProductos[Producto],ROW()-ROW(tblConteo[#Headers])))</f>
        <v/>
      </c>
      <c r="D179" s="49" t="str">
        <f>IF(tblConteo[[#This Row],[SKU]]="","",INDEX(tblProductos[Categoría],ROW()-ROW(tblConteo[#Headers]))&amp;"")</f>
        <v/>
      </c>
      <c r="E179" s="42" t="str">
        <f>IF(tblConteo[[#This Row],[SKU]]="","",INDEX(tblProductos[Ubicación],ROW()-ROW(tblConteo[#Headers]))&amp;"")</f>
        <v/>
      </c>
      <c r="F179" s="42" t="str">
        <f>IF(tblConteo[[#This Row],[SKU]]="","",INDEX(tblProductos[Unidad],ROW()-ROW(tblConteo[#Headers]))&amp;"")</f>
        <v/>
      </c>
      <c r="G179" s="42" t="str">
        <f>IF(tblConteo[[#This Row],[SKU]]="","",IF(INDEX(tblProductos[Activo],ROW()-ROW(tblConteo[#Headers]))="NO","NO","SI"))</f>
        <v/>
      </c>
      <c r="H179" s="53" t="str">
        <f>IF(tblConteo[[#This Row],[SKU]]="","",IFERROR(N(INDEX(tblStock[StockActual],MATCH(tblConteo[[#This Row],[SKU]],tblStock[SKU],0))),0))</f>
        <v/>
      </c>
      <c r="I179" s="52"/>
      <c r="J179" s="59" t="str">
        <f>IF(OR(tblConteo[[#This Row],[SKU]]="",tblConteo[[#This Row],[Conteo]]=""),"",IF(ISNUMBER(tblConteo[[#This Row],[Conteo]]),tblConteo[[#This Row],[Conteo]]-N(tblConteo[[#This Row],[Sistema]]),""))</f>
        <v/>
      </c>
      <c r="K179" s="62" t="str">
        <f>IF(tblConteo[[#This Row],[Diferencia]]="","",tblConteo[[#This Row],[Diferencia]]*N(INDEX(tblProductos[CostoUnitario],ROW()-ROW(tblConteo[#Headers]))))</f>
        <v/>
      </c>
      <c r="L17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0" spans="2:13" x14ac:dyDescent="0.25">
      <c r="B180" s="42" t="str">
        <f>IF(INDEX(tblProductos[SKU],ROW()-ROW(tblConteo[#Headers]))="","",INDEX(tblProductos[SKU],ROW()-ROW(tblConteo[#Headers])))</f>
        <v/>
      </c>
      <c r="C180" s="49" t="str">
        <f>IF(tblConteo[[#This Row],[SKU]]="","",INDEX(tblProductos[Producto],ROW()-ROW(tblConteo[#Headers])))</f>
        <v/>
      </c>
      <c r="D180" s="49" t="str">
        <f>IF(tblConteo[[#This Row],[SKU]]="","",INDEX(tblProductos[Categoría],ROW()-ROW(tblConteo[#Headers]))&amp;"")</f>
        <v/>
      </c>
      <c r="E180" s="42" t="str">
        <f>IF(tblConteo[[#This Row],[SKU]]="","",INDEX(tblProductos[Ubicación],ROW()-ROW(tblConteo[#Headers]))&amp;"")</f>
        <v/>
      </c>
      <c r="F180" s="42" t="str">
        <f>IF(tblConteo[[#This Row],[SKU]]="","",INDEX(tblProductos[Unidad],ROW()-ROW(tblConteo[#Headers]))&amp;"")</f>
        <v/>
      </c>
      <c r="G180" s="42" t="str">
        <f>IF(tblConteo[[#This Row],[SKU]]="","",IF(INDEX(tblProductos[Activo],ROW()-ROW(tblConteo[#Headers]))="NO","NO","SI"))</f>
        <v/>
      </c>
      <c r="H180" s="53" t="str">
        <f>IF(tblConteo[[#This Row],[SKU]]="","",IFERROR(N(INDEX(tblStock[StockActual],MATCH(tblConteo[[#This Row],[SKU]],tblStock[SKU],0))),0))</f>
        <v/>
      </c>
      <c r="I180" s="52"/>
      <c r="J180" s="59" t="str">
        <f>IF(OR(tblConteo[[#This Row],[SKU]]="",tblConteo[[#This Row],[Conteo]]=""),"",IF(ISNUMBER(tblConteo[[#This Row],[Conteo]]),tblConteo[[#This Row],[Conteo]]-N(tblConteo[[#This Row],[Sistema]]),""))</f>
        <v/>
      </c>
      <c r="K180" s="62" t="str">
        <f>IF(tblConteo[[#This Row],[Diferencia]]="","",tblConteo[[#This Row],[Diferencia]]*N(INDEX(tblProductos[CostoUnitario],ROW()-ROW(tblConteo[#Headers]))))</f>
        <v/>
      </c>
      <c r="L18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1" spans="2:13" x14ac:dyDescent="0.25">
      <c r="B181" s="42" t="str">
        <f>IF(INDEX(tblProductos[SKU],ROW()-ROW(tblConteo[#Headers]))="","",INDEX(tblProductos[SKU],ROW()-ROW(tblConteo[#Headers])))</f>
        <v/>
      </c>
      <c r="C181" s="49" t="str">
        <f>IF(tblConteo[[#This Row],[SKU]]="","",INDEX(tblProductos[Producto],ROW()-ROW(tblConteo[#Headers])))</f>
        <v/>
      </c>
      <c r="D181" s="49" t="str">
        <f>IF(tblConteo[[#This Row],[SKU]]="","",INDEX(tblProductos[Categoría],ROW()-ROW(tblConteo[#Headers]))&amp;"")</f>
        <v/>
      </c>
      <c r="E181" s="42" t="str">
        <f>IF(tblConteo[[#This Row],[SKU]]="","",INDEX(tblProductos[Ubicación],ROW()-ROW(tblConteo[#Headers]))&amp;"")</f>
        <v/>
      </c>
      <c r="F181" s="42" t="str">
        <f>IF(tblConteo[[#This Row],[SKU]]="","",INDEX(tblProductos[Unidad],ROW()-ROW(tblConteo[#Headers]))&amp;"")</f>
        <v/>
      </c>
      <c r="G181" s="42" t="str">
        <f>IF(tblConteo[[#This Row],[SKU]]="","",IF(INDEX(tblProductos[Activo],ROW()-ROW(tblConteo[#Headers]))="NO","NO","SI"))</f>
        <v/>
      </c>
      <c r="H181" s="53" t="str">
        <f>IF(tblConteo[[#This Row],[SKU]]="","",IFERROR(N(INDEX(tblStock[StockActual],MATCH(tblConteo[[#This Row],[SKU]],tblStock[SKU],0))),0))</f>
        <v/>
      </c>
      <c r="I181" s="52"/>
      <c r="J181" s="59" t="str">
        <f>IF(OR(tblConteo[[#This Row],[SKU]]="",tblConteo[[#This Row],[Conteo]]=""),"",IF(ISNUMBER(tblConteo[[#This Row],[Conteo]]),tblConteo[[#This Row],[Conteo]]-N(tblConteo[[#This Row],[Sistema]]),""))</f>
        <v/>
      </c>
      <c r="K181" s="62" t="str">
        <f>IF(tblConteo[[#This Row],[Diferencia]]="","",tblConteo[[#This Row],[Diferencia]]*N(INDEX(tblProductos[CostoUnitario],ROW()-ROW(tblConteo[#Headers]))))</f>
        <v/>
      </c>
      <c r="L18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2" spans="2:13" x14ac:dyDescent="0.25">
      <c r="B182" s="42" t="str">
        <f>IF(INDEX(tblProductos[SKU],ROW()-ROW(tblConteo[#Headers]))="","",INDEX(tblProductos[SKU],ROW()-ROW(tblConteo[#Headers])))</f>
        <v/>
      </c>
      <c r="C182" s="49" t="str">
        <f>IF(tblConteo[[#This Row],[SKU]]="","",INDEX(tblProductos[Producto],ROW()-ROW(tblConteo[#Headers])))</f>
        <v/>
      </c>
      <c r="D182" s="49" t="str">
        <f>IF(tblConteo[[#This Row],[SKU]]="","",INDEX(tblProductos[Categoría],ROW()-ROW(tblConteo[#Headers]))&amp;"")</f>
        <v/>
      </c>
      <c r="E182" s="42" t="str">
        <f>IF(tblConteo[[#This Row],[SKU]]="","",INDEX(tblProductos[Ubicación],ROW()-ROW(tblConteo[#Headers]))&amp;"")</f>
        <v/>
      </c>
      <c r="F182" s="42" t="str">
        <f>IF(tblConteo[[#This Row],[SKU]]="","",INDEX(tblProductos[Unidad],ROW()-ROW(tblConteo[#Headers]))&amp;"")</f>
        <v/>
      </c>
      <c r="G182" s="42" t="str">
        <f>IF(tblConteo[[#This Row],[SKU]]="","",IF(INDEX(tblProductos[Activo],ROW()-ROW(tblConteo[#Headers]))="NO","NO","SI"))</f>
        <v/>
      </c>
      <c r="H182" s="53" t="str">
        <f>IF(tblConteo[[#This Row],[SKU]]="","",IFERROR(N(INDEX(tblStock[StockActual],MATCH(tblConteo[[#This Row],[SKU]],tblStock[SKU],0))),0))</f>
        <v/>
      </c>
      <c r="I182" s="52"/>
      <c r="J182" s="59" t="str">
        <f>IF(OR(tblConteo[[#This Row],[SKU]]="",tblConteo[[#This Row],[Conteo]]=""),"",IF(ISNUMBER(tblConteo[[#This Row],[Conteo]]),tblConteo[[#This Row],[Conteo]]-N(tblConteo[[#This Row],[Sistema]]),""))</f>
        <v/>
      </c>
      <c r="K182" s="62" t="str">
        <f>IF(tblConteo[[#This Row],[Diferencia]]="","",tblConteo[[#This Row],[Diferencia]]*N(INDEX(tblProductos[CostoUnitario],ROW()-ROW(tblConteo[#Headers]))))</f>
        <v/>
      </c>
      <c r="L18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3" spans="2:13" x14ac:dyDescent="0.25">
      <c r="B183" s="42" t="str">
        <f>IF(INDEX(tblProductos[SKU],ROW()-ROW(tblConteo[#Headers]))="","",INDEX(tblProductos[SKU],ROW()-ROW(tblConteo[#Headers])))</f>
        <v/>
      </c>
      <c r="C183" s="49" t="str">
        <f>IF(tblConteo[[#This Row],[SKU]]="","",INDEX(tblProductos[Producto],ROW()-ROW(tblConteo[#Headers])))</f>
        <v/>
      </c>
      <c r="D183" s="49" t="str">
        <f>IF(tblConteo[[#This Row],[SKU]]="","",INDEX(tblProductos[Categoría],ROW()-ROW(tblConteo[#Headers]))&amp;"")</f>
        <v/>
      </c>
      <c r="E183" s="42" t="str">
        <f>IF(tblConteo[[#This Row],[SKU]]="","",INDEX(tblProductos[Ubicación],ROW()-ROW(tblConteo[#Headers]))&amp;"")</f>
        <v/>
      </c>
      <c r="F183" s="42" t="str">
        <f>IF(tblConteo[[#This Row],[SKU]]="","",INDEX(tblProductos[Unidad],ROW()-ROW(tblConteo[#Headers]))&amp;"")</f>
        <v/>
      </c>
      <c r="G183" s="42" t="str">
        <f>IF(tblConteo[[#This Row],[SKU]]="","",IF(INDEX(tblProductos[Activo],ROW()-ROW(tblConteo[#Headers]))="NO","NO","SI"))</f>
        <v/>
      </c>
      <c r="H183" s="53" t="str">
        <f>IF(tblConteo[[#This Row],[SKU]]="","",IFERROR(N(INDEX(tblStock[StockActual],MATCH(tblConteo[[#This Row],[SKU]],tblStock[SKU],0))),0))</f>
        <v/>
      </c>
      <c r="I183" s="52"/>
      <c r="J183" s="59" t="str">
        <f>IF(OR(tblConteo[[#This Row],[SKU]]="",tblConteo[[#This Row],[Conteo]]=""),"",IF(ISNUMBER(tblConteo[[#This Row],[Conteo]]),tblConteo[[#This Row],[Conteo]]-N(tblConteo[[#This Row],[Sistema]]),""))</f>
        <v/>
      </c>
      <c r="K183" s="62" t="str">
        <f>IF(tblConteo[[#This Row],[Diferencia]]="","",tblConteo[[#This Row],[Diferencia]]*N(INDEX(tblProductos[CostoUnitario],ROW()-ROW(tblConteo[#Headers]))))</f>
        <v/>
      </c>
      <c r="L18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4" spans="2:13" x14ac:dyDescent="0.25">
      <c r="B184" s="42" t="str">
        <f>IF(INDEX(tblProductos[SKU],ROW()-ROW(tblConteo[#Headers]))="","",INDEX(tblProductos[SKU],ROW()-ROW(tblConteo[#Headers])))</f>
        <v/>
      </c>
      <c r="C184" s="49" t="str">
        <f>IF(tblConteo[[#This Row],[SKU]]="","",INDEX(tblProductos[Producto],ROW()-ROW(tblConteo[#Headers])))</f>
        <v/>
      </c>
      <c r="D184" s="49" t="str">
        <f>IF(tblConteo[[#This Row],[SKU]]="","",INDEX(tblProductos[Categoría],ROW()-ROW(tblConteo[#Headers]))&amp;"")</f>
        <v/>
      </c>
      <c r="E184" s="42" t="str">
        <f>IF(tblConteo[[#This Row],[SKU]]="","",INDEX(tblProductos[Ubicación],ROW()-ROW(tblConteo[#Headers]))&amp;"")</f>
        <v/>
      </c>
      <c r="F184" s="42" t="str">
        <f>IF(tblConteo[[#This Row],[SKU]]="","",INDEX(tblProductos[Unidad],ROW()-ROW(tblConteo[#Headers]))&amp;"")</f>
        <v/>
      </c>
      <c r="G184" s="42" t="str">
        <f>IF(tblConteo[[#This Row],[SKU]]="","",IF(INDEX(tblProductos[Activo],ROW()-ROW(tblConteo[#Headers]))="NO","NO","SI"))</f>
        <v/>
      </c>
      <c r="H184" s="53" t="str">
        <f>IF(tblConteo[[#This Row],[SKU]]="","",IFERROR(N(INDEX(tblStock[StockActual],MATCH(tblConteo[[#This Row],[SKU]],tblStock[SKU],0))),0))</f>
        <v/>
      </c>
      <c r="I184" s="52"/>
      <c r="J184" s="59" t="str">
        <f>IF(OR(tblConteo[[#This Row],[SKU]]="",tblConteo[[#This Row],[Conteo]]=""),"",IF(ISNUMBER(tblConteo[[#This Row],[Conteo]]),tblConteo[[#This Row],[Conteo]]-N(tblConteo[[#This Row],[Sistema]]),""))</f>
        <v/>
      </c>
      <c r="K184" s="62" t="str">
        <f>IF(tblConteo[[#This Row],[Diferencia]]="","",tblConteo[[#This Row],[Diferencia]]*N(INDEX(tblProductos[CostoUnitario],ROW()-ROW(tblConteo[#Headers]))))</f>
        <v/>
      </c>
      <c r="L18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5" spans="2:13" x14ac:dyDescent="0.25">
      <c r="B185" s="42" t="str">
        <f>IF(INDEX(tblProductos[SKU],ROW()-ROW(tblConteo[#Headers]))="","",INDEX(tblProductos[SKU],ROW()-ROW(tblConteo[#Headers])))</f>
        <v/>
      </c>
      <c r="C185" s="49" t="str">
        <f>IF(tblConteo[[#This Row],[SKU]]="","",INDEX(tblProductos[Producto],ROW()-ROW(tblConteo[#Headers])))</f>
        <v/>
      </c>
      <c r="D185" s="49" t="str">
        <f>IF(tblConteo[[#This Row],[SKU]]="","",INDEX(tblProductos[Categoría],ROW()-ROW(tblConteo[#Headers]))&amp;"")</f>
        <v/>
      </c>
      <c r="E185" s="42" t="str">
        <f>IF(tblConteo[[#This Row],[SKU]]="","",INDEX(tblProductos[Ubicación],ROW()-ROW(tblConteo[#Headers]))&amp;"")</f>
        <v/>
      </c>
      <c r="F185" s="42" t="str">
        <f>IF(tblConteo[[#This Row],[SKU]]="","",INDEX(tblProductos[Unidad],ROW()-ROW(tblConteo[#Headers]))&amp;"")</f>
        <v/>
      </c>
      <c r="G185" s="42" t="str">
        <f>IF(tblConteo[[#This Row],[SKU]]="","",IF(INDEX(tblProductos[Activo],ROW()-ROW(tblConteo[#Headers]))="NO","NO","SI"))</f>
        <v/>
      </c>
      <c r="H185" s="53" t="str">
        <f>IF(tblConteo[[#This Row],[SKU]]="","",IFERROR(N(INDEX(tblStock[StockActual],MATCH(tblConteo[[#This Row],[SKU]],tblStock[SKU],0))),0))</f>
        <v/>
      </c>
      <c r="I185" s="52"/>
      <c r="J185" s="59" t="str">
        <f>IF(OR(tblConteo[[#This Row],[SKU]]="",tblConteo[[#This Row],[Conteo]]=""),"",IF(ISNUMBER(tblConteo[[#This Row],[Conteo]]),tblConteo[[#This Row],[Conteo]]-N(tblConteo[[#This Row],[Sistema]]),""))</f>
        <v/>
      </c>
      <c r="K185" s="62" t="str">
        <f>IF(tblConteo[[#This Row],[Diferencia]]="","",tblConteo[[#This Row],[Diferencia]]*N(INDEX(tblProductos[CostoUnitario],ROW()-ROW(tblConteo[#Headers]))))</f>
        <v/>
      </c>
      <c r="L18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6" spans="2:13" x14ac:dyDescent="0.25">
      <c r="B186" s="42" t="str">
        <f>IF(INDEX(tblProductos[SKU],ROW()-ROW(tblConteo[#Headers]))="","",INDEX(tblProductos[SKU],ROW()-ROW(tblConteo[#Headers])))</f>
        <v/>
      </c>
      <c r="C186" s="49" t="str">
        <f>IF(tblConteo[[#This Row],[SKU]]="","",INDEX(tblProductos[Producto],ROW()-ROW(tblConteo[#Headers])))</f>
        <v/>
      </c>
      <c r="D186" s="49" t="str">
        <f>IF(tblConteo[[#This Row],[SKU]]="","",INDEX(tblProductos[Categoría],ROW()-ROW(tblConteo[#Headers]))&amp;"")</f>
        <v/>
      </c>
      <c r="E186" s="42" t="str">
        <f>IF(tblConteo[[#This Row],[SKU]]="","",INDEX(tblProductos[Ubicación],ROW()-ROW(tblConteo[#Headers]))&amp;"")</f>
        <v/>
      </c>
      <c r="F186" s="42" t="str">
        <f>IF(tblConteo[[#This Row],[SKU]]="","",INDEX(tblProductos[Unidad],ROW()-ROW(tblConteo[#Headers]))&amp;"")</f>
        <v/>
      </c>
      <c r="G186" s="42" t="str">
        <f>IF(tblConteo[[#This Row],[SKU]]="","",IF(INDEX(tblProductos[Activo],ROW()-ROW(tblConteo[#Headers]))="NO","NO","SI"))</f>
        <v/>
      </c>
      <c r="H186" s="53" t="str">
        <f>IF(tblConteo[[#This Row],[SKU]]="","",IFERROR(N(INDEX(tblStock[StockActual],MATCH(tblConteo[[#This Row],[SKU]],tblStock[SKU],0))),0))</f>
        <v/>
      </c>
      <c r="I186" s="52"/>
      <c r="J186" s="59" t="str">
        <f>IF(OR(tblConteo[[#This Row],[SKU]]="",tblConteo[[#This Row],[Conteo]]=""),"",IF(ISNUMBER(tblConteo[[#This Row],[Conteo]]),tblConteo[[#This Row],[Conteo]]-N(tblConteo[[#This Row],[Sistema]]),""))</f>
        <v/>
      </c>
      <c r="K186" s="62" t="str">
        <f>IF(tblConteo[[#This Row],[Diferencia]]="","",tblConteo[[#This Row],[Diferencia]]*N(INDEX(tblProductos[CostoUnitario],ROW()-ROW(tblConteo[#Headers]))))</f>
        <v/>
      </c>
      <c r="L18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7" spans="2:13" x14ac:dyDescent="0.25">
      <c r="B187" s="42" t="str">
        <f>IF(INDEX(tblProductos[SKU],ROW()-ROW(tblConteo[#Headers]))="","",INDEX(tblProductos[SKU],ROW()-ROW(tblConteo[#Headers])))</f>
        <v/>
      </c>
      <c r="C187" s="49" t="str">
        <f>IF(tblConteo[[#This Row],[SKU]]="","",INDEX(tblProductos[Producto],ROW()-ROW(tblConteo[#Headers])))</f>
        <v/>
      </c>
      <c r="D187" s="49" t="str">
        <f>IF(tblConteo[[#This Row],[SKU]]="","",INDEX(tblProductos[Categoría],ROW()-ROW(tblConteo[#Headers]))&amp;"")</f>
        <v/>
      </c>
      <c r="E187" s="42" t="str">
        <f>IF(tblConteo[[#This Row],[SKU]]="","",INDEX(tblProductos[Ubicación],ROW()-ROW(tblConteo[#Headers]))&amp;"")</f>
        <v/>
      </c>
      <c r="F187" s="42" t="str">
        <f>IF(tblConteo[[#This Row],[SKU]]="","",INDEX(tblProductos[Unidad],ROW()-ROW(tblConteo[#Headers]))&amp;"")</f>
        <v/>
      </c>
      <c r="G187" s="42" t="str">
        <f>IF(tblConteo[[#This Row],[SKU]]="","",IF(INDEX(tblProductos[Activo],ROW()-ROW(tblConteo[#Headers]))="NO","NO","SI"))</f>
        <v/>
      </c>
      <c r="H187" s="53" t="str">
        <f>IF(tblConteo[[#This Row],[SKU]]="","",IFERROR(N(INDEX(tblStock[StockActual],MATCH(tblConteo[[#This Row],[SKU]],tblStock[SKU],0))),0))</f>
        <v/>
      </c>
      <c r="I187" s="52"/>
      <c r="J187" s="59" t="str">
        <f>IF(OR(tblConteo[[#This Row],[SKU]]="",tblConteo[[#This Row],[Conteo]]=""),"",IF(ISNUMBER(tblConteo[[#This Row],[Conteo]]),tblConteo[[#This Row],[Conteo]]-N(tblConteo[[#This Row],[Sistema]]),""))</f>
        <v/>
      </c>
      <c r="K187" s="62" t="str">
        <f>IF(tblConteo[[#This Row],[Diferencia]]="","",tblConteo[[#This Row],[Diferencia]]*N(INDEX(tblProductos[CostoUnitario],ROW()-ROW(tblConteo[#Headers]))))</f>
        <v/>
      </c>
      <c r="L18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8" spans="2:13" x14ac:dyDescent="0.25">
      <c r="B188" s="42" t="str">
        <f>IF(INDEX(tblProductos[SKU],ROW()-ROW(tblConteo[#Headers]))="","",INDEX(tblProductos[SKU],ROW()-ROW(tblConteo[#Headers])))</f>
        <v/>
      </c>
      <c r="C188" s="49" t="str">
        <f>IF(tblConteo[[#This Row],[SKU]]="","",INDEX(tblProductos[Producto],ROW()-ROW(tblConteo[#Headers])))</f>
        <v/>
      </c>
      <c r="D188" s="49" t="str">
        <f>IF(tblConteo[[#This Row],[SKU]]="","",INDEX(tblProductos[Categoría],ROW()-ROW(tblConteo[#Headers]))&amp;"")</f>
        <v/>
      </c>
      <c r="E188" s="42" t="str">
        <f>IF(tblConteo[[#This Row],[SKU]]="","",INDEX(tblProductos[Ubicación],ROW()-ROW(tblConteo[#Headers]))&amp;"")</f>
        <v/>
      </c>
      <c r="F188" s="42" t="str">
        <f>IF(tblConteo[[#This Row],[SKU]]="","",INDEX(tblProductos[Unidad],ROW()-ROW(tblConteo[#Headers]))&amp;"")</f>
        <v/>
      </c>
      <c r="G188" s="42" t="str">
        <f>IF(tblConteo[[#This Row],[SKU]]="","",IF(INDEX(tblProductos[Activo],ROW()-ROW(tblConteo[#Headers]))="NO","NO","SI"))</f>
        <v/>
      </c>
      <c r="H188" s="53" t="str">
        <f>IF(tblConteo[[#This Row],[SKU]]="","",IFERROR(N(INDEX(tblStock[StockActual],MATCH(tblConteo[[#This Row],[SKU]],tblStock[SKU],0))),0))</f>
        <v/>
      </c>
      <c r="I188" s="52"/>
      <c r="J188" s="59" t="str">
        <f>IF(OR(tblConteo[[#This Row],[SKU]]="",tblConteo[[#This Row],[Conteo]]=""),"",IF(ISNUMBER(tblConteo[[#This Row],[Conteo]]),tblConteo[[#This Row],[Conteo]]-N(tblConteo[[#This Row],[Sistema]]),""))</f>
        <v/>
      </c>
      <c r="K188" s="62" t="str">
        <f>IF(tblConteo[[#This Row],[Diferencia]]="","",tblConteo[[#This Row],[Diferencia]]*N(INDEX(tblProductos[CostoUnitario],ROW()-ROW(tblConteo[#Headers]))))</f>
        <v/>
      </c>
      <c r="L18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9" spans="2:13" x14ac:dyDescent="0.25">
      <c r="B189" s="42" t="str">
        <f>IF(INDEX(tblProductos[SKU],ROW()-ROW(tblConteo[#Headers]))="","",INDEX(tblProductos[SKU],ROW()-ROW(tblConteo[#Headers])))</f>
        <v/>
      </c>
      <c r="C189" s="49" t="str">
        <f>IF(tblConteo[[#This Row],[SKU]]="","",INDEX(tblProductos[Producto],ROW()-ROW(tblConteo[#Headers])))</f>
        <v/>
      </c>
      <c r="D189" s="49" t="str">
        <f>IF(tblConteo[[#This Row],[SKU]]="","",INDEX(tblProductos[Categoría],ROW()-ROW(tblConteo[#Headers]))&amp;"")</f>
        <v/>
      </c>
      <c r="E189" s="42" t="str">
        <f>IF(tblConteo[[#This Row],[SKU]]="","",INDEX(tblProductos[Ubicación],ROW()-ROW(tblConteo[#Headers]))&amp;"")</f>
        <v/>
      </c>
      <c r="F189" s="42" t="str">
        <f>IF(tblConteo[[#This Row],[SKU]]="","",INDEX(tblProductos[Unidad],ROW()-ROW(tblConteo[#Headers]))&amp;"")</f>
        <v/>
      </c>
      <c r="G189" s="42" t="str">
        <f>IF(tblConteo[[#This Row],[SKU]]="","",IF(INDEX(tblProductos[Activo],ROW()-ROW(tblConteo[#Headers]))="NO","NO","SI"))</f>
        <v/>
      </c>
      <c r="H189" s="53" t="str">
        <f>IF(tblConteo[[#This Row],[SKU]]="","",IFERROR(N(INDEX(tblStock[StockActual],MATCH(tblConteo[[#This Row],[SKU]],tblStock[SKU],0))),0))</f>
        <v/>
      </c>
      <c r="I189" s="52"/>
      <c r="J189" s="59" t="str">
        <f>IF(OR(tblConteo[[#This Row],[SKU]]="",tblConteo[[#This Row],[Conteo]]=""),"",IF(ISNUMBER(tblConteo[[#This Row],[Conteo]]),tblConteo[[#This Row],[Conteo]]-N(tblConteo[[#This Row],[Sistema]]),""))</f>
        <v/>
      </c>
      <c r="K189" s="62" t="str">
        <f>IF(tblConteo[[#This Row],[Diferencia]]="","",tblConteo[[#This Row],[Diferencia]]*N(INDEX(tblProductos[CostoUnitario],ROW()-ROW(tblConteo[#Headers]))))</f>
        <v/>
      </c>
      <c r="L18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0" spans="2:13" x14ac:dyDescent="0.25">
      <c r="B190" s="42" t="str">
        <f>IF(INDEX(tblProductos[SKU],ROW()-ROW(tblConteo[#Headers]))="","",INDEX(tblProductos[SKU],ROW()-ROW(tblConteo[#Headers])))</f>
        <v/>
      </c>
      <c r="C190" s="49" t="str">
        <f>IF(tblConteo[[#This Row],[SKU]]="","",INDEX(tblProductos[Producto],ROW()-ROW(tblConteo[#Headers])))</f>
        <v/>
      </c>
      <c r="D190" s="49" t="str">
        <f>IF(tblConteo[[#This Row],[SKU]]="","",INDEX(tblProductos[Categoría],ROW()-ROW(tblConteo[#Headers]))&amp;"")</f>
        <v/>
      </c>
      <c r="E190" s="42" t="str">
        <f>IF(tblConteo[[#This Row],[SKU]]="","",INDEX(tblProductos[Ubicación],ROW()-ROW(tblConteo[#Headers]))&amp;"")</f>
        <v/>
      </c>
      <c r="F190" s="42" t="str">
        <f>IF(tblConteo[[#This Row],[SKU]]="","",INDEX(tblProductos[Unidad],ROW()-ROW(tblConteo[#Headers]))&amp;"")</f>
        <v/>
      </c>
      <c r="G190" s="42" t="str">
        <f>IF(tblConteo[[#This Row],[SKU]]="","",IF(INDEX(tblProductos[Activo],ROW()-ROW(tblConteo[#Headers]))="NO","NO","SI"))</f>
        <v/>
      </c>
      <c r="H190" s="53" t="str">
        <f>IF(tblConteo[[#This Row],[SKU]]="","",IFERROR(N(INDEX(tblStock[StockActual],MATCH(tblConteo[[#This Row],[SKU]],tblStock[SKU],0))),0))</f>
        <v/>
      </c>
      <c r="I190" s="52"/>
      <c r="J190" s="59" t="str">
        <f>IF(OR(tblConteo[[#This Row],[SKU]]="",tblConteo[[#This Row],[Conteo]]=""),"",IF(ISNUMBER(tblConteo[[#This Row],[Conteo]]),tblConteo[[#This Row],[Conteo]]-N(tblConteo[[#This Row],[Sistema]]),""))</f>
        <v/>
      </c>
      <c r="K190" s="62" t="str">
        <f>IF(tblConteo[[#This Row],[Diferencia]]="","",tblConteo[[#This Row],[Diferencia]]*N(INDEX(tblProductos[CostoUnitario],ROW()-ROW(tblConteo[#Headers]))))</f>
        <v/>
      </c>
      <c r="L19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1" spans="2:13" x14ac:dyDescent="0.25">
      <c r="B191" s="42" t="str">
        <f>IF(INDEX(tblProductos[SKU],ROW()-ROW(tblConteo[#Headers]))="","",INDEX(tblProductos[SKU],ROW()-ROW(tblConteo[#Headers])))</f>
        <v/>
      </c>
      <c r="C191" s="49" t="str">
        <f>IF(tblConteo[[#This Row],[SKU]]="","",INDEX(tblProductos[Producto],ROW()-ROW(tblConteo[#Headers])))</f>
        <v/>
      </c>
      <c r="D191" s="49" t="str">
        <f>IF(tblConteo[[#This Row],[SKU]]="","",INDEX(tblProductos[Categoría],ROW()-ROW(tblConteo[#Headers]))&amp;"")</f>
        <v/>
      </c>
      <c r="E191" s="42" t="str">
        <f>IF(tblConteo[[#This Row],[SKU]]="","",INDEX(tblProductos[Ubicación],ROW()-ROW(tblConteo[#Headers]))&amp;"")</f>
        <v/>
      </c>
      <c r="F191" s="42" t="str">
        <f>IF(tblConteo[[#This Row],[SKU]]="","",INDEX(tblProductos[Unidad],ROW()-ROW(tblConteo[#Headers]))&amp;"")</f>
        <v/>
      </c>
      <c r="G191" s="42" t="str">
        <f>IF(tblConteo[[#This Row],[SKU]]="","",IF(INDEX(tblProductos[Activo],ROW()-ROW(tblConteo[#Headers]))="NO","NO","SI"))</f>
        <v/>
      </c>
      <c r="H191" s="53" t="str">
        <f>IF(tblConteo[[#This Row],[SKU]]="","",IFERROR(N(INDEX(tblStock[StockActual],MATCH(tblConteo[[#This Row],[SKU]],tblStock[SKU],0))),0))</f>
        <v/>
      </c>
      <c r="I191" s="52"/>
      <c r="J191" s="59" t="str">
        <f>IF(OR(tblConteo[[#This Row],[SKU]]="",tblConteo[[#This Row],[Conteo]]=""),"",IF(ISNUMBER(tblConteo[[#This Row],[Conteo]]),tblConteo[[#This Row],[Conteo]]-N(tblConteo[[#This Row],[Sistema]]),""))</f>
        <v/>
      </c>
      <c r="K191" s="62" t="str">
        <f>IF(tblConteo[[#This Row],[Diferencia]]="","",tblConteo[[#This Row],[Diferencia]]*N(INDEX(tblProductos[CostoUnitario],ROW()-ROW(tblConteo[#Headers]))))</f>
        <v/>
      </c>
      <c r="L19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2" spans="2:13" x14ac:dyDescent="0.25">
      <c r="B192" s="42" t="str">
        <f>IF(INDEX(tblProductos[SKU],ROW()-ROW(tblConteo[#Headers]))="","",INDEX(tblProductos[SKU],ROW()-ROW(tblConteo[#Headers])))</f>
        <v/>
      </c>
      <c r="C192" s="49" t="str">
        <f>IF(tblConteo[[#This Row],[SKU]]="","",INDEX(tblProductos[Producto],ROW()-ROW(tblConteo[#Headers])))</f>
        <v/>
      </c>
      <c r="D192" s="49" t="str">
        <f>IF(tblConteo[[#This Row],[SKU]]="","",INDEX(tblProductos[Categoría],ROW()-ROW(tblConteo[#Headers]))&amp;"")</f>
        <v/>
      </c>
      <c r="E192" s="42" t="str">
        <f>IF(tblConteo[[#This Row],[SKU]]="","",INDEX(tblProductos[Ubicación],ROW()-ROW(tblConteo[#Headers]))&amp;"")</f>
        <v/>
      </c>
      <c r="F192" s="42" t="str">
        <f>IF(tblConteo[[#This Row],[SKU]]="","",INDEX(tblProductos[Unidad],ROW()-ROW(tblConteo[#Headers]))&amp;"")</f>
        <v/>
      </c>
      <c r="G192" s="42" t="str">
        <f>IF(tblConteo[[#This Row],[SKU]]="","",IF(INDEX(tblProductos[Activo],ROW()-ROW(tblConteo[#Headers]))="NO","NO","SI"))</f>
        <v/>
      </c>
      <c r="H192" s="53" t="str">
        <f>IF(tblConteo[[#This Row],[SKU]]="","",IFERROR(N(INDEX(tblStock[StockActual],MATCH(tblConteo[[#This Row],[SKU]],tblStock[SKU],0))),0))</f>
        <v/>
      </c>
      <c r="I192" s="52"/>
      <c r="J192" s="59" t="str">
        <f>IF(OR(tblConteo[[#This Row],[SKU]]="",tblConteo[[#This Row],[Conteo]]=""),"",IF(ISNUMBER(tblConteo[[#This Row],[Conteo]]),tblConteo[[#This Row],[Conteo]]-N(tblConteo[[#This Row],[Sistema]]),""))</f>
        <v/>
      </c>
      <c r="K192" s="62" t="str">
        <f>IF(tblConteo[[#This Row],[Diferencia]]="","",tblConteo[[#This Row],[Diferencia]]*N(INDEX(tblProductos[CostoUnitario],ROW()-ROW(tblConteo[#Headers]))))</f>
        <v/>
      </c>
      <c r="L19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3" spans="2:13" x14ac:dyDescent="0.25">
      <c r="B193" s="42" t="str">
        <f>IF(INDEX(tblProductos[SKU],ROW()-ROW(tblConteo[#Headers]))="","",INDEX(tblProductos[SKU],ROW()-ROW(tblConteo[#Headers])))</f>
        <v/>
      </c>
      <c r="C193" s="49" t="str">
        <f>IF(tblConteo[[#This Row],[SKU]]="","",INDEX(tblProductos[Producto],ROW()-ROW(tblConteo[#Headers])))</f>
        <v/>
      </c>
      <c r="D193" s="49" t="str">
        <f>IF(tblConteo[[#This Row],[SKU]]="","",INDEX(tblProductos[Categoría],ROW()-ROW(tblConteo[#Headers]))&amp;"")</f>
        <v/>
      </c>
      <c r="E193" s="42" t="str">
        <f>IF(tblConteo[[#This Row],[SKU]]="","",INDEX(tblProductos[Ubicación],ROW()-ROW(tblConteo[#Headers]))&amp;"")</f>
        <v/>
      </c>
      <c r="F193" s="42" t="str">
        <f>IF(tblConteo[[#This Row],[SKU]]="","",INDEX(tblProductos[Unidad],ROW()-ROW(tblConteo[#Headers]))&amp;"")</f>
        <v/>
      </c>
      <c r="G193" s="42" t="str">
        <f>IF(tblConteo[[#This Row],[SKU]]="","",IF(INDEX(tblProductos[Activo],ROW()-ROW(tblConteo[#Headers]))="NO","NO","SI"))</f>
        <v/>
      </c>
      <c r="H193" s="53" t="str">
        <f>IF(tblConteo[[#This Row],[SKU]]="","",IFERROR(N(INDEX(tblStock[StockActual],MATCH(tblConteo[[#This Row],[SKU]],tblStock[SKU],0))),0))</f>
        <v/>
      </c>
      <c r="I193" s="52"/>
      <c r="J193" s="59" t="str">
        <f>IF(OR(tblConteo[[#This Row],[SKU]]="",tblConteo[[#This Row],[Conteo]]=""),"",IF(ISNUMBER(tblConteo[[#This Row],[Conteo]]),tblConteo[[#This Row],[Conteo]]-N(tblConteo[[#This Row],[Sistema]]),""))</f>
        <v/>
      </c>
      <c r="K193" s="62" t="str">
        <f>IF(tblConteo[[#This Row],[Diferencia]]="","",tblConteo[[#This Row],[Diferencia]]*N(INDEX(tblProductos[CostoUnitario],ROW()-ROW(tblConteo[#Headers]))))</f>
        <v/>
      </c>
      <c r="L19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4" spans="2:13" x14ac:dyDescent="0.25">
      <c r="B194" s="42" t="str">
        <f>IF(INDEX(tblProductos[SKU],ROW()-ROW(tblConteo[#Headers]))="","",INDEX(tblProductos[SKU],ROW()-ROW(tblConteo[#Headers])))</f>
        <v/>
      </c>
      <c r="C194" s="49" t="str">
        <f>IF(tblConteo[[#This Row],[SKU]]="","",INDEX(tblProductos[Producto],ROW()-ROW(tblConteo[#Headers])))</f>
        <v/>
      </c>
      <c r="D194" s="49" t="str">
        <f>IF(tblConteo[[#This Row],[SKU]]="","",INDEX(tblProductos[Categoría],ROW()-ROW(tblConteo[#Headers]))&amp;"")</f>
        <v/>
      </c>
      <c r="E194" s="42" t="str">
        <f>IF(tblConteo[[#This Row],[SKU]]="","",INDEX(tblProductos[Ubicación],ROW()-ROW(tblConteo[#Headers]))&amp;"")</f>
        <v/>
      </c>
      <c r="F194" s="42" t="str">
        <f>IF(tblConteo[[#This Row],[SKU]]="","",INDEX(tblProductos[Unidad],ROW()-ROW(tblConteo[#Headers]))&amp;"")</f>
        <v/>
      </c>
      <c r="G194" s="42" t="str">
        <f>IF(tblConteo[[#This Row],[SKU]]="","",IF(INDEX(tblProductos[Activo],ROW()-ROW(tblConteo[#Headers]))="NO","NO","SI"))</f>
        <v/>
      </c>
      <c r="H194" s="53" t="str">
        <f>IF(tblConteo[[#This Row],[SKU]]="","",IFERROR(N(INDEX(tblStock[StockActual],MATCH(tblConteo[[#This Row],[SKU]],tblStock[SKU],0))),0))</f>
        <v/>
      </c>
      <c r="I194" s="52"/>
      <c r="J194" s="59" t="str">
        <f>IF(OR(tblConteo[[#This Row],[SKU]]="",tblConteo[[#This Row],[Conteo]]=""),"",IF(ISNUMBER(tblConteo[[#This Row],[Conteo]]),tblConteo[[#This Row],[Conteo]]-N(tblConteo[[#This Row],[Sistema]]),""))</f>
        <v/>
      </c>
      <c r="K194" s="62" t="str">
        <f>IF(tblConteo[[#This Row],[Diferencia]]="","",tblConteo[[#This Row],[Diferencia]]*N(INDEX(tblProductos[CostoUnitario],ROW()-ROW(tblConteo[#Headers]))))</f>
        <v/>
      </c>
      <c r="L19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5" spans="2:13" x14ac:dyDescent="0.25">
      <c r="B195" s="42" t="str">
        <f>IF(INDEX(tblProductos[SKU],ROW()-ROW(tblConteo[#Headers]))="","",INDEX(tblProductos[SKU],ROW()-ROW(tblConteo[#Headers])))</f>
        <v/>
      </c>
      <c r="C195" s="49" t="str">
        <f>IF(tblConteo[[#This Row],[SKU]]="","",INDEX(tblProductos[Producto],ROW()-ROW(tblConteo[#Headers])))</f>
        <v/>
      </c>
      <c r="D195" s="49" t="str">
        <f>IF(tblConteo[[#This Row],[SKU]]="","",INDEX(tblProductos[Categoría],ROW()-ROW(tblConteo[#Headers]))&amp;"")</f>
        <v/>
      </c>
      <c r="E195" s="42" t="str">
        <f>IF(tblConteo[[#This Row],[SKU]]="","",INDEX(tblProductos[Ubicación],ROW()-ROW(tblConteo[#Headers]))&amp;"")</f>
        <v/>
      </c>
      <c r="F195" s="42" t="str">
        <f>IF(tblConteo[[#This Row],[SKU]]="","",INDEX(tblProductos[Unidad],ROW()-ROW(tblConteo[#Headers]))&amp;"")</f>
        <v/>
      </c>
      <c r="G195" s="42" t="str">
        <f>IF(tblConteo[[#This Row],[SKU]]="","",IF(INDEX(tblProductos[Activo],ROW()-ROW(tblConteo[#Headers]))="NO","NO","SI"))</f>
        <v/>
      </c>
      <c r="H195" s="53" t="str">
        <f>IF(tblConteo[[#This Row],[SKU]]="","",IFERROR(N(INDEX(tblStock[StockActual],MATCH(tblConteo[[#This Row],[SKU]],tblStock[SKU],0))),0))</f>
        <v/>
      </c>
      <c r="I195" s="52"/>
      <c r="J195" s="59" t="str">
        <f>IF(OR(tblConteo[[#This Row],[SKU]]="",tblConteo[[#This Row],[Conteo]]=""),"",IF(ISNUMBER(tblConteo[[#This Row],[Conteo]]),tblConteo[[#This Row],[Conteo]]-N(tblConteo[[#This Row],[Sistema]]),""))</f>
        <v/>
      </c>
      <c r="K195" s="62" t="str">
        <f>IF(tblConteo[[#This Row],[Diferencia]]="","",tblConteo[[#This Row],[Diferencia]]*N(INDEX(tblProductos[CostoUnitario],ROW()-ROW(tblConteo[#Headers]))))</f>
        <v/>
      </c>
      <c r="L19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6" spans="2:13" x14ac:dyDescent="0.25">
      <c r="B196" s="42" t="str">
        <f>IF(INDEX(tblProductos[SKU],ROW()-ROW(tblConteo[#Headers]))="","",INDEX(tblProductos[SKU],ROW()-ROW(tblConteo[#Headers])))</f>
        <v/>
      </c>
      <c r="C196" s="49" t="str">
        <f>IF(tblConteo[[#This Row],[SKU]]="","",INDEX(tblProductos[Producto],ROW()-ROW(tblConteo[#Headers])))</f>
        <v/>
      </c>
      <c r="D196" s="49" t="str">
        <f>IF(tblConteo[[#This Row],[SKU]]="","",INDEX(tblProductos[Categoría],ROW()-ROW(tblConteo[#Headers]))&amp;"")</f>
        <v/>
      </c>
      <c r="E196" s="42" t="str">
        <f>IF(tblConteo[[#This Row],[SKU]]="","",INDEX(tblProductos[Ubicación],ROW()-ROW(tblConteo[#Headers]))&amp;"")</f>
        <v/>
      </c>
      <c r="F196" s="42" t="str">
        <f>IF(tblConteo[[#This Row],[SKU]]="","",INDEX(tblProductos[Unidad],ROW()-ROW(tblConteo[#Headers]))&amp;"")</f>
        <v/>
      </c>
      <c r="G196" s="42" t="str">
        <f>IF(tblConteo[[#This Row],[SKU]]="","",IF(INDEX(tblProductos[Activo],ROW()-ROW(tblConteo[#Headers]))="NO","NO","SI"))</f>
        <v/>
      </c>
      <c r="H196" s="53" t="str">
        <f>IF(tblConteo[[#This Row],[SKU]]="","",IFERROR(N(INDEX(tblStock[StockActual],MATCH(tblConteo[[#This Row],[SKU]],tblStock[SKU],0))),0))</f>
        <v/>
      </c>
      <c r="I196" s="52"/>
      <c r="J196" s="59" t="str">
        <f>IF(OR(tblConteo[[#This Row],[SKU]]="",tblConteo[[#This Row],[Conteo]]=""),"",IF(ISNUMBER(tblConteo[[#This Row],[Conteo]]),tblConteo[[#This Row],[Conteo]]-N(tblConteo[[#This Row],[Sistema]]),""))</f>
        <v/>
      </c>
      <c r="K196" s="62" t="str">
        <f>IF(tblConteo[[#This Row],[Diferencia]]="","",tblConteo[[#This Row],[Diferencia]]*N(INDEX(tblProductos[CostoUnitario],ROW()-ROW(tblConteo[#Headers]))))</f>
        <v/>
      </c>
      <c r="L19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7" spans="2:13" x14ac:dyDescent="0.25">
      <c r="B197" s="42" t="str">
        <f>IF(INDEX(tblProductos[SKU],ROW()-ROW(tblConteo[#Headers]))="","",INDEX(tblProductos[SKU],ROW()-ROW(tblConteo[#Headers])))</f>
        <v/>
      </c>
      <c r="C197" s="49" t="str">
        <f>IF(tblConteo[[#This Row],[SKU]]="","",INDEX(tblProductos[Producto],ROW()-ROW(tblConteo[#Headers])))</f>
        <v/>
      </c>
      <c r="D197" s="49" t="str">
        <f>IF(tblConteo[[#This Row],[SKU]]="","",INDEX(tblProductos[Categoría],ROW()-ROW(tblConteo[#Headers]))&amp;"")</f>
        <v/>
      </c>
      <c r="E197" s="42" t="str">
        <f>IF(tblConteo[[#This Row],[SKU]]="","",INDEX(tblProductos[Ubicación],ROW()-ROW(tblConteo[#Headers]))&amp;"")</f>
        <v/>
      </c>
      <c r="F197" s="42" t="str">
        <f>IF(tblConteo[[#This Row],[SKU]]="","",INDEX(tblProductos[Unidad],ROW()-ROW(tblConteo[#Headers]))&amp;"")</f>
        <v/>
      </c>
      <c r="G197" s="42" t="str">
        <f>IF(tblConteo[[#This Row],[SKU]]="","",IF(INDEX(tblProductos[Activo],ROW()-ROW(tblConteo[#Headers]))="NO","NO","SI"))</f>
        <v/>
      </c>
      <c r="H197" s="53" t="str">
        <f>IF(tblConteo[[#This Row],[SKU]]="","",IFERROR(N(INDEX(tblStock[StockActual],MATCH(tblConteo[[#This Row],[SKU]],tblStock[SKU],0))),0))</f>
        <v/>
      </c>
      <c r="I197" s="52"/>
      <c r="J197" s="59" t="str">
        <f>IF(OR(tblConteo[[#This Row],[SKU]]="",tblConteo[[#This Row],[Conteo]]=""),"",IF(ISNUMBER(tblConteo[[#This Row],[Conteo]]),tblConteo[[#This Row],[Conteo]]-N(tblConteo[[#This Row],[Sistema]]),""))</f>
        <v/>
      </c>
      <c r="K197" s="62" t="str">
        <f>IF(tblConteo[[#This Row],[Diferencia]]="","",tblConteo[[#This Row],[Diferencia]]*N(INDEX(tblProductos[CostoUnitario],ROW()-ROW(tblConteo[#Headers]))))</f>
        <v/>
      </c>
      <c r="L19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8" spans="2:13" x14ac:dyDescent="0.25">
      <c r="B198" s="42" t="str">
        <f>IF(INDEX(tblProductos[SKU],ROW()-ROW(tblConteo[#Headers]))="","",INDEX(tblProductos[SKU],ROW()-ROW(tblConteo[#Headers])))</f>
        <v/>
      </c>
      <c r="C198" s="49" t="str">
        <f>IF(tblConteo[[#This Row],[SKU]]="","",INDEX(tblProductos[Producto],ROW()-ROW(tblConteo[#Headers])))</f>
        <v/>
      </c>
      <c r="D198" s="49" t="str">
        <f>IF(tblConteo[[#This Row],[SKU]]="","",INDEX(tblProductos[Categoría],ROW()-ROW(tblConteo[#Headers]))&amp;"")</f>
        <v/>
      </c>
      <c r="E198" s="42" t="str">
        <f>IF(tblConteo[[#This Row],[SKU]]="","",INDEX(tblProductos[Ubicación],ROW()-ROW(tblConteo[#Headers]))&amp;"")</f>
        <v/>
      </c>
      <c r="F198" s="42" t="str">
        <f>IF(tblConteo[[#This Row],[SKU]]="","",INDEX(tblProductos[Unidad],ROW()-ROW(tblConteo[#Headers]))&amp;"")</f>
        <v/>
      </c>
      <c r="G198" s="42" t="str">
        <f>IF(tblConteo[[#This Row],[SKU]]="","",IF(INDEX(tblProductos[Activo],ROW()-ROW(tblConteo[#Headers]))="NO","NO","SI"))</f>
        <v/>
      </c>
      <c r="H198" s="53" t="str">
        <f>IF(tblConteo[[#This Row],[SKU]]="","",IFERROR(N(INDEX(tblStock[StockActual],MATCH(tblConteo[[#This Row],[SKU]],tblStock[SKU],0))),0))</f>
        <v/>
      </c>
      <c r="I198" s="52"/>
      <c r="J198" s="59" t="str">
        <f>IF(OR(tblConteo[[#This Row],[SKU]]="",tblConteo[[#This Row],[Conteo]]=""),"",IF(ISNUMBER(tblConteo[[#This Row],[Conteo]]),tblConteo[[#This Row],[Conteo]]-N(tblConteo[[#This Row],[Sistema]]),""))</f>
        <v/>
      </c>
      <c r="K198" s="62" t="str">
        <f>IF(tblConteo[[#This Row],[Diferencia]]="","",tblConteo[[#This Row],[Diferencia]]*N(INDEX(tblProductos[CostoUnitario],ROW()-ROW(tblConteo[#Headers]))))</f>
        <v/>
      </c>
      <c r="L19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9" spans="2:13" x14ac:dyDescent="0.25">
      <c r="B199" s="42" t="str">
        <f>IF(INDEX(tblProductos[SKU],ROW()-ROW(tblConteo[#Headers]))="","",INDEX(tblProductos[SKU],ROW()-ROW(tblConteo[#Headers])))</f>
        <v/>
      </c>
      <c r="C199" s="49" t="str">
        <f>IF(tblConteo[[#This Row],[SKU]]="","",INDEX(tblProductos[Producto],ROW()-ROW(tblConteo[#Headers])))</f>
        <v/>
      </c>
      <c r="D199" s="49" t="str">
        <f>IF(tblConteo[[#This Row],[SKU]]="","",INDEX(tblProductos[Categoría],ROW()-ROW(tblConteo[#Headers]))&amp;"")</f>
        <v/>
      </c>
      <c r="E199" s="42" t="str">
        <f>IF(tblConteo[[#This Row],[SKU]]="","",INDEX(tblProductos[Ubicación],ROW()-ROW(tblConteo[#Headers]))&amp;"")</f>
        <v/>
      </c>
      <c r="F199" s="42" t="str">
        <f>IF(tblConteo[[#This Row],[SKU]]="","",INDEX(tblProductos[Unidad],ROW()-ROW(tblConteo[#Headers]))&amp;"")</f>
        <v/>
      </c>
      <c r="G199" s="42" t="str">
        <f>IF(tblConteo[[#This Row],[SKU]]="","",IF(INDEX(tblProductos[Activo],ROW()-ROW(tblConteo[#Headers]))="NO","NO","SI"))</f>
        <v/>
      </c>
      <c r="H199" s="53" t="str">
        <f>IF(tblConteo[[#This Row],[SKU]]="","",IFERROR(N(INDEX(tblStock[StockActual],MATCH(tblConteo[[#This Row],[SKU]],tblStock[SKU],0))),0))</f>
        <v/>
      </c>
      <c r="I199" s="52"/>
      <c r="J199" s="59" t="str">
        <f>IF(OR(tblConteo[[#This Row],[SKU]]="",tblConteo[[#This Row],[Conteo]]=""),"",IF(ISNUMBER(tblConteo[[#This Row],[Conteo]]),tblConteo[[#This Row],[Conteo]]-N(tblConteo[[#This Row],[Sistema]]),""))</f>
        <v/>
      </c>
      <c r="K199" s="62" t="str">
        <f>IF(tblConteo[[#This Row],[Diferencia]]="","",tblConteo[[#This Row],[Diferencia]]*N(INDEX(tblProductos[CostoUnitario],ROW()-ROW(tblConteo[#Headers]))))</f>
        <v/>
      </c>
      <c r="L19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0" spans="2:13" x14ac:dyDescent="0.25">
      <c r="B200" s="42" t="str">
        <f>IF(INDEX(tblProductos[SKU],ROW()-ROW(tblConteo[#Headers]))="","",INDEX(tblProductos[SKU],ROW()-ROW(tblConteo[#Headers])))</f>
        <v/>
      </c>
      <c r="C200" s="49" t="str">
        <f>IF(tblConteo[[#This Row],[SKU]]="","",INDEX(tblProductos[Producto],ROW()-ROW(tblConteo[#Headers])))</f>
        <v/>
      </c>
      <c r="D200" s="49" t="str">
        <f>IF(tblConteo[[#This Row],[SKU]]="","",INDEX(tblProductos[Categoría],ROW()-ROW(tblConteo[#Headers]))&amp;"")</f>
        <v/>
      </c>
      <c r="E200" s="42" t="str">
        <f>IF(tblConteo[[#This Row],[SKU]]="","",INDEX(tblProductos[Ubicación],ROW()-ROW(tblConteo[#Headers]))&amp;"")</f>
        <v/>
      </c>
      <c r="F200" s="42" t="str">
        <f>IF(tblConteo[[#This Row],[SKU]]="","",INDEX(tblProductos[Unidad],ROW()-ROW(tblConteo[#Headers]))&amp;"")</f>
        <v/>
      </c>
      <c r="G200" s="42" t="str">
        <f>IF(tblConteo[[#This Row],[SKU]]="","",IF(INDEX(tblProductos[Activo],ROW()-ROW(tblConteo[#Headers]))="NO","NO","SI"))</f>
        <v/>
      </c>
      <c r="H200" s="53" t="str">
        <f>IF(tblConteo[[#This Row],[SKU]]="","",IFERROR(N(INDEX(tblStock[StockActual],MATCH(tblConteo[[#This Row],[SKU]],tblStock[SKU],0))),0))</f>
        <v/>
      </c>
      <c r="I200" s="52"/>
      <c r="J200" s="59" t="str">
        <f>IF(OR(tblConteo[[#This Row],[SKU]]="",tblConteo[[#This Row],[Conteo]]=""),"",IF(ISNUMBER(tblConteo[[#This Row],[Conteo]]),tblConteo[[#This Row],[Conteo]]-N(tblConteo[[#This Row],[Sistema]]),""))</f>
        <v/>
      </c>
      <c r="K200" s="62" t="str">
        <f>IF(tblConteo[[#This Row],[Diferencia]]="","",tblConteo[[#This Row],[Diferencia]]*N(INDEX(tblProductos[CostoUnitario],ROW()-ROW(tblConteo[#Headers]))))</f>
        <v/>
      </c>
      <c r="L20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1" spans="2:13" x14ac:dyDescent="0.25">
      <c r="B201" s="42" t="str">
        <f>IF(INDEX(tblProductos[SKU],ROW()-ROW(tblConteo[#Headers]))="","",INDEX(tblProductos[SKU],ROW()-ROW(tblConteo[#Headers])))</f>
        <v/>
      </c>
      <c r="C201" s="49" t="str">
        <f>IF(tblConteo[[#This Row],[SKU]]="","",INDEX(tblProductos[Producto],ROW()-ROW(tblConteo[#Headers])))</f>
        <v/>
      </c>
      <c r="D201" s="49" t="str">
        <f>IF(tblConteo[[#This Row],[SKU]]="","",INDEX(tblProductos[Categoría],ROW()-ROW(tblConteo[#Headers]))&amp;"")</f>
        <v/>
      </c>
      <c r="E201" s="42" t="str">
        <f>IF(tblConteo[[#This Row],[SKU]]="","",INDEX(tblProductos[Ubicación],ROW()-ROW(tblConteo[#Headers]))&amp;"")</f>
        <v/>
      </c>
      <c r="F201" s="42" t="str">
        <f>IF(tblConteo[[#This Row],[SKU]]="","",INDEX(tblProductos[Unidad],ROW()-ROW(tblConteo[#Headers]))&amp;"")</f>
        <v/>
      </c>
      <c r="G201" s="42" t="str">
        <f>IF(tblConteo[[#This Row],[SKU]]="","",IF(INDEX(tblProductos[Activo],ROW()-ROW(tblConteo[#Headers]))="NO","NO","SI"))</f>
        <v/>
      </c>
      <c r="H201" s="53" t="str">
        <f>IF(tblConteo[[#This Row],[SKU]]="","",IFERROR(N(INDEX(tblStock[StockActual],MATCH(tblConteo[[#This Row],[SKU]],tblStock[SKU],0))),0))</f>
        <v/>
      </c>
      <c r="I201" s="52"/>
      <c r="J201" s="59" t="str">
        <f>IF(OR(tblConteo[[#This Row],[SKU]]="",tblConteo[[#This Row],[Conteo]]=""),"",IF(ISNUMBER(tblConteo[[#This Row],[Conteo]]),tblConteo[[#This Row],[Conteo]]-N(tblConteo[[#This Row],[Sistema]]),""))</f>
        <v/>
      </c>
      <c r="K201" s="62" t="str">
        <f>IF(tblConteo[[#This Row],[Diferencia]]="","",tblConteo[[#This Row],[Diferencia]]*N(INDEX(tblProductos[CostoUnitario],ROW()-ROW(tblConteo[#Headers]))))</f>
        <v/>
      </c>
      <c r="L20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2" spans="2:13" x14ac:dyDescent="0.25">
      <c r="B202" s="42" t="str">
        <f>IF(INDEX(tblProductos[SKU],ROW()-ROW(tblConteo[#Headers]))="","",INDEX(tblProductos[SKU],ROW()-ROW(tblConteo[#Headers])))</f>
        <v/>
      </c>
      <c r="C202" s="49" t="str">
        <f>IF(tblConteo[[#This Row],[SKU]]="","",INDEX(tblProductos[Producto],ROW()-ROW(tblConteo[#Headers])))</f>
        <v/>
      </c>
      <c r="D202" s="49" t="str">
        <f>IF(tblConteo[[#This Row],[SKU]]="","",INDEX(tblProductos[Categoría],ROW()-ROW(tblConteo[#Headers]))&amp;"")</f>
        <v/>
      </c>
      <c r="E202" s="42" t="str">
        <f>IF(tblConteo[[#This Row],[SKU]]="","",INDEX(tblProductos[Ubicación],ROW()-ROW(tblConteo[#Headers]))&amp;"")</f>
        <v/>
      </c>
      <c r="F202" s="42" t="str">
        <f>IF(tblConteo[[#This Row],[SKU]]="","",INDEX(tblProductos[Unidad],ROW()-ROW(tblConteo[#Headers]))&amp;"")</f>
        <v/>
      </c>
      <c r="G202" s="42" t="str">
        <f>IF(tblConteo[[#This Row],[SKU]]="","",IF(INDEX(tblProductos[Activo],ROW()-ROW(tblConteo[#Headers]))="NO","NO","SI"))</f>
        <v/>
      </c>
      <c r="H202" s="53" t="str">
        <f>IF(tblConteo[[#This Row],[SKU]]="","",IFERROR(N(INDEX(tblStock[StockActual],MATCH(tblConteo[[#This Row],[SKU]],tblStock[SKU],0))),0))</f>
        <v/>
      </c>
      <c r="I202" s="52"/>
      <c r="J202" s="59" t="str">
        <f>IF(OR(tblConteo[[#This Row],[SKU]]="",tblConteo[[#This Row],[Conteo]]=""),"",IF(ISNUMBER(tblConteo[[#This Row],[Conteo]]),tblConteo[[#This Row],[Conteo]]-N(tblConteo[[#This Row],[Sistema]]),""))</f>
        <v/>
      </c>
      <c r="K202" s="62" t="str">
        <f>IF(tblConteo[[#This Row],[Diferencia]]="","",tblConteo[[#This Row],[Diferencia]]*N(INDEX(tblProductos[CostoUnitario],ROW()-ROW(tblConteo[#Headers]))))</f>
        <v/>
      </c>
      <c r="L20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3" spans="2:13" x14ac:dyDescent="0.25">
      <c r="B203" s="42" t="str">
        <f>IF(INDEX(tblProductos[SKU],ROW()-ROW(tblConteo[#Headers]))="","",INDEX(tblProductos[SKU],ROW()-ROW(tblConteo[#Headers])))</f>
        <v/>
      </c>
      <c r="C203" s="49" t="str">
        <f>IF(tblConteo[[#This Row],[SKU]]="","",INDEX(tblProductos[Producto],ROW()-ROW(tblConteo[#Headers])))</f>
        <v/>
      </c>
      <c r="D203" s="49" t="str">
        <f>IF(tblConteo[[#This Row],[SKU]]="","",INDEX(tblProductos[Categoría],ROW()-ROW(tblConteo[#Headers]))&amp;"")</f>
        <v/>
      </c>
      <c r="E203" s="42" t="str">
        <f>IF(tblConteo[[#This Row],[SKU]]="","",INDEX(tblProductos[Ubicación],ROW()-ROW(tblConteo[#Headers]))&amp;"")</f>
        <v/>
      </c>
      <c r="F203" s="42" t="str">
        <f>IF(tblConteo[[#This Row],[SKU]]="","",INDEX(tblProductos[Unidad],ROW()-ROW(tblConteo[#Headers]))&amp;"")</f>
        <v/>
      </c>
      <c r="G203" s="42" t="str">
        <f>IF(tblConteo[[#This Row],[SKU]]="","",IF(INDEX(tblProductos[Activo],ROW()-ROW(tblConteo[#Headers]))="NO","NO","SI"))</f>
        <v/>
      </c>
      <c r="H203" s="53" t="str">
        <f>IF(tblConteo[[#This Row],[SKU]]="","",IFERROR(N(INDEX(tblStock[StockActual],MATCH(tblConteo[[#This Row],[SKU]],tblStock[SKU],0))),0))</f>
        <v/>
      </c>
      <c r="I203" s="52"/>
      <c r="J203" s="59" t="str">
        <f>IF(OR(tblConteo[[#This Row],[SKU]]="",tblConteo[[#This Row],[Conteo]]=""),"",IF(ISNUMBER(tblConteo[[#This Row],[Conteo]]),tblConteo[[#This Row],[Conteo]]-N(tblConteo[[#This Row],[Sistema]]),""))</f>
        <v/>
      </c>
      <c r="K203" s="62" t="str">
        <f>IF(tblConteo[[#This Row],[Diferencia]]="","",tblConteo[[#This Row],[Diferencia]]*N(INDEX(tblProductos[CostoUnitario],ROW()-ROW(tblConteo[#Headers]))))</f>
        <v/>
      </c>
      <c r="L20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4" spans="2:13" x14ac:dyDescent="0.25">
      <c r="B204" s="42" t="str">
        <f>IF(INDEX(tblProductos[SKU],ROW()-ROW(tblConteo[#Headers]))="","",INDEX(tblProductos[SKU],ROW()-ROW(tblConteo[#Headers])))</f>
        <v/>
      </c>
      <c r="C204" s="49" t="str">
        <f>IF(tblConteo[[#This Row],[SKU]]="","",INDEX(tblProductos[Producto],ROW()-ROW(tblConteo[#Headers])))</f>
        <v/>
      </c>
      <c r="D204" s="49" t="str">
        <f>IF(tblConteo[[#This Row],[SKU]]="","",INDEX(tblProductos[Categoría],ROW()-ROW(tblConteo[#Headers]))&amp;"")</f>
        <v/>
      </c>
      <c r="E204" s="42" t="str">
        <f>IF(tblConteo[[#This Row],[SKU]]="","",INDEX(tblProductos[Ubicación],ROW()-ROW(tblConteo[#Headers]))&amp;"")</f>
        <v/>
      </c>
      <c r="F204" s="42" t="str">
        <f>IF(tblConteo[[#This Row],[SKU]]="","",INDEX(tblProductos[Unidad],ROW()-ROW(tblConteo[#Headers]))&amp;"")</f>
        <v/>
      </c>
      <c r="G204" s="42" t="str">
        <f>IF(tblConteo[[#This Row],[SKU]]="","",IF(INDEX(tblProductos[Activo],ROW()-ROW(tblConteo[#Headers]))="NO","NO","SI"))</f>
        <v/>
      </c>
      <c r="H204" s="53" t="str">
        <f>IF(tblConteo[[#This Row],[SKU]]="","",IFERROR(N(INDEX(tblStock[StockActual],MATCH(tblConteo[[#This Row],[SKU]],tblStock[SKU],0))),0))</f>
        <v/>
      </c>
      <c r="I204" s="52"/>
      <c r="J204" s="59" t="str">
        <f>IF(OR(tblConteo[[#This Row],[SKU]]="",tblConteo[[#This Row],[Conteo]]=""),"",IF(ISNUMBER(tblConteo[[#This Row],[Conteo]]),tblConteo[[#This Row],[Conteo]]-N(tblConteo[[#This Row],[Sistema]]),""))</f>
        <v/>
      </c>
      <c r="K204" s="62" t="str">
        <f>IF(tblConteo[[#This Row],[Diferencia]]="","",tblConteo[[#This Row],[Diferencia]]*N(INDEX(tblProductos[CostoUnitario],ROW()-ROW(tblConteo[#Headers]))))</f>
        <v/>
      </c>
      <c r="L20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5" spans="2:13" x14ac:dyDescent="0.25">
      <c r="B205" s="42" t="str">
        <f>IF(INDEX(tblProductos[SKU],ROW()-ROW(tblConteo[#Headers]))="","",INDEX(tblProductos[SKU],ROW()-ROW(tblConteo[#Headers])))</f>
        <v/>
      </c>
      <c r="C205" s="49" t="str">
        <f>IF(tblConteo[[#This Row],[SKU]]="","",INDEX(tblProductos[Producto],ROW()-ROW(tblConteo[#Headers])))</f>
        <v/>
      </c>
      <c r="D205" s="49" t="str">
        <f>IF(tblConteo[[#This Row],[SKU]]="","",INDEX(tblProductos[Categoría],ROW()-ROW(tblConteo[#Headers]))&amp;"")</f>
        <v/>
      </c>
      <c r="E205" s="42" t="str">
        <f>IF(tblConteo[[#This Row],[SKU]]="","",INDEX(tblProductos[Ubicación],ROW()-ROW(tblConteo[#Headers]))&amp;"")</f>
        <v/>
      </c>
      <c r="F205" s="42" t="str">
        <f>IF(tblConteo[[#This Row],[SKU]]="","",INDEX(tblProductos[Unidad],ROW()-ROW(tblConteo[#Headers]))&amp;"")</f>
        <v/>
      </c>
      <c r="G205" s="42" t="str">
        <f>IF(tblConteo[[#This Row],[SKU]]="","",IF(INDEX(tblProductos[Activo],ROW()-ROW(tblConteo[#Headers]))="NO","NO","SI"))</f>
        <v/>
      </c>
      <c r="H205" s="53" t="str">
        <f>IF(tblConteo[[#This Row],[SKU]]="","",IFERROR(N(INDEX(tblStock[StockActual],MATCH(tblConteo[[#This Row],[SKU]],tblStock[SKU],0))),0))</f>
        <v/>
      </c>
      <c r="I205" s="52"/>
      <c r="J205" s="59" t="str">
        <f>IF(OR(tblConteo[[#This Row],[SKU]]="",tblConteo[[#This Row],[Conteo]]=""),"",IF(ISNUMBER(tblConteo[[#This Row],[Conteo]]),tblConteo[[#This Row],[Conteo]]-N(tblConteo[[#This Row],[Sistema]]),""))</f>
        <v/>
      </c>
      <c r="K205" s="62" t="str">
        <f>IF(tblConteo[[#This Row],[Diferencia]]="","",tblConteo[[#This Row],[Diferencia]]*N(INDEX(tblProductos[CostoUnitario],ROW()-ROW(tblConteo[#Headers]))))</f>
        <v/>
      </c>
      <c r="L20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6" spans="2:13" x14ac:dyDescent="0.25">
      <c r="B206" s="42" t="str">
        <f>IF(INDEX(tblProductos[SKU],ROW()-ROW(tblConteo[#Headers]))="","",INDEX(tblProductos[SKU],ROW()-ROW(tblConteo[#Headers])))</f>
        <v/>
      </c>
      <c r="C206" s="49" t="str">
        <f>IF(tblConteo[[#This Row],[SKU]]="","",INDEX(tblProductos[Producto],ROW()-ROW(tblConteo[#Headers])))</f>
        <v/>
      </c>
      <c r="D206" s="49" t="str">
        <f>IF(tblConteo[[#This Row],[SKU]]="","",INDEX(tblProductos[Categoría],ROW()-ROW(tblConteo[#Headers]))&amp;"")</f>
        <v/>
      </c>
      <c r="E206" s="42" t="str">
        <f>IF(tblConteo[[#This Row],[SKU]]="","",INDEX(tblProductos[Ubicación],ROW()-ROW(tblConteo[#Headers]))&amp;"")</f>
        <v/>
      </c>
      <c r="F206" s="42" t="str">
        <f>IF(tblConteo[[#This Row],[SKU]]="","",INDEX(tblProductos[Unidad],ROW()-ROW(tblConteo[#Headers]))&amp;"")</f>
        <v/>
      </c>
      <c r="G206" s="42" t="str">
        <f>IF(tblConteo[[#This Row],[SKU]]="","",IF(INDEX(tblProductos[Activo],ROW()-ROW(tblConteo[#Headers]))="NO","NO","SI"))</f>
        <v/>
      </c>
      <c r="H206" s="53" t="str">
        <f>IF(tblConteo[[#This Row],[SKU]]="","",IFERROR(N(INDEX(tblStock[StockActual],MATCH(tblConteo[[#This Row],[SKU]],tblStock[SKU],0))),0))</f>
        <v/>
      </c>
      <c r="I206" s="52"/>
      <c r="J206" s="59" t="str">
        <f>IF(OR(tblConteo[[#This Row],[SKU]]="",tblConteo[[#This Row],[Conteo]]=""),"",IF(ISNUMBER(tblConteo[[#This Row],[Conteo]]),tblConteo[[#This Row],[Conteo]]-N(tblConteo[[#This Row],[Sistema]]),""))</f>
        <v/>
      </c>
      <c r="K206" s="62" t="str">
        <f>IF(tblConteo[[#This Row],[Diferencia]]="","",tblConteo[[#This Row],[Diferencia]]*N(INDEX(tblProductos[CostoUnitario],ROW()-ROW(tblConteo[#Headers]))))</f>
        <v/>
      </c>
      <c r="L20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7" spans="2:13" x14ac:dyDescent="0.25">
      <c r="B207" s="42" t="str">
        <f>IF(INDEX(tblProductos[SKU],ROW()-ROW(tblConteo[#Headers]))="","",INDEX(tblProductos[SKU],ROW()-ROW(tblConteo[#Headers])))</f>
        <v/>
      </c>
      <c r="C207" s="49" t="str">
        <f>IF(tblConteo[[#This Row],[SKU]]="","",INDEX(tblProductos[Producto],ROW()-ROW(tblConteo[#Headers])))</f>
        <v/>
      </c>
      <c r="D207" s="49" t="str">
        <f>IF(tblConteo[[#This Row],[SKU]]="","",INDEX(tblProductos[Categoría],ROW()-ROW(tblConteo[#Headers]))&amp;"")</f>
        <v/>
      </c>
      <c r="E207" s="42" t="str">
        <f>IF(tblConteo[[#This Row],[SKU]]="","",INDEX(tblProductos[Ubicación],ROW()-ROW(tblConteo[#Headers]))&amp;"")</f>
        <v/>
      </c>
      <c r="F207" s="42" t="str">
        <f>IF(tblConteo[[#This Row],[SKU]]="","",INDEX(tblProductos[Unidad],ROW()-ROW(tblConteo[#Headers]))&amp;"")</f>
        <v/>
      </c>
      <c r="G207" s="42" t="str">
        <f>IF(tblConteo[[#This Row],[SKU]]="","",IF(INDEX(tblProductos[Activo],ROW()-ROW(tblConteo[#Headers]))="NO","NO","SI"))</f>
        <v/>
      </c>
      <c r="H207" s="53" t="str">
        <f>IF(tblConteo[[#This Row],[SKU]]="","",IFERROR(N(INDEX(tblStock[StockActual],MATCH(tblConteo[[#This Row],[SKU]],tblStock[SKU],0))),0))</f>
        <v/>
      </c>
      <c r="I207" s="52"/>
      <c r="J207" s="59" t="str">
        <f>IF(OR(tblConteo[[#This Row],[SKU]]="",tblConteo[[#This Row],[Conteo]]=""),"",IF(ISNUMBER(tblConteo[[#This Row],[Conteo]]),tblConteo[[#This Row],[Conteo]]-N(tblConteo[[#This Row],[Sistema]]),""))</f>
        <v/>
      </c>
      <c r="K207" s="62" t="str">
        <f>IF(tblConteo[[#This Row],[Diferencia]]="","",tblConteo[[#This Row],[Diferencia]]*N(INDEX(tblProductos[CostoUnitario],ROW()-ROW(tblConteo[#Headers]))))</f>
        <v/>
      </c>
      <c r="L20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8" spans="2:13" x14ac:dyDescent="0.25">
      <c r="B208" s="42" t="str">
        <f>IF(INDEX(tblProductos[SKU],ROW()-ROW(tblConteo[#Headers]))="","",INDEX(tblProductos[SKU],ROW()-ROW(tblConteo[#Headers])))</f>
        <v/>
      </c>
      <c r="C208" s="49" t="str">
        <f>IF(tblConteo[[#This Row],[SKU]]="","",INDEX(tblProductos[Producto],ROW()-ROW(tblConteo[#Headers])))</f>
        <v/>
      </c>
      <c r="D208" s="49" t="str">
        <f>IF(tblConteo[[#This Row],[SKU]]="","",INDEX(tblProductos[Categoría],ROW()-ROW(tblConteo[#Headers]))&amp;"")</f>
        <v/>
      </c>
      <c r="E208" s="42" t="str">
        <f>IF(tblConteo[[#This Row],[SKU]]="","",INDEX(tblProductos[Ubicación],ROW()-ROW(tblConteo[#Headers]))&amp;"")</f>
        <v/>
      </c>
      <c r="F208" s="42" t="str">
        <f>IF(tblConteo[[#This Row],[SKU]]="","",INDEX(tblProductos[Unidad],ROW()-ROW(tblConteo[#Headers]))&amp;"")</f>
        <v/>
      </c>
      <c r="G208" s="42" t="str">
        <f>IF(tblConteo[[#This Row],[SKU]]="","",IF(INDEX(tblProductos[Activo],ROW()-ROW(tblConteo[#Headers]))="NO","NO","SI"))</f>
        <v/>
      </c>
      <c r="H208" s="53" t="str">
        <f>IF(tblConteo[[#This Row],[SKU]]="","",IFERROR(N(INDEX(tblStock[StockActual],MATCH(tblConteo[[#This Row],[SKU]],tblStock[SKU],0))),0))</f>
        <v/>
      </c>
      <c r="I208" s="52"/>
      <c r="J208" s="59" t="str">
        <f>IF(OR(tblConteo[[#This Row],[SKU]]="",tblConteo[[#This Row],[Conteo]]=""),"",IF(ISNUMBER(tblConteo[[#This Row],[Conteo]]),tblConteo[[#This Row],[Conteo]]-N(tblConteo[[#This Row],[Sistema]]),""))</f>
        <v/>
      </c>
      <c r="K208" s="62" t="str">
        <f>IF(tblConteo[[#This Row],[Diferencia]]="","",tblConteo[[#This Row],[Diferencia]]*N(INDEX(tblProductos[CostoUnitario],ROW()-ROW(tblConteo[#Headers]))))</f>
        <v/>
      </c>
      <c r="L20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9" spans="2:13" x14ac:dyDescent="0.25">
      <c r="B209" s="42" t="str">
        <f>IF(INDEX(tblProductos[SKU],ROW()-ROW(tblConteo[#Headers]))="","",INDEX(tblProductos[SKU],ROW()-ROW(tblConteo[#Headers])))</f>
        <v/>
      </c>
      <c r="C209" s="49" t="str">
        <f>IF(tblConteo[[#This Row],[SKU]]="","",INDEX(tblProductos[Producto],ROW()-ROW(tblConteo[#Headers])))</f>
        <v/>
      </c>
      <c r="D209" s="49" t="str">
        <f>IF(tblConteo[[#This Row],[SKU]]="","",INDEX(tblProductos[Categoría],ROW()-ROW(tblConteo[#Headers]))&amp;"")</f>
        <v/>
      </c>
      <c r="E209" s="42" t="str">
        <f>IF(tblConteo[[#This Row],[SKU]]="","",INDEX(tblProductos[Ubicación],ROW()-ROW(tblConteo[#Headers]))&amp;"")</f>
        <v/>
      </c>
      <c r="F209" s="42" t="str">
        <f>IF(tblConteo[[#This Row],[SKU]]="","",INDEX(tblProductos[Unidad],ROW()-ROW(tblConteo[#Headers]))&amp;"")</f>
        <v/>
      </c>
      <c r="G209" s="42" t="str">
        <f>IF(tblConteo[[#This Row],[SKU]]="","",IF(INDEX(tblProductos[Activo],ROW()-ROW(tblConteo[#Headers]))="NO","NO","SI"))</f>
        <v/>
      </c>
      <c r="H209" s="53" t="str">
        <f>IF(tblConteo[[#This Row],[SKU]]="","",IFERROR(N(INDEX(tblStock[StockActual],MATCH(tblConteo[[#This Row],[SKU]],tblStock[SKU],0))),0))</f>
        <v/>
      </c>
      <c r="I209" s="52"/>
      <c r="J209" s="59" t="str">
        <f>IF(OR(tblConteo[[#This Row],[SKU]]="",tblConteo[[#This Row],[Conteo]]=""),"",IF(ISNUMBER(tblConteo[[#This Row],[Conteo]]),tblConteo[[#This Row],[Conteo]]-N(tblConteo[[#This Row],[Sistema]]),""))</f>
        <v/>
      </c>
      <c r="K209" s="62" t="str">
        <f>IF(tblConteo[[#This Row],[Diferencia]]="","",tblConteo[[#This Row],[Diferencia]]*N(INDEX(tblProductos[CostoUnitario],ROW()-ROW(tblConteo[#Headers]))))</f>
        <v/>
      </c>
      <c r="L20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0" spans="2:13" x14ac:dyDescent="0.25">
      <c r="B210" s="42" t="str">
        <f>IF(INDEX(tblProductos[SKU],ROW()-ROW(tblConteo[#Headers]))="","",INDEX(tblProductos[SKU],ROW()-ROW(tblConteo[#Headers])))</f>
        <v/>
      </c>
      <c r="C210" s="49" t="str">
        <f>IF(tblConteo[[#This Row],[SKU]]="","",INDEX(tblProductos[Producto],ROW()-ROW(tblConteo[#Headers])))</f>
        <v/>
      </c>
      <c r="D210" s="49" t="str">
        <f>IF(tblConteo[[#This Row],[SKU]]="","",INDEX(tblProductos[Categoría],ROW()-ROW(tblConteo[#Headers]))&amp;"")</f>
        <v/>
      </c>
      <c r="E210" s="42" t="str">
        <f>IF(tblConteo[[#This Row],[SKU]]="","",INDEX(tblProductos[Ubicación],ROW()-ROW(tblConteo[#Headers]))&amp;"")</f>
        <v/>
      </c>
      <c r="F210" s="42" t="str">
        <f>IF(tblConteo[[#This Row],[SKU]]="","",INDEX(tblProductos[Unidad],ROW()-ROW(tblConteo[#Headers]))&amp;"")</f>
        <v/>
      </c>
      <c r="G210" s="42" t="str">
        <f>IF(tblConteo[[#This Row],[SKU]]="","",IF(INDEX(tblProductos[Activo],ROW()-ROW(tblConteo[#Headers]))="NO","NO","SI"))</f>
        <v/>
      </c>
      <c r="H210" s="53" t="str">
        <f>IF(tblConteo[[#This Row],[SKU]]="","",IFERROR(N(INDEX(tblStock[StockActual],MATCH(tblConteo[[#This Row],[SKU]],tblStock[SKU],0))),0))</f>
        <v/>
      </c>
      <c r="I210" s="52"/>
      <c r="J210" s="59" t="str">
        <f>IF(OR(tblConteo[[#This Row],[SKU]]="",tblConteo[[#This Row],[Conteo]]=""),"",IF(ISNUMBER(tblConteo[[#This Row],[Conteo]]),tblConteo[[#This Row],[Conteo]]-N(tblConteo[[#This Row],[Sistema]]),""))</f>
        <v/>
      </c>
      <c r="K210" s="62" t="str">
        <f>IF(tblConteo[[#This Row],[Diferencia]]="","",tblConteo[[#This Row],[Diferencia]]*N(INDEX(tblProductos[CostoUnitario],ROW()-ROW(tblConteo[#Headers]))))</f>
        <v/>
      </c>
      <c r="L21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1" spans="2:13" x14ac:dyDescent="0.25">
      <c r="B211" s="42" t="str">
        <f>IF(INDEX(tblProductos[SKU],ROW()-ROW(tblConteo[#Headers]))="","",INDEX(tblProductos[SKU],ROW()-ROW(tblConteo[#Headers])))</f>
        <v/>
      </c>
      <c r="C211" s="49" t="str">
        <f>IF(tblConteo[[#This Row],[SKU]]="","",INDEX(tblProductos[Producto],ROW()-ROW(tblConteo[#Headers])))</f>
        <v/>
      </c>
      <c r="D211" s="49" t="str">
        <f>IF(tblConteo[[#This Row],[SKU]]="","",INDEX(tblProductos[Categoría],ROW()-ROW(tblConteo[#Headers]))&amp;"")</f>
        <v/>
      </c>
      <c r="E211" s="42" t="str">
        <f>IF(tblConteo[[#This Row],[SKU]]="","",INDEX(tblProductos[Ubicación],ROW()-ROW(tblConteo[#Headers]))&amp;"")</f>
        <v/>
      </c>
      <c r="F211" s="42" t="str">
        <f>IF(tblConteo[[#This Row],[SKU]]="","",INDEX(tblProductos[Unidad],ROW()-ROW(tblConteo[#Headers]))&amp;"")</f>
        <v/>
      </c>
      <c r="G211" s="42" t="str">
        <f>IF(tblConteo[[#This Row],[SKU]]="","",IF(INDEX(tblProductos[Activo],ROW()-ROW(tblConteo[#Headers]))="NO","NO","SI"))</f>
        <v/>
      </c>
      <c r="H211" s="53" t="str">
        <f>IF(tblConteo[[#This Row],[SKU]]="","",IFERROR(N(INDEX(tblStock[StockActual],MATCH(tblConteo[[#This Row],[SKU]],tblStock[SKU],0))),0))</f>
        <v/>
      </c>
      <c r="I211" s="52"/>
      <c r="J211" s="59" t="str">
        <f>IF(OR(tblConteo[[#This Row],[SKU]]="",tblConteo[[#This Row],[Conteo]]=""),"",IF(ISNUMBER(tblConteo[[#This Row],[Conteo]]),tblConteo[[#This Row],[Conteo]]-N(tblConteo[[#This Row],[Sistema]]),""))</f>
        <v/>
      </c>
      <c r="K211" s="62" t="str">
        <f>IF(tblConteo[[#This Row],[Diferencia]]="","",tblConteo[[#This Row],[Diferencia]]*N(INDEX(tblProductos[CostoUnitario],ROW()-ROW(tblConteo[#Headers]))))</f>
        <v/>
      </c>
      <c r="L21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2" spans="2:13" x14ac:dyDescent="0.25">
      <c r="B212" s="42" t="str">
        <f>IF(INDEX(tblProductos[SKU],ROW()-ROW(tblConteo[#Headers]))="","",INDEX(tblProductos[SKU],ROW()-ROW(tblConteo[#Headers])))</f>
        <v/>
      </c>
      <c r="C212" s="49" t="str">
        <f>IF(tblConteo[[#This Row],[SKU]]="","",INDEX(tblProductos[Producto],ROW()-ROW(tblConteo[#Headers])))</f>
        <v/>
      </c>
      <c r="D212" s="49" t="str">
        <f>IF(tblConteo[[#This Row],[SKU]]="","",INDEX(tblProductos[Categoría],ROW()-ROW(tblConteo[#Headers]))&amp;"")</f>
        <v/>
      </c>
      <c r="E212" s="42" t="str">
        <f>IF(tblConteo[[#This Row],[SKU]]="","",INDEX(tblProductos[Ubicación],ROW()-ROW(tblConteo[#Headers]))&amp;"")</f>
        <v/>
      </c>
      <c r="F212" s="42" t="str">
        <f>IF(tblConteo[[#This Row],[SKU]]="","",INDEX(tblProductos[Unidad],ROW()-ROW(tblConteo[#Headers]))&amp;"")</f>
        <v/>
      </c>
      <c r="G212" s="42" t="str">
        <f>IF(tblConteo[[#This Row],[SKU]]="","",IF(INDEX(tblProductos[Activo],ROW()-ROW(tblConteo[#Headers]))="NO","NO","SI"))</f>
        <v/>
      </c>
      <c r="H212" s="53" t="str">
        <f>IF(tblConteo[[#This Row],[SKU]]="","",IFERROR(N(INDEX(tblStock[StockActual],MATCH(tblConteo[[#This Row],[SKU]],tblStock[SKU],0))),0))</f>
        <v/>
      </c>
      <c r="I212" s="52"/>
      <c r="J212" s="59" t="str">
        <f>IF(OR(tblConteo[[#This Row],[SKU]]="",tblConteo[[#This Row],[Conteo]]=""),"",IF(ISNUMBER(tblConteo[[#This Row],[Conteo]]),tblConteo[[#This Row],[Conteo]]-N(tblConteo[[#This Row],[Sistema]]),""))</f>
        <v/>
      </c>
      <c r="K212" s="62" t="str">
        <f>IF(tblConteo[[#This Row],[Diferencia]]="","",tblConteo[[#This Row],[Diferencia]]*N(INDEX(tblProductos[CostoUnitario],ROW()-ROW(tblConteo[#Headers]))))</f>
        <v/>
      </c>
      <c r="L21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3" spans="2:13" x14ac:dyDescent="0.25">
      <c r="B213" s="42" t="str">
        <f>IF(INDEX(tblProductos[SKU],ROW()-ROW(tblConteo[#Headers]))="","",INDEX(tblProductos[SKU],ROW()-ROW(tblConteo[#Headers])))</f>
        <v/>
      </c>
      <c r="C213" s="49" t="str">
        <f>IF(tblConteo[[#This Row],[SKU]]="","",INDEX(tblProductos[Producto],ROW()-ROW(tblConteo[#Headers])))</f>
        <v/>
      </c>
      <c r="D213" s="49" t="str">
        <f>IF(tblConteo[[#This Row],[SKU]]="","",INDEX(tblProductos[Categoría],ROW()-ROW(tblConteo[#Headers]))&amp;"")</f>
        <v/>
      </c>
      <c r="E213" s="42" t="str">
        <f>IF(tblConteo[[#This Row],[SKU]]="","",INDEX(tblProductos[Ubicación],ROW()-ROW(tblConteo[#Headers]))&amp;"")</f>
        <v/>
      </c>
      <c r="F213" s="42" t="str">
        <f>IF(tblConteo[[#This Row],[SKU]]="","",INDEX(tblProductos[Unidad],ROW()-ROW(tblConteo[#Headers]))&amp;"")</f>
        <v/>
      </c>
      <c r="G213" s="42" t="str">
        <f>IF(tblConteo[[#This Row],[SKU]]="","",IF(INDEX(tblProductos[Activo],ROW()-ROW(tblConteo[#Headers]))="NO","NO","SI"))</f>
        <v/>
      </c>
      <c r="H213" s="53" t="str">
        <f>IF(tblConteo[[#This Row],[SKU]]="","",IFERROR(N(INDEX(tblStock[StockActual],MATCH(tblConteo[[#This Row],[SKU]],tblStock[SKU],0))),0))</f>
        <v/>
      </c>
      <c r="I213" s="52"/>
      <c r="J213" s="59" t="str">
        <f>IF(OR(tblConteo[[#This Row],[SKU]]="",tblConteo[[#This Row],[Conteo]]=""),"",IF(ISNUMBER(tblConteo[[#This Row],[Conteo]]),tblConteo[[#This Row],[Conteo]]-N(tblConteo[[#This Row],[Sistema]]),""))</f>
        <v/>
      </c>
      <c r="K213" s="62" t="str">
        <f>IF(tblConteo[[#This Row],[Diferencia]]="","",tblConteo[[#This Row],[Diferencia]]*N(INDEX(tblProductos[CostoUnitario],ROW()-ROW(tblConteo[#Headers]))))</f>
        <v/>
      </c>
      <c r="L21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4" spans="2:13" x14ac:dyDescent="0.25">
      <c r="B214" s="42" t="str">
        <f>IF(INDEX(tblProductos[SKU],ROW()-ROW(tblConteo[#Headers]))="","",INDEX(tblProductos[SKU],ROW()-ROW(tblConteo[#Headers])))</f>
        <v/>
      </c>
      <c r="C214" s="49" t="str">
        <f>IF(tblConteo[[#This Row],[SKU]]="","",INDEX(tblProductos[Producto],ROW()-ROW(tblConteo[#Headers])))</f>
        <v/>
      </c>
      <c r="D214" s="49" t="str">
        <f>IF(tblConteo[[#This Row],[SKU]]="","",INDEX(tblProductos[Categoría],ROW()-ROW(tblConteo[#Headers]))&amp;"")</f>
        <v/>
      </c>
      <c r="E214" s="42" t="str">
        <f>IF(tblConteo[[#This Row],[SKU]]="","",INDEX(tblProductos[Ubicación],ROW()-ROW(tblConteo[#Headers]))&amp;"")</f>
        <v/>
      </c>
      <c r="F214" s="42" t="str">
        <f>IF(tblConteo[[#This Row],[SKU]]="","",INDEX(tblProductos[Unidad],ROW()-ROW(tblConteo[#Headers]))&amp;"")</f>
        <v/>
      </c>
      <c r="G214" s="42" t="str">
        <f>IF(tblConteo[[#This Row],[SKU]]="","",IF(INDEX(tblProductos[Activo],ROW()-ROW(tblConteo[#Headers]))="NO","NO","SI"))</f>
        <v/>
      </c>
      <c r="H214" s="53" t="str">
        <f>IF(tblConteo[[#This Row],[SKU]]="","",IFERROR(N(INDEX(tblStock[StockActual],MATCH(tblConteo[[#This Row],[SKU]],tblStock[SKU],0))),0))</f>
        <v/>
      </c>
      <c r="I214" s="52"/>
      <c r="J214" s="59" t="str">
        <f>IF(OR(tblConteo[[#This Row],[SKU]]="",tblConteo[[#This Row],[Conteo]]=""),"",IF(ISNUMBER(tblConteo[[#This Row],[Conteo]]),tblConteo[[#This Row],[Conteo]]-N(tblConteo[[#This Row],[Sistema]]),""))</f>
        <v/>
      </c>
      <c r="K214" s="62" t="str">
        <f>IF(tblConteo[[#This Row],[Diferencia]]="","",tblConteo[[#This Row],[Diferencia]]*N(INDEX(tblProductos[CostoUnitario],ROW()-ROW(tblConteo[#Headers]))))</f>
        <v/>
      </c>
      <c r="L21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5" spans="2:13" x14ac:dyDescent="0.25">
      <c r="B215" s="42" t="str">
        <f>IF(INDEX(tblProductos[SKU],ROW()-ROW(tblConteo[#Headers]))="","",INDEX(tblProductos[SKU],ROW()-ROW(tblConteo[#Headers])))</f>
        <v/>
      </c>
      <c r="C215" s="49" t="str">
        <f>IF(tblConteo[[#This Row],[SKU]]="","",INDEX(tblProductos[Producto],ROW()-ROW(tblConteo[#Headers])))</f>
        <v/>
      </c>
      <c r="D215" s="49" t="str">
        <f>IF(tblConteo[[#This Row],[SKU]]="","",INDEX(tblProductos[Categoría],ROW()-ROW(tblConteo[#Headers]))&amp;"")</f>
        <v/>
      </c>
      <c r="E215" s="42" t="str">
        <f>IF(tblConteo[[#This Row],[SKU]]="","",INDEX(tblProductos[Ubicación],ROW()-ROW(tblConteo[#Headers]))&amp;"")</f>
        <v/>
      </c>
      <c r="F215" s="42" t="str">
        <f>IF(tblConteo[[#This Row],[SKU]]="","",INDEX(tblProductos[Unidad],ROW()-ROW(tblConteo[#Headers]))&amp;"")</f>
        <v/>
      </c>
      <c r="G215" s="42" t="str">
        <f>IF(tblConteo[[#This Row],[SKU]]="","",IF(INDEX(tblProductos[Activo],ROW()-ROW(tblConteo[#Headers]))="NO","NO","SI"))</f>
        <v/>
      </c>
      <c r="H215" s="53" t="str">
        <f>IF(tblConteo[[#This Row],[SKU]]="","",IFERROR(N(INDEX(tblStock[StockActual],MATCH(tblConteo[[#This Row],[SKU]],tblStock[SKU],0))),0))</f>
        <v/>
      </c>
      <c r="I215" s="52"/>
      <c r="J215" s="59" t="str">
        <f>IF(OR(tblConteo[[#This Row],[SKU]]="",tblConteo[[#This Row],[Conteo]]=""),"",IF(ISNUMBER(tblConteo[[#This Row],[Conteo]]),tblConteo[[#This Row],[Conteo]]-N(tblConteo[[#This Row],[Sistema]]),""))</f>
        <v/>
      </c>
      <c r="K215" s="62" t="str">
        <f>IF(tblConteo[[#This Row],[Diferencia]]="","",tblConteo[[#This Row],[Diferencia]]*N(INDEX(tblProductos[CostoUnitario],ROW()-ROW(tblConteo[#Headers]))))</f>
        <v/>
      </c>
      <c r="L21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6" spans="2:13" x14ac:dyDescent="0.25">
      <c r="B216" s="42" t="str">
        <f>IF(INDEX(tblProductos[SKU],ROW()-ROW(tblConteo[#Headers]))="","",INDEX(tblProductos[SKU],ROW()-ROW(tblConteo[#Headers])))</f>
        <v/>
      </c>
      <c r="C216" s="49" t="str">
        <f>IF(tblConteo[[#This Row],[SKU]]="","",INDEX(tblProductos[Producto],ROW()-ROW(tblConteo[#Headers])))</f>
        <v/>
      </c>
      <c r="D216" s="49" t="str">
        <f>IF(tblConteo[[#This Row],[SKU]]="","",INDEX(tblProductos[Categoría],ROW()-ROW(tblConteo[#Headers]))&amp;"")</f>
        <v/>
      </c>
      <c r="E216" s="42" t="str">
        <f>IF(tblConteo[[#This Row],[SKU]]="","",INDEX(tblProductos[Ubicación],ROW()-ROW(tblConteo[#Headers]))&amp;"")</f>
        <v/>
      </c>
      <c r="F216" s="42" t="str">
        <f>IF(tblConteo[[#This Row],[SKU]]="","",INDEX(tblProductos[Unidad],ROW()-ROW(tblConteo[#Headers]))&amp;"")</f>
        <v/>
      </c>
      <c r="G216" s="42" t="str">
        <f>IF(tblConteo[[#This Row],[SKU]]="","",IF(INDEX(tblProductos[Activo],ROW()-ROW(tblConteo[#Headers]))="NO","NO","SI"))</f>
        <v/>
      </c>
      <c r="H216" s="53" t="str">
        <f>IF(tblConteo[[#This Row],[SKU]]="","",IFERROR(N(INDEX(tblStock[StockActual],MATCH(tblConteo[[#This Row],[SKU]],tblStock[SKU],0))),0))</f>
        <v/>
      </c>
      <c r="I216" s="52"/>
      <c r="J216" s="59" t="str">
        <f>IF(OR(tblConteo[[#This Row],[SKU]]="",tblConteo[[#This Row],[Conteo]]=""),"",IF(ISNUMBER(tblConteo[[#This Row],[Conteo]]),tblConteo[[#This Row],[Conteo]]-N(tblConteo[[#This Row],[Sistema]]),""))</f>
        <v/>
      </c>
      <c r="K216" s="62" t="str">
        <f>IF(tblConteo[[#This Row],[Diferencia]]="","",tblConteo[[#This Row],[Diferencia]]*N(INDEX(tblProductos[CostoUnitario],ROW()-ROW(tblConteo[#Headers]))))</f>
        <v/>
      </c>
      <c r="L21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7" spans="2:13" x14ac:dyDescent="0.25">
      <c r="B217" s="42" t="str">
        <f>IF(INDEX(tblProductos[SKU],ROW()-ROW(tblConteo[#Headers]))="","",INDEX(tblProductos[SKU],ROW()-ROW(tblConteo[#Headers])))</f>
        <v/>
      </c>
      <c r="C217" s="49" t="str">
        <f>IF(tblConteo[[#This Row],[SKU]]="","",INDEX(tblProductos[Producto],ROW()-ROW(tblConteo[#Headers])))</f>
        <v/>
      </c>
      <c r="D217" s="49" t="str">
        <f>IF(tblConteo[[#This Row],[SKU]]="","",INDEX(tblProductos[Categoría],ROW()-ROW(tblConteo[#Headers]))&amp;"")</f>
        <v/>
      </c>
      <c r="E217" s="42" t="str">
        <f>IF(tblConteo[[#This Row],[SKU]]="","",INDEX(tblProductos[Ubicación],ROW()-ROW(tblConteo[#Headers]))&amp;"")</f>
        <v/>
      </c>
      <c r="F217" s="42" t="str">
        <f>IF(tblConteo[[#This Row],[SKU]]="","",INDEX(tblProductos[Unidad],ROW()-ROW(tblConteo[#Headers]))&amp;"")</f>
        <v/>
      </c>
      <c r="G217" s="42" t="str">
        <f>IF(tblConteo[[#This Row],[SKU]]="","",IF(INDEX(tblProductos[Activo],ROW()-ROW(tblConteo[#Headers]))="NO","NO","SI"))</f>
        <v/>
      </c>
      <c r="H217" s="53" t="str">
        <f>IF(tblConteo[[#This Row],[SKU]]="","",IFERROR(N(INDEX(tblStock[StockActual],MATCH(tblConteo[[#This Row],[SKU]],tblStock[SKU],0))),0))</f>
        <v/>
      </c>
      <c r="I217" s="52"/>
      <c r="J217" s="59" t="str">
        <f>IF(OR(tblConteo[[#This Row],[SKU]]="",tblConteo[[#This Row],[Conteo]]=""),"",IF(ISNUMBER(tblConteo[[#This Row],[Conteo]]),tblConteo[[#This Row],[Conteo]]-N(tblConteo[[#This Row],[Sistema]]),""))</f>
        <v/>
      </c>
      <c r="K217" s="62" t="str">
        <f>IF(tblConteo[[#This Row],[Diferencia]]="","",tblConteo[[#This Row],[Diferencia]]*N(INDEX(tblProductos[CostoUnitario],ROW()-ROW(tblConteo[#Headers]))))</f>
        <v/>
      </c>
      <c r="L21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8" spans="2:13" x14ac:dyDescent="0.25">
      <c r="B218" s="42" t="str">
        <f>IF(INDEX(tblProductos[SKU],ROW()-ROW(tblConteo[#Headers]))="","",INDEX(tblProductos[SKU],ROW()-ROW(tblConteo[#Headers])))</f>
        <v/>
      </c>
      <c r="C218" s="49" t="str">
        <f>IF(tblConteo[[#This Row],[SKU]]="","",INDEX(tblProductos[Producto],ROW()-ROW(tblConteo[#Headers])))</f>
        <v/>
      </c>
      <c r="D218" s="49" t="str">
        <f>IF(tblConteo[[#This Row],[SKU]]="","",INDEX(tblProductos[Categoría],ROW()-ROW(tblConteo[#Headers]))&amp;"")</f>
        <v/>
      </c>
      <c r="E218" s="42" t="str">
        <f>IF(tblConteo[[#This Row],[SKU]]="","",INDEX(tblProductos[Ubicación],ROW()-ROW(tblConteo[#Headers]))&amp;"")</f>
        <v/>
      </c>
      <c r="F218" s="42" t="str">
        <f>IF(tblConteo[[#This Row],[SKU]]="","",INDEX(tblProductos[Unidad],ROW()-ROW(tblConteo[#Headers]))&amp;"")</f>
        <v/>
      </c>
      <c r="G218" s="42" t="str">
        <f>IF(tblConteo[[#This Row],[SKU]]="","",IF(INDEX(tblProductos[Activo],ROW()-ROW(tblConteo[#Headers]))="NO","NO","SI"))</f>
        <v/>
      </c>
      <c r="H218" s="53" t="str">
        <f>IF(tblConteo[[#This Row],[SKU]]="","",IFERROR(N(INDEX(tblStock[StockActual],MATCH(tblConteo[[#This Row],[SKU]],tblStock[SKU],0))),0))</f>
        <v/>
      </c>
      <c r="I218" s="52"/>
      <c r="J218" s="59" t="str">
        <f>IF(OR(tblConteo[[#This Row],[SKU]]="",tblConteo[[#This Row],[Conteo]]=""),"",IF(ISNUMBER(tblConteo[[#This Row],[Conteo]]),tblConteo[[#This Row],[Conteo]]-N(tblConteo[[#This Row],[Sistema]]),""))</f>
        <v/>
      </c>
      <c r="K218" s="62" t="str">
        <f>IF(tblConteo[[#This Row],[Diferencia]]="","",tblConteo[[#This Row],[Diferencia]]*N(INDEX(tblProductos[CostoUnitario],ROW()-ROW(tblConteo[#Headers]))))</f>
        <v/>
      </c>
      <c r="L21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9" spans="2:13" x14ac:dyDescent="0.25">
      <c r="B219" s="42" t="str">
        <f>IF(INDEX(tblProductos[SKU],ROW()-ROW(tblConteo[#Headers]))="","",INDEX(tblProductos[SKU],ROW()-ROW(tblConteo[#Headers])))</f>
        <v/>
      </c>
      <c r="C219" s="49" t="str">
        <f>IF(tblConteo[[#This Row],[SKU]]="","",INDEX(tblProductos[Producto],ROW()-ROW(tblConteo[#Headers])))</f>
        <v/>
      </c>
      <c r="D219" s="49" t="str">
        <f>IF(tblConteo[[#This Row],[SKU]]="","",INDEX(tblProductos[Categoría],ROW()-ROW(tblConteo[#Headers]))&amp;"")</f>
        <v/>
      </c>
      <c r="E219" s="42" t="str">
        <f>IF(tblConteo[[#This Row],[SKU]]="","",INDEX(tblProductos[Ubicación],ROW()-ROW(tblConteo[#Headers]))&amp;"")</f>
        <v/>
      </c>
      <c r="F219" s="42" t="str">
        <f>IF(tblConteo[[#This Row],[SKU]]="","",INDEX(tblProductos[Unidad],ROW()-ROW(tblConteo[#Headers]))&amp;"")</f>
        <v/>
      </c>
      <c r="G219" s="42" t="str">
        <f>IF(tblConteo[[#This Row],[SKU]]="","",IF(INDEX(tblProductos[Activo],ROW()-ROW(tblConteo[#Headers]))="NO","NO","SI"))</f>
        <v/>
      </c>
      <c r="H219" s="53" t="str">
        <f>IF(tblConteo[[#This Row],[SKU]]="","",IFERROR(N(INDEX(tblStock[StockActual],MATCH(tblConteo[[#This Row],[SKU]],tblStock[SKU],0))),0))</f>
        <v/>
      </c>
      <c r="I219" s="52"/>
      <c r="J219" s="59" t="str">
        <f>IF(OR(tblConteo[[#This Row],[SKU]]="",tblConteo[[#This Row],[Conteo]]=""),"",IF(ISNUMBER(tblConteo[[#This Row],[Conteo]]),tblConteo[[#This Row],[Conteo]]-N(tblConteo[[#This Row],[Sistema]]),""))</f>
        <v/>
      </c>
      <c r="K219" s="62" t="str">
        <f>IF(tblConteo[[#This Row],[Diferencia]]="","",tblConteo[[#This Row],[Diferencia]]*N(INDEX(tblProductos[CostoUnitario],ROW()-ROW(tblConteo[#Headers]))))</f>
        <v/>
      </c>
      <c r="L21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0" spans="2:13" x14ac:dyDescent="0.25">
      <c r="B220" s="42" t="str">
        <f>IF(INDEX(tblProductos[SKU],ROW()-ROW(tblConteo[#Headers]))="","",INDEX(tblProductos[SKU],ROW()-ROW(tblConteo[#Headers])))</f>
        <v/>
      </c>
      <c r="C220" s="49" t="str">
        <f>IF(tblConteo[[#This Row],[SKU]]="","",INDEX(tblProductos[Producto],ROW()-ROW(tblConteo[#Headers])))</f>
        <v/>
      </c>
      <c r="D220" s="49" t="str">
        <f>IF(tblConteo[[#This Row],[SKU]]="","",INDEX(tblProductos[Categoría],ROW()-ROW(tblConteo[#Headers]))&amp;"")</f>
        <v/>
      </c>
      <c r="E220" s="42" t="str">
        <f>IF(tblConteo[[#This Row],[SKU]]="","",INDEX(tblProductos[Ubicación],ROW()-ROW(tblConteo[#Headers]))&amp;"")</f>
        <v/>
      </c>
      <c r="F220" s="42" t="str">
        <f>IF(tblConteo[[#This Row],[SKU]]="","",INDEX(tblProductos[Unidad],ROW()-ROW(tblConteo[#Headers]))&amp;"")</f>
        <v/>
      </c>
      <c r="G220" s="42" t="str">
        <f>IF(tblConteo[[#This Row],[SKU]]="","",IF(INDEX(tblProductos[Activo],ROW()-ROW(tblConteo[#Headers]))="NO","NO","SI"))</f>
        <v/>
      </c>
      <c r="H220" s="53" t="str">
        <f>IF(tblConteo[[#This Row],[SKU]]="","",IFERROR(N(INDEX(tblStock[StockActual],MATCH(tblConteo[[#This Row],[SKU]],tblStock[SKU],0))),0))</f>
        <v/>
      </c>
      <c r="I220" s="52"/>
      <c r="J220" s="59" t="str">
        <f>IF(OR(tblConteo[[#This Row],[SKU]]="",tblConteo[[#This Row],[Conteo]]=""),"",IF(ISNUMBER(tblConteo[[#This Row],[Conteo]]),tblConteo[[#This Row],[Conteo]]-N(tblConteo[[#This Row],[Sistema]]),""))</f>
        <v/>
      </c>
      <c r="K220" s="62" t="str">
        <f>IF(tblConteo[[#This Row],[Diferencia]]="","",tblConteo[[#This Row],[Diferencia]]*N(INDEX(tblProductos[CostoUnitario],ROW()-ROW(tblConteo[#Headers]))))</f>
        <v/>
      </c>
      <c r="L22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1" spans="2:13" x14ac:dyDescent="0.25">
      <c r="B221" s="42" t="str">
        <f>IF(INDEX(tblProductos[SKU],ROW()-ROW(tblConteo[#Headers]))="","",INDEX(tblProductos[SKU],ROW()-ROW(tblConteo[#Headers])))</f>
        <v/>
      </c>
      <c r="C221" s="49" t="str">
        <f>IF(tblConteo[[#This Row],[SKU]]="","",INDEX(tblProductos[Producto],ROW()-ROW(tblConteo[#Headers])))</f>
        <v/>
      </c>
      <c r="D221" s="49" t="str">
        <f>IF(tblConteo[[#This Row],[SKU]]="","",INDEX(tblProductos[Categoría],ROW()-ROW(tblConteo[#Headers]))&amp;"")</f>
        <v/>
      </c>
      <c r="E221" s="42" t="str">
        <f>IF(tblConteo[[#This Row],[SKU]]="","",INDEX(tblProductos[Ubicación],ROW()-ROW(tblConteo[#Headers]))&amp;"")</f>
        <v/>
      </c>
      <c r="F221" s="42" t="str">
        <f>IF(tblConteo[[#This Row],[SKU]]="","",INDEX(tblProductos[Unidad],ROW()-ROW(tblConteo[#Headers]))&amp;"")</f>
        <v/>
      </c>
      <c r="G221" s="42" t="str">
        <f>IF(tblConteo[[#This Row],[SKU]]="","",IF(INDEX(tblProductos[Activo],ROW()-ROW(tblConteo[#Headers]))="NO","NO","SI"))</f>
        <v/>
      </c>
      <c r="H221" s="53" t="str">
        <f>IF(tblConteo[[#This Row],[SKU]]="","",IFERROR(N(INDEX(tblStock[StockActual],MATCH(tblConteo[[#This Row],[SKU]],tblStock[SKU],0))),0))</f>
        <v/>
      </c>
      <c r="I221" s="52"/>
      <c r="J221" s="59" t="str">
        <f>IF(OR(tblConteo[[#This Row],[SKU]]="",tblConteo[[#This Row],[Conteo]]=""),"",IF(ISNUMBER(tblConteo[[#This Row],[Conteo]]),tblConteo[[#This Row],[Conteo]]-N(tblConteo[[#This Row],[Sistema]]),""))</f>
        <v/>
      </c>
      <c r="K221" s="62" t="str">
        <f>IF(tblConteo[[#This Row],[Diferencia]]="","",tblConteo[[#This Row],[Diferencia]]*N(INDEX(tblProductos[CostoUnitario],ROW()-ROW(tblConteo[#Headers]))))</f>
        <v/>
      </c>
      <c r="L22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2" spans="2:13" x14ac:dyDescent="0.25">
      <c r="B222" s="42" t="str">
        <f>IF(INDEX(tblProductos[SKU],ROW()-ROW(tblConteo[#Headers]))="","",INDEX(tblProductos[SKU],ROW()-ROW(tblConteo[#Headers])))</f>
        <v/>
      </c>
      <c r="C222" s="49" t="str">
        <f>IF(tblConteo[[#This Row],[SKU]]="","",INDEX(tblProductos[Producto],ROW()-ROW(tblConteo[#Headers])))</f>
        <v/>
      </c>
      <c r="D222" s="49" t="str">
        <f>IF(tblConteo[[#This Row],[SKU]]="","",INDEX(tblProductos[Categoría],ROW()-ROW(tblConteo[#Headers]))&amp;"")</f>
        <v/>
      </c>
      <c r="E222" s="42" t="str">
        <f>IF(tblConteo[[#This Row],[SKU]]="","",INDEX(tblProductos[Ubicación],ROW()-ROW(tblConteo[#Headers]))&amp;"")</f>
        <v/>
      </c>
      <c r="F222" s="42" t="str">
        <f>IF(tblConteo[[#This Row],[SKU]]="","",INDEX(tblProductos[Unidad],ROW()-ROW(tblConteo[#Headers]))&amp;"")</f>
        <v/>
      </c>
      <c r="G222" s="42" t="str">
        <f>IF(tblConteo[[#This Row],[SKU]]="","",IF(INDEX(tblProductos[Activo],ROW()-ROW(tblConteo[#Headers]))="NO","NO","SI"))</f>
        <v/>
      </c>
      <c r="H222" s="53" t="str">
        <f>IF(tblConteo[[#This Row],[SKU]]="","",IFERROR(N(INDEX(tblStock[StockActual],MATCH(tblConteo[[#This Row],[SKU]],tblStock[SKU],0))),0))</f>
        <v/>
      </c>
      <c r="I222" s="52"/>
      <c r="J222" s="59" t="str">
        <f>IF(OR(tblConteo[[#This Row],[SKU]]="",tblConteo[[#This Row],[Conteo]]=""),"",IF(ISNUMBER(tblConteo[[#This Row],[Conteo]]),tblConteo[[#This Row],[Conteo]]-N(tblConteo[[#This Row],[Sistema]]),""))</f>
        <v/>
      </c>
      <c r="K222" s="62" t="str">
        <f>IF(tblConteo[[#This Row],[Diferencia]]="","",tblConteo[[#This Row],[Diferencia]]*N(INDEX(tblProductos[CostoUnitario],ROW()-ROW(tblConteo[#Headers]))))</f>
        <v/>
      </c>
      <c r="L22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3" spans="2:13" x14ac:dyDescent="0.25">
      <c r="B223" s="42" t="str">
        <f>IF(INDEX(tblProductos[SKU],ROW()-ROW(tblConteo[#Headers]))="","",INDEX(tblProductos[SKU],ROW()-ROW(tblConteo[#Headers])))</f>
        <v/>
      </c>
      <c r="C223" s="49" t="str">
        <f>IF(tblConteo[[#This Row],[SKU]]="","",INDEX(tblProductos[Producto],ROW()-ROW(tblConteo[#Headers])))</f>
        <v/>
      </c>
      <c r="D223" s="49" t="str">
        <f>IF(tblConteo[[#This Row],[SKU]]="","",INDEX(tblProductos[Categoría],ROW()-ROW(tblConteo[#Headers]))&amp;"")</f>
        <v/>
      </c>
      <c r="E223" s="42" t="str">
        <f>IF(tblConteo[[#This Row],[SKU]]="","",INDEX(tblProductos[Ubicación],ROW()-ROW(tblConteo[#Headers]))&amp;"")</f>
        <v/>
      </c>
      <c r="F223" s="42" t="str">
        <f>IF(tblConteo[[#This Row],[SKU]]="","",INDEX(tblProductos[Unidad],ROW()-ROW(tblConteo[#Headers]))&amp;"")</f>
        <v/>
      </c>
      <c r="G223" s="42" t="str">
        <f>IF(tblConteo[[#This Row],[SKU]]="","",IF(INDEX(tblProductos[Activo],ROW()-ROW(tblConteo[#Headers]))="NO","NO","SI"))</f>
        <v/>
      </c>
      <c r="H223" s="53" t="str">
        <f>IF(tblConteo[[#This Row],[SKU]]="","",IFERROR(N(INDEX(tblStock[StockActual],MATCH(tblConteo[[#This Row],[SKU]],tblStock[SKU],0))),0))</f>
        <v/>
      </c>
      <c r="I223" s="52"/>
      <c r="J223" s="59" t="str">
        <f>IF(OR(tblConteo[[#This Row],[SKU]]="",tblConteo[[#This Row],[Conteo]]=""),"",IF(ISNUMBER(tblConteo[[#This Row],[Conteo]]),tblConteo[[#This Row],[Conteo]]-N(tblConteo[[#This Row],[Sistema]]),""))</f>
        <v/>
      </c>
      <c r="K223" s="62" t="str">
        <f>IF(tblConteo[[#This Row],[Diferencia]]="","",tblConteo[[#This Row],[Diferencia]]*N(INDEX(tblProductos[CostoUnitario],ROW()-ROW(tblConteo[#Headers]))))</f>
        <v/>
      </c>
      <c r="L22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4" spans="2:13" x14ac:dyDescent="0.25">
      <c r="B224" s="42" t="str">
        <f>IF(INDEX(tblProductos[SKU],ROW()-ROW(tblConteo[#Headers]))="","",INDEX(tblProductos[SKU],ROW()-ROW(tblConteo[#Headers])))</f>
        <v/>
      </c>
      <c r="C224" s="49" t="str">
        <f>IF(tblConteo[[#This Row],[SKU]]="","",INDEX(tblProductos[Producto],ROW()-ROW(tblConteo[#Headers])))</f>
        <v/>
      </c>
      <c r="D224" s="49" t="str">
        <f>IF(tblConteo[[#This Row],[SKU]]="","",INDEX(tblProductos[Categoría],ROW()-ROW(tblConteo[#Headers]))&amp;"")</f>
        <v/>
      </c>
      <c r="E224" s="42" t="str">
        <f>IF(tblConteo[[#This Row],[SKU]]="","",INDEX(tblProductos[Ubicación],ROW()-ROW(tblConteo[#Headers]))&amp;"")</f>
        <v/>
      </c>
      <c r="F224" s="42" t="str">
        <f>IF(tblConteo[[#This Row],[SKU]]="","",INDEX(tblProductos[Unidad],ROW()-ROW(tblConteo[#Headers]))&amp;"")</f>
        <v/>
      </c>
      <c r="G224" s="42" t="str">
        <f>IF(tblConteo[[#This Row],[SKU]]="","",IF(INDEX(tblProductos[Activo],ROW()-ROW(tblConteo[#Headers]))="NO","NO","SI"))</f>
        <v/>
      </c>
      <c r="H224" s="53" t="str">
        <f>IF(tblConteo[[#This Row],[SKU]]="","",IFERROR(N(INDEX(tblStock[StockActual],MATCH(tblConteo[[#This Row],[SKU]],tblStock[SKU],0))),0))</f>
        <v/>
      </c>
      <c r="I224" s="52"/>
      <c r="J224" s="59" t="str">
        <f>IF(OR(tblConteo[[#This Row],[SKU]]="",tblConteo[[#This Row],[Conteo]]=""),"",IF(ISNUMBER(tblConteo[[#This Row],[Conteo]]),tblConteo[[#This Row],[Conteo]]-N(tblConteo[[#This Row],[Sistema]]),""))</f>
        <v/>
      </c>
      <c r="K224" s="62" t="str">
        <f>IF(tblConteo[[#This Row],[Diferencia]]="","",tblConteo[[#This Row],[Diferencia]]*N(INDEX(tblProductos[CostoUnitario],ROW()-ROW(tblConteo[#Headers]))))</f>
        <v/>
      </c>
      <c r="L22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5" spans="2:13" x14ac:dyDescent="0.25">
      <c r="B225" s="42" t="str">
        <f>IF(INDEX(tblProductos[SKU],ROW()-ROW(tblConteo[#Headers]))="","",INDEX(tblProductos[SKU],ROW()-ROW(tblConteo[#Headers])))</f>
        <v/>
      </c>
      <c r="C225" s="49" t="str">
        <f>IF(tblConteo[[#This Row],[SKU]]="","",INDEX(tblProductos[Producto],ROW()-ROW(tblConteo[#Headers])))</f>
        <v/>
      </c>
      <c r="D225" s="49" t="str">
        <f>IF(tblConteo[[#This Row],[SKU]]="","",INDEX(tblProductos[Categoría],ROW()-ROW(tblConteo[#Headers]))&amp;"")</f>
        <v/>
      </c>
      <c r="E225" s="42" t="str">
        <f>IF(tblConteo[[#This Row],[SKU]]="","",INDEX(tblProductos[Ubicación],ROW()-ROW(tblConteo[#Headers]))&amp;"")</f>
        <v/>
      </c>
      <c r="F225" s="42" t="str">
        <f>IF(tblConteo[[#This Row],[SKU]]="","",INDEX(tblProductos[Unidad],ROW()-ROW(tblConteo[#Headers]))&amp;"")</f>
        <v/>
      </c>
      <c r="G225" s="42" t="str">
        <f>IF(tblConteo[[#This Row],[SKU]]="","",IF(INDEX(tblProductos[Activo],ROW()-ROW(tblConteo[#Headers]))="NO","NO","SI"))</f>
        <v/>
      </c>
      <c r="H225" s="53" t="str">
        <f>IF(tblConteo[[#This Row],[SKU]]="","",IFERROR(N(INDEX(tblStock[StockActual],MATCH(tblConteo[[#This Row],[SKU]],tblStock[SKU],0))),0))</f>
        <v/>
      </c>
      <c r="I225" s="52"/>
      <c r="J225" s="59" t="str">
        <f>IF(OR(tblConteo[[#This Row],[SKU]]="",tblConteo[[#This Row],[Conteo]]=""),"",IF(ISNUMBER(tblConteo[[#This Row],[Conteo]]),tblConteo[[#This Row],[Conteo]]-N(tblConteo[[#This Row],[Sistema]]),""))</f>
        <v/>
      </c>
      <c r="K225" s="62" t="str">
        <f>IF(tblConteo[[#This Row],[Diferencia]]="","",tblConteo[[#This Row],[Diferencia]]*N(INDEX(tblProductos[CostoUnitario],ROW()-ROW(tblConteo[#Headers]))))</f>
        <v/>
      </c>
      <c r="L22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6" spans="2:13" x14ac:dyDescent="0.25">
      <c r="B226" s="42" t="str">
        <f>IF(INDEX(tblProductos[SKU],ROW()-ROW(tblConteo[#Headers]))="","",INDEX(tblProductos[SKU],ROW()-ROW(tblConteo[#Headers])))</f>
        <v/>
      </c>
      <c r="C226" s="49" t="str">
        <f>IF(tblConteo[[#This Row],[SKU]]="","",INDEX(tblProductos[Producto],ROW()-ROW(tblConteo[#Headers])))</f>
        <v/>
      </c>
      <c r="D226" s="49" t="str">
        <f>IF(tblConteo[[#This Row],[SKU]]="","",INDEX(tblProductos[Categoría],ROW()-ROW(tblConteo[#Headers]))&amp;"")</f>
        <v/>
      </c>
      <c r="E226" s="42" t="str">
        <f>IF(tblConteo[[#This Row],[SKU]]="","",INDEX(tblProductos[Ubicación],ROW()-ROW(tblConteo[#Headers]))&amp;"")</f>
        <v/>
      </c>
      <c r="F226" s="42" t="str">
        <f>IF(tblConteo[[#This Row],[SKU]]="","",INDEX(tblProductos[Unidad],ROW()-ROW(tblConteo[#Headers]))&amp;"")</f>
        <v/>
      </c>
      <c r="G226" s="42" t="str">
        <f>IF(tblConteo[[#This Row],[SKU]]="","",IF(INDEX(tblProductos[Activo],ROW()-ROW(tblConteo[#Headers]))="NO","NO","SI"))</f>
        <v/>
      </c>
      <c r="H226" s="53" t="str">
        <f>IF(tblConteo[[#This Row],[SKU]]="","",IFERROR(N(INDEX(tblStock[StockActual],MATCH(tblConteo[[#This Row],[SKU]],tblStock[SKU],0))),0))</f>
        <v/>
      </c>
      <c r="I226" s="52"/>
      <c r="J226" s="59" t="str">
        <f>IF(OR(tblConteo[[#This Row],[SKU]]="",tblConteo[[#This Row],[Conteo]]=""),"",IF(ISNUMBER(tblConteo[[#This Row],[Conteo]]),tblConteo[[#This Row],[Conteo]]-N(tblConteo[[#This Row],[Sistema]]),""))</f>
        <v/>
      </c>
      <c r="K226" s="62" t="str">
        <f>IF(tblConteo[[#This Row],[Diferencia]]="","",tblConteo[[#This Row],[Diferencia]]*N(INDEX(tblProductos[CostoUnitario],ROW()-ROW(tblConteo[#Headers]))))</f>
        <v/>
      </c>
      <c r="L22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7" spans="2:13" x14ac:dyDescent="0.25">
      <c r="B227" s="42" t="str">
        <f>IF(INDEX(tblProductos[SKU],ROW()-ROW(tblConteo[#Headers]))="","",INDEX(tblProductos[SKU],ROW()-ROW(tblConteo[#Headers])))</f>
        <v/>
      </c>
      <c r="C227" s="49" t="str">
        <f>IF(tblConteo[[#This Row],[SKU]]="","",INDEX(tblProductos[Producto],ROW()-ROW(tblConteo[#Headers])))</f>
        <v/>
      </c>
      <c r="D227" s="49" t="str">
        <f>IF(tblConteo[[#This Row],[SKU]]="","",INDEX(tblProductos[Categoría],ROW()-ROW(tblConteo[#Headers]))&amp;"")</f>
        <v/>
      </c>
      <c r="E227" s="42" t="str">
        <f>IF(tblConteo[[#This Row],[SKU]]="","",INDEX(tblProductos[Ubicación],ROW()-ROW(tblConteo[#Headers]))&amp;"")</f>
        <v/>
      </c>
      <c r="F227" s="42" t="str">
        <f>IF(tblConteo[[#This Row],[SKU]]="","",INDEX(tblProductos[Unidad],ROW()-ROW(tblConteo[#Headers]))&amp;"")</f>
        <v/>
      </c>
      <c r="G227" s="42" t="str">
        <f>IF(tblConteo[[#This Row],[SKU]]="","",IF(INDEX(tblProductos[Activo],ROW()-ROW(tblConteo[#Headers]))="NO","NO","SI"))</f>
        <v/>
      </c>
      <c r="H227" s="53" t="str">
        <f>IF(tblConteo[[#This Row],[SKU]]="","",IFERROR(N(INDEX(tblStock[StockActual],MATCH(tblConteo[[#This Row],[SKU]],tblStock[SKU],0))),0))</f>
        <v/>
      </c>
      <c r="I227" s="52"/>
      <c r="J227" s="59" t="str">
        <f>IF(OR(tblConteo[[#This Row],[SKU]]="",tblConteo[[#This Row],[Conteo]]=""),"",IF(ISNUMBER(tblConteo[[#This Row],[Conteo]]),tblConteo[[#This Row],[Conteo]]-N(tblConteo[[#This Row],[Sistema]]),""))</f>
        <v/>
      </c>
      <c r="K227" s="62" t="str">
        <f>IF(tblConteo[[#This Row],[Diferencia]]="","",tblConteo[[#This Row],[Diferencia]]*N(INDEX(tblProductos[CostoUnitario],ROW()-ROW(tblConteo[#Headers]))))</f>
        <v/>
      </c>
      <c r="L22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8" spans="2:13" x14ac:dyDescent="0.25">
      <c r="B228" s="42" t="str">
        <f>IF(INDEX(tblProductos[SKU],ROW()-ROW(tblConteo[#Headers]))="","",INDEX(tblProductos[SKU],ROW()-ROW(tblConteo[#Headers])))</f>
        <v/>
      </c>
      <c r="C228" s="49" t="str">
        <f>IF(tblConteo[[#This Row],[SKU]]="","",INDEX(tblProductos[Producto],ROW()-ROW(tblConteo[#Headers])))</f>
        <v/>
      </c>
      <c r="D228" s="49" t="str">
        <f>IF(tblConteo[[#This Row],[SKU]]="","",INDEX(tblProductos[Categoría],ROW()-ROW(tblConteo[#Headers]))&amp;"")</f>
        <v/>
      </c>
      <c r="E228" s="42" t="str">
        <f>IF(tblConteo[[#This Row],[SKU]]="","",INDEX(tblProductos[Ubicación],ROW()-ROW(tblConteo[#Headers]))&amp;"")</f>
        <v/>
      </c>
      <c r="F228" s="42" t="str">
        <f>IF(tblConteo[[#This Row],[SKU]]="","",INDEX(tblProductos[Unidad],ROW()-ROW(tblConteo[#Headers]))&amp;"")</f>
        <v/>
      </c>
      <c r="G228" s="42" t="str">
        <f>IF(tblConteo[[#This Row],[SKU]]="","",IF(INDEX(tblProductos[Activo],ROW()-ROW(tblConteo[#Headers]))="NO","NO","SI"))</f>
        <v/>
      </c>
      <c r="H228" s="53" t="str">
        <f>IF(tblConteo[[#This Row],[SKU]]="","",IFERROR(N(INDEX(tblStock[StockActual],MATCH(tblConteo[[#This Row],[SKU]],tblStock[SKU],0))),0))</f>
        <v/>
      </c>
      <c r="I228" s="52"/>
      <c r="J228" s="59" t="str">
        <f>IF(OR(tblConteo[[#This Row],[SKU]]="",tblConteo[[#This Row],[Conteo]]=""),"",IF(ISNUMBER(tblConteo[[#This Row],[Conteo]]),tblConteo[[#This Row],[Conteo]]-N(tblConteo[[#This Row],[Sistema]]),""))</f>
        <v/>
      </c>
      <c r="K228" s="62" t="str">
        <f>IF(tblConteo[[#This Row],[Diferencia]]="","",tblConteo[[#This Row],[Diferencia]]*N(INDEX(tblProductos[CostoUnitario],ROW()-ROW(tblConteo[#Headers]))))</f>
        <v/>
      </c>
      <c r="L22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9" spans="2:13" x14ac:dyDescent="0.25">
      <c r="B229" s="42" t="str">
        <f>IF(INDEX(tblProductos[SKU],ROW()-ROW(tblConteo[#Headers]))="","",INDEX(tblProductos[SKU],ROW()-ROW(tblConteo[#Headers])))</f>
        <v/>
      </c>
      <c r="C229" s="49" t="str">
        <f>IF(tblConteo[[#This Row],[SKU]]="","",INDEX(tblProductos[Producto],ROW()-ROW(tblConteo[#Headers])))</f>
        <v/>
      </c>
      <c r="D229" s="49" t="str">
        <f>IF(tblConteo[[#This Row],[SKU]]="","",INDEX(tblProductos[Categoría],ROW()-ROW(tblConteo[#Headers]))&amp;"")</f>
        <v/>
      </c>
      <c r="E229" s="42" t="str">
        <f>IF(tblConteo[[#This Row],[SKU]]="","",INDEX(tblProductos[Ubicación],ROW()-ROW(tblConteo[#Headers]))&amp;"")</f>
        <v/>
      </c>
      <c r="F229" s="42" t="str">
        <f>IF(tblConteo[[#This Row],[SKU]]="","",INDEX(tblProductos[Unidad],ROW()-ROW(tblConteo[#Headers]))&amp;"")</f>
        <v/>
      </c>
      <c r="G229" s="42" t="str">
        <f>IF(tblConteo[[#This Row],[SKU]]="","",IF(INDEX(tblProductos[Activo],ROW()-ROW(tblConteo[#Headers]))="NO","NO","SI"))</f>
        <v/>
      </c>
      <c r="H229" s="53" t="str">
        <f>IF(tblConteo[[#This Row],[SKU]]="","",IFERROR(N(INDEX(tblStock[StockActual],MATCH(tblConteo[[#This Row],[SKU]],tblStock[SKU],0))),0))</f>
        <v/>
      </c>
      <c r="I229" s="52"/>
      <c r="J229" s="59" t="str">
        <f>IF(OR(tblConteo[[#This Row],[SKU]]="",tblConteo[[#This Row],[Conteo]]=""),"",IF(ISNUMBER(tblConteo[[#This Row],[Conteo]]),tblConteo[[#This Row],[Conteo]]-N(tblConteo[[#This Row],[Sistema]]),""))</f>
        <v/>
      </c>
      <c r="K229" s="62" t="str">
        <f>IF(tblConteo[[#This Row],[Diferencia]]="","",tblConteo[[#This Row],[Diferencia]]*N(INDEX(tblProductos[CostoUnitario],ROW()-ROW(tblConteo[#Headers]))))</f>
        <v/>
      </c>
      <c r="L22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0" spans="2:13" x14ac:dyDescent="0.25">
      <c r="B230" s="42" t="str">
        <f>IF(INDEX(tblProductos[SKU],ROW()-ROW(tblConteo[#Headers]))="","",INDEX(tblProductos[SKU],ROW()-ROW(tblConteo[#Headers])))</f>
        <v/>
      </c>
      <c r="C230" s="49" t="str">
        <f>IF(tblConteo[[#This Row],[SKU]]="","",INDEX(tblProductos[Producto],ROW()-ROW(tblConteo[#Headers])))</f>
        <v/>
      </c>
      <c r="D230" s="49" t="str">
        <f>IF(tblConteo[[#This Row],[SKU]]="","",INDEX(tblProductos[Categoría],ROW()-ROW(tblConteo[#Headers]))&amp;"")</f>
        <v/>
      </c>
      <c r="E230" s="42" t="str">
        <f>IF(tblConteo[[#This Row],[SKU]]="","",INDEX(tblProductos[Ubicación],ROW()-ROW(tblConteo[#Headers]))&amp;"")</f>
        <v/>
      </c>
      <c r="F230" s="42" t="str">
        <f>IF(tblConteo[[#This Row],[SKU]]="","",INDEX(tblProductos[Unidad],ROW()-ROW(tblConteo[#Headers]))&amp;"")</f>
        <v/>
      </c>
      <c r="G230" s="42" t="str">
        <f>IF(tblConteo[[#This Row],[SKU]]="","",IF(INDEX(tblProductos[Activo],ROW()-ROW(tblConteo[#Headers]))="NO","NO","SI"))</f>
        <v/>
      </c>
      <c r="H230" s="53" t="str">
        <f>IF(tblConteo[[#This Row],[SKU]]="","",IFERROR(N(INDEX(tblStock[StockActual],MATCH(tblConteo[[#This Row],[SKU]],tblStock[SKU],0))),0))</f>
        <v/>
      </c>
      <c r="I230" s="52"/>
      <c r="J230" s="59" t="str">
        <f>IF(OR(tblConteo[[#This Row],[SKU]]="",tblConteo[[#This Row],[Conteo]]=""),"",IF(ISNUMBER(tblConteo[[#This Row],[Conteo]]),tblConteo[[#This Row],[Conteo]]-N(tblConteo[[#This Row],[Sistema]]),""))</f>
        <v/>
      </c>
      <c r="K230" s="62" t="str">
        <f>IF(tblConteo[[#This Row],[Diferencia]]="","",tblConteo[[#This Row],[Diferencia]]*N(INDEX(tblProductos[CostoUnitario],ROW()-ROW(tblConteo[#Headers]))))</f>
        <v/>
      </c>
      <c r="L23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1" spans="2:13" x14ac:dyDescent="0.25">
      <c r="B231" s="42" t="str">
        <f>IF(INDEX(tblProductos[SKU],ROW()-ROW(tblConteo[#Headers]))="","",INDEX(tblProductos[SKU],ROW()-ROW(tblConteo[#Headers])))</f>
        <v/>
      </c>
      <c r="C231" s="49" t="str">
        <f>IF(tblConteo[[#This Row],[SKU]]="","",INDEX(tblProductos[Producto],ROW()-ROW(tblConteo[#Headers])))</f>
        <v/>
      </c>
      <c r="D231" s="49" t="str">
        <f>IF(tblConteo[[#This Row],[SKU]]="","",INDEX(tblProductos[Categoría],ROW()-ROW(tblConteo[#Headers]))&amp;"")</f>
        <v/>
      </c>
      <c r="E231" s="42" t="str">
        <f>IF(tblConteo[[#This Row],[SKU]]="","",INDEX(tblProductos[Ubicación],ROW()-ROW(tblConteo[#Headers]))&amp;"")</f>
        <v/>
      </c>
      <c r="F231" s="42" t="str">
        <f>IF(tblConteo[[#This Row],[SKU]]="","",INDEX(tblProductos[Unidad],ROW()-ROW(tblConteo[#Headers]))&amp;"")</f>
        <v/>
      </c>
      <c r="G231" s="42" t="str">
        <f>IF(tblConteo[[#This Row],[SKU]]="","",IF(INDEX(tblProductos[Activo],ROW()-ROW(tblConteo[#Headers]))="NO","NO","SI"))</f>
        <v/>
      </c>
      <c r="H231" s="53" t="str">
        <f>IF(tblConteo[[#This Row],[SKU]]="","",IFERROR(N(INDEX(tblStock[StockActual],MATCH(tblConteo[[#This Row],[SKU]],tblStock[SKU],0))),0))</f>
        <v/>
      </c>
      <c r="I231" s="52"/>
      <c r="J231" s="59" t="str">
        <f>IF(OR(tblConteo[[#This Row],[SKU]]="",tblConteo[[#This Row],[Conteo]]=""),"",IF(ISNUMBER(tblConteo[[#This Row],[Conteo]]),tblConteo[[#This Row],[Conteo]]-N(tblConteo[[#This Row],[Sistema]]),""))</f>
        <v/>
      </c>
      <c r="K231" s="62" t="str">
        <f>IF(tblConteo[[#This Row],[Diferencia]]="","",tblConteo[[#This Row],[Diferencia]]*N(INDEX(tblProductos[CostoUnitario],ROW()-ROW(tblConteo[#Headers]))))</f>
        <v/>
      </c>
      <c r="L23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2" spans="2:13" x14ac:dyDescent="0.25">
      <c r="B232" s="42" t="str">
        <f>IF(INDEX(tblProductos[SKU],ROW()-ROW(tblConteo[#Headers]))="","",INDEX(tblProductos[SKU],ROW()-ROW(tblConteo[#Headers])))</f>
        <v/>
      </c>
      <c r="C232" s="49" t="str">
        <f>IF(tblConteo[[#This Row],[SKU]]="","",INDEX(tblProductos[Producto],ROW()-ROW(tblConteo[#Headers])))</f>
        <v/>
      </c>
      <c r="D232" s="49" t="str">
        <f>IF(tblConteo[[#This Row],[SKU]]="","",INDEX(tblProductos[Categoría],ROW()-ROW(tblConteo[#Headers]))&amp;"")</f>
        <v/>
      </c>
      <c r="E232" s="42" t="str">
        <f>IF(tblConteo[[#This Row],[SKU]]="","",INDEX(tblProductos[Ubicación],ROW()-ROW(tblConteo[#Headers]))&amp;"")</f>
        <v/>
      </c>
      <c r="F232" s="42" t="str">
        <f>IF(tblConteo[[#This Row],[SKU]]="","",INDEX(tblProductos[Unidad],ROW()-ROW(tblConteo[#Headers]))&amp;"")</f>
        <v/>
      </c>
      <c r="G232" s="42" t="str">
        <f>IF(tblConteo[[#This Row],[SKU]]="","",IF(INDEX(tblProductos[Activo],ROW()-ROW(tblConteo[#Headers]))="NO","NO","SI"))</f>
        <v/>
      </c>
      <c r="H232" s="53" t="str">
        <f>IF(tblConteo[[#This Row],[SKU]]="","",IFERROR(N(INDEX(tblStock[StockActual],MATCH(tblConteo[[#This Row],[SKU]],tblStock[SKU],0))),0))</f>
        <v/>
      </c>
      <c r="I232" s="52"/>
      <c r="J232" s="59" t="str">
        <f>IF(OR(tblConteo[[#This Row],[SKU]]="",tblConteo[[#This Row],[Conteo]]=""),"",IF(ISNUMBER(tblConteo[[#This Row],[Conteo]]),tblConteo[[#This Row],[Conteo]]-N(tblConteo[[#This Row],[Sistema]]),""))</f>
        <v/>
      </c>
      <c r="K232" s="62" t="str">
        <f>IF(tblConteo[[#This Row],[Diferencia]]="","",tblConteo[[#This Row],[Diferencia]]*N(INDEX(tblProductos[CostoUnitario],ROW()-ROW(tblConteo[#Headers]))))</f>
        <v/>
      </c>
      <c r="L23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3" spans="2:13" x14ac:dyDescent="0.25">
      <c r="B233" s="42" t="str">
        <f>IF(INDEX(tblProductos[SKU],ROW()-ROW(tblConteo[#Headers]))="","",INDEX(tblProductos[SKU],ROW()-ROW(tblConteo[#Headers])))</f>
        <v/>
      </c>
      <c r="C233" s="49" t="str">
        <f>IF(tblConteo[[#This Row],[SKU]]="","",INDEX(tblProductos[Producto],ROW()-ROW(tblConteo[#Headers])))</f>
        <v/>
      </c>
      <c r="D233" s="49" t="str">
        <f>IF(tblConteo[[#This Row],[SKU]]="","",INDEX(tblProductos[Categoría],ROW()-ROW(tblConteo[#Headers]))&amp;"")</f>
        <v/>
      </c>
      <c r="E233" s="42" t="str">
        <f>IF(tblConteo[[#This Row],[SKU]]="","",INDEX(tblProductos[Ubicación],ROW()-ROW(tblConteo[#Headers]))&amp;"")</f>
        <v/>
      </c>
      <c r="F233" s="42" t="str">
        <f>IF(tblConteo[[#This Row],[SKU]]="","",INDEX(tblProductos[Unidad],ROW()-ROW(tblConteo[#Headers]))&amp;"")</f>
        <v/>
      </c>
      <c r="G233" s="42" t="str">
        <f>IF(tblConteo[[#This Row],[SKU]]="","",IF(INDEX(tblProductos[Activo],ROW()-ROW(tblConteo[#Headers]))="NO","NO","SI"))</f>
        <v/>
      </c>
      <c r="H233" s="53" t="str">
        <f>IF(tblConteo[[#This Row],[SKU]]="","",IFERROR(N(INDEX(tblStock[StockActual],MATCH(tblConteo[[#This Row],[SKU]],tblStock[SKU],0))),0))</f>
        <v/>
      </c>
      <c r="I233" s="52"/>
      <c r="J233" s="59" t="str">
        <f>IF(OR(tblConteo[[#This Row],[SKU]]="",tblConteo[[#This Row],[Conteo]]=""),"",IF(ISNUMBER(tblConteo[[#This Row],[Conteo]]),tblConteo[[#This Row],[Conteo]]-N(tblConteo[[#This Row],[Sistema]]),""))</f>
        <v/>
      </c>
      <c r="K233" s="62" t="str">
        <f>IF(tblConteo[[#This Row],[Diferencia]]="","",tblConteo[[#This Row],[Diferencia]]*N(INDEX(tblProductos[CostoUnitario],ROW()-ROW(tblConteo[#Headers]))))</f>
        <v/>
      </c>
      <c r="L23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4" spans="2:13" x14ac:dyDescent="0.25">
      <c r="B234" s="42" t="str">
        <f>IF(INDEX(tblProductos[SKU],ROW()-ROW(tblConteo[#Headers]))="","",INDEX(tblProductos[SKU],ROW()-ROW(tblConteo[#Headers])))</f>
        <v/>
      </c>
      <c r="C234" s="49" t="str">
        <f>IF(tblConteo[[#This Row],[SKU]]="","",INDEX(tblProductos[Producto],ROW()-ROW(tblConteo[#Headers])))</f>
        <v/>
      </c>
      <c r="D234" s="49" t="str">
        <f>IF(tblConteo[[#This Row],[SKU]]="","",INDEX(tblProductos[Categoría],ROW()-ROW(tblConteo[#Headers]))&amp;"")</f>
        <v/>
      </c>
      <c r="E234" s="42" t="str">
        <f>IF(tblConteo[[#This Row],[SKU]]="","",INDEX(tblProductos[Ubicación],ROW()-ROW(tblConteo[#Headers]))&amp;"")</f>
        <v/>
      </c>
      <c r="F234" s="42" t="str">
        <f>IF(tblConteo[[#This Row],[SKU]]="","",INDEX(tblProductos[Unidad],ROW()-ROW(tblConteo[#Headers]))&amp;"")</f>
        <v/>
      </c>
      <c r="G234" s="42" t="str">
        <f>IF(tblConteo[[#This Row],[SKU]]="","",IF(INDEX(tblProductos[Activo],ROW()-ROW(tblConteo[#Headers]))="NO","NO","SI"))</f>
        <v/>
      </c>
      <c r="H234" s="53" t="str">
        <f>IF(tblConteo[[#This Row],[SKU]]="","",IFERROR(N(INDEX(tblStock[StockActual],MATCH(tblConteo[[#This Row],[SKU]],tblStock[SKU],0))),0))</f>
        <v/>
      </c>
      <c r="I234" s="52"/>
      <c r="J234" s="59" t="str">
        <f>IF(OR(tblConteo[[#This Row],[SKU]]="",tblConteo[[#This Row],[Conteo]]=""),"",IF(ISNUMBER(tblConteo[[#This Row],[Conteo]]),tblConteo[[#This Row],[Conteo]]-N(tblConteo[[#This Row],[Sistema]]),""))</f>
        <v/>
      </c>
      <c r="K234" s="62" t="str">
        <f>IF(tblConteo[[#This Row],[Diferencia]]="","",tblConteo[[#This Row],[Diferencia]]*N(INDEX(tblProductos[CostoUnitario],ROW()-ROW(tblConteo[#Headers]))))</f>
        <v/>
      </c>
      <c r="L23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5" spans="2:13" x14ac:dyDescent="0.25">
      <c r="B235" s="42" t="str">
        <f>IF(INDEX(tblProductos[SKU],ROW()-ROW(tblConteo[#Headers]))="","",INDEX(tblProductos[SKU],ROW()-ROW(tblConteo[#Headers])))</f>
        <v/>
      </c>
      <c r="C235" s="49" t="str">
        <f>IF(tblConteo[[#This Row],[SKU]]="","",INDEX(tblProductos[Producto],ROW()-ROW(tblConteo[#Headers])))</f>
        <v/>
      </c>
      <c r="D235" s="49" t="str">
        <f>IF(tblConteo[[#This Row],[SKU]]="","",INDEX(tblProductos[Categoría],ROW()-ROW(tblConteo[#Headers]))&amp;"")</f>
        <v/>
      </c>
      <c r="E235" s="42" t="str">
        <f>IF(tblConteo[[#This Row],[SKU]]="","",INDEX(tblProductos[Ubicación],ROW()-ROW(tblConteo[#Headers]))&amp;"")</f>
        <v/>
      </c>
      <c r="F235" s="42" t="str">
        <f>IF(tblConteo[[#This Row],[SKU]]="","",INDEX(tblProductos[Unidad],ROW()-ROW(tblConteo[#Headers]))&amp;"")</f>
        <v/>
      </c>
      <c r="G235" s="42" t="str">
        <f>IF(tblConteo[[#This Row],[SKU]]="","",IF(INDEX(tblProductos[Activo],ROW()-ROW(tblConteo[#Headers]))="NO","NO","SI"))</f>
        <v/>
      </c>
      <c r="H235" s="53" t="str">
        <f>IF(tblConteo[[#This Row],[SKU]]="","",IFERROR(N(INDEX(tblStock[StockActual],MATCH(tblConteo[[#This Row],[SKU]],tblStock[SKU],0))),0))</f>
        <v/>
      </c>
      <c r="I235" s="52"/>
      <c r="J235" s="59" t="str">
        <f>IF(OR(tblConteo[[#This Row],[SKU]]="",tblConteo[[#This Row],[Conteo]]=""),"",IF(ISNUMBER(tblConteo[[#This Row],[Conteo]]),tblConteo[[#This Row],[Conteo]]-N(tblConteo[[#This Row],[Sistema]]),""))</f>
        <v/>
      </c>
      <c r="K235" s="62" t="str">
        <f>IF(tblConteo[[#This Row],[Diferencia]]="","",tblConteo[[#This Row],[Diferencia]]*N(INDEX(tblProductos[CostoUnitario],ROW()-ROW(tblConteo[#Headers]))))</f>
        <v/>
      </c>
      <c r="L23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6" spans="2:13" x14ac:dyDescent="0.25">
      <c r="B236" s="42" t="str">
        <f>IF(INDEX(tblProductos[SKU],ROW()-ROW(tblConteo[#Headers]))="","",INDEX(tblProductos[SKU],ROW()-ROW(tblConteo[#Headers])))</f>
        <v/>
      </c>
      <c r="C236" s="49" t="str">
        <f>IF(tblConteo[[#This Row],[SKU]]="","",INDEX(tblProductos[Producto],ROW()-ROW(tblConteo[#Headers])))</f>
        <v/>
      </c>
      <c r="D236" s="49" t="str">
        <f>IF(tblConteo[[#This Row],[SKU]]="","",INDEX(tblProductos[Categoría],ROW()-ROW(tblConteo[#Headers]))&amp;"")</f>
        <v/>
      </c>
      <c r="E236" s="42" t="str">
        <f>IF(tblConteo[[#This Row],[SKU]]="","",INDEX(tblProductos[Ubicación],ROW()-ROW(tblConteo[#Headers]))&amp;"")</f>
        <v/>
      </c>
      <c r="F236" s="42" t="str">
        <f>IF(tblConteo[[#This Row],[SKU]]="","",INDEX(tblProductos[Unidad],ROW()-ROW(tblConteo[#Headers]))&amp;"")</f>
        <v/>
      </c>
      <c r="G236" s="42" t="str">
        <f>IF(tblConteo[[#This Row],[SKU]]="","",IF(INDEX(tblProductos[Activo],ROW()-ROW(tblConteo[#Headers]))="NO","NO","SI"))</f>
        <v/>
      </c>
      <c r="H236" s="53" t="str">
        <f>IF(tblConteo[[#This Row],[SKU]]="","",IFERROR(N(INDEX(tblStock[StockActual],MATCH(tblConteo[[#This Row],[SKU]],tblStock[SKU],0))),0))</f>
        <v/>
      </c>
      <c r="I236" s="52"/>
      <c r="J236" s="59" t="str">
        <f>IF(OR(tblConteo[[#This Row],[SKU]]="",tblConteo[[#This Row],[Conteo]]=""),"",IF(ISNUMBER(tblConteo[[#This Row],[Conteo]]),tblConteo[[#This Row],[Conteo]]-N(tblConteo[[#This Row],[Sistema]]),""))</f>
        <v/>
      </c>
      <c r="K236" s="62" t="str">
        <f>IF(tblConteo[[#This Row],[Diferencia]]="","",tblConteo[[#This Row],[Diferencia]]*N(INDEX(tblProductos[CostoUnitario],ROW()-ROW(tblConteo[#Headers]))))</f>
        <v/>
      </c>
      <c r="L23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7" spans="2:13" x14ac:dyDescent="0.25">
      <c r="B237" s="42" t="str">
        <f>IF(INDEX(tblProductos[SKU],ROW()-ROW(tblConteo[#Headers]))="","",INDEX(tblProductos[SKU],ROW()-ROW(tblConteo[#Headers])))</f>
        <v/>
      </c>
      <c r="C237" s="49" t="str">
        <f>IF(tblConteo[[#This Row],[SKU]]="","",INDEX(tblProductos[Producto],ROW()-ROW(tblConteo[#Headers])))</f>
        <v/>
      </c>
      <c r="D237" s="49" t="str">
        <f>IF(tblConteo[[#This Row],[SKU]]="","",INDEX(tblProductos[Categoría],ROW()-ROW(tblConteo[#Headers]))&amp;"")</f>
        <v/>
      </c>
      <c r="E237" s="42" t="str">
        <f>IF(tblConteo[[#This Row],[SKU]]="","",INDEX(tblProductos[Ubicación],ROW()-ROW(tblConteo[#Headers]))&amp;"")</f>
        <v/>
      </c>
      <c r="F237" s="42" t="str">
        <f>IF(tblConteo[[#This Row],[SKU]]="","",INDEX(tblProductos[Unidad],ROW()-ROW(tblConteo[#Headers]))&amp;"")</f>
        <v/>
      </c>
      <c r="G237" s="42" t="str">
        <f>IF(tblConteo[[#This Row],[SKU]]="","",IF(INDEX(tblProductos[Activo],ROW()-ROW(tblConteo[#Headers]))="NO","NO","SI"))</f>
        <v/>
      </c>
      <c r="H237" s="53" t="str">
        <f>IF(tblConteo[[#This Row],[SKU]]="","",IFERROR(N(INDEX(tblStock[StockActual],MATCH(tblConteo[[#This Row],[SKU]],tblStock[SKU],0))),0))</f>
        <v/>
      </c>
      <c r="I237" s="52"/>
      <c r="J237" s="59" t="str">
        <f>IF(OR(tblConteo[[#This Row],[SKU]]="",tblConteo[[#This Row],[Conteo]]=""),"",IF(ISNUMBER(tblConteo[[#This Row],[Conteo]]),tblConteo[[#This Row],[Conteo]]-N(tblConteo[[#This Row],[Sistema]]),""))</f>
        <v/>
      </c>
      <c r="K237" s="62" t="str">
        <f>IF(tblConteo[[#This Row],[Diferencia]]="","",tblConteo[[#This Row],[Diferencia]]*N(INDEX(tblProductos[CostoUnitario],ROW()-ROW(tblConteo[#Headers]))))</f>
        <v/>
      </c>
      <c r="L23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8" spans="2:13" x14ac:dyDescent="0.25">
      <c r="B238" s="42" t="str">
        <f>IF(INDEX(tblProductos[SKU],ROW()-ROW(tblConteo[#Headers]))="","",INDEX(tblProductos[SKU],ROW()-ROW(tblConteo[#Headers])))</f>
        <v/>
      </c>
      <c r="C238" s="49" t="str">
        <f>IF(tblConteo[[#This Row],[SKU]]="","",INDEX(tblProductos[Producto],ROW()-ROW(tblConteo[#Headers])))</f>
        <v/>
      </c>
      <c r="D238" s="49" t="str">
        <f>IF(tblConteo[[#This Row],[SKU]]="","",INDEX(tblProductos[Categoría],ROW()-ROW(tblConteo[#Headers]))&amp;"")</f>
        <v/>
      </c>
      <c r="E238" s="42" t="str">
        <f>IF(tblConteo[[#This Row],[SKU]]="","",INDEX(tblProductos[Ubicación],ROW()-ROW(tblConteo[#Headers]))&amp;"")</f>
        <v/>
      </c>
      <c r="F238" s="42" t="str">
        <f>IF(tblConteo[[#This Row],[SKU]]="","",INDEX(tblProductos[Unidad],ROW()-ROW(tblConteo[#Headers]))&amp;"")</f>
        <v/>
      </c>
      <c r="G238" s="42" t="str">
        <f>IF(tblConteo[[#This Row],[SKU]]="","",IF(INDEX(tblProductos[Activo],ROW()-ROW(tblConteo[#Headers]))="NO","NO","SI"))</f>
        <v/>
      </c>
      <c r="H238" s="53" t="str">
        <f>IF(tblConteo[[#This Row],[SKU]]="","",IFERROR(N(INDEX(tblStock[StockActual],MATCH(tblConteo[[#This Row],[SKU]],tblStock[SKU],0))),0))</f>
        <v/>
      </c>
      <c r="I238" s="52"/>
      <c r="J238" s="59" t="str">
        <f>IF(OR(tblConteo[[#This Row],[SKU]]="",tblConteo[[#This Row],[Conteo]]=""),"",IF(ISNUMBER(tblConteo[[#This Row],[Conteo]]),tblConteo[[#This Row],[Conteo]]-N(tblConteo[[#This Row],[Sistema]]),""))</f>
        <v/>
      </c>
      <c r="K238" s="62" t="str">
        <f>IF(tblConteo[[#This Row],[Diferencia]]="","",tblConteo[[#This Row],[Diferencia]]*N(INDEX(tblProductos[CostoUnitario],ROW()-ROW(tblConteo[#Headers]))))</f>
        <v/>
      </c>
      <c r="L23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9" spans="2:13" x14ac:dyDescent="0.25">
      <c r="B239" s="42" t="str">
        <f>IF(INDEX(tblProductos[SKU],ROW()-ROW(tblConteo[#Headers]))="","",INDEX(tblProductos[SKU],ROW()-ROW(tblConteo[#Headers])))</f>
        <v/>
      </c>
      <c r="C239" s="49" t="str">
        <f>IF(tblConteo[[#This Row],[SKU]]="","",INDEX(tblProductos[Producto],ROW()-ROW(tblConteo[#Headers])))</f>
        <v/>
      </c>
      <c r="D239" s="49" t="str">
        <f>IF(tblConteo[[#This Row],[SKU]]="","",INDEX(tblProductos[Categoría],ROW()-ROW(tblConteo[#Headers]))&amp;"")</f>
        <v/>
      </c>
      <c r="E239" s="42" t="str">
        <f>IF(tblConteo[[#This Row],[SKU]]="","",INDEX(tblProductos[Ubicación],ROW()-ROW(tblConteo[#Headers]))&amp;"")</f>
        <v/>
      </c>
      <c r="F239" s="42" t="str">
        <f>IF(tblConteo[[#This Row],[SKU]]="","",INDEX(tblProductos[Unidad],ROW()-ROW(tblConteo[#Headers]))&amp;"")</f>
        <v/>
      </c>
      <c r="G239" s="42" t="str">
        <f>IF(tblConteo[[#This Row],[SKU]]="","",IF(INDEX(tblProductos[Activo],ROW()-ROW(tblConteo[#Headers]))="NO","NO","SI"))</f>
        <v/>
      </c>
      <c r="H239" s="53" t="str">
        <f>IF(tblConteo[[#This Row],[SKU]]="","",IFERROR(N(INDEX(tblStock[StockActual],MATCH(tblConteo[[#This Row],[SKU]],tblStock[SKU],0))),0))</f>
        <v/>
      </c>
      <c r="I239" s="52"/>
      <c r="J239" s="59" t="str">
        <f>IF(OR(tblConteo[[#This Row],[SKU]]="",tblConteo[[#This Row],[Conteo]]=""),"",IF(ISNUMBER(tblConteo[[#This Row],[Conteo]]),tblConteo[[#This Row],[Conteo]]-N(tblConteo[[#This Row],[Sistema]]),""))</f>
        <v/>
      </c>
      <c r="K239" s="62" t="str">
        <f>IF(tblConteo[[#This Row],[Diferencia]]="","",tblConteo[[#This Row],[Diferencia]]*N(INDEX(tblProductos[CostoUnitario],ROW()-ROW(tblConteo[#Headers]))))</f>
        <v/>
      </c>
      <c r="L23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0" spans="2:13" x14ac:dyDescent="0.25">
      <c r="B240" s="42" t="str">
        <f>IF(INDEX(tblProductos[SKU],ROW()-ROW(tblConteo[#Headers]))="","",INDEX(tblProductos[SKU],ROW()-ROW(tblConteo[#Headers])))</f>
        <v/>
      </c>
      <c r="C240" s="49" t="str">
        <f>IF(tblConteo[[#This Row],[SKU]]="","",INDEX(tblProductos[Producto],ROW()-ROW(tblConteo[#Headers])))</f>
        <v/>
      </c>
      <c r="D240" s="49" t="str">
        <f>IF(tblConteo[[#This Row],[SKU]]="","",INDEX(tblProductos[Categoría],ROW()-ROW(tblConteo[#Headers]))&amp;"")</f>
        <v/>
      </c>
      <c r="E240" s="42" t="str">
        <f>IF(tblConteo[[#This Row],[SKU]]="","",INDEX(tblProductos[Ubicación],ROW()-ROW(tblConteo[#Headers]))&amp;"")</f>
        <v/>
      </c>
      <c r="F240" s="42" t="str">
        <f>IF(tblConteo[[#This Row],[SKU]]="","",INDEX(tblProductos[Unidad],ROW()-ROW(tblConteo[#Headers]))&amp;"")</f>
        <v/>
      </c>
      <c r="G240" s="42" t="str">
        <f>IF(tblConteo[[#This Row],[SKU]]="","",IF(INDEX(tblProductos[Activo],ROW()-ROW(tblConteo[#Headers]))="NO","NO","SI"))</f>
        <v/>
      </c>
      <c r="H240" s="53" t="str">
        <f>IF(tblConteo[[#This Row],[SKU]]="","",IFERROR(N(INDEX(tblStock[StockActual],MATCH(tblConteo[[#This Row],[SKU]],tblStock[SKU],0))),0))</f>
        <v/>
      </c>
      <c r="I240" s="52"/>
      <c r="J240" s="59" t="str">
        <f>IF(OR(tblConteo[[#This Row],[SKU]]="",tblConteo[[#This Row],[Conteo]]=""),"",IF(ISNUMBER(tblConteo[[#This Row],[Conteo]]),tblConteo[[#This Row],[Conteo]]-N(tblConteo[[#This Row],[Sistema]]),""))</f>
        <v/>
      </c>
      <c r="K240" s="62" t="str">
        <f>IF(tblConteo[[#This Row],[Diferencia]]="","",tblConteo[[#This Row],[Diferencia]]*N(INDEX(tblProductos[CostoUnitario],ROW()-ROW(tblConteo[#Headers]))))</f>
        <v/>
      </c>
      <c r="L24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1" spans="2:13" x14ac:dyDescent="0.25">
      <c r="B241" s="42" t="str">
        <f>IF(INDEX(tblProductos[SKU],ROW()-ROW(tblConteo[#Headers]))="","",INDEX(tblProductos[SKU],ROW()-ROW(tblConteo[#Headers])))</f>
        <v/>
      </c>
      <c r="C241" s="49" t="str">
        <f>IF(tblConteo[[#This Row],[SKU]]="","",INDEX(tblProductos[Producto],ROW()-ROW(tblConteo[#Headers])))</f>
        <v/>
      </c>
      <c r="D241" s="49" t="str">
        <f>IF(tblConteo[[#This Row],[SKU]]="","",INDEX(tblProductos[Categoría],ROW()-ROW(tblConteo[#Headers]))&amp;"")</f>
        <v/>
      </c>
      <c r="E241" s="42" t="str">
        <f>IF(tblConteo[[#This Row],[SKU]]="","",INDEX(tblProductos[Ubicación],ROW()-ROW(tblConteo[#Headers]))&amp;"")</f>
        <v/>
      </c>
      <c r="F241" s="42" t="str">
        <f>IF(tblConteo[[#This Row],[SKU]]="","",INDEX(tblProductos[Unidad],ROW()-ROW(tblConteo[#Headers]))&amp;"")</f>
        <v/>
      </c>
      <c r="G241" s="42" t="str">
        <f>IF(tblConteo[[#This Row],[SKU]]="","",IF(INDEX(tblProductos[Activo],ROW()-ROW(tblConteo[#Headers]))="NO","NO","SI"))</f>
        <v/>
      </c>
      <c r="H241" s="53" t="str">
        <f>IF(tblConteo[[#This Row],[SKU]]="","",IFERROR(N(INDEX(tblStock[StockActual],MATCH(tblConteo[[#This Row],[SKU]],tblStock[SKU],0))),0))</f>
        <v/>
      </c>
      <c r="I241" s="52"/>
      <c r="J241" s="59" t="str">
        <f>IF(OR(tblConteo[[#This Row],[SKU]]="",tblConteo[[#This Row],[Conteo]]=""),"",IF(ISNUMBER(tblConteo[[#This Row],[Conteo]]),tblConteo[[#This Row],[Conteo]]-N(tblConteo[[#This Row],[Sistema]]),""))</f>
        <v/>
      </c>
      <c r="K241" s="62" t="str">
        <f>IF(tblConteo[[#This Row],[Diferencia]]="","",tblConteo[[#This Row],[Diferencia]]*N(INDEX(tblProductos[CostoUnitario],ROW()-ROW(tblConteo[#Headers]))))</f>
        <v/>
      </c>
      <c r="L24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2" spans="2:13" x14ac:dyDescent="0.25">
      <c r="B242" s="42" t="str">
        <f>IF(INDEX(tblProductos[SKU],ROW()-ROW(tblConteo[#Headers]))="","",INDEX(tblProductos[SKU],ROW()-ROW(tblConteo[#Headers])))</f>
        <v/>
      </c>
      <c r="C242" s="49" t="str">
        <f>IF(tblConteo[[#This Row],[SKU]]="","",INDEX(tblProductos[Producto],ROW()-ROW(tblConteo[#Headers])))</f>
        <v/>
      </c>
      <c r="D242" s="49" t="str">
        <f>IF(tblConteo[[#This Row],[SKU]]="","",INDEX(tblProductos[Categoría],ROW()-ROW(tblConteo[#Headers]))&amp;"")</f>
        <v/>
      </c>
      <c r="E242" s="42" t="str">
        <f>IF(tblConteo[[#This Row],[SKU]]="","",INDEX(tblProductos[Ubicación],ROW()-ROW(tblConteo[#Headers]))&amp;"")</f>
        <v/>
      </c>
      <c r="F242" s="42" t="str">
        <f>IF(tblConteo[[#This Row],[SKU]]="","",INDEX(tblProductos[Unidad],ROW()-ROW(tblConteo[#Headers]))&amp;"")</f>
        <v/>
      </c>
      <c r="G242" s="42" t="str">
        <f>IF(tblConteo[[#This Row],[SKU]]="","",IF(INDEX(tblProductos[Activo],ROW()-ROW(tblConteo[#Headers]))="NO","NO","SI"))</f>
        <v/>
      </c>
      <c r="H242" s="53" t="str">
        <f>IF(tblConteo[[#This Row],[SKU]]="","",IFERROR(N(INDEX(tblStock[StockActual],MATCH(tblConteo[[#This Row],[SKU]],tblStock[SKU],0))),0))</f>
        <v/>
      </c>
      <c r="I242" s="52"/>
      <c r="J242" s="59" t="str">
        <f>IF(OR(tblConteo[[#This Row],[SKU]]="",tblConteo[[#This Row],[Conteo]]=""),"",IF(ISNUMBER(tblConteo[[#This Row],[Conteo]]),tblConteo[[#This Row],[Conteo]]-N(tblConteo[[#This Row],[Sistema]]),""))</f>
        <v/>
      </c>
      <c r="K242" s="62" t="str">
        <f>IF(tblConteo[[#This Row],[Diferencia]]="","",tblConteo[[#This Row],[Diferencia]]*N(INDEX(tblProductos[CostoUnitario],ROW()-ROW(tblConteo[#Headers]))))</f>
        <v/>
      </c>
      <c r="L24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3" spans="2:13" x14ac:dyDescent="0.25">
      <c r="B243" s="42" t="str">
        <f>IF(INDEX(tblProductos[SKU],ROW()-ROW(tblConteo[#Headers]))="","",INDEX(tblProductos[SKU],ROW()-ROW(tblConteo[#Headers])))</f>
        <v/>
      </c>
      <c r="C243" s="49" t="str">
        <f>IF(tblConteo[[#This Row],[SKU]]="","",INDEX(tblProductos[Producto],ROW()-ROW(tblConteo[#Headers])))</f>
        <v/>
      </c>
      <c r="D243" s="49" t="str">
        <f>IF(tblConteo[[#This Row],[SKU]]="","",INDEX(tblProductos[Categoría],ROW()-ROW(tblConteo[#Headers]))&amp;"")</f>
        <v/>
      </c>
      <c r="E243" s="42" t="str">
        <f>IF(tblConteo[[#This Row],[SKU]]="","",INDEX(tblProductos[Ubicación],ROW()-ROW(tblConteo[#Headers]))&amp;"")</f>
        <v/>
      </c>
      <c r="F243" s="42" t="str">
        <f>IF(tblConteo[[#This Row],[SKU]]="","",INDEX(tblProductos[Unidad],ROW()-ROW(tblConteo[#Headers]))&amp;"")</f>
        <v/>
      </c>
      <c r="G243" s="42" t="str">
        <f>IF(tblConteo[[#This Row],[SKU]]="","",IF(INDEX(tblProductos[Activo],ROW()-ROW(tblConteo[#Headers]))="NO","NO","SI"))</f>
        <v/>
      </c>
      <c r="H243" s="53" t="str">
        <f>IF(tblConteo[[#This Row],[SKU]]="","",IFERROR(N(INDEX(tblStock[StockActual],MATCH(tblConteo[[#This Row],[SKU]],tblStock[SKU],0))),0))</f>
        <v/>
      </c>
      <c r="I243" s="52"/>
      <c r="J243" s="59" t="str">
        <f>IF(OR(tblConteo[[#This Row],[SKU]]="",tblConteo[[#This Row],[Conteo]]=""),"",IF(ISNUMBER(tblConteo[[#This Row],[Conteo]]),tblConteo[[#This Row],[Conteo]]-N(tblConteo[[#This Row],[Sistema]]),""))</f>
        <v/>
      </c>
      <c r="K243" s="62" t="str">
        <f>IF(tblConteo[[#This Row],[Diferencia]]="","",tblConteo[[#This Row],[Diferencia]]*N(INDEX(tblProductos[CostoUnitario],ROW()-ROW(tblConteo[#Headers]))))</f>
        <v/>
      </c>
      <c r="L24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4" spans="2:13" x14ac:dyDescent="0.25">
      <c r="B244" s="42" t="str">
        <f>IF(INDEX(tblProductos[SKU],ROW()-ROW(tblConteo[#Headers]))="","",INDEX(tblProductos[SKU],ROW()-ROW(tblConteo[#Headers])))</f>
        <v/>
      </c>
      <c r="C244" s="49" t="str">
        <f>IF(tblConteo[[#This Row],[SKU]]="","",INDEX(tblProductos[Producto],ROW()-ROW(tblConteo[#Headers])))</f>
        <v/>
      </c>
      <c r="D244" s="49" t="str">
        <f>IF(tblConteo[[#This Row],[SKU]]="","",INDEX(tblProductos[Categoría],ROW()-ROW(tblConteo[#Headers]))&amp;"")</f>
        <v/>
      </c>
      <c r="E244" s="42" t="str">
        <f>IF(tblConteo[[#This Row],[SKU]]="","",INDEX(tblProductos[Ubicación],ROW()-ROW(tblConteo[#Headers]))&amp;"")</f>
        <v/>
      </c>
      <c r="F244" s="42" t="str">
        <f>IF(tblConteo[[#This Row],[SKU]]="","",INDEX(tblProductos[Unidad],ROW()-ROW(tblConteo[#Headers]))&amp;"")</f>
        <v/>
      </c>
      <c r="G244" s="42" t="str">
        <f>IF(tblConteo[[#This Row],[SKU]]="","",IF(INDEX(tblProductos[Activo],ROW()-ROW(tblConteo[#Headers]))="NO","NO","SI"))</f>
        <v/>
      </c>
      <c r="H244" s="53" t="str">
        <f>IF(tblConteo[[#This Row],[SKU]]="","",IFERROR(N(INDEX(tblStock[StockActual],MATCH(tblConteo[[#This Row],[SKU]],tblStock[SKU],0))),0))</f>
        <v/>
      </c>
      <c r="I244" s="52"/>
      <c r="J244" s="59" t="str">
        <f>IF(OR(tblConteo[[#This Row],[SKU]]="",tblConteo[[#This Row],[Conteo]]=""),"",IF(ISNUMBER(tblConteo[[#This Row],[Conteo]]),tblConteo[[#This Row],[Conteo]]-N(tblConteo[[#This Row],[Sistema]]),""))</f>
        <v/>
      </c>
      <c r="K244" s="62" t="str">
        <f>IF(tblConteo[[#This Row],[Diferencia]]="","",tblConteo[[#This Row],[Diferencia]]*N(INDEX(tblProductos[CostoUnitario],ROW()-ROW(tblConteo[#Headers]))))</f>
        <v/>
      </c>
      <c r="L24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5" spans="2:13" x14ac:dyDescent="0.25">
      <c r="B245" s="42" t="str">
        <f>IF(INDEX(tblProductos[SKU],ROW()-ROW(tblConteo[#Headers]))="","",INDEX(tblProductos[SKU],ROW()-ROW(tblConteo[#Headers])))</f>
        <v/>
      </c>
      <c r="C245" s="49" t="str">
        <f>IF(tblConteo[[#This Row],[SKU]]="","",INDEX(tblProductos[Producto],ROW()-ROW(tblConteo[#Headers])))</f>
        <v/>
      </c>
      <c r="D245" s="49" t="str">
        <f>IF(tblConteo[[#This Row],[SKU]]="","",INDEX(tblProductos[Categoría],ROW()-ROW(tblConteo[#Headers]))&amp;"")</f>
        <v/>
      </c>
      <c r="E245" s="42" t="str">
        <f>IF(tblConteo[[#This Row],[SKU]]="","",INDEX(tblProductos[Ubicación],ROW()-ROW(tblConteo[#Headers]))&amp;"")</f>
        <v/>
      </c>
      <c r="F245" s="42" t="str">
        <f>IF(tblConteo[[#This Row],[SKU]]="","",INDEX(tblProductos[Unidad],ROW()-ROW(tblConteo[#Headers]))&amp;"")</f>
        <v/>
      </c>
      <c r="G245" s="42" t="str">
        <f>IF(tblConteo[[#This Row],[SKU]]="","",IF(INDEX(tblProductos[Activo],ROW()-ROW(tblConteo[#Headers]))="NO","NO","SI"))</f>
        <v/>
      </c>
      <c r="H245" s="53" t="str">
        <f>IF(tblConteo[[#This Row],[SKU]]="","",IFERROR(N(INDEX(tblStock[StockActual],MATCH(tblConteo[[#This Row],[SKU]],tblStock[SKU],0))),0))</f>
        <v/>
      </c>
      <c r="I245" s="52"/>
      <c r="J245" s="59" t="str">
        <f>IF(OR(tblConteo[[#This Row],[SKU]]="",tblConteo[[#This Row],[Conteo]]=""),"",IF(ISNUMBER(tblConteo[[#This Row],[Conteo]]),tblConteo[[#This Row],[Conteo]]-N(tblConteo[[#This Row],[Sistema]]),""))</f>
        <v/>
      </c>
      <c r="K245" s="62" t="str">
        <f>IF(tblConteo[[#This Row],[Diferencia]]="","",tblConteo[[#This Row],[Diferencia]]*N(INDEX(tblProductos[CostoUnitario],ROW()-ROW(tblConteo[#Headers]))))</f>
        <v/>
      </c>
      <c r="L24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6" spans="2:13" x14ac:dyDescent="0.25">
      <c r="B246" s="42" t="str">
        <f>IF(INDEX(tblProductos[SKU],ROW()-ROW(tblConteo[#Headers]))="","",INDEX(tblProductos[SKU],ROW()-ROW(tblConteo[#Headers])))</f>
        <v/>
      </c>
      <c r="C246" s="49" t="str">
        <f>IF(tblConteo[[#This Row],[SKU]]="","",INDEX(tblProductos[Producto],ROW()-ROW(tblConteo[#Headers])))</f>
        <v/>
      </c>
      <c r="D246" s="49" t="str">
        <f>IF(tblConteo[[#This Row],[SKU]]="","",INDEX(tblProductos[Categoría],ROW()-ROW(tblConteo[#Headers]))&amp;"")</f>
        <v/>
      </c>
      <c r="E246" s="42" t="str">
        <f>IF(tblConteo[[#This Row],[SKU]]="","",INDEX(tblProductos[Ubicación],ROW()-ROW(tblConteo[#Headers]))&amp;"")</f>
        <v/>
      </c>
      <c r="F246" s="42" t="str">
        <f>IF(tblConteo[[#This Row],[SKU]]="","",INDEX(tblProductos[Unidad],ROW()-ROW(tblConteo[#Headers]))&amp;"")</f>
        <v/>
      </c>
      <c r="G246" s="42" t="str">
        <f>IF(tblConteo[[#This Row],[SKU]]="","",IF(INDEX(tblProductos[Activo],ROW()-ROW(tblConteo[#Headers]))="NO","NO","SI"))</f>
        <v/>
      </c>
      <c r="H246" s="53" t="str">
        <f>IF(tblConteo[[#This Row],[SKU]]="","",IFERROR(N(INDEX(tblStock[StockActual],MATCH(tblConteo[[#This Row],[SKU]],tblStock[SKU],0))),0))</f>
        <v/>
      </c>
      <c r="I246" s="52"/>
      <c r="J246" s="59" t="str">
        <f>IF(OR(tblConteo[[#This Row],[SKU]]="",tblConteo[[#This Row],[Conteo]]=""),"",IF(ISNUMBER(tblConteo[[#This Row],[Conteo]]),tblConteo[[#This Row],[Conteo]]-N(tblConteo[[#This Row],[Sistema]]),""))</f>
        <v/>
      </c>
      <c r="K246" s="62" t="str">
        <f>IF(tblConteo[[#This Row],[Diferencia]]="","",tblConteo[[#This Row],[Diferencia]]*N(INDEX(tblProductos[CostoUnitario],ROW()-ROW(tblConteo[#Headers]))))</f>
        <v/>
      </c>
      <c r="L24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7" spans="2:13" x14ac:dyDescent="0.25">
      <c r="B247" s="42" t="str">
        <f>IF(INDEX(tblProductos[SKU],ROW()-ROW(tblConteo[#Headers]))="","",INDEX(tblProductos[SKU],ROW()-ROW(tblConteo[#Headers])))</f>
        <v/>
      </c>
      <c r="C247" s="49" t="str">
        <f>IF(tblConteo[[#This Row],[SKU]]="","",INDEX(tblProductos[Producto],ROW()-ROW(tblConteo[#Headers])))</f>
        <v/>
      </c>
      <c r="D247" s="49" t="str">
        <f>IF(tblConteo[[#This Row],[SKU]]="","",INDEX(tblProductos[Categoría],ROW()-ROW(tblConteo[#Headers]))&amp;"")</f>
        <v/>
      </c>
      <c r="E247" s="42" t="str">
        <f>IF(tblConteo[[#This Row],[SKU]]="","",INDEX(tblProductos[Ubicación],ROW()-ROW(tblConteo[#Headers]))&amp;"")</f>
        <v/>
      </c>
      <c r="F247" s="42" t="str">
        <f>IF(tblConteo[[#This Row],[SKU]]="","",INDEX(tblProductos[Unidad],ROW()-ROW(tblConteo[#Headers]))&amp;"")</f>
        <v/>
      </c>
      <c r="G247" s="42" t="str">
        <f>IF(tblConteo[[#This Row],[SKU]]="","",IF(INDEX(tblProductos[Activo],ROW()-ROW(tblConteo[#Headers]))="NO","NO","SI"))</f>
        <v/>
      </c>
      <c r="H247" s="53" t="str">
        <f>IF(tblConteo[[#This Row],[SKU]]="","",IFERROR(N(INDEX(tblStock[StockActual],MATCH(tblConteo[[#This Row],[SKU]],tblStock[SKU],0))),0))</f>
        <v/>
      </c>
      <c r="I247" s="52"/>
      <c r="J247" s="59" t="str">
        <f>IF(OR(tblConteo[[#This Row],[SKU]]="",tblConteo[[#This Row],[Conteo]]=""),"",IF(ISNUMBER(tblConteo[[#This Row],[Conteo]]),tblConteo[[#This Row],[Conteo]]-N(tblConteo[[#This Row],[Sistema]]),""))</f>
        <v/>
      </c>
      <c r="K247" s="62" t="str">
        <f>IF(tblConteo[[#This Row],[Diferencia]]="","",tblConteo[[#This Row],[Diferencia]]*N(INDEX(tblProductos[CostoUnitario],ROW()-ROW(tblConteo[#Headers]))))</f>
        <v/>
      </c>
      <c r="L24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8" spans="2:13" x14ac:dyDescent="0.25">
      <c r="B248" s="42" t="str">
        <f>IF(INDEX(tblProductos[SKU],ROW()-ROW(tblConteo[#Headers]))="","",INDEX(tblProductos[SKU],ROW()-ROW(tblConteo[#Headers])))</f>
        <v/>
      </c>
      <c r="C248" s="49" t="str">
        <f>IF(tblConteo[[#This Row],[SKU]]="","",INDEX(tblProductos[Producto],ROW()-ROW(tblConteo[#Headers])))</f>
        <v/>
      </c>
      <c r="D248" s="49" t="str">
        <f>IF(tblConteo[[#This Row],[SKU]]="","",INDEX(tblProductos[Categoría],ROW()-ROW(tblConteo[#Headers]))&amp;"")</f>
        <v/>
      </c>
      <c r="E248" s="42" t="str">
        <f>IF(tblConteo[[#This Row],[SKU]]="","",INDEX(tblProductos[Ubicación],ROW()-ROW(tblConteo[#Headers]))&amp;"")</f>
        <v/>
      </c>
      <c r="F248" s="42" t="str">
        <f>IF(tblConteo[[#This Row],[SKU]]="","",INDEX(tblProductos[Unidad],ROW()-ROW(tblConteo[#Headers]))&amp;"")</f>
        <v/>
      </c>
      <c r="G248" s="42" t="str">
        <f>IF(tblConteo[[#This Row],[SKU]]="","",IF(INDEX(tblProductos[Activo],ROW()-ROW(tblConteo[#Headers]))="NO","NO","SI"))</f>
        <v/>
      </c>
      <c r="H248" s="53" t="str">
        <f>IF(tblConteo[[#This Row],[SKU]]="","",IFERROR(N(INDEX(tblStock[StockActual],MATCH(tblConteo[[#This Row],[SKU]],tblStock[SKU],0))),0))</f>
        <v/>
      </c>
      <c r="I248" s="52"/>
      <c r="J248" s="59" t="str">
        <f>IF(OR(tblConteo[[#This Row],[SKU]]="",tblConteo[[#This Row],[Conteo]]=""),"",IF(ISNUMBER(tblConteo[[#This Row],[Conteo]]),tblConteo[[#This Row],[Conteo]]-N(tblConteo[[#This Row],[Sistema]]),""))</f>
        <v/>
      </c>
      <c r="K248" s="62" t="str">
        <f>IF(tblConteo[[#This Row],[Diferencia]]="","",tblConteo[[#This Row],[Diferencia]]*N(INDEX(tblProductos[CostoUnitario],ROW()-ROW(tblConteo[#Headers]))))</f>
        <v/>
      </c>
      <c r="L24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9" spans="2:13" x14ac:dyDescent="0.25">
      <c r="B249" s="42" t="str">
        <f>IF(INDEX(tblProductos[SKU],ROW()-ROW(tblConteo[#Headers]))="","",INDEX(tblProductos[SKU],ROW()-ROW(tblConteo[#Headers])))</f>
        <v/>
      </c>
      <c r="C249" s="49" t="str">
        <f>IF(tblConteo[[#This Row],[SKU]]="","",INDEX(tblProductos[Producto],ROW()-ROW(tblConteo[#Headers])))</f>
        <v/>
      </c>
      <c r="D249" s="49" t="str">
        <f>IF(tblConteo[[#This Row],[SKU]]="","",INDEX(tblProductos[Categoría],ROW()-ROW(tblConteo[#Headers]))&amp;"")</f>
        <v/>
      </c>
      <c r="E249" s="42" t="str">
        <f>IF(tblConteo[[#This Row],[SKU]]="","",INDEX(tblProductos[Ubicación],ROW()-ROW(tblConteo[#Headers]))&amp;"")</f>
        <v/>
      </c>
      <c r="F249" s="42" t="str">
        <f>IF(tblConteo[[#This Row],[SKU]]="","",INDEX(tblProductos[Unidad],ROW()-ROW(tblConteo[#Headers]))&amp;"")</f>
        <v/>
      </c>
      <c r="G249" s="42" t="str">
        <f>IF(tblConteo[[#This Row],[SKU]]="","",IF(INDEX(tblProductos[Activo],ROW()-ROW(tblConteo[#Headers]))="NO","NO","SI"))</f>
        <v/>
      </c>
      <c r="H249" s="53" t="str">
        <f>IF(tblConteo[[#This Row],[SKU]]="","",IFERROR(N(INDEX(tblStock[StockActual],MATCH(tblConteo[[#This Row],[SKU]],tblStock[SKU],0))),0))</f>
        <v/>
      </c>
      <c r="I249" s="52"/>
      <c r="J249" s="59" t="str">
        <f>IF(OR(tblConteo[[#This Row],[SKU]]="",tblConteo[[#This Row],[Conteo]]=""),"",IF(ISNUMBER(tblConteo[[#This Row],[Conteo]]),tblConteo[[#This Row],[Conteo]]-N(tblConteo[[#This Row],[Sistema]]),""))</f>
        <v/>
      </c>
      <c r="K249" s="62" t="str">
        <f>IF(tblConteo[[#This Row],[Diferencia]]="","",tblConteo[[#This Row],[Diferencia]]*N(INDEX(tblProductos[CostoUnitario],ROW()-ROW(tblConteo[#Headers]))))</f>
        <v/>
      </c>
      <c r="L24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0" spans="2:13" x14ac:dyDescent="0.25">
      <c r="B250" s="42" t="str">
        <f>IF(INDEX(tblProductos[SKU],ROW()-ROW(tblConteo[#Headers]))="","",INDEX(tblProductos[SKU],ROW()-ROW(tblConteo[#Headers])))</f>
        <v/>
      </c>
      <c r="C250" s="49" t="str">
        <f>IF(tblConteo[[#This Row],[SKU]]="","",INDEX(tblProductos[Producto],ROW()-ROW(tblConteo[#Headers])))</f>
        <v/>
      </c>
      <c r="D250" s="49" t="str">
        <f>IF(tblConteo[[#This Row],[SKU]]="","",INDEX(tblProductos[Categoría],ROW()-ROW(tblConteo[#Headers]))&amp;"")</f>
        <v/>
      </c>
      <c r="E250" s="42" t="str">
        <f>IF(tblConteo[[#This Row],[SKU]]="","",INDEX(tblProductos[Ubicación],ROW()-ROW(tblConteo[#Headers]))&amp;"")</f>
        <v/>
      </c>
      <c r="F250" s="42" t="str">
        <f>IF(tblConteo[[#This Row],[SKU]]="","",INDEX(tblProductos[Unidad],ROW()-ROW(tblConteo[#Headers]))&amp;"")</f>
        <v/>
      </c>
      <c r="G250" s="42" t="str">
        <f>IF(tblConteo[[#This Row],[SKU]]="","",IF(INDEX(tblProductos[Activo],ROW()-ROW(tblConteo[#Headers]))="NO","NO","SI"))</f>
        <v/>
      </c>
      <c r="H250" s="53" t="str">
        <f>IF(tblConteo[[#This Row],[SKU]]="","",IFERROR(N(INDEX(tblStock[StockActual],MATCH(tblConteo[[#This Row],[SKU]],tblStock[SKU],0))),0))</f>
        <v/>
      </c>
      <c r="I250" s="52"/>
      <c r="J250" s="59" t="str">
        <f>IF(OR(tblConteo[[#This Row],[SKU]]="",tblConteo[[#This Row],[Conteo]]=""),"",IF(ISNUMBER(tblConteo[[#This Row],[Conteo]]),tblConteo[[#This Row],[Conteo]]-N(tblConteo[[#This Row],[Sistema]]),""))</f>
        <v/>
      </c>
      <c r="K250" s="62" t="str">
        <f>IF(tblConteo[[#This Row],[Diferencia]]="","",tblConteo[[#This Row],[Diferencia]]*N(INDEX(tblProductos[CostoUnitario],ROW()-ROW(tblConteo[#Headers]))))</f>
        <v/>
      </c>
      <c r="L25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1" spans="2:13" x14ac:dyDescent="0.25">
      <c r="B251" s="42" t="str">
        <f>IF(INDEX(tblProductos[SKU],ROW()-ROW(tblConteo[#Headers]))="","",INDEX(tblProductos[SKU],ROW()-ROW(tblConteo[#Headers])))</f>
        <v/>
      </c>
      <c r="C251" s="49" t="str">
        <f>IF(tblConteo[[#This Row],[SKU]]="","",INDEX(tblProductos[Producto],ROW()-ROW(tblConteo[#Headers])))</f>
        <v/>
      </c>
      <c r="D251" s="49" t="str">
        <f>IF(tblConteo[[#This Row],[SKU]]="","",INDEX(tblProductos[Categoría],ROW()-ROW(tblConteo[#Headers]))&amp;"")</f>
        <v/>
      </c>
      <c r="E251" s="42" t="str">
        <f>IF(tblConteo[[#This Row],[SKU]]="","",INDEX(tblProductos[Ubicación],ROW()-ROW(tblConteo[#Headers]))&amp;"")</f>
        <v/>
      </c>
      <c r="F251" s="42" t="str">
        <f>IF(tblConteo[[#This Row],[SKU]]="","",INDEX(tblProductos[Unidad],ROW()-ROW(tblConteo[#Headers]))&amp;"")</f>
        <v/>
      </c>
      <c r="G251" s="42" t="str">
        <f>IF(tblConteo[[#This Row],[SKU]]="","",IF(INDEX(tblProductos[Activo],ROW()-ROW(tblConteo[#Headers]))="NO","NO","SI"))</f>
        <v/>
      </c>
      <c r="H251" s="53" t="str">
        <f>IF(tblConteo[[#This Row],[SKU]]="","",IFERROR(N(INDEX(tblStock[StockActual],MATCH(tblConteo[[#This Row],[SKU]],tblStock[SKU],0))),0))</f>
        <v/>
      </c>
      <c r="I251" s="52"/>
      <c r="J251" s="59" t="str">
        <f>IF(OR(tblConteo[[#This Row],[SKU]]="",tblConteo[[#This Row],[Conteo]]=""),"",IF(ISNUMBER(tblConteo[[#This Row],[Conteo]]),tblConteo[[#This Row],[Conteo]]-N(tblConteo[[#This Row],[Sistema]]),""))</f>
        <v/>
      </c>
      <c r="K251" s="62" t="str">
        <f>IF(tblConteo[[#This Row],[Diferencia]]="","",tblConteo[[#This Row],[Diferencia]]*N(INDEX(tblProductos[CostoUnitario],ROW()-ROW(tblConteo[#Headers]))))</f>
        <v/>
      </c>
      <c r="L25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2" spans="2:13" x14ac:dyDescent="0.25">
      <c r="B252" s="42" t="str">
        <f>IF(INDEX(tblProductos[SKU],ROW()-ROW(tblConteo[#Headers]))="","",INDEX(tblProductos[SKU],ROW()-ROW(tblConteo[#Headers])))</f>
        <v/>
      </c>
      <c r="C252" s="49" t="str">
        <f>IF(tblConteo[[#This Row],[SKU]]="","",INDEX(tblProductos[Producto],ROW()-ROW(tblConteo[#Headers])))</f>
        <v/>
      </c>
      <c r="D252" s="49" t="str">
        <f>IF(tblConteo[[#This Row],[SKU]]="","",INDEX(tblProductos[Categoría],ROW()-ROW(tblConteo[#Headers]))&amp;"")</f>
        <v/>
      </c>
      <c r="E252" s="42" t="str">
        <f>IF(tblConteo[[#This Row],[SKU]]="","",INDEX(tblProductos[Ubicación],ROW()-ROW(tblConteo[#Headers]))&amp;"")</f>
        <v/>
      </c>
      <c r="F252" s="42" t="str">
        <f>IF(tblConteo[[#This Row],[SKU]]="","",INDEX(tblProductos[Unidad],ROW()-ROW(tblConteo[#Headers]))&amp;"")</f>
        <v/>
      </c>
      <c r="G252" s="42" t="str">
        <f>IF(tblConteo[[#This Row],[SKU]]="","",IF(INDEX(tblProductos[Activo],ROW()-ROW(tblConteo[#Headers]))="NO","NO","SI"))</f>
        <v/>
      </c>
      <c r="H252" s="53" t="str">
        <f>IF(tblConteo[[#This Row],[SKU]]="","",IFERROR(N(INDEX(tblStock[StockActual],MATCH(tblConteo[[#This Row],[SKU]],tblStock[SKU],0))),0))</f>
        <v/>
      </c>
      <c r="I252" s="52"/>
      <c r="J252" s="59" t="str">
        <f>IF(OR(tblConteo[[#This Row],[SKU]]="",tblConteo[[#This Row],[Conteo]]=""),"",IF(ISNUMBER(tblConteo[[#This Row],[Conteo]]),tblConteo[[#This Row],[Conteo]]-N(tblConteo[[#This Row],[Sistema]]),""))</f>
        <v/>
      </c>
      <c r="K252" s="62" t="str">
        <f>IF(tblConteo[[#This Row],[Diferencia]]="","",tblConteo[[#This Row],[Diferencia]]*N(INDEX(tblProductos[CostoUnitario],ROW()-ROW(tblConteo[#Headers]))))</f>
        <v/>
      </c>
      <c r="L25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3" spans="2:13" x14ac:dyDescent="0.25">
      <c r="B253" s="42" t="str">
        <f>IF(INDEX(tblProductos[SKU],ROW()-ROW(tblConteo[#Headers]))="","",INDEX(tblProductos[SKU],ROW()-ROW(tblConteo[#Headers])))</f>
        <v/>
      </c>
      <c r="C253" s="49" t="str">
        <f>IF(tblConteo[[#This Row],[SKU]]="","",INDEX(tblProductos[Producto],ROW()-ROW(tblConteo[#Headers])))</f>
        <v/>
      </c>
      <c r="D253" s="49" t="str">
        <f>IF(tblConteo[[#This Row],[SKU]]="","",INDEX(tblProductos[Categoría],ROW()-ROW(tblConteo[#Headers]))&amp;"")</f>
        <v/>
      </c>
      <c r="E253" s="42" t="str">
        <f>IF(tblConteo[[#This Row],[SKU]]="","",INDEX(tblProductos[Ubicación],ROW()-ROW(tblConteo[#Headers]))&amp;"")</f>
        <v/>
      </c>
      <c r="F253" s="42" t="str">
        <f>IF(tblConteo[[#This Row],[SKU]]="","",INDEX(tblProductos[Unidad],ROW()-ROW(tblConteo[#Headers]))&amp;"")</f>
        <v/>
      </c>
      <c r="G253" s="42" t="str">
        <f>IF(tblConteo[[#This Row],[SKU]]="","",IF(INDEX(tblProductos[Activo],ROW()-ROW(tblConteo[#Headers]))="NO","NO","SI"))</f>
        <v/>
      </c>
      <c r="H253" s="53" t="str">
        <f>IF(tblConteo[[#This Row],[SKU]]="","",IFERROR(N(INDEX(tblStock[StockActual],MATCH(tblConteo[[#This Row],[SKU]],tblStock[SKU],0))),0))</f>
        <v/>
      </c>
      <c r="I253" s="52"/>
      <c r="J253" s="59" t="str">
        <f>IF(OR(tblConteo[[#This Row],[SKU]]="",tblConteo[[#This Row],[Conteo]]=""),"",IF(ISNUMBER(tblConteo[[#This Row],[Conteo]]),tblConteo[[#This Row],[Conteo]]-N(tblConteo[[#This Row],[Sistema]]),""))</f>
        <v/>
      </c>
      <c r="K253" s="62" t="str">
        <f>IF(tblConteo[[#This Row],[Diferencia]]="","",tblConteo[[#This Row],[Diferencia]]*N(INDEX(tblProductos[CostoUnitario],ROW()-ROW(tblConteo[#Headers]))))</f>
        <v/>
      </c>
      <c r="L25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4" spans="2:13" x14ac:dyDescent="0.25">
      <c r="B254" s="42" t="str">
        <f>IF(INDEX(tblProductos[SKU],ROW()-ROW(tblConteo[#Headers]))="","",INDEX(tblProductos[SKU],ROW()-ROW(tblConteo[#Headers])))</f>
        <v/>
      </c>
      <c r="C254" s="49" t="str">
        <f>IF(tblConteo[[#This Row],[SKU]]="","",INDEX(tblProductos[Producto],ROW()-ROW(tblConteo[#Headers])))</f>
        <v/>
      </c>
      <c r="D254" s="49" t="str">
        <f>IF(tblConteo[[#This Row],[SKU]]="","",INDEX(tblProductos[Categoría],ROW()-ROW(tblConteo[#Headers]))&amp;"")</f>
        <v/>
      </c>
      <c r="E254" s="42" t="str">
        <f>IF(tblConteo[[#This Row],[SKU]]="","",INDEX(tblProductos[Ubicación],ROW()-ROW(tblConteo[#Headers]))&amp;"")</f>
        <v/>
      </c>
      <c r="F254" s="42" t="str">
        <f>IF(tblConteo[[#This Row],[SKU]]="","",INDEX(tblProductos[Unidad],ROW()-ROW(tblConteo[#Headers]))&amp;"")</f>
        <v/>
      </c>
      <c r="G254" s="42" t="str">
        <f>IF(tblConteo[[#This Row],[SKU]]="","",IF(INDEX(tblProductos[Activo],ROW()-ROW(tblConteo[#Headers]))="NO","NO","SI"))</f>
        <v/>
      </c>
      <c r="H254" s="53" t="str">
        <f>IF(tblConteo[[#This Row],[SKU]]="","",IFERROR(N(INDEX(tblStock[StockActual],MATCH(tblConteo[[#This Row],[SKU]],tblStock[SKU],0))),0))</f>
        <v/>
      </c>
      <c r="I254" s="52"/>
      <c r="J254" s="59" t="str">
        <f>IF(OR(tblConteo[[#This Row],[SKU]]="",tblConteo[[#This Row],[Conteo]]=""),"",IF(ISNUMBER(tblConteo[[#This Row],[Conteo]]),tblConteo[[#This Row],[Conteo]]-N(tblConteo[[#This Row],[Sistema]]),""))</f>
        <v/>
      </c>
      <c r="K254" s="62" t="str">
        <f>IF(tblConteo[[#This Row],[Diferencia]]="","",tblConteo[[#This Row],[Diferencia]]*N(INDEX(tblProductos[CostoUnitario],ROW()-ROW(tblConteo[#Headers]))))</f>
        <v/>
      </c>
      <c r="L25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5" spans="2:13" x14ac:dyDescent="0.25">
      <c r="B255" s="42" t="str">
        <f>IF(INDEX(tblProductos[SKU],ROW()-ROW(tblConteo[#Headers]))="","",INDEX(tblProductos[SKU],ROW()-ROW(tblConteo[#Headers])))</f>
        <v/>
      </c>
      <c r="C255" s="49" t="str">
        <f>IF(tblConteo[[#This Row],[SKU]]="","",INDEX(tblProductos[Producto],ROW()-ROW(tblConteo[#Headers])))</f>
        <v/>
      </c>
      <c r="D255" s="49" t="str">
        <f>IF(tblConteo[[#This Row],[SKU]]="","",INDEX(tblProductos[Categoría],ROW()-ROW(tblConteo[#Headers]))&amp;"")</f>
        <v/>
      </c>
      <c r="E255" s="42" t="str">
        <f>IF(tblConteo[[#This Row],[SKU]]="","",INDEX(tblProductos[Ubicación],ROW()-ROW(tblConteo[#Headers]))&amp;"")</f>
        <v/>
      </c>
      <c r="F255" s="42" t="str">
        <f>IF(tblConteo[[#This Row],[SKU]]="","",INDEX(tblProductos[Unidad],ROW()-ROW(tblConteo[#Headers]))&amp;"")</f>
        <v/>
      </c>
      <c r="G255" s="42" t="str">
        <f>IF(tblConteo[[#This Row],[SKU]]="","",IF(INDEX(tblProductos[Activo],ROW()-ROW(tblConteo[#Headers]))="NO","NO","SI"))</f>
        <v/>
      </c>
      <c r="H255" s="53" t="str">
        <f>IF(tblConteo[[#This Row],[SKU]]="","",IFERROR(N(INDEX(tblStock[StockActual],MATCH(tblConteo[[#This Row],[SKU]],tblStock[SKU],0))),0))</f>
        <v/>
      </c>
      <c r="I255" s="52"/>
      <c r="J255" s="59" t="str">
        <f>IF(OR(tblConteo[[#This Row],[SKU]]="",tblConteo[[#This Row],[Conteo]]=""),"",IF(ISNUMBER(tblConteo[[#This Row],[Conteo]]),tblConteo[[#This Row],[Conteo]]-N(tblConteo[[#This Row],[Sistema]]),""))</f>
        <v/>
      </c>
      <c r="K255" s="62" t="str">
        <f>IF(tblConteo[[#This Row],[Diferencia]]="","",tblConteo[[#This Row],[Diferencia]]*N(INDEX(tblProductos[CostoUnitario],ROW()-ROW(tblConteo[#Headers]))))</f>
        <v/>
      </c>
      <c r="L25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6" spans="2:13" x14ac:dyDescent="0.25">
      <c r="B256" s="42" t="str">
        <f>IF(INDEX(tblProductos[SKU],ROW()-ROW(tblConteo[#Headers]))="","",INDEX(tblProductos[SKU],ROW()-ROW(tblConteo[#Headers])))</f>
        <v/>
      </c>
      <c r="C256" s="49" t="str">
        <f>IF(tblConteo[[#This Row],[SKU]]="","",INDEX(tblProductos[Producto],ROW()-ROW(tblConteo[#Headers])))</f>
        <v/>
      </c>
      <c r="D256" s="49" t="str">
        <f>IF(tblConteo[[#This Row],[SKU]]="","",INDEX(tblProductos[Categoría],ROW()-ROW(tblConteo[#Headers]))&amp;"")</f>
        <v/>
      </c>
      <c r="E256" s="42" t="str">
        <f>IF(tblConteo[[#This Row],[SKU]]="","",INDEX(tblProductos[Ubicación],ROW()-ROW(tblConteo[#Headers]))&amp;"")</f>
        <v/>
      </c>
      <c r="F256" s="42" t="str">
        <f>IF(tblConteo[[#This Row],[SKU]]="","",INDEX(tblProductos[Unidad],ROW()-ROW(tblConteo[#Headers]))&amp;"")</f>
        <v/>
      </c>
      <c r="G256" s="42" t="str">
        <f>IF(tblConteo[[#This Row],[SKU]]="","",IF(INDEX(tblProductos[Activo],ROW()-ROW(tblConteo[#Headers]))="NO","NO","SI"))</f>
        <v/>
      </c>
      <c r="H256" s="53" t="str">
        <f>IF(tblConteo[[#This Row],[SKU]]="","",IFERROR(N(INDEX(tblStock[StockActual],MATCH(tblConteo[[#This Row],[SKU]],tblStock[SKU],0))),0))</f>
        <v/>
      </c>
      <c r="I256" s="52"/>
      <c r="J256" s="59" t="str">
        <f>IF(OR(tblConteo[[#This Row],[SKU]]="",tblConteo[[#This Row],[Conteo]]=""),"",IF(ISNUMBER(tblConteo[[#This Row],[Conteo]]),tblConteo[[#This Row],[Conteo]]-N(tblConteo[[#This Row],[Sistema]]),""))</f>
        <v/>
      </c>
      <c r="K256" s="62" t="str">
        <f>IF(tblConteo[[#This Row],[Diferencia]]="","",tblConteo[[#This Row],[Diferencia]]*N(INDEX(tblProductos[CostoUnitario],ROW()-ROW(tblConteo[#Headers]))))</f>
        <v/>
      </c>
      <c r="L25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7" spans="2:13" x14ac:dyDescent="0.25">
      <c r="B257" s="42" t="str">
        <f>IF(INDEX(tblProductos[SKU],ROW()-ROW(tblConteo[#Headers]))="","",INDEX(tblProductos[SKU],ROW()-ROW(tblConteo[#Headers])))</f>
        <v/>
      </c>
      <c r="C257" s="49" t="str">
        <f>IF(tblConteo[[#This Row],[SKU]]="","",INDEX(tblProductos[Producto],ROW()-ROW(tblConteo[#Headers])))</f>
        <v/>
      </c>
      <c r="D257" s="49" t="str">
        <f>IF(tblConteo[[#This Row],[SKU]]="","",INDEX(tblProductos[Categoría],ROW()-ROW(tblConteo[#Headers]))&amp;"")</f>
        <v/>
      </c>
      <c r="E257" s="42" t="str">
        <f>IF(tblConteo[[#This Row],[SKU]]="","",INDEX(tblProductos[Ubicación],ROW()-ROW(tblConteo[#Headers]))&amp;"")</f>
        <v/>
      </c>
      <c r="F257" s="42" t="str">
        <f>IF(tblConteo[[#This Row],[SKU]]="","",INDEX(tblProductos[Unidad],ROW()-ROW(tblConteo[#Headers]))&amp;"")</f>
        <v/>
      </c>
      <c r="G257" s="42" t="str">
        <f>IF(tblConteo[[#This Row],[SKU]]="","",IF(INDEX(tblProductos[Activo],ROW()-ROW(tblConteo[#Headers]))="NO","NO","SI"))</f>
        <v/>
      </c>
      <c r="H257" s="53" t="str">
        <f>IF(tblConteo[[#This Row],[SKU]]="","",IFERROR(N(INDEX(tblStock[StockActual],MATCH(tblConteo[[#This Row],[SKU]],tblStock[SKU],0))),0))</f>
        <v/>
      </c>
      <c r="I257" s="52"/>
      <c r="J257" s="59" t="str">
        <f>IF(OR(tblConteo[[#This Row],[SKU]]="",tblConteo[[#This Row],[Conteo]]=""),"",IF(ISNUMBER(tblConteo[[#This Row],[Conteo]]),tblConteo[[#This Row],[Conteo]]-N(tblConteo[[#This Row],[Sistema]]),""))</f>
        <v/>
      </c>
      <c r="K257" s="62" t="str">
        <f>IF(tblConteo[[#This Row],[Diferencia]]="","",tblConteo[[#This Row],[Diferencia]]*N(INDEX(tblProductos[CostoUnitario],ROW()-ROW(tblConteo[#Headers]))))</f>
        <v/>
      </c>
      <c r="L25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8" spans="2:13" x14ac:dyDescent="0.25">
      <c r="B258" s="42" t="str">
        <f>IF(INDEX(tblProductos[SKU],ROW()-ROW(tblConteo[#Headers]))="","",INDEX(tblProductos[SKU],ROW()-ROW(tblConteo[#Headers])))</f>
        <v/>
      </c>
      <c r="C258" s="49" t="str">
        <f>IF(tblConteo[[#This Row],[SKU]]="","",INDEX(tblProductos[Producto],ROW()-ROW(tblConteo[#Headers])))</f>
        <v/>
      </c>
      <c r="D258" s="49" t="str">
        <f>IF(tblConteo[[#This Row],[SKU]]="","",INDEX(tblProductos[Categoría],ROW()-ROW(tblConteo[#Headers]))&amp;"")</f>
        <v/>
      </c>
      <c r="E258" s="42" t="str">
        <f>IF(tblConteo[[#This Row],[SKU]]="","",INDEX(tblProductos[Ubicación],ROW()-ROW(tblConteo[#Headers]))&amp;"")</f>
        <v/>
      </c>
      <c r="F258" s="42" t="str">
        <f>IF(tblConteo[[#This Row],[SKU]]="","",INDEX(tblProductos[Unidad],ROW()-ROW(tblConteo[#Headers]))&amp;"")</f>
        <v/>
      </c>
      <c r="G258" s="42" t="str">
        <f>IF(tblConteo[[#This Row],[SKU]]="","",IF(INDEX(tblProductos[Activo],ROW()-ROW(tblConteo[#Headers]))="NO","NO","SI"))</f>
        <v/>
      </c>
      <c r="H258" s="53" t="str">
        <f>IF(tblConteo[[#This Row],[SKU]]="","",IFERROR(N(INDEX(tblStock[StockActual],MATCH(tblConteo[[#This Row],[SKU]],tblStock[SKU],0))),0))</f>
        <v/>
      </c>
      <c r="I258" s="52"/>
      <c r="J258" s="59" t="str">
        <f>IF(OR(tblConteo[[#This Row],[SKU]]="",tblConteo[[#This Row],[Conteo]]=""),"",IF(ISNUMBER(tblConteo[[#This Row],[Conteo]]),tblConteo[[#This Row],[Conteo]]-N(tblConteo[[#This Row],[Sistema]]),""))</f>
        <v/>
      </c>
      <c r="K258" s="62" t="str">
        <f>IF(tblConteo[[#This Row],[Diferencia]]="","",tblConteo[[#This Row],[Diferencia]]*N(INDEX(tblProductos[CostoUnitario],ROW()-ROW(tblConteo[#Headers]))))</f>
        <v/>
      </c>
      <c r="L25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9" spans="2:13" x14ac:dyDescent="0.25">
      <c r="B259" s="42" t="str">
        <f>IF(INDEX(tblProductos[SKU],ROW()-ROW(tblConteo[#Headers]))="","",INDEX(tblProductos[SKU],ROW()-ROW(tblConteo[#Headers])))</f>
        <v/>
      </c>
      <c r="C259" s="49" t="str">
        <f>IF(tblConteo[[#This Row],[SKU]]="","",INDEX(tblProductos[Producto],ROW()-ROW(tblConteo[#Headers])))</f>
        <v/>
      </c>
      <c r="D259" s="49" t="str">
        <f>IF(tblConteo[[#This Row],[SKU]]="","",INDEX(tblProductos[Categoría],ROW()-ROW(tblConteo[#Headers]))&amp;"")</f>
        <v/>
      </c>
      <c r="E259" s="42" t="str">
        <f>IF(tblConteo[[#This Row],[SKU]]="","",INDEX(tblProductos[Ubicación],ROW()-ROW(tblConteo[#Headers]))&amp;"")</f>
        <v/>
      </c>
      <c r="F259" s="42" t="str">
        <f>IF(tblConteo[[#This Row],[SKU]]="","",INDEX(tblProductos[Unidad],ROW()-ROW(tblConteo[#Headers]))&amp;"")</f>
        <v/>
      </c>
      <c r="G259" s="42" t="str">
        <f>IF(tblConteo[[#This Row],[SKU]]="","",IF(INDEX(tblProductos[Activo],ROW()-ROW(tblConteo[#Headers]))="NO","NO","SI"))</f>
        <v/>
      </c>
      <c r="H259" s="53" t="str">
        <f>IF(tblConteo[[#This Row],[SKU]]="","",IFERROR(N(INDEX(tblStock[StockActual],MATCH(tblConteo[[#This Row],[SKU]],tblStock[SKU],0))),0))</f>
        <v/>
      </c>
      <c r="I259" s="52"/>
      <c r="J259" s="59" t="str">
        <f>IF(OR(tblConteo[[#This Row],[SKU]]="",tblConteo[[#This Row],[Conteo]]=""),"",IF(ISNUMBER(tblConteo[[#This Row],[Conteo]]),tblConteo[[#This Row],[Conteo]]-N(tblConteo[[#This Row],[Sistema]]),""))</f>
        <v/>
      </c>
      <c r="K259" s="62" t="str">
        <f>IF(tblConteo[[#This Row],[Diferencia]]="","",tblConteo[[#This Row],[Diferencia]]*N(INDEX(tblProductos[CostoUnitario],ROW()-ROW(tblConteo[#Headers]))))</f>
        <v/>
      </c>
      <c r="L25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0" spans="2:13" x14ac:dyDescent="0.25">
      <c r="B260" s="42" t="str">
        <f>IF(INDEX(tblProductos[SKU],ROW()-ROW(tblConteo[#Headers]))="","",INDEX(tblProductos[SKU],ROW()-ROW(tblConteo[#Headers])))</f>
        <v/>
      </c>
      <c r="C260" s="49" t="str">
        <f>IF(tblConteo[[#This Row],[SKU]]="","",INDEX(tblProductos[Producto],ROW()-ROW(tblConteo[#Headers])))</f>
        <v/>
      </c>
      <c r="D260" s="49" t="str">
        <f>IF(tblConteo[[#This Row],[SKU]]="","",INDEX(tblProductos[Categoría],ROW()-ROW(tblConteo[#Headers]))&amp;"")</f>
        <v/>
      </c>
      <c r="E260" s="42" t="str">
        <f>IF(tblConteo[[#This Row],[SKU]]="","",INDEX(tblProductos[Ubicación],ROW()-ROW(tblConteo[#Headers]))&amp;"")</f>
        <v/>
      </c>
      <c r="F260" s="42" t="str">
        <f>IF(tblConteo[[#This Row],[SKU]]="","",INDEX(tblProductos[Unidad],ROW()-ROW(tblConteo[#Headers]))&amp;"")</f>
        <v/>
      </c>
      <c r="G260" s="42" t="str">
        <f>IF(tblConteo[[#This Row],[SKU]]="","",IF(INDEX(tblProductos[Activo],ROW()-ROW(tblConteo[#Headers]))="NO","NO","SI"))</f>
        <v/>
      </c>
      <c r="H260" s="53" t="str">
        <f>IF(tblConteo[[#This Row],[SKU]]="","",IFERROR(N(INDEX(tblStock[StockActual],MATCH(tblConteo[[#This Row],[SKU]],tblStock[SKU],0))),0))</f>
        <v/>
      </c>
      <c r="I260" s="52"/>
      <c r="J260" s="59" t="str">
        <f>IF(OR(tblConteo[[#This Row],[SKU]]="",tblConteo[[#This Row],[Conteo]]=""),"",IF(ISNUMBER(tblConteo[[#This Row],[Conteo]]),tblConteo[[#This Row],[Conteo]]-N(tblConteo[[#This Row],[Sistema]]),""))</f>
        <v/>
      </c>
      <c r="K260" s="62" t="str">
        <f>IF(tblConteo[[#This Row],[Diferencia]]="","",tblConteo[[#This Row],[Diferencia]]*N(INDEX(tblProductos[CostoUnitario],ROW()-ROW(tblConteo[#Headers]))))</f>
        <v/>
      </c>
      <c r="L26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1" spans="2:13" x14ac:dyDescent="0.25">
      <c r="B261" s="42" t="str">
        <f>IF(INDEX(tblProductos[SKU],ROW()-ROW(tblConteo[#Headers]))="","",INDEX(tblProductos[SKU],ROW()-ROW(tblConteo[#Headers])))</f>
        <v/>
      </c>
      <c r="C261" s="49" t="str">
        <f>IF(tblConteo[[#This Row],[SKU]]="","",INDEX(tblProductos[Producto],ROW()-ROW(tblConteo[#Headers])))</f>
        <v/>
      </c>
      <c r="D261" s="49" t="str">
        <f>IF(tblConteo[[#This Row],[SKU]]="","",INDEX(tblProductos[Categoría],ROW()-ROW(tblConteo[#Headers]))&amp;"")</f>
        <v/>
      </c>
      <c r="E261" s="42" t="str">
        <f>IF(tblConteo[[#This Row],[SKU]]="","",INDEX(tblProductos[Ubicación],ROW()-ROW(tblConteo[#Headers]))&amp;"")</f>
        <v/>
      </c>
      <c r="F261" s="42" t="str">
        <f>IF(tblConteo[[#This Row],[SKU]]="","",INDEX(tblProductos[Unidad],ROW()-ROW(tblConteo[#Headers]))&amp;"")</f>
        <v/>
      </c>
      <c r="G261" s="42" t="str">
        <f>IF(tblConteo[[#This Row],[SKU]]="","",IF(INDEX(tblProductos[Activo],ROW()-ROW(tblConteo[#Headers]))="NO","NO","SI"))</f>
        <v/>
      </c>
      <c r="H261" s="53" t="str">
        <f>IF(tblConteo[[#This Row],[SKU]]="","",IFERROR(N(INDEX(tblStock[StockActual],MATCH(tblConteo[[#This Row],[SKU]],tblStock[SKU],0))),0))</f>
        <v/>
      </c>
      <c r="I261" s="52"/>
      <c r="J261" s="59" t="str">
        <f>IF(OR(tblConteo[[#This Row],[SKU]]="",tblConteo[[#This Row],[Conteo]]=""),"",IF(ISNUMBER(tblConteo[[#This Row],[Conteo]]),tblConteo[[#This Row],[Conteo]]-N(tblConteo[[#This Row],[Sistema]]),""))</f>
        <v/>
      </c>
      <c r="K261" s="62" t="str">
        <f>IF(tblConteo[[#This Row],[Diferencia]]="","",tblConteo[[#This Row],[Diferencia]]*N(INDEX(tblProductos[CostoUnitario],ROW()-ROW(tblConteo[#Headers]))))</f>
        <v/>
      </c>
      <c r="L26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2" spans="2:13" x14ac:dyDescent="0.25">
      <c r="B262" s="42" t="str">
        <f>IF(INDEX(tblProductos[SKU],ROW()-ROW(tblConteo[#Headers]))="","",INDEX(tblProductos[SKU],ROW()-ROW(tblConteo[#Headers])))</f>
        <v/>
      </c>
      <c r="C262" s="49" t="str">
        <f>IF(tblConteo[[#This Row],[SKU]]="","",INDEX(tblProductos[Producto],ROW()-ROW(tblConteo[#Headers])))</f>
        <v/>
      </c>
      <c r="D262" s="49" t="str">
        <f>IF(tblConteo[[#This Row],[SKU]]="","",INDEX(tblProductos[Categoría],ROW()-ROW(tblConteo[#Headers]))&amp;"")</f>
        <v/>
      </c>
      <c r="E262" s="42" t="str">
        <f>IF(tblConteo[[#This Row],[SKU]]="","",INDEX(tblProductos[Ubicación],ROW()-ROW(tblConteo[#Headers]))&amp;"")</f>
        <v/>
      </c>
      <c r="F262" s="42" t="str">
        <f>IF(tblConteo[[#This Row],[SKU]]="","",INDEX(tblProductos[Unidad],ROW()-ROW(tblConteo[#Headers]))&amp;"")</f>
        <v/>
      </c>
      <c r="G262" s="42" t="str">
        <f>IF(tblConteo[[#This Row],[SKU]]="","",IF(INDEX(tblProductos[Activo],ROW()-ROW(tblConteo[#Headers]))="NO","NO","SI"))</f>
        <v/>
      </c>
      <c r="H262" s="53" t="str">
        <f>IF(tblConteo[[#This Row],[SKU]]="","",IFERROR(N(INDEX(tblStock[StockActual],MATCH(tblConteo[[#This Row],[SKU]],tblStock[SKU],0))),0))</f>
        <v/>
      </c>
      <c r="I262" s="52"/>
      <c r="J262" s="59" t="str">
        <f>IF(OR(tblConteo[[#This Row],[SKU]]="",tblConteo[[#This Row],[Conteo]]=""),"",IF(ISNUMBER(tblConteo[[#This Row],[Conteo]]),tblConteo[[#This Row],[Conteo]]-N(tblConteo[[#This Row],[Sistema]]),""))</f>
        <v/>
      </c>
      <c r="K262" s="62" t="str">
        <f>IF(tblConteo[[#This Row],[Diferencia]]="","",tblConteo[[#This Row],[Diferencia]]*N(INDEX(tblProductos[CostoUnitario],ROW()-ROW(tblConteo[#Headers]))))</f>
        <v/>
      </c>
      <c r="L26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3" spans="2:13" x14ac:dyDescent="0.25">
      <c r="B263" s="42" t="str">
        <f>IF(INDEX(tblProductos[SKU],ROW()-ROW(tblConteo[#Headers]))="","",INDEX(tblProductos[SKU],ROW()-ROW(tblConteo[#Headers])))</f>
        <v/>
      </c>
      <c r="C263" s="49" t="str">
        <f>IF(tblConteo[[#This Row],[SKU]]="","",INDEX(tblProductos[Producto],ROW()-ROW(tblConteo[#Headers])))</f>
        <v/>
      </c>
      <c r="D263" s="49" t="str">
        <f>IF(tblConteo[[#This Row],[SKU]]="","",INDEX(tblProductos[Categoría],ROW()-ROW(tblConteo[#Headers]))&amp;"")</f>
        <v/>
      </c>
      <c r="E263" s="42" t="str">
        <f>IF(tblConteo[[#This Row],[SKU]]="","",INDEX(tblProductos[Ubicación],ROW()-ROW(tblConteo[#Headers]))&amp;"")</f>
        <v/>
      </c>
      <c r="F263" s="42" t="str">
        <f>IF(tblConteo[[#This Row],[SKU]]="","",INDEX(tblProductos[Unidad],ROW()-ROW(tblConteo[#Headers]))&amp;"")</f>
        <v/>
      </c>
      <c r="G263" s="42" t="str">
        <f>IF(tblConteo[[#This Row],[SKU]]="","",IF(INDEX(tblProductos[Activo],ROW()-ROW(tblConteo[#Headers]))="NO","NO","SI"))</f>
        <v/>
      </c>
      <c r="H263" s="53" t="str">
        <f>IF(tblConteo[[#This Row],[SKU]]="","",IFERROR(N(INDEX(tblStock[StockActual],MATCH(tblConteo[[#This Row],[SKU]],tblStock[SKU],0))),0))</f>
        <v/>
      </c>
      <c r="I263" s="52"/>
      <c r="J263" s="59" t="str">
        <f>IF(OR(tblConteo[[#This Row],[SKU]]="",tblConteo[[#This Row],[Conteo]]=""),"",IF(ISNUMBER(tblConteo[[#This Row],[Conteo]]),tblConteo[[#This Row],[Conteo]]-N(tblConteo[[#This Row],[Sistema]]),""))</f>
        <v/>
      </c>
      <c r="K263" s="62" t="str">
        <f>IF(tblConteo[[#This Row],[Diferencia]]="","",tblConteo[[#This Row],[Diferencia]]*N(INDEX(tblProductos[CostoUnitario],ROW()-ROW(tblConteo[#Headers]))))</f>
        <v/>
      </c>
      <c r="L26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4" spans="2:13" x14ac:dyDescent="0.25">
      <c r="B264" s="42" t="str">
        <f>IF(INDEX(tblProductos[SKU],ROW()-ROW(tblConteo[#Headers]))="","",INDEX(tblProductos[SKU],ROW()-ROW(tblConteo[#Headers])))</f>
        <v/>
      </c>
      <c r="C264" s="49" t="str">
        <f>IF(tblConteo[[#This Row],[SKU]]="","",INDEX(tblProductos[Producto],ROW()-ROW(tblConteo[#Headers])))</f>
        <v/>
      </c>
      <c r="D264" s="49" t="str">
        <f>IF(tblConteo[[#This Row],[SKU]]="","",INDEX(tblProductos[Categoría],ROW()-ROW(tblConteo[#Headers]))&amp;"")</f>
        <v/>
      </c>
      <c r="E264" s="42" t="str">
        <f>IF(tblConteo[[#This Row],[SKU]]="","",INDEX(tblProductos[Ubicación],ROW()-ROW(tblConteo[#Headers]))&amp;"")</f>
        <v/>
      </c>
      <c r="F264" s="42" t="str">
        <f>IF(tblConteo[[#This Row],[SKU]]="","",INDEX(tblProductos[Unidad],ROW()-ROW(tblConteo[#Headers]))&amp;"")</f>
        <v/>
      </c>
      <c r="G264" s="42" t="str">
        <f>IF(tblConteo[[#This Row],[SKU]]="","",IF(INDEX(tblProductos[Activo],ROW()-ROW(tblConteo[#Headers]))="NO","NO","SI"))</f>
        <v/>
      </c>
      <c r="H264" s="53" t="str">
        <f>IF(tblConteo[[#This Row],[SKU]]="","",IFERROR(N(INDEX(tblStock[StockActual],MATCH(tblConteo[[#This Row],[SKU]],tblStock[SKU],0))),0))</f>
        <v/>
      </c>
      <c r="I264" s="52"/>
      <c r="J264" s="59" t="str">
        <f>IF(OR(tblConteo[[#This Row],[SKU]]="",tblConteo[[#This Row],[Conteo]]=""),"",IF(ISNUMBER(tblConteo[[#This Row],[Conteo]]),tblConteo[[#This Row],[Conteo]]-N(tblConteo[[#This Row],[Sistema]]),""))</f>
        <v/>
      </c>
      <c r="K264" s="62" t="str">
        <f>IF(tblConteo[[#This Row],[Diferencia]]="","",tblConteo[[#This Row],[Diferencia]]*N(INDEX(tblProductos[CostoUnitario],ROW()-ROW(tblConteo[#Headers]))))</f>
        <v/>
      </c>
      <c r="L26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5" spans="2:13" x14ac:dyDescent="0.25">
      <c r="B265" s="42" t="str">
        <f>IF(INDEX(tblProductos[SKU],ROW()-ROW(tblConteo[#Headers]))="","",INDEX(tblProductos[SKU],ROW()-ROW(tblConteo[#Headers])))</f>
        <v/>
      </c>
      <c r="C265" s="49" t="str">
        <f>IF(tblConteo[[#This Row],[SKU]]="","",INDEX(tblProductos[Producto],ROW()-ROW(tblConteo[#Headers])))</f>
        <v/>
      </c>
      <c r="D265" s="49" t="str">
        <f>IF(tblConteo[[#This Row],[SKU]]="","",INDEX(tblProductos[Categoría],ROW()-ROW(tblConteo[#Headers]))&amp;"")</f>
        <v/>
      </c>
      <c r="E265" s="42" t="str">
        <f>IF(tblConteo[[#This Row],[SKU]]="","",INDEX(tblProductos[Ubicación],ROW()-ROW(tblConteo[#Headers]))&amp;"")</f>
        <v/>
      </c>
      <c r="F265" s="42" t="str">
        <f>IF(tblConteo[[#This Row],[SKU]]="","",INDEX(tblProductos[Unidad],ROW()-ROW(tblConteo[#Headers]))&amp;"")</f>
        <v/>
      </c>
      <c r="G265" s="42" t="str">
        <f>IF(tblConteo[[#This Row],[SKU]]="","",IF(INDEX(tblProductos[Activo],ROW()-ROW(tblConteo[#Headers]))="NO","NO","SI"))</f>
        <v/>
      </c>
      <c r="H265" s="53" t="str">
        <f>IF(tblConteo[[#This Row],[SKU]]="","",IFERROR(N(INDEX(tblStock[StockActual],MATCH(tblConteo[[#This Row],[SKU]],tblStock[SKU],0))),0))</f>
        <v/>
      </c>
      <c r="I265" s="52"/>
      <c r="J265" s="59" t="str">
        <f>IF(OR(tblConteo[[#This Row],[SKU]]="",tblConteo[[#This Row],[Conteo]]=""),"",IF(ISNUMBER(tblConteo[[#This Row],[Conteo]]),tblConteo[[#This Row],[Conteo]]-N(tblConteo[[#This Row],[Sistema]]),""))</f>
        <v/>
      </c>
      <c r="K265" s="62" t="str">
        <f>IF(tblConteo[[#This Row],[Diferencia]]="","",tblConteo[[#This Row],[Diferencia]]*N(INDEX(tblProductos[CostoUnitario],ROW()-ROW(tblConteo[#Headers]))))</f>
        <v/>
      </c>
      <c r="L26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6" spans="2:13" x14ac:dyDescent="0.25">
      <c r="B266" s="42" t="str">
        <f>IF(INDEX(tblProductos[SKU],ROW()-ROW(tblConteo[#Headers]))="","",INDEX(tblProductos[SKU],ROW()-ROW(tblConteo[#Headers])))</f>
        <v/>
      </c>
      <c r="C266" s="49" t="str">
        <f>IF(tblConteo[[#This Row],[SKU]]="","",INDEX(tblProductos[Producto],ROW()-ROW(tblConteo[#Headers])))</f>
        <v/>
      </c>
      <c r="D266" s="49" t="str">
        <f>IF(tblConteo[[#This Row],[SKU]]="","",INDEX(tblProductos[Categoría],ROW()-ROW(tblConteo[#Headers]))&amp;"")</f>
        <v/>
      </c>
      <c r="E266" s="42" t="str">
        <f>IF(tblConteo[[#This Row],[SKU]]="","",INDEX(tblProductos[Ubicación],ROW()-ROW(tblConteo[#Headers]))&amp;"")</f>
        <v/>
      </c>
      <c r="F266" s="42" t="str">
        <f>IF(tblConteo[[#This Row],[SKU]]="","",INDEX(tblProductos[Unidad],ROW()-ROW(tblConteo[#Headers]))&amp;"")</f>
        <v/>
      </c>
      <c r="G266" s="42" t="str">
        <f>IF(tblConteo[[#This Row],[SKU]]="","",IF(INDEX(tblProductos[Activo],ROW()-ROW(tblConteo[#Headers]))="NO","NO","SI"))</f>
        <v/>
      </c>
      <c r="H266" s="53" t="str">
        <f>IF(tblConteo[[#This Row],[SKU]]="","",IFERROR(N(INDEX(tblStock[StockActual],MATCH(tblConteo[[#This Row],[SKU]],tblStock[SKU],0))),0))</f>
        <v/>
      </c>
      <c r="I266" s="52"/>
      <c r="J266" s="59" t="str">
        <f>IF(OR(tblConteo[[#This Row],[SKU]]="",tblConteo[[#This Row],[Conteo]]=""),"",IF(ISNUMBER(tblConteo[[#This Row],[Conteo]]),tblConteo[[#This Row],[Conteo]]-N(tblConteo[[#This Row],[Sistema]]),""))</f>
        <v/>
      </c>
      <c r="K266" s="62" t="str">
        <f>IF(tblConteo[[#This Row],[Diferencia]]="","",tblConteo[[#This Row],[Diferencia]]*N(INDEX(tblProductos[CostoUnitario],ROW()-ROW(tblConteo[#Headers]))))</f>
        <v/>
      </c>
      <c r="L26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7" spans="2:13" x14ac:dyDescent="0.25">
      <c r="B267" s="42" t="str">
        <f>IF(INDEX(tblProductos[SKU],ROW()-ROW(tblConteo[#Headers]))="","",INDEX(tblProductos[SKU],ROW()-ROW(tblConteo[#Headers])))</f>
        <v/>
      </c>
      <c r="C267" s="49" t="str">
        <f>IF(tblConteo[[#This Row],[SKU]]="","",INDEX(tblProductos[Producto],ROW()-ROW(tblConteo[#Headers])))</f>
        <v/>
      </c>
      <c r="D267" s="49" t="str">
        <f>IF(tblConteo[[#This Row],[SKU]]="","",INDEX(tblProductos[Categoría],ROW()-ROW(tblConteo[#Headers]))&amp;"")</f>
        <v/>
      </c>
      <c r="E267" s="42" t="str">
        <f>IF(tblConteo[[#This Row],[SKU]]="","",INDEX(tblProductos[Ubicación],ROW()-ROW(tblConteo[#Headers]))&amp;"")</f>
        <v/>
      </c>
      <c r="F267" s="42" t="str">
        <f>IF(tblConteo[[#This Row],[SKU]]="","",INDEX(tblProductos[Unidad],ROW()-ROW(tblConteo[#Headers]))&amp;"")</f>
        <v/>
      </c>
      <c r="G267" s="42" t="str">
        <f>IF(tblConteo[[#This Row],[SKU]]="","",IF(INDEX(tblProductos[Activo],ROW()-ROW(tblConteo[#Headers]))="NO","NO","SI"))</f>
        <v/>
      </c>
      <c r="H267" s="53" t="str">
        <f>IF(tblConteo[[#This Row],[SKU]]="","",IFERROR(N(INDEX(tblStock[StockActual],MATCH(tblConteo[[#This Row],[SKU]],tblStock[SKU],0))),0))</f>
        <v/>
      </c>
      <c r="I267" s="52"/>
      <c r="J267" s="59" t="str">
        <f>IF(OR(tblConteo[[#This Row],[SKU]]="",tblConteo[[#This Row],[Conteo]]=""),"",IF(ISNUMBER(tblConteo[[#This Row],[Conteo]]),tblConteo[[#This Row],[Conteo]]-N(tblConteo[[#This Row],[Sistema]]),""))</f>
        <v/>
      </c>
      <c r="K267" s="62" t="str">
        <f>IF(tblConteo[[#This Row],[Diferencia]]="","",tblConteo[[#This Row],[Diferencia]]*N(INDEX(tblProductos[CostoUnitario],ROW()-ROW(tblConteo[#Headers]))))</f>
        <v/>
      </c>
      <c r="L26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8" spans="2:13" x14ac:dyDescent="0.25">
      <c r="B268" s="42" t="str">
        <f>IF(INDEX(tblProductos[SKU],ROW()-ROW(tblConteo[#Headers]))="","",INDEX(tblProductos[SKU],ROW()-ROW(tblConteo[#Headers])))</f>
        <v/>
      </c>
      <c r="C268" s="49" t="str">
        <f>IF(tblConteo[[#This Row],[SKU]]="","",INDEX(tblProductos[Producto],ROW()-ROW(tblConteo[#Headers])))</f>
        <v/>
      </c>
      <c r="D268" s="49" t="str">
        <f>IF(tblConteo[[#This Row],[SKU]]="","",INDEX(tblProductos[Categoría],ROW()-ROW(tblConteo[#Headers]))&amp;"")</f>
        <v/>
      </c>
      <c r="E268" s="42" t="str">
        <f>IF(tblConteo[[#This Row],[SKU]]="","",INDEX(tblProductos[Ubicación],ROW()-ROW(tblConteo[#Headers]))&amp;"")</f>
        <v/>
      </c>
      <c r="F268" s="42" t="str">
        <f>IF(tblConteo[[#This Row],[SKU]]="","",INDEX(tblProductos[Unidad],ROW()-ROW(tblConteo[#Headers]))&amp;"")</f>
        <v/>
      </c>
      <c r="G268" s="42" t="str">
        <f>IF(tblConteo[[#This Row],[SKU]]="","",IF(INDEX(tblProductos[Activo],ROW()-ROW(tblConteo[#Headers]))="NO","NO","SI"))</f>
        <v/>
      </c>
      <c r="H268" s="53" t="str">
        <f>IF(tblConteo[[#This Row],[SKU]]="","",IFERROR(N(INDEX(tblStock[StockActual],MATCH(tblConteo[[#This Row],[SKU]],tblStock[SKU],0))),0))</f>
        <v/>
      </c>
      <c r="I268" s="52"/>
      <c r="J268" s="59" t="str">
        <f>IF(OR(tblConteo[[#This Row],[SKU]]="",tblConteo[[#This Row],[Conteo]]=""),"",IF(ISNUMBER(tblConteo[[#This Row],[Conteo]]),tblConteo[[#This Row],[Conteo]]-N(tblConteo[[#This Row],[Sistema]]),""))</f>
        <v/>
      </c>
      <c r="K268" s="62" t="str">
        <f>IF(tblConteo[[#This Row],[Diferencia]]="","",tblConteo[[#This Row],[Diferencia]]*N(INDEX(tblProductos[CostoUnitario],ROW()-ROW(tblConteo[#Headers]))))</f>
        <v/>
      </c>
      <c r="L26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9" spans="2:13" x14ac:dyDescent="0.25">
      <c r="B269" s="42" t="str">
        <f>IF(INDEX(tblProductos[SKU],ROW()-ROW(tblConteo[#Headers]))="","",INDEX(tblProductos[SKU],ROW()-ROW(tblConteo[#Headers])))</f>
        <v/>
      </c>
      <c r="C269" s="49" t="str">
        <f>IF(tblConteo[[#This Row],[SKU]]="","",INDEX(tblProductos[Producto],ROW()-ROW(tblConteo[#Headers])))</f>
        <v/>
      </c>
      <c r="D269" s="49" t="str">
        <f>IF(tblConteo[[#This Row],[SKU]]="","",INDEX(tblProductos[Categoría],ROW()-ROW(tblConteo[#Headers]))&amp;"")</f>
        <v/>
      </c>
      <c r="E269" s="42" t="str">
        <f>IF(tblConteo[[#This Row],[SKU]]="","",INDEX(tblProductos[Ubicación],ROW()-ROW(tblConteo[#Headers]))&amp;"")</f>
        <v/>
      </c>
      <c r="F269" s="42" t="str">
        <f>IF(tblConteo[[#This Row],[SKU]]="","",INDEX(tblProductos[Unidad],ROW()-ROW(tblConteo[#Headers]))&amp;"")</f>
        <v/>
      </c>
      <c r="G269" s="42" t="str">
        <f>IF(tblConteo[[#This Row],[SKU]]="","",IF(INDEX(tblProductos[Activo],ROW()-ROW(tblConteo[#Headers]))="NO","NO","SI"))</f>
        <v/>
      </c>
      <c r="H269" s="53" t="str">
        <f>IF(tblConteo[[#This Row],[SKU]]="","",IFERROR(N(INDEX(tblStock[StockActual],MATCH(tblConteo[[#This Row],[SKU]],tblStock[SKU],0))),0))</f>
        <v/>
      </c>
      <c r="I269" s="52"/>
      <c r="J269" s="59" t="str">
        <f>IF(OR(tblConteo[[#This Row],[SKU]]="",tblConteo[[#This Row],[Conteo]]=""),"",IF(ISNUMBER(tblConteo[[#This Row],[Conteo]]),tblConteo[[#This Row],[Conteo]]-N(tblConteo[[#This Row],[Sistema]]),""))</f>
        <v/>
      </c>
      <c r="K269" s="62" t="str">
        <f>IF(tblConteo[[#This Row],[Diferencia]]="","",tblConteo[[#This Row],[Diferencia]]*N(INDEX(tblProductos[CostoUnitario],ROW()-ROW(tblConteo[#Headers]))))</f>
        <v/>
      </c>
      <c r="L26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0" spans="2:13" x14ac:dyDescent="0.25">
      <c r="B270" s="42" t="str">
        <f>IF(INDEX(tblProductos[SKU],ROW()-ROW(tblConteo[#Headers]))="","",INDEX(tblProductos[SKU],ROW()-ROW(tblConteo[#Headers])))</f>
        <v/>
      </c>
      <c r="C270" s="49" t="str">
        <f>IF(tblConteo[[#This Row],[SKU]]="","",INDEX(tblProductos[Producto],ROW()-ROW(tblConteo[#Headers])))</f>
        <v/>
      </c>
      <c r="D270" s="49" t="str">
        <f>IF(tblConteo[[#This Row],[SKU]]="","",INDEX(tblProductos[Categoría],ROW()-ROW(tblConteo[#Headers]))&amp;"")</f>
        <v/>
      </c>
      <c r="E270" s="42" t="str">
        <f>IF(tblConteo[[#This Row],[SKU]]="","",INDEX(tblProductos[Ubicación],ROW()-ROW(tblConteo[#Headers]))&amp;"")</f>
        <v/>
      </c>
      <c r="F270" s="42" t="str">
        <f>IF(tblConteo[[#This Row],[SKU]]="","",INDEX(tblProductos[Unidad],ROW()-ROW(tblConteo[#Headers]))&amp;"")</f>
        <v/>
      </c>
      <c r="G270" s="42" t="str">
        <f>IF(tblConteo[[#This Row],[SKU]]="","",IF(INDEX(tblProductos[Activo],ROW()-ROW(tblConteo[#Headers]))="NO","NO","SI"))</f>
        <v/>
      </c>
      <c r="H270" s="53" t="str">
        <f>IF(tblConteo[[#This Row],[SKU]]="","",IFERROR(N(INDEX(tblStock[StockActual],MATCH(tblConteo[[#This Row],[SKU]],tblStock[SKU],0))),0))</f>
        <v/>
      </c>
      <c r="I270" s="52"/>
      <c r="J270" s="59" t="str">
        <f>IF(OR(tblConteo[[#This Row],[SKU]]="",tblConteo[[#This Row],[Conteo]]=""),"",IF(ISNUMBER(tblConteo[[#This Row],[Conteo]]),tblConteo[[#This Row],[Conteo]]-N(tblConteo[[#This Row],[Sistema]]),""))</f>
        <v/>
      </c>
      <c r="K270" s="62" t="str">
        <f>IF(tblConteo[[#This Row],[Diferencia]]="","",tblConteo[[#This Row],[Diferencia]]*N(INDEX(tblProductos[CostoUnitario],ROW()-ROW(tblConteo[#Headers]))))</f>
        <v/>
      </c>
      <c r="L27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1" spans="2:13" x14ac:dyDescent="0.25">
      <c r="B271" s="42" t="str">
        <f>IF(INDEX(tblProductos[SKU],ROW()-ROW(tblConteo[#Headers]))="","",INDEX(tblProductos[SKU],ROW()-ROW(tblConteo[#Headers])))</f>
        <v/>
      </c>
      <c r="C271" s="49" t="str">
        <f>IF(tblConteo[[#This Row],[SKU]]="","",INDEX(tblProductos[Producto],ROW()-ROW(tblConteo[#Headers])))</f>
        <v/>
      </c>
      <c r="D271" s="49" t="str">
        <f>IF(tblConteo[[#This Row],[SKU]]="","",INDEX(tblProductos[Categoría],ROW()-ROW(tblConteo[#Headers]))&amp;"")</f>
        <v/>
      </c>
      <c r="E271" s="42" t="str">
        <f>IF(tblConteo[[#This Row],[SKU]]="","",INDEX(tblProductos[Ubicación],ROW()-ROW(tblConteo[#Headers]))&amp;"")</f>
        <v/>
      </c>
      <c r="F271" s="42" t="str">
        <f>IF(tblConteo[[#This Row],[SKU]]="","",INDEX(tblProductos[Unidad],ROW()-ROW(tblConteo[#Headers]))&amp;"")</f>
        <v/>
      </c>
      <c r="G271" s="42" t="str">
        <f>IF(tblConteo[[#This Row],[SKU]]="","",IF(INDEX(tblProductos[Activo],ROW()-ROW(tblConteo[#Headers]))="NO","NO","SI"))</f>
        <v/>
      </c>
      <c r="H271" s="53" t="str">
        <f>IF(tblConteo[[#This Row],[SKU]]="","",IFERROR(N(INDEX(tblStock[StockActual],MATCH(tblConteo[[#This Row],[SKU]],tblStock[SKU],0))),0))</f>
        <v/>
      </c>
      <c r="I271" s="52"/>
      <c r="J271" s="59" t="str">
        <f>IF(OR(tblConteo[[#This Row],[SKU]]="",tblConteo[[#This Row],[Conteo]]=""),"",IF(ISNUMBER(tblConteo[[#This Row],[Conteo]]),tblConteo[[#This Row],[Conteo]]-N(tblConteo[[#This Row],[Sistema]]),""))</f>
        <v/>
      </c>
      <c r="K271" s="62" t="str">
        <f>IF(tblConteo[[#This Row],[Diferencia]]="","",tblConteo[[#This Row],[Diferencia]]*N(INDEX(tblProductos[CostoUnitario],ROW()-ROW(tblConteo[#Headers]))))</f>
        <v/>
      </c>
      <c r="L27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2" spans="2:13" x14ac:dyDescent="0.25">
      <c r="B272" s="42" t="str">
        <f>IF(INDEX(tblProductos[SKU],ROW()-ROW(tblConteo[#Headers]))="","",INDEX(tblProductos[SKU],ROW()-ROW(tblConteo[#Headers])))</f>
        <v/>
      </c>
      <c r="C272" s="49" t="str">
        <f>IF(tblConteo[[#This Row],[SKU]]="","",INDEX(tblProductos[Producto],ROW()-ROW(tblConteo[#Headers])))</f>
        <v/>
      </c>
      <c r="D272" s="49" t="str">
        <f>IF(tblConteo[[#This Row],[SKU]]="","",INDEX(tblProductos[Categoría],ROW()-ROW(tblConteo[#Headers]))&amp;"")</f>
        <v/>
      </c>
      <c r="E272" s="42" t="str">
        <f>IF(tblConteo[[#This Row],[SKU]]="","",INDEX(tblProductos[Ubicación],ROW()-ROW(tblConteo[#Headers]))&amp;"")</f>
        <v/>
      </c>
      <c r="F272" s="42" t="str">
        <f>IF(tblConteo[[#This Row],[SKU]]="","",INDEX(tblProductos[Unidad],ROW()-ROW(tblConteo[#Headers]))&amp;"")</f>
        <v/>
      </c>
      <c r="G272" s="42" t="str">
        <f>IF(tblConteo[[#This Row],[SKU]]="","",IF(INDEX(tblProductos[Activo],ROW()-ROW(tblConteo[#Headers]))="NO","NO","SI"))</f>
        <v/>
      </c>
      <c r="H272" s="53" t="str">
        <f>IF(tblConteo[[#This Row],[SKU]]="","",IFERROR(N(INDEX(tblStock[StockActual],MATCH(tblConteo[[#This Row],[SKU]],tblStock[SKU],0))),0))</f>
        <v/>
      </c>
      <c r="I272" s="52"/>
      <c r="J272" s="59" t="str">
        <f>IF(OR(tblConteo[[#This Row],[SKU]]="",tblConteo[[#This Row],[Conteo]]=""),"",IF(ISNUMBER(tblConteo[[#This Row],[Conteo]]),tblConteo[[#This Row],[Conteo]]-N(tblConteo[[#This Row],[Sistema]]),""))</f>
        <v/>
      </c>
      <c r="K272" s="62" t="str">
        <f>IF(tblConteo[[#This Row],[Diferencia]]="","",tblConteo[[#This Row],[Diferencia]]*N(INDEX(tblProductos[CostoUnitario],ROW()-ROW(tblConteo[#Headers]))))</f>
        <v/>
      </c>
      <c r="L27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3" spans="2:13" x14ac:dyDescent="0.25">
      <c r="B273" s="42" t="str">
        <f>IF(INDEX(tblProductos[SKU],ROW()-ROW(tblConteo[#Headers]))="","",INDEX(tblProductos[SKU],ROW()-ROW(tblConteo[#Headers])))</f>
        <v/>
      </c>
      <c r="C273" s="49" t="str">
        <f>IF(tblConteo[[#This Row],[SKU]]="","",INDEX(tblProductos[Producto],ROW()-ROW(tblConteo[#Headers])))</f>
        <v/>
      </c>
      <c r="D273" s="49" t="str">
        <f>IF(tblConteo[[#This Row],[SKU]]="","",INDEX(tblProductos[Categoría],ROW()-ROW(tblConteo[#Headers]))&amp;"")</f>
        <v/>
      </c>
      <c r="E273" s="42" t="str">
        <f>IF(tblConteo[[#This Row],[SKU]]="","",INDEX(tblProductos[Ubicación],ROW()-ROW(tblConteo[#Headers]))&amp;"")</f>
        <v/>
      </c>
      <c r="F273" s="42" t="str">
        <f>IF(tblConteo[[#This Row],[SKU]]="","",INDEX(tblProductos[Unidad],ROW()-ROW(tblConteo[#Headers]))&amp;"")</f>
        <v/>
      </c>
      <c r="G273" s="42" t="str">
        <f>IF(tblConteo[[#This Row],[SKU]]="","",IF(INDEX(tblProductos[Activo],ROW()-ROW(tblConteo[#Headers]))="NO","NO","SI"))</f>
        <v/>
      </c>
      <c r="H273" s="53" t="str">
        <f>IF(tblConteo[[#This Row],[SKU]]="","",IFERROR(N(INDEX(tblStock[StockActual],MATCH(tblConteo[[#This Row],[SKU]],tblStock[SKU],0))),0))</f>
        <v/>
      </c>
      <c r="I273" s="52"/>
      <c r="J273" s="59" t="str">
        <f>IF(OR(tblConteo[[#This Row],[SKU]]="",tblConteo[[#This Row],[Conteo]]=""),"",IF(ISNUMBER(tblConteo[[#This Row],[Conteo]]),tblConteo[[#This Row],[Conteo]]-N(tblConteo[[#This Row],[Sistema]]),""))</f>
        <v/>
      </c>
      <c r="K273" s="62" t="str">
        <f>IF(tblConteo[[#This Row],[Diferencia]]="","",tblConteo[[#This Row],[Diferencia]]*N(INDEX(tblProductos[CostoUnitario],ROW()-ROW(tblConteo[#Headers]))))</f>
        <v/>
      </c>
      <c r="L27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4" spans="2:13" x14ac:dyDescent="0.25">
      <c r="B274" s="42" t="str">
        <f>IF(INDEX(tblProductos[SKU],ROW()-ROW(tblConteo[#Headers]))="","",INDEX(tblProductos[SKU],ROW()-ROW(tblConteo[#Headers])))</f>
        <v/>
      </c>
      <c r="C274" s="49" t="str">
        <f>IF(tblConteo[[#This Row],[SKU]]="","",INDEX(tblProductos[Producto],ROW()-ROW(tblConteo[#Headers])))</f>
        <v/>
      </c>
      <c r="D274" s="49" t="str">
        <f>IF(tblConteo[[#This Row],[SKU]]="","",INDEX(tblProductos[Categoría],ROW()-ROW(tblConteo[#Headers]))&amp;"")</f>
        <v/>
      </c>
      <c r="E274" s="42" t="str">
        <f>IF(tblConteo[[#This Row],[SKU]]="","",INDEX(tblProductos[Ubicación],ROW()-ROW(tblConteo[#Headers]))&amp;"")</f>
        <v/>
      </c>
      <c r="F274" s="42" t="str">
        <f>IF(tblConteo[[#This Row],[SKU]]="","",INDEX(tblProductos[Unidad],ROW()-ROW(tblConteo[#Headers]))&amp;"")</f>
        <v/>
      </c>
      <c r="G274" s="42" t="str">
        <f>IF(tblConteo[[#This Row],[SKU]]="","",IF(INDEX(tblProductos[Activo],ROW()-ROW(tblConteo[#Headers]))="NO","NO","SI"))</f>
        <v/>
      </c>
      <c r="H274" s="53" t="str">
        <f>IF(tblConteo[[#This Row],[SKU]]="","",IFERROR(N(INDEX(tblStock[StockActual],MATCH(tblConteo[[#This Row],[SKU]],tblStock[SKU],0))),0))</f>
        <v/>
      </c>
      <c r="I274" s="52"/>
      <c r="J274" s="59" t="str">
        <f>IF(OR(tblConteo[[#This Row],[SKU]]="",tblConteo[[#This Row],[Conteo]]=""),"",IF(ISNUMBER(tblConteo[[#This Row],[Conteo]]),tblConteo[[#This Row],[Conteo]]-N(tblConteo[[#This Row],[Sistema]]),""))</f>
        <v/>
      </c>
      <c r="K274" s="62" t="str">
        <f>IF(tblConteo[[#This Row],[Diferencia]]="","",tblConteo[[#This Row],[Diferencia]]*N(INDEX(tblProductos[CostoUnitario],ROW()-ROW(tblConteo[#Headers]))))</f>
        <v/>
      </c>
      <c r="L27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5" spans="2:13" x14ac:dyDescent="0.25">
      <c r="B275" s="42" t="str">
        <f>IF(INDEX(tblProductos[SKU],ROW()-ROW(tblConteo[#Headers]))="","",INDEX(tblProductos[SKU],ROW()-ROW(tblConteo[#Headers])))</f>
        <v/>
      </c>
      <c r="C275" s="49" t="str">
        <f>IF(tblConteo[[#This Row],[SKU]]="","",INDEX(tblProductos[Producto],ROW()-ROW(tblConteo[#Headers])))</f>
        <v/>
      </c>
      <c r="D275" s="49" t="str">
        <f>IF(tblConteo[[#This Row],[SKU]]="","",INDEX(tblProductos[Categoría],ROW()-ROW(tblConteo[#Headers]))&amp;"")</f>
        <v/>
      </c>
      <c r="E275" s="42" t="str">
        <f>IF(tblConteo[[#This Row],[SKU]]="","",INDEX(tblProductos[Ubicación],ROW()-ROW(tblConteo[#Headers]))&amp;"")</f>
        <v/>
      </c>
      <c r="F275" s="42" t="str">
        <f>IF(tblConteo[[#This Row],[SKU]]="","",INDEX(tblProductos[Unidad],ROW()-ROW(tblConteo[#Headers]))&amp;"")</f>
        <v/>
      </c>
      <c r="G275" s="42" t="str">
        <f>IF(tblConteo[[#This Row],[SKU]]="","",IF(INDEX(tblProductos[Activo],ROW()-ROW(tblConteo[#Headers]))="NO","NO","SI"))</f>
        <v/>
      </c>
      <c r="H275" s="53" t="str">
        <f>IF(tblConteo[[#This Row],[SKU]]="","",IFERROR(N(INDEX(tblStock[StockActual],MATCH(tblConteo[[#This Row],[SKU]],tblStock[SKU],0))),0))</f>
        <v/>
      </c>
      <c r="I275" s="52"/>
      <c r="J275" s="59" t="str">
        <f>IF(OR(tblConteo[[#This Row],[SKU]]="",tblConteo[[#This Row],[Conteo]]=""),"",IF(ISNUMBER(tblConteo[[#This Row],[Conteo]]),tblConteo[[#This Row],[Conteo]]-N(tblConteo[[#This Row],[Sistema]]),""))</f>
        <v/>
      </c>
      <c r="K275" s="62" t="str">
        <f>IF(tblConteo[[#This Row],[Diferencia]]="","",tblConteo[[#This Row],[Diferencia]]*N(INDEX(tblProductos[CostoUnitario],ROW()-ROW(tblConteo[#Headers]))))</f>
        <v/>
      </c>
      <c r="L27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6" spans="2:13" x14ac:dyDescent="0.25">
      <c r="B276" s="42" t="str">
        <f>IF(INDEX(tblProductos[SKU],ROW()-ROW(tblConteo[#Headers]))="","",INDEX(tblProductos[SKU],ROW()-ROW(tblConteo[#Headers])))</f>
        <v/>
      </c>
      <c r="C276" s="49" t="str">
        <f>IF(tblConteo[[#This Row],[SKU]]="","",INDEX(tblProductos[Producto],ROW()-ROW(tblConteo[#Headers])))</f>
        <v/>
      </c>
      <c r="D276" s="49" t="str">
        <f>IF(tblConteo[[#This Row],[SKU]]="","",INDEX(tblProductos[Categoría],ROW()-ROW(tblConteo[#Headers]))&amp;"")</f>
        <v/>
      </c>
      <c r="E276" s="42" t="str">
        <f>IF(tblConteo[[#This Row],[SKU]]="","",INDEX(tblProductos[Ubicación],ROW()-ROW(tblConteo[#Headers]))&amp;"")</f>
        <v/>
      </c>
      <c r="F276" s="42" t="str">
        <f>IF(tblConteo[[#This Row],[SKU]]="","",INDEX(tblProductos[Unidad],ROW()-ROW(tblConteo[#Headers]))&amp;"")</f>
        <v/>
      </c>
      <c r="G276" s="42" t="str">
        <f>IF(tblConteo[[#This Row],[SKU]]="","",IF(INDEX(tblProductos[Activo],ROW()-ROW(tblConteo[#Headers]))="NO","NO","SI"))</f>
        <v/>
      </c>
      <c r="H276" s="53" t="str">
        <f>IF(tblConteo[[#This Row],[SKU]]="","",IFERROR(N(INDEX(tblStock[StockActual],MATCH(tblConteo[[#This Row],[SKU]],tblStock[SKU],0))),0))</f>
        <v/>
      </c>
      <c r="I276" s="52"/>
      <c r="J276" s="59" t="str">
        <f>IF(OR(tblConteo[[#This Row],[SKU]]="",tblConteo[[#This Row],[Conteo]]=""),"",IF(ISNUMBER(tblConteo[[#This Row],[Conteo]]),tblConteo[[#This Row],[Conteo]]-N(tblConteo[[#This Row],[Sistema]]),""))</f>
        <v/>
      </c>
      <c r="K276" s="62" t="str">
        <f>IF(tblConteo[[#This Row],[Diferencia]]="","",tblConteo[[#This Row],[Diferencia]]*N(INDEX(tblProductos[CostoUnitario],ROW()-ROW(tblConteo[#Headers]))))</f>
        <v/>
      </c>
      <c r="L27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7" spans="2:13" x14ac:dyDescent="0.25">
      <c r="B277" s="42" t="str">
        <f>IF(INDEX(tblProductos[SKU],ROW()-ROW(tblConteo[#Headers]))="","",INDEX(tblProductos[SKU],ROW()-ROW(tblConteo[#Headers])))</f>
        <v/>
      </c>
      <c r="C277" s="49" t="str">
        <f>IF(tblConteo[[#This Row],[SKU]]="","",INDEX(tblProductos[Producto],ROW()-ROW(tblConteo[#Headers])))</f>
        <v/>
      </c>
      <c r="D277" s="49" t="str">
        <f>IF(tblConteo[[#This Row],[SKU]]="","",INDEX(tblProductos[Categoría],ROW()-ROW(tblConteo[#Headers]))&amp;"")</f>
        <v/>
      </c>
      <c r="E277" s="42" t="str">
        <f>IF(tblConteo[[#This Row],[SKU]]="","",INDEX(tblProductos[Ubicación],ROW()-ROW(tblConteo[#Headers]))&amp;"")</f>
        <v/>
      </c>
      <c r="F277" s="42" t="str">
        <f>IF(tblConteo[[#This Row],[SKU]]="","",INDEX(tblProductos[Unidad],ROW()-ROW(tblConteo[#Headers]))&amp;"")</f>
        <v/>
      </c>
      <c r="G277" s="42" t="str">
        <f>IF(tblConteo[[#This Row],[SKU]]="","",IF(INDEX(tblProductos[Activo],ROW()-ROW(tblConteo[#Headers]))="NO","NO","SI"))</f>
        <v/>
      </c>
      <c r="H277" s="53" t="str">
        <f>IF(tblConteo[[#This Row],[SKU]]="","",IFERROR(N(INDEX(tblStock[StockActual],MATCH(tblConteo[[#This Row],[SKU]],tblStock[SKU],0))),0))</f>
        <v/>
      </c>
      <c r="I277" s="52"/>
      <c r="J277" s="59" t="str">
        <f>IF(OR(tblConteo[[#This Row],[SKU]]="",tblConteo[[#This Row],[Conteo]]=""),"",IF(ISNUMBER(tblConteo[[#This Row],[Conteo]]),tblConteo[[#This Row],[Conteo]]-N(tblConteo[[#This Row],[Sistema]]),""))</f>
        <v/>
      </c>
      <c r="K277" s="62" t="str">
        <f>IF(tblConteo[[#This Row],[Diferencia]]="","",tblConteo[[#This Row],[Diferencia]]*N(INDEX(tblProductos[CostoUnitario],ROW()-ROW(tblConteo[#Headers]))))</f>
        <v/>
      </c>
      <c r="L27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8" spans="2:13" x14ac:dyDescent="0.25">
      <c r="B278" s="42" t="str">
        <f>IF(INDEX(tblProductos[SKU],ROW()-ROW(tblConteo[#Headers]))="","",INDEX(tblProductos[SKU],ROW()-ROW(tblConteo[#Headers])))</f>
        <v/>
      </c>
      <c r="C278" s="49" t="str">
        <f>IF(tblConteo[[#This Row],[SKU]]="","",INDEX(tblProductos[Producto],ROW()-ROW(tblConteo[#Headers])))</f>
        <v/>
      </c>
      <c r="D278" s="49" t="str">
        <f>IF(tblConteo[[#This Row],[SKU]]="","",INDEX(tblProductos[Categoría],ROW()-ROW(tblConteo[#Headers]))&amp;"")</f>
        <v/>
      </c>
      <c r="E278" s="42" t="str">
        <f>IF(tblConteo[[#This Row],[SKU]]="","",INDEX(tblProductos[Ubicación],ROW()-ROW(tblConteo[#Headers]))&amp;"")</f>
        <v/>
      </c>
      <c r="F278" s="42" t="str">
        <f>IF(tblConteo[[#This Row],[SKU]]="","",INDEX(tblProductos[Unidad],ROW()-ROW(tblConteo[#Headers]))&amp;"")</f>
        <v/>
      </c>
      <c r="G278" s="42" t="str">
        <f>IF(tblConteo[[#This Row],[SKU]]="","",IF(INDEX(tblProductos[Activo],ROW()-ROW(tblConteo[#Headers]))="NO","NO","SI"))</f>
        <v/>
      </c>
      <c r="H278" s="53" t="str">
        <f>IF(tblConteo[[#This Row],[SKU]]="","",IFERROR(N(INDEX(tblStock[StockActual],MATCH(tblConteo[[#This Row],[SKU]],tblStock[SKU],0))),0))</f>
        <v/>
      </c>
      <c r="I278" s="52"/>
      <c r="J278" s="59" t="str">
        <f>IF(OR(tblConteo[[#This Row],[SKU]]="",tblConteo[[#This Row],[Conteo]]=""),"",IF(ISNUMBER(tblConteo[[#This Row],[Conteo]]),tblConteo[[#This Row],[Conteo]]-N(tblConteo[[#This Row],[Sistema]]),""))</f>
        <v/>
      </c>
      <c r="K278" s="62" t="str">
        <f>IF(tblConteo[[#This Row],[Diferencia]]="","",tblConteo[[#This Row],[Diferencia]]*N(INDEX(tblProductos[CostoUnitario],ROW()-ROW(tblConteo[#Headers]))))</f>
        <v/>
      </c>
      <c r="L27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9" spans="2:13" x14ac:dyDescent="0.25">
      <c r="B279" s="42" t="str">
        <f>IF(INDEX(tblProductos[SKU],ROW()-ROW(tblConteo[#Headers]))="","",INDEX(tblProductos[SKU],ROW()-ROW(tblConteo[#Headers])))</f>
        <v/>
      </c>
      <c r="C279" s="49" t="str">
        <f>IF(tblConteo[[#This Row],[SKU]]="","",INDEX(tblProductos[Producto],ROW()-ROW(tblConteo[#Headers])))</f>
        <v/>
      </c>
      <c r="D279" s="49" t="str">
        <f>IF(tblConteo[[#This Row],[SKU]]="","",INDEX(tblProductos[Categoría],ROW()-ROW(tblConteo[#Headers]))&amp;"")</f>
        <v/>
      </c>
      <c r="E279" s="42" t="str">
        <f>IF(tblConteo[[#This Row],[SKU]]="","",INDEX(tblProductos[Ubicación],ROW()-ROW(tblConteo[#Headers]))&amp;"")</f>
        <v/>
      </c>
      <c r="F279" s="42" t="str">
        <f>IF(tblConteo[[#This Row],[SKU]]="","",INDEX(tblProductos[Unidad],ROW()-ROW(tblConteo[#Headers]))&amp;"")</f>
        <v/>
      </c>
      <c r="G279" s="42" t="str">
        <f>IF(tblConteo[[#This Row],[SKU]]="","",IF(INDEX(tblProductos[Activo],ROW()-ROW(tblConteo[#Headers]))="NO","NO","SI"))</f>
        <v/>
      </c>
      <c r="H279" s="53" t="str">
        <f>IF(tblConteo[[#This Row],[SKU]]="","",IFERROR(N(INDEX(tblStock[StockActual],MATCH(tblConteo[[#This Row],[SKU]],tblStock[SKU],0))),0))</f>
        <v/>
      </c>
      <c r="I279" s="52"/>
      <c r="J279" s="59" t="str">
        <f>IF(OR(tblConteo[[#This Row],[SKU]]="",tblConteo[[#This Row],[Conteo]]=""),"",IF(ISNUMBER(tblConteo[[#This Row],[Conteo]]),tblConteo[[#This Row],[Conteo]]-N(tblConteo[[#This Row],[Sistema]]),""))</f>
        <v/>
      </c>
      <c r="K279" s="62" t="str">
        <f>IF(tblConteo[[#This Row],[Diferencia]]="","",tblConteo[[#This Row],[Diferencia]]*N(INDEX(tblProductos[CostoUnitario],ROW()-ROW(tblConteo[#Headers]))))</f>
        <v/>
      </c>
      <c r="L27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0" spans="2:13" x14ac:dyDescent="0.25">
      <c r="B280" s="42" t="str">
        <f>IF(INDEX(tblProductos[SKU],ROW()-ROW(tblConteo[#Headers]))="","",INDEX(tblProductos[SKU],ROW()-ROW(tblConteo[#Headers])))</f>
        <v/>
      </c>
      <c r="C280" s="49" t="str">
        <f>IF(tblConteo[[#This Row],[SKU]]="","",INDEX(tblProductos[Producto],ROW()-ROW(tblConteo[#Headers])))</f>
        <v/>
      </c>
      <c r="D280" s="49" t="str">
        <f>IF(tblConteo[[#This Row],[SKU]]="","",INDEX(tblProductos[Categoría],ROW()-ROW(tblConteo[#Headers]))&amp;"")</f>
        <v/>
      </c>
      <c r="E280" s="42" t="str">
        <f>IF(tblConteo[[#This Row],[SKU]]="","",INDEX(tblProductos[Ubicación],ROW()-ROW(tblConteo[#Headers]))&amp;"")</f>
        <v/>
      </c>
      <c r="F280" s="42" t="str">
        <f>IF(tblConteo[[#This Row],[SKU]]="","",INDEX(tblProductos[Unidad],ROW()-ROW(tblConteo[#Headers]))&amp;"")</f>
        <v/>
      </c>
      <c r="G280" s="42" t="str">
        <f>IF(tblConteo[[#This Row],[SKU]]="","",IF(INDEX(tblProductos[Activo],ROW()-ROW(tblConteo[#Headers]))="NO","NO","SI"))</f>
        <v/>
      </c>
      <c r="H280" s="53" t="str">
        <f>IF(tblConteo[[#This Row],[SKU]]="","",IFERROR(N(INDEX(tblStock[StockActual],MATCH(tblConteo[[#This Row],[SKU]],tblStock[SKU],0))),0))</f>
        <v/>
      </c>
      <c r="I280" s="52"/>
      <c r="J280" s="59" t="str">
        <f>IF(OR(tblConteo[[#This Row],[SKU]]="",tblConteo[[#This Row],[Conteo]]=""),"",IF(ISNUMBER(tblConteo[[#This Row],[Conteo]]),tblConteo[[#This Row],[Conteo]]-N(tblConteo[[#This Row],[Sistema]]),""))</f>
        <v/>
      </c>
      <c r="K280" s="62" t="str">
        <f>IF(tblConteo[[#This Row],[Diferencia]]="","",tblConteo[[#This Row],[Diferencia]]*N(INDEX(tblProductos[CostoUnitario],ROW()-ROW(tblConteo[#Headers]))))</f>
        <v/>
      </c>
      <c r="L28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1" spans="2:13" x14ac:dyDescent="0.25">
      <c r="B281" s="42" t="str">
        <f>IF(INDEX(tblProductos[SKU],ROW()-ROW(tblConteo[#Headers]))="","",INDEX(tblProductos[SKU],ROW()-ROW(tblConteo[#Headers])))</f>
        <v/>
      </c>
      <c r="C281" s="49" t="str">
        <f>IF(tblConteo[[#This Row],[SKU]]="","",INDEX(tblProductos[Producto],ROW()-ROW(tblConteo[#Headers])))</f>
        <v/>
      </c>
      <c r="D281" s="49" t="str">
        <f>IF(tblConteo[[#This Row],[SKU]]="","",INDEX(tblProductos[Categoría],ROW()-ROW(tblConteo[#Headers]))&amp;"")</f>
        <v/>
      </c>
      <c r="E281" s="42" t="str">
        <f>IF(tblConteo[[#This Row],[SKU]]="","",INDEX(tblProductos[Ubicación],ROW()-ROW(tblConteo[#Headers]))&amp;"")</f>
        <v/>
      </c>
      <c r="F281" s="42" t="str">
        <f>IF(tblConteo[[#This Row],[SKU]]="","",INDEX(tblProductos[Unidad],ROW()-ROW(tblConteo[#Headers]))&amp;"")</f>
        <v/>
      </c>
      <c r="G281" s="42" t="str">
        <f>IF(tblConteo[[#This Row],[SKU]]="","",IF(INDEX(tblProductos[Activo],ROW()-ROW(tblConteo[#Headers]))="NO","NO","SI"))</f>
        <v/>
      </c>
      <c r="H281" s="53" t="str">
        <f>IF(tblConteo[[#This Row],[SKU]]="","",IFERROR(N(INDEX(tblStock[StockActual],MATCH(tblConteo[[#This Row],[SKU]],tblStock[SKU],0))),0))</f>
        <v/>
      </c>
      <c r="I281" s="52"/>
      <c r="J281" s="59" t="str">
        <f>IF(OR(tblConteo[[#This Row],[SKU]]="",tblConteo[[#This Row],[Conteo]]=""),"",IF(ISNUMBER(tblConteo[[#This Row],[Conteo]]),tblConteo[[#This Row],[Conteo]]-N(tblConteo[[#This Row],[Sistema]]),""))</f>
        <v/>
      </c>
      <c r="K281" s="62" t="str">
        <f>IF(tblConteo[[#This Row],[Diferencia]]="","",tblConteo[[#This Row],[Diferencia]]*N(INDEX(tblProductos[CostoUnitario],ROW()-ROW(tblConteo[#Headers]))))</f>
        <v/>
      </c>
      <c r="L28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2" spans="2:13" x14ac:dyDescent="0.25">
      <c r="B282" s="42" t="str">
        <f>IF(INDEX(tblProductos[SKU],ROW()-ROW(tblConteo[#Headers]))="","",INDEX(tblProductos[SKU],ROW()-ROW(tblConteo[#Headers])))</f>
        <v/>
      </c>
      <c r="C282" s="49" t="str">
        <f>IF(tblConteo[[#This Row],[SKU]]="","",INDEX(tblProductos[Producto],ROW()-ROW(tblConteo[#Headers])))</f>
        <v/>
      </c>
      <c r="D282" s="49" t="str">
        <f>IF(tblConteo[[#This Row],[SKU]]="","",INDEX(tblProductos[Categoría],ROW()-ROW(tblConteo[#Headers]))&amp;"")</f>
        <v/>
      </c>
      <c r="E282" s="42" t="str">
        <f>IF(tblConteo[[#This Row],[SKU]]="","",INDEX(tblProductos[Ubicación],ROW()-ROW(tblConteo[#Headers]))&amp;"")</f>
        <v/>
      </c>
      <c r="F282" s="42" t="str">
        <f>IF(tblConteo[[#This Row],[SKU]]="","",INDEX(tblProductos[Unidad],ROW()-ROW(tblConteo[#Headers]))&amp;"")</f>
        <v/>
      </c>
      <c r="G282" s="42" t="str">
        <f>IF(tblConteo[[#This Row],[SKU]]="","",IF(INDEX(tblProductos[Activo],ROW()-ROW(tblConteo[#Headers]))="NO","NO","SI"))</f>
        <v/>
      </c>
      <c r="H282" s="53" t="str">
        <f>IF(tblConteo[[#This Row],[SKU]]="","",IFERROR(N(INDEX(tblStock[StockActual],MATCH(tblConteo[[#This Row],[SKU]],tblStock[SKU],0))),0))</f>
        <v/>
      </c>
      <c r="I282" s="52"/>
      <c r="J282" s="59" t="str">
        <f>IF(OR(tblConteo[[#This Row],[SKU]]="",tblConteo[[#This Row],[Conteo]]=""),"",IF(ISNUMBER(tblConteo[[#This Row],[Conteo]]),tblConteo[[#This Row],[Conteo]]-N(tblConteo[[#This Row],[Sistema]]),""))</f>
        <v/>
      </c>
      <c r="K282" s="62" t="str">
        <f>IF(tblConteo[[#This Row],[Diferencia]]="","",tblConteo[[#This Row],[Diferencia]]*N(INDEX(tblProductos[CostoUnitario],ROW()-ROW(tblConteo[#Headers]))))</f>
        <v/>
      </c>
      <c r="L28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3" spans="2:13" x14ac:dyDescent="0.25">
      <c r="B283" s="42" t="str">
        <f>IF(INDEX(tblProductos[SKU],ROW()-ROW(tblConteo[#Headers]))="","",INDEX(tblProductos[SKU],ROW()-ROW(tblConteo[#Headers])))</f>
        <v/>
      </c>
      <c r="C283" s="49" t="str">
        <f>IF(tblConteo[[#This Row],[SKU]]="","",INDEX(tblProductos[Producto],ROW()-ROW(tblConteo[#Headers])))</f>
        <v/>
      </c>
      <c r="D283" s="49" t="str">
        <f>IF(tblConteo[[#This Row],[SKU]]="","",INDEX(tblProductos[Categoría],ROW()-ROW(tblConteo[#Headers]))&amp;"")</f>
        <v/>
      </c>
      <c r="E283" s="42" t="str">
        <f>IF(tblConteo[[#This Row],[SKU]]="","",INDEX(tblProductos[Ubicación],ROW()-ROW(tblConteo[#Headers]))&amp;"")</f>
        <v/>
      </c>
      <c r="F283" s="42" t="str">
        <f>IF(tblConteo[[#This Row],[SKU]]="","",INDEX(tblProductos[Unidad],ROW()-ROW(tblConteo[#Headers]))&amp;"")</f>
        <v/>
      </c>
      <c r="G283" s="42" t="str">
        <f>IF(tblConteo[[#This Row],[SKU]]="","",IF(INDEX(tblProductos[Activo],ROW()-ROW(tblConteo[#Headers]))="NO","NO","SI"))</f>
        <v/>
      </c>
      <c r="H283" s="53" t="str">
        <f>IF(tblConteo[[#This Row],[SKU]]="","",IFERROR(N(INDEX(tblStock[StockActual],MATCH(tblConteo[[#This Row],[SKU]],tblStock[SKU],0))),0))</f>
        <v/>
      </c>
      <c r="I283" s="52"/>
      <c r="J283" s="59" t="str">
        <f>IF(OR(tblConteo[[#This Row],[SKU]]="",tblConteo[[#This Row],[Conteo]]=""),"",IF(ISNUMBER(tblConteo[[#This Row],[Conteo]]),tblConteo[[#This Row],[Conteo]]-N(tblConteo[[#This Row],[Sistema]]),""))</f>
        <v/>
      </c>
      <c r="K283" s="62" t="str">
        <f>IF(tblConteo[[#This Row],[Diferencia]]="","",tblConteo[[#This Row],[Diferencia]]*N(INDEX(tblProductos[CostoUnitario],ROW()-ROW(tblConteo[#Headers]))))</f>
        <v/>
      </c>
      <c r="L28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4" spans="2:13" x14ac:dyDescent="0.25">
      <c r="B284" s="42" t="str">
        <f>IF(INDEX(tblProductos[SKU],ROW()-ROW(tblConteo[#Headers]))="","",INDEX(tblProductos[SKU],ROW()-ROW(tblConteo[#Headers])))</f>
        <v/>
      </c>
      <c r="C284" s="49" t="str">
        <f>IF(tblConteo[[#This Row],[SKU]]="","",INDEX(tblProductos[Producto],ROW()-ROW(tblConteo[#Headers])))</f>
        <v/>
      </c>
      <c r="D284" s="49" t="str">
        <f>IF(tblConteo[[#This Row],[SKU]]="","",INDEX(tblProductos[Categoría],ROW()-ROW(tblConteo[#Headers]))&amp;"")</f>
        <v/>
      </c>
      <c r="E284" s="42" t="str">
        <f>IF(tblConteo[[#This Row],[SKU]]="","",INDEX(tblProductos[Ubicación],ROW()-ROW(tblConteo[#Headers]))&amp;"")</f>
        <v/>
      </c>
      <c r="F284" s="42" t="str">
        <f>IF(tblConteo[[#This Row],[SKU]]="","",INDEX(tblProductos[Unidad],ROW()-ROW(tblConteo[#Headers]))&amp;"")</f>
        <v/>
      </c>
      <c r="G284" s="42" t="str">
        <f>IF(tblConteo[[#This Row],[SKU]]="","",IF(INDEX(tblProductos[Activo],ROW()-ROW(tblConteo[#Headers]))="NO","NO","SI"))</f>
        <v/>
      </c>
      <c r="H284" s="53" t="str">
        <f>IF(tblConteo[[#This Row],[SKU]]="","",IFERROR(N(INDEX(tblStock[StockActual],MATCH(tblConteo[[#This Row],[SKU]],tblStock[SKU],0))),0))</f>
        <v/>
      </c>
      <c r="I284" s="52"/>
      <c r="J284" s="59" t="str">
        <f>IF(OR(tblConteo[[#This Row],[SKU]]="",tblConteo[[#This Row],[Conteo]]=""),"",IF(ISNUMBER(tblConteo[[#This Row],[Conteo]]),tblConteo[[#This Row],[Conteo]]-N(tblConteo[[#This Row],[Sistema]]),""))</f>
        <v/>
      </c>
      <c r="K284" s="62" t="str">
        <f>IF(tblConteo[[#This Row],[Diferencia]]="","",tblConteo[[#This Row],[Diferencia]]*N(INDEX(tblProductos[CostoUnitario],ROW()-ROW(tblConteo[#Headers]))))</f>
        <v/>
      </c>
      <c r="L28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5" spans="2:13" x14ac:dyDescent="0.25">
      <c r="B285" s="42" t="str">
        <f>IF(INDEX(tblProductos[SKU],ROW()-ROW(tblConteo[#Headers]))="","",INDEX(tblProductos[SKU],ROW()-ROW(tblConteo[#Headers])))</f>
        <v/>
      </c>
      <c r="C285" s="49" t="str">
        <f>IF(tblConteo[[#This Row],[SKU]]="","",INDEX(tblProductos[Producto],ROW()-ROW(tblConteo[#Headers])))</f>
        <v/>
      </c>
      <c r="D285" s="49" t="str">
        <f>IF(tblConteo[[#This Row],[SKU]]="","",INDEX(tblProductos[Categoría],ROW()-ROW(tblConteo[#Headers]))&amp;"")</f>
        <v/>
      </c>
      <c r="E285" s="42" t="str">
        <f>IF(tblConteo[[#This Row],[SKU]]="","",INDEX(tblProductos[Ubicación],ROW()-ROW(tblConteo[#Headers]))&amp;"")</f>
        <v/>
      </c>
      <c r="F285" s="42" t="str">
        <f>IF(tblConteo[[#This Row],[SKU]]="","",INDEX(tblProductos[Unidad],ROW()-ROW(tblConteo[#Headers]))&amp;"")</f>
        <v/>
      </c>
      <c r="G285" s="42" t="str">
        <f>IF(tblConteo[[#This Row],[SKU]]="","",IF(INDEX(tblProductos[Activo],ROW()-ROW(tblConteo[#Headers]))="NO","NO","SI"))</f>
        <v/>
      </c>
      <c r="H285" s="53" t="str">
        <f>IF(tblConteo[[#This Row],[SKU]]="","",IFERROR(N(INDEX(tblStock[StockActual],MATCH(tblConteo[[#This Row],[SKU]],tblStock[SKU],0))),0))</f>
        <v/>
      </c>
      <c r="I285" s="52"/>
      <c r="J285" s="59" t="str">
        <f>IF(OR(tblConteo[[#This Row],[SKU]]="",tblConteo[[#This Row],[Conteo]]=""),"",IF(ISNUMBER(tblConteo[[#This Row],[Conteo]]),tblConteo[[#This Row],[Conteo]]-N(tblConteo[[#This Row],[Sistema]]),""))</f>
        <v/>
      </c>
      <c r="K285" s="62" t="str">
        <f>IF(tblConteo[[#This Row],[Diferencia]]="","",tblConteo[[#This Row],[Diferencia]]*N(INDEX(tblProductos[CostoUnitario],ROW()-ROW(tblConteo[#Headers]))))</f>
        <v/>
      </c>
      <c r="L28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6" spans="2:13" x14ac:dyDescent="0.25">
      <c r="B286" s="42" t="str">
        <f>IF(INDEX(tblProductos[SKU],ROW()-ROW(tblConteo[#Headers]))="","",INDEX(tblProductos[SKU],ROW()-ROW(tblConteo[#Headers])))</f>
        <v/>
      </c>
      <c r="C286" s="49" t="str">
        <f>IF(tblConteo[[#This Row],[SKU]]="","",INDEX(tblProductos[Producto],ROW()-ROW(tblConteo[#Headers])))</f>
        <v/>
      </c>
      <c r="D286" s="49" t="str">
        <f>IF(tblConteo[[#This Row],[SKU]]="","",INDEX(tblProductos[Categoría],ROW()-ROW(tblConteo[#Headers]))&amp;"")</f>
        <v/>
      </c>
      <c r="E286" s="42" t="str">
        <f>IF(tblConteo[[#This Row],[SKU]]="","",INDEX(tblProductos[Ubicación],ROW()-ROW(tblConteo[#Headers]))&amp;"")</f>
        <v/>
      </c>
      <c r="F286" s="42" t="str">
        <f>IF(tblConteo[[#This Row],[SKU]]="","",INDEX(tblProductos[Unidad],ROW()-ROW(tblConteo[#Headers]))&amp;"")</f>
        <v/>
      </c>
      <c r="G286" s="42" t="str">
        <f>IF(tblConteo[[#This Row],[SKU]]="","",IF(INDEX(tblProductos[Activo],ROW()-ROW(tblConteo[#Headers]))="NO","NO","SI"))</f>
        <v/>
      </c>
      <c r="H286" s="53" t="str">
        <f>IF(tblConteo[[#This Row],[SKU]]="","",IFERROR(N(INDEX(tblStock[StockActual],MATCH(tblConteo[[#This Row],[SKU]],tblStock[SKU],0))),0))</f>
        <v/>
      </c>
      <c r="I286" s="52"/>
      <c r="J286" s="59" t="str">
        <f>IF(OR(tblConteo[[#This Row],[SKU]]="",tblConteo[[#This Row],[Conteo]]=""),"",IF(ISNUMBER(tblConteo[[#This Row],[Conteo]]),tblConteo[[#This Row],[Conteo]]-N(tblConteo[[#This Row],[Sistema]]),""))</f>
        <v/>
      </c>
      <c r="K286" s="62" t="str">
        <f>IF(tblConteo[[#This Row],[Diferencia]]="","",tblConteo[[#This Row],[Diferencia]]*N(INDEX(tblProductos[CostoUnitario],ROW()-ROW(tblConteo[#Headers]))))</f>
        <v/>
      </c>
      <c r="L28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7" spans="2:13" x14ac:dyDescent="0.25">
      <c r="B287" s="42" t="str">
        <f>IF(INDEX(tblProductos[SKU],ROW()-ROW(tblConteo[#Headers]))="","",INDEX(tblProductos[SKU],ROW()-ROW(tblConteo[#Headers])))</f>
        <v/>
      </c>
      <c r="C287" s="49" t="str">
        <f>IF(tblConteo[[#This Row],[SKU]]="","",INDEX(tblProductos[Producto],ROW()-ROW(tblConteo[#Headers])))</f>
        <v/>
      </c>
      <c r="D287" s="49" t="str">
        <f>IF(tblConteo[[#This Row],[SKU]]="","",INDEX(tblProductos[Categoría],ROW()-ROW(tblConteo[#Headers]))&amp;"")</f>
        <v/>
      </c>
      <c r="E287" s="42" t="str">
        <f>IF(tblConteo[[#This Row],[SKU]]="","",INDEX(tblProductos[Ubicación],ROW()-ROW(tblConteo[#Headers]))&amp;"")</f>
        <v/>
      </c>
      <c r="F287" s="42" t="str">
        <f>IF(tblConteo[[#This Row],[SKU]]="","",INDEX(tblProductos[Unidad],ROW()-ROW(tblConteo[#Headers]))&amp;"")</f>
        <v/>
      </c>
      <c r="G287" s="42" t="str">
        <f>IF(tblConteo[[#This Row],[SKU]]="","",IF(INDEX(tblProductos[Activo],ROW()-ROW(tblConteo[#Headers]))="NO","NO","SI"))</f>
        <v/>
      </c>
      <c r="H287" s="53" t="str">
        <f>IF(tblConteo[[#This Row],[SKU]]="","",IFERROR(N(INDEX(tblStock[StockActual],MATCH(tblConteo[[#This Row],[SKU]],tblStock[SKU],0))),0))</f>
        <v/>
      </c>
      <c r="I287" s="52"/>
      <c r="J287" s="59" t="str">
        <f>IF(OR(tblConteo[[#This Row],[SKU]]="",tblConteo[[#This Row],[Conteo]]=""),"",IF(ISNUMBER(tblConteo[[#This Row],[Conteo]]),tblConteo[[#This Row],[Conteo]]-N(tblConteo[[#This Row],[Sistema]]),""))</f>
        <v/>
      </c>
      <c r="K287" s="62" t="str">
        <f>IF(tblConteo[[#This Row],[Diferencia]]="","",tblConteo[[#This Row],[Diferencia]]*N(INDEX(tblProductos[CostoUnitario],ROW()-ROW(tblConteo[#Headers]))))</f>
        <v/>
      </c>
      <c r="L28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8" spans="2:13" x14ac:dyDescent="0.25">
      <c r="B288" s="42" t="str">
        <f>IF(INDEX(tblProductos[SKU],ROW()-ROW(tblConteo[#Headers]))="","",INDEX(tblProductos[SKU],ROW()-ROW(tblConteo[#Headers])))</f>
        <v/>
      </c>
      <c r="C288" s="49" t="str">
        <f>IF(tblConteo[[#This Row],[SKU]]="","",INDEX(tblProductos[Producto],ROW()-ROW(tblConteo[#Headers])))</f>
        <v/>
      </c>
      <c r="D288" s="49" t="str">
        <f>IF(tblConteo[[#This Row],[SKU]]="","",INDEX(tblProductos[Categoría],ROW()-ROW(tblConteo[#Headers]))&amp;"")</f>
        <v/>
      </c>
      <c r="E288" s="42" t="str">
        <f>IF(tblConteo[[#This Row],[SKU]]="","",INDEX(tblProductos[Ubicación],ROW()-ROW(tblConteo[#Headers]))&amp;"")</f>
        <v/>
      </c>
      <c r="F288" s="42" t="str">
        <f>IF(tblConteo[[#This Row],[SKU]]="","",INDEX(tblProductos[Unidad],ROW()-ROW(tblConteo[#Headers]))&amp;"")</f>
        <v/>
      </c>
      <c r="G288" s="42" t="str">
        <f>IF(tblConteo[[#This Row],[SKU]]="","",IF(INDEX(tblProductos[Activo],ROW()-ROW(tblConteo[#Headers]))="NO","NO","SI"))</f>
        <v/>
      </c>
      <c r="H288" s="53" t="str">
        <f>IF(tblConteo[[#This Row],[SKU]]="","",IFERROR(N(INDEX(tblStock[StockActual],MATCH(tblConteo[[#This Row],[SKU]],tblStock[SKU],0))),0))</f>
        <v/>
      </c>
      <c r="I288" s="52"/>
      <c r="J288" s="59" t="str">
        <f>IF(OR(tblConteo[[#This Row],[SKU]]="",tblConteo[[#This Row],[Conteo]]=""),"",IF(ISNUMBER(tblConteo[[#This Row],[Conteo]]),tblConteo[[#This Row],[Conteo]]-N(tblConteo[[#This Row],[Sistema]]),""))</f>
        <v/>
      </c>
      <c r="K288" s="62" t="str">
        <f>IF(tblConteo[[#This Row],[Diferencia]]="","",tblConteo[[#This Row],[Diferencia]]*N(INDEX(tblProductos[CostoUnitario],ROW()-ROW(tblConteo[#Headers]))))</f>
        <v/>
      </c>
      <c r="L28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9" spans="2:13" x14ac:dyDescent="0.25">
      <c r="B289" s="42" t="str">
        <f>IF(INDEX(tblProductos[SKU],ROW()-ROW(tblConteo[#Headers]))="","",INDEX(tblProductos[SKU],ROW()-ROW(tblConteo[#Headers])))</f>
        <v/>
      </c>
      <c r="C289" s="49" t="str">
        <f>IF(tblConteo[[#This Row],[SKU]]="","",INDEX(tblProductos[Producto],ROW()-ROW(tblConteo[#Headers])))</f>
        <v/>
      </c>
      <c r="D289" s="49" t="str">
        <f>IF(tblConteo[[#This Row],[SKU]]="","",INDEX(tblProductos[Categoría],ROW()-ROW(tblConteo[#Headers]))&amp;"")</f>
        <v/>
      </c>
      <c r="E289" s="42" t="str">
        <f>IF(tblConteo[[#This Row],[SKU]]="","",INDEX(tblProductos[Ubicación],ROW()-ROW(tblConteo[#Headers]))&amp;"")</f>
        <v/>
      </c>
      <c r="F289" s="42" t="str">
        <f>IF(tblConteo[[#This Row],[SKU]]="","",INDEX(tblProductos[Unidad],ROW()-ROW(tblConteo[#Headers]))&amp;"")</f>
        <v/>
      </c>
      <c r="G289" s="42" t="str">
        <f>IF(tblConteo[[#This Row],[SKU]]="","",IF(INDEX(tblProductos[Activo],ROW()-ROW(tblConteo[#Headers]))="NO","NO","SI"))</f>
        <v/>
      </c>
      <c r="H289" s="53" t="str">
        <f>IF(tblConteo[[#This Row],[SKU]]="","",IFERROR(N(INDEX(tblStock[StockActual],MATCH(tblConteo[[#This Row],[SKU]],tblStock[SKU],0))),0))</f>
        <v/>
      </c>
      <c r="I289" s="52"/>
      <c r="J289" s="59" t="str">
        <f>IF(OR(tblConteo[[#This Row],[SKU]]="",tblConteo[[#This Row],[Conteo]]=""),"",IF(ISNUMBER(tblConteo[[#This Row],[Conteo]]),tblConteo[[#This Row],[Conteo]]-N(tblConteo[[#This Row],[Sistema]]),""))</f>
        <v/>
      </c>
      <c r="K289" s="62" t="str">
        <f>IF(tblConteo[[#This Row],[Diferencia]]="","",tblConteo[[#This Row],[Diferencia]]*N(INDEX(tblProductos[CostoUnitario],ROW()-ROW(tblConteo[#Headers]))))</f>
        <v/>
      </c>
      <c r="L28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0" spans="2:13" x14ac:dyDescent="0.25">
      <c r="B290" s="42" t="str">
        <f>IF(INDEX(tblProductos[SKU],ROW()-ROW(tblConteo[#Headers]))="","",INDEX(tblProductos[SKU],ROW()-ROW(tblConteo[#Headers])))</f>
        <v/>
      </c>
      <c r="C290" s="49" t="str">
        <f>IF(tblConteo[[#This Row],[SKU]]="","",INDEX(tblProductos[Producto],ROW()-ROW(tblConteo[#Headers])))</f>
        <v/>
      </c>
      <c r="D290" s="49" t="str">
        <f>IF(tblConteo[[#This Row],[SKU]]="","",INDEX(tblProductos[Categoría],ROW()-ROW(tblConteo[#Headers]))&amp;"")</f>
        <v/>
      </c>
      <c r="E290" s="42" t="str">
        <f>IF(tblConteo[[#This Row],[SKU]]="","",INDEX(tblProductos[Ubicación],ROW()-ROW(tblConteo[#Headers]))&amp;"")</f>
        <v/>
      </c>
      <c r="F290" s="42" t="str">
        <f>IF(tblConteo[[#This Row],[SKU]]="","",INDEX(tblProductos[Unidad],ROW()-ROW(tblConteo[#Headers]))&amp;"")</f>
        <v/>
      </c>
      <c r="G290" s="42" t="str">
        <f>IF(tblConteo[[#This Row],[SKU]]="","",IF(INDEX(tblProductos[Activo],ROW()-ROW(tblConteo[#Headers]))="NO","NO","SI"))</f>
        <v/>
      </c>
      <c r="H290" s="53" t="str">
        <f>IF(tblConteo[[#This Row],[SKU]]="","",IFERROR(N(INDEX(tblStock[StockActual],MATCH(tblConteo[[#This Row],[SKU]],tblStock[SKU],0))),0))</f>
        <v/>
      </c>
      <c r="I290" s="52"/>
      <c r="J290" s="59" t="str">
        <f>IF(OR(tblConteo[[#This Row],[SKU]]="",tblConteo[[#This Row],[Conteo]]=""),"",IF(ISNUMBER(tblConteo[[#This Row],[Conteo]]),tblConteo[[#This Row],[Conteo]]-N(tblConteo[[#This Row],[Sistema]]),""))</f>
        <v/>
      </c>
      <c r="K290" s="62" t="str">
        <f>IF(tblConteo[[#This Row],[Diferencia]]="","",tblConteo[[#This Row],[Diferencia]]*N(INDEX(tblProductos[CostoUnitario],ROW()-ROW(tblConteo[#Headers]))))</f>
        <v/>
      </c>
      <c r="L29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1" spans="2:13" x14ac:dyDescent="0.25">
      <c r="B291" s="42" t="str">
        <f>IF(INDEX(tblProductos[SKU],ROW()-ROW(tblConteo[#Headers]))="","",INDEX(tblProductos[SKU],ROW()-ROW(tblConteo[#Headers])))</f>
        <v/>
      </c>
      <c r="C291" s="49" t="str">
        <f>IF(tblConteo[[#This Row],[SKU]]="","",INDEX(tblProductos[Producto],ROW()-ROW(tblConteo[#Headers])))</f>
        <v/>
      </c>
      <c r="D291" s="49" t="str">
        <f>IF(tblConteo[[#This Row],[SKU]]="","",INDEX(tblProductos[Categoría],ROW()-ROW(tblConteo[#Headers]))&amp;"")</f>
        <v/>
      </c>
      <c r="E291" s="42" t="str">
        <f>IF(tblConteo[[#This Row],[SKU]]="","",INDEX(tblProductos[Ubicación],ROW()-ROW(tblConteo[#Headers]))&amp;"")</f>
        <v/>
      </c>
      <c r="F291" s="42" t="str">
        <f>IF(tblConteo[[#This Row],[SKU]]="","",INDEX(tblProductos[Unidad],ROW()-ROW(tblConteo[#Headers]))&amp;"")</f>
        <v/>
      </c>
      <c r="G291" s="42" t="str">
        <f>IF(tblConteo[[#This Row],[SKU]]="","",IF(INDEX(tblProductos[Activo],ROW()-ROW(tblConteo[#Headers]))="NO","NO","SI"))</f>
        <v/>
      </c>
      <c r="H291" s="53" t="str">
        <f>IF(tblConteo[[#This Row],[SKU]]="","",IFERROR(N(INDEX(tblStock[StockActual],MATCH(tblConteo[[#This Row],[SKU]],tblStock[SKU],0))),0))</f>
        <v/>
      </c>
      <c r="I291" s="52"/>
      <c r="J291" s="59" t="str">
        <f>IF(OR(tblConteo[[#This Row],[SKU]]="",tblConteo[[#This Row],[Conteo]]=""),"",IF(ISNUMBER(tblConteo[[#This Row],[Conteo]]),tblConteo[[#This Row],[Conteo]]-N(tblConteo[[#This Row],[Sistema]]),""))</f>
        <v/>
      </c>
      <c r="K291" s="62" t="str">
        <f>IF(tblConteo[[#This Row],[Diferencia]]="","",tblConteo[[#This Row],[Diferencia]]*N(INDEX(tblProductos[CostoUnitario],ROW()-ROW(tblConteo[#Headers]))))</f>
        <v/>
      </c>
      <c r="L29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2" spans="2:13" x14ac:dyDescent="0.25">
      <c r="B292" s="42" t="str">
        <f>IF(INDEX(tblProductos[SKU],ROW()-ROW(tblConteo[#Headers]))="","",INDEX(tblProductos[SKU],ROW()-ROW(tblConteo[#Headers])))</f>
        <v/>
      </c>
      <c r="C292" s="49" t="str">
        <f>IF(tblConteo[[#This Row],[SKU]]="","",INDEX(tblProductos[Producto],ROW()-ROW(tblConteo[#Headers])))</f>
        <v/>
      </c>
      <c r="D292" s="49" t="str">
        <f>IF(tblConteo[[#This Row],[SKU]]="","",INDEX(tblProductos[Categoría],ROW()-ROW(tblConteo[#Headers]))&amp;"")</f>
        <v/>
      </c>
      <c r="E292" s="42" t="str">
        <f>IF(tblConteo[[#This Row],[SKU]]="","",INDEX(tblProductos[Ubicación],ROW()-ROW(tblConteo[#Headers]))&amp;"")</f>
        <v/>
      </c>
      <c r="F292" s="42" t="str">
        <f>IF(tblConteo[[#This Row],[SKU]]="","",INDEX(tblProductos[Unidad],ROW()-ROW(tblConteo[#Headers]))&amp;"")</f>
        <v/>
      </c>
      <c r="G292" s="42" t="str">
        <f>IF(tblConteo[[#This Row],[SKU]]="","",IF(INDEX(tblProductos[Activo],ROW()-ROW(tblConteo[#Headers]))="NO","NO","SI"))</f>
        <v/>
      </c>
      <c r="H292" s="53" t="str">
        <f>IF(tblConteo[[#This Row],[SKU]]="","",IFERROR(N(INDEX(tblStock[StockActual],MATCH(tblConteo[[#This Row],[SKU]],tblStock[SKU],0))),0))</f>
        <v/>
      </c>
      <c r="I292" s="52"/>
      <c r="J292" s="59" t="str">
        <f>IF(OR(tblConteo[[#This Row],[SKU]]="",tblConteo[[#This Row],[Conteo]]=""),"",IF(ISNUMBER(tblConteo[[#This Row],[Conteo]]),tblConteo[[#This Row],[Conteo]]-N(tblConteo[[#This Row],[Sistema]]),""))</f>
        <v/>
      </c>
      <c r="K292" s="62" t="str">
        <f>IF(tblConteo[[#This Row],[Diferencia]]="","",tblConteo[[#This Row],[Diferencia]]*N(INDEX(tblProductos[CostoUnitario],ROW()-ROW(tblConteo[#Headers]))))</f>
        <v/>
      </c>
      <c r="L29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3" spans="2:13" x14ac:dyDescent="0.25">
      <c r="B293" s="42" t="str">
        <f>IF(INDEX(tblProductos[SKU],ROW()-ROW(tblConteo[#Headers]))="","",INDEX(tblProductos[SKU],ROW()-ROW(tblConteo[#Headers])))</f>
        <v/>
      </c>
      <c r="C293" s="49" t="str">
        <f>IF(tblConteo[[#This Row],[SKU]]="","",INDEX(tblProductos[Producto],ROW()-ROW(tblConteo[#Headers])))</f>
        <v/>
      </c>
      <c r="D293" s="49" t="str">
        <f>IF(tblConteo[[#This Row],[SKU]]="","",INDEX(tblProductos[Categoría],ROW()-ROW(tblConteo[#Headers]))&amp;"")</f>
        <v/>
      </c>
      <c r="E293" s="42" t="str">
        <f>IF(tblConteo[[#This Row],[SKU]]="","",INDEX(tblProductos[Ubicación],ROW()-ROW(tblConteo[#Headers]))&amp;"")</f>
        <v/>
      </c>
      <c r="F293" s="42" t="str">
        <f>IF(tblConteo[[#This Row],[SKU]]="","",INDEX(tblProductos[Unidad],ROW()-ROW(tblConteo[#Headers]))&amp;"")</f>
        <v/>
      </c>
      <c r="G293" s="42" t="str">
        <f>IF(tblConteo[[#This Row],[SKU]]="","",IF(INDEX(tblProductos[Activo],ROW()-ROW(tblConteo[#Headers]))="NO","NO","SI"))</f>
        <v/>
      </c>
      <c r="H293" s="53" t="str">
        <f>IF(tblConteo[[#This Row],[SKU]]="","",IFERROR(N(INDEX(tblStock[StockActual],MATCH(tblConteo[[#This Row],[SKU]],tblStock[SKU],0))),0))</f>
        <v/>
      </c>
      <c r="I293" s="52"/>
      <c r="J293" s="59" t="str">
        <f>IF(OR(tblConteo[[#This Row],[SKU]]="",tblConteo[[#This Row],[Conteo]]=""),"",IF(ISNUMBER(tblConteo[[#This Row],[Conteo]]),tblConteo[[#This Row],[Conteo]]-N(tblConteo[[#This Row],[Sistema]]),""))</f>
        <v/>
      </c>
      <c r="K293" s="62" t="str">
        <f>IF(tblConteo[[#This Row],[Diferencia]]="","",tblConteo[[#This Row],[Diferencia]]*N(INDEX(tblProductos[CostoUnitario],ROW()-ROW(tblConteo[#Headers]))))</f>
        <v/>
      </c>
      <c r="L29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4" spans="2:13" x14ac:dyDescent="0.25">
      <c r="B294" s="42" t="str">
        <f>IF(INDEX(tblProductos[SKU],ROW()-ROW(tblConteo[#Headers]))="","",INDEX(tblProductos[SKU],ROW()-ROW(tblConteo[#Headers])))</f>
        <v/>
      </c>
      <c r="C294" s="49" t="str">
        <f>IF(tblConteo[[#This Row],[SKU]]="","",INDEX(tblProductos[Producto],ROW()-ROW(tblConteo[#Headers])))</f>
        <v/>
      </c>
      <c r="D294" s="49" t="str">
        <f>IF(tblConteo[[#This Row],[SKU]]="","",INDEX(tblProductos[Categoría],ROW()-ROW(tblConteo[#Headers]))&amp;"")</f>
        <v/>
      </c>
      <c r="E294" s="42" t="str">
        <f>IF(tblConteo[[#This Row],[SKU]]="","",INDEX(tblProductos[Ubicación],ROW()-ROW(tblConteo[#Headers]))&amp;"")</f>
        <v/>
      </c>
      <c r="F294" s="42" t="str">
        <f>IF(tblConteo[[#This Row],[SKU]]="","",INDEX(tblProductos[Unidad],ROW()-ROW(tblConteo[#Headers]))&amp;"")</f>
        <v/>
      </c>
      <c r="G294" s="42" t="str">
        <f>IF(tblConteo[[#This Row],[SKU]]="","",IF(INDEX(tblProductos[Activo],ROW()-ROW(tblConteo[#Headers]))="NO","NO","SI"))</f>
        <v/>
      </c>
      <c r="H294" s="53" t="str">
        <f>IF(tblConteo[[#This Row],[SKU]]="","",IFERROR(N(INDEX(tblStock[StockActual],MATCH(tblConteo[[#This Row],[SKU]],tblStock[SKU],0))),0))</f>
        <v/>
      </c>
      <c r="I294" s="52"/>
      <c r="J294" s="59" t="str">
        <f>IF(OR(tblConteo[[#This Row],[SKU]]="",tblConteo[[#This Row],[Conteo]]=""),"",IF(ISNUMBER(tblConteo[[#This Row],[Conteo]]),tblConteo[[#This Row],[Conteo]]-N(tblConteo[[#This Row],[Sistema]]),""))</f>
        <v/>
      </c>
      <c r="K294" s="62" t="str">
        <f>IF(tblConteo[[#This Row],[Diferencia]]="","",tblConteo[[#This Row],[Diferencia]]*N(INDEX(tblProductos[CostoUnitario],ROW()-ROW(tblConteo[#Headers]))))</f>
        <v/>
      </c>
      <c r="L29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5" spans="2:13" x14ac:dyDescent="0.25">
      <c r="B295" s="42" t="str">
        <f>IF(INDEX(tblProductos[SKU],ROW()-ROW(tblConteo[#Headers]))="","",INDEX(tblProductos[SKU],ROW()-ROW(tblConteo[#Headers])))</f>
        <v/>
      </c>
      <c r="C295" s="49" t="str">
        <f>IF(tblConteo[[#This Row],[SKU]]="","",INDEX(tblProductos[Producto],ROW()-ROW(tblConteo[#Headers])))</f>
        <v/>
      </c>
      <c r="D295" s="49" t="str">
        <f>IF(tblConteo[[#This Row],[SKU]]="","",INDEX(tblProductos[Categoría],ROW()-ROW(tblConteo[#Headers]))&amp;"")</f>
        <v/>
      </c>
      <c r="E295" s="42" t="str">
        <f>IF(tblConteo[[#This Row],[SKU]]="","",INDEX(tblProductos[Ubicación],ROW()-ROW(tblConteo[#Headers]))&amp;"")</f>
        <v/>
      </c>
      <c r="F295" s="42" t="str">
        <f>IF(tblConteo[[#This Row],[SKU]]="","",INDEX(tblProductos[Unidad],ROW()-ROW(tblConteo[#Headers]))&amp;"")</f>
        <v/>
      </c>
      <c r="G295" s="42" t="str">
        <f>IF(tblConteo[[#This Row],[SKU]]="","",IF(INDEX(tblProductos[Activo],ROW()-ROW(tblConteo[#Headers]))="NO","NO","SI"))</f>
        <v/>
      </c>
      <c r="H295" s="53" t="str">
        <f>IF(tblConteo[[#This Row],[SKU]]="","",IFERROR(N(INDEX(tblStock[StockActual],MATCH(tblConteo[[#This Row],[SKU]],tblStock[SKU],0))),0))</f>
        <v/>
      </c>
      <c r="I295" s="52"/>
      <c r="J295" s="59" t="str">
        <f>IF(OR(tblConteo[[#This Row],[SKU]]="",tblConteo[[#This Row],[Conteo]]=""),"",IF(ISNUMBER(tblConteo[[#This Row],[Conteo]]),tblConteo[[#This Row],[Conteo]]-N(tblConteo[[#This Row],[Sistema]]),""))</f>
        <v/>
      </c>
      <c r="K295" s="62" t="str">
        <f>IF(tblConteo[[#This Row],[Diferencia]]="","",tblConteo[[#This Row],[Diferencia]]*N(INDEX(tblProductos[CostoUnitario],ROW()-ROW(tblConteo[#Headers]))))</f>
        <v/>
      </c>
      <c r="L29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6" spans="2:13" x14ac:dyDescent="0.25">
      <c r="B296" s="42" t="str">
        <f>IF(INDEX(tblProductos[SKU],ROW()-ROW(tblConteo[#Headers]))="","",INDEX(tblProductos[SKU],ROW()-ROW(tblConteo[#Headers])))</f>
        <v/>
      </c>
      <c r="C296" s="49" t="str">
        <f>IF(tblConteo[[#This Row],[SKU]]="","",INDEX(tblProductos[Producto],ROW()-ROW(tblConteo[#Headers])))</f>
        <v/>
      </c>
      <c r="D296" s="49" t="str">
        <f>IF(tblConteo[[#This Row],[SKU]]="","",INDEX(tblProductos[Categoría],ROW()-ROW(tblConteo[#Headers]))&amp;"")</f>
        <v/>
      </c>
      <c r="E296" s="42" t="str">
        <f>IF(tblConteo[[#This Row],[SKU]]="","",INDEX(tblProductos[Ubicación],ROW()-ROW(tblConteo[#Headers]))&amp;"")</f>
        <v/>
      </c>
      <c r="F296" s="42" t="str">
        <f>IF(tblConteo[[#This Row],[SKU]]="","",INDEX(tblProductos[Unidad],ROW()-ROW(tblConteo[#Headers]))&amp;"")</f>
        <v/>
      </c>
      <c r="G296" s="42" t="str">
        <f>IF(tblConteo[[#This Row],[SKU]]="","",IF(INDEX(tblProductos[Activo],ROW()-ROW(tblConteo[#Headers]))="NO","NO","SI"))</f>
        <v/>
      </c>
      <c r="H296" s="53" t="str">
        <f>IF(tblConteo[[#This Row],[SKU]]="","",IFERROR(N(INDEX(tblStock[StockActual],MATCH(tblConteo[[#This Row],[SKU]],tblStock[SKU],0))),0))</f>
        <v/>
      </c>
      <c r="I296" s="52"/>
      <c r="J296" s="59" t="str">
        <f>IF(OR(tblConteo[[#This Row],[SKU]]="",tblConteo[[#This Row],[Conteo]]=""),"",IF(ISNUMBER(tblConteo[[#This Row],[Conteo]]),tblConteo[[#This Row],[Conteo]]-N(tblConteo[[#This Row],[Sistema]]),""))</f>
        <v/>
      </c>
      <c r="K296" s="62" t="str">
        <f>IF(tblConteo[[#This Row],[Diferencia]]="","",tblConteo[[#This Row],[Diferencia]]*N(INDEX(tblProductos[CostoUnitario],ROW()-ROW(tblConteo[#Headers]))))</f>
        <v/>
      </c>
      <c r="L29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7" spans="2:13" x14ac:dyDescent="0.25">
      <c r="B297" s="42" t="str">
        <f>IF(INDEX(tblProductos[SKU],ROW()-ROW(tblConteo[#Headers]))="","",INDEX(tblProductos[SKU],ROW()-ROW(tblConteo[#Headers])))</f>
        <v/>
      </c>
      <c r="C297" s="49" t="str">
        <f>IF(tblConteo[[#This Row],[SKU]]="","",INDEX(tblProductos[Producto],ROW()-ROW(tblConteo[#Headers])))</f>
        <v/>
      </c>
      <c r="D297" s="49" t="str">
        <f>IF(tblConteo[[#This Row],[SKU]]="","",INDEX(tblProductos[Categoría],ROW()-ROW(tblConteo[#Headers]))&amp;"")</f>
        <v/>
      </c>
      <c r="E297" s="42" t="str">
        <f>IF(tblConteo[[#This Row],[SKU]]="","",INDEX(tblProductos[Ubicación],ROW()-ROW(tblConteo[#Headers]))&amp;"")</f>
        <v/>
      </c>
      <c r="F297" s="42" t="str">
        <f>IF(tblConteo[[#This Row],[SKU]]="","",INDEX(tblProductos[Unidad],ROW()-ROW(tblConteo[#Headers]))&amp;"")</f>
        <v/>
      </c>
      <c r="G297" s="42" t="str">
        <f>IF(tblConteo[[#This Row],[SKU]]="","",IF(INDEX(tblProductos[Activo],ROW()-ROW(tblConteo[#Headers]))="NO","NO","SI"))</f>
        <v/>
      </c>
      <c r="H297" s="53" t="str">
        <f>IF(tblConteo[[#This Row],[SKU]]="","",IFERROR(N(INDEX(tblStock[StockActual],MATCH(tblConteo[[#This Row],[SKU]],tblStock[SKU],0))),0))</f>
        <v/>
      </c>
      <c r="I297" s="52"/>
      <c r="J297" s="59" t="str">
        <f>IF(OR(tblConteo[[#This Row],[SKU]]="",tblConteo[[#This Row],[Conteo]]=""),"",IF(ISNUMBER(tblConteo[[#This Row],[Conteo]]),tblConteo[[#This Row],[Conteo]]-N(tblConteo[[#This Row],[Sistema]]),""))</f>
        <v/>
      </c>
      <c r="K297" s="62" t="str">
        <f>IF(tblConteo[[#This Row],[Diferencia]]="","",tblConteo[[#This Row],[Diferencia]]*N(INDEX(tblProductos[CostoUnitario],ROW()-ROW(tblConteo[#Headers]))))</f>
        <v/>
      </c>
      <c r="L29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8" spans="2:13" x14ac:dyDescent="0.25">
      <c r="B298" s="42" t="str">
        <f>IF(INDEX(tblProductos[SKU],ROW()-ROW(tblConteo[#Headers]))="","",INDEX(tblProductos[SKU],ROW()-ROW(tblConteo[#Headers])))</f>
        <v/>
      </c>
      <c r="C298" s="49" t="str">
        <f>IF(tblConteo[[#This Row],[SKU]]="","",INDEX(tblProductos[Producto],ROW()-ROW(tblConteo[#Headers])))</f>
        <v/>
      </c>
      <c r="D298" s="49" t="str">
        <f>IF(tblConteo[[#This Row],[SKU]]="","",INDEX(tblProductos[Categoría],ROW()-ROW(tblConteo[#Headers]))&amp;"")</f>
        <v/>
      </c>
      <c r="E298" s="42" t="str">
        <f>IF(tblConteo[[#This Row],[SKU]]="","",INDEX(tblProductos[Ubicación],ROW()-ROW(tblConteo[#Headers]))&amp;"")</f>
        <v/>
      </c>
      <c r="F298" s="42" t="str">
        <f>IF(tblConteo[[#This Row],[SKU]]="","",INDEX(tblProductos[Unidad],ROW()-ROW(tblConteo[#Headers]))&amp;"")</f>
        <v/>
      </c>
      <c r="G298" s="42" t="str">
        <f>IF(tblConteo[[#This Row],[SKU]]="","",IF(INDEX(tblProductos[Activo],ROW()-ROW(tblConteo[#Headers]))="NO","NO","SI"))</f>
        <v/>
      </c>
      <c r="H298" s="53" t="str">
        <f>IF(tblConteo[[#This Row],[SKU]]="","",IFERROR(N(INDEX(tblStock[StockActual],MATCH(tblConteo[[#This Row],[SKU]],tblStock[SKU],0))),0))</f>
        <v/>
      </c>
      <c r="I298" s="52"/>
      <c r="J298" s="59" t="str">
        <f>IF(OR(tblConteo[[#This Row],[SKU]]="",tblConteo[[#This Row],[Conteo]]=""),"",IF(ISNUMBER(tblConteo[[#This Row],[Conteo]]),tblConteo[[#This Row],[Conteo]]-N(tblConteo[[#This Row],[Sistema]]),""))</f>
        <v/>
      </c>
      <c r="K298" s="62" t="str">
        <f>IF(tblConteo[[#This Row],[Diferencia]]="","",tblConteo[[#This Row],[Diferencia]]*N(INDEX(tblProductos[CostoUnitario],ROW()-ROW(tblConteo[#Headers]))))</f>
        <v/>
      </c>
      <c r="L29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9" spans="2:13" x14ac:dyDescent="0.25">
      <c r="B299" s="42" t="str">
        <f>IF(INDEX(tblProductos[SKU],ROW()-ROW(tblConteo[#Headers]))="","",INDEX(tblProductos[SKU],ROW()-ROW(tblConteo[#Headers])))</f>
        <v/>
      </c>
      <c r="C299" s="49" t="str">
        <f>IF(tblConteo[[#This Row],[SKU]]="","",INDEX(tblProductos[Producto],ROW()-ROW(tblConteo[#Headers])))</f>
        <v/>
      </c>
      <c r="D299" s="49" t="str">
        <f>IF(tblConteo[[#This Row],[SKU]]="","",INDEX(tblProductos[Categoría],ROW()-ROW(tblConteo[#Headers]))&amp;"")</f>
        <v/>
      </c>
      <c r="E299" s="42" t="str">
        <f>IF(tblConteo[[#This Row],[SKU]]="","",INDEX(tblProductos[Ubicación],ROW()-ROW(tblConteo[#Headers]))&amp;"")</f>
        <v/>
      </c>
      <c r="F299" s="42" t="str">
        <f>IF(tblConteo[[#This Row],[SKU]]="","",INDEX(tblProductos[Unidad],ROW()-ROW(tblConteo[#Headers]))&amp;"")</f>
        <v/>
      </c>
      <c r="G299" s="42" t="str">
        <f>IF(tblConteo[[#This Row],[SKU]]="","",IF(INDEX(tblProductos[Activo],ROW()-ROW(tblConteo[#Headers]))="NO","NO","SI"))</f>
        <v/>
      </c>
      <c r="H299" s="53" t="str">
        <f>IF(tblConteo[[#This Row],[SKU]]="","",IFERROR(N(INDEX(tblStock[StockActual],MATCH(tblConteo[[#This Row],[SKU]],tblStock[SKU],0))),0))</f>
        <v/>
      </c>
      <c r="I299" s="52"/>
      <c r="J299" s="59" t="str">
        <f>IF(OR(tblConteo[[#This Row],[SKU]]="",tblConteo[[#This Row],[Conteo]]=""),"",IF(ISNUMBER(tblConteo[[#This Row],[Conteo]]),tblConteo[[#This Row],[Conteo]]-N(tblConteo[[#This Row],[Sistema]]),""))</f>
        <v/>
      </c>
      <c r="K299" s="62" t="str">
        <f>IF(tblConteo[[#This Row],[Diferencia]]="","",tblConteo[[#This Row],[Diferencia]]*N(INDEX(tblProductos[CostoUnitario],ROW()-ROW(tblConteo[#Headers]))))</f>
        <v/>
      </c>
      <c r="L29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0" spans="2:13" x14ac:dyDescent="0.25">
      <c r="B300" s="42" t="str">
        <f>IF(INDEX(tblProductos[SKU],ROW()-ROW(tblConteo[#Headers]))="","",INDEX(tblProductos[SKU],ROW()-ROW(tblConteo[#Headers])))</f>
        <v/>
      </c>
      <c r="C300" s="49" t="str">
        <f>IF(tblConteo[[#This Row],[SKU]]="","",INDEX(tblProductos[Producto],ROW()-ROW(tblConteo[#Headers])))</f>
        <v/>
      </c>
      <c r="D300" s="49" t="str">
        <f>IF(tblConteo[[#This Row],[SKU]]="","",INDEX(tblProductos[Categoría],ROW()-ROW(tblConteo[#Headers]))&amp;"")</f>
        <v/>
      </c>
      <c r="E300" s="42" t="str">
        <f>IF(tblConteo[[#This Row],[SKU]]="","",INDEX(tblProductos[Ubicación],ROW()-ROW(tblConteo[#Headers]))&amp;"")</f>
        <v/>
      </c>
      <c r="F300" s="42" t="str">
        <f>IF(tblConteo[[#This Row],[SKU]]="","",INDEX(tblProductos[Unidad],ROW()-ROW(tblConteo[#Headers]))&amp;"")</f>
        <v/>
      </c>
      <c r="G300" s="42" t="str">
        <f>IF(tblConteo[[#This Row],[SKU]]="","",IF(INDEX(tblProductos[Activo],ROW()-ROW(tblConteo[#Headers]))="NO","NO","SI"))</f>
        <v/>
      </c>
      <c r="H300" s="53" t="str">
        <f>IF(tblConteo[[#This Row],[SKU]]="","",IFERROR(N(INDEX(tblStock[StockActual],MATCH(tblConteo[[#This Row],[SKU]],tblStock[SKU],0))),0))</f>
        <v/>
      </c>
      <c r="I300" s="52"/>
      <c r="J300" s="59" t="str">
        <f>IF(OR(tblConteo[[#This Row],[SKU]]="",tblConteo[[#This Row],[Conteo]]=""),"",IF(ISNUMBER(tblConteo[[#This Row],[Conteo]]),tblConteo[[#This Row],[Conteo]]-N(tblConteo[[#This Row],[Sistema]]),""))</f>
        <v/>
      </c>
      <c r="K300" s="62" t="str">
        <f>IF(tblConteo[[#This Row],[Diferencia]]="","",tblConteo[[#This Row],[Diferencia]]*N(INDEX(tblProductos[CostoUnitario],ROW()-ROW(tblConteo[#Headers]))))</f>
        <v/>
      </c>
      <c r="L30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1" spans="2:13" x14ac:dyDescent="0.25">
      <c r="B301" s="42" t="str">
        <f>IF(INDEX(tblProductos[SKU],ROW()-ROW(tblConteo[#Headers]))="","",INDEX(tblProductos[SKU],ROW()-ROW(tblConteo[#Headers])))</f>
        <v/>
      </c>
      <c r="C301" s="49" t="str">
        <f>IF(tblConteo[[#This Row],[SKU]]="","",INDEX(tblProductos[Producto],ROW()-ROW(tblConteo[#Headers])))</f>
        <v/>
      </c>
      <c r="D301" s="49" t="str">
        <f>IF(tblConteo[[#This Row],[SKU]]="","",INDEX(tblProductos[Categoría],ROW()-ROW(tblConteo[#Headers]))&amp;"")</f>
        <v/>
      </c>
      <c r="E301" s="42" t="str">
        <f>IF(tblConteo[[#This Row],[SKU]]="","",INDEX(tblProductos[Ubicación],ROW()-ROW(tblConteo[#Headers]))&amp;"")</f>
        <v/>
      </c>
      <c r="F301" s="42" t="str">
        <f>IF(tblConteo[[#This Row],[SKU]]="","",INDEX(tblProductos[Unidad],ROW()-ROW(tblConteo[#Headers]))&amp;"")</f>
        <v/>
      </c>
      <c r="G301" s="42" t="str">
        <f>IF(tblConteo[[#This Row],[SKU]]="","",IF(INDEX(tblProductos[Activo],ROW()-ROW(tblConteo[#Headers]))="NO","NO","SI"))</f>
        <v/>
      </c>
      <c r="H301" s="53" t="str">
        <f>IF(tblConteo[[#This Row],[SKU]]="","",IFERROR(N(INDEX(tblStock[StockActual],MATCH(tblConteo[[#This Row],[SKU]],tblStock[SKU],0))),0))</f>
        <v/>
      </c>
      <c r="I301" s="52"/>
      <c r="J301" s="59" t="str">
        <f>IF(OR(tblConteo[[#This Row],[SKU]]="",tblConteo[[#This Row],[Conteo]]=""),"",IF(ISNUMBER(tblConteo[[#This Row],[Conteo]]),tblConteo[[#This Row],[Conteo]]-N(tblConteo[[#This Row],[Sistema]]),""))</f>
        <v/>
      </c>
      <c r="K301" s="62" t="str">
        <f>IF(tblConteo[[#This Row],[Diferencia]]="","",tblConteo[[#This Row],[Diferencia]]*N(INDEX(tblProductos[CostoUnitario],ROW()-ROW(tblConteo[#Headers]))))</f>
        <v/>
      </c>
      <c r="L30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2" spans="2:13" x14ac:dyDescent="0.25">
      <c r="B302" s="42" t="str">
        <f>IF(INDEX(tblProductos[SKU],ROW()-ROW(tblConteo[#Headers]))="","",INDEX(tblProductos[SKU],ROW()-ROW(tblConteo[#Headers])))</f>
        <v/>
      </c>
      <c r="C302" s="49" t="str">
        <f>IF(tblConteo[[#This Row],[SKU]]="","",INDEX(tblProductos[Producto],ROW()-ROW(tblConteo[#Headers])))</f>
        <v/>
      </c>
      <c r="D302" s="49" t="str">
        <f>IF(tblConteo[[#This Row],[SKU]]="","",INDEX(tblProductos[Categoría],ROW()-ROW(tblConteo[#Headers]))&amp;"")</f>
        <v/>
      </c>
      <c r="E302" s="42" t="str">
        <f>IF(tblConteo[[#This Row],[SKU]]="","",INDEX(tblProductos[Ubicación],ROW()-ROW(tblConteo[#Headers]))&amp;"")</f>
        <v/>
      </c>
      <c r="F302" s="42" t="str">
        <f>IF(tblConteo[[#This Row],[SKU]]="","",INDEX(tblProductos[Unidad],ROW()-ROW(tblConteo[#Headers]))&amp;"")</f>
        <v/>
      </c>
      <c r="G302" s="42" t="str">
        <f>IF(tblConteo[[#This Row],[SKU]]="","",IF(INDEX(tblProductos[Activo],ROW()-ROW(tblConteo[#Headers]))="NO","NO","SI"))</f>
        <v/>
      </c>
      <c r="H302" s="53" t="str">
        <f>IF(tblConteo[[#This Row],[SKU]]="","",IFERROR(N(INDEX(tblStock[StockActual],MATCH(tblConteo[[#This Row],[SKU]],tblStock[SKU],0))),0))</f>
        <v/>
      </c>
      <c r="I302" s="52"/>
      <c r="J302" s="59" t="str">
        <f>IF(OR(tblConteo[[#This Row],[SKU]]="",tblConteo[[#This Row],[Conteo]]=""),"",IF(ISNUMBER(tblConteo[[#This Row],[Conteo]]),tblConteo[[#This Row],[Conteo]]-N(tblConteo[[#This Row],[Sistema]]),""))</f>
        <v/>
      </c>
      <c r="K302" s="62" t="str">
        <f>IF(tblConteo[[#This Row],[Diferencia]]="","",tblConteo[[#This Row],[Diferencia]]*N(INDEX(tblProductos[CostoUnitario],ROW()-ROW(tblConteo[#Headers]))))</f>
        <v/>
      </c>
      <c r="L30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3" spans="2:13" x14ac:dyDescent="0.25">
      <c r="B303" s="42" t="str">
        <f>IF(INDEX(tblProductos[SKU],ROW()-ROW(tblConteo[#Headers]))="","",INDEX(tblProductos[SKU],ROW()-ROW(tblConteo[#Headers])))</f>
        <v/>
      </c>
      <c r="C303" s="49" t="str">
        <f>IF(tblConteo[[#This Row],[SKU]]="","",INDEX(tblProductos[Producto],ROW()-ROW(tblConteo[#Headers])))</f>
        <v/>
      </c>
      <c r="D303" s="49" t="str">
        <f>IF(tblConteo[[#This Row],[SKU]]="","",INDEX(tblProductos[Categoría],ROW()-ROW(tblConteo[#Headers]))&amp;"")</f>
        <v/>
      </c>
      <c r="E303" s="42" t="str">
        <f>IF(tblConteo[[#This Row],[SKU]]="","",INDEX(tblProductos[Ubicación],ROW()-ROW(tblConteo[#Headers]))&amp;"")</f>
        <v/>
      </c>
      <c r="F303" s="42" t="str">
        <f>IF(tblConteo[[#This Row],[SKU]]="","",INDEX(tblProductos[Unidad],ROW()-ROW(tblConteo[#Headers]))&amp;"")</f>
        <v/>
      </c>
      <c r="G303" s="42" t="str">
        <f>IF(tblConteo[[#This Row],[SKU]]="","",IF(INDEX(tblProductos[Activo],ROW()-ROW(tblConteo[#Headers]))="NO","NO","SI"))</f>
        <v/>
      </c>
      <c r="H303" s="53" t="str">
        <f>IF(tblConteo[[#This Row],[SKU]]="","",IFERROR(N(INDEX(tblStock[StockActual],MATCH(tblConteo[[#This Row],[SKU]],tblStock[SKU],0))),0))</f>
        <v/>
      </c>
      <c r="I303" s="52"/>
      <c r="J303" s="59" t="str">
        <f>IF(OR(tblConteo[[#This Row],[SKU]]="",tblConteo[[#This Row],[Conteo]]=""),"",IF(ISNUMBER(tblConteo[[#This Row],[Conteo]]),tblConteo[[#This Row],[Conteo]]-N(tblConteo[[#This Row],[Sistema]]),""))</f>
        <v/>
      </c>
      <c r="K303" s="62" t="str">
        <f>IF(tblConteo[[#This Row],[Diferencia]]="","",tblConteo[[#This Row],[Diferencia]]*N(INDEX(tblProductos[CostoUnitario],ROW()-ROW(tblConteo[#Headers]))))</f>
        <v/>
      </c>
      <c r="L30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4" spans="2:13" x14ac:dyDescent="0.25">
      <c r="B304" s="42" t="str">
        <f>IF(INDEX(tblProductos[SKU],ROW()-ROW(tblConteo[#Headers]))="","",INDEX(tblProductos[SKU],ROW()-ROW(tblConteo[#Headers])))</f>
        <v/>
      </c>
      <c r="C304" s="49" t="str">
        <f>IF(tblConteo[[#This Row],[SKU]]="","",INDEX(tblProductos[Producto],ROW()-ROW(tblConteo[#Headers])))</f>
        <v/>
      </c>
      <c r="D304" s="49" t="str">
        <f>IF(tblConteo[[#This Row],[SKU]]="","",INDEX(tblProductos[Categoría],ROW()-ROW(tblConteo[#Headers]))&amp;"")</f>
        <v/>
      </c>
      <c r="E304" s="42" t="str">
        <f>IF(tblConteo[[#This Row],[SKU]]="","",INDEX(tblProductos[Ubicación],ROW()-ROW(tblConteo[#Headers]))&amp;"")</f>
        <v/>
      </c>
      <c r="F304" s="42" t="str">
        <f>IF(tblConteo[[#This Row],[SKU]]="","",INDEX(tblProductos[Unidad],ROW()-ROW(tblConteo[#Headers]))&amp;"")</f>
        <v/>
      </c>
      <c r="G304" s="42" t="str">
        <f>IF(tblConteo[[#This Row],[SKU]]="","",IF(INDEX(tblProductos[Activo],ROW()-ROW(tblConteo[#Headers]))="NO","NO","SI"))</f>
        <v/>
      </c>
      <c r="H304" s="53" t="str">
        <f>IF(tblConteo[[#This Row],[SKU]]="","",IFERROR(N(INDEX(tblStock[StockActual],MATCH(tblConteo[[#This Row],[SKU]],tblStock[SKU],0))),0))</f>
        <v/>
      </c>
      <c r="I304" s="52"/>
      <c r="J304" s="59" t="str">
        <f>IF(OR(tblConteo[[#This Row],[SKU]]="",tblConteo[[#This Row],[Conteo]]=""),"",IF(ISNUMBER(tblConteo[[#This Row],[Conteo]]),tblConteo[[#This Row],[Conteo]]-N(tblConteo[[#This Row],[Sistema]]),""))</f>
        <v/>
      </c>
      <c r="K304" s="62" t="str">
        <f>IF(tblConteo[[#This Row],[Diferencia]]="","",tblConteo[[#This Row],[Diferencia]]*N(INDEX(tblProductos[CostoUnitario],ROW()-ROW(tblConteo[#Headers]))))</f>
        <v/>
      </c>
      <c r="L30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5" spans="2:13" x14ac:dyDescent="0.25">
      <c r="B305" s="42" t="str">
        <f>IF(INDEX(tblProductos[SKU],ROW()-ROW(tblConteo[#Headers]))="","",INDEX(tblProductos[SKU],ROW()-ROW(tblConteo[#Headers])))</f>
        <v/>
      </c>
      <c r="C305" s="49" t="str">
        <f>IF(tblConteo[[#This Row],[SKU]]="","",INDEX(tblProductos[Producto],ROW()-ROW(tblConteo[#Headers])))</f>
        <v/>
      </c>
      <c r="D305" s="49" t="str">
        <f>IF(tblConteo[[#This Row],[SKU]]="","",INDEX(tblProductos[Categoría],ROW()-ROW(tblConteo[#Headers]))&amp;"")</f>
        <v/>
      </c>
      <c r="E305" s="42" t="str">
        <f>IF(tblConteo[[#This Row],[SKU]]="","",INDEX(tblProductos[Ubicación],ROW()-ROW(tblConteo[#Headers]))&amp;"")</f>
        <v/>
      </c>
      <c r="F305" s="42" t="str">
        <f>IF(tblConteo[[#This Row],[SKU]]="","",INDEX(tblProductos[Unidad],ROW()-ROW(tblConteo[#Headers]))&amp;"")</f>
        <v/>
      </c>
      <c r="G305" s="42" t="str">
        <f>IF(tblConteo[[#This Row],[SKU]]="","",IF(INDEX(tblProductos[Activo],ROW()-ROW(tblConteo[#Headers]))="NO","NO","SI"))</f>
        <v/>
      </c>
      <c r="H305" s="53" t="str">
        <f>IF(tblConteo[[#This Row],[SKU]]="","",IFERROR(N(INDEX(tblStock[StockActual],MATCH(tblConteo[[#This Row],[SKU]],tblStock[SKU],0))),0))</f>
        <v/>
      </c>
      <c r="I305" s="52"/>
      <c r="J305" s="59" t="str">
        <f>IF(OR(tblConteo[[#This Row],[SKU]]="",tblConteo[[#This Row],[Conteo]]=""),"",IF(ISNUMBER(tblConteo[[#This Row],[Conteo]]),tblConteo[[#This Row],[Conteo]]-N(tblConteo[[#This Row],[Sistema]]),""))</f>
        <v/>
      </c>
      <c r="K305" s="62" t="str">
        <f>IF(tblConteo[[#This Row],[Diferencia]]="","",tblConteo[[#This Row],[Diferencia]]*N(INDEX(tblProductos[CostoUnitario],ROW()-ROW(tblConteo[#Headers]))))</f>
        <v/>
      </c>
      <c r="L30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6" spans="2:13" x14ac:dyDescent="0.25">
      <c r="B306" s="42" t="str">
        <f>IF(INDEX(tblProductos[SKU],ROW()-ROW(tblConteo[#Headers]))="","",INDEX(tblProductos[SKU],ROW()-ROW(tblConteo[#Headers])))</f>
        <v/>
      </c>
      <c r="C306" s="49" t="str">
        <f>IF(tblConteo[[#This Row],[SKU]]="","",INDEX(tblProductos[Producto],ROW()-ROW(tblConteo[#Headers])))</f>
        <v/>
      </c>
      <c r="D306" s="49" t="str">
        <f>IF(tblConteo[[#This Row],[SKU]]="","",INDEX(tblProductos[Categoría],ROW()-ROW(tblConteo[#Headers]))&amp;"")</f>
        <v/>
      </c>
      <c r="E306" s="42" t="str">
        <f>IF(tblConteo[[#This Row],[SKU]]="","",INDEX(tblProductos[Ubicación],ROW()-ROW(tblConteo[#Headers]))&amp;"")</f>
        <v/>
      </c>
      <c r="F306" s="42" t="str">
        <f>IF(tblConteo[[#This Row],[SKU]]="","",INDEX(tblProductos[Unidad],ROW()-ROW(tblConteo[#Headers]))&amp;"")</f>
        <v/>
      </c>
      <c r="G306" s="42" t="str">
        <f>IF(tblConteo[[#This Row],[SKU]]="","",IF(INDEX(tblProductos[Activo],ROW()-ROW(tblConteo[#Headers]))="NO","NO","SI"))</f>
        <v/>
      </c>
      <c r="H306" s="53" t="str">
        <f>IF(tblConteo[[#This Row],[SKU]]="","",IFERROR(N(INDEX(tblStock[StockActual],MATCH(tblConteo[[#This Row],[SKU]],tblStock[SKU],0))),0))</f>
        <v/>
      </c>
      <c r="I306" s="52"/>
      <c r="J306" s="59" t="str">
        <f>IF(OR(tblConteo[[#This Row],[SKU]]="",tblConteo[[#This Row],[Conteo]]=""),"",IF(ISNUMBER(tblConteo[[#This Row],[Conteo]]),tblConteo[[#This Row],[Conteo]]-N(tblConteo[[#This Row],[Sistema]]),""))</f>
        <v/>
      </c>
      <c r="K306" s="62" t="str">
        <f>IF(tblConteo[[#This Row],[Diferencia]]="","",tblConteo[[#This Row],[Diferencia]]*N(INDEX(tblProductos[CostoUnitario],ROW()-ROW(tblConteo[#Headers]))))</f>
        <v/>
      </c>
      <c r="L30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7" spans="2:13" x14ac:dyDescent="0.25">
      <c r="B307" s="42" t="str">
        <f>IF(INDEX(tblProductos[SKU],ROW()-ROW(tblConteo[#Headers]))="","",INDEX(tblProductos[SKU],ROW()-ROW(tblConteo[#Headers])))</f>
        <v/>
      </c>
      <c r="C307" s="49" t="str">
        <f>IF(tblConteo[[#This Row],[SKU]]="","",INDEX(tblProductos[Producto],ROW()-ROW(tblConteo[#Headers])))</f>
        <v/>
      </c>
      <c r="D307" s="49" t="str">
        <f>IF(tblConteo[[#This Row],[SKU]]="","",INDEX(tblProductos[Categoría],ROW()-ROW(tblConteo[#Headers]))&amp;"")</f>
        <v/>
      </c>
      <c r="E307" s="42" t="str">
        <f>IF(tblConteo[[#This Row],[SKU]]="","",INDEX(tblProductos[Ubicación],ROW()-ROW(tblConteo[#Headers]))&amp;"")</f>
        <v/>
      </c>
      <c r="F307" s="42" t="str">
        <f>IF(tblConteo[[#This Row],[SKU]]="","",INDEX(tblProductos[Unidad],ROW()-ROW(tblConteo[#Headers]))&amp;"")</f>
        <v/>
      </c>
      <c r="G307" s="42" t="str">
        <f>IF(tblConteo[[#This Row],[SKU]]="","",IF(INDEX(tblProductos[Activo],ROW()-ROW(tblConteo[#Headers]))="NO","NO","SI"))</f>
        <v/>
      </c>
      <c r="H307" s="53" t="str">
        <f>IF(tblConteo[[#This Row],[SKU]]="","",IFERROR(N(INDEX(tblStock[StockActual],MATCH(tblConteo[[#This Row],[SKU]],tblStock[SKU],0))),0))</f>
        <v/>
      </c>
      <c r="I307" s="52"/>
      <c r="J307" s="59" t="str">
        <f>IF(OR(tblConteo[[#This Row],[SKU]]="",tblConteo[[#This Row],[Conteo]]=""),"",IF(ISNUMBER(tblConteo[[#This Row],[Conteo]]),tblConteo[[#This Row],[Conteo]]-N(tblConteo[[#This Row],[Sistema]]),""))</f>
        <v/>
      </c>
      <c r="K307" s="62" t="str">
        <f>IF(tblConteo[[#This Row],[Diferencia]]="","",tblConteo[[#This Row],[Diferencia]]*N(INDEX(tblProductos[CostoUnitario],ROW()-ROW(tblConteo[#Headers]))))</f>
        <v/>
      </c>
      <c r="L30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8" spans="2:13" x14ac:dyDescent="0.25">
      <c r="B308" s="42" t="str">
        <f>IF(INDEX(tblProductos[SKU],ROW()-ROW(tblConteo[#Headers]))="","",INDEX(tblProductos[SKU],ROW()-ROW(tblConteo[#Headers])))</f>
        <v/>
      </c>
      <c r="C308" s="49" t="str">
        <f>IF(tblConteo[[#This Row],[SKU]]="","",INDEX(tblProductos[Producto],ROW()-ROW(tblConteo[#Headers])))</f>
        <v/>
      </c>
      <c r="D308" s="49" t="str">
        <f>IF(tblConteo[[#This Row],[SKU]]="","",INDEX(tblProductos[Categoría],ROW()-ROW(tblConteo[#Headers]))&amp;"")</f>
        <v/>
      </c>
      <c r="E308" s="42" t="str">
        <f>IF(tblConteo[[#This Row],[SKU]]="","",INDEX(tblProductos[Ubicación],ROW()-ROW(tblConteo[#Headers]))&amp;"")</f>
        <v/>
      </c>
      <c r="F308" s="42" t="str">
        <f>IF(tblConteo[[#This Row],[SKU]]="","",INDEX(tblProductos[Unidad],ROW()-ROW(tblConteo[#Headers]))&amp;"")</f>
        <v/>
      </c>
      <c r="G308" s="42" t="str">
        <f>IF(tblConteo[[#This Row],[SKU]]="","",IF(INDEX(tblProductos[Activo],ROW()-ROW(tblConteo[#Headers]))="NO","NO","SI"))</f>
        <v/>
      </c>
      <c r="H308" s="53" t="str">
        <f>IF(tblConteo[[#This Row],[SKU]]="","",IFERROR(N(INDEX(tblStock[StockActual],MATCH(tblConteo[[#This Row],[SKU]],tblStock[SKU],0))),0))</f>
        <v/>
      </c>
      <c r="I308" s="52"/>
      <c r="J308" s="59" t="str">
        <f>IF(OR(tblConteo[[#This Row],[SKU]]="",tblConteo[[#This Row],[Conteo]]=""),"",IF(ISNUMBER(tblConteo[[#This Row],[Conteo]]),tblConteo[[#This Row],[Conteo]]-N(tblConteo[[#This Row],[Sistema]]),""))</f>
        <v/>
      </c>
      <c r="K308" s="62" t="str">
        <f>IF(tblConteo[[#This Row],[Diferencia]]="","",tblConteo[[#This Row],[Diferencia]]*N(INDEX(tblProductos[CostoUnitario],ROW()-ROW(tblConteo[#Headers]))))</f>
        <v/>
      </c>
      <c r="L30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9" spans="2:13" x14ac:dyDescent="0.25">
      <c r="B309" s="42" t="str">
        <f>IF(INDEX(tblProductos[SKU],ROW()-ROW(tblConteo[#Headers]))="","",INDEX(tblProductos[SKU],ROW()-ROW(tblConteo[#Headers])))</f>
        <v/>
      </c>
      <c r="C309" s="49" t="str">
        <f>IF(tblConteo[[#This Row],[SKU]]="","",INDEX(tblProductos[Producto],ROW()-ROW(tblConteo[#Headers])))</f>
        <v/>
      </c>
      <c r="D309" s="49" t="str">
        <f>IF(tblConteo[[#This Row],[SKU]]="","",INDEX(tblProductos[Categoría],ROW()-ROW(tblConteo[#Headers]))&amp;"")</f>
        <v/>
      </c>
      <c r="E309" s="42" t="str">
        <f>IF(tblConteo[[#This Row],[SKU]]="","",INDEX(tblProductos[Ubicación],ROW()-ROW(tblConteo[#Headers]))&amp;"")</f>
        <v/>
      </c>
      <c r="F309" s="42" t="str">
        <f>IF(tblConteo[[#This Row],[SKU]]="","",INDEX(tblProductos[Unidad],ROW()-ROW(tblConteo[#Headers]))&amp;"")</f>
        <v/>
      </c>
      <c r="G309" s="42" t="str">
        <f>IF(tblConteo[[#This Row],[SKU]]="","",IF(INDEX(tblProductos[Activo],ROW()-ROW(tblConteo[#Headers]))="NO","NO","SI"))</f>
        <v/>
      </c>
      <c r="H309" s="53" t="str">
        <f>IF(tblConteo[[#This Row],[SKU]]="","",IFERROR(N(INDEX(tblStock[StockActual],MATCH(tblConteo[[#This Row],[SKU]],tblStock[SKU],0))),0))</f>
        <v/>
      </c>
      <c r="I309" s="52"/>
      <c r="J309" s="59" t="str">
        <f>IF(OR(tblConteo[[#This Row],[SKU]]="",tblConteo[[#This Row],[Conteo]]=""),"",IF(ISNUMBER(tblConteo[[#This Row],[Conteo]]),tblConteo[[#This Row],[Conteo]]-N(tblConteo[[#This Row],[Sistema]]),""))</f>
        <v/>
      </c>
      <c r="K309" s="62" t="str">
        <f>IF(tblConteo[[#This Row],[Diferencia]]="","",tblConteo[[#This Row],[Diferencia]]*N(INDEX(tblProductos[CostoUnitario],ROW()-ROW(tblConteo[#Headers]))))</f>
        <v/>
      </c>
      <c r="L30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0" spans="2:13" x14ac:dyDescent="0.25">
      <c r="B310" s="42" t="str">
        <f>IF(INDEX(tblProductos[SKU],ROW()-ROW(tblConteo[#Headers]))="","",INDEX(tblProductos[SKU],ROW()-ROW(tblConteo[#Headers])))</f>
        <v/>
      </c>
      <c r="C310" s="49" t="str">
        <f>IF(tblConteo[[#This Row],[SKU]]="","",INDEX(tblProductos[Producto],ROW()-ROW(tblConteo[#Headers])))</f>
        <v/>
      </c>
      <c r="D310" s="49" t="str">
        <f>IF(tblConteo[[#This Row],[SKU]]="","",INDEX(tblProductos[Categoría],ROW()-ROW(tblConteo[#Headers]))&amp;"")</f>
        <v/>
      </c>
      <c r="E310" s="42" t="str">
        <f>IF(tblConteo[[#This Row],[SKU]]="","",INDEX(tblProductos[Ubicación],ROW()-ROW(tblConteo[#Headers]))&amp;"")</f>
        <v/>
      </c>
      <c r="F310" s="42" t="str">
        <f>IF(tblConteo[[#This Row],[SKU]]="","",INDEX(tblProductos[Unidad],ROW()-ROW(tblConteo[#Headers]))&amp;"")</f>
        <v/>
      </c>
      <c r="G310" s="42" t="str">
        <f>IF(tblConteo[[#This Row],[SKU]]="","",IF(INDEX(tblProductos[Activo],ROW()-ROW(tblConteo[#Headers]))="NO","NO","SI"))</f>
        <v/>
      </c>
      <c r="H310" s="53" t="str">
        <f>IF(tblConteo[[#This Row],[SKU]]="","",IFERROR(N(INDEX(tblStock[StockActual],MATCH(tblConteo[[#This Row],[SKU]],tblStock[SKU],0))),0))</f>
        <v/>
      </c>
      <c r="I310" s="52"/>
      <c r="J310" s="59" t="str">
        <f>IF(OR(tblConteo[[#This Row],[SKU]]="",tblConteo[[#This Row],[Conteo]]=""),"",IF(ISNUMBER(tblConteo[[#This Row],[Conteo]]),tblConteo[[#This Row],[Conteo]]-N(tblConteo[[#This Row],[Sistema]]),""))</f>
        <v/>
      </c>
      <c r="K310" s="62" t="str">
        <f>IF(tblConteo[[#This Row],[Diferencia]]="","",tblConteo[[#This Row],[Diferencia]]*N(INDEX(tblProductos[CostoUnitario],ROW()-ROW(tblConteo[#Headers]))))</f>
        <v/>
      </c>
      <c r="L31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1" spans="2:13" x14ac:dyDescent="0.25">
      <c r="B311" s="42" t="str">
        <f>IF(INDEX(tblProductos[SKU],ROW()-ROW(tblConteo[#Headers]))="","",INDEX(tblProductos[SKU],ROW()-ROW(tblConteo[#Headers])))</f>
        <v/>
      </c>
      <c r="C311" s="49" t="str">
        <f>IF(tblConteo[[#This Row],[SKU]]="","",INDEX(tblProductos[Producto],ROW()-ROW(tblConteo[#Headers])))</f>
        <v/>
      </c>
      <c r="D311" s="49" t="str">
        <f>IF(tblConteo[[#This Row],[SKU]]="","",INDEX(tblProductos[Categoría],ROW()-ROW(tblConteo[#Headers]))&amp;"")</f>
        <v/>
      </c>
      <c r="E311" s="42" t="str">
        <f>IF(tblConteo[[#This Row],[SKU]]="","",INDEX(tblProductos[Ubicación],ROW()-ROW(tblConteo[#Headers]))&amp;"")</f>
        <v/>
      </c>
      <c r="F311" s="42" t="str">
        <f>IF(tblConteo[[#This Row],[SKU]]="","",INDEX(tblProductos[Unidad],ROW()-ROW(tblConteo[#Headers]))&amp;"")</f>
        <v/>
      </c>
      <c r="G311" s="42" t="str">
        <f>IF(tblConteo[[#This Row],[SKU]]="","",IF(INDEX(tblProductos[Activo],ROW()-ROW(tblConteo[#Headers]))="NO","NO","SI"))</f>
        <v/>
      </c>
      <c r="H311" s="53" t="str">
        <f>IF(tblConteo[[#This Row],[SKU]]="","",IFERROR(N(INDEX(tblStock[StockActual],MATCH(tblConteo[[#This Row],[SKU]],tblStock[SKU],0))),0))</f>
        <v/>
      </c>
      <c r="I311" s="52"/>
      <c r="J311" s="59" t="str">
        <f>IF(OR(tblConteo[[#This Row],[SKU]]="",tblConteo[[#This Row],[Conteo]]=""),"",IF(ISNUMBER(tblConteo[[#This Row],[Conteo]]),tblConteo[[#This Row],[Conteo]]-N(tblConteo[[#This Row],[Sistema]]),""))</f>
        <v/>
      </c>
      <c r="K311" s="62" t="str">
        <f>IF(tblConteo[[#This Row],[Diferencia]]="","",tblConteo[[#This Row],[Diferencia]]*N(INDEX(tblProductos[CostoUnitario],ROW()-ROW(tblConteo[#Headers]))))</f>
        <v/>
      </c>
      <c r="L31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2" spans="2:13" x14ac:dyDescent="0.25">
      <c r="B312" s="42" t="str">
        <f>IF(INDEX(tblProductos[SKU],ROW()-ROW(tblConteo[#Headers]))="","",INDEX(tblProductos[SKU],ROW()-ROW(tblConteo[#Headers])))</f>
        <v/>
      </c>
      <c r="C312" s="49" t="str">
        <f>IF(tblConteo[[#This Row],[SKU]]="","",INDEX(tblProductos[Producto],ROW()-ROW(tblConteo[#Headers])))</f>
        <v/>
      </c>
      <c r="D312" s="49" t="str">
        <f>IF(tblConteo[[#This Row],[SKU]]="","",INDEX(tblProductos[Categoría],ROW()-ROW(tblConteo[#Headers]))&amp;"")</f>
        <v/>
      </c>
      <c r="E312" s="42" t="str">
        <f>IF(tblConteo[[#This Row],[SKU]]="","",INDEX(tblProductos[Ubicación],ROW()-ROW(tblConteo[#Headers]))&amp;"")</f>
        <v/>
      </c>
      <c r="F312" s="42" t="str">
        <f>IF(tblConteo[[#This Row],[SKU]]="","",INDEX(tblProductos[Unidad],ROW()-ROW(tblConteo[#Headers]))&amp;"")</f>
        <v/>
      </c>
      <c r="G312" s="42" t="str">
        <f>IF(tblConteo[[#This Row],[SKU]]="","",IF(INDEX(tblProductos[Activo],ROW()-ROW(tblConteo[#Headers]))="NO","NO","SI"))</f>
        <v/>
      </c>
      <c r="H312" s="53" t="str">
        <f>IF(tblConteo[[#This Row],[SKU]]="","",IFERROR(N(INDEX(tblStock[StockActual],MATCH(tblConteo[[#This Row],[SKU]],tblStock[SKU],0))),0))</f>
        <v/>
      </c>
      <c r="I312" s="52"/>
      <c r="J312" s="59" t="str">
        <f>IF(OR(tblConteo[[#This Row],[SKU]]="",tblConteo[[#This Row],[Conteo]]=""),"",IF(ISNUMBER(tblConteo[[#This Row],[Conteo]]),tblConteo[[#This Row],[Conteo]]-N(tblConteo[[#This Row],[Sistema]]),""))</f>
        <v/>
      </c>
      <c r="K312" s="62" t="str">
        <f>IF(tblConteo[[#This Row],[Diferencia]]="","",tblConteo[[#This Row],[Diferencia]]*N(INDEX(tblProductos[CostoUnitario],ROW()-ROW(tblConteo[#Headers]))))</f>
        <v/>
      </c>
      <c r="L31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3" spans="2:13" x14ac:dyDescent="0.25">
      <c r="B313" s="42" t="str">
        <f>IF(INDEX(tblProductos[SKU],ROW()-ROW(tblConteo[#Headers]))="","",INDEX(tblProductos[SKU],ROW()-ROW(tblConteo[#Headers])))</f>
        <v/>
      </c>
      <c r="C313" s="49" t="str">
        <f>IF(tblConteo[[#This Row],[SKU]]="","",INDEX(tblProductos[Producto],ROW()-ROW(tblConteo[#Headers])))</f>
        <v/>
      </c>
      <c r="D313" s="49" t="str">
        <f>IF(tblConteo[[#This Row],[SKU]]="","",INDEX(tblProductos[Categoría],ROW()-ROW(tblConteo[#Headers]))&amp;"")</f>
        <v/>
      </c>
      <c r="E313" s="42" t="str">
        <f>IF(tblConteo[[#This Row],[SKU]]="","",INDEX(tblProductos[Ubicación],ROW()-ROW(tblConteo[#Headers]))&amp;"")</f>
        <v/>
      </c>
      <c r="F313" s="42" t="str">
        <f>IF(tblConteo[[#This Row],[SKU]]="","",INDEX(tblProductos[Unidad],ROW()-ROW(tblConteo[#Headers]))&amp;"")</f>
        <v/>
      </c>
      <c r="G313" s="42" t="str">
        <f>IF(tblConteo[[#This Row],[SKU]]="","",IF(INDEX(tblProductos[Activo],ROW()-ROW(tblConteo[#Headers]))="NO","NO","SI"))</f>
        <v/>
      </c>
      <c r="H313" s="53" t="str">
        <f>IF(tblConteo[[#This Row],[SKU]]="","",IFERROR(N(INDEX(tblStock[StockActual],MATCH(tblConteo[[#This Row],[SKU]],tblStock[SKU],0))),0))</f>
        <v/>
      </c>
      <c r="I313" s="52"/>
      <c r="J313" s="59" t="str">
        <f>IF(OR(tblConteo[[#This Row],[SKU]]="",tblConteo[[#This Row],[Conteo]]=""),"",IF(ISNUMBER(tblConteo[[#This Row],[Conteo]]),tblConteo[[#This Row],[Conteo]]-N(tblConteo[[#This Row],[Sistema]]),""))</f>
        <v/>
      </c>
      <c r="K313" s="62" t="str">
        <f>IF(tblConteo[[#This Row],[Diferencia]]="","",tblConteo[[#This Row],[Diferencia]]*N(INDEX(tblProductos[CostoUnitario],ROW()-ROW(tblConteo[#Headers]))))</f>
        <v/>
      </c>
      <c r="L31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4" spans="2:13" x14ac:dyDescent="0.25">
      <c r="B314" s="42" t="str">
        <f>IF(INDEX(tblProductos[SKU],ROW()-ROW(tblConteo[#Headers]))="","",INDEX(tblProductos[SKU],ROW()-ROW(tblConteo[#Headers])))</f>
        <v/>
      </c>
      <c r="C314" s="49" t="str">
        <f>IF(tblConteo[[#This Row],[SKU]]="","",INDEX(tblProductos[Producto],ROW()-ROW(tblConteo[#Headers])))</f>
        <v/>
      </c>
      <c r="D314" s="49" t="str">
        <f>IF(tblConteo[[#This Row],[SKU]]="","",INDEX(tblProductos[Categoría],ROW()-ROW(tblConteo[#Headers]))&amp;"")</f>
        <v/>
      </c>
      <c r="E314" s="42" t="str">
        <f>IF(tblConteo[[#This Row],[SKU]]="","",INDEX(tblProductos[Ubicación],ROW()-ROW(tblConteo[#Headers]))&amp;"")</f>
        <v/>
      </c>
      <c r="F314" s="42" t="str">
        <f>IF(tblConteo[[#This Row],[SKU]]="","",INDEX(tblProductos[Unidad],ROW()-ROW(tblConteo[#Headers]))&amp;"")</f>
        <v/>
      </c>
      <c r="G314" s="42" t="str">
        <f>IF(tblConteo[[#This Row],[SKU]]="","",IF(INDEX(tblProductos[Activo],ROW()-ROW(tblConteo[#Headers]))="NO","NO","SI"))</f>
        <v/>
      </c>
      <c r="H314" s="53" t="str">
        <f>IF(tblConteo[[#This Row],[SKU]]="","",IFERROR(N(INDEX(tblStock[StockActual],MATCH(tblConteo[[#This Row],[SKU]],tblStock[SKU],0))),0))</f>
        <v/>
      </c>
      <c r="I314" s="52"/>
      <c r="J314" s="59" t="str">
        <f>IF(OR(tblConteo[[#This Row],[SKU]]="",tblConteo[[#This Row],[Conteo]]=""),"",IF(ISNUMBER(tblConteo[[#This Row],[Conteo]]),tblConteo[[#This Row],[Conteo]]-N(tblConteo[[#This Row],[Sistema]]),""))</f>
        <v/>
      </c>
      <c r="K314" s="62" t="str">
        <f>IF(tblConteo[[#This Row],[Diferencia]]="","",tblConteo[[#This Row],[Diferencia]]*N(INDEX(tblProductos[CostoUnitario],ROW()-ROW(tblConteo[#Headers]))))</f>
        <v/>
      </c>
      <c r="L31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5" spans="2:13" x14ac:dyDescent="0.25">
      <c r="B315" s="42" t="str">
        <f>IF(INDEX(tblProductos[SKU],ROW()-ROW(tblConteo[#Headers]))="","",INDEX(tblProductos[SKU],ROW()-ROW(tblConteo[#Headers])))</f>
        <v/>
      </c>
      <c r="C315" s="49" t="str">
        <f>IF(tblConteo[[#This Row],[SKU]]="","",INDEX(tblProductos[Producto],ROW()-ROW(tblConteo[#Headers])))</f>
        <v/>
      </c>
      <c r="D315" s="49" t="str">
        <f>IF(tblConteo[[#This Row],[SKU]]="","",INDEX(tblProductos[Categoría],ROW()-ROW(tblConteo[#Headers]))&amp;"")</f>
        <v/>
      </c>
      <c r="E315" s="42" t="str">
        <f>IF(tblConteo[[#This Row],[SKU]]="","",INDEX(tblProductos[Ubicación],ROW()-ROW(tblConteo[#Headers]))&amp;"")</f>
        <v/>
      </c>
      <c r="F315" s="42" t="str">
        <f>IF(tblConteo[[#This Row],[SKU]]="","",INDEX(tblProductos[Unidad],ROW()-ROW(tblConteo[#Headers]))&amp;"")</f>
        <v/>
      </c>
      <c r="G315" s="42" t="str">
        <f>IF(tblConteo[[#This Row],[SKU]]="","",IF(INDEX(tblProductos[Activo],ROW()-ROW(tblConteo[#Headers]))="NO","NO","SI"))</f>
        <v/>
      </c>
      <c r="H315" s="53" t="str">
        <f>IF(tblConteo[[#This Row],[SKU]]="","",IFERROR(N(INDEX(tblStock[StockActual],MATCH(tblConteo[[#This Row],[SKU]],tblStock[SKU],0))),0))</f>
        <v/>
      </c>
      <c r="I315" s="52"/>
      <c r="J315" s="59" t="str">
        <f>IF(OR(tblConteo[[#This Row],[SKU]]="",tblConteo[[#This Row],[Conteo]]=""),"",IF(ISNUMBER(tblConteo[[#This Row],[Conteo]]),tblConteo[[#This Row],[Conteo]]-N(tblConteo[[#This Row],[Sistema]]),""))</f>
        <v/>
      </c>
      <c r="K315" s="62" t="str">
        <f>IF(tblConteo[[#This Row],[Diferencia]]="","",tblConteo[[#This Row],[Diferencia]]*N(INDEX(tblProductos[CostoUnitario],ROW()-ROW(tblConteo[#Headers]))))</f>
        <v/>
      </c>
      <c r="L31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6" spans="2:13" x14ac:dyDescent="0.25">
      <c r="B316" s="42" t="str">
        <f>IF(INDEX(tblProductos[SKU],ROW()-ROW(tblConteo[#Headers]))="","",INDEX(tblProductos[SKU],ROW()-ROW(tblConteo[#Headers])))</f>
        <v/>
      </c>
      <c r="C316" s="49" t="str">
        <f>IF(tblConteo[[#This Row],[SKU]]="","",INDEX(tblProductos[Producto],ROW()-ROW(tblConteo[#Headers])))</f>
        <v/>
      </c>
      <c r="D316" s="49" t="str">
        <f>IF(tblConteo[[#This Row],[SKU]]="","",INDEX(tblProductos[Categoría],ROW()-ROW(tblConteo[#Headers]))&amp;"")</f>
        <v/>
      </c>
      <c r="E316" s="42" t="str">
        <f>IF(tblConteo[[#This Row],[SKU]]="","",INDEX(tblProductos[Ubicación],ROW()-ROW(tblConteo[#Headers]))&amp;"")</f>
        <v/>
      </c>
      <c r="F316" s="42" t="str">
        <f>IF(tblConteo[[#This Row],[SKU]]="","",INDEX(tblProductos[Unidad],ROW()-ROW(tblConteo[#Headers]))&amp;"")</f>
        <v/>
      </c>
      <c r="G316" s="42" t="str">
        <f>IF(tblConteo[[#This Row],[SKU]]="","",IF(INDEX(tblProductos[Activo],ROW()-ROW(tblConteo[#Headers]))="NO","NO","SI"))</f>
        <v/>
      </c>
      <c r="H316" s="53" t="str">
        <f>IF(tblConteo[[#This Row],[SKU]]="","",IFERROR(N(INDEX(tblStock[StockActual],MATCH(tblConteo[[#This Row],[SKU]],tblStock[SKU],0))),0))</f>
        <v/>
      </c>
      <c r="I316" s="52"/>
      <c r="J316" s="59" t="str">
        <f>IF(OR(tblConteo[[#This Row],[SKU]]="",tblConteo[[#This Row],[Conteo]]=""),"",IF(ISNUMBER(tblConteo[[#This Row],[Conteo]]),tblConteo[[#This Row],[Conteo]]-N(tblConteo[[#This Row],[Sistema]]),""))</f>
        <v/>
      </c>
      <c r="K316" s="62" t="str">
        <f>IF(tblConteo[[#This Row],[Diferencia]]="","",tblConteo[[#This Row],[Diferencia]]*N(INDEX(tblProductos[CostoUnitario],ROW()-ROW(tblConteo[#Headers]))))</f>
        <v/>
      </c>
      <c r="L31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7" spans="2:13" x14ac:dyDescent="0.25">
      <c r="B317" s="42" t="str">
        <f>IF(INDEX(tblProductos[SKU],ROW()-ROW(tblConteo[#Headers]))="","",INDEX(tblProductos[SKU],ROW()-ROW(tblConteo[#Headers])))</f>
        <v/>
      </c>
      <c r="C317" s="49" t="str">
        <f>IF(tblConteo[[#This Row],[SKU]]="","",INDEX(tblProductos[Producto],ROW()-ROW(tblConteo[#Headers])))</f>
        <v/>
      </c>
      <c r="D317" s="49" t="str">
        <f>IF(tblConteo[[#This Row],[SKU]]="","",INDEX(tblProductos[Categoría],ROW()-ROW(tblConteo[#Headers]))&amp;"")</f>
        <v/>
      </c>
      <c r="E317" s="42" t="str">
        <f>IF(tblConteo[[#This Row],[SKU]]="","",INDEX(tblProductos[Ubicación],ROW()-ROW(tblConteo[#Headers]))&amp;"")</f>
        <v/>
      </c>
      <c r="F317" s="42" t="str">
        <f>IF(tblConteo[[#This Row],[SKU]]="","",INDEX(tblProductos[Unidad],ROW()-ROW(tblConteo[#Headers]))&amp;"")</f>
        <v/>
      </c>
      <c r="G317" s="42" t="str">
        <f>IF(tblConteo[[#This Row],[SKU]]="","",IF(INDEX(tblProductos[Activo],ROW()-ROW(tblConteo[#Headers]))="NO","NO","SI"))</f>
        <v/>
      </c>
      <c r="H317" s="53" t="str">
        <f>IF(tblConteo[[#This Row],[SKU]]="","",IFERROR(N(INDEX(tblStock[StockActual],MATCH(tblConteo[[#This Row],[SKU]],tblStock[SKU],0))),0))</f>
        <v/>
      </c>
      <c r="I317" s="52"/>
      <c r="J317" s="59" t="str">
        <f>IF(OR(tblConteo[[#This Row],[SKU]]="",tblConteo[[#This Row],[Conteo]]=""),"",IF(ISNUMBER(tblConteo[[#This Row],[Conteo]]),tblConteo[[#This Row],[Conteo]]-N(tblConteo[[#This Row],[Sistema]]),""))</f>
        <v/>
      </c>
      <c r="K317" s="62" t="str">
        <f>IF(tblConteo[[#This Row],[Diferencia]]="","",tblConteo[[#This Row],[Diferencia]]*N(INDEX(tblProductos[CostoUnitario],ROW()-ROW(tblConteo[#Headers]))))</f>
        <v/>
      </c>
      <c r="L31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8" spans="2:13" x14ac:dyDescent="0.25">
      <c r="B318" s="42" t="str">
        <f>IF(INDEX(tblProductos[SKU],ROW()-ROW(tblConteo[#Headers]))="","",INDEX(tblProductos[SKU],ROW()-ROW(tblConteo[#Headers])))</f>
        <v/>
      </c>
      <c r="C318" s="49" t="str">
        <f>IF(tblConteo[[#This Row],[SKU]]="","",INDEX(tblProductos[Producto],ROW()-ROW(tblConteo[#Headers])))</f>
        <v/>
      </c>
      <c r="D318" s="49" t="str">
        <f>IF(tblConteo[[#This Row],[SKU]]="","",INDEX(tblProductos[Categoría],ROW()-ROW(tblConteo[#Headers]))&amp;"")</f>
        <v/>
      </c>
      <c r="E318" s="42" t="str">
        <f>IF(tblConteo[[#This Row],[SKU]]="","",INDEX(tblProductos[Ubicación],ROW()-ROW(tblConteo[#Headers]))&amp;"")</f>
        <v/>
      </c>
      <c r="F318" s="42" t="str">
        <f>IF(tblConteo[[#This Row],[SKU]]="","",INDEX(tblProductos[Unidad],ROW()-ROW(tblConteo[#Headers]))&amp;"")</f>
        <v/>
      </c>
      <c r="G318" s="42" t="str">
        <f>IF(tblConteo[[#This Row],[SKU]]="","",IF(INDEX(tblProductos[Activo],ROW()-ROW(tblConteo[#Headers]))="NO","NO","SI"))</f>
        <v/>
      </c>
      <c r="H318" s="53" t="str">
        <f>IF(tblConteo[[#This Row],[SKU]]="","",IFERROR(N(INDEX(tblStock[StockActual],MATCH(tblConteo[[#This Row],[SKU]],tblStock[SKU],0))),0))</f>
        <v/>
      </c>
      <c r="I318" s="52"/>
      <c r="J318" s="59" t="str">
        <f>IF(OR(tblConteo[[#This Row],[SKU]]="",tblConteo[[#This Row],[Conteo]]=""),"",IF(ISNUMBER(tblConteo[[#This Row],[Conteo]]),tblConteo[[#This Row],[Conteo]]-N(tblConteo[[#This Row],[Sistema]]),""))</f>
        <v/>
      </c>
      <c r="K318" s="62" t="str">
        <f>IF(tblConteo[[#This Row],[Diferencia]]="","",tblConteo[[#This Row],[Diferencia]]*N(INDEX(tblProductos[CostoUnitario],ROW()-ROW(tblConteo[#Headers]))))</f>
        <v/>
      </c>
      <c r="L31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9" spans="2:13" x14ac:dyDescent="0.25">
      <c r="B319" s="42" t="str">
        <f>IF(INDEX(tblProductos[SKU],ROW()-ROW(tblConteo[#Headers]))="","",INDEX(tblProductos[SKU],ROW()-ROW(tblConteo[#Headers])))</f>
        <v/>
      </c>
      <c r="C319" s="49" t="str">
        <f>IF(tblConteo[[#This Row],[SKU]]="","",INDEX(tblProductos[Producto],ROW()-ROW(tblConteo[#Headers])))</f>
        <v/>
      </c>
      <c r="D319" s="49" t="str">
        <f>IF(tblConteo[[#This Row],[SKU]]="","",INDEX(tblProductos[Categoría],ROW()-ROW(tblConteo[#Headers]))&amp;"")</f>
        <v/>
      </c>
      <c r="E319" s="42" t="str">
        <f>IF(tblConteo[[#This Row],[SKU]]="","",INDEX(tblProductos[Ubicación],ROW()-ROW(tblConteo[#Headers]))&amp;"")</f>
        <v/>
      </c>
      <c r="F319" s="42" t="str">
        <f>IF(tblConteo[[#This Row],[SKU]]="","",INDEX(tblProductos[Unidad],ROW()-ROW(tblConteo[#Headers]))&amp;"")</f>
        <v/>
      </c>
      <c r="G319" s="42" t="str">
        <f>IF(tblConteo[[#This Row],[SKU]]="","",IF(INDEX(tblProductos[Activo],ROW()-ROW(tblConteo[#Headers]))="NO","NO","SI"))</f>
        <v/>
      </c>
      <c r="H319" s="53" t="str">
        <f>IF(tblConteo[[#This Row],[SKU]]="","",IFERROR(N(INDEX(tblStock[StockActual],MATCH(tblConteo[[#This Row],[SKU]],tblStock[SKU],0))),0))</f>
        <v/>
      </c>
      <c r="I319" s="52"/>
      <c r="J319" s="59" t="str">
        <f>IF(OR(tblConteo[[#This Row],[SKU]]="",tblConteo[[#This Row],[Conteo]]=""),"",IF(ISNUMBER(tblConteo[[#This Row],[Conteo]]),tblConteo[[#This Row],[Conteo]]-N(tblConteo[[#This Row],[Sistema]]),""))</f>
        <v/>
      </c>
      <c r="K319" s="62" t="str">
        <f>IF(tblConteo[[#This Row],[Diferencia]]="","",tblConteo[[#This Row],[Diferencia]]*N(INDEX(tblProductos[CostoUnitario],ROW()-ROW(tblConteo[#Headers]))))</f>
        <v/>
      </c>
      <c r="L31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0" spans="2:13" x14ac:dyDescent="0.25">
      <c r="B320" s="42" t="str">
        <f>IF(INDEX(tblProductos[SKU],ROW()-ROW(tblConteo[#Headers]))="","",INDEX(tblProductos[SKU],ROW()-ROW(tblConteo[#Headers])))</f>
        <v/>
      </c>
      <c r="C320" s="49" t="str">
        <f>IF(tblConteo[[#This Row],[SKU]]="","",INDEX(tblProductos[Producto],ROW()-ROW(tblConteo[#Headers])))</f>
        <v/>
      </c>
      <c r="D320" s="49" t="str">
        <f>IF(tblConteo[[#This Row],[SKU]]="","",INDEX(tblProductos[Categoría],ROW()-ROW(tblConteo[#Headers]))&amp;"")</f>
        <v/>
      </c>
      <c r="E320" s="42" t="str">
        <f>IF(tblConteo[[#This Row],[SKU]]="","",INDEX(tblProductos[Ubicación],ROW()-ROW(tblConteo[#Headers]))&amp;"")</f>
        <v/>
      </c>
      <c r="F320" s="42" t="str">
        <f>IF(tblConteo[[#This Row],[SKU]]="","",INDEX(tblProductos[Unidad],ROW()-ROW(tblConteo[#Headers]))&amp;"")</f>
        <v/>
      </c>
      <c r="G320" s="42" t="str">
        <f>IF(tblConteo[[#This Row],[SKU]]="","",IF(INDEX(tblProductos[Activo],ROW()-ROW(tblConteo[#Headers]))="NO","NO","SI"))</f>
        <v/>
      </c>
      <c r="H320" s="53" t="str">
        <f>IF(tblConteo[[#This Row],[SKU]]="","",IFERROR(N(INDEX(tblStock[StockActual],MATCH(tblConteo[[#This Row],[SKU]],tblStock[SKU],0))),0))</f>
        <v/>
      </c>
      <c r="I320" s="52"/>
      <c r="J320" s="59" t="str">
        <f>IF(OR(tblConteo[[#This Row],[SKU]]="",tblConteo[[#This Row],[Conteo]]=""),"",IF(ISNUMBER(tblConteo[[#This Row],[Conteo]]),tblConteo[[#This Row],[Conteo]]-N(tblConteo[[#This Row],[Sistema]]),""))</f>
        <v/>
      </c>
      <c r="K320" s="62" t="str">
        <f>IF(tblConteo[[#This Row],[Diferencia]]="","",tblConteo[[#This Row],[Diferencia]]*N(INDEX(tblProductos[CostoUnitario],ROW()-ROW(tblConteo[#Headers]))))</f>
        <v/>
      </c>
      <c r="L32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1" spans="2:13" x14ac:dyDescent="0.25">
      <c r="B321" s="42" t="str">
        <f>IF(INDEX(tblProductos[SKU],ROW()-ROW(tblConteo[#Headers]))="","",INDEX(tblProductos[SKU],ROW()-ROW(tblConteo[#Headers])))</f>
        <v/>
      </c>
      <c r="C321" s="49" t="str">
        <f>IF(tblConteo[[#This Row],[SKU]]="","",INDEX(tblProductos[Producto],ROW()-ROW(tblConteo[#Headers])))</f>
        <v/>
      </c>
      <c r="D321" s="49" t="str">
        <f>IF(tblConteo[[#This Row],[SKU]]="","",INDEX(tblProductos[Categoría],ROW()-ROW(tblConteo[#Headers]))&amp;"")</f>
        <v/>
      </c>
      <c r="E321" s="42" t="str">
        <f>IF(tblConteo[[#This Row],[SKU]]="","",INDEX(tblProductos[Ubicación],ROW()-ROW(tblConteo[#Headers]))&amp;"")</f>
        <v/>
      </c>
      <c r="F321" s="42" t="str">
        <f>IF(tblConteo[[#This Row],[SKU]]="","",INDEX(tblProductos[Unidad],ROW()-ROW(tblConteo[#Headers]))&amp;"")</f>
        <v/>
      </c>
      <c r="G321" s="42" t="str">
        <f>IF(tblConteo[[#This Row],[SKU]]="","",IF(INDEX(tblProductos[Activo],ROW()-ROW(tblConteo[#Headers]))="NO","NO","SI"))</f>
        <v/>
      </c>
      <c r="H321" s="53" t="str">
        <f>IF(tblConteo[[#This Row],[SKU]]="","",IFERROR(N(INDEX(tblStock[StockActual],MATCH(tblConteo[[#This Row],[SKU]],tblStock[SKU],0))),0))</f>
        <v/>
      </c>
      <c r="I321" s="52"/>
      <c r="J321" s="59" t="str">
        <f>IF(OR(tblConteo[[#This Row],[SKU]]="",tblConteo[[#This Row],[Conteo]]=""),"",IF(ISNUMBER(tblConteo[[#This Row],[Conteo]]),tblConteo[[#This Row],[Conteo]]-N(tblConteo[[#This Row],[Sistema]]),""))</f>
        <v/>
      </c>
      <c r="K321" s="62" t="str">
        <f>IF(tblConteo[[#This Row],[Diferencia]]="","",tblConteo[[#This Row],[Diferencia]]*N(INDEX(tblProductos[CostoUnitario],ROW()-ROW(tblConteo[#Headers]))))</f>
        <v/>
      </c>
      <c r="L32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2" spans="2:13" x14ac:dyDescent="0.25">
      <c r="B322" s="42" t="str">
        <f>IF(INDEX(tblProductos[SKU],ROW()-ROW(tblConteo[#Headers]))="","",INDEX(tblProductos[SKU],ROW()-ROW(tblConteo[#Headers])))</f>
        <v/>
      </c>
      <c r="C322" s="49" t="str">
        <f>IF(tblConteo[[#This Row],[SKU]]="","",INDEX(tblProductos[Producto],ROW()-ROW(tblConteo[#Headers])))</f>
        <v/>
      </c>
      <c r="D322" s="49" t="str">
        <f>IF(tblConteo[[#This Row],[SKU]]="","",INDEX(tblProductos[Categoría],ROW()-ROW(tblConteo[#Headers]))&amp;"")</f>
        <v/>
      </c>
      <c r="E322" s="42" t="str">
        <f>IF(tblConteo[[#This Row],[SKU]]="","",INDEX(tblProductos[Ubicación],ROW()-ROW(tblConteo[#Headers]))&amp;"")</f>
        <v/>
      </c>
      <c r="F322" s="42" t="str">
        <f>IF(tblConteo[[#This Row],[SKU]]="","",INDEX(tblProductos[Unidad],ROW()-ROW(tblConteo[#Headers]))&amp;"")</f>
        <v/>
      </c>
      <c r="G322" s="42" t="str">
        <f>IF(tblConteo[[#This Row],[SKU]]="","",IF(INDEX(tblProductos[Activo],ROW()-ROW(tblConteo[#Headers]))="NO","NO","SI"))</f>
        <v/>
      </c>
      <c r="H322" s="53" t="str">
        <f>IF(tblConteo[[#This Row],[SKU]]="","",IFERROR(N(INDEX(tblStock[StockActual],MATCH(tblConteo[[#This Row],[SKU]],tblStock[SKU],0))),0))</f>
        <v/>
      </c>
      <c r="I322" s="52"/>
      <c r="J322" s="59" t="str">
        <f>IF(OR(tblConteo[[#This Row],[SKU]]="",tblConteo[[#This Row],[Conteo]]=""),"",IF(ISNUMBER(tblConteo[[#This Row],[Conteo]]),tblConteo[[#This Row],[Conteo]]-N(tblConteo[[#This Row],[Sistema]]),""))</f>
        <v/>
      </c>
      <c r="K322" s="62" t="str">
        <f>IF(tblConteo[[#This Row],[Diferencia]]="","",tblConteo[[#This Row],[Diferencia]]*N(INDEX(tblProductos[CostoUnitario],ROW()-ROW(tblConteo[#Headers]))))</f>
        <v/>
      </c>
      <c r="L32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3" spans="2:13" x14ac:dyDescent="0.25">
      <c r="B323" s="42" t="str">
        <f>IF(INDEX(tblProductos[SKU],ROW()-ROW(tblConteo[#Headers]))="","",INDEX(tblProductos[SKU],ROW()-ROW(tblConteo[#Headers])))</f>
        <v/>
      </c>
      <c r="C323" s="49" t="str">
        <f>IF(tblConteo[[#This Row],[SKU]]="","",INDEX(tblProductos[Producto],ROW()-ROW(tblConteo[#Headers])))</f>
        <v/>
      </c>
      <c r="D323" s="49" t="str">
        <f>IF(tblConteo[[#This Row],[SKU]]="","",INDEX(tblProductos[Categoría],ROW()-ROW(tblConteo[#Headers]))&amp;"")</f>
        <v/>
      </c>
      <c r="E323" s="42" t="str">
        <f>IF(tblConteo[[#This Row],[SKU]]="","",INDEX(tblProductos[Ubicación],ROW()-ROW(tblConteo[#Headers]))&amp;"")</f>
        <v/>
      </c>
      <c r="F323" s="42" t="str">
        <f>IF(tblConteo[[#This Row],[SKU]]="","",INDEX(tblProductos[Unidad],ROW()-ROW(tblConteo[#Headers]))&amp;"")</f>
        <v/>
      </c>
      <c r="G323" s="42" t="str">
        <f>IF(tblConteo[[#This Row],[SKU]]="","",IF(INDEX(tblProductos[Activo],ROW()-ROW(tblConteo[#Headers]))="NO","NO","SI"))</f>
        <v/>
      </c>
      <c r="H323" s="53" t="str">
        <f>IF(tblConteo[[#This Row],[SKU]]="","",IFERROR(N(INDEX(tblStock[StockActual],MATCH(tblConteo[[#This Row],[SKU]],tblStock[SKU],0))),0))</f>
        <v/>
      </c>
      <c r="I323" s="52"/>
      <c r="J323" s="59" t="str">
        <f>IF(OR(tblConteo[[#This Row],[SKU]]="",tblConteo[[#This Row],[Conteo]]=""),"",IF(ISNUMBER(tblConteo[[#This Row],[Conteo]]),tblConteo[[#This Row],[Conteo]]-N(tblConteo[[#This Row],[Sistema]]),""))</f>
        <v/>
      </c>
      <c r="K323" s="62" t="str">
        <f>IF(tblConteo[[#This Row],[Diferencia]]="","",tblConteo[[#This Row],[Diferencia]]*N(INDEX(tblProductos[CostoUnitario],ROW()-ROW(tblConteo[#Headers]))))</f>
        <v/>
      </c>
      <c r="L32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4" spans="2:13" x14ac:dyDescent="0.25">
      <c r="B324" s="42" t="str">
        <f>IF(INDEX(tblProductos[SKU],ROW()-ROW(tblConteo[#Headers]))="","",INDEX(tblProductos[SKU],ROW()-ROW(tblConteo[#Headers])))</f>
        <v/>
      </c>
      <c r="C324" s="49" t="str">
        <f>IF(tblConteo[[#This Row],[SKU]]="","",INDEX(tblProductos[Producto],ROW()-ROW(tblConteo[#Headers])))</f>
        <v/>
      </c>
      <c r="D324" s="49" t="str">
        <f>IF(tblConteo[[#This Row],[SKU]]="","",INDEX(tblProductos[Categoría],ROW()-ROW(tblConteo[#Headers]))&amp;"")</f>
        <v/>
      </c>
      <c r="E324" s="42" t="str">
        <f>IF(tblConteo[[#This Row],[SKU]]="","",INDEX(tblProductos[Ubicación],ROW()-ROW(tblConteo[#Headers]))&amp;"")</f>
        <v/>
      </c>
      <c r="F324" s="42" t="str">
        <f>IF(tblConteo[[#This Row],[SKU]]="","",INDEX(tblProductos[Unidad],ROW()-ROW(tblConteo[#Headers]))&amp;"")</f>
        <v/>
      </c>
      <c r="G324" s="42" t="str">
        <f>IF(tblConteo[[#This Row],[SKU]]="","",IF(INDEX(tblProductos[Activo],ROW()-ROW(tblConteo[#Headers]))="NO","NO","SI"))</f>
        <v/>
      </c>
      <c r="H324" s="53" t="str">
        <f>IF(tblConteo[[#This Row],[SKU]]="","",IFERROR(N(INDEX(tblStock[StockActual],MATCH(tblConteo[[#This Row],[SKU]],tblStock[SKU],0))),0))</f>
        <v/>
      </c>
      <c r="I324" s="52"/>
      <c r="J324" s="59" t="str">
        <f>IF(OR(tblConteo[[#This Row],[SKU]]="",tblConteo[[#This Row],[Conteo]]=""),"",IF(ISNUMBER(tblConteo[[#This Row],[Conteo]]),tblConteo[[#This Row],[Conteo]]-N(tblConteo[[#This Row],[Sistema]]),""))</f>
        <v/>
      </c>
      <c r="K324" s="62" t="str">
        <f>IF(tblConteo[[#This Row],[Diferencia]]="","",tblConteo[[#This Row],[Diferencia]]*N(INDEX(tblProductos[CostoUnitario],ROW()-ROW(tblConteo[#Headers]))))</f>
        <v/>
      </c>
      <c r="L32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5" spans="2:13" x14ac:dyDescent="0.25">
      <c r="B325" s="42" t="str">
        <f>IF(INDEX(tblProductos[SKU],ROW()-ROW(tblConteo[#Headers]))="","",INDEX(tblProductos[SKU],ROW()-ROW(tblConteo[#Headers])))</f>
        <v/>
      </c>
      <c r="C325" s="49" t="str">
        <f>IF(tblConteo[[#This Row],[SKU]]="","",INDEX(tblProductos[Producto],ROW()-ROW(tblConteo[#Headers])))</f>
        <v/>
      </c>
      <c r="D325" s="49" t="str">
        <f>IF(tblConteo[[#This Row],[SKU]]="","",INDEX(tblProductos[Categoría],ROW()-ROW(tblConteo[#Headers]))&amp;"")</f>
        <v/>
      </c>
      <c r="E325" s="42" t="str">
        <f>IF(tblConteo[[#This Row],[SKU]]="","",INDEX(tblProductos[Ubicación],ROW()-ROW(tblConteo[#Headers]))&amp;"")</f>
        <v/>
      </c>
      <c r="F325" s="42" t="str">
        <f>IF(tblConteo[[#This Row],[SKU]]="","",INDEX(tblProductos[Unidad],ROW()-ROW(tblConteo[#Headers]))&amp;"")</f>
        <v/>
      </c>
      <c r="G325" s="42" t="str">
        <f>IF(tblConteo[[#This Row],[SKU]]="","",IF(INDEX(tblProductos[Activo],ROW()-ROW(tblConteo[#Headers]))="NO","NO","SI"))</f>
        <v/>
      </c>
      <c r="H325" s="53" t="str">
        <f>IF(tblConteo[[#This Row],[SKU]]="","",IFERROR(N(INDEX(tblStock[StockActual],MATCH(tblConteo[[#This Row],[SKU]],tblStock[SKU],0))),0))</f>
        <v/>
      </c>
      <c r="I325" s="52"/>
      <c r="J325" s="59" t="str">
        <f>IF(OR(tblConteo[[#This Row],[SKU]]="",tblConteo[[#This Row],[Conteo]]=""),"",IF(ISNUMBER(tblConteo[[#This Row],[Conteo]]),tblConteo[[#This Row],[Conteo]]-N(tblConteo[[#This Row],[Sistema]]),""))</f>
        <v/>
      </c>
      <c r="K325" s="62" t="str">
        <f>IF(tblConteo[[#This Row],[Diferencia]]="","",tblConteo[[#This Row],[Diferencia]]*N(INDEX(tblProductos[CostoUnitario],ROW()-ROW(tblConteo[#Headers]))))</f>
        <v/>
      </c>
      <c r="L32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6" spans="2:13" x14ac:dyDescent="0.25">
      <c r="B326" s="42" t="str">
        <f>IF(INDEX(tblProductos[SKU],ROW()-ROW(tblConteo[#Headers]))="","",INDEX(tblProductos[SKU],ROW()-ROW(tblConteo[#Headers])))</f>
        <v/>
      </c>
      <c r="C326" s="49" t="str">
        <f>IF(tblConteo[[#This Row],[SKU]]="","",INDEX(tblProductos[Producto],ROW()-ROW(tblConteo[#Headers])))</f>
        <v/>
      </c>
      <c r="D326" s="49" t="str">
        <f>IF(tblConteo[[#This Row],[SKU]]="","",INDEX(tblProductos[Categoría],ROW()-ROW(tblConteo[#Headers]))&amp;"")</f>
        <v/>
      </c>
      <c r="E326" s="42" t="str">
        <f>IF(tblConteo[[#This Row],[SKU]]="","",INDEX(tblProductos[Ubicación],ROW()-ROW(tblConteo[#Headers]))&amp;"")</f>
        <v/>
      </c>
      <c r="F326" s="42" t="str">
        <f>IF(tblConteo[[#This Row],[SKU]]="","",INDEX(tblProductos[Unidad],ROW()-ROW(tblConteo[#Headers]))&amp;"")</f>
        <v/>
      </c>
      <c r="G326" s="42" t="str">
        <f>IF(tblConteo[[#This Row],[SKU]]="","",IF(INDEX(tblProductos[Activo],ROW()-ROW(tblConteo[#Headers]))="NO","NO","SI"))</f>
        <v/>
      </c>
      <c r="H326" s="53" t="str">
        <f>IF(tblConteo[[#This Row],[SKU]]="","",IFERROR(N(INDEX(tblStock[StockActual],MATCH(tblConteo[[#This Row],[SKU]],tblStock[SKU],0))),0))</f>
        <v/>
      </c>
      <c r="I326" s="52"/>
      <c r="J326" s="59" t="str">
        <f>IF(OR(tblConteo[[#This Row],[SKU]]="",tblConteo[[#This Row],[Conteo]]=""),"",IF(ISNUMBER(tblConteo[[#This Row],[Conteo]]),tblConteo[[#This Row],[Conteo]]-N(tblConteo[[#This Row],[Sistema]]),""))</f>
        <v/>
      </c>
      <c r="K326" s="62" t="str">
        <f>IF(tblConteo[[#This Row],[Diferencia]]="","",tblConteo[[#This Row],[Diferencia]]*N(INDEX(tblProductos[CostoUnitario],ROW()-ROW(tblConteo[#Headers]))))</f>
        <v/>
      </c>
      <c r="L32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7" spans="2:13" x14ac:dyDescent="0.25">
      <c r="B327" s="42" t="str">
        <f>IF(INDEX(tblProductos[SKU],ROW()-ROW(tblConteo[#Headers]))="","",INDEX(tblProductos[SKU],ROW()-ROW(tblConteo[#Headers])))</f>
        <v/>
      </c>
      <c r="C327" s="49" t="str">
        <f>IF(tblConteo[[#This Row],[SKU]]="","",INDEX(tblProductos[Producto],ROW()-ROW(tblConteo[#Headers])))</f>
        <v/>
      </c>
      <c r="D327" s="49" t="str">
        <f>IF(tblConteo[[#This Row],[SKU]]="","",INDEX(tblProductos[Categoría],ROW()-ROW(tblConteo[#Headers]))&amp;"")</f>
        <v/>
      </c>
      <c r="E327" s="42" t="str">
        <f>IF(tblConteo[[#This Row],[SKU]]="","",INDEX(tblProductos[Ubicación],ROW()-ROW(tblConteo[#Headers]))&amp;"")</f>
        <v/>
      </c>
      <c r="F327" s="42" t="str">
        <f>IF(tblConteo[[#This Row],[SKU]]="","",INDEX(tblProductos[Unidad],ROW()-ROW(tblConteo[#Headers]))&amp;"")</f>
        <v/>
      </c>
      <c r="G327" s="42" t="str">
        <f>IF(tblConteo[[#This Row],[SKU]]="","",IF(INDEX(tblProductos[Activo],ROW()-ROW(tblConteo[#Headers]))="NO","NO","SI"))</f>
        <v/>
      </c>
      <c r="H327" s="53" t="str">
        <f>IF(tblConteo[[#This Row],[SKU]]="","",IFERROR(N(INDEX(tblStock[StockActual],MATCH(tblConteo[[#This Row],[SKU]],tblStock[SKU],0))),0))</f>
        <v/>
      </c>
      <c r="I327" s="52"/>
      <c r="J327" s="59" t="str">
        <f>IF(OR(tblConteo[[#This Row],[SKU]]="",tblConteo[[#This Row],[Conteo]]=""),"",IF(ISNUMBER(tblConteo[[#This Row],[Conteo]]),tblConteo[[#This Row],[Conteo]]-N(tblConteo[[#This Row],[Sistema]]),""))</f>
        <v/>
      </c>
      <c r="K327" s="62" t="str">
        <f>IF(tblConteo[[#This Row],[Diferencia]]="","",tblConteo[[#This Row],[Diferencia]]*N(INDEX(tblProductos[CostoUnitario],ROW()-ROW(tblConteo[#Headers]))))</f>
        <v/>
      </c>
      <c r="L32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8" spans="2:13" x14ac:dyDescent="0.25">
      <c r="B328" s="42" t="str">
        <f>IF(INDEX(tblProductos[SKU],ROW()-ROW(tblConteo[#Headers]))="","",INDEX(tblProductos[SKU],ROW()-ROW(tblConteo[#Headers])))</f>
        <v/>
      </c>
      <c r="C328" s="49" t="str">
        <f>IF(tblConteo[[#This Row],[SKU]]="","",INDEX(tblProductos[Producto],ROW()-ROW(tblConteo[#Headers])))</f>
        <v/>
      </c>
      <c r="D328" s="49" t="str">
        <f>IF(tblConteo[[#This Row],[SKU]]="","",INDEX(tblProductos[Categoría],ROW()-ROW(tblConteo[#Headers]))&amp;"")</f>
        <v/>
      </c>
      <c r="E328" s="42" t="str">
        <f>IF(tblConteo[[#This Row],[SKU]]="","",INDEX(tblProductos[Ubicación],ROW()-ROW(tblConteo[#Headers]))&amp;"")</f>
        <v/>
      </c>
      <c r="F328" s="42" t="str">
        <f>IF(tblConteo[[#This Row],[SKU]]="","",INDEX(tblProductos[Unidad],ROW()-ROW(tblConteo[#Headers]))&amp;"")</f>
        <v/>
      </c>
      <c r="G328" s="42" t="str">
        <f>IF(tblConteo[[#This Row],[SKU]]="","",IF(INDEX(tblProductos[Activo],ROW()-ROW(tblConteo[#Headers]))="NO","NO","SI"))</f>
        <v/>
      </c>
      <c r="H328" s="53" t="str">
        <f>IF(tblConteo[[#This Row],[SKU]]="","",IFERROR(N(INDEX(tblStock[StockActual],MATCH(tblConteo[[#This Row],[SKU]],tblStock[SKU],0))),0))</f>
        <v/>
      </c>
      <c r="I328" s="52"/>
      <c r="J328" s="59" t="str">
        <f>IF(OR(tblConteo[[#This Row],[SKU]]="",tblConteo[[#This Row],[Conteo]]=""),"",IF(ISNUMBER(tblConteo[[#This Row],[Conteo]]),tblConteo[[#This Row],[Conteo]]-N(tblConteo[[#This Row],[Sistema]]),""))</f>
        <v/>
      </c>
      <c r="K328" s="62" t="str">
        <f>IF(tblConteo[[#This Row],[Diferencia]]="","",tblConteo[[#This Row],[Diferencia]]*N(INDEX(tblProductos[CostoUnitario],ROW()-ROW(tblConteo[#Headers]))))</f>
        <v/>
      </c>
      <c r="L32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9" spans="2:13" x14ac:dyDescent="0.25">
      <c r="B329" s="42" t="str">
        <f>IF(INDEX(tblProductos[SKU],ROW()-ROW(tblConteo[#Headers]))="","",INDEX(tblProductos[SKU],ROW()-ROW(tblConteo[#Headers])))</f>
        <v/>
      </c>
      <c r="C329" s="49" t="str">
        <f>IF(tblConteo[[#This Row],[SKU]]="","",INDEX(tblProductos[Producto],ROW()-ROW(tblConteo[#Headers])))</f>
        <v/>
      </c>
      <c r="D329" s="49" t="str">
        <f>IF(tblConteo[[#This Row],[SKU]]="","",INDEX(tblProductos[Categoría],ROW()-ROW(tblConteo[#Headers]))&amp;"")</f>
        <v/>
      </c>
      <c r="E329" s="42" t="str">
        <f>IF(tblConteo[[#This Row],[SKU]]="","",INDEX(tblProductos[Ubicación],ROW()-ROW(tblConteo[#Headers]))&amp;"")</f>
        <v/>
      </c>
      <c r="F329" s="42" t="str">
        <f>IF(tblConteo[[#This Row],[SKU]]="","",INDEX(tblProductos[Unidad],ROW()-ROW(tblConteo[#Headers]))&amp;"")</f>
        <v/>
      </c>
      <c r="G329" s="42" t="str">
        <f>IF(tblConteo[[#This Row],[SKU]]="","",IF(INDEX(tblProductos[Activo],ROW()-ROW(tblConteo[#Headers]))="NO","NO","SI"))</f>
        <v/>
      </c>
      <c r="H329" s="53" t="str">
        <f>IF(tblConteo[[#This Row],[SKU]]="","",IFERROR(N(INDEX(tblStock[StockActual],MATCH(tblConteo[[#This Row],[SKU]],tblStock[SKU],0))),0))</f>
        <v/>
      </c>
      <c r="I329" s="52"/>
      <c r="J329" s="59" t="str">
        <f>IF(OR(tblConteo[[#This Row],[SKU]]="",tblConteo[[#This Row],[Conteo]]=""),"",IF(ISNUMBER(tblConteo[[#This Row],[Conteo]]),tblConteo[[#This Row],[Conteo]]-N(tblConteo[[#This Row],[Sistema]]),""))</f>
        <v/>
      </c>
      <c r="K329" s="62" t="str">
        <f>IF(tblConteo[[#This Row],[Diferencia]]="","",tblConteo[[#This Row],[Diferencia]]*N(INDEX(tblProductos[CostoUnitario],ROW()-ROW(tblConteo[#Headers]))))</f>
        <v/>
      </c>
      <c r="L32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0" spans="2:13" x14ac:dyDescent="0.25">
      <c r="B330" s="42" t="str">
        <f>IF(INDEX(tblProductos[SKU],ROW()-ROW(tblConteo[#Headers]))="","",INDEX(tblProductos[SKU],ROW()-ROW(tblConteo[#Headers])))</f>
        <v/>
      </c>
      <c r="C330" s="49" t="str">
        <f>IF(tblConteo[[#This Row],[SKU]]="","",INDEX(tblProductos[Producto],ROW()-ROW(tblConteo[#Headers])))</f>
        <v/>
      </c>
      <c r="D330" s="49" t="str">
        <f>IF(tblConteo[[#This Row],[SKU]]="","",INDEX(tblProductos[Categoría],ROW()-ROW(tblConteo[#Headers]))&amp;"")</f>
        <v/>
      </c>
      <c r="E330" s="42" t="str">
        <f>IF(tblConteo[[#This Row],[SKU]]="","",INDEX(tblProductos[Ubicación],ROW()-ROW(tblConteo[#Headers]))&amp;"")</f>
        <v/>
      </c>
      <c r="F330" s="42" t="str">
        <f>IF(tblConteo[[#This Row],[SKU]]="","",INDEX(tblProductos[Unidad],ROW()-ROW(tblConteo[#Headers]))&amp;"")</f>
        <v/>
      </c>
      <c r="G330" s="42" t="str">
        <f>IF(tblConteo[[#This Row],[SKU]]="","",IF(INDEX(tblProductos[Activo],ROW()-ROW(tblConteo[#Headers]))="NO","NO","SI"))</f>
        <v/>
      </c>
      <c r="H330" s="53" t="str">
        <f>IF(tblConteo[[#This Row],[SKU]]="","",IFERROR(N(INDEX(tblStock[StockActual],MATCH(tblConteo[[#This Row],[SKU]],tblStock[SKU],0))),0))</f>
        <v/>
      </c>
      <c r="I330" s="52"/>
      <c r="J330" s="59" t="str">
        <f>IF(OR(tblConteo[[#This Row],[SKU]]="",tblConteo[[#This Row],[Conteo]]=""),"",IF(ISNUMBER(tblConteo[[#This Row],[Conteo]]),tblConteo[[#This Row],[Conteo]]-N(tblConteo[[#This Row],[Sistema]]),""))</f>
        <v/>
      </c>
      <c r="K330" s="62" t="str">
        <f>IF(tblConteo[[#This Row],[Diferencia]]="","",tblConteo[[#This Row],[Diferencia]]*N(INDEX(tblProductos[CostoUnitario],ROW()-ROW(tblConteo[#Headers]))))</f>
        <v/>
      </c>
      <c r="L33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1" spans="2:13" x14ac:dyDescent="0.25">
      <c r="B331" s="42" t="str">
        <f>IF(INDEX(tblProductos[SKU],ROW()-ROW(tblConteo[#Headers]))="","",INDEX(tblProductos[SKU],ROW()-ROW(tblConteo[#Headers])))</f>
        <v/>
      </c>
      <c r="C331" s="49" t="str">
        <f>IF(tblConteo[[#This Row],[SKU]]="","",INDEX(tblProductos[Producto],ROW()-ROW(tblConteo[#Headers])))</f>
        <v/>
      </c>
      <c r="D331" s="49" t="str">
        <f>IF(tblConteo[[#This Row],[SKU]]="","",INDEX(tblProductos[Categoría],ROW()-ROW(tblConteo[#Headers]))&amp;"")</f>
        <v/>
      </c>
      <c r="E331" s="42" t="str">
        <f>IF(tblConteo[[#This Row],[SKU]]="","",INDEX(tblProductos[Ubicación],ROW()-ROW(tblConteo[#Headers]))&amp;"")</f>
        <v/>
      </c>
      <c r="F331" s="42" t="str">
        <f>IF(tblConteo[[#This Row],[SKU]]="","",INDEX(tblProductos[Unidad],ROW()-ROW(tblConteo[#Headers]))&amp;"")</f>
        <v/>
      </c>
      <c r="G331" s="42" t="str">
        <f>IF(tblConteo[[#This Row],[SKU]]="","",IF(INDEX(tblProductos[Activo],ROW()-ROW(tblConteo[#Headers]))="NO","NO","SI"))</f>
        <v/>
      </c>
      <c r="H331" s="53" t="str">
        <f>IF(tblConteo[[#This Row],[SKU]]="","",IFERROR(N(INDEX(tblStock[StockActual],MATCH(tblConteo[[#This Row],[SKU]],tblStock[SKU],0))),0))</f>
        <v/>
      </c>
      <c r="I331" s="52"/>
      <c r="J331" s="59" t="str">
        <f>IF(OR(tblConteo[[#This Row],[SKU]]="",tblConteo[[#This Row],[Conteo]]=""),"",IF(ISNUMBER(tblConteo[[#This Row],[Conteo]]),tblConteo[[#This Row],[Conteo]]-N(tblConteo[[#This Row],[Sistema]]),""))</f>
        <v/>
      </c>
      <c r="K331" s="62" t="str">
        <f>IF(tblConteo[[#This Row],[Diferencia]]="","",tblConteo[[#This Row],[Diferencia]]*N(INDEX(tblProductos[CostoUnitario],ROW()-ROW(tblConteo[#Headers]))))</f>
        <v/>
      </c>
      <c r="L33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2" spans="2:13" x14ac:dyDescent="0.25">
      <c r="B332" s="42" t="str">
        <f>IF(INDEX(tblProductos[SKU],ROW()-ROW(tblConteo[#Headers]))="","",INDEX(tblProductos[SKU],ROW()-ROW(tblConteo[#Headers])))</f>
        <v/>
      </c>
      <c r="C332" s="49" t="str">
        <f>IF(tblConteo[[#This Row],[SKU]]="","",INDEX(tblProductos[Producto],ROW()-ROW(tblConteo[#Headers])))</f>
        <v/>
      </c>
      <c r="D332" s="49" t="str">
        <f>IF(tblConteo[[#This Row],[SKU]]="","",INDEX(tblProductos[Categoría],ROW()-ROW(tblConteo[#Headers]))&amp;"")</f>
        <v/>
      </c>
      <c r="E332" s="42" t="str">
        <f>IF(tblConteo[[#This Row],[SKU]]="","",INDEX(tblProductos[Ubicación],ROW()-ROW(tblConteo[#Headers]))&amp;"")</f>
        <v/>
      </c>
      <c r="F332" s="42" t="str">
        <f>IF(tblConteo[[#This Row],[SKU]]="","",INDEX(tblProductos[Unidad],ROW()-ROW(tblConteo[#Headers]))&amp;"")</f>
        <v/>
      </c>
      <c r="G332" s="42" t="str">
        <f>IF(tblConteo[[#This Row],[SKU]]="","",IF(INDEX(tblProductos[Activo],ROW()-ROW(tblConteo[#Headers]))="NO","NO","SI"))</f>
        <v/>
      </c>
      <c r="H332" s="53" t="str">
        <f>IF(tblConteo[[#This Row],[SKU]]="","",IFERROR(N(INDEX(tblStock[StockActual],MATCH(tblConteo[[#This Row],[SKU]],tblStock[SKU],0))),0))</f>
        <v/>
      </c>
      <c r="I332" s="52"/>
      <c r="J332" s="59" t="str">
        <f>IF(OR(tblConteo[[#This Row],[SKU]]="",tblConteo[[#This Row],[Conteo]]=""),"",IF(ISNUMBER(tblConteo[[#This Row],[Conteo]]),tblConteo[[#This Row],[Conteo]]-N(tblConteo[[#This Row],[Sistema]]),""))</f>
        <v/>
      </c>
      <c r="K332" s="62" t="str">
        <f>IF(tblConteo[[#This Row],[Diferencia]]="","",tblConteo[[#This Row],[Diferencia]]*N(INDEX(tblProductos[CostoUnitario],ROW()-ROW(tblConteo[#Headers]))))</f>
        <v/>
      </c>
      <c r="L33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3" spans="2:13" x14ac:dyDescent="0.25">
      <c r="B333" s="42" t="str">
        <f>IF(INDEX(tblProductos[SKU],ROW()-ROW(tblConteo[#Headers]))="","",INDEX(tblProductos[SKU],ROW()-ROW(tblConteo[#Headers])))</f>
        <v/>
      </c>
      <c r="C333" s="49" t="str">
        <f>IF(tblConteo[[#This Row],[SKU]]="","",INDEX(tblProductos[Producto],ROW()-ROW(tblConteo[#Headers])))</f>
        <v/>
      </c>
      <c r="D333" s="49" t="str">
        <f>IF(tblConteo[[#This Row],[SKU]]="","",INDEX(tblProductos[Categoría],ROW()-ROW(tblConteo[#Headers]))&amp;"")</f>
        <v/>
      </c>
      <c r="E333" s="42" t="str">
        <f>IF(tblConteo[[#This Row],[SKU]]="","",INDEX(tblProductos[Ubicación],ROW()-ROW(tblConteo[#Headers]))&amp;"")</f>
        <v/>
      </c>
      <c r="F333" s="42" t="str">
        <f>IF(tblConteo[[#This Row],[SKU]]="","",INDEX(tblProductos[Unidad],ROW()-ROW(tblConteo[#Headers]))&amp;"")</f>
        <v/>
      </c>
      <c r="G333" s="42" t="str">
        <f>IF(tblConteo[[#This Row],[SKU]]="","",IF(INDEX(tblProductos[Activo],ROW()-ROW(tblConteo[#Headers]))="NO","NO","SI"))</f>
        <v/>
      </c>
      <c r="H333" s="53" t="str">
        <f>IF(tblConteo[[#This Row],[SKU]]="","",IFERROR(N(INDEX(tblStock[StockActual],MATCH(tblConteo[[#This Row],[SKU]],tblStock[SKU],0))),0))</f>
        <v/>
      </c>
      <c r="I333" s="52"/>
      <c r="J333" s="59" t="str">
        <f>IF(OR(tblConteo[[#This Row],[SKU]]="",tblConteo[[#This Row],[Conteo]]=""),"",IF(ISNUMBER(tblConteo[[#This Row],[Conteo]]),tblConteo[[#This Row],[Conteo]]-N(tblConteo[[#This Row],[Sistema]]),""))</f>
        <v/>
      </c>
      <c r="K333" s="62" t="str">
        <f>IF(tblConteo[[#This Row],[Diferencia]]="","",tblConteo[[#This Row],[Diferencia]]*N(INDEX(tblProductos[CostoUnitario],ROW()-ROW(tblConteo[#Headers]))))</f>
        <v/>
      </c>
      <c r="L33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4" spans="2:13" x14ac:dyDescent="0.25">
      <c r="B334" s="42" t="str">
        <f>IF(INDEX(tblProductos[SKU],ROW()-ROW(tblConteo[#Headers]))="","",INDEX(tblProductos[SKU],ROW()-ROW(tblConteo[#Headers])))</f>
        <v/>
      </c>
      <c r="C334" s="49" t="str">
        <f>IF(tblConteo[[#This Row],[SKU]]="","",INDEX(tblProductos[Producto],ROW()-ROW(tblConteo[#Headers])))</f>
        <v/>
      </c>
      <c r="D334" s="49" t="str">
        <f>IF(tblConteo[[#This Row],[SKU]]="","",INDEX(tblProductos[Categoría],ROW()-ROW(tblConteo[#Headers]))&amp;"")</f>
        <v/>
      </c>
      <c r="E334" s="42" t="str">
        <f>IF(tblConteo[[#This Row],[SKU]]="","",INDEX(tblProductos[Ubicación],ROW()-ROW(tblConteo[#Headers]))&amp;"")</f>
        <v/>
      </c>
      <c r="F334" s="42" t="str">
        <f>IF(tblConteo[[#This Row],[SKU]]="","",INDEX(tblProductos[Unidad],ROW()-ROW(tblConteo[#Headers]))&amp;"")</f>
        <v/>
      </c>
      <c r="G334" s="42" t="str">
        <f>IF(tblConteo[[#This Row],[SKU]]="","",IF(INDEX(tblProductos[Activo],ROW()-ROW(tblConteo[#Headers]))="NO","NO","SI"))</f>
        <v/>
      </c>
      <c r="H334" s="53" t="str">
        <f>IF(tblConteo[[#This Row],[SKU]]="","",IFERROR(N(INDEX(tblStock[StockActual],MATCH(tblConteo[[#This Row],[SKU]],tblStock[SKU],0))),0))</f>
        <v/>
      </c>
      <c r="I334" s="52"/>
      <c r="J334" s="59" t="str">
        <f>IF(OR(tblConteo[[#This Row],[SKU]]="",tblConteo[[#This Row],[Conteo]]=""),"",IF(ISNUMBER(tblConteo[[#This Row],[Conteo]]),tblConteo[[#This Row],[Conteo]]-N(tblConteo[[#This Row],[Sistema]]),""))</f>
        <v/>
      </c>
      <c r="K334" s="62" t="str">
        <f>IF(tblConteo[[#This Row],[Diferencia]]="","",tblConteo[[#This Row],[Diferencia]]*N(INDEX(tblProductos[CostoUnitario],ROW()-ROW(tblConteo[#Headers]))))</f>
        <v/>
      </c>
      <c r="L33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5" spans="2:13" x14ac:dyDescent="0.25">
      <c r="B335" s="42" t="str">
        <f>IF(INDEX(tblProductos[SKU],ROW()-ROW(tblConteo[#Headers]))="","",INDEX(tblProductos[SKU],ROW()-ROW(tblConteo[#Headers])))</f>
        <v/>
      </c>
      <c r="C335" s="49" t="str">
        <f>IF(tblConteo[[#This Row],[SKU]]="","",INDEX(tblProductos[Producto],ROW()-ROW(tblConteo[#Headers])))</f>
        <v/>
      </c>
      <c r="D335" s="49" t="str">
        <f>IF(tblConteo[[#This Row],[SKU]]="","",INDEX(tblProductos[Categoría],ROW()-ROW(tblConteo[#Headers]))&amp;"")</f>
        <v/>
      </c>
      <c r="E335" s="42" t="str">
        <f>IF(tblConteo[[#This Row],[SKU]]="","",INDEX(tblProductos[Ubicación],ROW()-ROW(tblConteo[#Headers]))&amp;"")</f>
        <v/>
      </c>
      <c r="F335" s="42" t="str">
        <f>IF(tblConteo[[#This Row],[SKU]]="","",INDEX(tblProductos[Unidad],ROW()-ROW(tblConteo[#Headers]))&amp;"")</f>
        <v/>
      </c>
      <c r="G335" s="42" t="str">
        <f>IF(tblConteo[[#This Row],[SKU]]="","",IF(INDEX(tblProductos[Activo],ROW()-ROW(tblConteo[#Headers]))="NO","NO","SI"))</f>
        <v/>
      </c>
      <c r="H335" s="53" t="str">
        <f>IF(tblConteo[[#This Row],[SKU]]="","",IFERROR(N(INDEX(tblStock[StockActual],MATCH(tblConteo[[#This Row],[SKU]],tblStock[SKU],0))),0))</f>
        <v/>
      </c>
      <c r="I335" s="52"/>
      <c r="J335" s="59" t="str">
        <f>IF(OR(tblConteo[[#This Row],[SKU]]="",tblConteo[[#This Row],[Conteo]]=""),"",IF(ISNUMBER(tblConteo[[#This Row],[Conteo]]),tblConteo[[#This Row],[Conteo]]-N(tblConteo[[#This Row],[Sistema]]),""))</f>
        <v/>
      </c>
      <c r="K335" s="62" t="str">
        <f>IF(tblConteo[[#This Row],[Diferencia]]="","",tblConteo[[#This Row],[Diferencia]]*N(INDEX(tblProductos[CostoUnitario],ROW()-ROW(tblConteo[#Headers]))))</f>
        <v/>
      </c>
      <c r="L33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6" spans="2:13" x14ac:dyDescent="0.25">
      <c r="B336" s="42" t="str">
        <f>IF(INDEX(tblProductos[SKU],ROW()-ROW(tblConteo[#Headers]))="","",INDEX(tblProductos[SKU],ROW()-ROW(tblConteo[#Headers])))</f>
        <v/>
      </c>
      <c r="C336" s="49" t="str">
        <f>IF(tblConteo[[#This Row],[SKU]]="","",INDEX(tblProductos[Producto],ROW()-ROW(tblConteo[#Headers])))</f>
        <v/>
      </c>
      <c r="D336" s="49" t="str">
        <f>IF(tblConteo[[#This Row],[SKU]]="","",INDEX(tblProductos[Categoría],ROW()-ROW(tblConteo[#Headers]))&amp;"")</f>
        <v/>
      </c>
      <c r="E336" s="42" t="str">
        <f>IF(tblConteo[[#This Row],[SKU]]="","",INDEX(tblProductos[Ubicación],ROW()-ROW(tblConteo[#Headers]))&amp;"")</f>
        <v/>
      </c>
      <c r="F336" s="42" t="str">
        <f>IF(tblConteo[[#This Row],[SKU]]="","",INDEX(tblProductos[Unidad],ROW()-ROW(tblConteo[#Headers]))&amp;"")</f>
        <v/>
      </c>
      <c r="G336" s="42" t="str">
        <f>IF(tblConteo[[#This Row],[SKU]]="","",IF(INDEX(tblProductos[Activo],ROW()-ROW(tblConteo[#Headers]))="NO","NO","SI"))</f>
        <v/>
      </c>
      <c r="H336" s="53" t="str">
        <f>IF(tblConteo[[#This Row],[SKU]]="","",IFERROR(N(INDEX(tblStock[StockActual],MATCH(tblConteo[[#This Row],[SKU]],tblStock[SKU],0))),0))</f>
        <v/>
      </c>
      <c r="I336" s="52"/>
      <c r="J336" s="59" t="str">
        <f>IF(OR(tblConteo[[#This Row],[SKU]]="",tblConteo[[#This Row],[Conteo]]=""),"",IF(ISNUMBER(tblConteo[[#This Row],[Conteo]]),tblConteo[[#This Row],[Conteo]]-N(tblConteo[[#This Row],[Sistema]]),""))</f>
        <v/>
      </c>
      <c r="K336" s="62" t="str">
        <f>IF(tblConteo[[#This Row],[Diferencia]]="","",tblConteo[[#This Row],[Diferencia]]*N(INDEX(tblProductos[CostoUnitario],ROW()-ROW(tblConteo[#Headers]))))</f>
        <v/>
      </c>
      <c r="L33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7" spans="2:13" x14ac:dyDescent="0.25">
      <c r="B337" s="42" t="str">
        <f>IF(INDEX(tblProductos[SKU],ROW()-ROW(tblConteo[#Headers]))="","",INDEX(tblProductos[SKU],ROW()-ROW(tblConteo[#Headers])))</f>
        <v/>
      </c>
      <c r="C337" s="49" t="str">
        <f>IF(tblConteo[[#This Row],[SKU]]="","",INDEX(tblProductos[Producto],ROW()-ROW(tblConteo[#Headers])))</f>
        <v/>
      </c>
      <c r="D337" s="49" t="str">
        <f>IF(tblConteo[[#This Row],[SKU]]="","",INDEX(tblProductos[Categoría],ROW()-ROW(tblConteo[#Headers]))&amp;"")</f>
        <v/>
      </c>
      <c r="E337" s="42" t="str">
        <f>IF(tblConteo[[#This Row],[SKU]]="","",INDEX(tblProductos[Ubicación],ROW()-ROW(tblConteo[#Headers]))&amp;"")</f>
        <v/>
      </c>
      <c r="F337" s="42" t="str">
        <f>IF(tblConteo[[#This Row],[SKU]]="","",INDEX(tblProductos[Unidad],ROW()-ROW(tblConteo[#Headers]))&amp;"")</f>
        <v/>
      </c>
      <c r="G337" s="42" t="str">
        <f>IF(tblConteo[[#This Row],[SKU]]="","",IF(INDEX(tblProductos[Activo],ROW()-ROW(tblConteo[#Headers]))="NO","NO","SI"))</f>
        <v/>
      </c>
      <c r="H337" s="53" t="str">
        <f>IF(tblConteo[[#This Row],[SKU]]="","",IFERROR(N(INDEX(tblStock[StockActual],MATCH(tblConteo[[#This Row],[SKU]],tblStock[SKU],0))),0))</f>
        <v/>
      </c>
      <c r="I337" s="52"/>
      <c r="J337" s="59" t="str">
        <f>IF(OR(tblConteo[[#This Row],[SKU]]="",tblConteo[[#This Row],[Conteo]]=""),"",IF(ISNUMBER(tblConteo[[#This Row],[Conteo]]),tblConteo[[#This Row],[Conteo]]-N(tblConteo[[#This Row],[Sistema]]),""))</f>
        <v/>
      </c>
      <c r="K337" s="62" t="str">
        <f>IF(tblConteo[[#This Row],[Diferencia]]="","",tblConteo[[#This Row],[Diferencia]]*N(INDEX(tblProductos[CostoUnitario],ROW()-ROW(tblConteo[#Headers]))))</f>
        <v/>
      </c>
      <c r="L33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8" spans="2:13" x14ac:dyDescent="0.25">
      <c r="B338" s="42" t="str">
        <f>IF(INDEX(tblProductos[SKU],ROW()-ROW(tblConteo[#Headers]))="","",INDEX(tblProductos[SKU],ROW()-ROW(tblConteo[#Headers])))</f>
        <v/>
      </c>
      <c r="C338" s="49" t="str">
        <f>IF(tblConteo[[#This Row],[SKU]]="","",INDEX(tblProductos[Producto],ROW()-ROW(tblConteo[#Headers])))</f>
        <v/>
      </c>
      <c r="D338" s="49" t="str">
        <f>IF(tblConteo[[#This Row],[SKU]]="","",INDEX(tblProductos[Categoría],ROW()-ROW(tblConteo[#Headers]))&amp;"")</f>
        <v/>
      </c>
      <c r="E338" s="42" t="str">
        <f>IF(tblConteo[[#This Row],[SKU]]="","",INDEX(tblProductos[Ubicación],ROW()-ROW(tblConteo[#Headers]))&amp;"")</f>
        <v/>
      </c>
      <c r="F338" s="42" t="str">
        <f>IF(tblConteo[[#This Row],[SKU]]="","",INDEX(tblProductos[Unidad],ROW()-ROW(tblConteo[#Headers]))&amp;"")</f>
        <v/>
      </c>
      <c r="G338" s="42" t="str">
        <f>IF(tblConteo[[#This Row],[SKU]]="","",IF(INDEX(tblProductos[Activo],ROW()-ROW(tblConteo[#Headers]))="NO","NO","SI"))</f>
        <v/>
      </c>
      <c r="H338" s="53" t="str">
        <f>IF(tblConteo[[#This Row],[SKU]]="","",IFERROR(N(INDEX(tblStock[StockActual],MATCH(tblConteo[[#This Row],[SKU]],tblStock[SKU],0))),0))</f>
        <v/>
      </c>
      <c r="I338" s="52"/>
      <c r="J338" s="59" t="str">
        <f>IF(OR(tblConteo[[#This Row],[SKU]]="",tblConteo[[#This Row],[Conteo]]=""),"",IF(ISNUMBER(tblConteo[[#This Row],[Conteo]]),tblConteo[[#This Row],[Conteo]]-N(tblConteo[[#This Row],[Sistema]]),""))</f>
        <v/>
      </c>
      <c r="K338" s="62" t="str">
        <f>IF(tblConteo[[#This Row],[Diferencia]]="","",tblConteo[[#This Row],[Diferencia]]*N(INDEX(tblProductos[CostoUnitario],ROW()-ROW(tblConteo[#Headers]))))</f>
        <v/>
      </c>
      <c r="L33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9" spans="2:13" x14ac:dyDescent="0.25">
      <c r="B339" s="42" t="str">
        <f>IF(INDEX(tblProductos[SKU],ROW()-ROW(tblConteo[#Headers]))="","",INDEX(tblProductos[SKU],ROW()-ROW(tblConteo[#Headers])))</f>
        <v/>
      </c>
      <c r="C339" s="49" t="str">
        <f>IF(tblConteo[[#This Row],[SKU]]="","",INDEX(tblProductos[Producto],ROW()-ROW(tblConteo[#Headers])))</f>
        <v/>
      </c>
      <c r="D339" s="49" t="str">
        <f>IF(tblConteo[[#This Row],[SKU]]="","",INDEX(tblProductos[Categoría],ROW()-ROW(tblConteo[#Headers]))&amp;"")</f>
        <v/>
      </c>
      <c r="E339" s="42" t="str">
        <f>IF(tblConteo[[#This Row],[SKU]]="","",INDEX(tblProductos[Ubicación],ROW()-ROW(tblConteo[#Headers]))&amp;"")</f>
        <v/>
      </c>
      <c r="F339" s="42" t="str">
        <f>IF(tblConteo[[#This Row],[SKU]]="","",INDEX(tblProductos[Unidad],ROW()-ROW(tblConteo[#Headers]))&amp;"")</f>
        <v/>
      </c>
      <c r="G339" s="42" t="str">
        <f>IF(tblConteo[[#This Row],[SKU]]="","",IF(INDEX(tblProductos[Activo],ROW()-ROW(tblConteo[#Headers]))="NO","NO","SI"))</f>
        <v/>
      </c>
      <c r="H339" s="53" t="str">
        <f>IF(tblConteo[[#This Row],[SKU]]="","",IFERROR(N(INDEX(tblStock[StockActual],MATCH(tblConteo[[#This Row],[SKU]],tblStock[SKU],0))),0))</f>
        <v/>
      </c>
      <c r="I339" s="52"/>
      <c r="J339" s="59" t="str">
        <f>IF(OR(tblConteo[[#This Row],[SKU]]="",tblConteo[[#This Row],[Conteo]]=""),"",IF(ISNUMBER(tblConteo[[#This Row],[Conteo]]),tblConteo[[#This Row],[Conteo]]-N(tblConteo[[#This Row],[Sistema]]),""))</f>
        <v/>
      </c>
      <c r="K339" s="62" t="str">
        <f>IF(tblConteo[[#This Row],[Diferencia]]="","",tblConteo[[#This Row],[Diferencia]]*N(INDEX(tblProductos[CostoUnitario],ROW()-ROW(tblConteo[#Headers]))))</f>
        <v/>
      </c>
      <c r="L33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0" spans="2:13" x14ac:dyDescent="0.25">
      <c r="B340" s="42" t="str">
        <f>IF(INDEX(tblProductos[SKU],ROW()-ROW(tblConteo[#Headers]))="","",INDEX(tblProductos[SKU],ROW()-ROW(tblConteo[#Headers])))</f>
        <v/>
      </c>
      <c r="C340" s="49" t="str">
        <f>IF(tblConteo[[#This Row],[SKU]]="","",INDEX(tblProductos[Producto],ROW()-ROW(tblConteo[#Headers])))</f>
        <v/>
      </c>
      <c r="D340" s="49" t="str">
        <f>IF(tblConteo[[#This Row],[SKU]]="","",INDEX(tblProductos[Categoría],ROW()-ROW(tblConteo[#Headers]))&amp;"")</f>
        <v/>
      </c>
      <c r="E340" s="42" t="str">
        <f>IF(tblConteo[[#This Row],[SKU]]="","",INDEX(tblProductos[Ubicación],ROW()-ROW(tblConteo[#Headers]))&amp;"")</f>
        <v/>
      </c>
      <c r="F340" s="42" t="str">
        <f>IF(tblConteo[[#This Row],[SKU]]="","",INDEX(tblProductos[Unidad],ROW()-ROW(tblConteo[#Headers]))&amp;"")</f>
        <v/>
      </c>
      <c r="G340" s="42" t="str">
        <f>IF(tblConteo[[#This Row],[SKU]]="","",IF(INDEX(tblProductos[Activo],ROW()-ROW(tblConteo[#Headers]))="NO","NO","SI"))</f>
        <v/>
      </c>
      <c r="H340" s="53" t="str">
        <f>IF(tblConteo[[#This Row],[SKU]]="","",IFERROR(N(INDEX(tblStock[StockActual],MATCH(tblConteo[[#This Row],[SKU]],tblStock[SKU],0))),0))</f>
        <v/>
      </c>
      <c r="I340" s="52"/>
      <c r="J340" s="59" t="str">
        <f>IF(OR(tblConteo[[#This Row],[SKU]]="",tblConteo[[#This Row],[Conteo]]=""),"",IF(ISNUMBER(tblConteo[[#This Row],[Conteo]]),tblConteo[[#This Row],[Conteo]]-N(tblConteo[[#This Row],[Sistema]]),""))</f>
        <v/>
      </c>
      <c r="K340" s="62" t="str">
        <f>IF(tblConteo[[#This Row],[Diferencia]]="","",tblConteo[[#This Row],[Diferencia]]*N(INDEX(tblProductos[CostoUnitario],ROW()-ROW(tblConteo[#Headers]))))</f>
        <v/>
      </c>
      <c r="L34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1" spans="2:13" x14ac:dyDescent="0.25">
      <c r="B341" s="42" t="str">
        <f>IF(INDEX(tblProductos[SKU],ROW()-ROW(tblConteo[#Headers]))="","",INDEX(tblProductos[SKU],ROW()-ROW(tblConteo[#Headers])))</f>
        <v/>
      </c>
      <c r="C341" s="49" t="str">
        <f>IF(tblConteo[[#This Row],[SKU]]="","",INDEX(tblProductos[Producto],ROW()-ROW(tblConteo[#Headers])))</f>
        <v/>
      </c>
      <c r="D341" s="49" t="str">
        <f>IF(tblConteo[[#This Row],[SKU]]="","",INDEX(tblProductos[Categoría],ROW()-ROW(tblConteo[#Headers]))&amp;"")</f>
        <v/>
      </c>
      <c r="E341" s="42" t="str">
        <f>IF(tblConteo[[#This Row],[SKU]]="","",INDEX(tblProductos[Ubicación],ROW()-ROW(tblConteo[#Headers]))&amp;"")</f>
        <v/>
      </c>
      <c r="F341" s="42" t="str">
        <f>IF(tblConteo[[#This Row],[SKU]]="","",INDEX(tblProductos[Unidad],ROW()-ROW(tblConteo[#Headers]))&amp;"")</f>
        <v/>
      </c>
      <c r="G341" s="42" t="str">
        <f>IF(tblConteo[[#This Row],[SKU]]="","",IF(INDEX(tblProductos[Activo],ROW()-ROW(tblConteo[#Headers]))="NO","NO","SI"))</f>
        <v/>
      </c>
      <c r="H341" s="53" t="str">
        <f>IF(tblConteo[[#This Row],[SKU]]="","",IFERROR(N(INDEX(tblStock[StockActual],MATCH(tblConteo[[#This Row],[SKU]],tblStock[SKU],0))),0))</f>
        <v/>
      </c>
      <c r="I341" s="52"/>
      <c r="J341" s="59" t="str">
        <f>IF(OR(tblConteo[[#This Row],[SKU]]="",tblConteo[[#This Row],[Conteo]]=""),"",IF(ISNUMBER(tblConteo[[#This Row],[Conteo]]),tblConteo[[#This Row],[Conteo]]-N(tblConteo[[#This Row],[Sistema]]),""))</f>
        <v/>
      </c>
      <c r="K341" s="62" t="str">
        <f>IF(tblConteo[[#This Row],[Diferencia]]="","",tblConteo[[#This Row],[Diferencia]]*N(INDEX(tblProductos[CostoUnitario],ROW()-ROW(tblConteo[#Headers]))))</f>
        <v/>
      </c>
      <c r="L34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2" spans="2:13" x14ac:dyDescent="0.25">
      <c r="B342" s="42" t="str">
        <f>IF(INDEX(tblProductos[SKU],ROW()-ROW(tblConteo[#Headers]))="","",INDEX(tblProductos[SKU],ROW()-ROW(tblConteo[#Headers])))</f>
        <v/>
      </c>
      <c r="C342" s="49" t="str">
        <f>IF(tblConteo[[#This Row],[SKU]]="","",INDEX(tblProductos[Producto],ROW()-ROW(tblConteo[#Headers])))</f>
        <v/>
      </c>
      <c r="D342" s="49" t="str">
        <f>IF(tblConteo[[#This Row],[SKU]]="","",INDEX(tblProductos[Categoría],ROW()-ROW(tblConteo[#Headers]))&amp;"")</f>
        <v/>
      </c>
      <c r="E342" s="42" t="str">
        <f>IF(tblConteo[[#This Row],[SKU]]="","",INDEX(tblProductos[Ubicación],ROW()-ROW(tblConteo[#Headers]))&amp;"")</f>
        <v/>
      </c>
      <c r="F342" s="42" t="str">
        <f>IF(tblConteo[[#This Row],[SKU]]="","",INDEX(tblProductos[Unidad],ROW()-ROW(tblConteo[#Headers]))&amp;"")</f>
        <v/>
      </c>
      <c r="G342" s="42" t="str">
        <f>IF(tblConteo[[#This Row],[SKU]]="","",IF(INDEX(tblProductos[Activo],ROW()-ROW(tblConteo[#Headers]))="NO","NO","SI"))</f>
        <v/>
      </c>
      <c r="H342" s="53" t="str">
        <f>IF(tblConteo[[#This Row],[SKU]]="","",IFERROR(N(INDEX(tblStock[StockActual],MATCH(tblConteo[[#This Row],[SKU]],tblStock[SKU],0))),0))</f>
        <v/>
      </c>
      <c r="I342" s="52"/>
      <c r="J342" s="59" t="str">
        <f>IF(OR(tblConteo[[#This Row],[SKU]]="",tblConteo[[#This Row],[Conteo]]=""),"",IF(ISNUMBER(tblConteo[[#This Row],[Conteo]]),tblConteo[[#This Row],[Conteo]]-N(tblConteo[[#This Row],[Sistema]]),""))</f>
        <v/>
      </c>
      <c r="K342" s="62" t="str">
        <f>IF(tblConteo[[#This Row],[Diferencia]]="","",tblConteo[[#This Row],[Diferencia]]*N(INDEX(tblProductos[CostoUnitario],ROW()-ROW(tblConteo[#Headers]))))</f>
        <v/>
      </c>
      <c r="L34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3" spans="2:13" x14ac:dyDescent="0.25">
      <c r="B343" s="42" t="str">
        <f>IF(INDEX(tblProductos[SKU],ROW()-ROW(tblConteo[#Headers]))="","",INDEX(tblProductos[SKU],ROW()-ROW(tblConteo[#Headers])))</f>
        <v/>
      </c>
      <c r="C343" s="49" t="str">
        <f>IF(tblConteo[[#This Row],[SKU]]="","",INDEX(tblProductos[Producto],ROW()-ROW(tblConteo[#Headers])))</f>
        <v/>
      </c>
      <c r="D343" s="49" t="str">
        <f>IF(tblConteo[[#This Row],[SKU]]="","",INDEX(tblProductos[Categoría],ROW()-ROW(tblConteo[#Headers]))&amp;"")</f>
        <v/>
      </c>
      <c r="E343" s="42" t="str">
        <f>IF(tblConteo[[#This Row],[SKU]]="","",INDEX(tblProductos[Ubicación],ROW()-ROW(tblConteo[#Headers]))&amp;"")</f>
        <v/>
      </c>
      <c r="F343" s="42" t="str">
        <f>IF(tblConteo[[#This Row],[SKU]]="","",INDEX(tblProductos[Unidad],ROW()-ROW(tblConteo[#Headers]))&amp;"")</f>
        <v/>
      </c>
      <c r="G343" s="42" t="str">
        <f>IF(tblConteo[[#This Row],[SKU]]="","",IF(INDEX(tblProductos[Activo],ROW()-ROW(tblConteo[#Headers]))="NO","NO","SI"))</f>
        <v/>
      </c>
      <c r="H343" s="53" t="str">
        <f>IF(tblConteo[[#This Row],[SKU]]="","",IFERROR(N(INDEX(tblStock[StockActual],MATCH(tblConteo[[#This Row],[SKU]],tblStock[SKU],0))),0))</f>
        <v/>
      </c>
      <c r="I343" s="52"/>
      <c r="J343" s="59" t="str">
        <f>IF(OR(tblConteo[[#This Row],[SKU]]="",tblConteo[[#This Row],[Conteo]]=""),"",IF(ISNUMBER(tblConteo[[#This Row],[Conteo]]),tblConteo[[#This Row],[Conteo]]-N(tblConteo[[#This Row],[Sistema]]),""))</f>
        <v/>
      </c>
      <c r="K343" s="62" t="str">
        <f>IF(tblConteo[[#This Row],[Diferencia]]="","",tblConteo[[#This Row],[Diferencia]]*N(INDEX(tblProductos[CostoUnitario],ROW()-ROW(tblConteo[#Headers]))))</f>
        <v/>
      </c>
      <c r="L34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4" spans="2:13" x14ac:dyDescent="0.25">
      <c r="B344" s="42" t="str">
        <f>IF(INDEX(tblProductos[SKU],ROW()-ROW(tblConteo[#Headers]))="","",INDEX(tblProductos[SKU],ROW()-ROW(tblConteo[#Headers])))</f>
        <v/>
      </c>
      <c r="C344" s="49" t="str">
        <f>IF(tblConteo[[#This Row],[SKU]]="","",INDEX(tblProductos[Producto],ROW()-ROW(tblConteo[#Headers])))</f>
        <v/>
      </c>
      <c r="D344" s="49" t="str">
        <f>IF(tblConteo[[#This Row],[SKU]]="","",INDEX(tblProductos[Categoría],ROW()-ROW(tblConteo[#Headers]))&amp;"")</f>
        <v/>
      </c>
      <c r="E344" s="42" t="str">
        <f>IF(tblConteo[[#This Row],[SKU]]="","",INDEX(tblProductos[Ubicación],ROW()-ROW(tblConteo[#Headers]))&amp;"")</f>
        <v/>
      </c>
      <c r="F344" s="42" t="str">
        <f>IF(tblConteo[[#This Row],[SKU]]="","",INDEX(tblProductos[Unidad],ROW()-ROW(tblConteo[#Headers]))&amp;"")</f>
        <v/>
      </c>
      <c r="G344" s="42" t="str">
        <f>IF(tblConteo[[#This Row],[SKU]]="","",IF(INDEX(tblProductos[Activo],ROW()-ROW(tblConteo[#Headers]))="NO","NO","SI"))</f>
        <v/>
      </c>
      <c r="H344" s="53" t="str">
        <f>IF(tblConteo[[#This Row],[SKU]]="","",IFERROR(N(INDEX(tblStock[StockActual],MATCH(tblConteo[[#This Row],[SKU]],tblStock[SKU],0))),0))</f>
        <v/>
      </c>
      <c r="I344" s="52"/>
      <c r="J344" s="59" t="str">
        <f>IF(OR(tblConteo[[#This Row],[SKU]]="",tblConteo[[#This Row],[Conteo]]=""),"",IF(ISNUMBER(tblConteo[[#This Row],[Conteo]]),tblConteo[[#This Row],[Conteo]]-N(tblConteo[[#This Row],[Sistema]]),""))</f>
        <v/>
      </c>
      <c r="K344" s="62" t="str">
        <f>IF(tblConteo[[#This Row],[Diferencia]]="","",tblConteo[[#This Row],[Diferencia]]*N(INDEX(tblProductos[CostoUnitario],ROW()-ROW(tblConteo[#Headers]))))</f>
        <v/>
      </c>
      <c r="L34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5" spans="2:13" x14ac:dyDescent="0.25">
      <c r="B345" s="42" t="str">
        <f>IF(INDEX(tblProductos[SKU],ROW()-ROW(tblConteo[#Headers]))="","",INDEX(tblProductos[SKU],ROW()-ROW(tblConteo[#Headers])))</f>
        <v/>
      </c>
      <c r="C345" s="49" t="str">
        <f>IF(tblConteo[[#This Row],[SKU]]="","",INDEX(tblProductos[Producto],ROW()-ROW(tblConteo[#Headers])))</f>
        <v/>
      </c>
      <c r="D345" s="49" t="str">
        <f>IF(tblConteo[[#This Row],[SKU]]="","",INDEX(tblProductos[Categoría],ROW()-ROW(tblConteo[#Headers]))&amp;"")</f>
        <v/>
      </c>
      <c r="E345" s="42" t="str">
        <f>IF(tblConteo[[#This Row],[SKU]]="","",INDEX(tblProductos[Ubicación],ROW()-ROW(tblConteo[#Headers]))&amp;"")</f>
        <v/>
      </c>
      <c r="F345" s="42" t="str">
        <f>IF(tblConteo[[#This Row],[SKU]]="","",INDEX(tblProductos[Unidad],ROW()-ROW(tblConteo[#Headers]))&amp;"")</f>
        <v/>
      </c>
      <c r="G345" s="42" t="str">
        <f>IF(tblConteo[[#This Row],[SKU]]="","",IF(INDEX(tblProductos[Activo],ROW()-ROW(tblConteo[#Headers]))="NO","NO","SI"))</f>
        <v/>
      </c>
      <c r="H345" s="53" t="str">
        <f>IF(tblConteo[[#This Row],[SKU]]="","",IFERROR(N(INDEX(tblStock[StockActual],MATCH(tblConteo[[#This Row],[SKU]],tblStock[SKU],0))),0))</f>
        <v/>
      </c>
      <c r="I345" s="52"/>
      <c r="J345" s="59" t="str">
        <f>IF(OR(tblConteo[[#This Row],[SKU]]="",tblConteo[[#This Row],[Conteo]]=""),"",IF(ISNUMBER(tblConteo[[#This Row],[Conteo]]),tblConteo[[#This Row],[Conteo]]-N(tblConteo[[#This Row],[Sistema]]),""))</f>
        <v/>
      </c>
      <c r="K345" s="62" t="str">
        <f>IF(tblConteo[[#This Row],[Diferencia]]="","",tblConteo[[#This Row],[Diferencia]]*N(INDEX(tblProductos[CostoUnitario],ROW()-ROW(tblConteo[#Headers]))))</f>
        <v/>
      </c>
      <c r="L34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6" spans="2:13" x14ac:dyDescent="0.25">
      <c r="B346" s="42" t="str">
        <f>IF(INDEX(tblProductos[SKU],ROW()-ROW(tblConteo[#Headers]))="","",INDEX(tblProductos[SKU],ROW()-ROW(tblConteo[#Headers])))</f>
        <v/>
      </c>
      <c r="C346" s="49" t="str">
        <f>IF(tblConteo[[#This Row],[SKU]]="","",INDEX(tblProductos[Producto],ROW()-ROW(tblConteo[#Headers])))</f>
        <v/>
      </c>
      <c r="D346" s="49" t="str">
        <f>IF(tblConteo[[#This Row],[SKU]]="","",INDEX(tblProductos[Categoría],ROW()-ROW(tblConteo[#Headers]))&amp;"")</f>
        <v/>
      </c>
      <c r="E346" s="42" t="str">
        <f>IF(tblConteo[[#This Row],[SKU]]="","",INDEX(tblProductos[Ubicación],ROW()-ROW(tblConteo[#Headers]))&amp;"")</f>
        <v/>
      </c>
      <c r="F346" s="42" t="str">
        <f>IF(tblConteo[[#This Row],[SKU]]="","",INDEX(tblProductos[Unidad],ROW()-ROW(tblConteo[#Headers]))&amp;"")</f>
        <v/>
      </c>
      <c r="G346" s="42" t="str">
        <f>IF(tblConteo[[#This Row],[SKU]]="","",IF(INDEX(tblProductos[Activo],ROW()-ROW(tblConteo[#Headers]))="NO","NO","SI"))</f>
        <v/>
      </c>
      <c r="H346" s="53" t="str">
        <f>IF(tblConteo[[#This Row],[SKU]]="","",IFERROR(N(INDEX(tblStock[StockActual],MATCH(tblConteo[[#This Row],[SKU]],tblStock[SKU],0))),0))</f>
        <v/>
      </c>
      <c r="I346" s="52"/>
      <c r="J346" s="59" t="str">
        <f>IF(OR(tblConteo[[#This Row],[SKU]]="",tblConteo[[#This Row],[Conteo]]=""),"",IF(ISNUMBER(tblConteo[[#This Row],[Conteo]]),tblConteo[[#This Row],[Conteo]]-N(tblConteo[[#This Row],[Sistema]]),""))</f>
        <v/>
      </c>
      <c r="K346" s="62" t="str">
        <f>IF(tblConteo[[#This Row],[Diferencia]]="","",tblConteo[[#This Row],[Diferencia]]*N(INDEX(tblProductos[CostoUnitario],ROW()-ROW(tblConteo[#Headers]))))</f>
        <v/>
      </c>
      <c r="L34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7" spans="2:13" x14ac:dyDescent="0.25">
      <c r="B347" s="42" t="str">
        <f>IF(INDEX(tblProductos[SKU],ROW()-ROW(tblConteo[#Headers]))="","",INDEX(tblProductos[SKU],ROW()-ROW(tblConteo[#Headers])))</f>
        <v/>
      </c>
      <c r="C347" s="49" t="str">
        <f>IF(tblConteo[[#This Row],[SKU]]="","",INDEX(tblProductos[Producto],ROW()-ROW(tblConteo[#Headers])))</f>
        <v/>
      </c>
      <c r="D347" s="49" t="str">
        <f>IF(tblConteo[[#This Row],[SKU]]="","",INDEX(tblProductos[Categoría],ROW()-ROW(tblConteo[#Headers]))&amp;"")</f>
        <v/>
      </c>
      <c r="E347" s="42" t="str">
        <f>IF(tblConteo[[#This Row],[SKU]]="","",INDEX(tblProductos[Ubicación],ROW()-ROW(tblConteo[#Headers]))&amp;"")</f>
        <v/>
      </c>
      <c r="F347" s="42" t="str">
        <f>IF(tblConteo[[#This Row],[SKU]]="","",INDEX(tblProductos[Unidad],ROW()-ROW(tblConteo[#Headers]))&amp;"")</f>
        <v/>
      </c>
      <c r="G347" s="42" t="str">
        <f>IF(tblConteo[[#This Row],[SKU]]="","",IF(INDEX(tblProductos[Activo],ROW()-ROW(tblConteo[#Headers]))="NO","NO","SI"))</f>
        <v/>
      </c>
      <c r="H347" s="53" t="str">
        <f>IF(tblConteo[[#This Row],[SKU]]="","",IFERROR(N(INDEX(tblStock[StockActual],MATCH(tblConteo[[#This Row],[SKU]],tblStock[SKU],0))),0))</f>
        <v/>
      </c>
      <c r="I347" s="52"/>
      <c r="J347" s="59" t="str">
        <f>IF(OR(tblConteo[[#This Row],[SKU]]="",tblConteo[[#This Row],[Conteo]]=""),"",IF(ISNUMBER(tblConteo[[#This Row],[Conteo]]),tblConteo[[#This Row],[Conteo]]-N(tblConteo[[#This Row],[Sistema]]),""))</f>
        <v/>
      </c>
      <c r="K347" s="62" t="str">
        <f>IF(tblConteo[[#This Row],[Diferencia]]="","",tblConteo[[#This Row],[Diferencia]]*N(INDEX(tblProductos[CostoUnitario],ROW()-ROW(tblConteo[#Headers]))))</f>
        <v/>
      </c>
      <c r="L34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8" spans="2:13" x14ac:dyDescent="0.25">
      <c r="B348" s="42" t="str">
        <f>IF(INDEX(tblProductos[SKU],ROW()-ROW(tblConteo[#Headers]))="","",INDEX(tblProductos[SKU],ROW()-ROW(tblConteo[#Headers])))</f>
        <v/>
      </c>
      <c r="C348" s="49" t="str">
        <f>IF(tblConteo[[#This Row],[SKU]]="","",INDEX(tblProductos[Producto],ROW()-ROW(tblConteo[#Headers])))</f>
        <v/>
      </c>
      <c r="D348" s="49" t="str">
        <f>IF(tblConteo[[#This Row],[SKU]]="","",INDEX(tblProductos[Categoría],ROW()-ROW(tblConteo[#Headers]))&amp;"")</f>
        <v/>
      </c>
      <c r="E348" s="42" t="str">
        <f>IF(tblConteo[[#This Row],[SKU]]="","",INDEX(tblProductos[Ubicación],ROW()-ROW(tblConteo[#Headers]))&amp;"")</f>
        <v/>
      </c>
      <c r="F348" s="42" t="str">
        <f>IF(tblConteo[[#This Row],[SKU]]="","",INDEX(tblProductos[Unidad],ROW()-ROW(tblConteo[#Headers]))&amp;"")</f>
        <v/>
      </c>
      <c r="G348" s="42" t="str">
        <f>IF(tblConteo[[#This Row],[SKU]]="","",IF(INDEX(tblProductos[Activo],ROW()-ROW(tblConteo[#Headers]))="NO","NO","SI"))</f>
        <v/>
      </c>
      <c r="H348" s="53" t="str">
        <f>IF(tblConteo[[#This Row],[SKU]]="","",IFERROR(N(INDEX(tblStock[StockActual],MATCH(tblConteo[[#This Row],[SKU]],tblStock[SKU],0))),0))</f>
        <v/>
      </c>
      <c r="I348" s="52"/>
      <c r="J348" s="59" t="str">
        <f>IF(OR(tblConteo[[#This Row],[SKU]]="",tblConteo[[#This Row],[Conteo]]=""),"",IF(ISNUMBER(tblConteo[[#This Row],[Conteo]]),tblConteo[[#This Row],[Conteo]]-N(tblConteo[[#This Row],[Sistema]]),""))</f>
        <v/>
      </c>
      <c r="K348" s="62" t="str">
        <f>IF(tblConteo[[#This Row],[Diferencia]]="","",tblConteo[[#This Row],[Diferencia]]*N(INDEX(tblProductos[CostoUnitario],ROW()-ROW(tblConteo[#Headers]))))</f>
        <v/>
      </c>
      <c r="L34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9" spans="2:13" x14ac:dyDescent="0.25">
      <c r="B349" s="42" t="str">
        <f>IF(INDEX(tblProductos[SKU],ROW()-ROW(tblConteo[#Headers]))="","",INDEX(tblProductos[SKU],ROW()-ROW(tblConteo[#Headers])))</f>
        <v/>
      </c>
      <c r="C349" s="49" t="str">
        <f>IF(tblConteo[[#This Row],[SKU]]="","",INDEX(tblProductos[Producto],ROW()-ROW(tblConteo[#Headers])))</f>
        <v/>
      </c>
      <c r="D349" s="49" t="str">
        <f>IF(tblConteo[[#This Row],[SKU]]="","",INDEX(tblProductos[Categoría],ROW()-ROW(tblConteo[#Headers]))&amp;"")</f>
        <v/>
      </c>
      <c r="E349" s="42" t="str">
        <f>IF(tblConteo[[#This Row],[SKU]]="","",INDEX(tblProductos[Ubicación],ROW()-ROW(tblConteo[#Headers]))&amp;"")</f>
        <v/>
      </c>
      <c r="F349" s="42" t="str">
        <f>IF(tblConteo[[#This Row],[SKU]]="","",INDEX(tblProductos[Unidad],ROW()-ROW(tblConteo[#Headers]))&amp;"")</f>
        <v/>
      </c>
      <c r="G349" s="42" t="str">
        <f>IF(tblConteo[[#This Row],[SKU]]="","",IF(INDEX(tblProductos[Activo],ROW()-ROW(tblConteo[#Headers]))="NO","NO","SI"))</f>
        <v/>
      </c>
      <c r="H349" s="53" t="str">
        <f>IF(tblConteo[[#This Row],[SKU]]="","",IFERROR(N(INDEX(tblStock[StockActual],MATCH(tblConteo[[#This Row],[SKU]],tblStock[SKU],0))),0))</f>
        <v/>
      </c>
      <c r="I349" s="52"/>
      <c r="J349" s="59" t="str">
        <f>IF(OR(tblConteo[[#This Row],[SKU]]="",tblConteo[[#This Row],[Conteo]]=""),"",IF(ISNUMBER(tblConteo[[#This Row],[Conteo]]),tblConteo[[#This Row],[Conteo]]-N(tblConteo[[#This Row],[Sistema]]),""))</f>
        <v/>
      </c>
      <c r="K349" s="62" t="str">
        <f>IF(tblConteo[[#This Row],[Diferencia]]="","",tblConteo[[#This Row],[Diferencia]]*N(INDEX(tblProductos[CostoUnitario],ROW()-ROW(tblConteo[#Headers]))))</f>
        <v/>
      </c>
      <c r="L34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0" spans="2:13" x14ac:dyDescent="0.25">
      <c r="B350" s="42" t="str">
        <f>IF(INDEX(tblProductos[SKU],ROW()-ROW(tblConteo[#Headers]))="","",INDEX(tblProductos[SKU],ROW()-ROW(tblConteo[#Headers])))</f>
        <v/>
      </c>
      <c r="C350" s="49" t="str">
        <f>IF(tblConteo[[#This Row],[SKU]]="","",INDEX(tblProductos[Producto],ROW()-ROW(tblConteo[#Headers])))</f>
        <v/>
      </c>
      <c r="D350" s="49" t="str">
        <f>IF(tblConteo[[#This Row],[SKU]]="","",INDEX(tblProductos[Categoría],ROW()-ROW(tblConteo[#Headers]))&amp;"")</f>
        <v/>
      </c>
      <c r="E350" s="42" t="str">
        <f>IF(tblConteo[[#This Row],[SKU]]="","",INDEX(tblProductos[Ubicación],ROW()-ROW(tblConteo[#Headers]))&amp;"")</f>
        <v/>
      </c>
      <c r="F350" s="42" t="str">
        <f>IF(tblConteo[[#This Row],[SKU]]="","",INDEX(tblProductos[Unidad],ROW()-ROW(tblConteo[#Headers]))&amp;"")</f>
        <v/>
      </c>
      <c r="G350" s="42" t="str">
        <f>IF(tblConteo[[#This Row],[SKU]]="","",IF(INDEX(tblProductos[Activo],ROW()-ROW(tblConteo[#Headers]))="NO","NO","SI"))</f>
        <v/>
      </c>
      <c r="H350" s="53" t="str">
        <f>IF(tblConteo[[#This Row],[SKU]]="","",IFERROR(N(INDEX(tblStock[StockActual],MATCH(tblConteo[[#This Row],[SKU]],tblStock[SKU],0))),0))</f>
        <v/>
      </c>
      <c r="I350" s="52"/>
      <c r="J350" s="59" t="str">
        <f>IF(OR(tblConteo[[#This Row],[SKU]]="",tblConteo[[#This Row],[Conteo]]=""),"",IF(ISNUMBER(tblConteo[[#This Row],[Conteo]]),tblConteo[[#This Row],[Conteo]]-N(tblConteo[[#This Row],[Sistema]]),""))</f>
        <v/>
      </c>
      <c r="K350" s="62" t="str">
        <f>IF(tblConteo[[#This Row],[Diferencia]]="","",tblConteo[[#This Row],[Diferencia]]*N(INDEX(tblProductos[CostoUnitario],ROW()-ROW(tblConteo[#Headers]))))</f>
        <v/>
      </c>
      <c r="L35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1" spans="2:13" x14ac:dyDescent="0.25">
      <c r="B351" s="42" t="str">
        <f>IF(INDEX(tblProductos[SKU],ROW()-ROW(tblConteo[#Headers]))="","",INDEX(tblProductos[SKU],ROW()-ROW(tblConteo[#Headers])))</f>
        <v/>
      </c>
      <c r="C351" s="49" t="str">
        <f>IF(tblConteo[[#This Row],[SKU]]="","",INDEX(tblProductos[Producto],ROW()-ROW(tblConteo[#Headers])))</f>
        <v/>
      </c>
      <c r="D351" s="49" t="str">
        <f>IF(tblConteo[[#This Row],[SKU]]="","",INDEX(tblProductos[Categoría],ROW()-ROW(tblConteo[#Headers]))&amp;"")</f>
        <v/>
      </c>
      <c r="E351" s="42" t="str">
        <f>IF(tblConteo[[#This Row],[SKU]]="","",INDEX(tblProductos[Ubicación],ROW()-ROW(tblConteo[#Headers]))&amp;"")</f>
        <v/>
      </c>
      <c r="F351" s="42" t="str">
        <f>IF(tblConteo[[#This Row],[SKU]]="","",INDEX(tblProductos[Unidad],ROW()-ROW(tblConteo[#Headers]))&amp;"")</f>
        <v/>
      </c>
      <c r="G351" s="42" t="str">
        <f>IF(tblConteo[[#This Row],[SKU]]="","",IF(INDEX(tblProductos[Activo],ROW()-ROW(tblConteo[#Headers]))="NO","NO","SI"))</f>
        <v/>
      </c>
      <c r="H351" s="53" t="str">
        <f>IF(tblConteo[[#This Row],[SKU]]="","",IFERROR(N(INDEX(tblStock[StockActual],MATCH(tblConteo[[#This Row],[SKU]],tblStock[SKU],0))),0))</f>
        <v/>
      </c>
      <c r="I351" s="52"/>
      <c r="J351" s="59" t="str">
        <f>IF(OR(tblConteo[[#This Row],[SKU]]="",tblConteo[[#This Row],[Conteo]]=""),"",IF(ISNUMBER(tblConteo[[#This Row],[Conteo]]),tblConteo[[#This Row],[Conteo]]-N(tblConteo[[#This Row],[Sistema]]),""))</f>
        <v/>
      </c>
      <c r="K351" s="62" t="str">
        <f>IF(tblConteo[[#This Row],[Diferencia]]="","",tblConteo[[#This Row],[Diferencia]]*N(INDEX(tblProductos[CostoUnitario],ROW()-ROW(tblConteo[#Headers]))))</f>
        <v/>
      </c>
      <c r="L35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2" spans="2:13" x14ac:dyDescent="0.25">
      <c r="B352" s="42" t="str">
        <f>IF(INDEX(tblProductos[SKU],ROW()-ROW(tblConteo[#Headers]))="","",INDEX(tblProductos[SKU],ROW()-ROW(tblConteo[#Headers])))</f>
        <v/>
      </c>
      <c r="C352" s="49" t="str">
        <f>IF(tblConteo[[#This Row],[SKU]]="","",INDEX(tblProductos[Producto],ROW()-ROW(tblConteo[#Headers])))</f>
        <v/>
      </c>
      <c r="D352" s="49" t="str">
        <f>IF(tblConteo[[#This Row],[SKU]]="","",INDEX(tblProductos[Categoría],ROW()-ROW(tblConteo[#Headers]))&amp;"")</f>
        <v/>
      </c>
      <c r="E352" s="42" t="str">
        <f>IF(tblConteo[[#This Row],[SKU]]="","",INDEX(tblProductos[Ubicación],ROW()-ROW(tblConteo[#Headers]))&amp;"")</f>
        <v/>
      </c>
      <c r="F352" s="42" t="str">
        <f>IF(tblConteo[[#This Row],[SKU]]="","",INDEX(tblProductos[Unidad],ROW()-ROW(tblConteo[#Headers]))&amp;"")</f>
        <v/>
      </c>
      <c r="G352" s="42" t="str">
        <f>IF(tblConteo[[#This Row],[SKU]]="","",IF(INDEX(tblProductos[Activo],ROW()-ROW(tblConteo[#Headers]))="NO","NO","SI"))</f>
        <v/>
      </c>
      <c r="H352" s="53" t="str">
        <f>IF(tblConteo[[#This Row],[SKU]]="","",IFERROR(N(INDEX(tblStock[StockActual],MATCH(tblConteo[[#This Row],[SKU]],tblStock[SKU],0))),0))</f>
        <v/>
      </c>
      <c r="I352" s="52"/>
      <c r="J352" s="59" t="str">
        <f>IF(OR(tblConteo[[#This Row],[SKU]]="",tblConteo[[#This Row],[Conteo]]=""),"",IF(ISNUMBER(tblConteo[[#This Row],[Conteo]]),tblConteo[[#This Row],[Conteo]]-N(tblConteo[[#This Row],[Sistema]]),""))</f>
        <v/>
      </c>
      <c r="K352" s="62" t="str">
        <f>IF(tblConteo[[#This Row],[Diferencia]]="","",tblConteo[[#This Row],[Diferencia]]*N(INDEX(tblProductos[CostoUnitario],ROW()-ROW(tblConteo[#Headers]))))</f>
        <v/>
      </c>
      <c r="L35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3" spans="2:13" x14ac:dyDescent="0.25">
      <c r="B353" s="42" t="str">
        <f>IF(INDEX(tblProductos[SKU],ROW()-ROW(tblConteo[#Headers]))="","",INDEX(tblProductos[SKU],ROW()-ROW(tblConteo[#Headers])))</f>
        <v/>
      </c>
      <c r="C353" s="49" t="str">
        <f>IF(tblConteo[[#This Row],[SKU]]="","",INDEX(tblProductos[Producto],ROW()-ROW(tblConteo[#Headers])))</f>
        <v/>
      </c>
      <c r="D353" s="49" t="str">
        <f>IF(tblConteo[[#This Row],[SKU]]="","",INDEX(tblProductos[Categoría],ROW()-ROW(tblConteo[#Headers]))&amp;"")</f>
        <v/>
      </c>
      <c r="E353" s="42" t="str">
        <f>IF(tblConteo[[#This Row],[SKU]]="","",INDEX(tblProductos[Ubicación],ROW()-ROW(tblConteo[#Headers]))&amp;"")</f>
        <v/>
      </c>
      <c r="F353" s="42" t="str">
        <f>IF(tblConteo[[#This Row],[SKU]]="","",INDEX(tblProductos[Unidad],ROW()-ROW(tblConteo[#Headers]))&amp;"")</f>
        <v/>
      </c>
      <c r="G353" s="42" t="str">
        <f>IF(tblConteo[[#This Row],[SKU]]="","",IF(INDEX(tblProductos[Activo],ROW()-ROW(tblConteo[#Headers]))="NO","NO","SI"))</f>
        <v/>
      </c>
      <c r="H353" s="53" t="str">
        <f>IF(tblConteo[[#This Row],[SKU]]="","",IFERROR(N(INDEX(tblStock[StockActual],MATCH(tblConteo[[#This Row],[SKU]],tblStock[SKU],0))),0))</f>
        <v/>
      </c>
      <c r="I353" s="52"/>
      <c r="J353" s="59" t="str">
        <f>IF(OR(tblConteo[[#This Row],[SKU]]="",tblConteo[[#This Row],[Conteo]]=""),"",IF(ISNUMBER(tblConteo[[#This Row],[Conteo]]),tblConteo[[#This Row],[Conteo]]-N(tblConteo[[#This Row],[Sistema]]),""))</f>
        <v/>
      </c>
      <c r="K353" s="62" t="str">
        <f>IF(tblConteo[[#This Row],[Diferencia]]="","",tblConteo[[#This Row],[Diferencia]]*N(INDEX(tblProductos[CostoUnitario],ROW()-ROW(tblConteo[#Headers]))))</f>
        <v/>
      </c>
      <c r="L35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4" spans="2:13" x14ac:dyDescent="0.25">
      <c r="B354" s="42" t="str">
        <f>IF(INDEX(tblProductos[SKU],ROW()-ROW(tblConteo[#Headers]))="","",INDEX(tblProductos[SKU],ROW()-ROW(tblConteo[#Headers])))</f>
        <v/>
      </c>
      <c r="C354" s="49" t="str">
        <f>IF(tblConteo[[#This Row],[SKU]]="","",INDEX(tblProductos[Producto],ROW()-ROW(tblConteo[#Headers])))</f>
        <v/>
      </c>
      <c r="D354" s="49" t="str">
        <f>IF(tblConteo[[#This Row],[SKU]]="","",INDEX(tblProductos[Categoría],ROW()-ROW(tblConteo[#Headers]))&amp;"")</f>
        <v/>
      </c>
      <c r="E354" s="42" t="str">
        <f>IF(tblConteo[[#This Row],[SKU]]="","",INDEX(tblProductos[Ubicación],ROW()-ROW(tblConteo[#Headers]))&amp;"")</f>
        <v/>
      </c>
      <c r="F354" s="42" t="str">
        <f>IF(tblConteo[[#This Row],[SKU]]="","",INDEX(tblProductos[Unidad],ROW()-ROW(tblConteo[#Headers]))&amp;"")</f>
        <v/>
      </c>
      <c r="G354" s="42" t="str">
        <f>IF(tblConteo[[#This Row],[SKU]]="","",IF(INDEX(tblProductos[Activo],ROW()-ROW(tblConteo[#Headers]))="NO","NO","SI"))</f>
        <v/>
      </c>
      <c r="H354" s="53" t="str">
        <f>IF(tblConteo[[#This Row],[SKU]]="","",IFERROR(N(INDEX(tblStock[StockActual],MATCH(tblConteo[[#This Row],[SKU]],tblStock[SKU],0))),0))</f>
        <v/>
      </c>
      <c r="I354" s="52"/>
      <c r="J354" s="59" t="str">
        <f>IF(OR(tblConteo[[#This Row],[SKU]]="",tblConteo[[#This Row],[Conteo]]=""),"",IF(ISNUMBER(tblConteo[[#This Row],[Conteo]]),tblConteo[[#This Row],[Conteo]]-N(tblConteo[[#This Row],[Sistema]]),""))</f>
        <v/>
      </c>
      <c r="K354" s="62" t="str">
        <f>IF(tblConteo[[#This Row],[Diferencia]]="","",tblConteo[[#This Row],[Diferencia]]*N(INDEX(tblProductos[CostoUnitario],ROW()-ROW(tblConteo[#Headers]))))</f>
        <v/>
      </c>
      <c r="L35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5" spans="2:13" x14ac:dyDescent="0.25">
      <c r="B355" s="42" t="str">
        <f>IF(INDEX(tblProductos[SKU],ROW()-ROW(tblConteo[#Headers]))="","",INDEX(tblProductos[SKU],ROW()-ROW(tblConteo[#Headers])))</f>
        <v/>
      </c>
      <c r="C355" s="49" t="str">
        <f>IF(tblConteo[[#This Row],[SKU]]="","",INDEX(tblProductos[Producto],ROW()-ROW(tblConteo[#Headers])))</f>
        <v/>
      </c>
      <c r="D355" s="49" t="str">
        <f>IF(tblConteo[[#This Row],[SKU]]="","",INDEX(tblProductos[Categoría],ROW()-ROW(tblConteo[#Headers]))&amp;"")</f>
        <v/>
      </c>
      <c r="E355" s="42" t="str">
        <f>IF(tblConteo[[#This Row],[SKU]]="","",INDEX(tblProductos[Ubicación],ROW()-ROW(tblConteo[#Headers]))&amp;"")</f>
        <v/>
      </c>
      <c r="F355" s="42" t="str">
        <f>IF(tblConteo[[#This Row],[SKU]]="","",INDEX(tblProductos[Unidad],ROW()-ROW(tblConteo[#Headers]))&amp;"")</f>
        <v/>
      </c>
      <c r="G355" s="42" t="str">
        <f>IF(tblConteo[[#This Row],[SKU]]="","",IF(INDEX(tblProductos[Activo],ROW()-ROW(tblConteo[#Headers]))="NO","NO","SI"))</f>
        <v/>
      </c>
      <c r="H355" s="53" t="str">
        <f>IF(tblConteo[[#This Row],[SKU]]="","",IFERROR(N(INDEX(tblStock[StockActual],MATCH(tblConteo[[#This Row],[SKU]],tblStock[SKU],0))),0))</f>
        <v/>
      </c>
      <c r="I355" s="52"/>
      <c r="J355" s="59" t="str">
        <f>IF(OR(tblConteo[[#This Row],[SKU]]="",tblConteo[[#This Row],[Conteo]]=""),"",IF(ISNUMBER(tblConteo[[#This Row],[Conteo]]),tblConteo[[#This Row],[Conteo]]-N(tblConteo[[#This Row],[Sistema]]),""))</f>
        <v/>
      </c>
      <c r="K355" s="62" t="str">
        <f>IF(tblConteo[[#This Row],[Diferencia]]="","",tblConteo[[#This Row],[Diferencia]]*N(INDEX(tblProductos[CostoUnitario],ROW()-ROW(tblConteo[#Headers]))))</f>
        <v/>
      </c>
      <c r="L35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6" spans="2:13" x14ac:dyDescent="0.25">
      <c r="B356" s="42" t="str">
        <f>IF(INDEX(tblProductos[SKU],ROW()-ROW(tblConteo[#Headers]))="","",INDEX(tblProductos[SKU],ROW()-ROW(tblConteo[#Headers])))</f>
        <v/>
      </c>
      <c r="C356" s="49" t="str">
        <f>IF(tblConteo[[#This Row],[SKU]]="","",INDEX(tblProductos[Producto],ROW()-ROW(tblConteo[#Headers])))</f>
        <v/>
      </c>
      <c r="D356" s="49" t="str">
        <f>IF(tblConteo[[#This Row],[SKU]]="","",INDEX(tblProductos[Categoría],ROW()-ROW(tblConteo[#Headers]))&amp;"")</f>
        <v/>
      </c>
      <c r="E356" s="42" t="str">
        <f>IF(tblConteo[[#This Row],[SKU]]="","",INDEX(tblProductos[Ubicación],ROW()-ROW(tblConteo[#Headers]))&amp;"")</f>
        <v/>
      </c>
      <c r="F356" s="42" t="str">
        <f>IF(tblConteo[[#This Row],[SKU]]="","",INDEX(tblProductos[Unidad],ROW()-ROW(tblConteo[#Headers]))&amp;"")</f>
        <v/>
      </c>
      <c r="G356" s="42" t="str">
        <f>IF(tblConteo[[#This Row],[SKU]]="","",IF(INDEX(tblProductos[Activo],ROW()-ROW(tblConteo[#Headers]))="NO","NO","SI"))</f>
        <v/>
      </c>
      <c r="H356" s="53" t="str">
        <f>IF(tblConteo[[#This Row],[SKU]]="","",IFERROR(N(INDEX(tblStock[StockActual],MATCH(tblConteo[[#This Row],[SKU]],tblStock[SKU],0))),0))</f>
        <v/>
      </c>
      <c r="I356" s="52"/>
      <c r="J356" s="59" t="str">
        <f>IF(OR(tblConteo[[#This Row],[SKU]]="",tblConteo[[#This Row],[Conteo]]=""),"",IF(ISNUMBER(tblConteo[[#This Row],[Conteo]]),tblConteo[[#This Row],[Conteo]]-N(tblConteo[[#This Row],[Sistema]]),""))</f>
        <v/>
      </c>
      <c r="K356" s="62" t="str">
        <f>IF(tblConteo[[#This Row],[Diferencia]]="","",tblConteo[[#This Row],[Diferencia]]*N(INDEX(tblProductos[CostoUnitario],ROW()-ROW(tblConteo[#Headers]))))</f>
        <v/>
      </c>
      <c r="L35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7" spans="2:13" x14ac:dyDescent="0.25">
      <c r="B357" s="42" t="str">
        <f>IF(INDEX(tblProductos[SKU],ROW()-ROW(tblConteo[#Headers]))="","",INDEX(tblProductos[SKU],ROW()-ROW(tblConteo[#Headers])))</f>
        <v/>
      </c>
      <c r="C357" s="49" t="str">
        <f>IF(tblConteo[[#This Row],[SKU]]="","",INDEX(tblProductos[Producto],ROW()-ROW(tblConteo[#Headers])))</f>
        <v/>
      </c>
      <c r="D357" s="49" t="str">
        <f>IF(tblConteo[[#This Row],[SKU]]="","",INDEX(tblProductos[Categoría],ROW()-ROW(tblConteo[#Headers]))&amp;"")</f>
        <v/>
      </c>
      <c r="E357" s="42" t="str">
        <f>IF(tblConteo[[#This Row],[SKU]]="","",INDEX(tblProductos[Ubicación],ROW()-ROW(tblConteo[#Headers]))&amp;"")</f>
        <v/>
      </c>
      <c r="F357" s="42" t="str">
        <f>IF(tblConteo[[#This Row],[SKU]]="","",INDEX(tblProductos[Unidad],ROW()-ROW(tblConteo[#Headers]))&amp;"")</f>
        <v/>
      </c>
      <c r="G357" s="42" t="str">
        <f>IF(tblConteo[[#This Row],[SKU]]="","",IF(INDEX(tblProductos[Activo],ROW()-ROW(tblConteo[#Headers]))="NO","NO","SI"))</f>
        <v/>
      </c>
      <c r="H357" s="53" t="str">
        <f>IF(tblConteo[[#This Row],[SKU]]="","",IFERROR(N(INDEX(tblStock[StockActual],MATCH(tblConteo[[#This Row],[SKU]],tblStock[SKU],0))),0))</f>
        <v/>
      </c>
      <c r="I357" s="52"/>
      <c r="J357" s="59" t="str">
        <f>IF(OR(tblConteo[[#This Row],[SKU]]="",tblConteo[[#This Row],[Conteo]]=""),"",IF(ISNUMBER(tblConteo[[#This Row],[Conteo]]),tblConteo[[#This Row],[Conteo]]-N(tblConteo[[#This Row],[Sistema]]),""))</f>
        <v/>
      </c>
      <c r="K357" s="62" t="str">
        <f>IF(tblConteo[[#This Row],[Diferencia]]="","",tblConteo[[#This Row],[Diferencia]]*N(INDEX(tblProductos[CostoUnitario],ROW()-ROW(tblConteo[#Headers]))))</f>
        <v/>
      </c>
      <c r="L35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8" spans="2:13" x14ac:dyDescent="0.25">
      <c r="B358" s="42" t="str">
        <f>IF(INDEX(tblProductos[SKU],ROW()-ROW(tblConteo[#Headers]))="","",INDEX(tblProductos[SKU],ROW()-ROW(tblConteo[#Headers])))</f>
        <v/>
      </c>
      <c r="C358" s="49" t="str">
        <f>IF(tblConteo[[#This Row],[SKU]]="","",INDEX(tblProductos[Producto],ROW()-ROW(tblConteo[#Headers])))</f>
        <v/>
      </c>
      <c r="D358" s="49" t="str">
        <f>IF(tblConteo[[#This Row],[SKU]]="","",INDEX(tblProductos[Categoría],ROW()-ROW(tblConteo[#Headers]))&amp;"")</f>
        <v/>
      </c>
      <c r="E358" s="42" t="str">
        <f>IF(tblConteo[[#This Row],[SKU]]="","",INDEX(tblProductos[Ubicación],ROW()-ROW(tblConteo[#Headers]))&amp;"")</f>
        <v/>
      </c>
      <c r="F358" s="42" t="str">
        <f>IF(tblConteo[[#This Row],[SKU]]="","",INDEX(tblProductos[Unidad],ROW()-ROW(tblConteo[#Headers]))&amp;"")</f>
        <v/>
      </c>
      <c r="G358" s="42" t="str">
        <f>IF(tblConteo[[#This Row],[SKU]]="","",IF(INDEX(tblProductos[Activo],ROW()-ROW(tblConteo[#Headers]))="NO","NO","SI"))</f>
        <v/>
      </c>
      <c r="H358" s="53" t="str">
        <f>IF(tblConteo[[#This Row],[SKU]]="","",IFERROR(N(INDEX(tblStock[StockActual],MATCH(tblConteo[[#This Row],[SKU]],tblStock[SKU],0))),0))</f>
        <v/>
      </c>
      <c r="I358" s="52"/>
      <c r="J358" s="59" t="str">
        <f>IF(OR(tblConteo[[#This Row],[SKU]]="",tblConteo[[#This Row],[Conteo]]=""),"",IF(ISNUMBER(tblConteo[[#This Row],[Conteo]]),tblConteo[[#This Row],[Conteo]]-N(tblConteo[[#This Row],[Sistema]]),""))</f>
        <v/>
      </c>
      <c r="K358" s="62" t="str">
        <f>IF(tblConteo[[#This Row],[Diferencia]]="","",tblConteo[[#This Row],[Diferencia]]*N(INDEX(tblProductos[CostoUnitario],ROW()-ROW(tblConteo[#Headers]))))</f>
        <v/>
      </c>
      <c r="L35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9" spans="2:13" x14ac:dyDescent="0.25">
      <c r="B359" s="42" t="str">
        <f>IF(INDEX(tblProductos[SKU],ROW()-ROW(tblConteo[#Headers]))="","",INDEX(tblProductos[SKU],ROW()-ROW(tblConteo[#Headers])))</f>
        <v/>
      </c>
      <c r="C359" s="49" t="str">
        <f>IF(tblConteo[[#This Row],[SKU]]="","",INDEX(tblProductos[Producto],ROW()-ROW(tblConteo[#Headers])))</f>
        <v/>
      </c>
      <c r="D359" s="49" t="str">
        <f>IF(tblConteo[[#This Row],[SKU]]="","",INDEX(tblProductos[Categoría],ROW()-ROW(tblConteo[#Headers]))&amp;"")</f>
        <v/>
      </c>
      <c r="E359" s="42" t="str">
        <f>IF(tblConteo[[#This Row],[SKU]]="","",INDEX(tblProductos[Ubicación],ROW()-ROW(tblConteo[#Headers]))&amp;"")</f>
        <v/>
      </c>
      <c r="F359" s="42" t="str">
        <f>IF(tblConteo[[#This Row],[SKU]]="","",INDEX(tblProductos[Unidad],ROW()-ROW(tblConteo[#Headers]))&amp;"")</f>
        <v/>
      </c>
      <c r="G359" s="42" t="str">
        <f>IF(tblConteo[[#This Row],[SKU]]="","",IF(INDEX(tblProductos[Activo],ROW()-ROW(tblConteo[#Headers]))="NO","NO","SI"))</f>
        <v/>
      </c>
      <c r="H359" s="53" t="str">
        <f>IF(tblConteo[[#This Row],[SKU]]="","",IFERROR(N(INDEX(tblStock[StockActual],MATCH(tblConteo[[#This Row],[SKU]],tblStock[SKU],0))),0))</f>
        <v/>
      </c>
      <c r="I359" s="52"/>
      <c r="J359" s="59" t="str">
        <f>IF(OR(tblConteo[[#This Row],[SKU]]="",tblConteo[[#This Row],[Conteo]]=""),"",IF(ISNUMBER(tblConteo[[#This Row],[Conteo]]),tblConteo[[#This Row],[Conteo]]-N(tblConteo[[#This Row],[Sistema]]),""))</f>
        <v/>
      </c>
      <c r="K359" s="62" t="str">
        <f>IF(tblConteo[[#This Row],[Diferencia]]="","",tblConteo[[#This Row],[Diferencia]]*N(INDEX(tblProductos[CostoUnitario],ROW()-ROW(tblConteo[#Headers]))))</f>
        <v/>
      </c>
      <c r="L35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0" spans="2:13" x14ac:dyDescent="0.25">
      <c r="B360" s="42" t="str">
        <f>IF(INDEX(tblProductos[SKU],ROW()-ROW(tblConteo[#Headers]))="","",INDEX(tblProductos[SKU],ROW()-ROW(tblConteo[#Headers])))</f>
        <v/>
      </c>
      <c r="C360" s="49" t="str">
        <f>IF(tblConteo[[#This Row],[SKU]]="","",INDEX(tblProductos[Producto],ROW()-ROW(tblConteo[#Headers])))</f>
        <v/>
      </c>
      <c r="D360" s="49" t="str">
        <f>IF(tblConteo[[#This Row],[SKU]]="","",INDEX(tblProductos[Categoría],ROW()-ROW(tblConteo[#Headers]))&amp;"")</f>
        <v/>
      </c>
      <c r="E360" s="42" t="str">
        <f>IF(tblConteo[[#This Row],[SKU]]="","",INDEX(tblProductos[Ubicación],ROW()-ROW(tblConteo[#Headers]))&amp;"")</f>
        <v/>
      </c>
      <c r="F360" s="42" t="str">
        <f>IF(tblConteo[[#This Row],[SKU]]="","",INDEX(tblProductos[Unidad],ROW()-ROW(tblConteo[#Headers]))&amp;"")</f>
        <v/>
      </c>
      <c r="G360" s="42" t="str">
        <f>IF(tblConteo[[#This Row],[SKU]]="","",IF(INDEX(tblProductos[Activo],ROW()-ROW(tblConteo[#Headers]))="NO","NO","SI"))</f>
        <v/>
      </c>
      <c r="H360" s="53" t="str">
        <f>IF(tblConteo[[#This Row],[SKU]]="","",IFERROR(N(INDEX(tblStock[StockActual],MATCH(tblConteo[[#This Row],[SKU]],tblStock[SKU],0))),0))</f>
        <v/>
      </c>
      <c r="I360" s="52"/>
      <c r="J360" s="59" t="str">
        <f>IF(OR(tblConteo[[#This Row],[SKU]]="",tblConteo[[#This Row],[Conteo]]=""),"",IF(ISNUMBER(tblConteo[[#This Row],[Conteo]]),tblConteo[[#This Row],[Conteo]]-N(tblConteo[[#This Row],[Sistema]]),""))</f>
        <v/>
      </c>
      <c r="K360" s="62" t="str">
        <f>IF(tblConteo[[#This Row],[Diferencia]]="","",tblConteo[[#This Row],[Diferencia]]*N(INDEX(tblProductos[CostoUnitario],ROW()-ROW(tblConteo[#Headers]))))</f>
        <v/>
      </c>
      <c r="L36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1" spans="2:13" x14ac:dyDescent="0.25">
      <c r="B361" s="42" t="str">
        <f>IF(INDEX(tblProductos[SKU],ROW()-ROW(tblConteo[#Headers]))="","",INDEX(tblProductos[SKU],ROW()-ROW(tblConteo[#Headers])))</f>
        <v/>
      </c>
      <c r="C361" s="49" t="str">
        <f>IF(tblConteo[[#This Row],[SKU]]="","",INDEX(tblProductos[Producto],ROW()-ROW(tblConteo[#Headers])))</f>
        <v/>
      </c>
      <c r="D361" s="49" t="str">
        <f>IF(tblConteo[[#This Row],[SKU]]="","",INDEX(tblProductos[Categoría],ROW()-ROW(tblConteo[#Headers]))&amp;"")</f>
        <v/>
      </c>
      <c r="E361" s="42" t="str">
        <f>IF(tblConteo[[#This Row],[SKU]]="","",INDEX(tblProductos[Ubicación],ROW()-ROW(tblConteo[#Headers]))&amp;"")</f>
        <v/>
      </c>
      <c r="F361" s="42" t="str">
        <f>IF(tblConteo[[#This Row],[SKU]]="","",INDEX(tblProductos[Unidad],ROW()-ROW(tblConteo[#Headers]))&amp;"")</f>
        <v/>
      </c>
      <c r="G361" s="42" t="str">
        <f>IF(tblConteo[[#This Row],[SKU]]="","",IF(INDEX(tblProductos[Activo],ROW()-ROW(tblConteo[#Headers]))="NO","NO","SI"))</f>
        <v/>
      </c>
      <c r="H361" s="53" t="str">
        <f>IF(tblConteo[[#This Row],[SKU]]="","",IFERROR(N(INDEX(tblStock[StockActual],MATCH(tblConteo[[#This Row],[SKU]],tblStock[SKU],0))),0))</f>
        <v/>
      </c>
      <c r="I361" s="52"/>
      <c r="J361" s="59" t="str">
        <f>IF(OR(tblConteo[[#This Row],[SKU]]="",tblConteo[[#This Row],[Conteo]]=""),"",IF(ISNUMBER(tblConteo[[#This Row],[Conteo]]),tblConteo[[#This Row],[Conteo]]-N(tblConteo[[#This Row],[Sistema]]),""))</f>
        <v/>
      </c>
      <c r="K361" s="62" t="str">
        <f>IF(tblConteo[[#This Row],[Diferencia]]="","",tblConteo[[#This Row],[Diferencia]]*N(INDEX(tblProductos[CostoUnitario],ROW()-ROW(tblConteo[#Headers]))))</f>
        <v/>
      </c>
      <c r="L36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2" spans="2:13" x14ac:dyDescent="0.25">
      <c r="B362" s="42" t="str">
        <f>IF(INDEX(tblProductos[SKU],ROW()-ROW(tblConteo[#Headers]))="","",INDEX(tblProductos[SKU],ROW()-ROW(tblConteo[#Headers])))</f>
        <v/>
      </c>
      <c r="C362" s="49" t="str">
        <f>IF(tblConteo[[#This Row],[SKU]]="","",INDEX(tblProductos[Producto],ROW()-ROW(tblConteo[#Headers])))</f>
        <v/>
      </c>
      <c r="D362" s="49" t="str">
        <f>IF(tblConteo[[#This Row],[SKU]]="","",INDEX(tblProductos[Categoría],ROW()-ROW(tblConteo[#Headers]))&amp;"")</f>
        <v/>
      </c>
      <c r="E362" s="42" t="str">
        <f>IF(tblConteo[[#This Row],[SKU]]="","",INDEX(tblProductos[Ubicación],ROW()-ROW(tblConteo[#Headers]))&amp;"")</f>
        <v/>
      </c>
      <c r="F362" s="42" t="str">
        <f>IF(tblConteo[[#This Row],[SKU]]="","",INDEX(tblProductos[Unidad],ROW()-ROW(tblConteo[#Headers]))&amp;"")</f>
        <v/>
      </c>
      <c r="G362" s="42" t="str">
        <f>IF(tblConteo[[#This Row],[SKU]]="","",IF(INDEX(tblProductos[Activo],ROW()-ROW(tblConteo[#Headers]))="NO","NO","SI"))</f>
        <v/>
      </c>
      <c r="H362" s="53" t="str">
        <f>IF(tblConteo[[#This Row],[SKU]]="","",IFERROR(N(INDEX(tblStock[StockActual],MATCH(tblConteo[[#This Row],[SKU]],tblStock[SKU],0))),0))</f>
        <v/>
      </c>
      <c r="I362" s="52"/>
      <c r="J362" s="59" t="str">
        <f>IF(OR(tblConteo[[#This Row],[SKU]]="",tblConteo[[#This Row],[Conteo]]=""),"",IF(ISNUMBER(tblConteo[[#This Row],[Conteo]]),tblConteo[[#This Row],[Conteo]]-N(tblConteo[[#This Row],[Sistema]]),""))</f>
        <v/>
      </c>
      <c r="K362" s="62" t="str">
        <f>IF(tblConteo[[#This Row],[Diferencia]]="","",tblConteo[[#This Row],[Diferencia]]*N(INDEX(tblProductos[CostoUnitario],ROW()-ROW(tblConteo[#Headers]))))</f>
        <v/>
      </c>
      <c r="L36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3" spans="2:13" x14ac:dyDescent="0.25">
      <c r="B363" s="42" t="str">
        <f>IF(INDEX(tblProductos[SKU],ROW()-ROW(tblConteo[#Headers]))="","",INDEX(tblProductos[SKU],ROW()-ROW(tblConteo[#Headers])))</f>
        <v/>
      </c>
      <c r="C363" s="49" t="str">
        <f>IF(tblConteo[[#This Row],[SKU]]="","",INDEX(tblProductos[Producto],ROW()-ROW(tblConteo[#Headers])))</f>
        <v/>
      </c>
      <c r="D363" s="49" t="str">
        <f>IF(tblConteo[[#This Row],[SKU]]="","",INDEX(tblProductos[Categoría],ROW()-ROW(tblConteo[#Headers]))&amp;"")</f>
        <v/>
      </c>
      <c r="E363" s="42" t="str">
        <f>IF(tblConteo[[#This Row],[SKU]]="","",INDEX(tblProductos[Ubicación],ROW()-ROW(tblConteo[#Headers]))&amp;"")</f>
        <v/>
      </c>
      <c r="F363" s="42" t="str">
        <f>IF(tblConteo[[#This Row],[SKU]]="","",INDEX(tblProductos[Unidad],ROW()-ROW(tblConteo[#Headers]))&amp;"")</f>
        <v/>
      </c>
      <c r="G363" s="42" t="str">
        <f>IF(tblConteo[[#This Row],[SKU]]="","",IF(INDEX(tblProductos[Activo],ROW()-ROW(tblConteo[#Headers]))="NO","NO","SI"))</f>
        <v/>
      </c>
      <c r="H363" s="53" t="str">
        <f>IF(tblConteo[[#This Row],[SKU]]="","",IFERROR(N(INDEX(tblStock[StockActual],MATCH(tblConteo[[#This Row],[SKU]],tblStock[SKU],0))),0))</f>
        <v/>
      </c>
      <c r="I363" s="52"/>
      <c r="J363" s="59" t="str">
        <f>IF(OR(tblConteo[[#This Row],[SKU]]="",tblConteo[[#This Row],[Conteo]]=""),"",IF(ISNUMBER(tblConteo[[#This Row],[Conteo]]),tblConteo[[#This Row],[Conteo]]-N(tblConteo[[#This Row],[Sistema]]),""))</f>
        <v/>
      </c>
      <c r="K363" s="62" t="str">
        <f>IF(tblConteo[[#This Row],[Diferencia]]="","",tblConteo[[#This Row],[Diferencia]]*N(INDEX(tblProductos[CostoUnitario],ROW()-ROW(tblConteo[#Headers]))))</f>
        <v/>
      </c>
      <c r="L36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4" spans="2:13" x14ac:dyDescent="0.25">
      <c r="B364" s="42" t="str">
        <f>IF(INDEX(tblProductos[SKU],ROW()-ROW(tblConteo[#Headers]))="","",INDEX(tblProductos[SKU],ROW()-ROW(tblConteo[#Headers])))</f>
        <v/>
      </c>
      <c r="C364" s="49" t="str">
        <f>IF(tblConteo[[#This Row],[SKU]]="","",INDEX(tblProductos[Producto],ROW()-ROW(tblConteo[#Headers])))</f>
        <v/>
      </c>
      <c r="D364" s="49" t="str">
        <f>IF(tblConteo[[#This Row],[SKU]]="","",INDEX(tblProductos[Categoría],ROW()-ROW(tblConteo[#Headers]))&amp;"")</f>
        <v/>
      </c>
      <c r="E364" s="42" t="str">
        <f>IF(tblConteo[[#This Row],[SKU]]="","",INDEX(tblProductos[Ubicación],ROW()-ROW(tblConteo[#Headers]))&amp;"")</f>
        <v/>
      </c>
      <c r="F364" s="42" t="str">
        <f>IF(tblConteo[[#This Row],[SKU]]="","",INDEX(tblProductos[Unidad],ROW()-ROW(tblConteo[#Headers]))&amp;"")</f>
        <v/>
      </c>
      <c r="G364" s="42" t="str">
        <f>IF(tblConteo[[#This Row],[SKU]]="","",IF(INDEX(tblProductos[Activo],ROW()-ROW(tblConteo[#Headers]))="NO","NO","SI"))</f>
        <v/>
      </c>
      <c r="H364" s="53" t="str">
        <f>IF(tblConteo[[#This Row],[SKU]]="","",IFERROR(N(INDEX(tblStock[StockActual],MATCH(tblConteo[[#This Row],[SKU]],tblStock[SKU],0))),0))</f>
        <v/>
      </c>
      <c r="I364" s="52"/>
      <c r="J364" s="59" t="str">
        <f>IF(OR(tblConteo[[#This Row],[SKU]]="",tblConteo[[#This Row],[Conteo]]=""),"",IF(ISNUMBER(tblConteo[[#This Row],[Conteo]]),tblConteo[[#This Row],[Conteo]]-N(tblConteo[[#This Row],[Sistema]]),""))</f>
        <v/>
      </c>
      <c r="K364" s="62" t="str">
        <f>IF(tblConteo[[#This Row],[Diferencia]]="","",tblConteo[[#This Row],[Diferencia]]*N(INDEX(tblProductos[CostoUnitario],ROW()-ROW(tblConteo[#Headers]))))</f>
        <v/>
      </c>
      <c r="L36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5" spans="2:13" x14ac:dyDescent="0.25">
      <c r="B365" s="42" t="str">
        <f>IF(INDEX(tblProductos[SKU],ROW()-ROW(tblConteo[#Headers]))="","",INDEX(tblProductos[SKU],ROW()-ROW(tblConteo[#Headers])))</f>
        <v/>
      </c>
      <c r="C365" s="49" t="str">
        <f>IF(tblConteo[[#This Row],[SKU]]="","",INDEX(tblProductos[Producto],ROW()-ROW(tblConteo[#Headers])))</f>
        <v/>
      </c>
      <c r="D365" s="49" t="str">
        <f>IF(tblConteo[[#This Row],[SKU]]="","",INDEX(tblProductos[Categoría],ROW()-ROW(tblConteo[#Headers]))&amp;"")</f>
        <v/>
      </c>
      <c r="E365" s="42" t="str">
        <f>IF(tblConteo[[#This Row],[SKU]]="","",INDEX(tblProductos[Ubicación],ROW()-ROW(tblConteo[#Headers]))&amp;"")</f>
        <v/>
      </c>
      <c r="F365" s="42" t="str">
        <f>IF(tblConteo[[#This Row],[SKU]]="","",INDEX(tblProductos[Unidad],ROW()-ROW(tblConteo[#Headers]))&amp;"")</f>
        <v/>
      </c>
      <c r="G365" s="42" t="str">
        <f>IF(tblConteo[[#This Row],[SKU]]="","",IF(INDEX(tblProductos[Activo],ROW()-ROW(tblConteo[#Headers]))="NO","NO","SI"))</f>
        <v/>
      </c>
      <c r="H365" s="53" t="str">
        <f>IF(tblConteo[[#This Row],[SKU]]="","",IFERROR(N(INDEX(tblStock[StockActual],MATCH(tblConteo[[#This Row],[SKU]],tblStock[SKU],0))),0))</f>
        <v/>
      </c>
      <c r="I365" s="52"/>
      <c r="J365" s="59" t="str">
        <f>IF(OR(tblConteo[[#This Row],[SKU]]="",tblConteo[[#This Row],[Conteo]]=""),"",IF(ISNUMBER(tblConteo[[#This Row],[Conteo]]),tblConteo[[#This Row],[Conteo]]-N(tblConteo[[#This Row],[Sistema]]),""))</f>
        <v/>
      </c>
      <c r="K365" s="62" t="str">
        <f>IF(tblConteo[[#This Row],[Diferencia]]="","",tblConteo[[#This Row],[Diferencia]]*N(INDEX(tblProductos[CostoUnitario],ROW()-ROW(tblConteo[#Headers]))))</f>
        <v/>
      </c>
      <c r="L36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6" spans="2:13" x14ac:dyDescent="0.25">
      <c r="B366" s="42" t="str">
        <f>IF(INDEX(tblProductos[SKU],ROW()-ROW(tblConteo[#Headers]))="","",INDEX(tblProductos[SKU],ROW()-ROW(tblConteo[#Headers])))</f>
        <v/>
      </c>
      <c r="C366" s="49" t="str">
        <f>IF(tblConteo[[#This Row],[SKU]]="","",INDEX(tblProductos[Producto],ROW()-ROW(tblConteo[#Headers])))</f>
        <v/>
      </c>
      <c r="D366" s="49" t="str">
        <f>IF(tblConteo[[#This Row],[SKU]]="","",INDEX(tblProductos[Categoría],ROW()-ROW(tblConteo[#Headers]))&amp;"")</f>
        <v/>
      </c>
      <c r="E366" s="42" t="str">
        <f>IF(tblConteo[[#This Row],[SKU]]="","",INDEX(tblProductos[Ubicación],ROW()-ROW(tblConteo[#Headers]))&amp;"")</f>
        <v/>
      </c>
      <c r="F366" s="42" t="str">
        <f>IF(tblConteo[[#This Row],[SKU]]="","",INDEX(tblProductos[Unidad],ROW()-ROW(tblConteo[#Headers]))&amp;"")</f>
        <v/>
      </c>
      <c r="G366" s="42" t="str">
        <f>IF(tblConteo[[#This Row],[SKU]]="","",IF(INDEX(tblProductos[Activo],ROW()-ROW(tblConteo[#Headers]))="NO","NO","SI"))</f>
        <v/>
      </c>
      <c r="H366" s="53" t="str">
        <f>IF(tblConteo[[#This Row],[SKU]]="","",IFERROR(N(INDEX(tblStock[StockActual],MATCH(tblConteo[[#This Row],[SKU]],tblStock[SKU],0))),0))</f>
        <v/>
      </c>
      <c r="I366" s="52"/>
      <c r="J366" s="59" t="str">
        <f>IF(OR(tblConteo[[#This Row],[SKU]]="",tblConteo[[#This Row],[Conteo]]=""),"",IF(ISNUMBER(tblConteo[[#This Row],[Conteo]]),tblConteo[[#This Row],[Conteo]]-N(tblConteo[[#This Row],[Sistema]]),""))</f>
        <v/>
      </c>
      <c r="K366" s="62" t="str">
        <f>IF(tblConteo[[#This Row],[Diferencia]]="","",tblConteo[[#This Row],[Diferencia]]*N(INDEX(tblProductos[CostoUnitario],ROW()-ROW(tblConteo[#Headers]))))</f>
        <v/>
      </c>
      <c r="L36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7" spans="2:13" x14ac:dyDescent="0.25">
      <c r="B367" s="42" t="str">
        <f>IF(INDEX(tblProductos[SKU],ROW()-ROW(tblConteo[#Headers]))="","",INDEX(tblProductos[SKU],ROW()-ROW(tblConteo[#Headers])))</f>
        <v/>
      </c>
      <c r="C367" s="49" t="str">
        <f>IF(tblConteo[[#This Row],[SKU]]="","",INDEX(tblProductos[Producto],ROW()-ROW(tblConteo[#Headers])))</f>
        <v/>
      </c>
      <c r="D367" s="49" t="str">
        <f>IF(tblConteo[[#This Row],[SKU]]="","",INDEX(tblProductos[Categoría],ROW()-ROW(tblConteo[#Headers]))&amp;"")</f>
        <v/>
      </c>
      <c r="E367" s="42" t="str">
        <f>IF(tblConteo[[#This Row],[SKU]]="","",INDEX(tblProductos[Ubicación],ROW()-ROW(tblConteo[#Headers]))&amp;"")</f>
        <v/>
      </c>
      <c r="F367" s="42" t="str">
        <f>IF(tblConteo[[#This Row],[SKU]]="","",INDEX(tblProductos[Unidad],ROW()-ROW(tblConteo[#Headers]))&amp;"")</f>
        <v/>
      </c>
      <c r="G367" s="42" t="str">
        <f>IF(tblConteo[[#This Row],[SKU]]="","",IF(INDEX(tblProductos[Activo],ROW()-ROW(tblConteo[#Headers]))="NO","NO","SI"))</f>
        <v/>
      </c>
      <c r="H367" s="53" t="str">
        <f>IF(tblConteo[[#This Row],[SKU]]="","",IFERROR(N(INDEX(tblStock[StockActual],MATCH(tblConteo[[#This Row],[SKU]],tblStock[SKU],0))),0))</f>
        <v/>
      </c>
      <c r="I367" s="52"/>
      <c r="J367" s="59" t="str">
        <f>IF(OR(tblConteo[[#This Row],[SKU]]="",tblConteo[[#This Row],[Conteo]]=""),"",IF(ISNUMBER(tblConteo[[#This Row],[Conteo]]),tblConteo[[#This Row],[Conteo]]-N(tblConteo[[#This Row],[Sistema]]),""))</f>
        <v/>
      </c>
      <c r="K367" s="62" t="str">
        <f>IF(tblConteo[[#This Row],[Diferencia]]="","",tblConteo[[#This Row],[Diferencia]]*N(INDEX(tblProductos[CostoUnitario],ROW()-ROW(tblConteo[#Headers]))))</f>
        <v/>
      </c>
      <c r="L36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8" spans="2:13" x14ac:dyDescent="0.25">
      <c r="B368" s="42" t="str">
        <f>IF(INDEX(tblProductos[SKU],ROW()-ROW(tblConteo[#Headers]))="","",INDEX(tblProductos[SKU],ROW()-ROW(tblConteo[#Headers])))</f>
        <v/>
      </c>
      <c r="C368" s="49" t="str">
        <f>IF(tblConteo[[#This Row],[SKU]]="","",INDEX(tblProductos[Producto],ROW()-ROW(tblConteo[#Headers])))</f>
        <v/>
      </c>
      <c r="D368" s="49" t="str">
        <f>IF(tblConteo[[#This Row],[SKU]]="","",INDEX(tblProductos[Categoría],ROW()-ROW(tblConteo[#Headers]))&amp;"")</f>
        <v/>
      </c>
      <c r="E368" s="42" t="str">
        <f>IF(tblConteo[[#This Row],[SKU]]="","",INDEX(tblProductos[Ubicación],ROW()-ROW(tblConteo[#Headers]))&amp;"")</f>
        <v/>
      </c>
      <c r="F368" s="42" t="str">
        <f>IF(tblConteo[[#This Row],[SKU]]="","",INDEX(tblProductos[Unidad],ROW()-ROW(tblConteo[#Headers]))&amp;"")</f>
        <v/>
      </c>
      <c r="G368" s="42" t="str">
        <f>IF(tblConteo[[#This Row],[SKU]]="","",IF(INDEX(tblProductos[Activo],ROW()-ROW(tblConteo[#Headers]))="NO","NO","SI"))</f>
        <v/>
      </c>
      <c r="H368" s="53" t="str">
        <f>IF(tblConteo[[#This Row],[SKU]]="","",IFERROR(N(INDEX(tblStock[StockActual],MATCH(tblConteo[[#This Row],[SKU]],tblStock[SKU],0))),0))</f>
        <v/>
      </c>
      <c r="I368" s="52"/>
      <c r="J368" s="59" t="str">
        <f>IF(OR(tblConteo[[#This Row],[SKU]]="",tblConteo[[#This Row],[Conteo]]=""),"",IF(ISNUMBER(tblConteo[[#This Row],[Conteo]]),tblConteo[[#This Row],[Conteo]]-N(tblConteo[[#This Row],[Sistema]]),""))</f>
        <v/>
      </c>
      <c r="K368" s="62" t="str">
        <f>IF(tblConteo[[#This Row],[Diferencia]]="","",tblConteo[[#This Row],[Diferencia]]*N(INDEX(tblProductos[CostoUnitario],ROW()-ROW(tblConteo[#Headers]))))</f>
        <v/>
      </c>
      <c r="L36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9" spans="2:13" x14ac:dyDescent="0.25">
      <c r="B369" s="42" t="str">
        <f>IF(INDEX(tblProductos[SKU],ROW()-ROW(tblConteo[#Headers]))="","",INDEX(tblProductos[SKU],ROW()-ROW(tblConteo[#Headers])))</f>
        <v/>
      </c>
      <c r="C369" s="49" t="str">
        <f>IF(tblConteo[[#This Row],[SKU]]="","",INDEX(tblProductos[Producto],ROW()-ROW(tblConteo[#Headers])))</f>
        <v/>
      </c>
      <c r="D369" s="49" t="str">
        <f>IF(tblConteo[[#This Row],[SKU]]="","",INDEX(tblProductos[Categoría],ROW()-ROW(tblConteo[#Headers]))&amp;"")</f>
        <v/>
      </c>
      <c r="E369" s="42" t="str">
        <f>IF(tblConteo[[#This Row],[SKU]]="","",INDEX(tblProductos[Ubicación],ROW()-ROW(tblConteo[#Headers]))&amp;"")</f>
        <v/>
      </c>
      <c r="F369" s="42" t="str">
        <f>IF(tblConteo[[#This Row],[SKU]]="","",INDEX(tblProductos[Unidad],ROW()-ROW(tblConteo[#Headers]))&amp;"")</f>
        <v/>
      </c>
      <c r="G369" s="42" t="str">
        <f>IF(tblConteo[[#This Row],[SKU]]="","",IF(INDEX(tblProductos[Activo],ROW()-ROW(tblConteo[#Headers]))="NO","NO","SI"))</f>
        <v/>
      </c>
      <c r="H369" s="53" t="str">
        <f>IF(tblConteo[[#This Row],[SKU]]="","",IFERROR(N(INDEX(tblStock[StockActual],MATCH(tblConteo[[#This Row],[SKU]],tblStock[SKU],0))),0))</f>
        <v/>
      </c>
      <c r="I369" s="52"/>
      <c r="J369" s="59" t="str">
        <f>IF(OR(tblConteo[[#This Row],[SKU]]="",tblConteo[[#This Row],[Conteo]]=""),"",IF(ISNUMBER(tblConteo[[#This Row],[Conteo]]),tblConteo[[#This Row],[Conteo]]-N(tblConteo[[#This Row],[Sistema]]),""))</f>
        <v/>
      </c>
      <c r="K369" s="62" t="str">
        <f>IF(tblConteo[[#This Row],[Diferencia]]="","",tblConteo[[#This Row],[Diferencia]]*N(INDEX(tblProductos[CostoUnitario],ROW()-ROW(tblConteo[#Headers]))))</f>
        <v/>
      </c>
      <c r="L36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0" spans="2:13" x14ac:dyDescent="0.25">
      <c r="B370" s="42" t="str">
        <f>IF(INDEX(tblProductos[SKU],ROW()-ROW(tblConteo[#Headers]))="","",INDEX(tblProductos[SKU],ROW()-ROW(tblConteo[#Headers])))</f>
        <v/>
      </c>
      <c r="C370" s="49" t="str">
        <f>IF(tblConteo[[#This Row],[SKU]]="","",INDEX(tblProductos[Producto],ROW()-ROW(tblConteo[#Headers])))</f>
        <v/>
      </c>
      <c r="D370" s="49" t="str">
        <f>IF(tblConteo[[#This Row],[SKU]]="","",INDEX(tblProductos[Categoría],ROW()-ROW(tblConteo[#Headers]))&amp;"")</f>
        <v/>
      </c>
      <c r="E370" s="42" t="str">
        <f>IF(tblConteo[[#This Row],[SKU]]="","",INDEX(tblProductos[Ubicación],ROW()-ROW(tblConteo[#Headers]))&amp;"")</f>
        <v/>
      </c>
      <c r="F370" s="42" t="str">
        <f>IF(tblConteo[[#This Row],[SKU]]="","",INDEX(tblProductos[Unidad],ROW()-ROW(tblConteo[#Headers]))&amp;"")</f>
        <v/>
      </c>
      <c r="G370" s="42" t="str">
        <f>IF(tblConteo[[#This Row],[SKU]]="","",IF(INDEX(tblProductos[Activo],ROW()-ROW(tblConteo[#Headers]))="NO","NO","SI"))</f>
        <v/>
      </c>
      <c r="H370" s="53" t="str">
        <f>IF(tblConteo[[#This Row],[SKU]]="","",IFERROR(N(INDEX(tblStock[StockActual],MATCH(tblConteo[[#This Row],[SKU]],tblStock[SKU],0))),0))</f>
        <v/>
      </c>
      <c r="I370" s="52"/>
      <c r="J370" s="59" t="str">
        <f>IF(OR(tblConteo[[#This Row],[SKU]]="",tblConteo[[#This Row],[Conteo]]=""),"",IF(ISNUMBER(tblConteo[[#This Row],[Conteo]]),tblConteo[[#This Row],[Conteo]]-N(tblConteo[[#This Row],[Sistema]]),""))</f>
        <v/>
      </c>
      <c r="K370" s="62" t="str">
        <f>IF(tblConteo[[#This Row],[Diferencia]]="","",tblConteo[[#This Row],[Diferencia]]*N(INDEX(tblProductos[CostoUnitario],ROW()-ROW(tblConteo[#Headers]))))</f>
        <v/>
      </c>
      <c r="L37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1" spans="2:13" x14ac:dyDescent="0.25">
      <c r="B371" s="42" t="str">
        <f>IF(INDEX(tblProductos[SKU],ROW()-ROW(tblConteo[#Headers]))="","",INDEX(tblProductos[SKU],ROW()-ROW(tblConteo[#Headers])))</f>
        <v/>
      </c>
      <c r="C371" s="49" t="str">
        <f>IF(tblConteo[[#This Row],[SKU]]="","",INDEX(tblProductos[Producto],ROW()-ROW(tblConteo[#Headers])))</f>
        <v/>
      </c>
      <c r="D371" s="49" t="str">
        <f>IF(tblConteo[[#This Row],[SKU]]="","",INDEX(tblProductos[Categoría],ROW()-ROW(tblConteo[#Headers]))&amp;"")</f>
        <v/>
      </c>
      <c r="E371" s="42" t="str">
        <f>IF(tblConteo[[#This Row],[SKU]]="","",INDEX(tblProductos[Ubicación],ROW()-ROW(tblConteo[#Headers]))&amp;"")</f>
        <v/>
      </c>
      <c r="F371" s="42" t="str">
        <f>IF(tblConteo[[#This Row],[SKU]]="","",INDEX(tblProductos[Unidad],ROW()-ROW(tblConteo[#Headers]))&amp;"")</f>
        <v/>
      </c>
      <c r="G371" s="42" t="str">
        <f>IF(tblConteo[[#This Row],[SKU]]="","",IF(INDEX(tblProductos[Activo],ROW()-ROW(tblConteo[#Headers]))="NO","NO","SI"))</f>
        <v/>
      </c>
      <c r="H371" s="53" t="str">
        <f>IF(tblConteo[[#This Row],[SKU]]="","",IFERROR(N(INDEX(tblStock[StockActual],MATCH(tblConteo[[#This Row],[SKU]],tblStock[SKU],0))),0))</f>
        <v/>
      </c>
      <c r="I371" s="52"/>
      <c r="J371" s="59" t="str">
        <f>IF(OR(tblConteo[[#This Row],[SKU]]="",tblConteo[[#This Row],[Conteo]]=""),"",IF(ISNUMBER(tblConteo[[#This Row],[Conteo]]),tblConteo[[#This Row],[Conteo]]-N(tblConteo[[#This Row],[Sistema]]),""))</f>
        <v/>
      </c>
      <c r="K371" s="62" t="str">
        <f>IF(tblConteo[[#This Row],[Diferencia]]="","",tblConteo[[#This Row],[Diferencia]]*N(INDEX(tblProductos[CostoUnitario],ROW()-ROW(tblConteo[#Headers]))))</f>
        <v/>
      </c>
      <c r="L37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2" spans="2:13" x14ac:dyDescent="0.25">
      <c r="B372" s="42" t="str">
        <f>IF(INDEX(tblProductos[SKU],ROW()-ROW(tblConteo[#Headers]))="","",INDEX(tblProductos[SKU],ROW()-ROW(tblConteo[#Headers])))</f>
        <v/>
      </c>
      <c r="C372" s="49" t="str">
        <f>IF(tblConteo[[#This Row],[SKU]]="","",INDEX(tblProductos[Producto],ROW()-ROW(tblConteo[#Headers])))</f>
        <v/>
      </c>
      <c r="D372" s="49" t="str">
        <f>IF(tblConteo[[#This Row],[SKU]]="","",INDEX(tblProductos[Categoría],ROW()-ROW(tblConteo[#Headers]))&amp;"")</f>
        <v/>
      </c>
      <c r="E372" s="42" t="str">
        <f>IF(tblConteo[[#This Row],[SKU]]="","",INDEX(tblProductos[Ubicación],ROW()-ROW(tblConteo[#Headers]))&amp;"")</f>
        <v/>
      </c>
      <c r="F372" s="42" t="str">
        <f>IF(tblConteo[[#This Row],[SKU]]="","",INDEX(tblProductos[Unidad],ROW()-ROW(tblConteo[#Headers]))&amp;"")</f>
        <v/>
      </c>
      <c r="G372" s="42" t="str">
        <f>IF(tblConteo[[#This Row],[SKU]]="","",IF(INDEX(tblProductos[Activo],ROW()-ROW(tblConteo[#Headers]))="NO","NO","SI"))</f>
        <v/>
      </c>
      <c r="H372" s="53" t="str">
        <f>IF(tblConteo[[#This Row],[SKU]]="","",IFERROR(N(INDEX(tblStock[StockActual],MATCH(tblConteo[[#This Row],[SKU]],tblStock[SKU],0))),0))</f>
        <v/>
      </c>
      <c r="I372" s="52"/>
      <c r="J372" s="59" t="str">
        <f>IF(OR(tblConteo[[#This Row],[SKU]]="",tblConteo[[#This Row],[Conteo]]=""),"",IF(ISNUMBER(tblConteo[[#This Row],[Conteo]]),tblConteo[[#This Row],[Conteo]]-N(tblConteo[[#This Row],[Sistema]]),""))</f>
        <v/>
      </c>
      <c r="K372" s="62" t="str">
        <f>IF(tblConteo[[#This Row],[Diferencia]]="","",tblConteo[[#This Row],[Diferencia]]*N(INDEX(tblProductos[CostoUnitario],ROW()-ROW(tblConteo[#Headers]))))</f>
        <v/>
      </c>
      <c r="L37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3" spans="2:13" x14ac:dyDescent="0.25">
      <c r="B373" s="42" t="str">
        <f>IF(INDEX(tblProductos[SKU],ROW()-ROW(tblConteo[#Headers]))="","",INDEX(tblProductos[SKU],ROW()-ROW(tblConteo[#Headers])))</f>
        <v/>
      </c>
      <c r="C373" s="49" t="str">
        <f>IF(tblConteo[[#This Row],[SKU]]="","",INDEX(tblProductos[Producto],ROW()-ROW(tblConteo[#Headers])))</f>
        <v/>
      </c>
      <c r="D373" s="49" t="str">
        <f>IF(tblConteo[[#This Row],[SKU]]="","",INDEX(tblProductos[Categoría],ROW()-ROW(tblConteo[#Headers]))&amp;"")</f>
        <v/>
      </c>
      <c r="E373" s="42" t="str">
        <f>IF(tblConteo[[#This Row],[SKU]]="","",INDEX(tblProductos[Ubicación],ROW()-ROW(tblConteo[#Headers]))&amp;"")</f>
        <v/>
      </c>
      <c r="F373" s="42" t="str">
        <f>IF(tblConteo[[#This Row],[SKU]]="","",INDEX(tblProductos[Unidad],ROW()-ROW(tblConteo[#Headers]))&amp;"")</f>
        <v/>
      </c>
      <c r="G373" s="42" t="str">
        <f>IF(tblConteo[[#This Row],[SKU]]="","",IF(INDEX(tblProductos[Activo],ROW()-ROW(tblConteo[#Headers]))="NO","NO","SI"))</f>
        <v/>
      </c>
      <c r="H373" s="53" t="str">
        <f>IF(tblConteo[[#This Row],[SKU]]="","",IFERROR(N(INDEX(tblStock[StockActual],MATCH(tblConteo[[#This Row],[SKU]],tblStock[SKU],0))),0))</f>
        <v/>
      </c>
      <c r="I373" s="52"/>
      <c r="J373" s="59" t="str">
        <f>IF(OR(tblConteo[[#This Row],[SKU]]="",tblConteo[[#This Row],[Conteo]]=""),"",IF(ISNUMBER(tblConteo[[#This Row],[Conteo]]),tblConteo[[#This Row],[Conteo]]-N(tblConteo[[#This Row],[Sistema]]),""))</f>
        <v/>
      </c>
      <c r="K373" s="62" t="str">
        <f>IF(tblConteo[[#This Row],[Diferencia]]="","",tblConteo[[#This Row],[Diferencia]]*N(INDEX(tblProductos[CostoUnitario],ROW()-ROW(tblConteo[#Headers]))))</f>
        <v/>
      </c>
      <c r="L37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4" spans="2:13" x14ac:dyDescent="0.25">
      <c r="B374" s="42" t="str">
        <f>IF(INDEX(tblProductos[SKU],ROW()-ROW(tblConteo[#Headers]))="","",INDEX(tblProductos[SKU],ROW()-ROW(tblConteo[#Headers])))</f>
        <v/>
      </c>
      <c r="C374" s="49" t="str">
        <f>IF(tblConteo[[#This Row],[SKU]]="","",INDEX(tblProductos[Producto],ROW()-ROW(tblConteo[#Headers])))</f>
        <v/>
      </c>
      <c r="D374" s="49" t="str">
        <f>IF(tblConteo[[#This Row],[SKU]]="","",INDEX(tblProductos[Categoría],ROW()-ROW(tblConteo[#Headers]))&amp;"")</f>
        <v/>
      </c>
      <c r="E374" s="42" t="str">
        <f>IF(tblConteo[[#This Row],[SKU]]="","",INDEX(tblProductos[Ubicación],ROW()-ROW(tblConteo[#Headers]))&amp;"")</f>
        <v/>
      </c>
      <c r="F374" s="42" t="str">
        <f>IF(tblConteo[[#This Row],[SKU]]="","",INDEX(tblProductos[Unidad],ROW()-ROW(tblConteo[#Headers]))&amp;"")</f>
        <v/>
      </c>
      <c r="G374" s="42" t="str">
        <f>IF(tblConteo[[#This Row],[SKU]]="","",IF(INDEX(tblProductos[Activo],ROW()-ROW(tblConteo[#Headers]))="NO","NO","SI"))</f>
        <v/>
      </c>
      <c r="H374" s="53" t="str">
        <f>IF(tblConteo[[#This Row],[SKU]]="","",IFERROR(N(INDEX(tblStock[StockActual],MATCH(tblConteo[[#This Row],[SKU]],tblStock[SKU],0))),0))</f>
        <v/>
      </c>
      <c r="I374" s="52"/>
      <c r="J374" s="59" t="str">
        <f>IF(OR(tblConteo[[#This Row],[SKU]]="",tblConteo[[#This Row],[Conteo]]=""),"",IF(ISNUMBER(tblConteo[[#This Row],[Conteo]]),tblConteo[[#This Row],[Conteo]]-N(tblConteo[[#This Row],[Sistema]]),""))</f>
        <v/>
      </c>
      <c r="K374" s="62" t="str">
        <f>IF(tblConteo[[#This Row],[Diferencia]]="","",tblConteo[[#This Row],[Diferencia]]*N(INDEX(tblProductos[CostoUnitario],ROW()-ROW(tblConteo[#Headers]))))</f>
        <v/>
      </c>
      <c r="L37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5" spans="2:13" x14ac:dyDescent="0.25">
      <c r="B375" s="42" t="str">
        <f>IF(INDEX(tblProductos[SKU],ROW()-ROW(tblConteo[#Headers]))="","",INDEX(tblProductos[SKU],ROW()-ROW(tblConteo[#Headers])))</f>
        <v/>
      </c>
      <c r="C375" s="49" t="str">
        <f>IF(tblConteo[[#This Row],[SKU]]="","",INDEX(tblProductos[Producto],ROW()-ROW(tblConteo[#Headers])))</f>
        <v/>
      </c>
      <c r="D375" s="49" t="str">
        <f>IF(tblConteo[[#This Row],[SKU]]="","",INDEX(tblProductos[Categoría],ROW()-ROW(tblConteo[#Headers]))&amp;"")</f>
        <v/>
      </c>
      <c r="E375" s="42" t="str">
        <f>IF(tblConteo[[#This Row],[SKU]]="","",INDEX(tblProductos[Ubicación],ROW()-ROW(tblConteo[#Headers]))&amp;"")</f>
        <v/>
      </c>
      <c r="F375" s="42" t="str">
        <f>IF(tblConteo[[#This Row],[SKU]]="","",INDEX(tblProductos[Unidad],ROW()-ROW(tblConteo[#Headers]))&amp;"")</f>
        <v/>
      </c>
      <c r="G375" s="42" t="str">
        <f>IF(tblConteo[[#This Row],[SKU]]="","",IF(INDEX(tblProductos[Activo],ROW()-ROW(tblConteo[#Headers]))="NO","NO","SI"))</f>
        <v/>
      </c>
      <c r="H375" s="53" t="str">
        <f>IF(tblConteo[[#This Row],[SKU]]="","",IFERROR(N(INDEX(tblStock[StockActual],MATCH(tblConteo[[#This Row],[SKU]],tblStock[SKU],0))),0))</f>
        <v/>
      </c>
      <c r="I375" s="52"/>
      <c r="J375" s="59" t="str">
        <f>IF(OR(tblConteo[[#This Row],[SKU]]="",tblConteo[[#This Row],[Conteo]]=""),"",IF(ISNUMBER(tblConteo[[#This Row],[Conteo]]),tblConteo[[#This Row],[Conteo]]-N(tblConteo[[#This Row],[Sistema]]),""))</f>
        <v/>
      </c>
      <c r="K375" s="62" t="str">
        <f>IF(tblConteo[[#This Row],[Diferencia]]="","",tblConteo[[#This Row],[Diferencia]]*N(INDEX(tblProductos[CostoUnitario],ROW()-ROW(tblConteo[#Headers]))))</f>
        <v/>
      </c>
      <c r="L37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6" spans="2:13" x14ac:dyDescent="0.25">
      <c r="B376" s="42" t="str">
        <f>IF(INDEX(tblProductos[SKU],ROW()-ROW(tblConteo[#Headers]))="","",INDEX(tblProductos[SKU],ROW()-ROW(tblConteo[#Headers])))</f>
        <v/>
      </c>
      <c r="C376" s="49" t="str">
        <f>IF(tblConteo[[#This Row],[SKU]]="","",INDEX(tblProductos[Producto],ROW()-ROW(tblConteo[#Headers])))</f>
        <v/>
      </c>
      <c r="D376" s="49" t="str">
        <f>IF(tblConteo[[#This Row],[SKU]]="","",INDEX(tblProductos[Categoría],ROW()-ROW(tblConteo[#Headers]))&amp;"")</f>
        <v/>
      </c>
      <c r="E376" s="42" t="str">
        <f>IF(tblConteo[[#This Row],[SKU]]="","",INDEX(tblProductos[Ubicación],ROW()-ROW(tblConteo[#Headers]))&amp;"")</f>
        <v/>
      </c>
      <c r="F376" s="42" t="str">
        <f>IF(tblConteo[[#This Row],[SKU]]="","",INDEX(tblProductos[Unidad],ROW()-ROW(tblConteo[#Headers]))&amp;"")</f>
        <v/>
      </c>
      <c r="G376" s="42" t="str">
        <f>IF(tblConteo[[#This Row],[SKU]]="","",IF(INDEX(tblProductos[Activo],ROW()-ROW(tblConteo[#Headers]))="NO","NO","SI"))</f>
        <v/>
      </c>
      <c r="H376" s="53" t="str">
        <f>IF(tblConteo[[#This Row],[SKU]]="","",IFERROR(N(INDEX(tblStock[StockActual],MATCH(tblConteo[[#This Row],[SKU]],tblStock[SKU],0))),0))</f>
        <v/>
      </c>
      <c r="I376" s="52"/>
      <c r="J376" s="59" t="str">
        <f>IF(OR(tblConteo[[#This Row],[SKU]]="",tblConteo[[#This Row],[Conteo]]=""),"",IF(ISNUMBER(tblConteo[[#This Row],[Conteo]]),tblConteo[[#This Row],[Conteo]]-N(tblConteo[[#This Row],[Sistema]]),""))</f>
        <v/>
      </c>
      <c r="K376" s="62" t="str">
        <f>IF(tblConteo[[#This Row],[Diferencia]]="","",tblConteo[[#This Row],[Diferencia]]*N(INDEX(tblProductos[CostoUnitario],ROW()-ROW(tblConteo[#Headers]))))</f>
        <v/>
      </c>
      <c r="L37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7" spans="2:13" x14ac:dyDescent="0.25">
      <c r="B377" s="42" t="str">
        <f>IF(INDEX(tblProductos[SKU],ROW()-ROW(tblConteo[#Headers]))="","",INDEX(tblProductos[SKU],ROW()-ROW(tblConteo[#Headers])))</f>
        <v/>
      </c>
      <c r="C377" s="49" t="str">
        <f>IF(tblConteo[[#This Row],[SKU]]="","",INDEX(tblProductos[Producto],ROW()-ROW(tblConteo[#Headers])))</f>
        <v/>
      </c>
      <c r="D377" s="49" t="str">
        <f>IF(tblConteo[[#This Row],[SKU]]="","",INDEX(tblProductos[Categoría],ROW()-ROW(tblConteo[#Headers]))&amp;"")</f>
        <v/>
      </c>
      <c r="E377" s="42" t="str">
        <f>IF(tblConteo[[#This Row],[SKU]]="","",INDEX(tblProductos[Ubicación],ROW()-ROW(tblConteo[#Headers]))&amp;"")</f>
        <v/>
      </c>
      <c r="F377" s="42" t="str">
        <f>IF(tblConteo[[#This Row],[SKU]]="","",INDEX(tblProductos[Unidad],ROW()-ROW(tblConteo[#Headers]))&amp;"")</f>
        <v/>
      </c>
      <c r="G377" s="42" t="str">
        <f>IF(tblConteo[[#This Row],[SKU]]="","",IF(INDEX(tblProductos[Activo],ROW()-ROW(tblConteo[#Headers]))="NO","NO","SI"))</f>
        <v/>
      </c>
      <c r="H377" s="53" t="str">
        <f>IF(tblConteo[[#This Row],[SKU]]="","",IFERROR(N(INDEX(tblStock[StockActual],MATCH(tblConteo[[#This Row],[SKU]],tblStock[SKU],0))),0))</f>
        <v/>
      </c>
      <c r="I377" s="52"/>
      <c r="J377" s="59" t="str">
        <f>IF(OR(tblConteo[[#This Row],[SKU]]="",tblConteo[[#This Row],[Conteo]]=""),"",IF(ISNUMBER(tblConteo[[#This Row],[Conteo]]),tblConteo[[#This Row],[Conteo]]-N(tblConteo[[#This Row],[Sistema]]),""))</f>
        <v/>
      </c>
      <c r="K377" s="62" t="str">
        <f>IF(tblConteo[[#This Row],[Diferencia]]="","",tblConteo[[#This Row],[Diferencia]]*N(INDEX(tblProductos[CostoUnitario],ROW()-ROW(tblConteo[#Headers]))))</f>
        <v/>
      </c>
      <c r="L37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8" spans="2:13" x14ac:dyDescent="0.25">
      <c r="B378" s="42" t="str">
        <f>IF(INDEX(tblProductos[SKU],ROW()-ROW(tblConteo[#Headers]))="","",INDEX(tblProductos[SKU],ROW()-ROW(tblConteo[#Headers])))</f>
        <v/>
      </c>
      <c r="C378" s="49" t="str">
        <f>IF(tblConteo[[#This Row],[SKU]]="","",INDEX(tblProductos[Producto],ROW()-ROW(tblConteo[#Headers])))</f>
        <v/>
      </c>
      <c r="D378" s="49" t="str">
        <f>IF(tblConteo[[#This Row],[SKU]]="","",INDEX(tblProductos[Categoría],ROW()-ROW(tblConteo[#Headers]))&amp;"")</f>
        <v/>
      </c>
      <c r="E378" s="42" t="str">
        <f>IF(tblConteo[[#This Row],[SKU]]="","",INDEX(tblProductos[Ubicación],ROW()-ROW(tblConteo[#Headers]))&amp;"")</f>
        <v/>
      </c>
      <c r="F378" s="42" t="str">
        <f>IF(tblConteo[[#This Row],[SKU]]="","",INDEX(tblProductos[Unidad],ROW()-ROW(tblConteo[#Headers]))&amp;"")</f>
        <v/>
      </c>
      <c r="G378" s="42" t="str">
        <f>IF(tblConteo[[#This Row],[SKU]]="","",IF(INDEX(tblProductos[Activo],ROW()-ROW(tblConteo[#Headers]))="NO","NO","SI"))</f>
        <v/>
      </c>
      <c r="H378" s="53" t="str">
        <f>IF(tblConteo[[#This Row],[SKU]]="","",IFERROR(N(INDEX(tblStock[StockActual],MATCH(tblConteo[[#This Row],[SKU]],tblStock[SKU],0))),0))</f>
        <v/>
      </c>
      <c r="I378" s="52"/>
      <c r="J378" s="59" t="str">
        <f>IF(OR(tblConteo[[#This Row],[SKU]]="",tblConteo[[#This Row],[Conteo]]=""),"",IF(ISNUMBER(tblConteo[[#This Row],[Conteo]]),tblConteo[[#This Row],[Conteo]]-N(tblConteo[[#This Row],[Sistema]]),""))</f>
        <v/>
      </c>
      <c r="K378" s="62" t="str">
        <f>IF(tblConteo[[#This Row],[Diferencia]]="","",tblConteo[[#This Row],[Diferencia]]*N(INDEX(tblProductos[CostoUnitario],ROW()-ROW(tblConteo[#Headers]))))</f>
        <v/>
      </c>
      <c r="L37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9" spans="2:13" x14ac:dyDescent="0.25">
      <c r="B379" s="42" t="str">
        <f>IF(INDEX(tblProductos[SKU],ROW()-ROW(tblConteo[#Headers]))="","",INDEX(tblProductos[SKU],ROW()-ROW(tblConteo[#Headers])))</f>
        <v/>
      </c>
      <c r="C379" s="49" t="str">
        <f>IF(tblConteo[[#This Row],[SKU]]="","",INDEX(tblProductos[Producto],ROW()-ROW(tblConteo[#Headers])))</f>
        <v/>
      </c>
      <c r="D379" s="49" t="str">
        <f>IF(tblConteo[[#This Row],[SKU]]="","",INDEX(tblProductos[Categoría],ROW()-ROW(tblConteo[#Headers]))&amp;"")</f>
        <v/>
      </c>
      <c r="E379" s="42" t="str">
        <f>IF(tblConteo[[#This Row],[SKU]]="","",INDEX(tblProductos[Ubicación],ROW()-ROW(tblConteo[#Headers]))&amp;"")</f>
        <v/>
      </c>
      <c r="F379" s="42" t="str">
        <f>IF(tblConteo[[#This Row],[SKU]]="","",INDEX(tblProductos[Unidad],ROW()-ROW(tblConteo[#Headers]))&amp;"")</f>
        <v/>
      </c>
      <c r="G379" s="42" t="str">
        <f>IF(tblConteo[[#This Row],[SKU]]="","",IF(INDEX(tblProductos[Activo],ROW()-ROW(tblConteo[#Headers]))="NO","NO","SI"))</f>
        <v/>
      </c>
      <c r="H379" s="53" t="str">
        <f>IF(tblConteo[[#This Row],[SKU]]="","",IFERROR(N(INDEX(tblStock[StockActual],MATCH(tblConteo[[#This Row],[SKU]],tblStock[SKU],0))),0))</f>
        <v/>
      </c>
      <c r="I379" s="52"/>
      <c r="J379" s="59" t="str">
        <f>IF(OR(tblConteo[[#This Row],[SKU]]="",tblConteo[[#This Row],[Conteo]]=""),"",IF(ISNUMBER(tblConteo[[#This Row],[Conteo]]),tblConteo[[#This Row],[Conteo]]-N(tblConteo[[#This Row],[Sistema]]),""))</f>
        <v/>
      </c>
      <c r="K379" s="62" t="str">
        <f>IF(tblConteo[[#This Row],[Diferencia]]="","",tblConteo[[#This Row],[Diferencia]]*N(INDEX(tblProductos[CostoUnitario],ROW()-ROW(tblConteo[#Headers]))))</f>
        <v/>
      </c>
      <c r="L37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0" spans="2:13" x14ac:dyDescent="0.25">
      <c r="B380" s="42" t="str">
        <f>IF(INDEX(tblProductos[SKU],ROW()-ROW(tblConteo[#Headers]))="","",INDEX(tblProductos[SKU],ROW()-ROW(tblConteo[#Headers])))</f>
        <v/>
      </c>
      <c r="C380" s="49" t="str">
        <f>IF(tblConteo[[#This Row],[SKU]]="","",INDEX(tblProductos[Producto],ROW()-ROW(tblConteo[#Headers])))</f>
        <v/>
      </c>
      <c r="D380" s="49" t="str">
        <f>IF(tblConteo[[#This Row],[SKU]]="","",INDEX(tblProductos[Categoría],ROW()-ROW(tblConteo[#Headers]))&amp;"")</f>
        <v/>
      </c>
      <c r="E380" s="42" t="str">
        <f>IF(tblConteo[[#This Row],[SKU]]="","",INDEX(tblProductos[Ubicación],ROW()-ROW(tblConteo[#Headers]))&amp;"")</f>
        <v/>
      </c>
      <c r="F380" s="42" t="str">
        <f>IF(tblConteo[[#This Row],[SKU]]="","",INDEX(tblProductos[Unidad],ROW()-ROW(tblConteo[#Headers]))&amp;"")</f>
        <v/>
      </c>
      <c r="G380" s="42" t="str">
        <f>IF(tblConteo[[#This Row],[SKU]]="","",IF(INDEX(tblProductos[Activo],ROW()-ROW(tblConteo[#Headers]))="NO","NO","SI"))</f>
        <v/>
      </c>
      <c r="H380" s="53" t="str">
        <f>IF(tblConteo[[#This Row],[SKU]]="","",IFERROR(N(INDEX(tblStock[StockActual],MATCH(tblConteo[[#This Row],[SKU]],tblStock[SKU],0))),0))</f>
        <v/>
      </c>
      <c r="I380" s="52"/>
      <c r="J380" s="59" t="str">
        <f>IF(OR(tblConteo[[#This Row],[SKU]]="",tblConteo[[#This Row],[Conteo]]=""),"",IF(ISNUMBER(tblConteo[[#This Row],[Conteo]]),tblConteo[[#This Row],[Conteo]]-N(tblConteo[[#This Row],[Sistema]]),""))</f>
        <v/>
      </c>
      <c r="K380" s="62" t="str">
        <f>IF(tblConteo[[#This Row],[Diferencia]]="","",tblConteo[[#This Row],[Diferencia]]*N(INDEX(tblProductos[CostoUnitario],ROW()-ROW(tblConteo[#Headers]))))</f>
        <v/>
      </c>
      <c r="L38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1" spans="2:13" x14ac:dyDescent="0.25">
      <c r="B381" s="42" t="str">
        <f>IF(INDEX(tblProductos[SKU],ROW()-ROW(tblConteo[#Headers]))="","",INDEX(tblProductos[SKU],ROW()-ROW(tblConteo[#Headers])))</f>
        <v/>
      </c>
      <c r="C381" s="49" t="str">
        <f>IF(tblConteo[[#This Row],[SKU]]="","",INDEX(tblProductos[Producto],ROW()-ROW(tblConteo[#Headers])))</f>
        <v/>
      </c>
      <c r="D381" s="49" t="str">
        <f>IF(tblConteo[[#This Row],[SKU]]="","",INDEX(tblProductos[Categoría],ROW()-ROW(tblConteo[#Headers]))&amp;"")</f>
        <v/>
      </c>
      <c r="E381" s="42" t="str">
        <f>IF(tblConteo[[#This Row],[SKU]]="","",INDEX(tblProductos[Ubicación],ROW()-ROW(tblConteo[#Headers]))&amp;"")</f>
        <v/>
      </c>
      <c r="F381" s="42" t="str">
        <f>IF(tblConteo[[#This Row],[SKU]]="","",INDEX(tblProductos[Unidad],ROW()-ROW(tblConteo[#Headers]))&amp;"")</f>
        <v/>
      </c>
      <c r="G381" s="42" t="str">
        <f>IF(tblConteo[[#This Row],[SKU]]="","",IF(INDEX(tblProductos[Activo],ROW()-ROW(tblConteo[#Headers]))="NO","NO","SI"))</f>
        <v/>
      </c>
      <c r="H381" s="53" t="str">
        <f>IF(tblConteo[[#This Row],[SKU]]="","",IFERROR(N(INDEX(tblStock[StockActual],MATCH(tblConteo[[#This Row],[SKU]],tblStock[SKU],0))),0))</f>
        <v/>
      </c>
      <c r="I381" s="52"/>
      <c r="J381" s="59" t="str">
        <f>IF(OR(tblConteo[[#This Row],[SKU]]="",tblConteo[[#This Row],[Conteo]]=""),"",IF(ISNUMBER(tblConteo[[#This Row],[Conteo]]),tblConteo[[#This Row],[Conteo]]-N(tblConteo[[#This Row],[Sistema]]),""))</f>
        <v/>
      </c>
      <c r="K381" s="62" t="str">
        <f>IF(tblConteo[[#This Row],[Diferencia]]="","",tblConteo[[#This Row],[Diferencia]]*N(INDEX(tblProductos[CostoUnitario],ROW()-ROW(tblConteo[#Headers]))))</f>
        <v/>
      </c>
      <c r="L38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2" spans="2:13" x14ac:dyDescent="0.25">
      <c r="B382" s="42" t="str">
        <f>IF(INDEX(tblProductos[SKU],ROW()-ROW(tblConteo[#Headers]))="","",INDEX(tblProductos[SKU],ROW()-ROW(tblConteo[#Headers])))</f>
        <v/>
      </c>
      <c r="C382" s="49" t="str">
        <f>IF(tblConteo[[#This Row],[SKU]]="","",INDEX(tblProductos[Producto],ROW()-ROW(tblConteo[#Headers])))</f>
        <v/>
      </c>
      <c r="D382" s="49" t="str">
        <f>IF(tblConteo[[#This Row],[SKU]]="","",INDEX(tblProductos[Categoría],ROW()-ROW(tblConteo[#Headers]))&amp;"")</f>
        <v/>
      </c>
      <c r="E382" s="42" t="str">
        <f>IF(tblConteo[[#This Row],[SKU]]="","",INDEX(tblProductos[Ubicación],ROW()-ROW(tblConteo[#Headers]))&amp;"")</f>
        <v/>
      </c>
      <c r="F382" s="42" t="str">
        <f>IF(tblConteo[[#This Row],[SKU]]="","",INDEX(tblProductos[Unidad],ROW()-ROW(tblConteo[#Headers]))&amp;"")</f>
        <v/>
      </c>
      <c r="G382" s="42" t="str">
        <f>IF(tblConteo[[#This Row],[SKU]]="","",IF(INDEX(tblProductos[Activo],ROW()-ROW(tblConteo[#Headers]))="NO","NO","SI"))</f>
        <v/>
      </c>
      <c r="H382" s="53" t="str">
        <f>IF(tblConteo[[#This Row],[SKU]]="","",IFERROR(N(INDEX(tblStock[StockActual],MATCH(tblConteo[[#This Row],[SKU]],tblStock[SKU],0))),0))</f>
        <v/>
      </c>
      <c r="I382" s="52"/>
      <c r="J382" s="59" t="str">
        <f>IF(OR(tblConteo[[#This Row],[SKU]]="",tblConteo[[#This Row],[Conteo]]=""),"",IF(ISNUMBER(tblConteo[[#This Row],[Conteo]]),tblConteo[[#This Row],[Conteo]]-N(tblConteo[[#This Row],[Sistema]]),""))</f>
        <v/>
      </c>
      <c r="K382" s="62" t="str">
        <f>IF(tblConteo[[#This Row],[Diferencia]]="","",tblConteo[[#This Row],[Diferencia]]*N(INDEX(tblProductos[CostoUnitario],ROW()-ROW(tblConteo[#Headers]))))</f>
        <v/>
      </c>
      <c r="L38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3" spans="2:13" x14ac:dyDescent="0.25">
      <c r="B383" s="42" t="str">
        <f>IF(INDEX(tblProductos[SKU],ROW()-ROW(tblConteo[#Headers]))="","",INDEX(tblProductos[SKU],ROW()-ROW(tblConteo[#Headers])))</f>
        <v/>
      </c>
      <c r="C383" s="49" t="str">
        <f>IF(tblConteo[[#This Row],[SKU]]="","",INDEX(tblProductos[Producto],ROW()-ROW(tblConteo[#Headers])))</f>
        <v/>
      </c>
      <c r="D383" s="49" t="str">
        <f>IF(tblConteo[[#This Row],[SKU]]="","",INDEX(tblProductos[Categoría],ROW()-ROW(tblConteo[#Headers]))&amp;"")</f>
        <v/>
      </c>
      <c r="E383" s="42" t="str">
        <f>IF(tblConteo[[#This Row],[SKU]]="","",INDEX(tblProductos[Ubicación],ROW()-ROW(tblConteo[#Headers]))&amp;"")</f>
        <v/>
      </c>
      <c r="F383" s="42" t="str">
        <f>IF(tblConteo[[#This Row],[SKU]]="","",INDEX(tblProductos[Unidad],ROW()-ROW(tblConteo[#Headers]))&amp;"")</f>
        <v/>
      </c>
      <c r="G383" s="42" t="str">
        <f>IF(tblConteo[[#This Row],[SKU]]="","",IF(INDEX(tblProductos[Activo],ROW()-ROW(tblConteo[#Headers]))="NO","NO","SI"))</f>
        <v/>
      </c>
      <c r="H383" s="53" t="str">
        <f>IF(tblConteo[[#This Row],[SKU]]="","",IFERROR(N(INDEX(tblStock[StockActual],MATCH(tblConteo[[#This Row],[SKU]],tblStock[SKU],0))),0))</f>
        <v/>
      </c>
      <c r="I383" s="52"/>
      <c r="J383" s="59" t="str">
        <f>IF(OR(tblConteo[[#This Row],[SKU]]="",tblConteo[[#This Row],[Conteo]]=""),"",IF(ISNUMBER(tblConteo[[#This Row],[Conteo]]),tblConteo[[#This Row],[Conteo]]-N(tblConteo[[#This Row],[Sistema]]),""))</f>
        <v/>
      </c>
      <c r="K383" s="62" t="str">
        <f>IF(tblConteo[[#This Row],[Diferencia]]="","",tblConteo[[#This Row],[Diferencia]]*N(INDEX(tblProductos[CostoUnitario],ROW()-ROW(tblConteo[#Headers]))))</f>
        <v/>
      </c>
      <c r="L38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4" spans="2:13" x14ac:dyDescent="0.25">
      <c r="B384" s="42" t="str">
        <f>IF(INDEX(tblProductos[SKU],ROW()-ROW(tblConteo[#Headers]))="","",INDEX(tblProductos[SKU],ROW()-ROW(tblConteo[#Headers])))</f>
        <v/>
      </c>
      <c r="C384" s="49" t="str">
        <f>IF(tblConteo[[#This Row],[SKU]]="","",INDEX(tblProductos[Producto],ROW()-ROW(tblConteo[#Headers])))</f>
        <v/>
      </c>
      <c r="D384" s="49" t="str">
        <f>IF(tblConteo[[#This Row],[SKU]]="","",INDEX(tblProductos[Categoría],ROW()-ROW(tblConteo[#Headers]))&amp;"")</f>
        <v/>
      </c>
      <c r="E384" s="42" t="str">
        <f>IF(tblConteo[[#This Row],[SKU]]="","",INDEX(tblProductos[Ubicación],ROW()-ROW(tblConteo[#Headers]))&amp;"")</f>
        <v/>
      </c>
      <c r="F384" s="42" t="str">
        <f>IF(tblConteo[[#This Row],[SKU]]="","",INDEX(tblProductos[Unidad],ROW()-ROW(tblConteo[#Headers]))&amp;"")</f>
        <v/>
      </c>
      <c r="G384" s="42" t="str">
        <f>IF(tblConteo[[#This Row],[SKU]]="","",IF(INDEX(tblProductos[Activo],ROW()-ROW(tblConteo[#Headers]))="NO","NO","SI"))</f>
        <v/>
      </c>
      <c r="H384" s="53" t="str">
        <f>IF(tblConteo[[#This Row],[SKU]]="","",IFERROR(N(INDEX(tblStock[StockActual],MATCH(tblConteo[[#This Row],[SKU]],tblStock[SKU],0))),0))</f>
        <v/>
      </c>
      <c r="I384" s="52"/>
      <c r="J384" s="59" t="str">
        <f>IF(OR(tblConteo[[#This Row],[SKU]]="",tblConteo[[#This Row],[Conteo]]=""),"",IF(ISNUMBER(tblConteo[[#This Row],[Conteo]]),tblConteo[[#This Row],[Conteo]]-N(tblConteo[[#This Row],[Sistema]]),""))</f>
        <v/>
      </c>
      <c r="K384" s="62" t="str">
        <f>IF(tblConteo[[#This Row],[Diferencia]]="","",tblConteo[[#This Row],[Diferencia]]*N(INDEX(tblProductos[CostoUnitario],ROW()-ROW(tblConteo[#Headers]))))</f>
        <v/>
      </c>
      <c r="L38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5" spans="2:13" x14ac:dyDescent="0.25">
      <c r="B385" s="42" t="str">
        <f>IF(INDEX(tblProductos[SKU],ROW()-ROW(tblConteo[#Headers]))="","",INDEX(tblProductos[SKU],ROW()-ROW(tblConteo[#Headers])))</f>
        <v/>
      </c>
      <c r="C385" s="49" t="str">
        <f>IF(tblConteo[[#This Row],[SKU]]="","",INDEX(tblProductos[Producto],ROW()-ROW(tblConteo[#Headers])))</f>
        <v/>
      </c>
      <c r="D385" s="49" t="str">
        <f>IF(tblConteo[[#This Row],[SKU]]="","",INDEX(tblProductos[Categoría],ROW()-ROW(tblConteo[#Headers]))&amp;"")</f>
        <v/>
      </c>
      <c r="E385" s="42" t="str">
        <f>IF(tblConteo[[#This Row],[SKU]]="","",INDEX(tblProductos[Ubicación],ROW()-ROW(tblConteo[#Headers]))&amp;"")</f>
        <v/>
      </c>
      <c r="F385" s="42" t="str">
        <f>IF(tblConteo[[#This Row],[SKU]]="","",INDEX(tblProductos[Unidad],ROW()-ROW(tblConteo[#Headers]))&amp;"")</f>
        <v/>
      </c>
      <c r="G385" s="42" t="str">
        <f>IF(tblConteo[[#This Row],[SKU]]="","",IF(INDEX(tblProductos[Activo],ROW()-ROW(tblConteo[#Headers]))="NO","NO","SI"))</f>
        <v/>
      </c>
      <c r="H385" s="53" t="str">
        <f>IF(tblConteo[[#This Row],[SKU]]="","",IFERROR(N(INDEX(tblStock[StockActual],MATCH(tblConteo[[#This Row],[SKU]],tblStock[SKU],0))),0))</f>
        <v/>
      </c>
      <c r="I385" s="52"/>
      <c r="J385" s="59" t="str">
        <f>IF(OR(tblConteo[[#This Row],[SKU]]="",tblConteo[[#This Row],[Conteo]]=""),"",IF(ISNUMBER(tblConteo[[#This Row],[Conteo]]),tblConteo[[#This Row],[Conteo]]-N(tblConteo[[#This Row],[Sistema]]),""))</f>
        <v/>
      </c>
      <c r="K385" s="62" t="str">
        <f>IF(tblConteo[[#This Row],[Diferencia]]="","",tblConteo[[#This Row],[Diferencia]]*N(INDEX(tblProductos[CostoUnitario],ROW()-ROW(tblConteo[#Headers]))))</f>
        <v/>
      </c>
      <c r="L38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6" spans="2:13" x14ac:dyDescent="0.25">
      <c r="B386" s="42" t="str">
        <f>IF(INDEX(tblProductos[SKU],ROW()-ROW(tblConteo[#Headers]))="","",INDEX(tblProductos[SKU],ROW()-ROW(tblConteo[#Headers])))</f>
        <v/>
      </c>
      <c r="C386" s="49" t="str">
        <f>IF(tblConteo[[#This Row],[SKU]]="","",INDEX(tblProductos[Producto],ROW()-ROW(tblConteo[#Headers])))</f>
        <v/>
      </c>
      <c r="D386" s="49" t="str">
        <f>IF(tblConteo[[#This Row],[SKU]]="","",INDEX(tblProductos[Categoría],ROW()-ROW(tblConteo[#Headers]))&amp;"")</f>
        <v/>
      </c>
      <c r="E386" s="42" t="str">
        <f>IF(tblConteo[[#This Row],[SKU]]="","",INDEX(tblProductos[Ubicación],ROW()-ROW(tblConteo[#Headers]))&amp;"")</f>
        <v/>
      </c>
      <c r="F386" s="42" t="str">
        <f>IF(tblConteo[[#This Row],[SKU]]="","",INDEX(tblProductos[Unidad],ROW()-ROW(tblConteo[#Headers]))&amp;"")</f>
        <v/>
      </c>
      <c r="G386" s="42" t="str">
        <f>IF(tblConteo[[#This Row],[SKU]]="","",IF(INDEX(tblProductos[Activo],ROW()-ROW(tblConteo[#Headers]))="NO","NO","SI"))</f>
        <v/>
      </c>
      <c r="H386" s="53" t="str">
        <f>IF(tblConteo[[#This Row],[SKU]]="","",IFERROR(N(INDEX(tblStock[StockActual],MATCH(tblConteo[[#This Row],[SKU]],tblStock[SKU],0))),0))</f>
        <v/>
      </c>
      <c r="I386" s="52"/>
      <c r="J386" s="59" t="str">
        <f>IF(OR(tblConteo[[#This Row],[SKU]]="",tblConteo[[#This Row],[Conteo]]=""),"",IF(ISNUMBER(tblConteo[[#This Row],[Conteo]]),tblConteo[[#This Row],[Conteo]]-N(tblConteo[[#This Row],[Sistema]]),""))</f>
        <v/>
      </c>
      <c r="K386" s="62" t="str">
        <f>IF(tblConteo[[#This Row],[Diferencia]]="","",tblConteo[[#This Row],[Diferencia]]*N(INDEX(tblProductos[CostoUnitario],ROW()-ROW(tblConteo[#Headers]))))</f>
        <v/>
      </c>
      <c r="L38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7" spans="2:13" x14ac:dyDescent="0.25">
      <c r="B387" s="42" t="str">
        <f>IF(INDEX(tblProductos[SKU],ROW()-ROW(tblConteo[#Headers]))="","",INDEX(tblProductos[SKU],ROW()-ROW(tblConteo[#Headers])))</f>
        <v/>
      </c>
      <c r="C387" s="49" t="str">
        <f>IF(tblConteo[[#This Row],[SKU]]="","",INDEX(tblProductos[Producto],ROW()-ROW(tblConteo[#Headers])))</f>
        <v/>
      </c>
      <c r="D387" s="49" t="str">
        <f>IF(tblConteo[[#This Row],[SKU]]="","",INDEX(tblProductos[Categoría],ROW()-ROW(tblConteo[#Headers]))&amp;"")</f>
        <v/>
      </c>
      <c r="E387" s="42" t="str">
        <f>IF(tblConteo[[#This Row],[SKU]]="","",INDEX(tblProductos[Ubicación],ROW()-ROW(tblConteo[#Headers]))&amp;"")</f>
        <v/>
      </c>
      <c r="F387" s="42" t="str">
        <f>IF(tblConteo[[#This Row],[SKU]]="","",INDEX(tblProductos[Unidad],ROW()-ROW(tblConteo[#Headers]))&amp;"")</f>
        <v/>
      </c>
      <c r="G387" s="42" t="str">
        <f>IF(tblConteo[[#This Row],[SKU]]="","",IF(INDEX(tblProductos[Activo],ROW()-ROW(tblConteo[#Headers]))="NO","NO","SI"))</f>
        <v/>
      </c>
      <c r="H387" s="53" t="str">
        <f>IF(tblConteo[[#This Row],[SKU]]="","",IFERROR(N(INDEX(tblStock[StockActual],MATCH(tblConteo[[#This Row],[SKU]],tblStock[SKU],0))),0))</f>
        <v/>
      </c>
      <c r="I387" s="52"/>
      <c r="J387" s="59" t="str">
        <f>IF(OR(tblConteo[[#This Row],[SKU]]="",tblConteo[[#This Row],[Conteo]]=""),"",IF(ISNUMBER(tblConteo[[#This Row],[Conteo]]),tblConteo[[#This Row],[Conteo]]-N(tblConteo[[#This Row],[Sistema]]),""))</f>
        <v/>
      </c>
      <c r="K387" s="62" t="str">
        <f>IF(tblConteo[[#This Row],[Diferencia]]="","",tblConteo[[#This Row],[Diferencia]]*N(INDEX(tblProductos[CostoUnitario],ROW()-ROW(tblConteo[#Headers]))))</f>
        <v/>
      </c>
      <c r="L38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8" spans="2:13" x14ac:dyDescent="0.25">
      <c r="B388" s="42" t="str">
        <f>IF(INDEX(tblProductos[SKU],ROW()-ROW(tblConteo[#Headers]))="","",INDEX(tblProductos[SKU],ROW()-ROW(tblConteo[#Headers])))</f>
        <v/>
      </c>
      <c r="C388" s="49" t="str">
        <f>IF(tblConteo[[#This Row],[SKU]]="","",INDEX(tblProductos[Producto],ROW()-ROW(tblConteo[#Headers])))</f>
        <v/>
      </c>
      <c r="D388" s="49" t="str">
        <f>IF(tblConteo[[#This Row],[SKU]]="","",INDEX(tblProductos[Categoría],ROW()-ROW(tblConteo[#Headers]))&amp;"")</f>
        <v/>
      </c>
      <c r="E388" s="42" t="str">
        <f>IF(tblConteo[[#This Row],[SKU]]="","",INDEX(tblProductos[Ubicación],ROW()-ROW(tblConteo[#Headers]))&amp;"")</f>
        <v/>
      </c>
      <c r="F388" s="42" t="str">
        <f>IF(tblConteo[[#This Row],[SKU]]="","",INDEX(tblProductos[Unidad],ROW()-ROW(tblConteo[#Headers]))&amp;"")</f>
        <v/>
      </c>
      <c r="G388" s="42" t="str">
        <f>IF(tblConteo[[#This Row],[SKU]]="","",IF(INDEX(tblProductos[Activo],ROW()-ROW(tblConteo[#Headers]))="NO","NO","SI"))</f>
        <v/>
      </c>
      <c r="H388" s="53" t="str">
        <f>IF(tblConteo[[#This Row],[SKU]]="","",IFERROR(N(INDEX(tblStock[StockActual],MATCH(tblConteo[[#This Row],[SKU]],tblStock[SKU],0))),0))</f>
        <v/>
      </c>
      <c r="I388" s="52"/>
      <c r="J388" s="59" t="str">
        <f>IF(OR(tblConteo[[#This Row],[SKU]]="",tblConteo[[#This Row],[Conteo]]=""),"",IF(ISNUMBER(tblConteo[[#This Row],[Conteo]]),tblConteo[[#This Row],[Conteo]]-N(tblConteo[[#This Row],[Sistema]]),""))</f>
        <v/>
      </c>
      <c r="K388" s="62" t="str">
        <f>IF(tblConteo[[#This Row],[Diferencia]]="","",tblConteo[[#This Row],[Diferencia]]*N(INDEX(tblProductos[CostoUnitario],ROW()-ROW(tblConteo[#Headers]))))</f>
        <v/>
      </c>
      <c r="L38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9" spans="2:13" x14ac:dyDescent="0.25">
      <c r="B389" s="42" t="str">
        <f>IF(INDEX(tblProductos[SKU],ROW()-ROW(tblConteo[#Headers]))="","",INDEX(tblProductos[SKU],ROW()-ROW(tblConteo[#Headers])))</f>
        <v/>
      </c>
      <c r="C389" s="49" t="str">
        <f>IF(tblConteo[[#This Row],[SKU]]="","",INDEX(tblProductos[Producto],ROW()-ROW(tblConteo[#Headers])))</f>
        <v/>
      </c>
      <c r="D389" s="49" t="str">
        <f>IF(tblConteo[[#This Row],[SKU]]="","",INDEX(tblProductos[Categoría],ROW()-ROW(tblConteo[#Headers]))&amp;"")</f>
        <v/>
      </c>
      <c r="E389" s="42" t="str">
        <f>IF(tblConteo[[#This Row],[SKU]]="","",INDEX(tblProductos[Ubicación],ROW()-ROW(tblConteo[#Headers]))&amp;"")</f>
        <v/>
      </c>
      <c r="F389" s="42" t="str">
        <f>IF(tblConteo[[#This Row],[SKU]]="","",INDEX(tblProductos[Unidad],ROW()-ROW(tblConteo[#Headers]))&amp;"")</f>
        <v/>
      </c>
      <c r="G389" s="42" t="str">
        <f>IF(tblConteo[[#This Row],[SKU]]="","",IF(INDEX(tblProductos[Activo],ROW()-ROW(tblConteo[#Headers]))="NO","NO","SI"))</f>
        <v/>
      </c>
      <c r="H389" s="53" t="str">
        <f>IF(tblConteo[[#This Row],[SKU]]="","",IFERROR(N(INDEX(tblStock[StockActual],MATCH(tblConteo[[#This Row],[SKU]],tblStock[SKU],0))),0))</f>
        <v/>
      </c>
      <c r="I389" s="52"/>
      <c r="J389" s="59" t="str">
        <f>IF(OR(tblConteo[[#This Row],[SKU]]="",tblConteo[[#This Row],[Conteo]]=""),"",IF(ISNUMBER(tblConteo[[#This Row],[Conteo]]),tblConteo[[#This Row],[Conteo]]-N(tblConteo[[#This Row],[Sistema]]),""))</f>
        <v/>
      </c>
      <c r="K389" s="62" t="str">
        <f>IF(tblConteo[[#This Row],[Diferencia]]="","",tblConteo[[#This Row],[Diferencia]]*N(INDEX(tblProductos[CostoUnitario],ROW()-ROW(tblConteo[#Headers]))))</f>
        <v/>
      </c>
      <c r="L38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0" spans="2:13" x14ac:dyDescent="0.25">
      <c r="B390" s="42" t="str">
        <f>IF(INDEX(tblProductos[SKU],ROW()-ROW(tblConteo[#Headers]))="","",INDEX(tblProductos[SKU],ROW()-ROW(tblConteo[#Headers])))</f>
        <v/>
      </c>
      <c r="C390" s="49" t="str">
        <f>IF(tblConteo[[#This Row],[SKU]]="","",INDEX(tblProductos[Producto],ROW()-ROW(tblConteo[#Headers])))</f>
        <v/>
      </c>
      <c r="D390" s="49" t="str">
        <f>IF(tblConteo[[#This Row],[SKU]]="","",INDEX(tblProductos[Categoría],ROW()-ROW(tblConteo[#Headers]))&amp;"")</f>
        <v/>
      </c>
      <c r="E390" s="42" t="str">
        <f>IF(tblConteo[[#This Row],[SKU]]="","",INDEX(tblProductos[Ubicación],ROW()-ROW(tblConteo[#Headers]))&amp;"")</f>
        <v/>
      </c>
      <c r="F390" s="42" t="str">
        <f>IF(tblConteo[[#This Row],[SKU]]="","",INDEX(tblProductos[Unidad],ROW()-ROW(tblConteo[#Headers]))&amp;"")</f>
        <v/>
      </c>
      <c r="G390" s="42" t="str">
        <f>IF(tblConteo[[#This Row],[SKU]]="","",IF(INDEX(tblProductos[Activo],ROW()-ROW(tblConteo[#Headers]))="NO","NO","SI"))</f>
        <v/>
      </c>
      <c r="H390" s="53" t="str">
        <f>IF(tblConteo[[#This Row],[SKU]]="","",IFERROR(N(INDEX(tblStock[StockActual],MATCH(tblConteo[[#This Row],[SKU]],tblStock[SKU],0))),0))</f>
        <v/>
      </c>
      <c r="I390" s="52"/>
      <c r="J390" s="59" t="str">
        <f>IF(OR(tblConteo[[#This Row],[SKU]]="",tblConteo[[#This Row],[Conteo]]=""),"",IF(ISNUMBER(tblConteo[[#This Row],[Conteo]]),tblConteo[[#This Row],[Conteo]]-N(tblConteo[[#This Row],[Sistema]]),""))</f>
        <v/>
      </c>
      <c r="K390" s="62" t="str">
        <f>IF(tblConteo[[#This Row],[Diferencia]]="","",tblConteo[[#This Row],[Diferencia]]*N(INDEX(tblProductos[CostoUnitario],ROW()-ROW(tblConteo[#Headers]))))</f>
        <v/>
      </c>
      <c r="L39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1" spans="2:13" x14ac:dyDescent="0.25">
      <c r="B391" s="42" t="str">
        <f>IF(INDEX(tblProductos[SKU],ROW()-ROW(tblConteo[#Headers]))="","",INDEX(tblProductos[SKU],ROW()-ROW(tblConteo[#Headers])))</f>
        <v/>
      </c>
      <c r="C391" s="49" t="str">
        <f>IF(tblConteo[[#This Row],[SKU]]="","",INDEX(tblProductos[Producto],ROW()-ROW(tblConteo[#Headers])))</f>
        <v/>
      </c>
      <c r="D391" s="49" t="str">
        <f>IF(tblConteo[[#This Row],[SKU]]="","",INDEX(tblProductos[Categoría],ROW()-ROW(tblConteo[#Headers]))&amp;"")</f>
        <v/>
      </c>
      <c r="E391" s="42" t="str">
        <f>IF(tblConteo[[#This Row],[SKU]]="","",INDEX(tblProductos[Ubicación],ROW()-ROW(tblConteo[#Headers]))&amp;"")</f>
        <v/>
      </c>
      <c r="F391" s="42" t="str">
        <f>IF(tblConteo[[#This Row],[SKU]]="","",INDEX(tblProductos[Unidad],ROW()-ROW(tblConteo[#Headers]))&amp;"")</f>
        <v/>
      </c>
      <c r="G391" s="42" t="str">
        <f>IF(tblConteo[[#This Row],[SKU]]="","",IF(INDEX(tblProductos[Activo],ROW()-ROW(tblConteo[#Headers]))="NO","NO","SI"))</f>
        <v/>
      </c>
      <c r="H391" s="53" t="str">
        <f>IF(tblConteo[[#This Row],[SKU]]="","",IFERROR(N(INDEX(tblStock[StockActual],MATCH(tblConteo[[#This Row],[SKU]],tblStock[SKU],0))),0))</f>
        <v/>
      </c>
      <c r="I391" s="52"/>
      <c r="J391" s="59" t="str">
        <f>IF(OR(tblConteo[[#This Row],[SKU]]="",tblConteo[[#This Row],[Conteo]]=""),"",IF(ISNUMBER(tblConteo[[#This Row],[Conteo]]),tblConteo[[#This Row],[Conteo]]-N(tblConteo[[#This Row],[Sistema]]),""))</f>
        <v/>
      </c>
      <c r="K391" s="62" t="str">
        <f>IF(tblConteo[[#This Row],[Diferencia]]="","",tblConteo[[#This Row],[Diferencia]]*N(INDEX(tblProductos[CostoUnitario],ROW()-ROW(tblConteo[#Headers]))))</f>
        <v/>
      </c>
      <c r="L39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2" spans="2:13" x14ac:dyDescent="0.25">
      <c r="B392" s="42" t="str">
        <f>IF(INDEX(tblProductos[SKU],ROW()-ROW(tblConteo[#Headers]))="","",INDEX(tblProductos[SKU],ROW()-ROW(tblConteo[#Headers])))</f>
        <v/>
      </c>
      <c r="C392" s="49" t="str">
        <f>IF(tblConteo[[#This Row],[SKU]]="","",INDEX(tblProductos[Producto],ROW()-ROW(tblConteo[#Headers])))</f>
        <v/>
      </c>
      <c r="D392" s="49" t="str">
        <f>IF(tblConteo[[#This Row],[SKU]]="","",INDEX(tblProductos[Categoría],ROW()-ROW(tblConteo[#Headers]))&amp;"")</f>
        <v/>
      </c>
      <c r="E392" s="42" t="str">
        <f>IF(tblConteo[[#This Row],[SKU]]="","",INDEX(tblProductos[Ubicación],ROW()-ROW(tblConteo[#Headers]))&amp;"")</f>
        <v/>
      </c>
      <c r="F392" s="42" t="str">
        <f>IF(tblConteo[[#This Row],[SKU]]="","",INDEX(tblProductos[Unidad],ROW()-ROW(tblConteo[#Headers]))&amp;"")</f>
        <v/>
      </c>
      <c r="G392" s="42" t="str">
        <f>IF(tblConteo[[#This Row],[SKU]]="","",IF(INDEX(tblProductos[Activo],ROW()-ROW(tblConteo[#Headers]))="NO","NO","SI"))</f>
        <v/>
      </c>
      <c r="H392" s="53" t="str">
        <f>IF(tblConteo[[#This Row],[SKU]]="","",IFERROR(N(INDEX(tblStock[StockActual],MATCH(tblConteo[[#This Row],[SKU]],tblStock[SKU],0))),0))</f>
        <v/>
      </c>
      <c r="I392" s="52"/>
      <c r="J392" s="59" t="str">
        <f>IF(OR(tblConteo[[#This Row],[SKU]]="",tblConteo[[#This Row],[Conteo]]=""),"",IF(ISNUMBER(tblConteo[[#This Row],[Conteo]]),tblConteo[[#This Row],[Conteo]]-N(tblConteo[[#This Row],[Sistema]]),""))</f>
        <v/>
      </c>
      <c r="K392" s="62" t="str">
        <f>IF(tblConteo[[#This Row],[Diferencia]]="","",tblConteo[[#This Row],[Diferencia]]*N(INDEX(tblProductos[CostoUnitario],ROW()-ROW(tblConteo[#Headers]))))</f>
        <v/>
      </c>
      <c r="L39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3" spans="2:13" x14ac:dyDescent="0.25">
      <c r="B393" s="42" t="str">
        <f>IF(INDEX(tblProductos[SKU],ROW()-ROW(tblConteo[#Headers]))="","",INDEX(tblProductos[SKU],ROW()-ROW(tblConteo[#Headers])))</f>
        <v/>
      </c>
      <c r="C393" s="49" t="str">
        <f>IF(tblConteo[[#This Row],[SKU]]="","",INDEX(tblProductos[Producto],ROW()-ROW(tblConteo[#Headers])))</f>
        <v/>
      </c>
      <c r="D393" s="49" t="str">
        <f>IF(tblConteo[[#This Row],[SKU]]="","",INDEX(tblProductos[Categoría],ROW()-ROW(tblConteo[#Headers]))&amp;"")</f>
        <v/>
      </c>
      <c r="E393" s="42" t="str">
        <f>IF(tblConteo[[#This Row],[SKU]]="","",INDEX(tblProductos[Ubicación],ROW()-ROW(tblConteo[#Headers]))&amp;"")</f>
        <v/>
      </c>
      <c r="F393" s="42" t="str">
        <f>IF(tblConteo[[#This Row],[SKU]]="","",INDEX(tblProductos[Unidad],ROW()-ROW(tblConteo[#Headers]))&amp;"")</f>
        <v/>
      </c>
      <c r="G393" s="42" t="str">
        <f>IF(tblConteo[[#This Row],[SKU]]="","",IF(INDEX(tblProductos[Activo],ROW()-ROW(tblConteo[#Headers]))="NO","NO","SI"))</f>
        <v/>
      </c>
      <c r="H393" s="53" t="str">
        <f>IF(tblConteo[[#This Row],[SKU]]="","",IFERROR(N(INDEX(tblStock[StockActual],MATCH(tblConteo[[#This Row],[SKU]],tblStock[SKU],0))),0))</f>
        <v/>
      </c>
      <c r="I393" s="52"/>
      <c r="J393" s="59" t="str">
        <f>IF(OR(tblConteo[[#This Row],[SKU]]="",tblConteo[[#This Row],[Conteo]]=""),"",IF(ISNUMBER(tblConteo[[#This Row],[Conteo]]),tblConteo[[#This Row],[Conteo]]-N(tblConteo[[#This Row],[Sistema]]),""))</f>
        <v/>
      </c>
      <c r="K393" s="62" t="str">
        <f>IF(tblConteo[[#This Row],[Diferencia]]="","",tblConteo[[#This Row],[Diferencia]]*N(INDEX(tblProductos[CostoUnitario],ROW()-ROW(tblConteo[#Headers]))))</f>
        <v/>
      </c>
      <c r="L39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4" spans="2:13" x14ac:dyDescent="0.25">
      <c r="B394" s="42" t="str">
        <f>IF(INDEX(tblProductos[SKU],ROW()-ROW(tblConteo[#Headers]))="","",INDEX(tblProductos[SKU],ROW()-ROW(tblConteo[#Headers])))</f>
        <v/>
      </c>
      <c r="C394" s="49" t="str">
        <f>IF(tblConteo[[#This Row],[SKU]]="","",INDEX(tblProductos[Producto],ROW()-ROW(tblConteo[#Headers])))</f>
        <v/>
      </c>
      <c r="D394" s="49" t="str">
        <f>IF(tblConteo[[#This Row],[SKU]]="","",INDEX(tblProductos[Categoría],ROW()-ROW(tblConteo[#Headers]))&amp;"")</f>
        <v/>
      </c>
      <c r="E394" s="42" t="str">
        <f>IF(tblConteo[[#This Row],[SKU]]="","",INDEX(tblProductos[Ubicación],ROW()-ROW(tblConteo[#Headers]))&amp;"")</f>
        <v/>
      </c>
      <c r="F394" s="42" t="str">
        <f>IF(tblConteo[[#This Row],[SKU]]="","",INDEX(tblProductos[Unidad],ROW()-ROW(tblConteo[#Headers]))&amp;"")</f>
        <v/>
      </c>
      <c r="G394" s="42" t="str">
        <f>IF(tblConteo[[#This Row],[SKU]]="","",IF(INDEX(tblProductos[Activo],ROW()-ROW(tblConteo[#Headers]))="NO","NO","SI"))</f>
        <v/>
      </c>
      <c r="H394" s="53" t="str">
        <f>IF(tblConteo[[#This Row],[SKU]]="","",IFERROR(N(INDEX(tblStock[StockActual],MATCH(tblConteo[[#This Row],[SKU]],tblStock[SKU],0))),0))</f>
        <v/>
      </c>
      <c r="I394" s="52"/>
      <c r="J394" s="59" t="str">
        <f>IF(OR(tblConteo[[#This Row],[SKU]]="",tblConteo[[#This Row],[Conteo]]=""),"",IF(ISNUMBER(tblConteo[[#This Row],[Conteo]]),tblConteo[[#This Row],[Conteo]]-N(tblConteo[[#This Row],[Sistema]]),""))</f>
        <v/>
      </c>
      <c r="K394" s="62" t="str">
        <f>IF(tblConteo[[#This Row],[Diferencia]]="","",tblConteo[[#This Row],[Diferencia]]*N(INDEX(tblProductos[CostoUnitario],ROW()-ROW(tblConteo[#Headers]))))</f>
        <v/>
      </c>
      <c r="L39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5" spans="2:13" x14ac:dyDescent="0.25">
      <c r="B395" s="42" t="str">
        <f>IF(INDEX(tblProductos[SKU],ROW()-ROW(tblConteo[#Headers]))="","",INDEX(tblProductos[SKU],ROW()-ROW(tblConteo[#Headers])))</f>
        <v/>
      </c>
      <c r="C395" s="49" t="str">
        <f>IF(tblConteo[[#This Row],[SKU]]="","",INDEX(tblProductos[Producto],ROW()-ROW(tblConteo[#Headers])))</f>
        <v/>
      </c>
      <c r="D395" s="49" t="str">
        <f>IF(tblConteo[[#This Row],[SKU]]="","",INDEX(tblProductos[Categoría],ROW()-ROW(tblConteo[#Headers]))&amp;"")</f>
        <v/>
      </c>
      <c r="E395" s="42" t="str">
        <f>IF(tblConteo[[#This Row],[SKU]]="","",INDEX(tblProductos[Ubicación],ROW()-ROW(tblConteo[#Headers]))&amp;"")</f>
        <v/>
      </c>
      <c r="F395" s="42" t="str">
        <f>IF(tblConteo[[#This Row],[SKU]]="","",INDEX(tblProductos[Unidad],ROW()-ROW(tblConteo[#Headers]))&amp;"")</f>
        <v/>
      </c>
      <c r="G395" s="42" t="str">
        <f>IF(tblConteo[[#This Row],[SKU]]="","",IF(INDEX(tblProductos[Activo],ROW()-ROW(tblConteo[#Headers]))="NO","NO","SI"))</f>
        <v/>
      </c>
      <c r="H395" s="53" t="str">
        <f>IF(tblConteo[[#This Row],[SKU]]="","",IFERROR(N(INDEX(tblStock[StockActual],MATCH(tblConteo[[#This Row],[SKU]],tblStock[SKU],0))),0))</f>
        <v/>
      </c>
      <c r="I395" s="52"/>
      <c r="J395" s="59" t="str">
        <f>IF(OR(tblConteo[[#This Row],[SKU]]="",tblConteo[[#This Row],[Conteo]]=""),"",IF(ISNUMBER(tblConteo[[#This Row],[Conteo]]),tblConteo[[#This Row],[Conteo]]-N(tblConteo[[#This Row],[Sistema]]),""))</f>
        <v/>
      </c>
      <c r="K395" s="62" t="str">
        <f>IF(tblConteo[[#This Row],[Diferencia]]="","",tblConteo[[#This Row],[Diferencia]]*N(INDEX(tblProductos[CostoUnitario],ROW()-ROW(tblConteo[#Headers]))))</f>
        <v/>
      </c>
      <c r="L39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6" spans="2:13" x14ac:dyDescent="0.25">
      <c r="B396" s="42" t="str">
        <f>IF(INDEX(tblProductos[SKU],ROW()-ROW(tblConteo[#Headers]))="","",INDEX(tblProductos[SKU],ROW()-ROW(tblConteo[#Headers])))</f>
        <v/>
      </c>
      <c r="C396" s="49" t="str">
        <f>IF(tblConteo[[#This Row],[SKU]]="","",INDEX(tblProductos[Producto],ROW()-ROW(tblConteo[#Headers])))</f>
        <v/>
      </c>
      <c r="D396" s="49" t="str">
        <f>IF(tblConteo[[#This Row],[SKU]]="","",INDEX(tblProductos[Categoría],ROW()-ROW(tblConteo[#Headers]))&amp;"")</f>
        <v/>
      </c>
      <c r="E396" s="42" t="str">
        <f>IF(tblConteo[[#This Row],[SKU]]="","",INDEX(tblProductos[Ubicación],ROW()-ROW(tblConteo[#Headers]))&amp;"")</f>
        <v/>
      </c>
      <c r="F396" s="42" t="str">
        <f>IF(tblConteo[[#This Row],[SKU]]="","",INDEX(tblProductos[Unidad],ROW()-ROW(tblConteo[#Headers]))&amp;"")</f>
        <v/>
      </c>
      <c r="G396" s="42" t="str">
        <f>IF(tblConteo[[#This Row],[SKU]]="","",IF(INDEX(tblProductos[Activo],ROW()-ROW(tblConteo[#Headers]))="NO","NO","SI"))</f>
        <v/>
      </c>
      <c r="H396" s="53" t="str">
        <f>IF(tblConteo[[#This Row],[SKU]]="","",IFERROR(N(INDEX(tblStock[StockActual],MATCH(tblConteo[[#This Row],[SKU]],tblStock[SKU],0))),0))</f>
        <v/>
      </c>
      <c r="I396" s="52"/>
      <c r="J396" s="59" t="str">
        <f>IF(OR(tblConteo[[#This Row],[SKU]]="",tblConteo[[#This Row],[Conteo]]=""),"",IF(ISNUMBER(tblConteo[[#This Row],[Conteo]]),tblConteo[[#This Row],[Conteo]]-N(tblConteo[[#This Row],[Sistema]]),""))</f>
        <v/>
      </c>
      <c r="K396" s="62" t="str">
        <f>IF(tblConteo[[#This Row],[Diferencia]]="","",tblConteo[[#This Row],[Diferencia]]*N(INDEX(tblProductos[CostoUnitario],ROW()-ROW(tblConteo[#Headers]))))</f>
        <v/>
      </c>
      <c r="L39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7" spans="2:13" x14ac:dyDescent="0.25">
      <c r="B397" s="42" t="str">
        <f>IF(INDEX(tblProductos[SKU],ROW()-ROW(tblConteo[#Headers]))="","",INDEX(tblProductos[SKU],ROW()-ROW(tblConteo[#Headers])))</f>
        <v/>
      </c>
      <c r="C397" s="49" t="str">
        <f>IF(tblConteo[[#This Row],[SKU]]="","",INDEX(tblProductos[Producto],ROW()-ROW(tblConteo[#Headers])))</f>
        <v/>
      </c>
      <c r="D397" s="49" t="str">
        <f>IF(tblConteo[[#This Row],[SKU]]="","",INDEX(tblProductos[Categoría],ROW()-ROW(tblConteo[#Headers]))&amp;"")</f>
        <v/>
      </c>
      <c r="E397" s="42" t="str">
        <f>IF(tblConteo[[#This Row],[SKU]]="","",INDEX(tblProductos[Ubicación],ROW()-ROW(tblConteo[#Headers]))&amp;"")</f>
        <v/>
      </c>
      <c r="F397" s="42" t="str">
        <f>IF(tblConteo[[#This Row],[SKU]]="","",INDEX(tblProductos[Unidad],ROW()-ROW(tblConteo[#Headers]))&amp;"")</f>
        <v/>
      </c>
      <c r="G397" s="42" t="str">
        <f>IF(tblConteo[[#This Row],[SKU]]="","",IF(INDEX(tblProductos[Activo],ROW()-ROW(tblConteo[#Headers]))="NO","NO","SI"))</f>
        <v/>
      </c>
      <c r="H397" s="53" t="str">
        <f>IF(tblConteo[[#This Row],[SKU]]="","",IFERROR(N(INDEX(tblStock[StockActual],MATCH(tblConteo[[#This Row],[SKU]],tblStock[SKU],0))),0))</f>
        <v/>
      </c>
      <c r="I397" s="52"/>
      <c r="J397" s="59" t="str">
        <f>IF(OR(tblConteo[[#This Row],[SKU]]="",tblConteo[[#This Row],[Conteo]]=""),"",IF(ISNUMBER(tblConteo[[#This Row],[Conteo]]),tblConteo[[#This Row],[Conteo]]-N(tblConteo[[#This Row],[Sistema]]),""))</f>
        <v/>
      </c>
      <c r="K397" s="62" t="str">
        <f>IF(tblConteo[[#This Row],[Diferencia]]="","",tblConteo[[#This Row],[Diferencia]]*N(INDEX(tblProductos[CostoUnitario],ROW()-ROW(tblConteo[#Headers]))))</f>
        <v/>
      </c>
      <c r="L39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8" spans="2:13" x14ac:dyDescent="0.25">
      <c r="B398" s="42" t="str">
        <f>IF(INDEX(tblProductos[SKU],ROW()-ROW(tblConteo[#Headers]))="","",INDEX(tblProductos[SKU],ROW()-ROW(tblConteo[#Headers])))</f>
        <v/>
      </c>
      <c r="C398" s="49" t="str">
        <f>IF(tblConteo[[#This Row],[SKU]]="","",INDEX(tblProductos[Producto],ROW()-ROW(tblConteo[#Headers])))</f>
        <v/>
      </c>
      <c r="D398" s="49" t="str">
        <f>IF(tblConteo[[#This Row],[SKU]]="","",INDEX(tblProductos[Categoría],ROW()-ROW(tblConteo[#Headers]))&amp;"")</f>
        <v/>
      </c>
      <c r="E398" s="42" t="str">
        <f>IF(tblConteo[[#This Row],[SKU]]="","",INDEX(tblProductos[Ubicación],ROW()-ROW(tblConteo[#Headers]))&amp;"")</f>
        <v/>
      </c>
      <c r="F398" s="42" t="str">
        <f>IF(tblConteo[[#This Row],[SKU]]="","",INDEX(tblProductos[Unidad],ROW()-ROW(tblConteo[#Headers]))&amp;"")</f>
        <v/>
      </c>
      <c r="G398" s="42" t="str">
        <f>IF(tblConteo[[#This Row],[SKU]]="","",IF(INDEX(tblProductos[Activo],ROW()-ROW(tblConteo[#Headers]))="NO","NO","SI"))</f>
        <v/>
      </c>
      <c r="H398" s="53" t="str">
        <f>IF(tblConteo[[#This Row],[SKU]]="","",IFERROR(N(INDEX(tblStock[StockActual],MATCH(tblConteo[[#This Row],[SKU]],tblStock[SKU],0))),0))</f>
        <v/>
      </c>
      <c r="I398" s="52"/>
      <c r="J398" s="59" t="str">
        <f>IF(OR(tblConteo[[#This Row],[SKU]]="",tblConteo[[#This Row],[Conteo]]=""),"",IF(ISNUMBER(tblConteo[[#This Row],[Conteo]]),tblConteo[[#This Row],[Conteo]]-N(tblConteo[[#This Row],[Sistema]]),""))</f>
        <v/>
      </c>
      <c r="K398" s="62" t="str">
        <f>IF(tblConteo[[#This Row],[Diferencia]]="","",tblConteo[[#This Row],[Diferencia]]*N(INDEX(tblProductos[CostoUnitario],ROW()-ROW(tblConteo[#Headers]))))</f>
        <v/>
      </c>
      <c r="L39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9" spans="2:13" x14ac:dyDescent="0.25">
      <c r="B399" s="42" t="str">
        <f>IF(INDEX(tblProductos[SKU],ROW()-ROW(tblConteo[#Headers]))="","",INDEX(tblProductos[SKU],ROW()-ROW(tblConteo[#Headers])))</f>
        <v/>
      </c>
      <c r="C399" s="49" t="str">
        <f>IF(tblConteo[[#This Row],[SKU]]="","",INDEX(tblProductos[Producto],ROW()-ROW(tblConteo[#Headers])))</f>
        <v/>
      </c>
      <c r="D399" s="49" t="str">
        <f>IF(tblConteo[[#This Row],[SKU]]="","",INDEX(tblProductos[Categoría],ROW()-ROW(tblConteo[#Headers]))&amp;"")</f>
        <v/>
      </c>
      <c r="E399" s="42" t="str">
        <f>IF(tblConteo[[#This Row],[SKU]]="","",INDEX(tblProductos[Ubicación],ROW()-ROW(tblConteo[#Headers]))&amp;"")</f>
        <v/>
      </c>
      <c r="F399" s="42" t="str">
        <f>IF(tblConteo[[#This Row],[SKU]]="","",INDEX(tblProductos[Unidad],ROW()-ROW(tblConteo[#Headers]))&amp;"")</f>
        <v/>
      </c>
      <c r="G399" s="42" t="str">
        <f>IF(tblConteo[[#This Row],[SKU]]="","",IF(INDEX(tblProductos[Activo],ROW()-ROW(tblConteo[#Headers]))="NO","NO","SI"))</f>
        <v/>
      </c>
      <c r="H399" s="53" t="str">
        <f>IF(tblConteo[[#This Row],[SKU]]="","",IFERROR(N(INDEX(tblStock[StockActual],MATCH(tblConteo[[#This Row],[SKU]],tblStock[SKU],0))),0))</f>
        <v/>
      </c>
      <c r="I399" s="52"/>
      <c r="J399" s="59" t="str">
        <f>IF(OR(tblConteo[[#This Row],[SKU]]="",tblConteo[[#This Row],[Conteo]]=""),"",IF(ISNUMBER(tblConteo[[#This Row],[Conteo]]),tblConteo[[#This Row],[Conteo]]-N(tblConteo[[#This Row],[Sistema]]),""))</f>
        <v/>
      </c>
      <c r="K399" s="62" t="str">
        <f>IF(tblConteo[[#This Row],[Diferencia]]="","",tblConteo[[#This Row],[Diferencia]]*N(INDEX(tblProductos[CostoUnitario],ROW()-ROW(tblConteo[#Headers]))))</f>
        <v/>
      </c>
      <c r="L39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0" spans="2:13" x14ac:dyDescent="0.25">
      <c r="B400" s="42" t="str">
        <f>IF(INDEX(tblProductos[SKU],ROW()-ROW(tblConteo[#Headers]))="","",INDEX(tblProductos[SKU],ROW()-ROW(tblConteo[#Headers])))</f>
        <v/>
      </c>
      <c r="C400" s="49" t="str">
        <f>IF(tblConteo[[#This Row],[SKU]]="","",INDEX(tblProductos[Producto],ROW()-ROW(tblConteo[#Headers])))</f>
        <v/>
      </c>
      <c r="D400" s="49" t="str">
        <f>IF(tblConteo[[#This Row],[SKU]]="","",INDEX(tblProductos[Categoría],ROW()-ROW(tblConteo[#Headers]))&amp;"")</f>
        <v/>
      </c>
      <c r="E400" s="42" t="str">
        <f>IF(tblConteo[[#This Row],[SKU]]="","",INDEX(tblProductos[Ubicación],ROW()-ROW(tblConteo[#Headers]))&amp;"")</f>
        <v/>
      </c>
      <c r="F400" s="42" t="str">
        <f>IF(tblConteo[[#This Row],[SKU]]="","",INDEX(tblProductos[Unidad],ROW()-ROW(tblConteo[#Headers]))&amp;"")</f>
        <v/>
      </c>
      <c r="G400" s="42" t="str">
        <f>IF(tblConteo[[#This Row],[SKU]]="","",IF(INDEX(tblProductos[Activo],ROW()-ROW(tblConteo[#Headers]))="NO","NO","SI"))</f>
        <v/>
      </c>
      <c r="H400" s="53" t="str">
        <f>IF(tblConteo[[#This Row],[SKU]]="","",IFERROR(N(INDEX(tblStock[StockActual],MATCH(tblConteo[[#This Row],[SKU]],tblStock[SKU],0))),0))</f>
        <v/>
      </c>
      <c r="I400" s="52"/>
      <c r="J400" s="59" t="str">
        <f>IF(OR(tblConteo[[#This Row],[SKU]]="",tblConteo[[#This Row],[Conteo]]=""),"",IF(ISNUMBER(tblConteo[[#This Row],[Conteo]]),tblConteo[[#This Row],[Conteo]]-N(tblConteo[[#This Row],[Sistema]]),""))</f>
        <v/>
      </c>
      <c r="K400" s="62" t="str">
        <f>IF(tblConteo[[#This Row],[Diferencia]]="","",tblConteo[[#This Row],[Diferencia]]*N(INDEX(tblProductos[CostoUnitario],ROW()-ROW(tblConteo[#Headers]))))</f>
        <v/>
      </c>
      <c r="L40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1" spans="2:13" x14ac:dyDescent="0.25">
      <c r="B401" s="42" t="str">
        <f>IF(INDEX(tblProductos[SKU],ROW()-ROW(tblConteo[#Headers]))="","",INDEX(tblProductos[SKU],ROW()-ROW(tblConteo[#Headers])))</f>
        <v/>
      </c>
      <c r="C401" s="49" t="str">
        <f>IF(tblConteo[[#This Row],[SKU]]="","",INDEX(tblProductos[Producto],ROW()-ROW(tblConteo[#Headers])))</f>
        <v/>
      </c>
      <c r="D401" s="49" t="str">
        <f>IF(tblConteo[[#This Row],[SKU]]="","",INDEX(tblProductos[Categoría],ROW()-ROW(tblConteo[#Headers]))&amp;"")</f>
        <v/>
      </c>
      <c r="E401" s="42" t="str">
        <f>IF(tblConteo[[#This Row],[SKU]]="","",INDEX(tblProductos[Ubicación],ROW()-ROW(tblConteo[#Headers]))&amp;"")</f>
        <v/>
      </c>
      <c r="F401" s="42" t="str">
        <f>IF(tblConteo[[#This Row],[SKU]]="","",INDEX(tblProductos[Unidad],ROW()-ROW(tblConteo[#Headers]))&amp;"")</f>
        <v/>
      </c>
      <c r="G401" s="42" t="str">
        <f>IF(tblConteo[[#This Row],[SKU]]="","",IF(INDEX(tblProductos[Activo],ROW()-ROW(tblConteo[#Headers]))="NO","NO","SI"))</f>
        <v/>
      </c>
      <c r="H401" s="53" t="str">
        <f>IF(tblConteo[[#This Row],[SKU]]="","",IFERROR(N(INDEX(tblStock[StockActual],MATCH(tblConteo[[#This Row],[SKU]],tblStock[SKU],0))),0))</f>
        <v/>
      </c>
      <c r="I401" s="52"/>
      <c r="J401" s="59" t="str">
        <f>IF(OR(tblConteo[[#This Row],[SKU]]="",tblConteo[[#This Row],[Conteo]]=""),"",IF(ISNUMBER(tblConteo[[#This Row],[Conteo]]),tblConteo[[#This Row],[Conteo]]-N(tblConteo[[#This Row],[Sistema]]),""))</f>
        <v/>
      </c>
      <c r="K401" s="62" t="str">
        <f>IF(tblConteo[[#This Row],[Diferencia]]="","",tblConteo[[#This Row],[Diferencia]]*N(INDEX(tblProductos[CostoUnitario],ROW()-ROW(tblConteo[#Headers]))))</f>
        <v/>
      </c>
      <c r="L40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2" spans="2:13" x14ac:dyDescent="0.25">
      <c r="B402" s="42" t="str">
        <f>IF(INDEX(tblProductos[SKU],ROW()-ROW(tblConteo[#Headers]))="","",INDEX(tblProductos[SKU],ROW()-ROW(tblConteo[#Headers])))</f>
        <v/>
      </c>
      <c r="C402" s="49" t="str">
        <f>IF(tblConteo[[#This Row],[SKU]]="","",INDEX(tblProductos[Producto],ROW()-ROW(tblConteo[#Headers])))</f>
        <v/>
      </c>
      <c r="D402" s="49" t="str">
        <f>IF(tblConteo[[#This Row],[SKU]]="","",INDEX(tblProductos[Categoría],ROW()-ROW(tblConteo[#Headers]))&amp;"")</f>
        <v/>
      </c>
      <c r="E402" s="42" t="str">
        <f>IF(tblConteo[[#This Row],[SKU]]="","",INDEX(tblProductos[Ubicación],ROW()-ROW(tblConteo[#Headers]))&amp;"")</f>
        <v/>
      </c>
      <c r="F402" s="42" t="str">
        <f>IF(tblConteo[[#This Row],[SKU]]="","",INDEX(tblProductos[Unidad],ROW()-ROW(tblConteo[#Headers]))&amp;"")</f>
        <v/>
      </c>
      <c r="G402" s="42" t="str">
        <f>IF(tblConteo[[#This Row],[SKU]]="","",IF(INDEX(tblProductos[Activo],ROW()-ROW(tblConteo[#Headers]))="NO","NO","SI"))</f>
        <v/>
      </c>
      <c r="H402" s="53" t="str">
        <f>IF(tblConteo[[#This Row],[SKU]]="","",IFERROR(N(INDEX(tblStock[StockActual],MATCH(tblConteo[[#This Row],[SKU]],tblStock[SKU],0))),0))</f>
        <v/>
      </c>
      <c r="I402" s="52"/>
      <c r="J402" s="59" t="str">
        <f>IF(OR(tblConteo[[#This Row],[SKU]]="",tblConteo[[#This Row],[Conteo]]=""),"",IF(ISNUMBER(tblConteo[[#This Row],[Conteo]]),tblConteo[[#This Row],[Conteo]]-N(tblConteo[[#This Row],[Sistema]]),""))</f>
        <v/>
      </c>
      <c r="K402" s="62" t="str">
        <f>IF(tblConteo[[#This Row],[Diferencia]]="","",tblConteo[[#This Row],[Diferencia]]*N(INDEX(tblProductos[CostoUnitario],ROW()-ROW(tblConteo[#Headers]))))</f>
        <v/>
      </c>
      <c r="L40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3" spans="2:13" x14ac:dyDescent="0.25">
      <c r="B403" s="42" t="str">
        <f>IF(INDEX(tblProductos[SKU],ROW()-ROW(tblConteo[#Headers]))="","",INDEX(tblProductos[SKU],ROW()-ROW(tblConteo[#Headers])))</f>
        <v/>
      </c>
      <c r="C403" s="49" t="str">
        <f>IF(tblConteo[[#This Row],[SKU]]="","",INDEX(tblProductos[Producto],ROW()-ROW(tblConteo[#Headers])))</f>
        <v/>
      </c>
      <c r="D403" s="49" t="str">
        <f>IF(tblConteo[[#This Row],[SKU]]="","",INDEX(tblProductos[Categoría],ROW()-ROW(tblConteo[#Headers]))&amp;"")</f>
        <v/>
      </c>
      <c r="E403" s="42" t="str">
        <f>IF(tblConteo[[#This Row],[SKU]]="","",INDEX(tblProductos[Ubicación],ROW()-ROW(tblConteo[#Headers]))&amp;"")</f>
        <v/>
      </c>
      <c r="F403" s="42" t="str">
        <f>IF(tblConteo[[#This Row],[SKU]]="","",INDEX(tblProductos[Unidad],ROW()-ROW(tblConteo[#Headers]))&amp;"")</f>
        <v/>
      </c>
      <c r="G403" s="42" t="str">
        <f>IF(tblConteo[[#This Row],[SKU]]="","",IF(INDEX(tblProductos[Activo],ROW()-ROW(tblConteo[#Headers]))="NO","NO","SI"))</f>
        <v/>
      </c>
      <c r="H403" s="53" t="str">
        <f>IF(tblConteo[[#This Row],[SKU]]="","",IFERROR(N(INDEX(tblStock[StockActual],MATCH(tblConteo[[#This Row],[SKU]],tblStock[SKU],0))),0))</f>
        <v/>
      </c>
      <c r="I403" s="52"/>
      <c r="J403" s="59" t="str">
        <f>IF(OR(tblConteo[[#This Row],[SKU]]="",tblConteo[[#This Row],[Conteo]]=""),"",IF(ISNUMBER(tblConteo[[#This Row],[Conteo]]),tblConteo[[#This Row],[Conteo]]-N(tblConteo[[#This Row],[Sistema]]),""))</f>
        <v/>
      </c>
      <c r="K403" s="62" t="str">
        <f>IF(tblConteo[[#This Row],[Diferencia]]="","",tblConteo[[#This Row],[Diferencia]]*N(INDEX(tblProductos[CostoUnitario],ROW()-ROW(tblConteo[#Headers]))))</f>
        <v/>
      </c>
      <c r="L40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4" spans="2:13" x14ac:dyDescent="0.25">
      <c r="B404" s="42" t="str">
        <f>IF(INDEX(tblProductos[SKU],ROW()-ROW(tblConteo[#Headers]))="","",INDEX(tblProductos[SKU],ROW()-ROW(tblConteo[#Headers])))</f>
        <v/>
      </c>
      <c r="C404" s="49" t="str">
        <f>IF(tblConteo[[#This Row],[SKU]]="","",INDEX(tblProductos[Producto],ROW()-ROW(tblConteo[#Headers])))</f>
        <v/>
      </c>
      <c r="D404" s="49" t="str">
        <f>IF(tblConteo[[#This Row],[SKU]]="","",INDEX(tblProductos[Categoría],ROW()-ROW(tblConteo[#Headers]))&amp;"")</f>
        <v/>
      </c>
      <c r="E404" s="42" t="str">
        <f>IF(tblConteo[[#This Row],[SKU]]="","",INDEX(tblProductos[Ubicación],ROW()-ROW(tblConteo[#Headers]))&amp;"")</f>
        <v/>
      </c>
      <c r="F404" s="42" t="str">
        <f>IF(tblConteo[[#This Row],[SKU]]="","",INDEX(tblProductos[Unidad],ROW()-ROW(tblConteo[#Headers]))&amp;"")</f>
        <v/>
      </c>
      <c r="G404" s="42" t="str">
        <f>IF(tblConteo[[#This Row],[SKU]]="","",IF(INDEX(tblProductos[Activo],ROW()-ROW(tblConteo[#Headers]))="NO","NO","SI"))</f>
        <v/>
      </c>
      <c r="H404" s="53" t="str">
        <f>IF(tblConteo[[#This Row],[SKU]]="","",IFERROR(N(INDEX(tblStock[StockActual],MATCH(tblConteo[[#This Row],[SKU]],tblStock[SKU],0))),0))</f>
        <v/>
      </c>
      <c r="I404" s="52"/>
      <c r="J404" s="59" t="str">
        <f>IF(OR(tblConteo[[#This Row],[SKU]]="",tblConteo[[#This Row],[Conteo]]=""),"",IF(ISNUMBER(tblConteo[[#This Row],[Conteo]]),tblConteo[[#This Row],[Conteo]]-N(tblConteo[[#This Row],[Sistema]]),""))</f>
        <v/>
      </c>
      <c r="K404" s="62" t="str">
        <f>IF(tblConteo[[#This Row],[Diferencia]]="","",tblConteo[[#This Row],[Diferencia]]*N(INDEX(tblProductos[CostoUnitario],ROW()-ROW(tblConteo[#Headers]))))</f>
        <v/>
      </c>
      <c r="L40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5" spans="2:13" x14ac:dyDescent="0.25">
      <c r="B405" s="42" t="str">
        <f>IF(INDEX(tblProductos[SKU],ROW()-ROW(tblConteo[#Headers]))="","",INDEX(tblProductos[SKU],ROW()-ROW(tblConteo[#Headers])))</f>
        <v/>
      </c>
      <c r="C405" s="49" t="str">
        <f>IF(tblConteo[[#This Row],[SKU]]="","",INDEX(tblProductos[Producto],ROW()-ROW(tblConteo[#Headers])))</f>
        <v/>
      </c>
      <c r="D405" s="49" t="str">
        <f>IF(tblConteo[[#This Row],[SKU]]="","",INDEX(tblProductos[Categoría],ROW()-ROW(tblConteo[#Headers]))&amp;"")</f>
        <v/>
      </c>
      <c r="E405" s="42" t="str">
        <f>IF(tblConteo[[#This Row],[SKU]]="","",INDEX(tblProductos[Ubicación],ROW()-ROW(tblConteo[#Headers]))&amp;"")</f>
        <v/>
      </c>
      <c r="F405" s="42" t="str">
        <f>IF(tblConteo[[#This Row],[SKU]]="","",INDEX(tblProductos[Unidad],ROW()-ROW(tblConteo[#Headers]))&amp;"")</f>
        <v/>
      </c>
      <c r="G405" s="42" t="str">
        <f>IF(tblConteo[[#This Row],[SKU]]="","",IF(INDEX(tblProductos[Activo],ROW()-ROW(tblConteo[#Headers]))="NO","NO","SI"))</f>
        <v/>
      </c>
      <c r="H405" s="53" t="str">
        <f>IF(tblConteo[[#This Row],[SKU]]="","",IFERROR(N(INDEX(tblStock[StockActual],MATCH(tblConteo[[#This Row],[SKU]],tblStock[SKU],0))),0))</f>
        <v/>
      </c>
      <c r="I405" s="52"/>
      <c r="J405" s="59" t="str">
        <f>IF(OR(tblConteo[[#This Row],[SKU]]="",tblConteo[[#This Row],[Conteo]]=""),"",IF(ISNUMBER(tblConteo[[#This Row],[Conteo]]),tblConteo[[#This Row],[Conteo]]-N(tblConteo[[#This Row],[Sistema]]),""))</f>
        <v/>
      </c>
      <c r="K405" s="62" t="str">
        <f>IF(tblConteo[[#This Row],[Diferencia]]="","",tblConteo[[#This Row],[Diferencia]]*N(INDEX(tblProductos[CostoUnitario],ROW()-ROW(tblConteo[#Headers]))))</f>
        <v/>
      </c>
      <c r="L40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6" spans="2:13" x14ac:dyDescent="0.25">
      <c r="B406" s="42" t="str">
        <f>IF(INDEX(tblProductos[SKU],ROW()-ROW(tblConteo[#Headers]))="","",INDEX(tblProductos[SKU],ROW()-ROW(tblConteo[#Headers])))</f>
        <v/>
      </c>
      <c r="C406" s="49" t="str">
        <f>IF(tblConteo[[#This Row],[SKU]]="","",INDEX(tblProductos[Producto],ROW()-ROW(tblConteo[#Headers])))</f>
        <v/>
      </c>
      <c r="D406" s="49" t="str">
        <f>IF(tblConteo[[#This Row],[SKU]]="","",INDEX(tblProductos[Categoría],ROW()-ROW(tblConteo[#Headers]))&amp;"")</f>
        <v/>
      </c>
      <c r="E406" s="42" t="str">
        <f>IF(tblConteo[[#This Row],[SKU]]="","",INDEX(tblProductos[Ubicación],ROW()-ROW(tblConteo[#Headers]))&amp;"")</f>
        <v/>
      </c>
      <c r="F406" s="42" t="str">
        <f>IF(tblConteo[[#This Row],[SKU]]="","",INDEX(tblProductos[Unidad],ROW()-ROW(tblConteo[#Headers]))&amp;"")</f>
        <v/>
      </c>
      <c r="G406" s="42" t="str">
        <f>IF(tblConteo[[#This Row],[SKU]]="","",IF(INDEX(tblProductos[Activo],ROW()-ROW(tblConteo[#Headers]))="NO","NO","SI"))</f>
        <v/>
      </c>
      <c r="H406" s="53" t="str">
        <f>IF(tblConteo[[#This Row],[SKU]]="","",IFERROR(N(INDEX(tblStock[StockActual],MATCH(tblConteo[[#This Row],[SKU]],tblStock[SKU],0))),0))</f>
        <v/>
      </c>
      <c r="I406" s="52"/>
      <c r="J406" s="59" t="str">
        <f>IF(OR(tblConteo[[#This Row],[SKU]]="",tblConteo[[#This Row],[Conteo]]=""),"",IF(ISNUMBER(tblConteo[[#This Row],[Conteo]]),tblConteo[[#This Row],[Conteo]]-N(tblConteo[[#This Row],[Sistema]]),""))</f>
        <v/>
      </c>
      <c r="K406" s="62" t="str">
        <f>IF(tblConteo[[#This Row],[Diferencia]]="","",tblConteo[[#This Row],[Diferencia]]*N(INDEX(tblProductos[CostoUnitario],ROW()-ROW(tblConteo[#Headers]))))</f>
        <v/>
      </c>
      <c r="L40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7" spans="2:13" x14ac:dyDescent="0.25">
      <c r="B407" s="42" t="str">
        <f>IF(INDEX(tblProductos[SKU],ROW()-ROW(tblConteo[#Headers]))="","",INDEX(tblProductos[SKU],ROW()-ROW(tblConteo[#Headers])))</f>
        <v/>
      </c>
      <c r="C407" s="49" t="str">
        <f>IF(tblConteo[[#This Row],[SKU]]="","",INDEX(tblProductos[Producto],ROW()-ROW(tblConteo[#Headers])))</f>
        <v/>
      </c>
      <c r="D407" s="49" t="str">
        <f>IF(tblConteo[[#This Row],[SKU]]="","",INDEX(tblProductos[Categoría],ROW()-ROW(tblConteo[#Headers]))&amp;"")</f>
        <v/>
      </c>
      <c r="E407" s="42" t="str">
        <f>IF(tblConteo[[#This Row],[SKU]]="","",INDEX(tblProductos[Ubicación],ROW()-ROW(tblConteo[#Headers]))&amp;"")</f>
        <v/>
      </c>
      <c r="F407" s="42" t="str">
        <f>IF(tblConteo[[#This Row],[SKU]]="","",INDEX(tblProductos[Unidad],ROW()-ROW(tblConteo[#Headers]))&amp;"")</f>
        <v/>
      </c>
      <c r="G407" s="42" t="str">
        <f>IF(tblConteo[[#This Row],[SKU]]="","",IF(INDEX(tblProductos[Activo],ROW()-ROW(tblConteo[#Headers]))="NO","NO","SI"))</f>
        <v/>
      </c>
      <c r="H407" s="53" t="str">
        <f>IF(tblConteo[[#This Row],[SKU]]="","",IFERROR(N(INDEX(tblStock[StockActual],MATCH(tblConteo[[#This Row],[SKU]],tblStock[SKU],0))),0))</f>
        <v/>
      </c>
      <c r="I407" s="52"/>
      <c r="J407" s="59" t="str">
        <f>IF(OR(tblConteo[[#This Row],[SKU]]="",tblConteo[[#This Row],[Conteo]]=""),"",IF(ISNUMBER(tblConteo[[#This Row],[Conteo]]),tblConteo[[#This Row],[Conteo]]-N(tblConteo[[#This Row],[Sistema]]),""))</f>
        <v/>
      </c>
      <c r="K407" s="62" t="str">
        <f>IF(tblConteo[[#This Row],[Diferencia]]="","",tblConteo[[#This Row],[Diferencia]]*N(INDEX(tblProductos[CostoUnitario],ROW()-ROW(tblConteo[#Headers]))))</f>
        <v/>
      </c>
      <c r="L40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8" spans="2:13" x14ac:dyDescent="0.25">
      <c r="B408" s="42" t="str">
        <f>IF(INDEX(tblProductos[SKU],ROW()-ROW(tblConteo[#Headers]))="","",INDEX(tblProductos[SKU],ROW()-ROW(tblConteo[#Headers])))</f>
        <v/>
      </c>
      <c r="C408" s="49" t="str">
        <f>IF(tblConteo[[#This Row],[SKU]]="","",INDEX(tblProductos[Producto],ROW()-ROW(tblConteo[#Headers])))</f>
        <v/>
      </c>
      <c r="D408" s="49" t="str">
        <f>IF(tblConteo[[#This Row],[SKU]]="","",INDEX(tblProductos[Categoría],ROW()-ROW(tblConteo[#Headers]))&amp;"")</f>
        <v/>
      </c>
      <c r="E408" s="42" t="str">
        <f>IF(tblConteo[[#This Row],[SKU]]="","",INDEX(tblProductos[Ubicación],ROW()-ROW(tblConteo[#Headers]))&amp;"")</f>
        <v/>
      </c>
      <c r="F408" s="42" t="str">
        <f>IF(tblConteo[[#This Row],[SKU]]="","",INDEX(tblProductos[Unidad],ROW()-ROW(tblConteo[#Headers]))&amp;"")</f>
        <v/>
      </c>
      <c r="G408" s="42" t="str">
        <f>IF(tblConteo[[#This Row],[SKU]]="","",IF(INDEX(tblProductos[Activo],ROW()-ROW(tblConteo[#Headers]))="NO","NO","SI"))</f>
        <v/>
      </c>
      <c r="H408" s="53" t="str">
        <f>IF(tblConteo[[#This Row],[SKU]]="","",IFERROR(N(INDEX(tblStock[StockActual],MATCH(tblConteo[[#This Row],[SKU]],tblStock[SKU],0))),0))</f>
        <v/>
      </c>
      <c r="I408" s="52"/>
      <c r="J408" s="59" t="str">
        <f>IF(OR(tblConteo[[#This Row],[SKU]]="",tblConteo[[#This Row],[Conteo]]=""),"",IF(ISNUMBER(tblConteo[[#This Row],[Conteo]]),tblConteo[[#This Row],[Conteo]]-N(tblConteo[[#This Row],[Sistema]]),""))</f>
        <v/>
      </c>
      <c r="K408" s="62" t="str">
        <f>IF(tblConteo[[#This Row],[Diferencia]]="","",tblConteo[[#This Row],[Diferencia]]*N(INDEX(tblProductos[CostoUnitario],ROW()-ROW(tblConteo[#Headers]))))</f>
        <v/>
      </c>
      <c r="L40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9" spans="2:13" x14ac:dyDescent="0.25">
      <c r="B409" s="42" t="str">
        <f>IF(INDEX(tblProductos[SKU],ROW()-ROW(tblConteo[#Headers]))="","",INDEX(tblProductos[SKU],ROW()-ROW(tblConteo[#Headers])))</f>
        <v/>
      </c>
      <c r="C409" s="49" t="str">
        <f>IF(tblConteo[[#This Row],[SKU]]="","",INDEX(tblProductos[Producto],ROW()-ROW(tblConteo[#Headers])))</f>
        <v/>
      </c>
      <c r="D409" s="49" t="str">
        <f>IF(tblConteo[[#This Row],[SKU]]="","",INDEX(tblProductos[Categoría],ROW()-ROW(tblConteo[#Headers]))&amp;"")</f>
        <v/>
      </c>
      <c r="E409" s="42" t="str">
        <f>IF(tblConteo[[#This Row],[SKU]]="","",INDEX(tblProductos[Ubicación],ROW()-ROW(tblConteo[#Headers]))&amp;"")</f>
        <v/>
      </c>
      <c r="F409" s="42" t="str">
        <f>IF(tblConteo[[#This Row],[SKU]]="","",INDEX(tblProductos[Unidad],ROW()-ROW(tblConteo[#Headers]))&amp;"")</f>
        <v/>
      </c>
      <c r="G409" s="42" t="str">
        <f>IF(tblConteo[[#This Row],[SKU]]="","",IF(INDEX(tblProductos[Activo],ROW()-ROW(tblConteo[#Headers]))="NO","NO","SI"))</f>
        <v/>
      </c>
      <c r="H409" s="53" t="str">
        <f>IF(tblConteo[[#This Row],[SKU]]="","",IFERROR(N(INDEX(tblStock[StockActual],MATCH(tblConteo[[#This Row],[SKU]],tblStock[SKU],0))),0))</f>
        <v/>
      </c>
      <c r="I409" s="52"/>
      <c r="J409" s="59" t="str">
        <f>IF(OR(tblConteo[[#This Row],[SKU]]="",tblConteo[[#This Row],[Conteo]]=""),"",IF(ISNUMBER(tblConteo[[#This Row],[Conteo]]),tblConteo[[#This Row],[Conteo]]-N(tblConteo[[#This Row],[Sistema]]),""))</f>
        <v/>
      </c>
      <c r="K409" s="62" t="str">
        <f>IF(tblConteo[[#This Row],[Diferencia]]="","",tblConteo[[#This Row],[Diferencia]]*N(INDEX(tblProductos[CostoUnitario],ROW()-ROW(tblConteo[#Headers]))))</f>
        <v/>
      </c>
      <c r="L40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0" spans="2:13" x14ac:dyDescent="0.25">
      <c r="B410" s="42" t="str">
        <f>IF(INDEX(tblProductos[SKU],ROW()-ROW(tblConteo[#Headers]))="","",INDEX(tblProductos[SKU],ROW()-ROW(tblConteo[#Headers])))</f>
        <v/>
      </c>
      <c r="C410" s="49" t="str">
        <f>IF(tblConteo[[#This Row],[SKU]]="","",INDEX(tblProductos[Producto],ROW()-ROW(tblConteo[#Headers])))</f>
        <v/>
      </c>
      <c r="D410" s="49" t="str">
        <f>IF(tblConteo[[#This Row],[SKU]]="","",INDEX(tblProductos[Categoría],ROW()-ROW(tblConteo[#Headers]))&amp;"")</f>
        <v/>
      </c>
      <c r="E410" s="42" t="str">
        <f>IF(tblConteo[[#This Row],[SKU]]="","",INDEX(tblProductos[Ubicación],ROW()-ROW(tblConteo[#Headers]))&amp;"")</f>
        <v/>
      </c>
      <c r="F410" s="42" t="str">
        <f>IF(tblConteo[[#This Row],[SKU]]="","",INDEX(tblProductos[Unidad],ROW()-ROW(tblConteo[#Headers]))&amp;"")</f>
        <v/>
      </c>
      <c r="G410" s="42" t="str">
        <f>IF(tblConteo[[#This Row],[SKU]]="","",IF(INDEX(tblProductos[Activo],ROW()-ROW(tblConteo[#Headers]))="NO","NO","SI"))</f>
        <v/>
      </c>
      <c r="H410" s="53" t="str">
        <f>IF(tblConteo[[#This Row],[SKU]]="","",IFERROR(N(INDEX(tblStock[StockActual],MATCH(tblConteo[[#This Row],[SKU]],tblStock[SKU],0))),0))</f>
        <v/>
      </c>
      <c r="I410" s="52"/>
      <c r="J410" s="59" t="str">
        <f>IF(OR(tblConteo[[#This Row],[SKU]]="",tblConteo[[#This Row],[Conteo]]=""),"",IF(ISNUMBER(tblConteo[[#This Row],[Conteo]]),tblConteo[[#This Row],[Conteo]]-N(tblConteo[[#This Row],[Sistema]]),""))</f>
        <v/>
      </c>
      <c r="K410" s="62" t="str">
        <f>IF(tblConteo[[#This Row],[Diferencia]]="","",tblConteo[[#This Row],[Diferencia]]*N(INDEX(tblProductos[CostoUnitario],ROW()-ROW(tblConteo[#Headers]))))</f>
        <v/>
      </c>
      <c r="L41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1" spans="2:13" x14ac:dyDescent="0.25">
      <c r="B411" s="42" t="str">
        <f>IF(INDEX(tblProductos[SKU],ROW()-ROW(tblConteo[#Headers]))="","",INDEX(tblProductos[SKU],ROW()-ROW(tblConteo[#Headers])))</f>
        <v/>
      </c>
      <c r="C411" s="49" t="str">
        <f>IF(tblConteo[[#This Row],[SKU]]="","",INDEX(tblProductos[Producto],ROW()-ROW(tblConteo[#Headers])))</f>
        <v/>
      </c>
      <c r="D411" s="49" t="str">
        <f>IF(tblConteo[[#This Row],[SKU]]="","",INDEX(tblProductos[Categoría],ROW()-ROW(tblConteo[#Headers]))&amp;"")</f>
        <v/>
      </c>
      <c r="E411" s="42" t="str">
        <f>IF(tblConteo[[#This Row],[SKU]]="","",INDEX(tblProductos[Ubicación],ROW()-ROW(tblConteo[#Headers]))&amp;"")</f>
        <v/>
      </c>
      <c r="F411" s="42" t="str">
        <f>IF(tblConteo[[#This Row],[SKU]]="","",INDEX(tblProductos[Unidad],ROW()-ROW(tblConteo[#Headers]))&amp;"")</f>
        <v/>
      </c>
      <c r="G411" s="42" t="str">
        <f>IF(tblConteo[[#This Row],[SKU]]="","",IF(INDEX(tblProductos[Activo],ROW()-ROW(tblConteo[#Headers]))="NO","NO","SI"))</f>
        <v/>
      </c>
      <c r="H411" s="53" t="str">
        <f>IF(tblConteo[[#This Row],[SKU]]="","",IFERROR(N(INDEX(tblStock[StockActual],MATCH(tblConteo[[#This Row],[SKU]],tblStock[SKU],0))),0))</f>
        <v/>
      </c>
      <c r="I411" s="52"/>
      <c r="J411" s="59" t="str">
        <f>IF(OR(tblConteo[[#This Row],[SKU]]="",tblConteo[[#This Row],[Conteo]]=""),"",IF(ISNUMBER(tblConteo[[#This Row],[Conteo]]),tblConteo[[#This Row],[Conteo]]-N(tblConteo[[#This Row],[Sistema]]),""))</f>
        <v/>
      </c>
      <c r="K411" s="62" t="str">
        <f>IF(tblConteo[[#This Row],[Diferencia]]="","",tblConteo[[#This Row],[Diferencia]]*N(INDEX(tblProductos[CostoUnitario],ROW()-ROW(tblConteo[#Headers]))))</f>
        <v/>
      </c>
      <c r="L41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2" spans="2:13" x14ac:dyDescent="0.25">
      <c r="B412" s="42" t="str">
        <f>IF(INDEX(tblProductos[SKU],ROW()-ROW(tblConteo[#Headers]))="","",INDEX(tblProductos[SKU],ROW()-ROW(tblConteo[#Headers])))</f>
        <v/>
      </c>
      <c r="C412" s="49" t="str">
        <f>IF(tblConteo[[#This Row],[SKU]]="","",INDEX(tblProductos[Producto],ROW()-ROW(tblConteo[#Headers])))</f>
        <v/>
      </c>
      <c r="D412" s="49" t="str">
        <f>IF(tblConteo[[#This Row],[SKU]]="","",INDEX(tblProductos[Categoría],ROW()-ROW(tblConteo[#Headers]))&amp;"")</f>
        <v/>
      </c>
      <c r="E412" s="42" t="str">
        <f>IF(tblConteo[[#This Row],[SKU]]="","",INDEX(tblProductos[Ubicación],ROW()-ROW(tblConteo[#Headers]))&amp;"")</f>
        <v/>
      </c>
      <c r="F412" s="42" t="str">
        <f>IF(tblConteo[[#This Row],[SKU]]="","",INDEX(tblProductos[Unidad],ROW()-ROW(tblConteo[#Headers]))&amp;"")</f>
        <v/>
      </c>
      <c r="G412" s="42" t="str">
        <f>IF(tblConteo[[#This Row],[SKU]]="","",IF(INDEX(tblProductos[Activo],ROW()-ROW(tblConteo[#Headers]))="NO","NO","SI"))</f>
        <v/>
      </c>
      <c r="H412" s="53" t="str">
        <f>IF(tblConteo[[#This Row],[SKU]]="","",IFERROR(N(INDEX(tblStock[StockActual],MATCH(tblConteo[[#This Row],[SKU]],tblStock[SKU],0))),0))</f>
        <v/>
      </c>
      <c r="I412" s="52"/>
      <c r="J412" s="59" t="str">
        <f>IF(OR(tblConteo[[#This Row],[SKU]]="",tblConteo[[#This Row],[Conteo]]=""),"",IF(ISNUMBER(tblConteo[[#This Row],[Conteo]]),tblConteo[[#This Row],[Conteo]]-N(tblConteo[[#This Row],[Sistema]]),""))</f>
        <v/>
      </c>
      <c r="K412" s="62" t="str">
        <f>IF(tblConteo[[#This Row],[Diferencia]]="","",tblConteo[[#This Row],[Diferencia]]*N(INDEX(tblProductos[CostoUnitario],ROW()-ROW(tblConteo[#Headers]))))</f>
        <v/>
      </c>
      <c r="L41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3" spans="2:13" x14ac:dyDescent="0.25">
      <c r="B413" s="42" t="str">
        <f>IF(INDEX(tblProductos[SKU],ROW()-ROW(tblConteo[#Headers]))="","",INDEX(tblProductos[SKU],ROW()-ROW(tblConteo[#Headers])))</f>
        <v/>
      </c>
      <c r="C413" s="49" t="str">
        <f>IF(tblConteo[[#This Row],[SKU]]="","",INDEX(tblProductos[Producto],ROW()-ROW(tblConteo[#Headers])))</f>
        <v/>
      </c>
      <c r="D413" s="49" t="str">
        <f>IF(tblConteo[[#This Row],[SKU]]="","",INDEX(tblProductos[Categoría],ROW()-ROW(tblConteo[#Headers]))&amp;"")</f>
        <v/>
      </c>
      <c r="E413" s="42" t="str">
        <f>IF(tblConteo[[#This Row],[SKU]]="","",INDEX(tblProductos[Ubicación],ROW()-ROW(tblConteo[#Headers]))&amp;"")</f>
        <v/>
      </c>
      <c r="F413" s="42" t="str">
        <f>IF(tblConteo[[#This Row],[SKU]]="","",INDEX(tblProductos[Unidad],ROW()-ROW(tblConteo[#Headers]))&amp;"")</f>
        <v/>
      </c>
      <c r="G413" s="42" t="str">
        <f>IF(tblConteo[[#This Row],[SKU]]="","",IF(INDEX(tblProductos[Activo],ROW()-ROW(tblConteo[#Headers]))="NO","NO","SI"))</f>
        <v/>
      </c>
      <c r="H413" s="53" t="str">
        <f>IF(tblConteo[[#This Row],[SKU]]="","",IFERROR(N(INDEX(tblStock[StockActual],MATCH(tblConteo[[#This Row],[SKU]],tblStock[SKU],0))),0))</f>
        <v/>
      </c>
      <c r="I413" s="52"/>
      <c r="J413" s="59" t="str">
        <f>IF(OR(tblConteo[[#This Row],[SKU]]="",tblConteo[[#This Row],[Conteo]]=""),"",IF(ISNUMBER(tblConteo[[#This Row],[Conteo]]),tblConteo[[#This Row],[Conteo]]-N(tblConteo[[#This Row],[Sistema]]),""))</f>
        <v/>
      </c>
      <c r="K413" s="62" t="str">
        <f>IF(tblConteo[[#This Row],[Diferencia]]="","",tblConteo[[#This Row],[Diferencia]]*N(INDEX(tblProductos[CostoUnitario],ROW()-ROW(tblConteo[#Headers]))))</f>
        <v/>
      </c>
      <c r="L41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4" spans="2:13" x14ac:dyDescent="0.25">
      <c r="B414" s="42" t="str">
        <f>IF(INDEX(tblProductos[SKU],ROW()-ROW(tblConteo[#Headers]))="","",INDEX(tblProductos[SKU],ROW()-ROW(tblConteo[#Headers])))</f>
        <v/>
      </c>
      <c r="C414" s="49" t="str">
        <f>IF(tblConteo[[#This Row],[SKU]]="","",INDEX(tblProductos[Producto],ROW()-ROW(tblConteo[#Headers])))</f>
        <v/>
      </c>
      <c r="D414" s="49" t="str">
        <f>IF(tblConteo[[#This Row],[SKU]]="","",INDEX(tblProductos[Categoría],ROW()-ROW(tblConteo[#Headers]))&amp;"")</f>
        <v/>
      </c>
      <c r="E414" s="42" t="str">
        <f>IF(tblConteo[[#This Row],[SKU]]="","",INDEX(tblProductos[Ubicación],ROW()-ROW(tblConteo[#Headers]))&amp;"")</f>
        <v/>
      </c>
      <c r="F414" s="42" t="str">
        <f>IF(tblConteo[[#This Row],[SKU]]="","",INDEX(tblProductos[Unidad],ROW()-ROW(tblConteo[#Headers]))&amp;"")</f>
        <v/>
      </c>
      <c r="G414" s="42" t="str">
        <f>IF(tblConteo[[#This Row],[SKU]]="","",IF(INDEX(tblProductos[Activo],ROW()-ROW(tblConteo[#Headers]))="NO","NO","SI"))</f>
        <v/>
      </c>
      <c r="H414" s="53" t="str">
        <f>IF(tblConteo[[#This Row],[SKU]]="","",IFERROR(N(INDEX(tblStock[StockActual],MATCH(tblConteo[[#This Row],[SKU]],tblStock[SKU],0))),0))</f>
        <v/>
      </c>
      <c r="I414" s="52"/>
      <c r="J414" s="59" t="str">
        <f>IF(OR(tblConteo[[#This Row],[SKU]]="",tblConteo[[#This Row],[Conteo]]=""),"",IF(ISNUMBER(tblConteo[[#This Row],[Conteo]]),tblConteo[[#This Row],[Conteo]]-N(tblConteo[[#This Row],[Sistema]]),""))</f>
        <v/>
      </c>
      <c r="K414" s="62" t="str">
        <f>IF(tblConteo[[#This Row],[Diferencia]]="","",tblConteo[[#This Row],[Diferencia]]*N(INDEX(tblProductos[CostoUnitario],ROW()-ROW(tblConteo[#Headers]))))</f>
        <v/>
      </c>
      <c r="L41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5" spans="2:13" x14ac:dyDescent="0.25">
      <c r="B415" s="42" t="str">
        <f>IF(INDEX(tblProductos[SKU],ROW()-ROW(tblConteo[#Headers]))="","",INDEX(tblProductos[SKU],ROW()-ROW(tblConteo[#Headers])))</f>
        <v/>
      </c>
      <c r="C415" s="49" t="str">
        <f>IF(tblConteo[[#This Row],[SKU]]="","",INDEX(tblProductos[Producto],ROW()-ROW(tblConteo[#Headers])))</f>
        <v/>
      </c>
      <c r="D415" s="49" t="str">
        <f>IF(tblConteo[[#This Row],[SKU]]="","",INDEX(tblProductos[Categoría],ROW()-ROW(tblConteo[#Headers]))&amp;"")</f>
        <v/>
      </c>
      <c r="E415" s="42" t="str">
        <f>IF(tblConteo[[#This Row],[SKU]]="","",INDEX(tblProductos[Ubicación],ROW()-ROW(tblConteo[#Headers]))&amp;"")</f>
        <v/>
      </c>
      <c r="F415" s="42" t="str">
        <f>IF(tblConteo[[#This Row],[SKU]]="","",INDEX(tblProductos[Unidad],ROW()-ROW(tblConteo[#Headers]))&amp;"")</f>
        <v/>
      </c>
      <c r="G415" s="42" t="str">
        <f>IF(tblConteo[[#This Row],[SKU]]="","",IF(INDEX(tblProductos[Activo],ROW()-ROW(tblConteo[#Headers]))="NO","NO","SI"))</f>
        <v/>
      </c>
      <c r="H415" s="53" t="str">
        <f>IF(tblConteo[[#This Row],[SKU]]="","",IFERROR(N(INDEX(tblStock[StockActual],MATCH(tblConteo[[#This Row],[SKU]],tblStock[SKU],0))),0))</f>
        <v/>
      </c>
      <c r="I415" s="52"/>
      <c r="J415" s="59" t="str">
        <f>IF(OR(tblConteo[[#This Row],[SKU]]="",tblConteo[[#This Row],[Conteo]]=""),"",IF(ISNUMBER(tblConteo[[#This Row],[Conteo]]),tblConteo[[#This Row],[Conteo]]-N(tblConteo[[#This Row],[Sistema]]),""))</f>
        <v/>
      </c>
      <c r="K415" s="62" t="str">
        <f>IF(tblConteo[[#This Row],[Diferencia]]="","",tblConteo[[#This Row],[Diferencia]]*N(INDEX(tblProductos[CostoUnitario],ROW()-ROW(tblConteo[#Headers]))))</f>
        <v/>
      </c>
      <c r="L41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6" spans="2:13" x14ac:dyDescent="0.25">
      <c r="B416" s="42" t="str">
        <f>IF(INDEX(tblProductos[SKU],ROW()-ROW(tblConteo[#Headers]))="","",INDEX(tblProductos[SKU],ROW()-ROW(tblConteo[#Headers])))</f>
        <v/>
      </c>
      <c r="C416" s="49" t="str">
        <f>IF(tblConteo[[#This Row],[SKU]]="","",INDEX(tblProductos[Producto],ROW()-ROW(tblConteo[#Headers])))</f>
        <v/>
      </c>
      <c r="D416" s="49" t="str">
        <f>IF(tblConteo[[#This Row],[SKU]]="","",INDEX(tblProductos[Categoría],ROW()-ROW(tblConteo[#Headers]))&amp;"")</f>
        <v/>
      </c>
      <c r="E416" s="42" t="str">
        <f>IF(tblConteo[[#This Row],[SKU]]="","",INDEX(tblProductos[Ubicación],ROW()-ROW(tblConteo[#Headers]))&amp;"")</f>
        <v/>
      </c>
      <c r="F416" s="42" t="str">
        <f>IF(tblConteo[[#This Row],[SKU]]="","",INDEX(tblProductos[Unidad],ROW()-ROW(tblConteo[#Headers]))&amp;"")</f>
        <v/>
      </c>
      <c r="G416" s="42" t="str">
        <f>IF(tblConteo[[#This Row],[SKU]]="","",IF(INDEX(tblProductos[Activo],ROW()-ROW(tblConteo[#Headers]))="NO","NO","SI"))</f>
        <v/>
      </c>
      <c r="H416" s="53" t="str">
        <f>IF(tblConteo[[#This Row],[SKU]]="","",IFERROR(N(INDEX(tblStock[StockActual],MATCH(tblConteo[[#This Row],[SKU]],tblStock[SKU],0))),0))</f>
        <v/>
      </c>
      <c r="I416" s="52"/>
      <c r="J416" s="59" t="str">
        <f>IF(OR(tblConteo[[#This Row],[SKU]]="",tblConteo[[#This Row],[Conteo]]=""),"",IF(ISNUMBER(tblConteo[[#This Row],[Conteo]]),tblConteo[[#This Row],[Conteo]]-N(tblConteo[[#This Row],[Sistema]]),""))</f>
        <v/>
      </c>
      <c r="K416" s="62" t="str">
        <f>IF(tblConteo[[#This Row],[Diferencia]]="","",tblConteo[[#This Row],[Diferencia]]*N(INDEX(tblProductos[CostoUnitario],ROW()-ROW(tblConteo[#Headers]))))</f>
        <v/>
      </c>
      <c r="L41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7" spans="2:13" x14ac:dyDescent="0.25">
      <c r="B417" s="42" t="str">
        <f>IF(INDEX(tblProductos[SKU],ROW()-ROW(tblConteo[#Headers]))="","",INDEX(tblProductos[SKU],ROW()-ROW(tblConteo[#Headers])))</f>
        <v/>
      </c>
      <c r="C417" s="49" t="str">
        <f>IF(tblConteo[[#This Row],[SKU]]="","",INDEX(tblProductos[Producto],ROW()-ROW(tblConteo[#Headers])))</f>
        <v/>
      </c>
      <c r="D417" s="49" t="str">
        <f>IF(tblConteo[[#This Row],[SKU]]="","",INDEX(tblProductos[Categoría],ROW()-ROW(tblConteo[#Headers]))&amp;"")</f>
        <v/>
      </c>
      <c r="E417" s="42" t="str">
        <f>IF(tblConteo[[#This Row],[SKU]]="","",INDEX(tblProductos[Ubicación],ROW()-ROW(tblConteo[#Headers]))&amp;"")</f>
        <v/>
      </c>
      <c r="F417" s="42" t="str">
        <f>IF(tblConteo[[#This Row],[SKU]]="","",INDEX(tblProductos[Unidad],ROW()-ROW(tblConteo[#Headers]))&amp;"")</f>
        <v/>
      </c>
      <c r="G417" s="42" t="str">
        <f>IF(tblConteo[[#This Row],[SKU]]="","",IF(INDEX(tblProductos[Activo],ROW()-ROW(tblConteo[#Headers]))="NO","NO","SI"))</f>
        <v/>
      </c>
      <c r="H417" s="53" t="str">
        <f>IF(tblConteo[[#This Row],[SKU]]="","",IFERROR(N(INDEX(tblStock[StockActual],MATCH(tblConteo[[#This Row],[SKU]],tblStock[SKU],0))),0))</f>
        <v/>
      </c>
      <c r="I417" s="52"/>
      <c r="J417" s="59" t="str">
        <f>IF(OR(tblConteo[[#This Row],[SKU]]="",tblConteo[[#This Row],[Conteo]]=""),"",IF(ISNUMBER(tblConteo[[#This Row],[Conteo]]),tblConteo[[#This Row],[Conteo]]-N(tblConteo[[#This Row],[Sistema]]),""))</f>
        <v/>
      </c>
      <c r="K417" s="62" t="str">
        <f>IF(tblConteo[[#This Row],[Diferencia]]="","",tblConteo[[#This Row],[Diferencia]]*N(INDEX(tblProductos[CostoUnitario],ROW()-ROW(tblConteo[#Headers]))))</f>
        <v/>
      </c>
      <c r="L41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8" spans="2:13" x14ac:dyDescent="0.25">
      <c r="B418" s="42" t="str">
        <f>IF(INDEX(tblProductos[SKU],ROW()-ROW(tblConteo[#Headers]))="","",INDEX(tblProductos[SKU],ROW()-ROW(tblConteo[#Headers])))</f>
        <v/>
      </c>
      <c r="C418" s="49" t="str">
        <f>IF(tblConteo[[#This Row],[SKU]]="","",INDEX(tblProductos[Producto],ROW()-ROW(tblConteo[#Headers])))</f>
        <v/>
      </c>
      <c r="D418" s="49" t="str">
        <f>IF(tblConteo[[#This Row],[SKU]]="","",INDEX(tblProductos[Categoría],ROW()-ROW(tblConteo[#Headers]))&amp;"")</f>
        <v/>
      </c>
      <c r="E418" s="42" t="str">
        <f>IF(tblConteo[[#This Row],[SKU]]="","",INDEX(tblProductos[Ubicación],ROW()-ROW(tblConteo[#Headers]))&amp;"")</f>
        <v/>
      </c>
      <c r="F418" s="42" t="str">
        <f>IF(tblConteo[[#This Row],[SKU]]="","",INDEX(tblProductos[Unidad],ROW()-ROW(tblConteo[#Headers]))&amp;"")</f>
        <v/>
      </c>
      <c r="G418" s="42" t="str">
        <f>IF(tblConteo[[#This Row],[SKU]]="","",IF(INDEX(tblProductos[Activo],ROW()-ROW(tblConteo[#Headers]))="NO","NO","SI"))</f>
        <v/>
      </c>
      <c r="H418" s="53" t="str">
        <f>IF(tblConteo[[#This Row],[SKU]]="","",IFERROR(N(INDEX(tblStock[StockActual],MATCH(tblConteo[[#This Row],[SKU]],tblStock[SKU],0))),0))</f>
        <v/>
      </c>
      <c r="I418" s="52"/>
      <c r="J418" s="59" t="str">
        <f>IF(OR(tblConteo[[#This Row],[SKU]]="",tblConteo[[#This Row],[Conteo]]=""),"",IF(ISNUMBER(tblConteo[[#This Row],[Conteo]]),tblConteo[[#This Row],[Conteo]]-N(tblConteo[[#This Row],[Sistema]]),""))</f>
        <v/>
      </c>
      <c r="K418" s="62" t="str">
        <f>IF(tblConteo[[#This Row],[Diferencia]]="","",tblConteo[[#This Row],[Diferencia]]*N(INDEX(tblProductos[CostoUnitario],ROW()-ROW(tblConteo[#Headers]))))</f>
        <v/>
      </c>
      <c r="L41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9" spans="2:13" x14ac:dyDescent="0.25">
      <c r="B419" s="42" t="str">
        <f>IF(INDEX(tblProductos[SKU],ROW()-ROW(tblConteo[#Headers]))="","",INDEX(tblProductos[SKU],ROW()-ROW(tblConteo[#Headers])))</f>
        <v/>
      </c>
      <c r="C419" s="49" t="str">
        <f>IF(tblConteo[[#This Row],[SKU]]="","",INDEX(tblProductos[Producto],ROW()-ROW(tblConteo[#Headers])))</f>
        <v/>
      </c>
      <c r="D419" s="49" t="str">
        <f>IF(tblConteo[[#This Row],[SKU]]="","",INDEX(tblProductos[Categoría],ROW()-ROW(tblConteo[#Headers]))&amp;"")</f>
        <v/>
      </c>
      <c r="E419" s="42" t="str">
        <f>IF(tblConteo[[#This Row],[SKU]]="","",INDEX(tblProductos[Ubicación],ROW()-ROW(tblConteo[#Headers]))&amp;"")</f>
        <v/>
      </c>
      <c r="F419" s="42" t="str">
        <f>IF(tblConteo[[#This Row],[SKU]]="","",INDEX(tblProductos[Unidad],ROW()-ROW(tblConteo[#Headers]))&amp;"")</f>
        <v/>
      </c>
      <c r="G419" s="42" t="str">
        <f>IF(tblConteo[[#This Row],[SKU]]="","",IF(INDEX(tblProductos[Activo],ROW()-ROW(tblConteo[#Headers]))="NO","NO","SI"))</f>
        <v/>
      </c>
      <c r="H419" s="53" t="str">
        <f>IF(tblConteo[[#This Row],[SKU]]="","",IFERROR(N(INDEX(tblStock[StockActual],MATCH(tblConteo[[#This Row],[SKU]],tblStock[SKU],0))),0))</f>
        <v/>
      </c>
      <c r="I419" s="52"/>
      <c r="J419" s="59" t="str">
        <f>IF(OR(tblConteo[[#This Row],[SKU]]="",tblConteo[[#This Row],[Conteo]]=""),"",IF(ISNUMBER(tblConteo[[#This Row],[Conteo]]),tblConteo[[#This Row],[Conteo]]-N(tblConteo[[#This Row],[Sistema]]),""))</f>
        <v/>
      </c>
      <c r="K419" s="62" t="str">
        <f>IF(tblConteo[[#This Row],[Diferencia]]="","",tblConteo[[#This Row],[Diferencia]]*N(INDEX(tblProductos[CostoUnitario],ROW()-ROW(tblConteo[#Headers]))))</f>
        <v/>
      </c>
      <c r="L41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0" spans="2:13" x14ac:dyDescent="0.25">
      <c r="B420" s="42" t="str">
        <f>IF(INDEX(tblProductos[SKU],ROW()-ROW(tblConteo[#Headers]))="","",INDEX(tblProductos[SKU],ROW()-ROW(tblConteo[#Headers])))</f>
        <v/>
      </c>
      <c r="C420" s="49" t="str">
        <f>IF(tblConteo[[#This Row],[SKU]]="","",INDEX(tblProductos[Producto],ROW()-ROW(tblConteo[#Headers])))</f>
        <v/>
      </c>
      <c r="D420" s="49" t="str">
        <f>IF(tblConteo[[#This Row],[SKU]]="","",INDEX(tblProductos[Categoría],ROW()-ROW(tblConteo[#Headers]))&amp;"")</f>
        <v/>
      </c>
      <c r="E420" s="42" t="str">
        <f>IF(tblConteo[[#This Row],[SKU]]="","",INDEX(tblProductos[Ubicación],ROW()-ROW(tblConteo[#Headers]))&amp;"")</f>
        <v/>
      </c>
      <c r="F420" s="42" t="str">
        <f>IF(tblConteo[[#This Row],[SKU]]="","",INDEX(tblProductos[Unidad],ROW()-ROW(tblConteo[#Headers]))&amp;"")</f>
        <v/>
      </c>
      <c r="G420" s="42" t="str">
        <f>IF(tblConteo[[#This Row],[SKU]]="","",IF(INDEX(tblProductos[Activo],ROW()-ROW(tblConteo[#Headers]))="NO","NO","SI"))</f>
        <v/>
      </c>
      <c r="H420" s="53" t="str">
        <f>IF(tblConteo[[#This Row],[SKU]]="","",IFERROR(N(INDEX(tblStock[StockActual],MATCH(tblConteo[[#This Row],[SKU]],tblStock[SKU],0))),0))</f>
        <v/>
      </c>
      <c r="I420" s="52"/>
      <c r="J420" s="59" t="str">
        <f>IF(OR(tblConteo[[#This Row],[SKU]]="",tblConteo[[#This Row],[Conteo]]=""),"",IF(ISNUMBER(tblConteo[[#This Row],[Conteo]]),tblConteo[[#This Row],[Conteo]]-N(tblConteo[[#This Row],[Sistema]]),""))</f>
        <v/>
      </c>
      <c r="K420" s="62" t="str">
        <f>IF(tblConteo[[#This Row],[Diferencia]]="","",tblConteo[[#This Row],[Diferencia]]*N(INDEX(tblProductos[CostoUnitario],ROW()-ROW(tblConteo[#Headers]))))</f>
        <v/>
      </c>
      <c r="L42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1" spans="2:13" x14ac:dyDescent="0.25">
      <c r="B421" s="42" t="str">
        <f>IF(INDEX(tblProductos[SKU],ROW()-ROW(tblConteo[#Headers]))="","",INDEX(tblProductos[SKU],ROW()-ROW(tblConteo[#Headers])))</f>
        <v/>
      </c>
      <c r="C421" s="49" t="str">
        <f>IF(tblConteo[[#This Row],[SKU]]="","",INDEX(tblProductos[Producto],ROW()-ROW(tblConteo[#Headers])))</f>
        <v/>
      </c>
      <c r="D421" s="49" t="str">
        <f>IF(tblConteo[[#This Row],[SKU]]="","",INDEX(tblProductos[Categoría],ROW()-ROW(tblConteo[#Headers]))&amp;"")</f>
        <v/>
      </c>
      <c r="E421" s="42" t="str">
        <f>IF(tblConteo[[#This Row],[SKU]]="","",INDEX(tblProductos[Ubicación],ROW()-ROW(tblConteo[#Headers]))&amp;"")</f>
        <v/>
      </c>
      <c r="F421" s="42" t="str">
        <f>IF(tblConteo[[#This Row],[SKU]]="","",INDEX(tblProductos[Unidad],ROW()-ROW(tblConteo[#Headers]))&amp;"")</f>
        <v/>
      </c>
      <c r="G421" s="42" t="str">
        <f>IF(tblConteo[[#This Row],[SKU]]="","",IF(INDEX(tblProductos[Activo],ROW()-ROW(tblConteo[#Headers]))="NO","NO","SI"))</f>
        <v/>
      </c>
      <c r="H421" s="53" t="str">
        <f>IF(tblConteo[[#This Row],[SKU]]="","",IFERROR(N(INDEX(tblStock[StockActual],MATCH(tblConteo[[#This Row],[SKU]],tblStock[SKU],0))),0))</f>
        <v/>
      </c>
      <c r="I421" s="52"/>
      <c r="J421" s="59" t="str">
        <f>IF(OR(tblConteo[[#This Row],[SKU]]="",tblConteo[[#This Row],[Conteo]]=""),"",IF(ISNUMBER(tblConteo[[#This Row],[Conteo]]),tblConteo[[#This Row],[Conteo]]-N(tblConteo[[#This Row],[Sistema]]),""))</f>
        <v/>
      </c>
      <c r="K421" s="62" t="str">
        <f>IF(tblConteo[[#This Row],[Diferencia]]="","",tblConteo[[#This Row],[Diferencia]]*N(INDEX(tblProductos[CostoUnitario],ROW()-ROW(tblConteo[#Headers]))))</f>
        <v/>
      </c>
      <c r="L42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2" spans="2:13" x14ac:dyDescent="0.25">
      <c r="B422" s="42" t="str">
        <f>IF(INDEX(tblProductos[SKU],ROW()-ROW(tblConteo[#Headers]))="","",INDEX(tblProductos[SKU],ROW()-ROW(tblConteo[#Headers])))</f>
        <v/>
      </c>
      <c r="C422" s="49" t="str">
        <f>IF(tblConteo[[#This Row],[SKU]]="","",INDEX(tblProductos[Producto],ROW()-ROW(tblConteo[#Headers])))</f>
        <v/>
      </c>
      <c r="D422" s="49" t="str">
        <f>IF(tblConteo[[#This Row],[SKU]]="","",INDEX(tblProductos[Categoría],ROW()-ROW(tblConteo[#Headers]))&amp;"")</f>
        <v/>
      </c>
      <c r="E422" s="42" t="str">
        <f>IF(tblConteo[[#This Row],[SKU]]="","",INDEX(tblProductos[Ubicación],ROW()-ROW(tblConteo[#Headers]))&amp;"")</f>
        <v/>
      </c>
      <c r="F422" s="42" t="str">
        <f>IF(tblConteo[[#This Row],[SKU]]="","",INDEX(tblProductos[Unidad],ROW()-ROW(tblConteo[#Headers]))&amp;"")</f>
        <v/>
      </c>
      <c r="G422" s="42" t="str">
        <f>IF(tblConteo[[#This Row],[SKU]]="","",IF(INDEX(tblProductos[Activo],ROW()-ROW(tblConteo[#Headers]))="NO","NO","SI"))</f>
        <v/>
      </c>
      <c r="H422" s="53" t="str">
        <f>IF(tblConteo[[#This Row],[SKU]]="","",IFERROR(N(INDEX(tblStock[StockActual],MATCH(tblConteo[[#This Row],[SKU]],tblStock[SKU],0))),0))</f>
        <v/>
      </c>
      <c r="I422" s="52"/>
      <c r="J422" s="59" t="str">
        <f>IF(OR(tblConteo[[#This Row],[SKU]]="",tblConteo[[#This Row],[Conteo]]=""),"",IF(ISNUMBER(tblConteo[[#This Row],[Conteo]]),tblConteo[[#This Row],[Conteo]]-N(tblConteo[[#This Row],[Sistema]]),""))</f>
        <v/>
      </c>
      <c r="K422" s="62" t="str">
        <f>IF(tblConteo[[#This Row],[Diferencia]]="","",tblConteo[[#This Row],[Diferencia]]*N(INDEX(tblProductos[CostoUnitario],ROW()-ROW(tblConteo[#Headers]))))</f>
        <v/>
      </c>
      <c r="L42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3" spans="2:13" x14ac:dyDescent="0.25">
      <c r="B423" s="42" t="str">
        <f>IF(INDEX(tblProductos[SKU],ROW()-ROW(tblConteo[#Headers]))="","",INDEX(tblProductos[SKU],ROW()-ROW(tblConteo[#Headers])))</f>
        <v/>
      </c>
      <c r="C423" s="49" t="str">
        <f>IF(tblConteo[[#This Row],[SKU]]="","",INDEX(tblProductos[Producto],ROW()-ROW(tblConteo[#Headers])))</f>
        <v/>
      </c>
      <c r="D423" s="49" t="str">
        <f>IF(tblConteo[[#This Row],[SKU]]="","",INDEX(tblProductos[Categoría],ROW()-ROW(tblConteo[#Headers]))&amp;"")</f>
        <v/>
      </c>
      <c r="E423" s="42" t="str">
        <f>IF(tblConteo[[#This Row],[SKU]]="","",INDEX(tblProductos[Ubicación],ROW()-ROW(tblConteo[#Headers]))&amp;"")</f>
        <v/>
      </c>
      <c r="F423" s="42" t="str">
        <f>IF(tblConteo[[#This Row],[SKU]]="","",INDEX(tblProductos[Unidad],ROW()-ROW(tblConteo[#Headers]))&amp;"")</f>
        <v/>
      </c>
      <c r="G423" s="42" t="str">
        <f>IF(tblConteo[[#This Row],[SKU]]="","",IF(INDEX(tblProductos[Activo],ROW()-ROW(tblConteo[#Headers]))="NO","NO","SI"))</f>
        <v/>
      </c>
      <c r="H423" s="53" t="str">
        <f>IF(tblConteo[[#This Row],[SKU]]="","",IFERROR(N(INDEX(tblStock[StockActual],MATCH(tblConteo[[#This Row],[SKU]],tblStock[SKU],0))),0))</f>
        <v/>
      </c>
      <c r="I423" s="52"/>
      <c r="J423" s="59" t="str">
        <f>IF(OR(tblConteo[[#This Row],[SKU]]="",tblConteo[[#This Row],[Conteo]]=""),"",IF(ISNUMBER(tblConteo[[#This Row],[Conteo]]),tblConteo[[#This Row],[Conteo]]-N(tblConteo[[#This Row],[Sistema]]),""))</f>
        <v/>
      </c>
      <c r="K423" s="62" t="str">
        <f>IF(tblConteo[[#This Row],[Diferencia]]="","",tblConteo[[#This Row],[Diferencia]]*N(INDEX(tblProductos[CostoUnitario],ROW()-ROW(tblConteo[#Headers]))))</f>
        <v/>
      </c>
      <c r="L42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4" spans="2:13" x14ac:dyDescent="0.25">
      <c r="B424" s="42" t="str">
        <f>IF(INDEX(tblProductos[SKU],ROW()-ROW(tblConteo[#Headers]))="","",INDEX(tblProductos[SKU],ROW()-ROW(tblConteo[#Headers])))</f>
        <v/>
      </c>
      <c r="C424" s="49" t="str">
        <f>IF(tblConteo[[#This Row],[SKU]]="","",INDEX(tblProductos[Producto],ROW()-ROW(tblConteo[#Headers])))</f>
        <v/>
      </c>
      <c r="D424" s="49" t="str">
        <f>IF(tblConteo[[#This Row],[SKU]]="","",INDEX(tblProductos[Categoría],ROW()-ROW(tblConteo[#Headers]))&amp;"")</f>
        <v/>
      </c>
      <c r="E424" s="42" t="str">
        <f>IF(tblConteo[[#This Row],[SKU]]="","",INDEX(tblProductos[Ubicación],ROW()-ROW(tblConteo[#Headers]))&amp;"")</f>
        <v/>
      </c>
      <c r="F424" s="42" t="str">
        <f>IF(tblConteo[[#This Row],[SKU]]="","",INDEX(tblProductos[Unidad],ROW()-ROW(tblConteo[#Headers]))&amp;"")</f>
        <v/>
      </c>
      <c r="G424" s="42" t="str">
        <f>IF(tblConteo[[#This Row],[SKU]]="","",IF(INDEX(tblProductos[Activo],ROW()-ROW(tblConteo[#Headers]))="NO","NO","SI"))</f>
        <v/>
      </c>
      <c r="H424" s="53" t="str">
        <f>IF(tblConteo[[#This Row],[SKU]]="","",IFERROR(N(INDEX(tblStock[StockActual],MATCH(tblConteo[[#This Row],[SKU]],tblStock[SKU],0))),0))</f>
        <v/>
      </c>
      <c r="I424" s="52"/>
      <c r="J424" s="59" t="str">
        <f>IF(OR(tblConteo[[#This Row],[SKU]]="",tblConteo[[#This Row],[Conteo]]=""),"",IF(ISNUMBER(tblConteo[[#This Row],[Conteo]]),tblConteo[[#This Row],[Conteo]]-N(tblConteo[[#This Row],[Sistema]]),""))</f>
        <v/>
      </c>
      <c r="K424" s="62" t="str">
        <f>IF(tblConteo[[#This Row],[Diferencia]]="","",tblConteo[[#This Row],[Diferencia]]*N(INDEX(tblProductos[CostoUnitario],ROW()-ROW(tblConteo[#Headers]))))</f>
        <v/>
      </c>
      <c r="L42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5" spans="2:13" x14ac:dyDescent="0.25">
      <c r="B425" s="42" t="str">
        <f>IF(INDEX(tblProductos[SKU],ROW()-ROW(tblConteo[#Headers]))="","",INDEX(tblProductos[SKU],ROW()-ROW(tblConteo[#Headers])))</f>
        <v/>
      </c>
      <c r="C425" s="49" t="str">
        <f>IF(tblConteo[[#This Row],[SKU]]="","",INDEX(tblProductos[Producto],ROW()-ROW(tblConteo[#Headers])))</f>
        <v/>
      </c>
      <c r="D425" s="49" t="str">
        <f>IF(tblConteo[[#This Row],[SKU]]="","",INDEX(tblProductos[Categoría],ROW()-ROW(tblConteo[#Headers]))&amp;"")</f>
        <v/>
      </c>
      <c r="E425" s="42" t="str">
        <f>IF(tblConteo[[#This Row],[SKU]]="","",INDEX(tblProductos[Ubicación],ROW()-ROW(tblConteo[#Headers]))&amp;"")</f>
        <v/>
      </c>
      <c r="F425" s="42" t="str">
        <f>IF(tblConteo[[#This Row],[SKU]]="","",INDEX(tblProductos[Unidad],ROW()-ROW(tblConteo[#Headers]))&amp;"")</f>
        <v/>
      </c>
      <c r="G425" s="42" t="str">
        <f>IF(tblConteo[[#This Row],[SKU]]="","",IF(INDEX(tblProductos[Activo],ROW()-ROW(tblConteo[#Headers]))="NO","NO","SI"))</f>
        <v/>
      </c>
      <c r="H425" s="53" t="str">
        <f>IF(tblConteo[[#This Row],[SKU]]="","",IFERROR(N(INDEX(tblStock[StockActual],MATCH(tblConteo[[#This Row],[SKU]],tblStock[SKU],0))),0))</f>
        <v/>
      </c>
      <c r="I425" s="52"/>
      <c r="J425" s="59" t="str">
        <f>IF(OR(tblConteo[[#This Row],[SKU]]="",tblConteo[[#This Row],[Conteo]]=""),"",IF(ISNUMBER(tblConteo[[#This Row],[Conteo]]),tblConteo[[#This Row],[Conteo]]-N(tblConteo[[#This Row],[Sistema]]),""))</f>
        <v/>
      </c>
      <c r="K425" s="62" t="str">
        <f>IF(tblConteo[[#This Row],[Diferencia]]="","",tblConteo[[#This Row],[Diferencia]]*N(INDEX(tblProductos[CostoUnitario],ROW()-ROW(tblConteo[#Headers]))))</f>
        <v/>
      </c>
      <c r="L42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6" spans="2:13" x14ac:dyDescent="0.25">
      <c r="B426" s="42" t="str">
        <f>IF(INDEX(tblProductos[SKU],ROW()-ROW(tblConteo[#Headers]))="","",INDEX(tblProductos[SKU],ROW()-ROW(tblConteo[#Headers])))</f>
        <v/>
      </c>
      <c r="C426" s="49" t="str">
        <f>IF(tblConteo[[#This Row],[SKU]]="","",INDEX(tblProductos[Producto],ROW()-ROW(tblConteo[#Headers])))</f>
        <v/>
      </c>
      <c r="D426" s="49" t="str">
        <f>IF(tblConteo[[#This Row],[SKU]]="","",INDEX(tblProductos[Categoría],ROW()-ROW(tblConteo[#Headers]))&amp;"")</f>
        <v/>
      </c>
      <c r="E426" s="42" t="str">
        <f>IF(tblConteo[[#This Row],[SKU]]="","",INDEX(tblProductos[Ubicación],ROW()-ROW(tblConteo[#Headers]))&amp;"")</f>
        <v/>
      </c>
      <c r="F426" s="42" t="str">
        <f>IF(tblConteo[[#This Row],[SKU]]="","",INDEX(tblProductos[Unidad],ROW()-ROW(tblConteo[#Headers]))&amp;"")</f>
        <v/>
      </c>
      <c r="G426" s="42" t="str">
        <f>IF(tblConteo[[#This Row],[SKU]]="","",IF(INDEX(tblProductos[Activo],ROW()-ROW(tblConteo[#Headers]))="NO","NO","SI"))</f>
        <v/>
      </c>
      <c r="H426" s="53" t="str">
        <f>IF(tblConteo[[#This Row],[SKU]]="","",IFERROR(N(INDEX(tblStock[StockActual],MATCH(tblConteo[[#This Row],[SKU]],tblStock[SKU],0))),0))</f>
        <v/>
      </c>
      <c r="I426" s="52"/>
      <c r="J426" s="59" t="str">
        <f>IF(OR(tblConteo[[#This Row],[SKU]]="",tblConteo[[#This Row],[Conteo]]=""),"",IF(ISNUMBER(tblConteo[[#This Row],[Conteo]]),tblConteo[[#This Row],[Conteo]]-N(tblConteo[[#This Row],[Sistema]]),""))</f>
        <v/>
      </c>
      <c r="K426" s="62" t="str">
        <f>IF(tblConteo[[#This Row],[Diferencia]]="","",tblConteo[[#This Row],[Diferencia]]*N(INDEX(tblProductos[CostoUnitario],ROW()-ROW(tblConteo[#Headers]))))</f>
        <v/>
      </c>
      <c r="L42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7" spans="2:13" x14ac:dyDescent="0.25">
      <c r="B427" s="42" t="str">
        <f>IF(INDEX(tblProductos[SKU],ROW()-ROW(tblConteo[#Headers]))="","",INDEX(tblProductos[SKU],ROW()-ROW(tblConteo[#Headers])))</f>
        <v/>
      </c>
      <c r="C427" s="49" t="str">
        <f>IF(tblConteo[[#This Row],[SKU]]="","",INDEX(tblProductos[Producto],ROW()-ROW(tblConteo[#Headers])))</f>
        <v/>
      </c>
      <c r="D427" s="49" t="str">
        <f>IF(tblConteo[[#This Row],[SKU]]="","",INDEX(tblProductos[Categoría],ROW()-ROW(tblConteo[#Headers]))&amp;"")</f>
        <v/>
      </c>
      <c r="E427" s="42" t="str">
        <f>IF(tblConteo[[#This Row],[SKU]]="","",INDEX(tblProductos[Ubicación],ROW()-ROW(tblConteo[#Headers]))&amp;"")</f>
        <v/>
      </c>
      <c r="F427" s="42" t="str">
        <f>IF(tblConteo[[#This Row],[SKU]]="","",INDEX(tblProductos[Unidad],ROW()-ROW(tblConteo[#Headers]))&amp;"")</f>
        <v/>
      </c>
      <c r="G427" s="42" t="str">
        <f>IF(tblConteo[[#This Row],[SKU]]="","",IF(INDEX(tblProductos[Activo],ROW()-ROW(tblConteo[#Headers]))="NO","NO","SI"))</f>
        <v/>
      </c>
      <c r="H427" s="53" t="str">
        <f>IF(tblConteo[[#This Row],[SKU]]="","",IFERROR(N(INDEX(tblStock[StockActual],MATCH(tblConteo[[#This Row],[SKU]],tblStock[SKU],0))),0))</f>
        <v/>
      </c>
      <c r="I427" s="52"/>
      <c r="J427" s="59" t="str">
        <f>IF(OR(tblConteo[[#This Row],[SKU]]="",tblConteo[[#This Row],[Conteo]]=""),"",IF(ISNUMBER(tblConteo[[#This Row],[Conteo]]),tblConteo[[#This Row],[Conteo]]-N(tblConteo[[#This Row],[Sistema]]),""))</f>
        <v/>
      </c>
      <c r="K427" s="62" t="str">
        <f>IF(tblConteo[[#This Row],[Diferencia]]="","",tblConteo[[#This Row],[Diferencia]]*N(INDEX(tblProductos[CostoUnitario],ROW()-ROW(tblConteo[#Headers]))))</f>
        <v/>
      </c>
      <c r="L42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8" spans="2:13" x14ac:dyDescent="0.25">
      <c r="B428" s="42" t="str">
        <f>IF(INDEX(tblProductos[SKU],ROW()-ROW(tblConteo[#Headers]))="","",INDEX(tblProductos[SKU],ROW()-ROW(tblConteo[#Headers])))</f>
        <v/>
      </c>
      <c r="C428" s="49" t="str">
        <f>IF(tblConteo[[#This Row],[SKU]]="","",INDEX(tblProductos[Producto],ROW()-ROW(tblConteo[#Headers])))</f>
        <v/>
      </c>
      <c r="D428" s="49" t="str">
        <f>IF(tblConteo[[#This Row],[SKU]]="","",INDEX(tblProductos[Categoría],ROW()-ROW(tblConteo[#Headers]))&amp;"")</f>
        <v/>
      </c>
      <c r="E428" s="42" t="str">
        <f>IF(tblConteo[[#This Row],[SKU]]="","",INDEX(tblProductos[Ubicación],ROW()-ROW(tblConteo[#Headers]))&amp;"")</f>
        <v/>
      </c>
      <c r="F428" s="42" t="str">
        <f>IF(tblConteo[[#This Row],[SKU]]="","",INDEX(tblProductos[Unidad],ROW()-ROW(tblConteo[#Headers]))&amp;"")</f>
        <v/>
      </c>
      <c r="G428" s="42" t="str">
        <f>IF(tblConteo[[#This Row],[SKU]]="","",IF(INDEX(tblProductos[Activo],ROW()-ROW(tblConteo[#Headers]))="NO","NO","SI"))</f>
        <v/>
      </c>
      <c r="H428" s="53" t="str">
        <f>IF(tblConteo[[#This Row],[SKU]]="","",IFERROR(N(INDEX(tblStock[StockActual],MATCH(tblConteo[[#This Row],[SKU]],tblStock[SKU],0))),0))</f>
        <v/>
      </c>
      <c r="I428" s="52"/>
      <c r="J428" s="59" t="str">
        <f>IF(OR(tblConteo[[#This Row],[SKU]]="",tblConteo[[#This Row],[Conteo]]=""),"",IF(ISNUMBER(tblConteo[[#This Row],[Conteo]]),tblConteo[[#This Row],[Conteo]]-N(tblConteo[[#This Row],[Sistema]]),""))</f>
        <v/>
      </c>
      <c r="K428" s="62" t="str">
        <f>IF(tblConteo[[#This Row],[Diferencia]]="","",tblConteo[[#This Row],[Diferencia]]*N(INDEX(tblProductos[CostoUnitario],ROW()-ROW(tblConteo[#Headers]))))</f>
        <v/>
      </c>
      <c r="L42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9" spans="2:13" x14ac:dyDescent="0.25">
      <c r="B429" s="42" t="str">
        <f>IF(INDEX(tblProductos[SKU],ROW()-ROW(tblConteo[#Headers]))="","",INDEX(tblProductos[SKU],ROW()-ROW(tblConteo[#Headers])))</f>
        <v/>
      </c>
      <c r="C429" s="49" t="str">
        <f>IF(tblConteo[[#This Row],[SKU]]="","",INDEX(tblProductos[Producto],ROW()-ROW(tblConteo[#Headers])))</f>
        <v/>
      </c>
      <c r="D429" s="49" t="str">
        <f>IF(tblConteo[[#This Row],[SKU]]="","",INDEX(tblProductos[Categoría],ROW()-ROW(tblConteo[#Headers]))&amp;"")</f>
        <v/>
      </c>
      <c r="E429" s="42" t="str">
        <f>IF(tblConteo[[#This Row],[SKU]]="","",INDEX(tblProductos[Ubicación],ROW()-ROW(tblConteo[#Headers]))&amp;"")</f>
        <v/>
      </c>
      <c r="F429" s="42" t="str">
        <f>IF(tblConteo[[#This Row],[SKU]]="","",INDEX(tblProductos[Unidad],ROW()-ROW(tblConteo[#Headers]))&amp;"")</f>
        <v/>
      </c>
      <c r="G429" s="42" t="str">
        <f>IF(tblConteo[[#This Row],[SKU]]="","",IF(INDEX(tblProductos[Activo],ROW()-ROW(tblConteo[#Headers]))="NO","NO","SI"))</f>
        <v/>
      </c>
      <c r="H429" s="53" t="str">
        <f>IF(tblConteo[[#This Row],[SKU]]="","",IFERROR(N(INDEX(tblStock[StockActual],MATCH(tblConteo[[#This Row],[SKU]],tblStock[SKU],0))),0))</f>
        <v/>
      </c>
      <c r="I429" s="52"/>
      <c r="J429" s="59" t="str">
        <f>IF(OR(tblConteo[[#This Row],[SKU]]="",tblConteo[[#This Row],[Conteo]]=""),"",IF(ISNUMBER(tblConteo[[#This Row],[Conteo]]),tblConteo[[#This Row],[Conteo]]-N(tblConteo[[#This Row],[Sistema]]),""))</f>
        <v/>
      </c>
      <c r="K429" s="62" t="str">
        <f>IF(tblConteo[[#This Row],[Diferencia]]="","",tblConteo[[#This Row],[Diferencia]]*N(INDEX(tblProductos[CostoUnitario],ROW()-ROW(tblConteo[#Headers]))))</f>
        <v/>
      </c>
      <c r="L42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0" spans="2:13" x14ac:dyDescent="0.25">
      <c r="B430" s="42" t="str">
        <f>IF(INDEX(tblProductos[SKU],ROW()-ROW(tblConteo[#Headers]))="","",INDEX(tblProductos[SKU],ROW()-ROW(tblConteo[#Headers])))</f>
        <v/>
      </c>
      <c r="C430" s="49" t="str">
        <f>IF(tblConteo[[#This Row],[SKU]]="","",INDEX(tblProductos[Producto],ROW()-ROW(tblConteo[#Headers])))</f>
        <v/>
      </c>
      <c r="D430" s="49" t="str">
        <f>IF(tblConteo[[#This Row],[SKU]]="","",INDEX(tblProductos[Categoría],ROW()-ROW(tblConteo[#Headers]))&amp;"")</f>
        <v/>
      </c>
      <c r="E430" s="42" t="str">
        <f>IF(tblConteo[[#This Row],[SKU]]="","",INDEX(tblProductos[Ubicación],ROW()-ROW(tblConteo[#Headers]))&amp;"")</f>
        <v/>
      </c>
      <c r="F430" s="42" t="str">
        <f>IF(tblConteo[[#This Row],[SKU]]="","",INDEX(tblProductos[Unidad],ROW()-ROW(tblConteo[#Headers]))&amp;"")</f>
        <v/>
      </c>
      <c r="G430" s="42" t="str">
        <f>IF(tblConteo[[#This Row],[SKU]]="","",IF(INDEX(tblProductos[Activo],ROW()-ROW(tblConteo[#Headers]))="NO","NO","SI"))</f>
        <v/>
      </c>
      <c r="H430" s="53" t="str">
        <f>IF(tblConteo[[#This Row],[SKU]]="","",IFERROR(N(INDEX(tblStock[StockActual],MATCH(tblConteo[[#This Row],[SKU]],tblStock[SKU],0))),0))</f>
        <v/>
      </c>
      <c r="I430" s="52"/>
      <c r="J430" s="59" t="str">
        <f>IF(OR(tblConteo[[#This Row],[SKU]]="",tblConteo[[#This Row],[Conteo]]=""),"",IF(ISNUMBER(tblConteo[[#This Row],[Conteo]]),tblConteo[[#This Row],[Conteo]]-N(tblConteo[[#This Row],[Sistema]]),""))</f>
        <v/>
      </c>
      <c r="K430" s="62" t="str">
        <f>IF(tblConteo[[#This Row],[Diferencia]]="","",tblConteo[[#This Row],[Diferencia]]*N(INDEX(tblProductos[CostoUnitario],ROW()-ROW(tblConteo[#Headers]))))</f>
        <v/>
      </c>
      <c r="L43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1" spans="2:13" x14ac:dyDescent="0.25">
      <c r="B431" s="42" t="str">
        <f>IF(INDEX(tblProductos[SKU],ROW()-ROW(tblConteo[#Headers]))="","",INDEX(tblProductos[SKU],ROW()-ROW(tblConteo[#Headers])))</f>
        <v/>
      </c>
      <c r="C431" s="49" t="str">
        <f>IF(tblConteo[[#This Row],[SKU]]="","",INDEX(tblProductos[Producto],ROW()-ROW(tblConteo[#Headers])))</f>
        <v/>
      </c>
      <c r="D431" s="49" t="str">
        <f>IF(tblConteo[[#This Row],[SKU]]="","",INDEX(tblProductos[Categoría],ROW()-ROW(tblConteo[#Headers]))&amp;"")</f>
        <v/>
      </c>
      <c r="E431" s="42" t="str">
        <f>IF(tblConteo[[#This Row],[SKU]]="","",INDEX(tblProductos[Ubicación],ROW()-ROW(tblConteo[#Headers]))&amp;"")</f>
        <v/>
      </c>
      <c r="F431" s="42" t="str">
        <f>IF(tblConteo[[#This Row],[SKU]]="","",INDEX(tblProductos[Unidad],ROW()-ROW(tblConteo[#Headers]))&amp;"")</f>
        <v/>
      </c>
      <c r="G431" s="42" t="str">
        <f>IF(tblConteo[[#This Row],[SKU]]="","",IF(INDEX(tblProductos[Activo],ROW()-ROW(tblConteo[#Headers]))="NO","NO","SI"))</f>
        <v/>
      </c>
      <c r="H431" s="53" t="str">
        <f>IF(tblConteo[[#This Row],[SKU]]="","",IFERROR(N(INDEX(tblStock[StockActual],MATCH(tblConteo[[#This Row],[SKU]],tblStock[SKU],0))),0))</f>
        <v/>
      </c>
      <c r="I431" s="52"/>
      <c r="J431" s="59" t="str">
        <f>IF(OR(tblConteo[[#This Row],[SKU]]="",tblConteo[[#This Row],[Conteo]]=""),"",IF(ISNUMBER(tblConteo[[#This Row],[Conteo]]),tblConteo[[#This Row],[Conteo]]-N(tblConteo[[#This Row],[Sistema]]),""))</f>
        <v/>
      </c>
      <c r="K431" s="62" t="str">
        <f>IF(tblConteo[[#This Row],[Diferencia]]="","",tblConteo[[#This Row],[Diferencia]]*N(INDEX(tblProductos[CostoUnitario],ROW()-ROW(tblConteo[#Headers]))))</f>
        <v/>
      </c>
      <c r="L43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2" spans="2:13" x14ac:dyDescent="0.25">
      <c r="B432" s="42" t="str">
        <f>IF(INDEX(tblProductos[SKU],ROW()-ROW(tblConteo[#Headers]))="","",INDEX(tblProductos[SKU],ROW()-ROW(tblConteo[#Headers])))</f>
        <v/>
      </c>
      <c r="C432" s="49" t="str">
        <f>IF(tblConteo[[#This Row],[SKU]]="","",INDEX(tblProductos[Producto],ROW()-ROW(tblConteo[#Headers])))</f>
        <v/>
      </c>
      <c r="D432" s="49" t="str">
        <f>IF(tblConteo[[#This Row],[SKU]]="","",INDEX(tblProductos[Categoría],ROW()-ROW(tblConteo[#Headers]))&amp;"")</f>
        <v/>
      </c>
      <c r="E432" s="42" t="str">
        <f>IF(tblConteo[[#This Row],[SKU]]="","",INDEX(tblProductos[Ubicación],ROW()-ROW(tblConteo[#Headers]))&amp;"")</f>
        <v/>
      </c>
      <c r="F432" s="42" t="str">
        <f>IF(tblConteo[[#This Row],[SKU]]="","",INDEX(tblProductos[Unidad],ROW()-ROW(tblConteo[#Headers]))&amp;"")</f>
        <v/>
      </c>
      <c r="G432" s="42" t="str">
        <f>IF(tblConteo[[#This Row],[SKU]]="","",IF(INDEX(tblProductos[Activo],ROW()-ROW(tblConteo[#Headers]))="NO","NO","SI"))</f>
        <v/>
      </c>
      <c r="H432" s="53" t="str">
        <f>IF(tblConteo[[#This Row],[SKU]]="","",IFERROR(N(INDEX(tblStock[StockActual],MATCH(tblConteo[[#This Row],[SKU]],tblStock[SKU],0))),0))</f>
        <v/>
      </c>
      <c r="I432" s="52"/>
      <c r="J432" s="59" t="str">
        <f>IF(OR(tblConteo[[#This Row],[SKU]]="",tblConteo[[#This Row],[Conteo]]=""),"",IF(ISNUMBER(tblConteo[[#This Row],[Conteo]]),tblConteo[[#This Row],[Conteo]]-N(tblConteo[[#This Row],[Sistema]]),""))</f>
        <v/>
      </c>
      <c r="K432" s="62" t="str">
        <f>IF(tblConteo[[#This Row],[Diferencia]]="","",tblConteo[[#This Row],[Diferencia]]*N(INDEX(tblProductos[CostoUnitario],ROW()-ROW(tblConteo[#Headers]))))</f>
        <v/>
      </c>
      <c r="L43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3" spans="2:13" x14ac:dyDescent="0.25">
      <c r="B433" s="42" t="str">
        <f>IF(INDEX(tblProductos[SKU],ROW()-ROW(tblConteo[#Headers]))="","",INDEX(tblProductos[SKU],ROW()-ROW(tblConteo[#Headers])))</f>
        <v/>
      </c>
      <c r="C433" s="49" t="str">
        <f>IF(tblConteo[[#This Row],[SKU]]="","",INDEX(tblProductos[Producto],ROW()-ROW(tblConteo[#Headers])))</f>
        <v/>
      </c>
      <c r="D433" s="49" t="str">
        <f>IF(tblConteo[[#This Row],[SKU]]="","",INDEX(tblProductos[Categoría],ROW()-ROW(tblConteo[#Headers]))&amp;"")</f>
        <v/>
      </c>
      <c r="E433" s="42" t="str">
        <f>IF(tblConteo[[#This Row],[SKU]]="","",INDEX(tblProductos[Ubicación],ROW()-ROW(tblConteo[#Headers]))&amp;"")</f>
        <v/>
      </c>
      <c r="F433" s="42" t="str">
        <f>IF(tblConteo[[#This Row],[SKU]]="","",INDEX(tblProductos[Unidad],ROW()-ROW(tblConteo[#Headers]))&amp;"")</f>
        <v/>
      </c>
      <c r="G433" s="42" t="str">
        <f>IF(tblConteo[[#This Row],[SKU]]="","",IF(INDEX(tblProductos[Activo],ROW()-ROW(tblConteo[#Headers]))="NO","NO","SI"))</f>
        <v/>
      </c>
      <c r="H433" s="53" t="str">
        <f>IF(tblConteo[[#This Row],[SKU]]="","",IFERROR(N(INDEX(tblStock[StockActual],MATCH(tblConteo[[#This Row],[SKU]],tblStock[SKU],0))),0))</f>
        <v/>
      </c>
      <c r="I433" s="52"/>
      <c r="J433" s="59" t="str">
        <f>IF(OR(tblConteo[[#This Row],[SKU]]="",tblConteo[[#This Row],[Conteo]]=""),"",IF(ISNUMBER(tblConteo[[#This Row],[Conteo]]),tblConteo[[#This Row],[Conteo]]-N(tblConteo[[#This Row],[Sistema]]),""))</f>
        <v/>
      </c>
      <c r="K433" s="62" t="str">
        <f>IF(tblConteo[[#This Row],[Diferencia]]="","",tblConteo[[#This Row],[Diferencia]]*N(INDEX(tblProductos[CostoUnitario],ROW()-ROW(tblConteo[#Headers]))))</f>
        <v/>
      </c>
      <c r="L43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4" spans="2:13" x14ac:dyDescent="0.25">
      <c r="B434" s="42" t="str">
        <f>IF(INDEX(tblProductos[SKU],ROW()-ROW(tblConteo[#Headers]))="","",INDEX(tblProductos[SKU],ROW()-ROW(tblConteo[#Headers])))</f>
        <v/>
      </c>
      <c r="C434" s="49" t="str">
        <f>IF(tblConteo[[#This Row],[SKU]]="","",INDEX(tblProductos[Producto],ROW()-ROW(tblConteo[#Headers])))</f>
        <v/>
      </c>
      <c r="D434" s="49" t="str">
        <f>IF(tblConteo[[#This Row],[SKU]]="","",INDEX(tblProductos[Categoría],ROW()-ROW(tblConteo[#Headers]))&amp;"")</f>
        <v/>
      </c>
      <c r="E434" s="42" t="str">
        <f>IF(tblConteo[[#This Row],[SKU]]="","",INDEX(tblProductos[Ubicación],ROW()-ROW(tblConteo[#Headers]))&amp;"")</f>
        <v/>
      </c>
      <c r="F434" s="42" t="str">
        <f>IF(tblConteo[[#This Row],[SKU]]="","",INDEX(tblProductos[Unidad],ROW()-ROW(tblConteo[#Headers]))&amp;"")</f>
        <v/>
      </c>
      <c r="G434" s="42" t="str">
        <f>IF(tblConteo[[#This Row],[SKU]]="","",IF(INDEX(tblProductos[Activo],ROW()-ROW(tblConteo[#Headers]))="NO","NO","SI"))</f>
        <v/>
      </c>
      <c r="H434" s="53" t="str">
        <f>IF(tblConteo[[#This Row],[SKU]]="","",IFERROR(N(INDEX(tblStock[StockActual],MATCH(tblConteo[[#This Row],[SKU]],tblStock[SKU],0))),0))</f>
        <v/>
      </c>
      <c r="I434" s="52"/>
      <c r="J434" s="59" t="str">
        <f>IF(OR(tblConteo[[#This Row],[SKU]]="",tblConteo[[#This Row],[Conteo]]=""),"",IF(ISNUMBER(tblConteo[[#This Row],[Conteo]]),tblConteo[[#This Row],[Conteo]]-N(tblConteo[[#This Row],[Sistema]]),""))</f>
        <v/>
      </c>
      <c r="K434" s="62" t="str">
        <f>IF(tblConteo[[#This Row],[Diferencia]]="","",tblConteo[[#This Row],[Diferencia]]*N(INDEX(tblProductos[CostoUnitario],ROW()-ROW(tblConteo[#Headers]))))</f>
        <v/>
      </c>
      <c r="L43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5" spans="2:13" x14ac:dyDescent="0.25">
      <c r="B435" s="42" t="str">
        <f>IF(INDEX(tblProductos[SKU],ROW()-ROW(tblConteo[#Headers]))="","",INDEX(tblProductos[SKU],ROW()-ROW(tblConteo[#Headers])))</f>
        <v/>
      </c>
      <c r="C435" s="49" t="str">
        <f>IF(tblConteo[[#This Row],[SKU]]="","",INDEX(tblProductos[Producto],ROW()-ROW(tblConteo[#Headers])))</f>
        <v/>
      </c>
      <c r="D435" s="49" t="str">
        <f>IF(tblConteo[[#This Row],[SKU]]="","",INDEX(tblProductos[Categoría],ROW()-ROW(tblConteo[#Headers]))&amp;"")</f>
        <v/>
      </c>
      <c r="E435" s="42" t="str">
        <f>IF(tblConteo[[#This Row],[SKU]]="","",INDEX(tblProductos[Ubicación],ROW()-ROW(tblConteo[#Headers]))&amp;"")</f>
        <v/>
      </c>
      <c r="F435" s="42" t="str">
        <f>IF(tblConteo[[#This Row],[SKU]]="","",INDEX(tblProductos[Unidad],ROW()-ROW(tblConteo[#Headers]))&amp;"")</f>
        <v/>
      </c>
      <c r="G435" s="42" t="str">
        <f>IF(tblConteo[[#This Row],[SKU]]="","",IF(INDEX(tblProductos[Activo],ROW()-ROW(tblConteo[#Headers]))="NO","NO","SI"))</f>
        <v/>
      </c>
      <c r="H435" s="53" t="str">
        <f>IF(tblConteo[[#This Row],[SKU]]="","",IFERROR(N(INDEX(tblStock[StockActual],MATCH(tblConteo[[#This Row],[SKU]],tblStock[SKU],0))),0))</f>
        <v/>
      </c>
      <c r="I435" s="52"/>
      <c r="J435" s="59" t="str">
        <f>IF(OR(tblConteo[[#This Row],[SKU]]="",tblConteo[[#This Row],[Conteo]]=""),"",IF(ISNUMBER(tblConteo[[#This Row],[Conteo]]),tblConteo[[#This Row],[Conteo]]-N(tblConteo[[#This Row],[Sistema]]),""))</f>
        <v/>
      </c>
      <c r="K435" s="62" t="str">
        <f>IF(tblConteo[[#This Row],[Diferencia]]="","",tblConteo[[#This Row],[Diferencia]]*N(INDEX(tblProductos[CostoUnitario],ROW()-ROW(tblConteo[#Headers]))))</f>
        <v/>
      </c>
      <c r="L43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6" spans="2:13" x14ac:dyDescent="0.25">
      <c r="B436" s="42" t="str">
        <f>IF(INDEX(tblProductos[SKU],ROW()-ROW(tblConteo[#Headers]))="","",INDEX(tblProductos[SKU],ROW()-ROW(tblConteo[#Headers])))</f>
        <v/>
      </c>
      <c r="C436" s="49" t="str">
        <f>IF(tblConteo[[#This Row],[SKU]]="","",INDEX(tblProductos[Producto],ROW()-ROW(tblConteo[#Headers])))</f>
        <v/>
      </c>
      <c r="D436" s="49" t="str">
        <f>IF(tblConteo[[#This Row],[SKU]]="","",INDEX(tblProductos[Categoría],ROW()-ROW(tblConteo[#Headers]))&amp;"")</f>
        <v/>
      </c>
      <c r="E436" s="42" t="str">
        <f>IF(tblConteo[[#This Row],[SKU]]="","",INDEX(tblProductos[Ubicación],ROW()-ROW(tblConteo[#Headers]))&amp;"")</f>
        <v/>
      </c>
      <c r="F436" s="42" t="str">
        <f>IF(tblConteo[[#This Row],[SKU]]="","",INDEX(tblProductos[Unidad],ROW()-ROW(tblConteo[#Headers]))&amp;"")</f>
        <v/>
      </c>
      <c r="G436" s="42" t="str">
        <f>IF(tblConteo[[#This Row],[SKU]]="","",IF(INDEX(tblProductos[Activo],ROW()-ROW(tblConteo[#Headers]))="NO","NO","SI"))</f>
        <v/>
      </c>
      <c r="H436" s="53" t="str">
        <f>IF(tblConteo[[#This Row],[SKU]]="","",IFERROR(N(INDEX(tblStock[StockActual],MATCH(tblConteo[[#This Row],[SKU]],tblStock[SKU],0))),0))</f>
        <v/>
      </c>
      <c r="I436" s="52"/>
      <c r="J436" s="59" t="str">
        <f>IF(OR(tblConteo[[#This Row],[SKU]]="",tblConteo[[#This Row],[Conteo]]=""),"",IF(ISNUMBER(tblConteo[[#This Row],[Conteo]]),tblConteo[[#This Row],[Conteo]]-N(tblConteo[[#This Row],[Sistema]]),""))</f>
        <v/>
      </c>
      <c r="K436" s="62" t="str">
        <f>IF(tblConteo[[#This Row],[Diferencia]]="","",tblConteo[[#This Row],[Diferencia]]*N(INDEX(tblProductos[CostoUnitario],ROW()-ROW(tblConteo[#Headers]))))</f>
        <v/>
      </c>
      <c r="L43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7" spans="2:13" x14ac:dyDescent="0.25">
      <c r="B437" s="42" t="str">
        <f>IF(INDEX(tblProductos[SKU],ROW()-ROW(tblConteo[#Headers]))="","",INDEX(tblProductos[SKU],ROW()-ROW(tblConteo[#Headers])))</f>
        <v/>
      </c>
      <c r="C437" s="49" t="str">
        <f>IF(tblConteo[[#This Row],[SKU]]="","",INDEX(tblProductos[Producto],ROW()-ROW(tblConteo[#Headers])))</f>
        <v/>
      </c>
      <c r="D437" s="49" t="str">
        <f>IF(tblConteo[[#This Row],[SKU]]="","",INDEX(tblProductos[Categoría],ROW()-ROW(tblConteo[#Headers]))&amp;"")</f>
        <v/>
      </c>
      <c r="E437" s="42" t="str">
        <f>IF(tblConteo[[#This Row],[SKU]]="","",INDEX(tblProductos[Ubicación],ROW()-ROW(tblConteo[#Headers]))&amp;"")</f>
        <v/>
      </c>
      <c r="F437" s="42" t="str">
        <f>IF(tblConteo[[#This Row],[SKU]]="","",INDEX(tblProductos[Unidad],ROW()-ROW(tblConteo[#Headers]))&amp;"")</f>
        <v/>
      </c>
      <c r="G437" s="42" t="str">
        <f>IF(tblConteo[[#This Row],[SKU]]="","",IF(INDEX(tblProductos[Activo],ROW()-ROW(tblConteo[#Headers]))="NO","NO","SI"))</f>
        <v/>
      </c>
      <c r="H437" s="53" t="str">
        <f>IF(tblConteo[[#This Row],[SKU]]="","",IFERROR(N(INDEX(tblStock[StockActual],MATCH(tblConteo[[#This Row],[SKU]],tblStock[SKU],0))),0))</f>
        <v/>
      </c>
      <c r="I437" s="52"/>
      <c r="J437" s="59" t="str">
        <f>IF(OR(tblConteo[[#This Row],[SKU]]="",tblConteo[[#This Row],[Conteo]]=""),"",IF(ISNUMBER(tblConteo[[#This Row],[Conteo]]),tblConteo[[#This Row],[Conteo]]-N(tblConteo[[#This Row],[Sistema]]),""))</f>
        <v/>
      </c>
      <c r="K437" s="62" t="str">
        <f>IF(tblConteo[[#This Row],[Diferencia]]="","",tblConteo[[#This Row],[Diferencia]]*N(INDEX(tblProductos[CostoUnitario],ROW()-ROW(tblConteo[#Headers]))))</f>
        <v/>
      </c>
      <c r="L43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8" spans="2:13" x14ac:dyDescent="0.25">
      <c r="B438" s="42" t="str">
        <f>IF(INDEX(tblProductos[SKU],ROW()-ROW(tblConteo[#Headers]))="","",INDEX(tblProductos[SKU],ROW()-ROW(tblConteo[#Headers])))</f>
        <v/>
      </c>
      <c r="C438" s="49" t="str">
        <f>IF(tblConteo[[#This Row],[SKU]]="","",INDEX(tblProductos[Producto],ROW()-ROW(tblConteo[#Headers])))</f>
        <v/>
      </c>
      <c r="D438" s="49" t="str">
        <f>IF(tblConteo[[#This Row],[SKU]]="","",INDEX(tblProductos[Categoría],ROW()-ROW(tblConteo[#Headers]))&amp;"")</f>
        <v/>
      </c>
      <c r="E438" s="42" t="str">
        <f>IF(tblConteo[[#This Row],[SKU]]="","",INDEX(tblProductos[Ubicación],ROW()-ROW(tblConteo[#Headers]))&amp;"")</f>
        <v/>
      </c>
      <c r="F438" s="42" t="str">
        <f>IF(tblConteo[[#This Row],[SKU]]="","",INDEX(tblProductos[Unidad],ROW()-ROW(tblConteo[#Headers]))&amp;"")</f>
        <v/>
      </c>
      <c r="G438" s="42" t="str">
        <f>IF(tblConteo[[#This Row],[SKU]]="","",IF(INDEX(tblProductos[Activo],ROW()-ROW(tblConteo[#Headers]))="NO","NO","SI"))</f>
        <v/>
      </c>
      <c r="H438" s="53" t="str">
        <f>IF(tblConteo[[#This Row],[SKU]]="","",IFERROR(N(INDEX(tblStock[StockActual],MATCH(tblConteo[[#This Row],[SKU]],tblStock[SKU],0))),0))</f>
        <v/>
      </c>
      <c r="I438" s="52"/>
      <c r="J438" s="59" t="str">
        <f>IF(OR(tblConteo[[#This Row],[SKU]]="",tblConteo[[#This Row],[Conteo]]=""),"",IF(ISNUMBER(tblConteo[[#This Row],[Conteo]]),tblConteo[[#This Row],[Conteo]]-N(tblConteo[[#This Row],[Sistema]]),""))</f>
        <v/>
      </c>
      <c r="K438" s="62" t="str">
        <f>IF(tblConteo[[#This Row],[Diferencia]]="","",tblConteo[[#This Row],[Diferencia]]*N(INDEX(tblProductos[CostoUnitario],ROW()-ROW(tblConteo[#Headers]))))</f>
        <v/>
      </c>
      <c r="L43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9" spans="2:13" x14ac:dyDescent="0.25">
      <c r="B439" s="42" t="str">
        <f>IF(INDEX(tblProductos[SKU],ROW()-ROW(tblConteo[#Headers]))="","",INDEX(tblProductos[SKU],ROW()-ROW(tblConteo[#Headers])))</f>
        <v/>
      </c>
      <c r="C439" s="49" t="str">
        <f>IF(tblConteo[[#This Row],[SKU]]="","",INDEX(tblProductos[Producto],ROW()-ROW(tblConteo[#Headers])))</f>
        <v/>
      </c>
      <c r="D439" s="49" t="str">
        <f>IF(tblConteo[[#This Row],[SKU]]="","",INDEX(tblProductos[Categoría],ROW()-ROW(tblConteo[#Headers]))&amp;"")</f>
        <v/>
      </c>
      <c r="E439" s="42" t="str">
        <f>IF(tblConteo[[#This Row],[SKU]]="","",INDEX(tblProductos[Ubicación],ROW()-ROW(tblConteo[#Headers]))&amp;"")</f>
        <v/>
      </c>
      <c r="F439" s="42" t="str">
        <f>IF(tblConteo[[#This Row],[SKU]]="","",INDEX(tblProductos[Unidad],ROW()-ROW(tblConteo[#Headers]))&amp;"")</f>
        <v/>
      </c>
      <c r="G439" s="42" t="str">
        <f>IF(tblConteo[[#This Row],[SKU]]="","",IF(INDEX(tblProductos[Activo],ROW()-ROW(tblConteo[#Headers]))="NO","NO","SI"))</f>
        <v/>
      </c>
      <c r="H439" s="53" t="str">
        <f>IF(tblConteo[[#This Row],[SKU]]="","",IFERROR(N(INDEX(tblStock[StockActual],MATCH(tblConteo[[#This Row],[SKU]],tblStock[SKU],0))),0))</f>
        <v/>
      </c>
      <c r="I439" s="52"/>
      <c r="J439" s="59" t="str">
        <f>IF(OR(tblConteo[[#This Row],[SKU]]="",tblConteo[[#This Row],[Conteo]]=""),"",IF(ISNUMBER(tblConteo[[#This Row],[Conteo]]),tblConteo[[#This Row],[Conteo]]-N(tblConteo[[#This Row],[Sistema]]),""))</f>
        <v/>
      </c>
      <c r="K439" s="62" t="str">
        <f>IF(tblConteo[[#This Row],[Diferencia]]="","",tblConteo[[#This Row],[Diferencia]]*N(INDEX(tblProductos[CostoUnitario],ROW()-ROW(tblConteo[#Headers]))))</f>
        <v/>
      </c>
      <c r="L43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0" spans="2:13" x14ac:dyDescent="0.25">
      <c r="B440" s="42" t="str">
        <f>IF(INDEX(tblProductos[SKU],ROW()-ROW(tblConteo[#Headers]))="","",INDEX(tblProductos[SKU],ROW()-ROW(tblConteo[#Headers])))</f>
        <v/>
      </c>
      <c r="C440" s="49" t="str">
        <f>IF(tblConteo[[#This Row],[SKU]]="","",INDEX(tblProductos[Producto],ROW()-ROW(tblConteo[#Headers])))</f>
        <v/>
      </c>
      <c r="D440" s="49" t="str">
        <f>IF(tblConteo[[#This Row],[SKU]]="","",INDEX(tblProductos[Categoría],ROW()-ROW(tblConteo[#Headers]))&amp;"")</f>
        <v/>
      </c>
      <c r="E440" s="42" t="str">
        <f>IF(tblConteo[[#This Row],[SKU]]="","",INDEX(tblProductos[Ubicación],ROW()-ROW(tblConteo[#Headers]))&amp;"")</f>
        <v/>
      </c>
      <c r="F440" s="42" t="str">
        <f>IF(tblConteo[[#This Row],[SKU]]="","",INDEX(tblProductos[Unidad],ROW()-ROW(tblConteo[#Headers]))&amp;"")</f>
        <v/>
      </c>
      <c r="G440" s="42" t="str">
        <f>IF(tblConteo[[#This Row],[SKU]]="","",IF(INDEX(tblProductos[Activo],ROW()-ROW(tblConteo[#Headers]))="NO","NO","SI"))</f>
        <v/>
      </c>
      <c r="H440" s="53" t="str">
        <f>IF(tblConteo[[#This Row],[SKU]]="","",IFERROR(N(INDEX(tblStock[StockActual],MATCH(tblConteo[[#This Row],[SKU]],tblStock[SKU],0))),0))</f>
        <v/>
      </c>
      <c r="I440" s="52"/>
      <c r="J440" s="59" t="str">
        <f>IF(OR(tblConteo[[#This Row],[SKU]]="",tblConteo[[#This Row],[Conteo]]=""),"",IF(ISNUMBER(tblConteo[[#This Row],[Conteo]]),tblConteo[[#This Row],[Conteo]]-N(tblConteo[[#This Row],[Sistema]]),""))</f>
        <v/>
      </c>
      <c r="K440" s="62" t="str">
        <f>IF(tblConteo[[#This Row],[Diferencia]]="","",tblConteo[[#This Row],[Diferencia]]*N(INDEX(tblProductos[CostoUnitario],ROW()-ROW(tblConteo[#Headers]))))</f>
        <v/>
      </c>
      <c r="L44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1" spans="2:13" x14ac:dyDescent="0.25">
      <c r="B441" s="42" t="str">
        <f>IF(INDEX(tblProductos[SKU],ROW()-ROW(tblConteo[#Headers]))="","",INDEX(tblProductos[SKU],ROW()-ROW(tblConteo[#Headers])))</f>
        <v/>
      </c>
      <c r="C441" s="49" t="str">
        <f>IF(tblConteo[[#This Row],[SKU]]="","",INDEX(tblProductos[Producto],ROW()-ROW(tblConteo[#Headers])))</f>
        <v/>
      </c>
      <c r="D441" s="49" t="str">
        <f>IF(tblConteo[[#This Row],[SKU]]="","",INDEX(tblProductos[Categoría],ROW()-ROW(tblConteo[#Headers]))&amp;"")</f>
        <v/>
      </c>
      <c r="E441" s="42" t="str">
        <f>IF(tblConteo[[#This Row],[SKU]]="","",INDEX(tblProductos[Ubicación],ROW()-ROW(tblConteo[#Headers]))&amp;"")</f>
        <v/>
      </c>
      <c r="F441" s="42" t="str">
        <f>IF(tblConteo[[#This Row],[SKU]]="","",INDEX(tblProductos[Unidad],ROW()-ROW(tblConteo[#Headers]))&amp;"")</f>
        <v/>
      </c>
      <c r="G441" s="42" t="str">
        <f>IF(tblConteo[[#This Row],[SKU]]="","",IF(INDEX(tblProductos[Activo],ROW()-ROW(tblConteo[#Headers]))="NO","NO","SI"))</f>
        <v/>
      </c>
      <c r="H441" s="53" t="str">
        <f>IF(tblConteo[[#This Row],[SKU]]="","",IFERROR(N(INDEX(tblStock[StockActual],MATCH(tblConteo[[#This Row],[SKU]],tblStock[SKU],0))),0))</f>
        <v/>
      </c>
      <c r="I441" s="52"/>
      <c r="J441" s="59" t="str">
        <f>IF(OR(tblConteo[[#This Row],[SKU]]="",tblConteo[[#This Row],[Conteo]]=""),"",IF(ISNUMBER(tblConteo[[#This Row],[Conteo]]),tblConteo[[#This Row],[Conteo]]-N(tblConteo[[#This Row],[Sistema]]),""))</f>
        <v/>
      </c>
      <c r="K441" s="62" t="str">
        <f>IF(tblConteo[[#This Row],[Diferencia]]="","",tblConteo[[#This Row],[Diferencia]]*N(INDEX(tblProductos[CostoUnitario],ROW()-ROW(tblConteo[#Headers]))))</f>
        <v/>
      </c>
      <c r="L44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2" spans="2:13" x14ac:dyDescent="0.25">
      <c r="B442" s="42" t="str">
        <f>IF(INDEX(tblProductos[SKU],ROW()-ROW(tblConteo[#Headers]))="","",INDEX(tblProductos[SKU],ROW()-ROW(tblConteo[#Headers])))</f>
        <v/>
      </c>
      <c r="C442" s="49" t="str">
        <f>IF(tblConteo[[#This Row],[SKU]]="","",INDEX(tblProductos[Producto],ROW()-ROW(tblConteo[#Headers])))</f>
        <v/>
      </c>
      <c r="D442" s="49" t="str">
        <f>IF(tblConteo[[#This Row],[SKU]]="","",INDEX(tblProductos[Categoría],ROW()-ROW(tblConteo[#Headers]))&amp;"")</f>
        <v/>
      </c>
      <c r="E442" s="42" t="str">
        <f>IF(tblConteo[[#This Row],[SKU]]="","",INDEX(tblProductos[Ubicación],ROW()-ROW(tblConteo[#Headers]))&amp;"")</f>
        <v/>
      </c>
      <c r="F442" s="42" t="str">
        <f>IF(tblConteo[[#This Row],[SKU]]="","",INDEX(tblProductos[Unidad],ROW()-ROW(tblConteo[#Headers]))&amp;"")</f>
        <v/>
      </c>
      <c r="G442" s="42" t="str">
        <f>IF(tblConteo[[#This Row],[SKU]]="","",IF(INDEX(tblProductos[Activo],ROW()-ROW(tblConteo[#Headers]))="NO","NO","SI"))</f>
        <v/>
      </c>
      <c r="H442" s="53" t="str">
        <f>IF(tblConteo[[#This Row],[SKU]]="","",IFERROR(N(INDEX(tblStock[StockActual],MATCH(tblConteo[[#This Row],[SKU]],tblStock[SKU],0))),0))</f>
        <v/>
      </c>
      <c r="I442" s="52"/>
      <c r="J442" s="59" t="str">
        <f>IF(OR(tblConteo[[#This Row],[SKU]]="",tblConteo[[#This Row],[Conteo]]=""),"",IF(ISNUMBER(tblConteo[[#This Row],[Conteo]]),tblConteo[[#This Row],[Conteo]]-N(tblConteo[[#This Row],[Sistema]]),""))</f>
        <v/>
      </c>
      <c r="K442" s="62" t="str">
        <f>IF(tblConteo[[#This Row],[Diferencia]]="","",tblConteo[[#This Row],[Diferencia]]*N(INDEX(tblProductos[CostoUnitario],ROW()-ROW(tblConteo[#Headers]))))</f>
        <v/>
      </c>
      <c r="L44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3" spans="2:13" x14ac:dyDescent="0.25">
      <c r="B443" s="42" t="str">
        <f>IF(INDEX(tblProductos[SKU],ROW()-ROW(tblConteo[#Headers]))="","",INDEX(tblProductos[SKU],ROW()-ROW(tblConteo[#Headers])))</f>
        <v/>
      </c>
      <c r="C443" s="49" t="str">
        <f>IF(tblConteo[[#This Row],[SKU]]="","",INDEX(tblProductos[Producto],ROW()-ROW(tblConteo[#Headers])))</f>
        <v/>
      </c>
      <c r="D443" s="49" t="str">
        <f>IF(tblConteo[[#This Row],[SKU]]="","",INDEX(tblProductos[Categoría],ROW()-ROW(tblConteo[#Headers]))&amp;"")</f>
        <v/>
      </c>
      <c r="E443" s="42" t="str">
        <f>IF(tblConteo[[#This Row],[SKU]]="","",INDEX(tblProductos[Ubicación],ROW()-ROW(tblConteo[#Headers]))&amp;"")</f>
        <v/>
      </c>
      <c r="F443" s="42" t="str">
        <f>IF(tblConteo[[#This Row],[SKU]]="","",INDEX(tblProductos[Unidad],ROW()-ROW(tblConteo[#Headers]))&amp;"")</f>
        <v/>
      </c>
      <c r="G443" s="42" t="str">
        <f>IF(tblConteo[[#This Row],[SKU]]="","",IF(INDEX(tblProductos[Activo],ROW()-ROW(tblConteo[#Headers]))="NO","NO","SI"))</f>
        <v/>
      </c>
      <c r="H443" s="53" t="str">
        <f>IF(tblConteo[[#This Row],[SKU]]="","",IFERROR(N(INDEX(tblStock[StockActual],MATCH(tblConteo[[#This Row],[SKU]],tblStock[SKU],0))),0))</f>
        <v/>
      </c>
      <c r="I443" s="52"/>
      <c r="J443" s="59" t="str">
        <f>IF(OR(tblConteo[[#This Row],[SKU]]="",tblConteo[[#This Row],[Conteo]]=""),"",IF(ISNUMBER(tblConteo[[#This Row],[Conteo]]),tblConteo[[#This Row],[Conteo]]-N(tblConteo[[#This Row],[Sistema]]),""))</f>
        <v/>
      </c>
      <c r="K443" s="62" t="str">
        <f>IF(tblConteo[[#This Row],[Diferencia]]="","",tblConteo[[#This Row],[Diferencia]]*N(INDEX(tblProductos[CostoUnitario],ROW()-ROW(tblConteo[#Headers]))))</f>
        <v/>
      </c>
      <c r="L44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4" spans="2:13" x14ac:dyDescent="0.25">
      <c r="B444" s="42" t="str">
        <f>IF(INDEX(tblProductos[SKU],ROW()-ROW(tblConteo[#Headers]))="","",INDEX(tblProductos[SKU],ROW()-ROW(tblConteo[#Headers])))</f>
        <v/>
      </c>
      <c r="C444" s="49" t="str">
        <f>IF(tblConteo[[#This Row],[SKU]]="","",INDEX(tblProductos[Producto],ROW()-ROW(tblConteo[#Headers])))</f>
        <v/>
      </c>
      <c r="D444" s="49" t="str">
        <f>IF(tblConteo[[#This Row],[SKU]]="","",INDEX(tblProductos[Categoría],ROW()-ROW(tblConteo[#Headers]))&amp;"")</f>
        <v/>
      </c>
      <c r="E444" s="42" t="str">
        <f>IF(tblConteo[[#This Row],[SKU]]="","",INDEX(tblProductos[Ubicación],ROW()-ROW(tblConteo[#Headers]))&amp;"")</f>
        <v/>
      </c>
      <c r="F444" s="42" t="str">
        <f>IF(tblConteo[[#This Row],[SKU]]="","",INDEX(tblProductos[Unidad],ROW()-ROW(tblConteo[#Headers]))&amp;"")</f>
        <v/>
      </c>
      <c r="G444" s="42" t="str">
        <f>IF(tblConteo[[#This Row],[SKU]]="","",IF(INDEX(tblProductos[Activo],ROW()-ROW(tblConteo[#Headers]))="NO","NO","SI"))</f>
        <v/>
      </c>
      <c r="H444" s="53" t="str">
        <f>IF(tblConteo[[#This Row],[SKU]]="","",IFERROR(N(INDEX(tblStock[StockActual],MATCH(tblConteo[[#This Row],[SKU]],tblStock[SKU],0))),0))</f>
        <v/>
      </c>
      <c r="I444" s="52"/>
      <c r="J444" s="59" t="str">
        <f>IF(OR(tblConteo[[#This Row],[SKU]]="",tblConteo[[#This Row],[Conteo]]=""),"",IF(ISNUMBER(tblConteo[[#This Row],[Conteo]]),tblConteo[[#This Row],[Conteo]]-N(tblConteo[[#This Row],[Sistema]]),""))</f>
        <v/>
      </c>
      <c r="K444" s="62" t="str">
        <f>IF(tblConteo[[#This Row],[Diferencia]]="","",tblConteo[[#This Row],[Diferencia]]*N(INDEX(tblProductos[CostoUnitario],ROW()-ROW(tblConteo[#Headers]))))</f>
        <v/>
      </c>
      <c r="L44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5" spans="2:13" x14ac:dyDescent="0.25">
      <c r="B445" s="42" t="str">
        <f>IF(INDEX(tblProductos[SKU],ROW()-ROW(tblConteo[#Headers]))="","",INDEX(tblProductos[SKU],ROW()-ROW(tblConteo[#Headers])))</f>
        <v/>
      </c>
      <c r="C445" s="49" t="str">
        <f>IF(tblConteo[[#This Row],[SKU]]="","",INDEX(tblProductos[Producto],ROW()-ROW(tblConteo[#Headers])))</f>
        <v/>
      </c>
      <c r="D445" s="49" t="str">
        <f>IF(tblConteo[[#This Row],[SKU]]="","",INDEX(tblProductos[Categoría],ROW()-ROW(tblConteo[#Headers]))&amp;"")</f>
        <v/>
      </c>
      <c r="E445" s="42" t="str">
        <f>IF(tblConteo[[#This Row],[SKU]]="","",INDEX(tblProductos[Ubicación],ROW()-ROW(tblConteo[#Headers]))&amp;"")</f>
        <v/>
      </c>
      <c r="F445" s="42" t="str">
        <f>IF(tblConteo[[#This Row],[SKU]]="","",INDEX(tblProductos[Unidad],ROW()-ROW(tblConteo[#Headers]))&amp;"")</f>
        <v/>
      </c>
      <c r="G445" s="42" t="str">
        <f>IF(tblConteo[[#This Row],[SKU]]="","",IF(INDEX(tblProductos[Activo],ROW()-ROW(tblConteo[#Headers]))="NO","NO","SI"))</f>
        <v/>
      </c>
      <c r="H445" s="53" t="str">
        <f>IF(tblConteo[[#This Row],[SKU]]="","",IFERROR(N(INDEX(tblStock[StockActual],MATCH(tblConteo[[#This Row],[SKU]],tblStock[SKU],0))),0))</f>
        <v/>
      </c>
      <c r="I445" s="52"/>
      <c r="J445" s="59" t="str">
        <f>IF(OR(tblConteo[[#This Row],[SKU]]="",tblConteo[[#This Row],[Conteo]]=""),"",IF(ISNUMBER(tblConteo[[#This Row],[Conteo]]),tblConteo[[#This Row],[Conteo]]-N(tblConteo[[#This Row],[Sistema]]),""))</f>
        <v/>
      </c>
      <c r="K445" s="62" t="str">
        <f>IF(tblConteo[[#This Row],[Diferencia]]="","",tblConteo[[#This Row],[Diferencia]]*N(INDEX(tblProductos[CostoUnitario],ROW()-ROW(tblConteo[#Headers]))))</f>
        <v/>
      </c>
      <c r="L44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6" spans="2:13" x14ac:dyDescent="0.25">
      <c r="B446" s="42" t="str">
        <f>IF(INDEX(tblProductos[SKU],ROW()-ROW(tblConteo[#Headers]))="","",INDEX(tblProductos[SKU],ROW()-ROW(tblConteo[#Headers])))</f>
        <v/>
      </c>
      <c r="C446" s="49" t="str">
        <f>IF(tblConteo[[#This Row],[SKU]]="","",INDEX(tblProductos[Producto],ROW()-ROW(tblConteo[#Headers])))</f>
        <v/>
      </c>
      <c r="D446" s="49" t="str">
        <f>IF(tblConteo[[#This Row],[SKU]]="","",INDEX(tblProductos[Categoría],ROW()-ROW(tblConteo[#Headers]))&amp;"")</f>
        <v/>
      </c>
      <c r="E446" s="42" t="str">
        <f>IF(tblConteo[[#This Row],[SKU]]="","",INDEX(tblProductos[Ubicación],ROW()-ROW(tblConteo[#Headers]))&amp;"")</f>
        <v/>
      </c>
      <c r="F446" s="42" t="str">
        <f>IF(tblConteo[[#This Row],[SKU]]="","",INDEX(tblProductos[Unidad],ROW()-ROW(tblConteo[#Headers]))&amp;"")</f>
        <v/>
      </c>
      <c r="G446" s="42" t="str">
        <f>IF(tblConteo[[#This Row],[SKU]]="","",IF(INDEX(tblProductos[Activo],ROW()-ROW(tblConteo[#Headers]))="NO","NO","SI"))</f>
        <v/>
      </c>
      <c r="H446" s="53" t="str">
        <f>IF(tblConteo[[#This Row],[SKU]]="","",IFERROR(N(INDEX(tblStock[StockActual],MATCH(tblConteo[[#This Row],[SKU]],tblStock[SKU],0))),0))</f>
        <v/>
      </c>
      <c r="I446" s="52"/>
      <c r="J446" s="59" t="str">
        <f>IF(OR(tblConteo[[#This Row],[SKU]]="",tblConteo[[#This Row],[Conteo]]=""),"",IF(ISNUMBER(tblConteo[[#This Row],[Conteo]]),tblConteo[[#This Row],[Conteo]]-N(tblConteo[[#This Row],[Sistema]]),""))</f>
        <v/>
      </c>
      <c r="K446" s="62" t="str">
        <f>IF(tblConteo[[#This Row],[Diferencia]]="","",tblConteo[[#This Row],[Diferencia]]*N(INDEX(tblProductos[CostoUnitario],ROW()-ROW(tblConteo[#Headers]))))</f>
        <v/>
      </c>
      <c r="L44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7" spans="2:13" x14ac:dyDescent="0.25">
      <c r="B447" s="42" t="str">
        <f>IF(INDEX(tblProductos[SKU],ROW()-ROW(tblConteo[#Headers]))="","",INDEX(tblProductos[SKU],ROW()-ROW(tblConteo[#Headers])))</f>
        <v/>
      </c>
      <c r="C447" s="49" t="str">
        <f>IF(tblConteo[[#This Row],[SKU]]="","",INDEX(tblProductos[Producto],ROW()-ROW(tblConteo[#Headers])))</f>
        <v/>
      </c>
      <c r="D447" s="49" t="str">
        <f>IF(tblConteo[[#This Row],[SKU]]="","",INDEX(tblProductos[Categoría],ROW()-ROW(tblConteo[#Headers]))&amp;"")</f>
        <v/>
      </c>
      <c r="E447" s="42" t="str">
        <f>IF(tblConteo[[#This Row],[SKU]]="","",INDEX(tblProductos[Ubicación],ROW()-ROW(tblConteo[#Headers]))&amp;"")</f>
        <v/>
      </c>
      <c r="F447" s="42" t="str">
        <f>IF(tblConteo[[#This Row],[SKU]]="","",INDEX(tblProductos[Unidad],ROW()-ROW(tblConteo[#Headers]))&amp;"")</f>
        <v/>
      </c>
      <c r="G447" s="42" t="str">
        <f>IF(tblConteo[[#This Row],[SKU]]="","",IF(INDEX(tblProductos[Activo],ROW()-ROW(tblConteo[#Headers]))="NO","NO","SI"))</f>
        <v/>
      </c>
      <c r="H447" s="53" t="str">
        <f>IF(tblConteo[[#This Row],[SKU]]="","",IFERROR(N(INDEX(tblStock[StockActual],MATCH(tblConteo[[#This Row],[SKU]],tblStock[SKU],0))),0))</f>
        <v/>
      </c>
      <c r="I447" s="52"/>
      <c r="J447" s="59" t="str">
        <f>IF(OR(tblConteo[[#This Row],[SKU]]="",tblConteo[[#This Row],[Conteo]]=""),"",IF(ISNUMBER(tblConteo[[#This Row],[Conteo]]),tblConteo[[#This Row],[Conteo]]-N(tblConteo[[#This Row],[Sistema]]),""))</f>
        <v/>
      </c>
      <c r="K447" s="62" t="str">
        <f>IF(tblConteo[[#This Row],[Diferencia]]="","",tblConteo[[#This Row],[Diferencia]]*N(INDEX(tblProductos[CostoUnitario],ROW()-ROW(tblConteo[#Headers]))))</f>
        <v/>
      </c>
      <c r="L44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8" spans="2:13" x14ac:dyDescent="0.25">
      <c r="B448" s="42" t="str">
        <f>IF(INDEX(tblProductos[SKU],ROW()-ROW(tblConteo[#Headers]))="","",INDEX(tblProductos[SKU],ROW()-ROW(tblConteo[#Headers])))</f>
        <v/>
      </c>
      <c r="C448" s="49" t="str">
        <f>IF(tblConteo[[#This Row],[SKU]]="","",INDEX(tblProductos[Producto],ROW()-ROW(tblConteo[#Headers])))</f>
        <v/>
      </c>
      <c r="D448" s="49" t="str">
        <f>IF(tblConteo[[#This Row],[SKU]]="","",INDEX(tblProductos[Categoría],ROW()-ROW(tblConteo[#Headers]))&amp;"")</f>
        <v/>
      </c>
      <c r="E448" s="42" t="str">
        <f>IF(tblConteo[[#This Row],[SKU]]="","",INDEX(tblProductos[Ubicación],ROW()-ROW(tblConteo[#Headers]))&amp;"")</f>
        <v/>
      </c>
      <c r="F448" s="42" t="str">
        <f>IF(tblConteo[[#This Row],[SKU]]="","",INDEX(tblProductos[Unidad],ROW()-ROW(tblConteo[#Headers]))&amp;"")</f>
        <v/>
      </c>
      <c r="G448" s="42" t="str">
        <f>IF(tblConteo[[#This Row],[SKU]]="","",IF(INDEX(tblProductos[Activo],ROW()-ROW(tblConteo[#Headers]))="NO","NO","SI"))</f>
        <v/>
      </c>
      <c r="H448" s="53" t="str">
        <f>IF(tblConteo[[#This Row],[SKU]]="","",IFERROR(N(INDEX(tblStock[StockActual],MATCH(tblConteo[[#This Row],[SKU]],tblStock[SKU],0))),0))</f>
        <v/>
      </c>
      <c r="I448" s="52"/>
      <c r="J448" s="59" t="str">
        <f>IF(OR(tblConteo[[#This Row],[SKU]]="",tblConteo[[#This Row],[Conteo]]=""),"",IF(ISNUMBER(tblConteo[[#This Row],[Conteo]]),tblConteo[[#This Row],[Conteo]]-N(tblConteo[[#This Row],[Sistema]]),""))</f>
        <v/>
      </c>
      <c r="K448" s="62" t="str">
        <f>IF(tblConteo[[#This Row],[Diferencia]]="","",tblConteo[[#This Row],[Diferencia]]*N(INDEX(tblProductos[CostoUnitario],ROW()-ROW(tblConteo[#Headers]))))</f>
        <v/>
      </c>
      <c r="L44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9" spans="2:13" x14ac:dyDescent="0.25">
      <c r="B449" s="42" t="str">
        <f>IF(INDEX(tblProductos[SKU],ROW()-ROW(tblConteo[#Headers]))="","",INDEX(tblProductos[SKU],ROW()-ROW(tblConteo[#Headers])))</f>
        <v/>
      </c>
      <c r="C449" s="49" t="str">
        <f>IF(tblConteo[[#This Row],[SKU]]="","",INDEX(tblProductos[Producto],ROW()-ROW(tblConteo[#Headers])))</f>
        <v/>
      </c>
      <c r="D449" s="49" t="str">
        <f>IF(tblConteo[[#This Row],[SKU]]="","",INDEX(tblProductos[Categoría],ROW()-ROW(tblConteo[#Headers]))&amp;"")</f>
        <v/>
      </c>
      <c r="E449" s="42" t="str">
        <f>IF(tblConteo[[#This Row],[SKU]]="","",INDEX(tblProductos[Ubicación],ROW()-ROW(tblConteo[#Headers]))&amp;"")</f>
        <v/>
      </c>
      <c r="F449" s="42" t="str">
        <f>IF(tblConteo[[#This Row],[SKU]]="","",INDEX(tblProductos[Unidad],ROW()-ROW(tblConteo[#Headers]))&amp;"")</f>
        <v/>
      </c>
      <c r="G449" s="42" t="str">
        <f>IF(tblConteo[[#This Row],[SKU]]="","",IF(INDEX(tblProductos[Activo],ROW()-ROW(tblConteo[#Headers]))="NO","NO","SI"))</f>
        <v/>
      </c>
      <c r="H449" s="53" t="str">
        <f>IF(tblConteo[[#This Row],[SKU]]="","",IFERROR(N(INDEX(tblStock[StockActual],MATCH(tblConteo[[#This Row],[SKU]],tblStock[SKU],0))),0))</f>
        <v/>
      </c>
      <c r="I449" s="52"/>
      <c r="J449" s="59" t="str">
        <f>IF(OR(tblConteo[[#This Row],[SKU]]="",tblConteo[[#This Row],[Conteo]]=""),"",IF(ISNUMBER(tblConteo[[#This Row],[Conteo]]),tblConteo[[#This Row],[Conteo]]-N(tblConteo[[#This Row],[Sistema]]),""))</f>
        <v/>
      </c>
      <c r="K449" s="62" t="str">
        <f>IF(tblConteo[[#This Row],[Diferencia]]="","",tblConteo[[#This Row],[Diferencia]]*N(INDEX(tblProductos[CostoUnitario],ROW()-ROW(tblConteo[#Headers]))))</f>
        <v/>
      </c>
      <c r="L44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0" spans="2:13" x14ac:dyDescent="0.25">
      <c r="B450" s="42" t="str">
        <f>IF(INDEX(tblProductos[SKU],ROW()-ROW(tblConteo[#Headers]))="","",INDEX(tblProductos[SKU],ROW()-ROW(tblConteo[#Headers])))</f>
        <v/>
      </c>
      <c r="C450" s="49" t="str">
        <f>IF(tblConteo[[#This Row],[SKU]]="","",INDEX(tblProductos[Producto],ROW()-ROW(tblConteo[#Headers])))</f>
        <v/>
      </c>
      <c r="D450" s="49" t="str">
        <f>IF(tblConteo[[#This Row],[SKU]]="","",INDEX(tblProductos[Categoría],ROW()-ROW(tblConteo[#Headers]))&amp;"")</f>
        <v/>
      </c>
      <c r="E450" s="42" t="str">
        <f>IF(tblConteo[[#This Row],[SKU]]="","",INDEX(tblProductos[Ubicación],ROW()-ROW(tblConteo[#Headers]))&amp;"")</f>
        <v/>
      </c>
      <c r="F450" s="42" t="str">
        <f>IF(tblConteo[[#This Row],[SKU]]="","",INDEX(tblProductos[Unidad],ROW()-ROW(tblConteo[#Headers]))&amp;"")</f>
        <v/>
      </c>
      <c r="G450" s="42" t="str">
        <f>IF(tblConteo[[#This Row],[SKU]]="","",IF(INDEX(tblProductos[Activo],ROW()-ROW(tblConteo[#Headers]))="NO","NO","SI"))</f>
        <v/>
      </c>
      <c r="H450" s="53" t="str">
        <f>IF(tblConteo[[#This Row],[SKU]]="","",IFERROR(N(INDEX(tblStock[StockActual],MATCH(tblConteo[[#This Row],[SKU]],tblStock[SKU],0))),0))</f>
        <v/>
      </c>
      <c r="I450" s="52"/>
      <c r="J450" s="59" t="str">
        <f>IF(OR(tblConteo[[#This Row],[SKU]]="",tblConteo[[#This Row],[Conteo]]=""),"",IF(ISNUMBER(tblConteo[[#This Row],[Conteo]]),tblConteo[[#This Row],[Conteo]]-N(tblConteo[[#This Row],[Sistema]]),""))</f>
        <v/>
      </c>
      <c r="K450" s="62" t="str">
        <f>IF(tblConteo[[#This Row],[Diferencia]]="","",tblConteo[[#This Row],[Diferencia]]*N(INDEX(tblProductos[CostoUnitario],ROW()-ROW(tblConteo[#Headers]))))</f>
        <v/>
      </c>
      <c r="L45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1" spans="2:13" x14ac:dyDescent="0.25">
      <c r="B451" s="42" t="str">
        <f>IF(INDEX(tblProductos[SKU],ROW()-ROW(tblConteo[#Headers]))="","",INDEX(tblProductos[SKU],ROW()-ROW(tblConteo[#Headers])))</f>
        <v/>
      </c>
      <c r="C451" s="49" t="str">
        <f>IF(tblConteo[[#This Row],[SKU]]="","",INDEX(tblProductos[Producto],ROW()-ROW(tblConteo[#Headers])))</f>
        <v/>
      </c>
      <c r="D451" s="49" t="str">
        <f>IF(tblConteo[[#This Row],[SKU]]="","",INDEX(tblProductos[Categoría],ROW()-ROW(tblConteo[#Headers]))&amp;"")</f>
        <v/>
      </c>
      <c r="E451" s="42" t="str">
        <f>IF(tblConteo[[#This Row],[SKU]]="","",INDEX(tblProductos[Ubicación],ROW()-ROW(tblConteo[#Headers]))&amp;"")</f>
        <v/>
      </c>
      <c r="F451" s="42" t="str">
        <f>IF(tblConteo[[#This Row],[SKU]]="","",INDEX(tblProductos[Unidad],ROW()-ROW(tblConteo[#Headers]))&amp;"")</f>
        <v/>
      </c>
      <c r="G451" s="42" t="str">
        <f>IF(tblConteo[[#This Row],[SKU]]="","",IF(INDEX(tblProductos[Activo],ROW()-ROW(tblConteo[#Headers]))="NO","NO","SI"))</f>
        <v/>
      </c>
      <c r="H451" s="53" t="str">
        <f>IF(tblConteo[[#This Row],[SKU]]="","",IFERROR(N(INDEX(tblStock[StockActual],MATCH(tblConteo[[#This Row],[SKU]],tblStock[SKU],0))),0))</f>
        <v/>
      </c>
      <c r="I451" s="52"/>
      <c r="J451" s="59" t="str">
        <f>IF(OR(tblConteo[[#This Row],[SKU]]="",tblConteo[[#This Row],[Conteo]]=""),"",IF(ISNUMBER(tblConteo[[#This Row],[Conteo]]),tblConteo[[#This Row],[Conteo]]-N(tblConteo[[#This Row],[Sistema]]),""))</f>
        <v/>
      </c>
      <c r="K451" s="62" t="str">
        <f>IF(tblConteo[[#This Row],[Diferencia]]="","",tblConteo[[#This Row],[Diferencia]]*N(INDEX(tblProductos[CostoUnitario],ROW()-ROW(tblConteo[#Headers]))))</f>
        <v/>
      </c>
      <c r="L45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2" spans="2:13" x14ac:dyDescent="0.25">
      <c r="B452" s="42" t="str">
        <f>IF(INDEX(tblProductos[SKU],ROW()-ROW(tblConteo[#Headers]))="","",INDEX(tblProductos[SKU],ROW()-ROW(tblConteo[#Headers])))</f>
        <v/>
      </c>
      <c r="C452" s="49" t="str">
        <f>IF(tblConteo[[#This Row],[SKU]]="","",INDEX(tblProductos[Producto],ROW()-ROW(tblConteo[#Headers])))</f>
        <v/>
      </c>
      <c r="D452" s="49" t="str">
        <f>IF(tblConteo[[#This Row],[SKU]]="","",INDEX(tblProductos[Categoría],ROW()-ROW(tblConteo[#Headers]))&amp;"")</f>
        <v/>
      </c>
      <c r="E452" s="42" t="str">
        <f>IF(tblConteo[[#This Row],[SKU]]="","",INDEX(tblProductos[Ubicación],ROW()-ROW(tblConteo[#Headers]))&amp;"")</f>
        <v/>
      </c>
      <c r="F452" s="42" t="str">
        <f>IF(tblConteo[[#This Row],[SKU]]="","",INDEX(tblProductos[Unidad],ROW()-ROW(tblConteo[#Headers]))&amp;"")</f>
        <v/>
      </c>
      <c r="G452" s="42" t="str">
        <f>IF(tblConteo[[#This Row],[SKU]]="","",IF(INDEX(tblProductos[Activo],ROW()-ROW(tblConteo[#Headers]))="NO","NO","SI"))</f>
        <v/>
      </c>
      <c r="H452" s="53" t="str">
        <f>IF(tblConteo[[#This Row],[SKU]]="","",IFERROR(N(INDEX(tblStock[StockActual],MATCH(tblConteo[[#This Row],[SKU]],tblStock[SKU],0))),0))</f>
        <v/>
      </c>
      <c r="I452" s="52"/>
      <c r="J452" s="59" t="str">
        <f>IF(OR(tblConteo[[#This Row],[SKU]]="",tblConteo[[#This Row],[Conteo]]=""),"",IF(ISNUMBER(tblConteo[[#This Row],[Conteo]]),tblConteo[[#This Row],[Conteo]]-N(tblConteo[[#This Row],[Sistema]]),""))</f>
        <v/>
      </c>
      <c r="K452" s="62" t="str">
        <f>IF(tblConteo[[#This Row],[Diferencia]]="","",tblConteo[[#This Row],[Diferencia]]*N(INDEX(tblProductos[CostoUnitario],ROW()-ROW(tblConteo[#Headers]))))</f>
        <v/>
      </c>
      <c r="L45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3" spans="2:13" x14ac:dyDescent="0.25">
      <c r="B453" s="42" t="str">
        <f>IF(INDEX(tblProductos[SKU],ROW()-ROW(tblConteo[#Headers]))="","",INDEX(tblProductos[SKU],ROW()-ROW(tblConteo[#Headers])))</f>
        <v/>
      </c>
      <c r="C453" s="49" t="str">
        <f>IF(tblConteo[[#This Row],[SKU]]="","",INDEX(tblProductos[Producto],ROW()-ROW(tblConteo[#Headers])))</f>
        <v/>
      </c>
      <c r="D453" s="49" t="str">
        <f>IF(tblConteo[[#This Row],[SKU]]="","",INDEX(tblProductos[Categoría],ROW()-ROW(tblConteo[#Headers]))&amp;"")</f>
        <v/>
      </c>
      <c r="E453" s="42" t="str">
        <f>IF(tblConteo[[#This Row],[SKU]]="","",INDEX(tblProductos[Ubicación],ROW()-ROW(tblConteo[#Headers]))&amp;"")</f>
        <v/>
      </c>
      <c r="F453" s="42" t="str">
        <f>IF(tblConteo[[#This Row],[SKU]]="","",INDEX(tblProductos[Unidad],ROW()-ROW(tblConteo[#Headers]))&amp;"")</f>
        <v/>
      </c>
      <c r="G453" s="42" t="str">
        <f>IF(tblConteo[[#This Row],[SKU]]="","",IF(INDEX(tblProductos[Activo],ROW()-ROW(tblConteo[#Headers]))="NO","NO","SI"))</f>
        <v/>
      </c>
      <c r="H453" s="53" t="str">
        <f>IF(tblConteo[[#This Row],[SKU]]="","",IFERROR(N(INDEX(tblStock[StockActual],MATCH(tblConteo[[#This Row],[SKU]],tblStock[SKU],0))),0))</f>
        <v/>
      </c>
      <c r="I453" s="52"/>
      <c r="J453" s="59" t="str">
        <f>IF(OR(tblConteo[[#This Row],[SKU]]="",tblConteo[[#This Row],[Conteo]]=""),"",IF(ISNUMBER(tblConteo[[#This Row],[Conteo]]),tblConteo[[#This Row],[Conteo]]-N(tblConteo[[#This Row],[Sistema]]),""))</f>
        <v/>
      </c>
      <c r="K453" s="62" t="str">
        <f>IF(tblConteo[[#This Row],[Diferencia]]="","",tblConteo[[#This Row],[Diferencia]]*N(INDEX(tblProductos[CostoUnitario],ROW()-ROW(tblConteo[#Headers]))))</f>
        <v/>
      </c>
      <c r="L45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4" spans="2:13" x14ac:dyDescent="0.25">
      <c r="B454" s="42" t="str">
        <f>IF(INDEX(tblProductos[SKU],ROW()-ROW(tblConteo[#Headers]))="","",INDEX(tblProductos[SKU],ROW()-ROW(tblConteo[#Headers])))</f>
        <v/>
      </c>
      <c r="C454" s="49" t="str">
        <f>IF(tblConteo[[#This Row],[SKU]]="","",INDEX(tblProductos[Producto],ROW()-ROW(tblConteo[#Headers])))</f>
        <v/>
      </c>
      <c r="D454" s="49" t="str">
        <f>IF(tblConteo[[#This Row],[SKU]]="","",INDEX(tblProductos[Categoría],ROW()-ROW(tblConteo[#Headers]))&amp;"")</f>
        <v/>
      </c>
      <c r="E454" s="42" t="str">
        <f>IF(tblConteo[[#This Row],[SKU]]="","",INDEX(tblProductos[Ubicación],ROW()-ROW(tblConteo[#Headers]))&amp;"")</f>
        <v/>
      </c>
      <c r="F454" s="42" t="str">
        <f>IF(tblConteo[[#This Row],[SKU]]="","",INDEX(tblProductos[Unidad],ROW()-ROW(tblConteo[#Headers]))&amp;"")</f>
        <v/>
      </c>
      <c r="G454" s="42" t="str">
        <f>IF(tblConteo[[#This Row],[SKU]]="","",IF(INDEX(tblProductos[Activo],ROW()-ROW(tblConteo[#Headers]))="NO","NO","SI"))</f>
        <v/>
      </c>
      <c r="H454" s="53" t="str">
        <f>IF(tblConteo[[#This Row],[SKU]]="","",IFERROR(N(INDEX(tblStock[StockActual],MATCH(tblConteo[[#This Row],[SKU]],tblStock[SKU],0))),0))</f>
        <v/>
      </c>
      <c r="I454" s="52"/>
      <c r="J454" s="59" t="str">
        <f>IF(OR(tblConteo[[#This Row],[SKU]]="",tblConteo[[#This Row],[Conteo]]=""),"",IF(ISNUMBER(tblConteo[[#This Row],[Conteo]]),tblConteo[[#This Row],[Conteo]]-N(tblConteo[[#This Row],[Sistema]]),""))</f>
        <v/>
      </c>
      <c r="K454" s="62" t="str">
        <f>IF(tblConteo[[#This Row],[Diferencia]]="","",tblConteo[[#This Row],[Diferencia]]*N(INDEX(tblProductos[CostoUnitario],ROW()-ROW(tblConteo[#Headers]))))</f>
        <v/>
      </c>
      <c r="L45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5" spans="2:13" x14ac:dyDescent="0.25">
      <c r="B455" s="42" t="str">
        <f>IF(INDEX(tblProductos[SKU],ROW()-ROW(tblConteo[#Headers]))="","",INDEX(tblProductos[SKU],ROW()-ROW(tblConteo[#Headers])))</f>
        <v/>
      </c>
      <c r="C455" s="49" t="str">
        <f>IF(tblConteo[[#This Row],[SKU]]="","",INDEX(tblProductos[Producto],ROW()-ROW(tblConteo[#Headers])))</f>
        <v/>
      </c>
      <c r="D455" s="49" t="str">
        <f>IF(tblConteo[[#This Row],[SKU]]="","",INDEX(tblProductos[Categoría],ROW()-ROW(tblConteo[#Headers]))&amp;"")</f>
        <v/>
      </c>
      <c r="E455" s="42" t="str">
        <f>IF(tblConteo[[#This Row],[SKU]]="","",INDEX(tblProductos[Ubicación],ROW()-ROW(tblConteo[#Headers]))&amp;"")</f>
        <v/>
      </c>
      <c r="F455" s="42" t="str">
        <f>IF(tblConteo[[#This Row],[SKU]]="","",INDEX(tblProductos[Unidad],ROW()-ROW(tblConteo[#Headers]))&amp;"")</f>
        <v/>
      </c>
      <c r="G455" s="42" t="str">
        <f>IF(tblConteo[[#This Row],[SKU]]="","",IF(INDEX(tblProductos[Activo],ROW()-ROW(tblConteo[#Headers]))="NO","NO","SI"))</f>
        <v/>
      </c>
      <c r="H455" s="53" t="str">
        <f>IF(tblConteo[[#This Row],[SKU]]="","",IFERROR(N(INDEX(tblStock[StockActual],MATCH(tblConteo[[#This Row],[SKU]],tblStock[SKU],0))),0))</f>
        <v/>
      </c>
      <c r="I455" s="52"/>
      <c r="J455" s="59" t="str">
        <f>IF(OR(tblConteo[[#This Row],[SKU]]="",tblConteo[[#This Row],[Conteo]]=""),"",IF(ISNUMBER(tblConteo[[#This Row],[Conteo]]),tblConteo[[#This Row],[Conteo]]-N(tblConteo[[#This Row],[Sistema]]),""))</f>
        <v/>
      </c>
      <c r="K455" s="62" t="str">
        <f>IF(tblConteo[[#This Row],[Diferencia]]="","",tblConteo[[#This Row],[Diferencia]]*N(INDEX(tblProductos[CostoUnitario],ROW()-ROW(tblConteo[#Headers]))))</f>
        <v/>
      </c>
      <c r="L45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6" spans="2:13" x14ac:dyDescent="0.25">
      <c r="B456" s="42" t="str">
        <f>IF(INDEX(tblProductos[SKU],ROW()-ROW(tblConteo[#Headers]))="","",INDEX(tblProductos[SKU],ROW()-ROW(tblConteo[#Headers])))</f>
        <v/>
      </c>
      <c r="C456" s="49" t="str">
        <f>IF(tblConteo[[#This Row],[SKU]]="","",INDEX(tblProductos[Producto],ROW()-ROW(tblConteo[#Headers])))</f>
        <v/>
      </c>
      <c r="D456" s="49" t="str">
        <f>IF(tblConteo[[#This Row],[SKU]]="","",INDEX(tblProductos[Categoría],ROW()-ROW(tblConteo[#Headers]))&amp;"")</f>
        <v/>
      </c>
      <c r="E456" s="42" t="str">
        <f>IF(tblConteo[[#This Row],[SKU]]="","",INDEX(tblProductos[Ubicación],ROW()-ROW(tblConteo[#Headers]))&amp;"")</f>
        <v/>
      </c>
      <c r="F456" s="42" t="str">
        <f>IF(tblConteo[[#This Row],[SKU]]="","",INDEX(tblProductos[Unidad],ROW()-ROW(tblConteo[#Headers]))&amp;"")</f>
        <v/>
      </c>
      <c r="G456" s="42" t="str">
        <f>IF(tblConteo[[#This Row],[SKU]]="","",IF(INDEX(tblProductos[Activo],ROW()-ROW(tblConteo[#Headers]))="NO","NO","SI"))</f>
        <v/>
      </c>
      <c r="H456" s="53" t="str">
        <f>IF(tblConteo[[#This Row],[SKU]]="","",IFERROR(N(INDEX(tblStock[StockActual],MATCH(tblConteo[[#This Row],[SKU]],tblStock[SKU],0))),0))</f>
        <v/>
      </c>
      <c r="I456" s="52"/>
      <c r="J456" s="59" t="str">
        <f>IF(OR(tblConteo[[#This Row],[SKU]]="",tblConteo[[#This Row],[Conteo]]=""),"",IF(ISNUMBER(tblConteo[[#This Row],[Conteo]]),tblConteo[[#This Row],[Conteo]]-N(tblConteo[[#This Row],[Sistema]]),""))</f>
        <v/>
      </c>
      <c r="K456" s="62" t="str">
        <f>IF(tblConteo[[#This Row],[Diferencia]]="","",tblConteo[[#This Row],[Diferencia]]*N(INDEX(tblProductos[CostoUnitario],ROW()-ROW(tblConteo[#Headers]))))</f>
        <v/>
      </c>
      <c r="L45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7" spans="2:13" x14ac:dyDescent="0.25">
      <c r="B457" s="42" t="str">
        <f>IF(INDEX(tblProductos[SKU],ROW()-ROW(tblConteo[#Headers]))="","",INDEX(tblProductos[SKU],ROW()-ROW(tblConteo[#Headers])))</f>
        <v/>
      </c>
      <c r="C457" s="49" t="str">
        <f>IF(tblConteo[[#This Row],[SKU]]="","",INDEX(tblProductos[Producto],ROW()-ROW(tblConteo[#Headers])))</f>
        <v/>
      </c>
      <c r="D457" s="49" t="str">
        <f>IF(tblConteo[[#This Row],[SKU]]="","",INDEX(tblProductos[Categoría],ROW()-ROW(tblConteo[#Headers]))&amp;"")</f>
        <v/>
      </c>
      <c r="E457" s="42" t="str">
        <f>IF(tblConteo[[#This Row],[SKU]]="","",INDEX(tblProductos[Ubicación],ROW()-ROW(tblConteo[#Headers]))&amp;"")</f>
        <v/>
      </c>
      <c r="F457" s="42" t="str">
        <f>IF(tblConteo[[#This Row],[SKU]]="","",INDEX(tblProductos[Unidad],ROW()-ROW(tblConteo[#Headers]))&amp;"")</f>
        <v/>
      </c>
      <c r="G457" s="42" t="str">
        <f>IF(tblConteo[[#This Row],[SKU]]="","",IF(INDEX(tblProductos[Activo],ROW()-ROW(tblConteo[#Headers]))="NO","NO","SI"))</f>
        <v/>
      </c>
      <c r="H457" s="53" t="str">
        <f>IF(tblConteo[[#This Row],[SKU]]="","",IFERROR(N(INDEX(tblStock[StockActual],MATCH(tblConteo[[#This Row],[SKU]],tblStock[SKU],0))),0))</f>
        <v/>
      </c>
      <c r="I457" s="52"/>
      <c r="J457" s="59" t="str">
        <f>IF(OR(tblConteo[[#This Row],[SKU]]="",tblConteo[[#This Row],[Conteo]]=""),"",IF(ISNUMBER(tblConteo[[#This Row],[Conteo]]),tblConteo[[#This Row],[Conteo]]-N(tblConteo[[#This Row],[Sistema]]),""))</f>
        <v/>
      </c>
      <c r="K457" s="62" t="str">
        <f>IF(tblConteo[[#This Row],[Diferencia]]="","",tblConteo[[#This Row],[Diferencia]]*N(INDEX(tblProductos[CostoUnitario],ROW()-ROW(tblConteo[#Headers]))))</f>
        <v/>
      </c>
      <c r="L45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8" spans="2:13" x14ac:dyDescent="0.25">
      <c r="B458" s="42" t="str">
        <f>IF(INDEX(tblProductos[SKU],ROW()-ROW(tblConteo[#Headers]))="","",INDEX(tblProductos[SKU],ROW()-ROW(tblConteo[#Headers])))</f>
        <v/>
      </c>
      <c r="C458" s="49" t="str">
        <f>IF(tblConteo[[#This Row],[SKU]]="","",INDEX(tblProductos[Producto],ROW()-ROW(tblConteo[#Headers])))</f>
        <v/>
      </c>
      <c r="D458" s="49" t="str">
        <f>IF(tblConteo[[#This Row],[SKU]]="","",INDEX(tblProductos[Categoría],ROW()-ROW(tblConteo[#Headers]))&amp;"")</f>
        <v/>
      </c>
      <c r="E458" s="42" t="str">
        <f>IF(tblConteo[[#This Row],[SKU]]="","",INDEX(tblProductos[Ubicación],ROW()-ROW(tblConteo[#Headers]))&amp;"")</f>
        <v/>
      </c>
      <c r="F458" s="42" t="str">
        <f>IF(tblConteo[[#This Row],[SKU]]="","",INDEX(tblProductos[Unidad],ROW()-ROW(tblConteo[#Headers]))&amp;"")</f>
        <v/>
      </c>
      <c r="G458" s="42" t="str">
        <f>IF(tblConteo[[#This Row],[SKU]]="","",IF(INDEX(tblProductos[Activo],ROW()-ROW(tblConteo[#Headers]))="NO","NO","SI"))</f>
        <v/>
      </c>
      <c r="H458" s="53" t="str">
        <f>IF(tblConteo[[#This Row],[SKU]]="","",IFERROR(N(INDEX(tblStock[StockActual],MATCH(tblConteo[[#This Row],[SKU]],tblStock[SKU],0))),0))</f>
        <v/>
      </c>
      <c r="I458" s="52"/>
      <c r="J458" s="59" t="str">
        <f>IF(OR(tblConteo[[#This Row],[SKU]]="",tblConteo[[#This Row],[Conteo]]=""),"",IF(ISNUMBER(tblConteo[[#This Row],[Conteo]]),tblConteo[[#This Row],[Conteo]]-N(tblConteo[[#This Row],[Sistema]]),""))</f>
        <v/>
      </c>
      <c r="K458" s="62" t="str">
        <f>IF(tblConteo[[#This Row],[Diferencia]]="","",tblConteo[[#This Row],[Diferencia]]*N(INDEX(tblProductos[CostoUnitario],ROW()-ROW(tblConteo[#Headers]))))</f>
        <v/>
      </c>
      <c r="L45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9" spans="2:13" x14ac:dyDescent="0.25">
      <c r="B459" s="42" t="str">
        <f>IF(INDEX(tblProductos[SKU],ROW()-ROW(tblConteo[#Headers]))="","",INDEX(tblProductos[SKU],ROW()-ROW(tblConteo[#Headers])))</f>
        <v/>
      </c>
      <c r="C459" s="49" t="str">
        <f>IF(tblConteo[[#This Row],[SKU]]="","",INDEX(tblProductos[Producto],ROW()-ROW(tblConteo[#Headers])))</f>
        <v/>
      </c>
      <c r="D459" s="49" t="str">
        <f>IF(tblConteo[[#This Row],[SKU]]="","",INDEX(tblProductos[Categoría],ROW()-ROW(tblConteo[#Headers]))&amp;"")</f>
        <v/>
      </c>
      <c r="E459" s="42" t="str">
        <f>IF(tblConteo[[#This Row],[SKU]]="","",INDEX(tblProductos[Ubicación],ROW()-ROW(tblConteo[#Headers]))&amp;"")</f>
        <v/>
      </c>
      <c r="F459" s="42" t="str">
        <f>IF(tblConteo[[#This Row],[SKU]]="","",INDEX(tblProductos[Unidad],ROW()-ROW(tblConteo[#Headers]))&amp;"")</f>
        <v/>
      </c>
      <c r="G459" s="42" t="str">
        <f>IF(tblConteo[[#This Row],[SKU]]="","",IF(INDEX(tblProductos[Activo],ROW()-ROW(tblConteo[#Headers]))="NO","NO","SI"))</f>
        <v/>
      </c>
      <c r="H459" s="53" t="str">
        <f>IF(tblConteo[[#This Row],[SKU]]="","",IFERROR(N(INDEX(tblStock[StockActual],MATCH(tblConteo[[#This Row],[SKU]],tblStock[SKU],0))),0))</f>
        <v/>
      </c>
      <c r="I459" s="52"/>
      <c r="J459" s="59" t="str">
        <f>IF(OR(tblConteo[[#This Row],[SKU]]="",tblConteo[[#This Row],[Conteo]]=""),"",IF(ISNUMBER(tblConteo[[#This Row],[Conteo]]),tblConteo[[#This Row],[Conteo]]-N(tblConteo[[#This Row],[Sistema]]),""))</f>
        <v/>
      </c>
      <c r="K459" s="62" t="str">
        <f>IF(tblConteo[[#This Row],[Diferencia]]="","",tblConteo[[#This Row],[Diferencia]]*N(INDEX(tblProductos[CostoUnitario],ROW()-ROW(tblConteo[#Headers]))))</f>
        <v/>
      </c>
      <c r="L45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0" spans="2:13" x14ac:dyDescent="0.25">
      <c r="B460" s="42" t="str">
        <f>IF(INDEX(tblProductos[SKU],ROW()-ROW(tblConteo[#Headers]))="","",INDEX(tblProductos[SKU],ROW()-ROW(tblConteo[#Headers])))</f>
        <v/>
      </c>
      <c r="C460" s="49" t="str">
        <f>IF(tblConteo[[#This Row],[SKU]]="","",INDEX(tblProductos[Producto],ROW()-ROW(tblConteo[#Headers])))</f>
        <v/>
      </c>
      <c r="D460" s="49" t="str">
        <f>IF(tblConteo[[#This Row],[SKU]]="","",INDEX(tblProductos[Categoría],ROW()-ROW(tblConteo[#Headers]))&amp;"")</f>
        <v/>
      </c>
      <c r="E460" s="42" t="str">
        <f>IF(tblConteo[[#This Row],[SKU]]="","",INDEX(tblProductos[Ubicación],ROW()-ROW(tblConteo[#Headers]))&amp;"")</f>
        <v/>
      </c>
      <c r="F460" s="42" t="str">
        <f>IF(tblConteo[[#This Row],[SKU]]="","",INDEX(tblProductos[Unidad],ROW()-ROW(tblConteo[#Headers]))&amp;"")</f>
        <v/>
      </c>
      <c r="G460" s="42" t="str">
        <f>IF(tblConteo[[#This Row],[SKU]]="","",IF(INDEX(tblProductos[Activo],ROW()-ROW(tblConteo[#Headers]))="NO","NO","SI"))</f>
        <v/>
      </c>
      <c r="H460" s="53" t="str">
        <f>IF(tblConteo[[#This Row],[SKU]]="","",IFERROR(N(INDEX(tblStock[StockActual],MATCH(tblConteo[[#This Row],[SKU]],tblStock[SKU],0))),0))</f>
        <v/>
      </c>
      <c r="I460" s="52"/>
      <c r="J460" s="59" t="str">
        <f>IF(OR(tblConteo[[#This Row],[SKU]]="",tblConteo[[#This Row],[Conteo]]=""),"",IF(ISNUMBER(tblConteo[[#This Row],[Conteo]]),tblConteo[[#This Row],[Conteo]]-N(tblConteo[[#This Row],[Sistema]]),""))</f>
        <v/>
      </c>
      <c r="K460" s="62" t="str">
        <f>IF(tblConteo[[#This Row],[Diferencia]]="","",tblConteo[[#This Row],[Diferencia]]*N(INDEX(tblProductos[CostoUnitario],ROW()-ROW(tblConteo[#Headers]))))</f>
        <v/>
      </c>
      <c r="L46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1" spans="2:13" x14ac:dyDescent="0.25">
      <c r="B461" s="42" t="str">
        <f>IF(INDEX(tblProductos[SKU],ROW()-ROW(tblConteo[#Headers]))="","",INDEX(tblProductos[SKU],ROW()-ROW(tblConteo[#Headers])))</f>
        <v/>
      </c>
      <c r="C461" s="49" t="str">
        <f>IF(tblConteo[[#This Row],[SKU]]="","",INDEX(tblProductos[Producto],ROW()-ROW(tblConteo[#Headers])))</f>
        <v/>
      </c>
      <c r="D461" s="49" t="str">
        <f>IF(tblConteo[[#This Row],[SKU]]="","",INDEX(tblProductos[Categoría],ROW()-ROW(tblConteo[#Headers]))&amp;"")</f>
        <v/>
      </c>
      <c r="E461" s="42" t="str">
        <f>IF(tblConteo[[#This Row],[SKU]]="","",INDEX(tblProductos[Ubicación],ROW()-ROW(tblConteo[#Headers]))&amp;"")</f>
        <v/>
      </c>
      <c r="F461" s="42" t="str">
        <f>IF(tblConteo[[#This Row],[SKU]]="","",INDEX(tblProductos[Unidad],ROW()-ROW(tblConteo[#Headers]))&amp;"")</f>
        <v/>
      </c>
      <c r="G461" s="42" t="str">
        <f>IF(tblConteo[[#This Row],[SKU]]="","",IF(INDEX(tblProductos[Activo],ROW()-ROW(tblConteo[#Headers]))="NO","NO","SI"))</f>
        <v/>
      </c>
      <c r="H461" s="53" t="str">
        <f>IF(tblConteo[[#This Row],[SKU]]="","",IFERROR(N(INDEX(tblStock[StockActual],MATCH(tblConteo[[#This Row],[SKU]],tblStock[SKU],0))),0))</f>
        <v/>
      </c>
      <c r="I461" s="52"/>
      <c r="J461" s="59" t="str">
        <f>IF(OR(tblConteo[[#This Row],[SKU]]="",tblConteo[[#This Row],[Conteo]]=""),"",IF(ISNUMBER(tblConteo[[#This Row],[Conteo]]),tblConteo[[#This Row],[Conteo]]-N(tblConteo[[#This Row],[Sistema]]),""))</f>
        <v/>
      </c>
      <c r="K461" s="62" t="str">
        <f>IF(tblConteo[[#This Row],[Diferencia]]="","",tblConteo[[#This Row],[Diferencia]]*N(INDEX(tblProductos[CostoUnitario],ROW()-ROW(tblConteo[#Headers]))))</f>
        <v/>
      </c>
      <c r="L46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2" spans="2:13" x14ac:dyDescent="0.25">
      <c r="B462" s="42" t="str">
        <f>IF(INDEX(tblProductos[SKU],ROW()-ROW(tblConteo[#Headers]))="","",INDEX(tblProductos[SKU],ROW()-ROW(tblConteo[#Headers])))</f>
        <v/>
      </c>
      <c r="C462" s="49" t="str">
        <f>IF(tblConteo[[#This Row],[SKU]]="","",INDEX(tblProductos[Producto],ROW()-ROW(tblConteo[#Headers])))</f>
        <v/>
      </c>
      <c r="D462" s="49" t="str">
        <f>IF(tblConteo[[#This Row],[SKU]]="","",INDEX(tblProductos[Categoría],ROW()-ROW(tblConteo[#Headers]))&amp;"")</f>
        <v/>
      </c>
      <c r="E462" s="42" t="str">
        <f>IF(tblConteo[[#This Row],[SKU]]="","",INDEX(tblProductos[Ubicación],ROW()-ROW(tblConteo[#Headers]))&amp;"")</f>
        <v/>
      </c>
      <c r="F462" s="42" t="str">
        <f>IF(tblConteo[[#This Row],[SKU]]="","",INDEX(tblProductos[Unidad],ROW()-ROW(tblConteo[#Headers]))&amp;"")</f>
        <v/>
      </c>
      <c r="G462" s="42" t="str">
        <f>IF(tblConteo[[#This Row],[SKU]]="","",IF(INDEX(tblProductos[Activo],ROW()-ROW(tblConteo[#Headers]))="NO","NO","SI"))</f>
        <v/>
      </c>
      <c r="H462" s="53" t="str">
        <f>IF(tblConteo[[#This Row],[SKU]]="","",IFERROR(N(INDEX(tblStock[StockActual],MATCH(tblConteo[[#This Row],[SKU]],tblStock[SKU],0))),0))</f>
        <v/>
      </c>
      <c r="I462" s="52"/>
      <c r="J462" s="59" t="str">
        <f>IF(OR(tblConteo[[#This Row],[SKU]]="",tblConteo[[#This Row],[Conteo]]=""),"",IF(ISNUMBER(tblConteo[[#This Row],[Conteo]]),tblConteo[[#This Row],[Conteo]]-N(tblConteo[[#This Row],[Sistema]]),""))</f>
        <v/>
      </c>
      <c r="K462" s="62" t="str">
        <f>IF(tblConteo[[#This Row],[Diferencia]]="","",tblConteo[[#This Row],[Diferencia]]*N(INDEX(tblProductos[CostoUnitario],ROW()-ROW(tblConteo[#Headers]))))</f>
        <v/>
      </c>
      <c r="L46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3" spans="2:13" x14ac:dyDescent="0.25">
      <c r="B463" s="42" t="str">
        <f>IF(INDEX(tblProductos[SKU],ROW()-ROW(tblConteo[#Headers]))="","",INDEX(tblProductos[SKU],ROW()-ROW(tblConteo[#Headers])))</f>
        <v/>
      </c>
      <c r="C463" s="49" t="str">
        <f>IF(tblConteo[[#This Row],[SKU]]="","",INDEX(tblProductos[Producto],ROW()-ROW(tblConteo[#Headers])))</f>
        <v/>
      </c>
      <c r="D463" s="49" t="str">
        <f>IF(tblConteo[[#This Row],[SKU]]="","",INDEX(tblProductos[Categoría],ROW()-ROW(tblConteo[#Headers]))&amp;"")</f>
        <v/>
      </c>
      <c r="E463" s="42" t="str">
        <f>IF(tblConteo[[#This Row],[SKU]]="","",INDEX(tblProductos[Ubicación],ROW()-ROW(tblConteo[#Headers]))&amp;"")</f>
        <v/>
      </c>
      <c r="F463" s="42" t="str">
        <f>IF(tblConteo[[#This Row],[SKU]]="","",INDEX(tblProductos[Unidad],ROW()-ROW(tblConteo[#Headers]))&amp;"")</f>
        <v/>
      </c>
      <c r="G463" s="42" t="str">
        <f>IF(tblConteo[[#This Row],[SKU]]="","",IF(INDEX(tblProductos[Activo],ROW()-ROW(tblConteo[#Headers]))="NO","NO","SI"))</f>
        <v/>
      </c>
      <c r="H463" s="53" t="str">
        <f>IF(tblConteo[[#This Row],[SKU]]="","",IFERROR(N(INDEX(tblStock[StockActual],MATCH(tblConteo[[#This Row],[SKU]],tblStock[SKU],0))),0))</f>
        <v/>
      </c>
      <c r="I463" s="52"/>
      <c r="J463" s="59" t="str">
        <f>IF(OR(tblConteo[[#This Row],[SKU]]="",tblConteo[[#This Row],[Conteo]]=""),"",IF(ISNUMBER(tblConteo[[#This Row],[Conteo]]),tblConteo[[#This Row],[Conteo]]-N(tblConteo[[#This Row],[Sistema]]),""))</f>
        <v/>
      </c>
      <c r="K463" s="62" t="str">
        <f>IF(tblConteo[[#This Row],[Diferencia]]="","",tblConteo[[#This Row],[Diferencia]]*N(INDEX(tblProductos[CostoUnitario],ROW()-ROW(tblConteo[#Headers]))))</f>
        <v/>
      </c>
      <c r="L46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4" spans="2:13" x14ac:dyDescent="0.25">
      <c r="B464" s="42" t="str">
        <f>IF(INDEX(tblProductos[SKU],ROW()-ROW(tblConteo[#Headers]))="","",INDEX(tblProductos[SKU],ROW()-ROW(tblConteo[#Headers])))</f>
        <v/>
      </c>
      <c r="C464" s="49" t="str">
        <f>IF(tblConteo[[#This Row],[SKU]]="","",INDEX(tblProductos[Producto],ROW()-ROW(tblConteo[#Headers])))</f>
        <v/>
      </c>
      <c r="D464" s="49" t="str">
        <f>IF(tblConteo[[#This Row],[SKU]]="","",INDEX(tblProductos[Categoría],ROW()-ROW(tblConteo[#Headers]))&amp;"")</f>
        <v/>
      </c>
      <c r="E464" s="42" t="str">
        <f>IF(tblConteo[[#This Row],[SKU]]="","",INDEX(tblProductos[Ubicación],ROW()-ROW(tblConteo[#Headers]))&amp;"")</f>
        <v/>
      </c>
      <c r="F464" s="42" t="str">
        <f>IF(tblConteo[[#This Row],[SKU]]="","",INDEX(tblProductos[Unidad],ROW()-ROW(tblConteo[#Headers]))&amp;"")</f>
        <v/>
      </c>
      <c r="G464" s="42" t="str">
        <f>IF(tblConteo[[#This Row],[SKU]]="","",IF(INDEX(tblProductos[Activo],ROW()-ROW(tblConteo[#Headers]))="NO","NO","SI"))</f>
        <v/>
      </c>
      <c r="H464" s="53" t="str">
        <f>IF(tblConteo[[#This Row],[SKU]]="","",IFERROR(N(INDEX(tblStock[StockActual],MATCH(tblConteo[[#This Row],[SKU]],tblStock[SKU],0))),0))</f>
        <v/>
      </c>
      <c r="I464" s="52"/>
      <c r="J464" s="59" t="str">
        <f>IF(OR(tblConteo[[#This Row],[SKU]]="",tblConteo[[#This Row],[Conteo]]=""),"",IF(ISNUMBER(tblConteo[[#This Row],[Conteo]]),tblConteo[[#This Row],[Conteo]]-N(tblConteo[[#This Row],[Sistema]]),""))</f>
        <v/>
      </c>
      <c r="K464" s="62" t="str">
        <f>IF(tblConteo[[#This Row],[Diferencia]]="","",tblConteo[[#This Row],[Diferencia]]*N(INDEX(tblProductos[CostoUnitario],ROW()-ROW(tblConteo[#Headers]))))</f>
        <v/>
      </c>
      <c r="L46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5" spans="2:13" x14ac:dyDescent="0.25">
      <c r="B465" s="42" t="str">
        <f>IF(INDEX(tblProductos[SKU],ROW()-ROW(tblConteo[#Headers]))="","",INDEX(tblProductos[SKU],ROW()-ROW(tblConteo[#Headers])))</f>
        <v/>
      </c>
      <c r="C465" s="49" t="str">
        <f>IF(tblConteo[[#This Row],[SKU]]="","",INDEX(tblProductos[Producto],ROW()-ROW(tblConteo[#Headers])))</f>
        <v/>
      </c>
      <c r="D465" s="49" t="str">
        <f>IF(tblConteo[[#This Row],[SKU]]="","",INDEX(tblProductos[Categoría],ROW()-ROW(tblConteo[#Headers]))&amp;"")</f>
        <v/>
      </c>
      <c r="E465" s="42" t="str">
        <f>IF(tblConteo[[#This Row],[SKU]]="","",INDEX(tblProductos[Ubicación],ROW()-ROW(tblConteo[#Headers]))&amp;"")</f>
        <v/>
      </c>
      <c r="F465" s="42" t="str">
        <f>IF(tblConteo[[#This Row],[SKU]]="","",INDEX(tblProductos[Unidad],ROW()-ROW(tblConteo[#Headers]))&amp;"")</f>
        <v/>
      </c>
      <c r="G465" s="42" t="str">
        <f>IF(tblConteo[[#This Row],[SKU]]="","",IF(INDEX(tblProductos[Activo],ROW()-ROW(tblConteo[#Headers]))="NO","NO","SI"))</f>
        <v/>
      </c>
      <c r="H465" s="53" t="str">
        <f>IF(tblConteo[[#This Row],[SKU]]="","",IFERROR(N(INDEX(tblStock[StockActual],MATCH(tblConteo[[#This Row],[SKU]],tblStock[SKU],0))),0))</f>
        <v/>
      </c>
      <c r="I465" s="52"/>
      <c r="J465" s="59" t="str">
        <f>IF(OR(tblConteo[[#This Row],[SKU]]="",tblConteo[[#This Row],[Conteo]]=""),"",IF(ISNUMBER(tblConteo[[#This Row],[Conteo]]),tblConteo[[#This Row],[Conteo]]-N(tblConteo[[#This Row],[Sistema]]),""))</f>
        <v/>
      </c>
      <c r="K465" s="62" t="str">
        <f>IF(tblConteo[[#This Row],[Diferencia]]="","",tblConteo[[#This Row],[Diferencia]]*N(INDEX(tblProductos[CostoUnitario],ROW()-ROW(tblConteo[#Headers]))))</f>
        <v/>
      </c>
      <c r="L46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6" spans="2:13" x14ac:dyDescent="0.25">
      <c r="B466" s="42" t="str">
        <f>IF(INDEX(tblProductos[SKU],ROW()-ROW(tblConteo[#Headers]))="","",INDEX(tblProductos[SKU],ROW()-ROW(tblConteo[#Headers])))</f>
        <v/>
      </c>
      <c r="C466" s="49" t="str">
        <f>IF(tblConteo[[#This Row],[SKU]]="","",INDEX(tblProductos[Producto],ROW()-ROW(tblConteo[#Headers])))</f>
        <v/>
      </c>
      <c r="D466" s="49" t="str">
        <f>IF(tblConteo[[#This Row],[SKU]]="","",INDEX(tblProductos[Categoría],ROW()-ROW(tblConteo[#Headers]))&amp;"")</f>
        <v/>
      </c>
      <c r="E466" s="42" t="str">
        <f>IF(tblConteo[[#This Row],[SKU]]="","",INDEX(tblProductos[Ubicación],ROW()-ROW(tblConteo[#Headers]))&amp;"")</f>
        <v/>
      </c>
      <c r="F466" s="42" t="str">
        <f>IF(tblConteo[[#This Row],[SKU]]="","",INDEX(tblProductos[Unidad],ROW()-ROW(tblConteo[#Headers]))&amp;"")</f>
        <v/>
      </c>
      <c r="G466" s="42" t="str">
        <f>IF(tblConteo[[#This Row],[SKU]]="","",IF(INDEX(tblProductos[Activo],ROW()-ROW(tblConteo[#Headers]))="NO","NO","SI"))</f>
        <v/>
      </c>
      <c r="H466" s="53" t="str">
        <f>IF(tblConteo[[#This Row],[SKU]]="","",IFERROR(N(INDEX(tblStock[StockActual],MATCH(tblConteo[[#This Row],[SKU]],tblStock[SKU],0))),0))</f>
        <v/>
      </c>
      <c r="I466" s="52"/>
      <c r="J466" s="59" t="str">
        <f>IF(OR(tblConteo[[#This Row],[SKU]]="",tblConteo[[#This Row],[Conteo]]=""),"",IF(ISNUMBER(tblConteo[[#This Row],[Conteo]]),tblConteo[[#This Row],[Conteo]]-N(tblConteo[[#This Row],[Sistema]]),""))</f>
        <v/>
      </c>
      <c r="K466" s="62" t="str">
        <f>IF(tblConteo[[#This Row],[Diferencia]]="","",tblConteo[[#This Row],[Diferencia]]*N(INDEX(tblProductos[CostoUnitario],ROW()-ROW(tblConteo[#Headers]))))</f>
        <v/>
      </c>
      <c r="L46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7" spans="2:13" x14ac:dyDescent="0.25">
      <c r="B467" s="42" t="str">
        <f>IF(INDEX(tblProductos[SKU],ROW()-ROW(tblConteo[#Headers]))="","",INDEX(tblProductos[SKU],ROW()-ROW(tblConteo[#Headers])))</f>
        <v/>
      </c>
      <c r="C467" s="49" t="str">
        <f>IF(tblConteo[[#This Row],[SKU]]="","",INDEX(tblProductos[Producto],ROW()-ROW(tblConteo[#Headers])))</f>
        <v/>
      </c>
      <c r="D467" s="49" t="str">
        <f>IF(tblConteo[[#This Row],[SKU]]="","",INDEX(tblProductos[Categoría],ROW()-ROW(tblConteo[#Headers]))&amp;"")</f>
        <v/>
      </c>
      <c r="E467" s="42" t="str">
        <f>IF(tblConteo[[#This Row],[SKU]]="","",INDEX(tblProductos[Ubicación],ROW()-ROW(tblConteo[#Headers]))&amp;"")</f>
        <v/>
      </c>
      <c r="F467" s="42" t="str">
        <f>IF(tblConteo[[#This Row],[SKU]]="","",INDEX(tblProductos[Unidad],ROW()-ROW(tblConteo[#Headers]))&amp;"")</f>
        <v/>
      </c>
      <c r="G467" s="42" t="str">
        <f>IF(tblConteo[[#This Row],[SKU]]="","",IF(INDEX(tblProductos[Activo],ROW()-ROW(tblConteo[#Headers]))="NO","NO","SI"))</f>
        <v/>
      </c>
      <c r="H467" s="53" t="str">
        <f>IF(tblConteo[[#This Row],[SKU]]="","",IFERROR(N(INDEX(tblStock[StockActual],MATCH(tblConteo[[#This Row],[SKU]],tblStock[SKU],0))),0))</f>
        <v/>
      </c>
      <c r="I467" s="52"/>
      <c r="J467" s="59" t="str">
        <f>IF(OR(tblConteo[[#This Row],[SKU]]="",tblConteo[[#This Row],[Conteo]]=""),"",IF(ISNUMBER(tblConteo[[#This Row],[Conteo]]),tblConteo[[#This Row],[Conteo]]-N(tblConteo[[#This Row],[Sistema]]),""))</f>
        <v/>
      </c>
      <c r="K467" s="62" t="str">
        <f>IF(tblConteo[[#This Row],[Diferencia]]="","",tblConteo[[#This Row],[Diferencia]]*N(INDEX(tblProductos[CostoUnitario],ROW()-ROW(tblConteo[#Headers]))))</f>
        <v/>
      </c>
      <c r="L46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8" spans="2:13" x14ac:dyDescent="0.25">
      <c r="B468" s="42" t="str">
        <f>IF(INDEX(tblProductos[SKU],ROW()-ROW(tblConteo[#Headers]))="","",INDEX(tblProductos[SKU],ROW()-ROW(tblConteo[#Headers])))</f>
        <v/>
      </c>
      <c r="C468" s="49" t="str">
        <f>IF(tblConteo[[#This Row],[SKU]]="","",INDEX(tblProductos[Producto],ROW()-ROW(tblConteo[#Headers])))</f>
        <v/>
      </c>
      <c r="D468" s="49" t="str">
        <f>IF(tblConteo[[#This Row],[SKU]]="","",INDEX(tblProductos[Categoría],ROW()-ROW(tblConteo[#Headers]))&amp;"")</f>
        <v/>
      </c>
      <c r="E468" s="42" t="str">
        <f>IF(tblConteo[[#This Row],[SKU]]="","",INDEX(tblProductos[Ubicación],ROW()-ROW(tblConteo[#Headers]))&amp;"")</f>
        <v/>
      </c>
      <c r="F468" s="42" t="str">
        <f>IF(tblConteo[[#This Row],[SKU]]="","",INDEX(tblProductos[Unidad],ROW()-ROW(tblConteo[#Headers]))&amp;"")</f>
        <v/>
      </c>
      <c r="G468" s="42" t="str">
        <f>IF(tblConteo[[#This Row],[SKU]]="","",IF(INDEX(tblProductos[Activo],ROW()-ROW(tblConteo[#Headers]))="NO","NO","SI"))</f>
        <v/>
      </c>
      <c r="H468" s="53" t="str">
        <f>IF(tblConteo[[#This Row],[SKU]]="","",IFERROR(N(INDEX(tblStock[StockActual],MATCH(tblConteo[[#This Row],[SKU]],tblStock[SKU],0))),0))</f>
        <v/>
      </c>
      <c r="I468" s="52"/>
      <c r="J468" s="59" t="str">
        <f>IF(OR(tblConteo[[#This Row],[SKU]]="",tblConteo[[#This Row],[Conteo]]=""),"",IF(ISNUMBER(tblConteo[[#This Row],[Conteo]]),tblConteo[[#This Row],[Conteo]]-N(tblConteo[[#This Row],[Sistema]]),""))</f>
        <v/>
      </c>
      <c r="K468" s="62" t="str">
        <f>IF(tblConteo[[#This Row],[Diferencia]]="","",tblConteo[[#This Row],[Diferencia]]*N(INDEX(tblProductos[CostoUnitario],ROW()-ROW(tblConteo[#Headers]))))</f>
        <v/>
      </c>
      <c r="L46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9" spans="2:13" x14ac:dyDescent="0.25">
      <c r="B469" s="42" t="str">
        <f>IF(INDEX(tblProductos[SKU],ROW()-ROW(tblConteo[#Headers]))="","",INDEX(tblProductos[SKU],ROW()-ROW(tblConteo[#Headers])))</f>
        <v/>
      </c>
      <c r="C469" s="49" t="str">
        <f>IF(tblConteo[[#This Row],[SKU]]="","",INDEX(tblProductos[Producto],ROW()-ROW(tblConteo[#Headers])))</f>
        <v/>
      </c>
      <c r="D469" s="49" t="str">
        <f>IF(tblConteo[[#This Row],[SKU]]="","",INDEX(tblProductos[Categoría],ROW()-ROW(tblConteo[#Headers]))&amp;"")</f>
        <v/>
      </c>
      <c r="E469" s="42" t="str">
        <f>IF(tblConteo[[#This Row],[SKU]]="","",INDEX(tblProductos[Ubicación],ROW()-ROW(tblConteo[#Headers]))&amp;"")</f>
        <v/>
      </c>
      <c r="F469" s="42" t="str">
        <f>IF(tblConteo[[#This Row],[SKU]]="","",INDEX(tblProductos[Unidad],ROW()-ROW(tblConteo[#Headers]))&amp;"")</f>
        <v/>
      </c>
      <c r="G469" s="42" t="str">
        <f>IF(tblConteo[[#This Row],[SKU]]="","",IF(INDEX(tblProductos[Activo],ROW()-ROW(tblConteo[#Headers]))="NO","NO","SI"))</f>
        <v/>
      </c>
      <c r="H469" s="53" t="str">
        <f>IF(tblConteo[[#This Row],[SKU]]="","",IFERROR(N(INDEX(tblStock[StockActual],MATCH(tblConteo[[#This Row],[SKU]],tblStock[SKU],0))),0))</f>
        <v/>
      </c>
      <c r="I469" s="52"/>
      <c r="J469" s="59" t="str">
        <f>IF(OR(tblConteo[[#This Row],[SKU]]="",tblConteo[[#This Row],[Conteo]]=""),"",IF(ISNUMBER(tblConteo[[#This Row],[Conteo]]),tblConteo[[#This Row],[Conteo]]-N(tblConteo[[#This Row],[Sistema]]),""))</f>
        <v/>
      </c>
      <c r="K469" s="62" t="str">
        <f>IF(tblConteo[[#This Row],[Diferencia]]="","",tblConteo[[#This Row],[Diferencia]]*N(INDEX(tblProductos[CostoUnitario],ROW()-ROW(tblConteo[#Headers]))))</f>
        <v/>
      </c>
      <c r="L46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0" spans="2:13" x14ac:dyDescent="0.25">
      <c r="B470" s="42" t="str">
        <f>IF(INDEX(tblProductos[SKU],ROW()-ROW(tblConteo[#Headers]))="","",INDEX(tblProductos[SKU],ROW()-ROW(tblConteo[#Headers])))</f>
        <v/>
      </c>
      <c r="C470" s="49" t="str">
        <f>IF(tblConteo[[#This Row],[SKU]]="","",INDEX(tblProductos[Producto],ROW()-ROW(tblConteo[#Headers])))</f>
        <v/>
      </c>
      <c r="D470" s="49" t="str">
        <f>IF(tblConteo[[#This Row],[SKU]]="","",INDEX(tblProductos[Categoría],ROW()-ROW(tblConteo[#Headers]))&amp;"")</f>
        <v/>
      </c>
      <c r="E470" s="42" t="str">
        <f>IF(tblConteo[[#This Row],[SKU]]="","",INDEX(tblProductos[Ubicación],ROW()-ROW(tblConteo[#Headers]))&amp;"")</f>
        <v/>
      </c>
      <c r="F470" s="42" t="str">
        <f>IF(tblConteo[[#This Row],[SKU]]="","",INDEX(tblProductos[Unidad],ROW()-ROW(tblConteo[#Headers]))&amp;"")</f>
        <v/>
      </c>
      <c r="G470" s="42" t="str">
        <f>IF(tblConteo[[#This Row],[SKU]]="","",IF(INDEX(tblProductos[Activo],ROW()-ROW(tblConteo[#Headers]))="NO","NO","SI"))</f>
        <v/>
      </c>
      <c r="H470" s="53" t="str">
        <f>IF(tblConteo[[#This Row],[SKU]]="","",IFERROR(N(INDEX(tblStock[StockActual],MATCH(tblConteo[[#This Row],[SKU]],tblStock[SKU],0))),0))</f>
        <v/>
      </c>
      <c r="I470" s="52"/>
      <c r="J470" s="59" t="str">
        <f>IF(OR(tblConteo[[#This Row],[SKU]]="",tblConteo[[#This Row],[Conteo]]=""),"",IF(ISNUMBER(tblConteo[[#This Row],[Conteo]]),tblConteo[[#This Row],[Conteo]]-N(tblConteo[[#This Row],[Sistema]]),""))</f>
        <v/>
      </c>
      <c r="K470" s="62" t="str">
        <f>IF(tblConteo[[#This Row],[Diferencia]]="","",tblConteo[[#This Row],[Diferencia]]*N(INDEX(tblProductos[CostoUnitario],ROW()-ROW(tblConteo[#Headers]))))</f>
        <v/>
      </c>
      <c r="L47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1" spans="2:13" x14ac:dyDescent="0.25">
      <c r="B471" s="42" t="str">
        <f>IF(INDEX(tblProductos[SKU],ROW()-ROW(tblConteo[#Headers]))="","",INDEX(tblProductos[SKU],ROW()-ROW(tblConteo[#Headers])))</f>
        <v/>
      </c>
      <c r="C471" s="49" t="str">
        <f>IF(tblConteo[[#This Row],[SKU]]="","",INDEX(tblProductos[Producto],ROW()-ROW(tblConteo[#Headers])))</f>
        <v/>
      </c>
      <c r="D471" s="49" t="str">
        <f>IF(tblConteo[[#This Row],[SKU]]="","",INDEX(tblProductos[Categoría],ROW()-ROW(tblConteo[#Headers]))&amp;"")</f>
        <v/>
      </c>
      <c r="E471" s="42" t="str">
        <f>IF(tblConteo[[#This Row],[SKU]]="","",INDEX(tblProductos[Ubicación],ROW()-ROW(tblConteo[#Headers]))&amp;"")</f>
        <v/>
      </c>
      <c r="F471" s="42" t="str">
        <f>IF(tblConteo[[#This Row],[SKU]]="","",INDEX(tblProductos[Unidad],ROW()-ROW(tblConteo[#Headers]))&amp;"")</f>
        <v/>
      </c>
      <c r="G471" s="42" t="str">
        <f>IF(tblConteo[[#This Row],[SKU]]="","",IF(INDEX(tblProductos[Activo],ROW()-ROW(tblConteo[#Headers]))="NO","NO","SI"))</f>
        <v/>
      </c>
      <c r="H471" s="53" t="str">
        <f>IF(tblConteo[[#This Row],[SKU]]="","",IFERROR(N(INDEX(tblStock[StockActual],MATCH(tblConteo[[#This Row],[SKU]],tblStock[SKU],0))),0))</f>
        <v/>
      </c>
      <c r="I471" s="52"/>
      <c r="J471" s="59" t="str">
        <f>IF(OR(tblConteo[[#This Row],[SKU]]="",tblConteo[[#This Row],[Conteo]]=""),"",IF(ISNUMBER(tblConteo[[#This Row],[Conteo]]),tblConteo[[#This Row],[Conteo]]-N(tblConteo[[#This Row],[Sistema]]),""))</f>
        <v/>
      </c>
      <c r="K471" s="62" t="str">
        <f>IF(tblConteo[[#This Row],[Diferencia]]="","",tblConteo[[#This Row],[Diferencia]]*N(INDEX(tblProductos[CostoUnitario],ROW()-ROW(tblConteo[#Headers]))))</f>
        <v/>
      </c>
      <c r="L47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2" spans="2:13" x14ac:dyDescent="0.25">
      <c r="B472" s="42" t="str">
        <f>IF(INDEX(tblProductos[SKU],ROW()-ROW(tblConteo[#Headers]))="","",INDEX(tblProductos[SKU],ROW()-ROW(tblConteo[#Headers])))</f>
        <v/>
      </c>
      <c r="C472" s="49" t="str">
        <f>IF(tblConteo[[#This Row],[SKU]]="","",INDEX(tblProductos[Producto],ROW()-ROW(tblConteo[#Headers])))</f>
        <v/>
      </c>
      <c r="D472" s="49" t="str">
        <f>IF(tblConteo[[#This Row],[SKU]]="","",INDEX(tblProductos[Categoría],ROW()-ROW(tblConteo[#Headers]))&amp;"")</f>
        <v/>
      </c>
      <c r="E472" s="42" t="str">
        <f>IF(tblConteo[[#This Row],[SKU]]="","",INDEX(tblProductos[Ubicación],ROW()-ROW(tblConteo[#Headers]))&amp;"")</f>
        <v/>
      </c>
      <c r="F472" s="42" t="str">
        <f>IF(tblConteo[[#This Row],[SKU]]="","",INDEX(tblProductos[Unidad],ROW()-ROW(tblConteo[#Headers]))&amp;"")</f>
        <v/>
      </c>
      <c r="G472" s="42" t="str">
        <f>IF(tblConteo[[#This Row],[SKU]]="","",IF(INDEX(tblProductos[Activo],ROW()-ROW(tblConteo[#Headers]))="NO","NO","SI"))</f>
        <v/>
      </c>
      <c r="H472" s="53" t="str">
        <f>IF(tblConteo[[#This Row],[SKU]]="","",IFERROR(N(INDEX(tblStock[StockActual],MATCH(tblConteo[[#This Row],[SKU]],tblStock[SKU],0))),0))</f>
        <v/>
      </c>
      <c r="I472" s="52"/>
      <c r="J472" s="59" t="str">
        <f>IF(OR(tblConteo[[#This Row],[SKU]]="",tblConteo[[#This Row],[Conteo]]=""),"",IF(ISNUMBER(tblConteo[[#This Row],[Conteo]]),tblConteo[[#This Row],[Conteo]]-N(tblConteo[[#This Row],[Sistema]]),""))</f>
        <v/>
      </c>
      <c r="K472" s="62" t="str">
        <f>IF(tblConteo[[#This Row],[Diferencia]]="","",tblConteo[[#This Row],[Diferencia]]*N(INDEX(tblProductos[CostoUnitario],ROW()-ROW(tblConteo[#Headers]))))</f>
        <v/>
      </c>
      <c r="L47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3" spans="2:13" x14ac:dyDescent="0.25">
      <c r="B473" s="42" t="str">
        <f>IF(INDEX(tblProductos[SKU],ROW()-ROW(tblConteo[#Headers]))="","",INDEX(tblProductos[SKU],ROW()-ROW(tblConteo[#Headers])))</f>
        <v/>
      </c>
      <c r="C473" s="49" t="str">
        <f>IF(tblConteo[[#This Row],[SKU]]="","",INDEX(tblProductos[Producto],ROW()-ROW(tblConteo[#Headers])))</f>
        <v/>
      </c>
      <c r="D473" s="49" t="str">
        <f>IF(tblConteo[[#This Row],[SKU]]="","",INDEX(tblProductos[Categoría],ROW()-ROW(tblConteo[#Headers]))&amp;"")</f>
        <v/>
      </c>
      <c r="E473" s="42" t="str">
        <f>IF(tblConteo[[#This Row],[SKU]]="","",INDEX(tblProductos[Ubicación],ROW()-ROW(tblConteo[#Headers]))&amp;"")</f>
        <v/>
      </c>
      <c r="F473" s="42" t="str">
        <f>IF(tblConteo[[#This Row],[SKU]]="","",INDEX(tblProductos[Unidad],ROW()-ROW(tblConteo[#Headers]))&amp;"")</f>
        <v/>
      </c>
      <c r="G473" s="42" t="str">
        <f>IF(tblConteo[[#This Row],[SKU]]="","",IF(INDEX(tblProductos[Activo],ROW()-ROW(tblConteo[#Headers]))="NO","NO","SI"))</f>
        <v/>
      </c>
      <c r="H473" s="53" t="str">
        <f>IF(tblConteo[[#This Row],[SKU]]="","",IFERROR(N(INDEX(tblStock[StockActual],MATCH(tblConteo[[#This Row],[SKU]],tblStock[SKU],0))),0))</f>
        <v/>
      </c>
      <c r="I473" s="52"/>
      <c r="J473" s="59" t="str">
        <f>IF(OR(tblConteo[[#This Row],[SKU]]="",tblConteo[[#This Row],[Conteo]]=""),"",IF(ISNUMBER(tblConteo[[#This Row],[Conteo]]),tblConteo[[#This Row],[Conteo]]-N(tblConteo[[#This Row],[Sistema]]),""))</f>
        <v/>
      </c>
      <c r="K473" s="62" t="str">
        <f>IF(tblConteo[[#This Row],[Diferencia]]="","",tblConteo[[#This Row],[Diferencia]]*N(INDEX(tblProductos[CostoUnitario],ROW()-ROW(tblConteo[#Headers]))))</f>
        <v/>
      </c>
      <c r="L47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4" spans="2:13" x14ac:dyDescent="0.25">
      <c r="B474" s="42" t="str">
        <f>IF(INDEX(tblProductos[SKU],ROW()-ROW(tblConteo[#Headers]))="","",INDEX(tblProductos[SKU],ROW()-ROW(tblConteo[#Headers])))</f>
        <v/>
      </c>
      <c r="C474" s="49" t="str">
        <f>IF(tblConteo[[#This Row],[SKU]]="","",INDEX(tblProductos[Producto],ROW()-ROW(tblConteo[#Headers])))</f>
        <v/>
      </c>
      <c r="D474" s="49" t="str">
        <f>IF(tblConteo[[#This Row],[SKU]]="","",INDEX(tblProductos[Categoría],ROW()-ROW(tblConteo[#Headers]))&amp;"")</f>
        <v/>
      </c>
      <c r="E474" s="42" t="str">
        <f>IF(tblConteo[[#This Row],[SKU]]="","",INDEX(tblProductos[Ubicación],ROW()-ROW(tblConteo[#Headers]))&amp;"")</f>
        <v/>
      </c>
      <c r="F474" s="42" t="str">
        <f>IF(tblConteo[[#This Row],[SKU]]="","",INDEX(tblProductos[Unidad],ROW()-ROW(tblConteo[#Headers]))&amp;"")</f>
        <v/>
      </c>
      <c r="G474" s="42" t="str">
        <f>IF(tblConteo[[#This Row],[SKU]]="","",IF(INDEX(tblProductos[Activo],ROW()-ROW(tblConteo[#Headers]))="NO","NO","SI"))</f>
        <v/>
      </c>
      <c r="H474" s="53" t="str">
        <f>IF(tblConteo[[#This Row],[SKU]]="","",IFERROR(N(INDEX(tblStock[StockActual],MATCH(tblConteo[[#This Row],[SKU]],tblStock[SKU],0))),0))</f>
        <v/>
      </c>
      <c r="I474" s="52"/>
      <c r="J474" s="59" t="str">
        <f>IF(OR(tblConteo[[#This Row],[SKU]]="",tblConteo[[#This Row],[Conteo]]=""),"",IF(ISNUMBER(tblConteo[[#This Row],[Conteo]]),tblConteo[[#This Row],[Conteo]]-N(tblConteo[[#This Row],[Sistema]]),""))</f>
        <v/>
      </c>
      <c r="K474" s="62" t="str">
        <f>IF(tblConteo[[#This Row],[Diferencia]]="","",tblConteo[[#This Row],[Diferencia]]*N(INDEX(tblProductos[CostoUnitario],ROW()-ROW(tblConteo[#Headers]))))</f>
        <v/>
      </c>
      <c r="L47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5" spans="2:13" x14ac:dyDescent="0.25">
      <c r="B475" s="42" t="str">
        <f>IF(INDEX(tblProductos[SKU],ROW()-ROW(tblConteo[#Headers]))="","",INDEX(tblProductos[SKU],ROW()-ROW(tblConteo[#Headers])))</f>
        <v/>
      </c>
      <c r="C475" s="49" t="str">
        <f>IF(tblConteo[[#This Row],[SKU]]="","",INDEX(tblProductos[Producto],ROW()-ROW(tblConteo[#Headers])))</f>
        <v/>
      </c>
      <c r="D475" s="49" t="str">
        <f>IF(tblConteo[[#This Row],[SKU]]="","",INDEX(tblProductos[Categoría],ROW()-ROW(tblConteo[#Headers]))&amp;"")</f>
        <v/>
      </c>
      <c r="E475" s="42" t="str">
        <f>IF(tblConteo[[#This Row],[SKU]]="","",INDEX(tblProductos[Ubicación],ROW()-ROW(tblConteo[#Headers]))&amp;"")</f>
        <v/>
      </c>
      <c r="F475" s="42" t="str">
        <f>IF(tblConteo[[#This Row],[SKU]]="","",INDEX(tblProductos[Unidad],ROW()-ROW(tblConteo[#Headers]))&amp;"")</f>
        <v/>
      </c>
      <c r="G475" s="42" t="str">
        <f>IF(tblConteo[[#This Row],[SKU]]="","",IF(INDEX(tblProductos[Activo],ROW()-ROW(tblConteo[#Headers]))="NO","NO","SI"))</f>
        <v/>
      </c>
      <c r="H475" s="53" t="str">
        <f>IF(tblConteo[[#This Row],[SKU]]="","",IFERROR(N(INDEX(tblStock[StockActual],MATCH(tblConteo[[#This Row],[SKU]],tblStock[SKU],0))),0))</f>
        <v/>
      </c>
      <c r="I475" s="52"/>
      <c r="J475" s="59" t="str">
        <f>IF(OR(tblConteo[[#This Row],[SKU]]="",tblConteo[[#This Row],[Conteo]]=""),"",IF(ISNUMBER(tblConteo[[#This Row],[Conteo]]),tblConteo[[#This Row],[Conteo]]-N(tblConteo[[#This Row],[Sistema]]),""))</f>
        <v/>
      </c>
      <c r="K475" s="62" t="str">
        <f>IF(tblConteo[[#This Row],[Diferencia]]="","",tblConteo[[#This Row],[Diferencia]]*N(INDEX(tblProductos[CostoUnitario],ROW()-ROW(tblConteo[#Headers]))))</f>
        <v/>
      </c>
      <c r="L47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6" spans="2:13" x14ac:dyDescent="0.25">
      <c r="B476" s="42" t="str">
        <f>IF(INDEX(tblProductos[SKU],ROW()-ROW(tblConteo[#Headers]))="","",INDEX(tblProductos[SKU],ROW()-ROW(tblConteo[#Headers])))</f>
        <v/>
      </c>
      <c r="C476" s="49" t="str">
        <f>IF(tblConteo[[#This Row],[SKU]]="","",INDEX(tblProductos[Producto],ROW()-ROW(tblConteo[#Headers])))</f>
        <v/>
      </c>
      <c r="D476" s="49" t="str">
        <f>IF(tblConteo[[#This Row],[SKU]]="","",INDEX(tblProductos[Categoría],ROW()-ROW(tblConteo[#Headers]))&amp;"")</f>
        <v/>
      </c>
      <c r="E476" s="42" t="str">
        <f>IF(tblConteo[[#This Row],[SKU]]="","",INDEX(tblProductos[Ubicación],ROW()-ROW(tblConteo[#Headers]))&amp;"")</f>
        <v/>
      </c>
      <c r="F476" s="42" t="str">
        <f>IF(tblConteo[[#This Row],[SKU]]="","",INDEX(tblProductos[Unidad],ROW()-ROW(tblConteo[#Headers]))&amp;"")</f>
        <v/>
      </c>
      <c r="G476" s="42" t="str">
        <f>IF(tblConteo[[#This Row],[SKU]]="","",IF(INDEX(tblProductos[Activo],ROW()-ROW(tblConteo[#Headers]))="NO","NO","SI"))</f>
        <v/>
      </c>
      <c r="H476" s="53" t="str">
        <f>IF(tblConteo[[#This Row],[SKU]]="","",IFERROR(N(INDEX(tblStock[StockActual],MATCH(tblConteo[[#This Row],[SKU]],tblStock[SKU],0))),0))</f>
        <v/>
      </c>
      <c r="I476" s="52"/>
      <c r="J476" s="59" t="str">
        <f>IF(OR(tblConteo[[#This Row],[SKU]]="",tblConteo[[#This Row],[Conteo]]=""),"",IF(ISNUMBER(tblConteo[[#This Row],[Conteo]]),tblConteo[[#This Row],[Conteo]]-N(tblConteo[[#This Row],[Sistema]]),""))</f>
        <v/>
      </c>
      <c r="K476" s="62" t="str">
        <f>IF(tblConteo[[#This Row],[Diferencia]]="","",tblConteo[[#This Row],[Diferencia]]*N(INDEX(tblProductos[CostoUnitario],ROW()-ROW(tblConteo[#Headers]))))</f>
        <v/>
      </c>
      <c r="L47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7" spans="2:13" x14ac:dyDescent="0.25">
      <c r="B477" s="42" t="str">
        <f>IF(INDEX(tblProductos[SKU],ROW()-ROW(tblConteo[#Headers]))="","",INDEX(tblProductos[SKU],ROW()-ROW(tblConteo[#Headers])))</f>
        <v/>
      </c>
      <c r="C477" s="49" t="str">
        <f>IF(tblConteo[[#This Row],[SKU]]="","",INDEX(tblProductos[Producto],ROW()-ROW(tblConteo[#Headers])))</f>
        <v/>
      </c>
      <c r="D477" s="49" t="str">
        <f>IF(tblConteo[[#This Row],[SKU]]="","",INDEX(tblProductos[Categoría],ROW()-ROW(tblConteo[#Headers]))&amp;"")</f>
        <v/>
      </c>
      <c r="E477" s="42" t="str">
        <f>IF(tblConteo[[#This Row],[SKU]]="","",INDEX(tblProductos[Ubicación],ROW()-ROW(tblConteo[#Headers]))&amp;"")</f>
        <v/>
      </c>
      <c r="F477" s="42" t="str">
        <f>IF(tblConteo[[#This Row],[SKU]]="","",INDEX(tblProductos[Unidad],ROW()-ROW(tblConteo[#Headers]))&amp;"")</f>
        <v/>
      </c>
      <c r="G477" s="42" t="str">
        <f>IF(tblConteo[[#This Row],[SKU]]="","",IF(INDEX(tblProductos[Activo],ROW()-ROW(tblConteo[#Headers]))="NO","NO","SI"))</f>
        <v/>
      </c>
      <c r="H477" s="53" t="str">
        <f>IF(tblConteo[[#This Row],[SKU]]="","",IFERROR(N(INDEX(tblStock[StockActual],MATCH(tblConteo[[#This Row],[SKU]],tblStock[SKU],0))),0))</f>
        <v/>
      </c>
      <c r="I477" s="52"/>
      <c r="J477" s="59" t="str">
        <f>IF(OR(tblConteo[[#This Row],[SKU]]="",tblConteo[[#This Row],[Conteo]]=""),"",IF(ISNUMBER(tblConteo[[#This Row],[Conteo]]),tblConteo[[#This Row],[Conteo]]-N(tblConteo[[#This Row],[Sistema]]),""))</f>
        <v/>
      </c>
      <c r="K477" s="62" t="str">
        <f>IF(tblConteo[[#This Row],[Diferencia]]="","",tblConteo[[#This Row],[Diferencia]]*N(INDEX(tblProductos[CostoUnitario],ROW()-ROW(tblConteo[#Headers]))))</f>
        <v/>
      </c>
      <c r="L47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8" spans="2:13" x14ac:dyDescent="0.25">
      <c r="B478" s="42" t="str">
        <f>IF(INDEX(tblProductos[SKU],ROW()-ROW(tblConteo[#Headers]))="","",INDEX(tblProductos[SKU],ROW()-ROW(tblConteo[#Headers])))</f>
        <v/>
      </c>
      <c r="C478" s="49" t="str">
        <f>IF(tblConteo[[#This Row],[SKU]]="","",INDEX(tblProductos[Producto],ROW()-ROW(tblConteo[#Headers])))</f>
        <v/>
      </c>
      <c r="D478" s="49" t="str">
        <f>IF(tblConteo[[#This Row],[SKU]]="","",INDEX(tblProductos[Categoría],ROW()-ROW(tblConteo[#Headers]))&amp;"")</f>
        <v/>
      </c>
      <c r="E478" s="42" t="str">
        <f>IF(tblConteo[[#This Row],[SKU]]="","",INDEX(tblProductos[Ubicación],ROW()-ROW(tblConteo[#Headers]))&amp;"")</f>
        <v/>
      </c>
      <c r="F478" s="42" t="str">
        <f>IF(tblConteo[[#This Row],[SKU]]="","",INDEX(tblProductos[Unidad],ROW()-ROW(tblConteo[#Headers]))&amp;"")</f>
        <v/>
      </c>
      <c r="G478" s="42" t="str">
        <f>IF(tblConteo[[#This Row],[SKU]]="","",IF(INDEX(tblProductos[Activo],ROW()-ROW(tblConteo[#Headers]))="NO","NO","SI"))</f>
        <v/>
      </c>
      <c r="H478" s="53" t="str">
        <f>IF(tblConteo[[#This Row],[SKU]]="","",IFERROR(N(INDEX(tblStock[StockActual],MATCH(tblConteo[[#This Row],[SKU]],tblStock[SKU],0))),0))</f>
        <v/>
      </c>
      <c r="I478" s="52"/>
      <c r="J478" s="59" t="str">
        <f>IF(OR(tblConteo[[#This Row],[SKU]]="",tblConteo[[#This Row],[Conteo]]=""),"",IF(ISNUMBER(tblConteo[[#This Row],[Conteo]]),tblConteo[[#This Row],[Conteo]]-N(tblConteo[[#This Row],[Sistema]]),""))</f>
        <v/>
      </c>
      <c r="K478" s="62" t="str">
        <f>IF(tblConteo[[#This Row],[Diferencia]]="","",tblConteo[[#This Row],[Diferencia]]*N(INDEX(tblProductos[CostoUnitario],ROW()-ROW(tblConteo[#Headers]))))</f>
        <v/>
      </c>
      <c r="L47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9" spans="2:13" x14ac:dyDescent="0.25">
      <c r="B479" s="42" t="str">
        <f>IF(INDEX(tblProductos[SKU],ROW()-ROW(tblConteo[#Headers]))="","",INDEX(tblProductos[SKU],ROW()-ROW(tblConteo[#Headers])))</f>
        <v/>
      </c>
      <c r="C479" s="49" t="str">
        <f>IF(tblConteo[[#This Row],[SKU]]="","",INDEX(tblProductos[Producto],ROW()-ROW(tblConteo[#Headers])))</f>
        <v/>
      </c>
      <c r="D479" s="49" t="str">
        <f>IF(tblConteo[[#This Row],[SKU]]="","",INDEX(tblProductos[Categoría],ROW()-ROW(tblConteo[#Headers]))&amp;"")</f>
        <v/>
      </c>
      <c r="E479" s="42" t="str">
        <f>IF(tblConteo[[#This Row],[SKU]]="","",INDEX(tblProductos[Ubicación],ROW()-ROW(tblConteo[#Headers]))&amp;"")</f>
        <v/>
      </c>
      <c r="F479" s="42" t="str">
        <f>IF(tblConteo[[#This Row],[SKU]]="","",INDEX(tblProductos[Unidad],ROW()-ROW(tblConteo[#Headers]))&amp;"")</f>
        <v/>
      </c>
      <c r="G479" s="42" t="str">
        <f>IF(tblConteo[[#This Row],[SKU]]="","",IF(INDEX(tblProductos[Activo],ROW()-ROW(tblConteo[#Headers]))="NO","NO","SI"))</f>
        <v/>
      </c>
      <c r="H479" s="53" t="str">
        <f>IF(tblConteo[[#This Row],[SKU]]="","",IFERROR(N(INDEX(tblStock[StockActual],MATCH(tblConteo[[#This Row],[SKU]],tblStock[SKU],0))),0))</f>
        <v/>
      </c>
      <c r="I479" s="52"/>
      <c r="J479" s="59" t="str">
        <f>IF(OR(tblConteo[[#This Row],[SKU]]="",tblConteo[[#This Row],[Conteo]]=""),"",IF(ISNUMBER(tblConteo[[#This Row],[Conteo]]),tblConteo[[#This Row],[Conteo]]-N(tblConteo[[#This Row],[Sistema]]),""))</f>
        <v/>
      </c>
      <c r="K479" s="62" t="str">
        <f>IF(tblConteo[[#This Row],[Diferencia]]="","",tblConteo[[#This Row],[Diferencia]]*N(INDEX(tblProductos[CostoUnitario],ROW()-ROW(tblConteo[#Headers]))))</f>
        <v/>
      </c>
      <c r="L47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0" spans="2:13" x14ac:dyDescent="0.25">
      <c r="B480" s="42" t="str">
        <f>IF(INDEX(tblProductos[SKU],ROW()-ROW(tblConteo[#Headers]))="","",INDEX(tblProductos[SKU],ROW()-ROW(tblConteo[#Headers])))</f>
        <v/>
      </c>
      <c r="C480" s="49" t="str">
        <f>IF(tblConteo[[#This Row],[SKU]]="","",INDEX(tblProductos[Producto],ROW()-ROW(tblConteo[#Headers])))</f>
        <v/>
      </c>
      <c r="D480" s="49" t="str">
        <f>IF(tblConteo[[#This Row],[SKU]]="","",INDEX(tblProductos[Categoría],ROW()-ROW(tblConteo[#Headers]))&amp;"")</f>
        <v/>
      </c>
      <c r="E480" s="42" t="str">
        <f>IF(tblConteo[[#This Row],[SKU]]="","",INDEX(tblProductos[Ubicación],ROW()-ROW(tblConteo[#Headers]))&amp;"")</f>
        <v/>
      </c>
      <c r="F480" s="42" t="str">
        <f>IF(tblConteo[[#This Row],[SKU]]="","",INDEX(tblProductos[Unidad],ROW()-ROW(tblConteo[#Headers]))&amp;"")</f>
        <v/>
      </c>
      <c r="G480" s="42" t="str">
        <f>IF(tblConteo[[#This Row],[SKU]]="","",IF(INDEX(tblProductos[Activo],ROW()-ROW(tblConteo[#Headers]))="NO","NO","SI"))</f>
        <v/>
      </c>
      <c r="H480" s="53" t="str">
        <f>IF(tblConteo[[#This Row],[SKU]]="","",IFERROR(N(INDEX(tblStock[StockActual],MATCH(tblConteo[[#This Row],[SKU]],tblStock[SKU],0))),0))</f>
        <v/>
      </c>
      <c r="I480" s="52"/>
      <c r="J480" s="59" t="str">
        <f>IF(OR(tblConteo[[#This Row],[SKU]]="",tblConteo[[#This Row],[Conteo]]=""),"",IF(ISNUMBER(tblConteo[[#This Row],[Conteo]]),tblConteo[[#This Row],[Conteo]]-N(tblConteo[[#This Row],[Sistema]]),""))</f>
        <v/>
      </c>
      <c r="K480" s="62" t="str">
        <f>IF(tblConteo[[#This Row],[Diferencia]]="","",tblConteo[[#This Row],[Diferencia]]*N(INDEX(tblProductos[CostoUnitario],ROW()-ROW(tblConteo[#Headers]))))</f>
        <v/>
      </c>
      <c r="L48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1" spans="2:13" x14ac:dyDescent="0.25">
      <c r="B481" s="42" t="str">
        <f>IF(INDEX(tblProductos[SKU],ROW()-ROW(tblConteo[#Headers]))="","",INDEX(tblProductos[SKU],ROW()-ROW(tblConteo[#Headers])))</f>
        <v/>
      </c>
      <c r="C481" s="49" t="str">
        <f>IF(tblConteo[[#This Row],[SKU]]="","",INDEX(tblProductos[Producto],ROW()-ROW(tblConteo[#Headers])))</f>
        <v/>
      </c>
      <c r="D481" s="49" t="str">
        <f>IF(tblConteo[[#This Row],[SKU]]="","",INDEX(tblProductos[Categoría],ROW()-ROW(tblConteo[#Headers]))&amp;"")</f>
        <v/>
      </c>
      <c r="E481" s="42" t="str">
        <f>IF(tblConteo[[#This Row],[SKU]]="","",INDEX(tblProductos[Ubicación],ROW()-ROW(tblConteo[#Headers]))&amp;"")</f>
        <v/>
      </c>
      <c r="F481" s="42" t="str">
        <f>IF(tblConteo[[#This Row],[SKU]]="","",INDEX(tblProductos[Unidad],ROW()-ROW(tblConteo[#Headers]))&amp;"")</f>
        <v/>
      </c>
      <c r="G481" s="42" t="str">
        <f>IF(tblConteo[[#This Row],[SKU]]="","",IF(INDEX(tblProductos[Activo],ROW()-ROW(tblConteo[#Headers]))="NO","NO","SI"))</f>
        <v/>
      </c>
      <c r="H481" s="53" t="str">
        <f>IF(tblConteo[[#This Row],[SKU]]="","",IFERROR(N(INDEX(tblStock[StockActual],MATCH(tblConteo[[#This Row],[SKU]],tblStock[SKU],0))),0))</f>
        <v/>
      </c>
      <c r="I481" s="52"/>
      <c r="J481" s="59" t="str">
        <f>IF(OR(tblConteo[[#This Row],[SKU]]="",tblConteo[[#This Row],[Conteo]]=""),"",IF(ISNUMBER(tblConteo[[#This Row],[Conteo]]),tblConteo[[#This Row],[Conteo]]-N(tblConteo[[#This Row],[Sistema]]),""))</f>
        <v/>
      </c>
      <c r="K481" s="62" t="str">
        <f>IF(tblConteo[[#This Row],[Diferencia]]="","",tblConteo[[#This Row],[Diferencia]]*N(INDEX(tblProductos[CostoUnitario],ROW()-ROW(tblConteo[#Headers]))))</f>
        <v/>
      </c>
      <c r="L48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2" spans="2:13" x14ac:dyDescent="0.25">
      <c r="B482" s="42" t="str">
        <f>IF(INDEX(tblProductos[SKU],ROW()-ROW(tblConteo[#Headers]))="","",INDEX(tblProductos[SKU],ROW()-ROW(tblConteo[#Headers])))</f>
        <v/>
      </c>
      <c r="C482" s="49" t="str">
        <f>IF(tblConteo[[#This Row],[SKU]]="","",INDEX(tblProductos[Producto],ROW()-ROW(tblConteo[#Headers])))</f>
        <v/>
      </c>
      <c r="D482" s="49" t="str">
        <f>IF(tblConteo[[#This Row],[SKU]]="","",INDEX(tblProductos[Categoría],ROW()-ROW(tblConteo[#Headers]))&amp;"")</f>
        <v/>
      </c>
      <c r="E482" s="42" t="str">
        <f>IF(tblConteo[[#This Row],[SKU]]="","",INDEX(tblProductos[Ubicación],ROW()-ROW(tblConteo[#Headers]))&amp;"")</f>
        <v/>
      </c>
      <c r="F482" s="42" t="str">
        <f>IF(tblConteo[[#This Row],[SKU]]="","",INDEX(tblProductos[Unidad],ROW()-ROW(tblConteo[#Headers]))&amp;"")</f>
        <v/>
      </c>
      <c r="G482" s="42" t="str">
        <f>IF(tblConteo[[#This Row],[SKU]]="","",IF(INDEX(tblProductos[Activo],ROW()-ROW(tblConteo[#Headers]))="NO","NO","SI"))</f>
        <v/>
      </c>
      <c r="H482" s="53" t="str">
        <f>IF(tblConteo[[#This Row],[SKU]]="","",IFERROR(N(INDEX(tblStock[StockActual],MATCH(tblConteo[[#This Row],[SKU]],tblStock[SKU],0))),0))</f>
        <v/>
      </c>
      <c r="I482" s="52"/>
      <c r="J482" s="59" t="str">
        <f>IF(OR(tblConteo[[#This Row],[SKU]]="",tblConteo[[#This Row],[Conteo]]=""),"",IF(ISNUMBER(tblConteo[[#This Row],[Conteo]]),tblConteo[[#This Row],[Conteo]]-N(tblConteo[[#This Row],[Sistema]]),""))</f>
        <v/>
      </c>
      <c r="K482" s="62" t="str">
        <f>IF(tblConteo[[#This Row],[Diferencia]]="","",tblConteo[[#This Row],[Diferencia]]*N(INDEX(tblProductos[CostoUnitario],ROW()-ROW(tblConteo[#Headers]))))</f>
        <v/>
      </c>
      <c r="L48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3" spans="2:13" x14ac:dyDescent="0.25">
      <c r="B483" s="42" t="str">
        <f>IF(INDEX(tblProductos[SKU],ROW()-ROW(tblConteo[#Headers]))="","",INDEX(tblProductos[SKU],ROW()-ROW(tblConteo[#Headers])))</f>
        <v/>
      </c>
      <c r="C483" s="49" t="str">
        <f>IF(tblConteo[[#This Row],[SKU]]="","",INDEX(tblProductos[Producto],ROW()-ROW(tblConteo[#Headers])))</f>
        <v/>
      </c>
      <c r="D483" s="49" t="str">
        <f>IF(tblConteo[[#This Row],[SKU]]="","",INDEX(tblProductos[Categoría],ROW()-ROW(tblConteo[#Headers]))&amp;"")</f>
        <v/>
      </c>
      <c r="E483" s="42" t="str">
        <f>IF(tblConteo[[#This Row],[SKU]]="","",INDEX(tblProductos[Ubicación],ROW()-ROW(tblConteo[#Headers]))&amp;"")</f>
        <v/>
      </c>
      <c r="F483" s="42" t="str">
        <f>IF(tblConteo[[#This Row],[SKU]]="","",INDEX(tblProductos[Unidad],ROW()-ROW(tblConteo[#Headers]))&amp;"")</f>
        <v/>
      </c>
      <c r="G483" s="42" t="str">
        <f>IF(tblConteo[[#This Row],[SKU]]="","",IF(INDEX(tblProductos[Activo],ROW()-ROW(tblConteo[#Headers]))="NO","NO","SI"))</f>
        <v/>
      </c>
      <c r="H483" s="53" t="str">
        <f>IF(tblConteo[[#This Row],[SKU]]="","",IFERROR(N(INDEX(tblStock[StockActual],MATCH(tblConteo[[#This Row],[SKU]],tblStock[SKU],0))),0))</f>
        <v/>
      </c>
      <c r="I483" s="52"/>
      <c r="J483" s="59" t="str">
        <f>IF(OR(tblConteo[[#This Row],[SKU]]="",tblConteo[[#This Row],[Conteo]]=""),"",IF(ISNUMBER(tblConteo[[#This Row],[Conteo]]),tblConteo[[#This Row],[Conteo]]-N(tblConteo[[#This Row],[Sistema]]),""))</f>
        <v/>
      </c>
      <c r="K483" s="62" t="str">
        <f>IF(tblConteo[[#This Row],[Diferencia]]="","",tblConteo[[#This Row],[Diferencia]]*N(INDEX(tblProductos[CostoUnitario],ROW()-ROW(tblConteo[#Headers]))))</f>
        <v/>
      </c>
      <c r="L48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4" spans="2:13" x14ac:dyDescent="0.25">
      <c r="B484" s="42" t="str">
        <f>IF(INDEX(tblProductos[SKU],ROW()-ROW(tblConteo[#Headers]))="","",INDEX(tblProductos[SKU],ROW()-ROW(tblConteo[#Headers])))</f>
        <v/>
      </c>
      <c r="C484" s="49" t="str">
        <f>IF(tblConteo[[#This Row],[SKU]]="","",INDEX(tblProductos[Producto],ROW()-ROW(tblConteo[#Headers])))</f>
        <v/>
      </c>
      <c r="D484" s="49" t="str">
        <f>IF(tblConteo[[#This Row],[SKU]]="","",INDEX(tblProductos[Categoría],ROW()-ROW(tblConteo[#Headers]))&amp;"")</f>
        <v/>
      </c>
      <c r="E484" s="42" t="str">
        <f>IF(tblConteo[[#This Row],[SKU]]="","",INDEX(tblProductos[Ubicación],ROW()-ROW(tblConteo[#Headers]))&amp;"")</f>
        <v/>
      </c>
      <c r="F484" s="42" t="str">
        <f>IF(tblConteo[[#This Row],[SKU]]="","",INDEX(tblProductos[Unidad],ROW()-ROW(tblConteo[#Headers]))&amp;"")</f>
        <v/>
      </c>
      <c r="G484" s="42" t="str">
        <f>IF(tblConteo[[#This Row],[SKU]]="","",IF(INDEX(tblProductos[Activo],ROW()-ROW(tblConteo[#Headers]))="NO","NO","SI"))</f>
        <v/>
      </c>
      <c r="H484" s="53" t="str">
        <f>IF(tblConteo[[#This Row],[SKU]]="","",IFERROR(N(INDEX(tblStock[StockActual],MATCH(tblConteo[[#This Row],[SKU]],tblStock[SKU],0))),0))</f>
        <v/>
      </c>
      <c r="I484" s="52"/>
      <c r="J484" s="59" t="str">
        <f>IF(OR(tblConteo[[#This Row],[SKU]]="",tblConteo[[#This Row],[Conteo]]=""),"",IF(ISNUMBER(tblConteo[[#This Row],[Conteo]]),tblConteo[[#This Row],[Conteo]]-N(tblConteo[[#This Row],[Sistema]]),""))</f>
        <v/>
      </c>
      <c r="K484" s="62" t="str">
        <f>IF(tblConteo[[#This Row],[Diferencia]]="","",tblConteo[[#This Row],[Diferencia]]*N(INDEX(tblProductos[CostoUnitario],ROW()-ROW(tblConteo[#Headers]))))</f>
        <v/>
      </c>
      <c r="L48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5" spans="2:13" x14ac:dyDescent="0.25">
      <c r="B485" s="42" t="str">
        <f>IF(INDEX(tblProductos[SKU],ROW()-ROW(tblConteo[#Headers]))="","",INDEX(tblProductos[SKU],ROW()-ROW(tblConteo[#Headers])))</f>
        <v/>
      </c>
      <c r="C485" s="49" t="str">
        <f>IF(tblConteo[[#This Row],[SKU]]="","",INDEX(tblProductos[Producto],ROW()-ROW(tblConteo[#Headers])))</f>
        <v/>
      </c>
      <c r="D485" s="49" t="str">
        <f>IF(tblConteo[[#This Row],[SKU]]="","",INDEX(tblProductos[Categoría],ROW()-ROW(tblConteo[#Headers]))&amp;"")</f>
        <v/>
      </c>
      <c r="E485" s="42" t="str">
        <f>IF(tblConteo[[#This Row],[SKU]]="","",INDEX(tblProductos[Ubicación],ROW()-ROW(tblConteo[#Headers]))&amp;"")</f>
        <v/>
      </c>
      <c r="F485" s="42" t="str">
        <f>IF(tblConteo[[#This Row],[SKU]]="","",INDEX(tblProductos[Unidad],ROW()-ROW(tblConteo[#Headers]))&amp;"")</f>
        <v/>
      </c>
      <c r="G485" s="42" t="str">
        <f>IF(tblConteo[[#This Row],[SKU]]="","",IF(INDEX(tblProductos[Activo],ROW()-ROW(tblConteo[#Headers]))="NO","NO","SI"))</f>
        <v/>
      </c>
      <c r="H485" s="53" t="str">
        <f>IF(tblConteo[[#This Row],[SKU]]="","",IFERROR(N(INDEX(tblStock[StockActual],MATCH(tblConteo[[#This Row],[SKU]],tblStock[SKU],0))),0))</f>
        <v/>
      </c>
      <c r="I485" s="52"/>
      <c r="J485" s="59" t="str">
        <f>IF(OR(tblConteo[[#This Row],[SKU]]="",tblConteo[[#This Row],[Conteo]]=""),"",IF(ISNUMBER(tblConteo[[#This Row],[Conteo]]),tblConteo[[#This Row],[Conteo]]-N(tblConteo[[#This Row],[Sistema]]),""))</f>
        <v/>
      </c>
      <c r="K485" s="62" t="str">
        <f>IF(tblConteo[[#This Row],[Diferencia]]="","",tblConteo[[#This Row],[Diferencia]]*N(INDEX(tblProductos[CostoUnitario],ROW()-ROW(tblConteo[#Headers]))))</f>
        <v/>
      </c>
      <c r="L48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6" spans="2:13" x14ac:dyDescent="0.25">
      <c r="B486" s="42" t="str">
        <f>IF(INDEX(tblProductos[SKU],ROW()-ROW(tblConteo[#Headers]))="","",INDEX(tblProductos[SKU],ROW()-ROW(tblConteo[#Headers])))</f>
        <v/>
      </c>
      <c r="C486" s="49" t="str">
        <f>IF(tblConteo[[#This Row],[SKU]]="","",INDEX(tblProductos[Producto],ROW()-ROW(tblConteo[#Headers])))</f>
        <v/>
      </c>
      <c r="D486" s="49" t="str">
        <f>IF(tblConteo[[#This Row],[SKU]]="","",INDEX(tblProductos[Categoría],ROW()-ROW(tblConteo[#Headers]))&amp;"")</f>
        <v/>
      </c>
      <c r="E486" s="42" t="str">
        <f>IF(tblConteo[[#This Row],[SKU]]="","",INDEX(tblProductos[Ubicación],ROW()-ROW(tblConteo[#Headers]))&amp;"")</f>
        <v/>
      </c>
      <c r="F486" s="42" t="str">
        <f>IF(tblConteo[[#This Row],[SKU]]="","",INDEX(tblProductos[Unidad],ROW()-ROW(tblConteo[#Headers]))&amp;"")</f>
        <v/>
      </c>
      <c r="G486" s="42" t="str">
        <f>IF(tblConteo[[#This Row],[SKU]]="","",IF(INDEX(tblProductos[Activo],ROW()-ROW(tblConteo[#Headers]))="NO","NO","SI"))</f>
        <v/>
      </c>
      <c r="H486" s="53" t="str">
        <f>IF(tblConteo[[#This Row],[SKU]]="","",IFERROR(N(INDEX(tblStock[StockActual],MATCH(tblConteo[[#This Row],[SKU]],tblStock[SKU],0))),0))</f>
        <v/>
      </c>
      <c r="I486" s="52"/>
      <c r="J486" s="59" t="str">
        <f>IF(OR(tblConteo[[#This Row],[SKU]]="",tblConteo[[#This Row],[Conteo]]=""),"",IF(ISNUMBER(tblConteo[[#This Row],[Conteo]]),tblConteo[[#This Row],[Conteo]]-N(tblConteo[[#This Row],[Sistema]]),""))</f>
        <v/>
      </c>
      <c r="K486" s="62" t="str">
        <f>IF(tblConteo[[#This Row],[Diferencia]]="","",tblConteo[[#This Row],[Diferencia]]*N(INDEX(tblProductos[CostoUnitario],ROW()-ROW(tblConteo[#Headers]))))</f>
        <v/>
      </c>
      <c r="L48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7" spans="2:13" x14ac:dyDescent="0.25">
      <c r="B487" s="42" t="str">
        <f>IF(INDEX(tblProductos[SKU],ROW()-ROW(tblConteo[#Headers]))="","",INDEX(tblProductos[SKU],ROW()-ROW(tblConteo[#Headers])))</f>
        <v/>
      </c>
      <c r="C487" s="49" t="str">
        <f>IF(tblConteo[[#This Row],[SKU]]="","",INDEX(tblProductos[Producto],ROW()-ROW(tblConteo[#Headers])))</f>
        <v/>
      </c>
      <c r="D487" s="49" t="str">
        <f>IF(tblConteo[[#This Row],[SKU]]="","",INDEX(tblProductos[Categoría],ROW()-ROW(tblConteo[#Headers]))&amp;"")</f>
        <v/>
      </c>
      <c r="E487" s="42" t="str">
        <f>IF(tblConteo[[#This Row],[SKU]]="","",INDEX(tblProductos[Ubicación],ROW()-ROW(tblConteo[#Headers]))&amp;"")</f>
        <v/>
      </c>
      <c r="F487" s="42" t="str">
        <f>IF(tblConteo[[#This Row],[SKU]]="","",INDEX(tblProductos[Unidad],ROW()-ROW(tblConteo[#Headers]))&amp;"")</f>
        <v/>
      </c>
      <c r="G487" s="42" t="str">
        <f>IF(tblConteo[[#This Row],[SKU]]="","",IF(INDEX(tblProductos[Activo],ROW()-ROW(tblConteo[#Headers]))="NO","NO","SI"))</f>
        <v/>
      </c>
      <c r="H487" s="53" t="str">
        <f>IF(tblConteo[[#This Row],[SKU]]="","",IFERROR(N(INDEX(tblStock[StockActual],MATCH(tblConteo[[#This Row],[SKU]],tblStock[SKU],0))),0))</f>
        <v/>
      </c>
      <c r="I487" s="52"/>
      <c r="J487" s="59" t="str">
        <f>IF(OR(tblConteo[[#This Row],[SKU]]="",tblConteo[[#This Row],[Conteo]]=""),"",IF(ISNUMBER(tblConteo[[#This Row],[Conteo]]),tblConteo[[#This Row],[Conteo]]-N(tblConteo[[#This Row],[Sistema]]),""))</f>
        <v/>
      </c>
      <c r="K487" s="62" t="str">
        <f>IF(tblConteo[[#This Row],[Diferencia]]="","",tblConteo[[#This Row],[Diferencia]]*N(INDEX(tblProductos[CostoUnitario],ROW()-ROW(tblConteo[#Headers]))))</f>
        <v/>
      </c>
      <c r="L48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8" spans="2:13" x14ac:dyDescent="0.25">
      <c r="B488" s="42" t="str">
        <f>IF(INDEX(tblProductos[SKU],ROW()-ROW(tblConteo[#Headers]))="","",INDEX(tblProductos[SKU],ROW()-ROW(tblConteo[#Headers])))</f>
        <v/>
      </c>
      <c r="C488" s="49" t="str">
        <f>IF(tblConteo[[#This Row],[SKU]]="","",INDEX(tblProductos[Producto],ROW()-ROW(tblConteo[#Headers])))</f>
        <v/>
      </c>
      <c r="D488" s="49" t="str">
        <f>IF(tblConteo[[#This Row],[SKU]]="","",INDEX(tblProductos[Categoría],ROW()-ROW(tblConteo[#Headers]))&amp;"")</f>
        <v/>
      </c>
      <c r="E488" s="42" t="str">
        <f>IF(tblConteo[[#This Row],[SKU]]="","",INDEX(tblProductos[Ubicación],ROW()-ROW(tblConteo[#Headers]))&amp;"")</f>
        <v/>
      </c>
      <c r="F488" s="42" t="str">
        <f>IF(tblConteo[[#This Row],[SKU]]="","",INDEX(tblProductos[Unidad],ROW()-ROW(tblConteo[#Headers]))&amp;"")</f>
        <v/>
      </c>
      <c r="G488" s="42" t="str">
        <f>IF(tblConteo[[#This Row],[SKU]]="","",IF(INDEX(tblProductos[Activo],ROW()-ROW(tblConteo[#Headers]))="NO","NO","SI"))</f>
        <v/>
      </c>
      <c r="H488" s="53" t="str">
        <f>IF(tblConteo[[#This Row],[SKU]]="","",IFERROR(N(INDEX(tblStock[StockActual],MATCH(tblConteo[[#This Row],[SKU]],tblStock[SKU],0))),0))</f>
        <v/>
      </c>
      <c r="I488" s="52"/>
      <c r="J488" s="59" t="str">
        <f>IF(OR(tblConteo[[#This Row],[SKU]]="",tblConteo[[#This Row],[Conteo]]=""),"",IF(ISNUMBER(tblConteo[[#This Row],[Conteo]]),tblConteo[[#This Row],[Conteo]]-N(tblConteo[[#This Row],[Sistema]]),""))</f>
        <v/>
      </c>
      <c r="K488" s="62" t="str">
        <f>IF(tblConteo[[#This Row],[Diferencia]]="","",tblConteo[[#This Row],[Diferencia]]*N(INDEX(tblProductos[CostoUnitario],ROW()-ROW(tblConteo[#Headers]))))</f>
        <v/>
      </c>
      <c r="L48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9" spans="2:13" x14ac:dyDescent="0.25">
      <c r="B489" s="42" t="str">
        <f>IF(INDEX(tblProductos[SKU],ROW()-ROW(tblConteo[#Headers]))="","",INDEX(tblProductos[SKU],ROW()-ROW(tblConteo[#Headers])))</f>
        <v/>
      </c>
      <c r="C489" s="49" t="str">
        <f>IF(tblConteo[[#This Row],[SKU]]="","",INDEX(tblProductos[Producto],ROW()-ROW(tblConteo[#Headers])))</f>
        <v/>
      </c>
      <c r="D489" s="49" t="str">
        <f>IF(tblConteo[[#This Row],[SKU]]="","",INDEX(tblProductos[Categoría],ROW()-ROW(tblConteo[#Headers]))&amp;"")</f>
        <v/>
      </c>
      <c r="E489" s="42" t="str">
        <f>IF(tblConteo[[#This Row],[SKU]]="","",INDEX(tblProductos[Ubicación],ROW()-ROW(tblConteo[#Headers]))&amp;"")</f>
        <v/>
      </c>
      <c r="F489" s="42" t="str">
        <f>IF(tblConteo[[#This Row],[SKU]]="","",INDEX(tblProductos[Unidad],ROW()-ROW(tblConteo[#Headers]))&amp;"")</f>
        <v/>
      </c>
      <c r="G489" s="42" t="str">
        <f>IF(tblConteo[[#This Row],[SKU]]="","",IF(INDEX(tblProductos[Activo],ROW()-ROW(tblConteo[#Headers]))="NO","NO","SI"))</f>
        <v/>
      </c>
      <c r="H489" s="53" t="str">
        <f>IF(tblConteo[[#This Row],[SKU]]="","",IFERROR(N(INDEX(tblStock[StockActual],MATCH(tblConteo[[#This Row],[SKU]],tblStock[SKU],0))),0))</f>
        <v/>
      </c>
      <c r="I489" s="52"/>
      <c r="J489" s="59" t="str">
        <f>IF(OR(tblConteo[[#This Row],[SKU]]="",tblConteo[[#This Row],[Conteo]]=""),"",IF(ISNUMBER(tblConteo[[#This Row],[Conteo]]),tblConteo[[#This Row],[Conteo]]-N(tblConteo[[#This Row],[Sistema]]),""))</f>
        <v/>
      </c>
      <c r="K489" s="62" t="str">
        <f>IF(tblConteo[[#This Row],[Diferencia]]="","",tblConteo[[#This Row],[Diferencia]]*N(INDEX(tblProductos[CostoUnitario],ROW()-ROW(tblConteo[#Headers]))))</f>
        <v/>
      </c>
      <c r="L48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0" spans="2:13" x14ac:dyDescent="0.25">
      <c r="B490" s="42" t="str">
        <f>IF(INDEX(tblProductos[SKU],ROW()-ROW(tblConteo[#Headers]))="","",INDEX(tblProductos[SKU],ROW()-ROW(tblConteo[#Headers])))</f>
        <v/>
      </c>
      <c r="C490" s="49" t="str">
        <f>IF(tblConteo[[#This Row],[SKU]]="","",INDEX(tblProductos[Producto],ROW()-ROW(tblConteo[#Headers])))</f>
        <v/>
      </c>
      <c r="D490" s="49" t="str">
        <f>IF(tblConteo[[#This Row],[SKU]]="","",INDEX(tblProductos[Categoría],ROW()-ROW(tblConteo[#Headers]))&amp;"")</f>
        <v/>
      </c>
      <c r="E490" s="42" t="str">
        <f>IF(tblConteo[[#This Row],[SKU]]="","",INDEX(tblProductos[Ubicación],ROW()-ROW(tblConteo[#Headers]))&amp;"")</f>
        <v/>
      </c>
      <c r="F490" s="42" t="str">
        <f>IF(tblConteo[[#This Row],[SKU]]="","",INDEX(tblProductos[Unidad],ROW()-ROW(tblConteo[#Headers]))&amp;"")</f>
        <v/>
      </c>
      <c r="G490" s="42" t="str">
        <f>IF(tblConteo[[#This Row],[SKU]]="","",IF(INDEX(tblProductos[Activo],ROW()-ROW(tblConteo[#Headers]))="NO","NO","SI"))</f>
        <v/>
      </c>
      <c r="H490" s="53" t="str">
        <f>IF(tblConteo[[#This Row],[SKU]]="","",IFERROR(N(INDEX(tblStock[StockActual],MATCH(tblConteo[[#This Row],[SKU]],tblStock[SKU],0))),0))</f>
        <v/>
      </c>
      <c r="I490" s="52"/>
      <c r="J490" s="59" t="str">
        <f>IF(OR(tblConteo[[#This Row],[SKU]]="",tblConteo[[#This Row],[Conteo]]=""),"",IF(ISNUMBER(tblConteo[[#This Row],[Conteo]]),tblConteo[[#This Row],[Conteo]]-N(tblConteo[[#This Row],[Sistema]]),""))</f>
        <v/>
      </c>
      <c r="K490" s="62" t="str">
        <f>IF(tblConteo[[#This Row],[Diferencia]]="","",tblConteo[[#This Row],[Diferencia]]*N(INDEX(tblProductos[CostoUnitario],ROW()-ROW(tblConteo[#Headers]))))</f>
        <v/>
      </c>
      <c r="L49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1" spans="2:13" x14ac:dyDescent="0.25">
      <c r="B491" s="42" t="str">
        <f>IF(INDEX(tblProductos[SKU],ROW()-ROW(tblConteo[#Headers]))="","",INDEX(tblProductos[SKU],ROW()-ROW(tblConteo[#Headers])))</f>
        <v/>
      </c>
      <c r="C491" s="49" t="str">
        <f>IF(tblConteo[[#This Row],[SKU]]="","",INDEX(tblProductos[Producto],ROW()-ROW(tblConteo[#Headers])))</f>
        <v/>
      </c>
      <c r="D491" s="49" t="str">
        <f>IF(tblConteo[[#This Row],[SKU]]="","",INDEX(tblProductos[Categoría],ROW()-ROW(tblConteo[#Headers]))&amp;"")</f>
        <v/>
      </c>
      <c r="E491" s="42" t="str">
        <f>IF(tblConteo[[#This Row],[SKU]]="","",INDEX(tblProductos[Ubicación],ROW()-ROW(tblConteo[#Headers]))&amp;"")</f>
        <v/>
      </c>
      <c r="F491" s="42" t="str">
        <f>IF(tblConteo[[#This Row],[SKU]]="","",INDEX(tblProductos[Unidad],ROW()-ROW(tblConteo[#Headers]))&amp;"")</f>
        <v/>
      </c>
      <c r="G491" s="42" t="str">
        <f>IF(tblConteo[[#This Row],[SKU]]="","",IF(INDEX(tblProductos[Activo],ROW()-ROW(tblConteo[#Headers]))="NO","NO","SI"))</f>
        <v/>
      </c>
      <c r="H491" s="53" t="str">
        <f>IF(tblConteo[[#This Row],[SKU]]="","",IFERROR(N(INDEX(tblStock[StockActual],MATCH(tblConteo[[#This Row],[SKU]],tblStock[SKU],0))),0))</f>
        <v/>
      </c>
      <c r="I491" s="52"/>
      <c r="J491" s="59" t="str">
        <f>IF(OR(tblConteo[[#This Row],[SKU]]="",tblConteo[[#This Row],[Conteo]]=""),"",IF(ISNUMBER(tblConteo[[#This Row],[Conteo]]),tblConteo[[#This Row],[Conteo]]-N(tblConteo[[#This Row],[Sistema]]),""))</f>
        <v/>
      </c>
      <c r="K491" s="62" t="str">
        <f>IF(tblConteo[[#This Row],[Diferencia]]="","",tblConteo[[#This Row],[Diferencia]]*N(INDEX(tblProductos[CostoUnitario],ROW()-ROW(tblConteo[#Headers]))))</f>
        <v/>
      </c>
      <c r="L49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2" spans="2:13" x14ac:dyDescent="0.25">
      <c r="B492" s="42" t="str">
        <f>IF(INDEX(tblProductos[SKU],ROW()-ROW(tblConteo[#Headers]))="","",INDEX(tblProductos[SKU],ROW()-ROW(tblConteo[#Headers])))</f>
        <v/>
      </c>
      <c r="C492" s="49" t="str">
        <f>IF(tblConteo[[#This Row],[SKU]]="","",INDEX(tblProductos[Producto],ROW()-ROW(tblConteo[#Headers])))</f>
        <v/>
      </c>
      <c r="D492" s="49" t="str">
        <f>IF(tblConteo[[#This Row],[SKU]]="","",INDEX(tblProductos[Categoría],ROW()-ROW(tblConteo[#Headers]))&amp;"")</f>
        <v/>
      </c>
      <c r="E492" s="42" t="str">
        <f>IF(tblConteo[[#This Row],[SKU]]="","",INDEX(tblProductos[Ubicación],ROW()-ROW(tblConteo[#Headers]))&amp;"")</f>
        <v/>
      </c>
      <c r="F492" s="42" t="str">
        <f>IF(tblConteo[[#This Row],[SKU]]="","",INDEX(tblProductos[Unidad],ROW()-ROW(tblConteo[#Headers]))&amp;"")</f>
        <v/>
      </c>
      <c r="G492" s="42" t="str">
        <f>IF(tblConteo[[#This Row],[SKU]]="","",IF(INDEX(tblProductos[Activo],ROW()-ROW(tblConteo[#Headers]))="NO","NO","SI"))</f>
        <v/>
      </c>
      <c r="H492" s="53" t="str">
        <f>IF(tblConteo[[#This Row],[SKU]]="","",IFERROR(N(INDEX(tblStock[StockActual],MATCH(tblConteo[[#This Row],[SKU]],tblStock[SKU],0))),0))</f>
        <v/>
      </c>
      <c r="I492" s="52"/>
      <c r="J492" s="59" t="str">
        <f>IF(OR(tblConteo[[#This Row],[SKU]]="",tblConteo[[#This Row],[Conteo]]=""),"",IF(ISNUMBER(tblConteo[[#This Row],[Conteo]]),tblConteo[[#This Row],[Conteo]]-N(tblConteo[[#This Row],[Sistema]]),""))</f>
        <v/>
      </c>
      <c r="K492" s="62" t="str">
        <f>IF(tblConteo[[#This Row],[Diferencia]]="","",tblConteo[[#This Row],[Diferencia]]*N(INDEX(tblProductos[CostoUnitario],ROW()-ROW(tblConteo[#Headers]))))</f>
        <v/>
      </c>
      <c r="L49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3" spans="2:13" x14ac:dyDescent="0.25">
      <c r="B493" s="42" t="str">
        <f>IF(INDEX(tblProductos[SKU],ROW()-ROW(tblConteo[#Headers]))="","",INDEX(tblProductos[SKU],ROW()-ROW(tblConteo[#Headers])))</f>
        <v/>
      </c>
      <c r="C493" s="49" t="str">
        <f>IF(tblConteo[[#This Row],[SKU]]="","",INDEX(tblProductos[Producto],ROW()-ROW(tblConteo[#Headers])))</f>
        <v/>
      </c>
      <c r="D493" s="49" t="str">
        <f>IF(tblConteo[[#This Row],[SKU]]="","",INDEX(tblProductos[Categoría],ROW()-ROW(tblConteo[#Headers]))&amp;"")</f>
        <v/>
      </c>
      <c r="E493" s="42" t="str">
        <f>IF(tblConteo[[#This Row],[SKU]]="","",INDEX(tblProductos[Ubicación],ROW()-ROW(tblConteo[#Headers]))&amp;"")</f>
        <v/>
      </c>
      <c r="F493" s="42" t="str">
        <f>IF(tblConteo[[#This Row],[SKU]]="","",INDEX(tblProductos[Unidad],ROW()-ROW(tblConteo[#Headers]))&amp;"")</f>
        <v/>
      </c>
      <c r="G493" s="42" t="str">
        <f>IF(tblConteo[[#This Row],[SKU]]="","",IF(INDEX(tblProductos[Activo],ROW()-ROW(tblConteo[#Headers]))="NO","NO","SI"))</f>
        <v/>
      </c>
      <c r="H493" s="53" t="str">
        <f>IF(tblConteo[[#This Row],[SKU]]="","",IFERROR(N(INDEX(tblStock[StockActual],MATCH(tblConteo[[#This Row],[SKU]],tblStock[SKU],0))),0))</f>
        <v/>
      </c>
      <c r="I493" s="52"/>
      <c r="J493" s="59" t="str">
        <f>IF(OR(tblConteo[[#This Row],[SKU]]="",tblConteo[[#This Row],[Conteo]]=""),"",IF(ISNUMBER(tblConteo[[#This Row],[Conteo]]),tblConteo[[#This Row],[Conteo]]-N(tblConteo[[#This Row],[Sistema]]),""))</f>
        <v/>
      </c>
      <c r="K493" s="62" t="str">
        <f>IF(tblConteo[[#This Row],[Diferencia]]="","",tblConteo[[#This Row],[Diferencia]]*N(INDEX(tblProductos[CostoUnitario],ROW()-ROW(tblConteo[#Headers]))))</f>
        <v/>
      </c>
      <c r="L49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4" spans="2:13" x14ac:dyDescent="0.25">
      <c r="B494" s="42" t="str">
        <f>IF(INDEX(tblProductos[SKU],ROW()-ROW(tblConteo[#Headers]))="","",INDEX(tblProductos[SKU],ROW()-ROW(tblConteo[#Headers])))</f>
        <v/>
      </c>
      <c r="C494" s="49" t="str">
        <f>IF(tblConteo[[#This Row],[SKU]]="","",INDEX(tblProductos[Producto],ROW()-ROW(tblConteo[#Headers])))</f>
        <v/>
      </c>
      <c r="D494" s="49" t="str">
        <f>IF(tblConteo[[#This Row],[SKU]]="","",INDEX(tblProductos[Categoría],ROW()-ROW(tblConteo[#Headers]))&amp;"")</f>
        <v/>
      </c>
      <c r="E494" s="42" t="str">
        <f>IF(tblConteo[[#This Row],[SKU]]="","",INDEX(tblProductos[Ubicación],ROW()-ROW(tblConteo[#Headers]))&amp;"")</f>
        <v/>
      </c>
      <c r="F494" s="42" t="str">
        <f>IF(tblConteo[[#This Row],[SKU]]="","",INDEX(tblProductos[Unidad],ROW()-ROW(tblConteo[#Headers]))&amp;"")</f>
        <v/>
      </c>
      <c r="G494" s="42" t="str">
        <f>IF(tblConteo[[#This Row],[SKU]]="","",IF(INDEX(tblProductos[Activo],ROW()-ROW(tblConteo[#Headers]))="NO","NO","SI"))</f>
        <v/>
      </c>
      <c r="H494" s="53" t="str">
        <f>IF(tblConteo[[#This Row],[SKU]]="","",IFERROR(N(INDEX(tblStock[StockActual],MATCH(tblConteo[[#This Row],[SKU]],tblStock[SKU],0))),0))</f>
        <v/>
      </c>
      <c r="I494" s="52"/>
      <c r="J494" s="59" t="str">
        <f>IF(OR(tblConteo[[#This Row],[SKU]]="",tblConteo[[#This Row],[Conteo]]=""),"",IF(ISNUMBER(tblConteo[[#This Row],[Conteo]]),tblConteo[[#This Row],[Conteo]]-N(tblConteo[[#This Row],[Sistema]]),""))</f>
        <v/>
      </c>
      <c r="K494" s="62" t="str">
        <f>IF(tblConteo[[#This Row],[Diferencia]]="","",tblConteo[[#This Row],[Diferencia]]*N(INDEX(tblProductos[CostoUnitario],ROW()-ROW(tblConteo[#Headers]))))</f>
        <v/>
      </c>
      <c r="L49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5" spans="2:13" x14ac:dyDescent="0.25">
      <c r="B495" s="42" t="str">
        <f>IF(INDEX(tblProductos[SKU],ROW()-ROW(tblConteo[#Headers]))="","",INDEX(tblProductos[SKU],ROW()-ROW(tblConteo[#Headers])))</f>
        <v/>
      </c>
      <c r="C495" s="49" t="str">
        <f>IF(tblConteo[[#This Row],[SKU]]="","",INDEX(tblProductos[Producto],ROW()-ROW(tblConteo[#Headers])))</f>
        <v/>
      </c>
      <c r="D495" s="49" t="str">
        <f>IF(tblConteo[[#This Row],[SKU]]="","",INDEX(tblProductos[Categoría],ROW()-ROW(tblConteo[#Headers]))&amp;"")</f>
        <v/>
      </c>
      <c r="E495" s="42" t="str">
        <f>IF(tblConteo[[#This Row],[SKU]]="","",INDEX(tblProductos[Ubicación],ROW()-ROW(tblConteo[#Headers]))&amp;"")</f>
        <v/>
      </c>
      <c r="F495" s="42" t="str">
        <f>IF(tblConteo[[#This Row],[SKU]]="","",INDEX(tblProductos[Unidad],ROW()-ROW(tblConteo[#Headers]))&amp;"")</f>
        <v/>
      </c>
      <c r="G495" s="42" t="str">
        <f>IF(tblConteo[[#This Row],[SKU]]="","",IF(INDEX(tblProductos[Activo],ROW()-ROW(tblConteo[#Headers]))="NO","NO","SI"))</f>
        <v/>
      </c>
      <c r="H495" s="53" t="str">
        <f>IF(tblConteo[[#This Row],[SKU]]="","",IFERROR(N(INDEX(tblStock[StockActual],MATCH(tblConteo[[#This Row],[SKU]],tblStock[SKU],0))),0))</f>
        <v/>
      </c>
      <c r="I495" s="52"/>
      <c r="J495" s="59" t="str">
        <f>IF(OR(tblConteo[[#This Row],[SKU]]="",tblConteo[[#This Row],[Conteo]]=""),"",IF(ISNUMBER(tblConteo[[#This Row],[Conteo]]),tblConteo[[#This Row],[Conteo]]-N(tblConteo[[#This Row],[Sistema]]),""))</f>
        <v/>
      </c>
      <c r="K495" s="62" t="str">
        <f>IF(tblConteo[[#This Row],[Diferencia]]="","",tblConteo[[#This Row],[Diferencia]]*N(INDEX(tblProductos[CostoUnitario],ROW()-ROW(tblConteo[#Headers]))))</f>
        <v/>
      </c>
      <c r="L49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6" spans="2:13" x14ac:dyDescent="0.25">
      <c r="B496" s="42" t="str">
        <f>IF(INDEX(tblProductos[SKU],ROW()-ROW(tblConteo[#Headers]))="","",INDEX(tblProductos[SKU],ROW()-ROW(tblConteo[#Headers])))</f>
        <v/>
      </c>
      <c r="C496" s="49" t="str">
        <f>IF(tblConteo[[#This Row],[SKU]]="","",INDEX(tblProductos[Producto],ROW()-ROW(tblConteo[#Headers])))</f>
        <v/>
      </c>
      <c r="D496" s="49" t="str">
        <f>IF(tblConteo[[#This Row],[SKU]]="","",INDEX(tblProductos[Categoría],ROW()-ROW(tblConteo[#Headers]))&amp;"")</f>
        <v/>
      </c>
      <c r="E496" s="42" t="str">
        <f>IF(tblConteo[[#This Row],[SKU]]="","",INDEX(tblProductos[Ubicación],ROW()-ROW(tblConteo[#Headers]))&amp;"")</f>
        <v/>
      </c>
      <c r="F496" s="42" t="str">
        <f>IF(tblConteo[[#This Row],[SKU]]="","",INDEX(tblProductos[Unidad],ROW()-ROW(tblConteo[#Headers]))&amp;"")</f>
        <v/>
      </c>
      <c r="G496" s="42" t="str">
        <f>IF(tblConteo[[#This Row],[SKU]]="","",IF(INDEX(tblProductos[Activo],ROW()-ROW(tblConteo[#Headers]))="NO","NO","SI"))</f>
        <v/>
      </c>
      <c r="H496" s="53" t="str">
        <f>IF(tblConteo[[#This Row],[SKU]]="","",IFERROR(N(INDEX(tblStock[StockActual],MATCH(tblConteo[[#This Row],[SKU]],tblStock[SKU],0))),0))</f>
        <v/>
      </c>
      <c r="I496" s="52"/>
      <c r="J496" s="59" t="str">
        <f>IF(OR(tblConteo[[#This Row],[SKU]]="",tblConteo[[#This Row],[Conteo]]=""),"",IF(ISNUMBER(tblConteo[[#This Row],[Conteo]]),tblConteo[[#This Row],[Conteo]]-N(tblConteo[[#This Row],[Sistema]]),""))</f>
        <v/>
      </c>
      <c r="K496" s="62" t="str">
        <f>IF(tblConteo[[#This Row],[Diferencia]]="","",tblConteo[[#This Row],[Diferencia]]*N(INDEX(tblProductos[CostoUnitario],ROW()-ROW(tblConteo[#Headers]))))</f>
        <v/>
      </c>
      <c r="L49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7" spans="2:13" x14ac:dyDescent="0.25">
      <c r="B497" s="42" t="str">
        <f>IF(INDEX(tblProductos[SKU],ROW()-ROW(tblConteo[#Headers]))="","",INDEX(tblProductos[SKU],ROW()-ROW(tblConteo[#Headers])))</f>
        <v/>
      </c>
      <c r="C497" s="49" t="str">
        <f>IF(tblConteo[[#This Row],[SKU]]="","",INDEX(tblProductos[Producto],ROW()-ROW(tblConteo[#Headers])))</f>
        <v/>
      </c>
      <c r="D497" s="49" t="str">
        <f>IF(tblConteo[[#This Row],[SKU]]="","",INDEX(tblProductos[Categoría],ROW()-ROW(tblConteo[#Headers]))&amp;"")</f>
        <v/>
      </c>
      <c r="E497" s="42" t="str">
        <f>IF(tblConteo[[#This Row],[SKU]]="","",INDEX(tblProductos[Ubicación],ROW()-ROW(tblConteo[#Headers]))&amp;"")</f>
        <v/>
      </c>
      <c r="F497" s="42" t="str">
        <f>IF(tblConteo[[#This Row],[SKU]]="","",INDEX(tblProductos[Unidad],ROW()-ROW(tblConteo[#Headers]))&amp;"")</f>
        <v/>
      </c>
      <c r="G497" s="42" t="str">
        <f>IF(tblConteo[[#This Row],[SKU]]="","",IF(INDEX(tblProductos[Activo],ROW()-ROW(tblConteo[#Headers]))="NO","NO","SI"))</f>
        <v/>
      </c>
      <c r="H497" s="53" t="str">
        <f>IF(tblConteo[[#This Row],[SKU]]="","",IFERROR(N(INDEX(tblStock[StockActual],MATCH(tblConteo[[#This Row],[SKU]],tblStock[SKU],0))),0))</f>
        <v/>
      </c>
      <c r="I497" s="52"/>
      <c r="J497" s="59" t="str">
        <f>IF(OR(tblConteo[[#This Row],[SKU]]="",tblConteo[[#This Row],[Conteo]]=""),"",IF(ISNUMBER(tblConteo[[#This Row],[Conteo]]),tblConteo[[#This Row],[Conteo]]-N(tblConteo[[#This Row],[Sistema]]),""))</f>
        <v/>
      </c>
      <c r="K497" s="62" t="str">
        <f>IF(tblConteo[[#This Row],[Diferencia]]="","",tblConteo[[#This Row],[Diferencia]]*N(INDEX(tblProductos[CostoUnitario],ROW()-ROW(tblConteo[#Headers]))))</f>
        <v/>
      </c>
      <c r="L49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8" spans="2:13" x14ac:dyDescent="0.25">
      <c r="B498" s="42" t="str">
        <f>IF(INDEX(tblProductos[SKU],ROW()-ROW(tblConteo[#Headers]))="","",INDEX(tblProductos[SKU],ROW()-ROW(tblConteo[#Headers])))</f>
        <v/>
      </c>
      <c r="C498" s="49" t="str">
        <f>IF(tblConteo[[#This Row],[SKU]]="","",INDEX(tblProductos[Producto],ROW()-ROW(tblConteo[#Headers])))</f>
        <v/>
      </c>
      <c r="D498" s="49" t="str">
        <f>IF(tblConteo[[#This Row],[SKU]]="","",INDEX(tblProductos[Categoría],ROW()-ROW(tblConteo[#Headers]))&amp;"")</f>
        <v/>
      </c>
      <c r="E498" s="42" t="str">
        <f>IF(tblConteo[[#This Row],[SKU]]="","",INDEX(tblProductos[Ubicación],ROW()-ROW(tblConteo[#Headers]))&amp;"")</f>
        <v/>
      </c>
      <c r="F498" s="42" t="str">
        <f>IF(tblConteo[[#This Row],[SKU]]="","",INDEX(tblProductos[Unidad],ROW()-ROW(tblConteo[#Headers]))&amp;"")</f>
        <v/>
      </c>
      <c r="G498" s="42" t="str">
        <f>IF(tblConteo[[#This Row],[SKU]]="","",IF(INDEX(tblProductos[Activo],ROW()-ROW(tblConteo[#Headers]))="NO","NO","SI"))</f>
        <v/>
      </c>
      <c r="H498" s="53" t="str">
        <f>IF(tblConteo[[#This Row],[SKU]]="","",IFERROR(N(INDEX(tblStock[StockActual],MATCH(tblConteo[[#This Row],[SKU]],tblStock[SKU],0))),0))</f>
        <v/>
      </c>
      <c r="I498" s="52"/>
      <c r="J498" s="59" t="str">
        <f>IF(OR(tblConteo[[#This Row],[SKU]]="",tblConteo[[#This Row],[Conteo]]=""),"",IF(ISNUMBER(tblConteo[[#This Row],[Conteo]]),tblConteo[[#This Row],[Conteo]]-N(tblConteo[[#This Row],[Sistema]]),""))</f>
        <v/>
      </c>
      <c r="K498" s="62" t="str">
        <f>IF(tblConteo[[#This Row],[Diferencia]]="","",tblConteo[[#This Row],[Diferencia]]*N(INDEX(tblProductos[CostoUnitario],ROW()-ROW(tblConteo[#Headers]))))</f>
        <v/>
      </c>
      <c r="L49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9" spans="2:13" x14ac:dyDescent="0.25">
      <c r="B499" s="42" t="str">
        <f>IF(INDEX(tblProductos[SKU],ROW()-ROW(tblConteo[#Headers]))="","",INDEX(tblProductos[SKU],ROW()-ROW(tblConteo[#Headers])))</f>
        <v/>
      </c>
      <c r="C499" s="49" t="str">
        <f>IF(tblConteo[[#This Row],[SKU]]="","",INDEX(tblProductos[Producto],ROW()-ROW(tblConteo[#Headers])))</f>
        <v/>
      </c>
      <c r="D499" s="49" t="str">
        <f>IF(tblConteo[[#This Row],[SKU]]="","",INDEX(tblProductos[Categoría],ROW()-ROW(tblConteo[#Headers]))&amp;"")</f>
        <v/>
      </c>
      <c r="E499" s="42" t="str">
        <f>IF(tblConteo[[#This Row],[SKU]]="","",INDEX(tblProductos[Ubicación],ROW()-ROW(tblConteo[#Headers]))&amp;"")</f>
        <v/>
      </c>
      <c r="F499" s="42" t="str">
        <f>IF(tblConteo[[#This Row],[SKU]]="","",INDEX(tblProductos[Unidad],ROW()-ROW(tblConteo[#Headers]))&amp;"")</f>
        <v/>
      </c>
      <c r="G499" s="42" t="str">
        <f>IF(tblConteo[[#This Row],[SKU]]="","",IF(INDEX(tblProductos[Activo],ROW()-ROW(tblConteo[#Headers]))="NO","NO","SI"))</f>
        <v/>
      </c>
      <c r="H499" s="53" t="str">
        <f>IF(tblConteo[[#This Row],[SKU]]="","",IFERROR(N(INDEX(tblStock[StockActual],MATCH(tblConteo[[#This Row],[SKU]],tblStock[SKU],0))),0))</f>
        <v/>
      </c>
      <c r="I499" s="52"/>
      <c r="J499" s="59" t="str">
        <f>IF(OR(tblConteo[[#This Row],[SKU]]="",tblConteo[[#This Row],[Conteo]]=""),"",IF(ISNUMBER(tblConteo[[#This Row],[Conteo]]),tblConteo[[#This Row],[Conteo]]-N(tblConteo[[#This Row],[Sistema]]),""))</f>
        <v/>
      </c>
      <c r="K499" s="62" t="str">
        <f>IF(tblConteo[[#This Row],[Diferencia]]="","",tblConteo[[#This Row],[Diferencia]]*N(INDEX(tblProductos[CostoUnitario],ROW()-ROW(tblConteo[#Headers]))))</f>
        <v/>
      </c>
      <c r="L499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9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0" spans="2:13" x14ac:dyDescent="0.25">
      <c r="B500" s="42" t="str">
        <f>IF(INDEX(tblProductos[SKU],ROW()-ROW(tblConteo[#Headers]))="","",INDEX(tblProductos[SKU],ROW()-ROW(tblConteo[#Headers])))</f>
        <v/>
      </c>
      <c r="C500" s="49" t="str">
        <f>IF(tblConteo[[#This Row],[SKU]]="","",INDEX(tblProductos[Producto],ROW()-ROW(tblConteo[#Headers])))</f>
        <v/>
      </c>
      <c r="D500" s="49" t="str">
        <f>IF(tblConteo[[#This Row],[SKU]]="","",INDEX(tblProductos[Categoría],ROW()-ROW(tblConteo[#Headers]))&amp;"")</f>
        <v/>
      </c>
      <c r="E500" s="42" t="str">
        <f>IF(tblConteo[[#This Row],[SKU]]="","",INDEX(tblProductos[Ubicación],ROW()-ROW(tblConteo[#Headers]))&amp;"")</f>
        <v/>
      </c>
      <c r="F500" s="42" t="str">
        <f>IF(tblConteo[[#This Row],[SKU]]="","",INDEX(tblProductos[Unidad],ROW()-ROW(tblConteo[#Headers]))&amp;"")</f>
        <v/>
      </c>
      <c r="G500" s="42" t="str">
        <f>IF(tblConteo[[#This Row],[SKU]]="","",IF(INDEX(tblProductos[Activo],ROW()-ROW(tblConteo[#Headers]))="NO","NO","SI"))</f>
        <v/>
      </c>
      <c r="H500" s="53" t="str">
        <f>IF(tblConteo[[#This Row],[SKU]]="","",IFERROR(N(INDEX(tblStock[StockActual],MATCH(tblConteo[[#This Row],[SKU]],tblStock[SKU],0))),0))</f>
        <v/>
      </c>
      <c r="I500" s="52"/>
      <c r="J500" s="59" t="str">
        <f>IF(OR(tblConteo[[#This Row],[SKU]]="",tblConteo[[#This Row],[Conteo]]=""),"",IF(ISNUMBER(tblConteo[[#This Row],[Conteo]]),tblConteo[[#This Row],[Conteo]]-N(tblConteo[[#This Row],[Sistema]]),""))</f>
        <v/>
      </c>
      <c r="K500" s="62" t="str">
        <f>IF(tblConteo[[#This Row],[Diferencia]]="","",tblConteo[[#This Row],[Diferencia]]*N(INDEX(tblProductos[CostoUnitario],ROW()-ROW(tblConteo[#Headers]))))</f>
        <v/>
      </c>
      <c r="L500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0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1" spans="2:13" x14ac:dyDescent="0.25">
      <c r="B501" s="42" t="str">
        <f>IF(INDEX(tblProductos[SKU],ROW()-ROW(tblConteo[#Headers]))="","",INDEX(tblProductos[SKU],ROW()-ROW(tblConteo[#Headers])))</f>
        <v/>
      </c>
      <c r="C501" s="49" t="str">
        <f>IF(tblConteo[[#This Row],[SKU]]="","",INDEX(tblProductos[Producto],ROW()-ROW(tblConteo[#Headers])))</f>
        <v/>
      </c>
      <c r="D501" s="49" t="str">
        <f>IF(tblConteo[[#This Row],[SKU]]="","",INDEX(tblProductos[Categoría],ROW()-ROW(tblConteo[#Headers]))&amp;"")</f>
        <v/>
      </c>
      <c r="E501" s="42" t="str">
        <f>IF(tblConteo[[#This Row],[SKU]]="","",INDEX(tblProductos[Ubicación],ROW()-ROW(tblConteo[#Headers]))&amp;"")</f>
        <v/>
      </c>
      <c r="F501" s="42" t="str">
        <f>IF(tblConteo[[#This Row],[SKU]]="","",INDEX(tblProductos[Unidad],ROW()-ROW(tblConteo[#Headers]))&amp;"")</f>
        <v/>
      </c>
      <c r="G501" s="42" t="str">
        <f>IF(tblConteo[[#This Row],[SKU]]="","",IF(INDEX(tblProductos[Activo],ROW()-ROW(tblConteo[#Headers]))="NO","NO","SI"))</f>
        <v/>
      </c>
      <c r="H501" s="53" t="str">
        <f>IF(tblConteo[[#This Row],[SKU]]="","",IFERROR(N(INDEX(tblStock[StockActual],MATCH(tblConteo[[#This Row],[SKU]],tblStock[SKU],0))),0))</f>
        <v/>
      </c>
      <c r="I501" s="52"/>
      <c r="J501" s="59" t="str">
        <f>IF(OR(tblConteo[[#This Row],[SKU]]="",tblConteo[[#This Row],[Conteo]]=""),"",IF(ISNUMBER(tblConteo[[#This Row],[Conteo]]),tblConteo[[#This Row],[Conteo]]-N(tblConteo[[#This Row],[Sistema]]),""))</f>
        <v/>
      </c>
      <c r="K501" s="62" t="str">
        <f>IF(tblConteo[[#This Row],[Diferencia]]="","",tblConteo[[#This Row],[Diferencia]]*N(INDEX(tblProductos[CostoUnitario],ROW()-ROW(tblConteo[#Headers]))))</f>
        <v/>
      </c>
      <c r="L501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1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2" spans="2:13" x14ac:dyDescent="0.25">
      <c r="B502" s="42" t="str">
        <f>IF(INDEX(tblProductos[SKU],ROW()-ROW(tblConteo[#Headers]))="","",INDEX(tblProductos[SKU],ROW()-ROW(tblConteo[#Headers])))</f>
        <v/>
      </c>
      <c r="C502" s="49" t="str">
        <f>IF(tblConteo[[#This Row],[SKU]]="","",INDEX(tblProductos[Producto],ROW()-ROW(tblConteo[#Headers])))</f>
        <v/>
      </c>
      <c r="D502" s="49" t="str">
        <f>IF(tblConteo[[#This Row],[SKU]]="","",INDEX(tblProductos[Categoría],ROW()-ROW(tblConteo[#Headers]))&amp;"")</f>
        <v/>
      </c>
      <c r="E502" s="42" t="str">
        <f>IF(tblConteo[[#This Row],[SKU]]="","",INDEX(tblProductos[Ubicación],ROW()-ROW(tblConteo[#Headers]))&amp;"")</f>
        <v/>
      </c>
      <c r="F502" s="42" t="str">
        <f>IF(tblConteo[[#This Row],[SKU]]="","",INDEX(tblProductos[Unidad],ROW()-ROW(tblConteo[#Headers]))&amp;"")</f>
        <v/>
      </c>
      <c r="G502" s="42" t="str">
        <f>IF(tblConteo[[#This Row],[SKU]]="","",IF(INDEX(tblProductos[Activo],ROW()-ROW(tblConteo[#Headers]))="NO","NO","SI"))</f>
        <v/>
      </c>
      <c r="H502" s="53" t="str">
        <f>IF(tblConteo[[#This Row],[SKU]]="","",IFERROR(N(INDEX(tblStock[StockActual],MATCH(tblConteo[[#This Row],[SKU]],tblStock[SKU],0))),0))</f>
        <v/>
      </c>
      <c r="I502" s="52"/>
      <c r="J502" s="59" t="str">
        <f>IF(OR(tblConteo[[#This Row],[SKU]]="",tblConteo[[#This Row],[Conteo]]=""),"",IF(ISNUMBER(tblConteo[[#This Row],[Conteo]]),tblConteo[[#This Row],[Conteo]]-N(tblConteo[[#This Row],[Sistema]]),""))</f>
        <v/>
      </c>
      <c r="K502" s="62" t="str">
        <f>IF(tblConteo[[#This Row],[Diferencia]]="","",tblConteo[[#This Row],[Diferencia]]*N(INDEX(tblProductos[CostoUnitario],ROW()-ROW(tblConteo[#Headers]))))</f>
        <v/>
      </c>
      <c r="L502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2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3" spans="2:13" x14ac:dyDescent="0.25">
      <c r="B503" s="42" t="str">
        <f>IF(INDEX(tblProductos[SKU],ROW()-ROW(tblConteo[#Headers]))="","",INDEX(tblProductos[SKU],ROW()-ROW(tblConteo[#Headers])))</f>
        <v/>
      </c>
      <c r="C503" s="49" t="str">
        <f>IF(tblConteo[[#This Row],[SKU]]="","",INDEX(tblProductos[Producto],ROW()-ROW(tblConteo[#Headers])))</f>
        <v/>
      </c>
      <c r="D503" s="49" t="str">
        <f>IF(tblConteo[[#This Row],[SKU]]="","",INDEX(tblProductos[Categoría],ROW()-ROW(tblConteo[#Headers]))&amp;"")</f>
        <v/>
      </c>
      <c r="E503" s="42" t="str">
        <f>IF(tblConteo[[#This Row],[SKU]]="","",INDEX(tblProductos[Ubicación],ROW()-ROW(tblConteo[#Headers]))&amp;"")</f>
        <v/>
      </c>
      <c r="F503" s="42" t="str">
        <f>IF(tblConteo[[#This Row],[SKU]]="","",INDEX(tblProductos[Unidad],ROW()-ROW(tblConteo[#Headers]))&amp;"")</f>
        <v/>
      </c>
      <c r="G503" s="42" t="str">
        <f>IF(tblConteo[[#This Row],[SKU]]="","",IF(INDEX(tblProductos[Activo],ROW()-ROW(tblConteo[#Headers]))="NO","NO","SI"))</f>
        <v/>
      </c>
      <c r="H503" s="53" t="str">
        <f>IF(tblConteo[[#This Row],[SKU]]="","",IFERROR(N(INDEX(tblStock[StockActual],MATCH(tblConteo[[#This Row],[SKU]],tblStock[SKU],0))),0))</f>
        <v/>
      </c>
      <c r="I503" s="52"/>
      <c r="J503" s="59" t="str">
        <f>IF(OR(tblConteo[[#This Row],[SKU]]="",tblConteo[[#This Row],[Conteo]]=""),"",IF(ISNUMBER(tblConteo[[#This Row],[Conteo]]),tblConteo[[#This Row],[Conteo]]-N(tblConteo[[#This Row],[Sistema]]),""))</f>
        <v/>
      </c>
      <c r="K503" s="62" t="str">
        <f>IF(tblConteo[[#This Row],[Diferencia]]="","",tblConteo[[#This Row],[Diferencia]]*N(INDEX(tblProductos[CostoUnitario],ROW()-ROW(tblConteo[#Headers]))))</f>
        <v/>
      </c>
      <c r="L503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3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4" spans="2:13" x14ac:dyDescent="0.25">
      <c r="B504" s="42" t="str">
        <f>IF(INDEX(tblProductos[SKU],ROW()-ROW(tblConteo[#Headers]))="","",INDEX(tblProductos[SKU],ROW()-ROW(tblConteo[#Headers])))</f>
        <v/>
      </c>
      <c r="C504" s="49" t="str">
        <f>IF(tblConteo[[#This Row],[SKU]]="","",INDEX(tblProductos[Producto],ROW()-ROW(tblConteo[#Headers])))</f>
        <v/>
      </c>
      <c r="D504" s="49" t="str">
        <f>IF(tblConteo[[#This Row],[SKU]]="","",INDEX(tblProductos[Categoría],ROW()-ROW(tblConteo[#Headers]))&amp;"")</f>
        <v/>
      </c>
      <c r="E504" s="42" t="str">
        <f>IF(tblConteo[[#This Row],[SKU]]="","",INDEX(tblProductos[Ubicación],ROW()-ROW(tblConteo[#Headers]))&amp;"")</f>
        <v/>
      </c>
      <c r="F504" s="42" t="str">
        <f>IF(tblConteo[[#This Row],[SKU]]="","",INDEX(tblProductos[Unidad],ROW()-ROW(tblConteo[#Headers]))&amp;"")</f>
        <v/>
      </c>
      <c r="G504" s="42" t="str">
        <f>IF(tblConteo[[#This Row],[SKU]]="","",IF(INDEX(tblProductos[Activo],ROW()-ROW(tblConteo[#Headers]))="NO","NO","SI"))</f>
        <v/>
      </c>
      <c r="H504" s="53" t="str">
        <f>IF(tblConteo[[#This Row],[SKU]]="","",IFERROR(N(INDEX(tblStock[StockActual],MATCH(tblConteo[[#This Row],[SKU]],tblStock[SKU],0))),0))</f>
        <v/>
      </c>
      <c r="I504" s="52"/>
      <c r="J504" s="59" t="str">
        <f>IF(OR(tblConteo[[#This Row],[SKU]]="",tblConteo[[#This Row],[Conteo]]=""),"",IF(ISNUMBER(tblConteo[[#This Row],[Conteo]]),tblConteo[[#This Row],[Conteo]]-N(tblConteo[[#This Row],[Sistema]]),""))</f>
        <v/>
      </c>
      <c r="K504" s="62" t="str">
        <f>IF(tblConteo[[#This Row],[Diferencia]]="","",tblConteo[[#This Row],[Diferencia]]*N(INDEX(tblProductos[CostoUnitario],ROW()-ROW(tblConteo[#Headers]))))</f>
        <v/>
      </c>
      <c r="L504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4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5" spans="2:13" x14ac:dyDescent="0.25">
      <c r="B505" s="42" t="str">
        <f>IF(INDEX(tblProductos[SKU],ROW()-ROW(tblConteo[#Headers]))="","",INDEX(tblProductos[SKU],ROW()-ROW(tblConteo[#Headers])))</f>
        <v/>
      </c>
      <c r="C505" s="49" t="str">
        <f>IF(tblConteo[[#This Row],[SKU]]="","",INDEX(tblProductos[Producto],ROW()-ROW(tblConteo[#Headers])))</f>
        <v/>
      </c>
      <c r="D505" s="49" t="str">
        <f>IF(tblConteo[[#This Row],[SKU]]="","",INDEX(tblProductos[Categoría],ROW()-ROW(tblConteo[#Headers]))&amp;"")</f>
        <v/>
      </c>
      <c r="E505" s="42" t="str">
        <f>IF(tblConteo[[#This Row],[SKU]]="","",INDEX(tblProductos[Ubicación],ROW()-ROW(tblConteo[#Headers]))&amp;"")</f>
        <v/>
      </c>
      <c r="F505" s="42" t="str">
        <f>IF(tblConteo[[#This Row],[SKU]]="","",INDEX(tblProductos[Unidad],ROW()-ROW(tblConteo[#Headers]))&amp;"")</f>
        <v/>
      </c>
      <c r="G505" s="42" t="str">
        <f>IF(tblConteo[[#This Row],[SKU]]="","",IF(INDEX(tblProductos[Activo],ROW()-ROW(tblConteo[#Headers]))="NO","NO","SI"))</f>
        <v/>
      </c>
      <c r="H505" s="53" t="str">
        <f>IF(tblConteo[[#This Row],[SKU]]="","",IFERROR(N(INDEX(tblStock[StockActual],MATCH(tblConteo[[#This Row],[SKU]],tblStock[SKU],0))),0))</f>
        <v/>
      </c>
      <c r="I505" s="52"/>
      <c r="J505" s="59" t="str">
        <f>IF(OR(tblConteo[[#This Row],[SKU]]="",tblConteo[[#This Row],[Conteo]]=""),"",IF(ISNUMBER(tblConteo[[#This Row],[Conteo]]),tblConteo[[#This Row],[Conteo]]-N(tblConteo[[#This Row],[Sistema]]),""))</f>
        <v/>
      </c>
      <c r="K505" s="62" t="str">
        <f>IF(tblConteo[[#This Row],[Diferencia]]="","",tblConteo[[#This Row],[Diferencia]]*N(INDEX(tblProductos[CostoUnitario],ROW()-ROW(tblConteo[#Headers]))))</f>
        <v/>
      </c>
      <c r="L505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5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6" spans="2:13" x14ac:dyDescent="0.25">
      <c r="B506" s="42" t="str">
        <f>IF(INDEX(tblProductos[SKU],ROW()-ROW(tblConteo[#Headers]))="","",INDEX(tblProductos[SKU],ROW()-ROW(tblConteo[#Headers])))</f>
        <v/>
      </c>
      <c r="C506" s="49" t="str">
        <f>IF(tblConteo[[#This Row],[SKU]]="","",INDEX(tblProductos[Producto],ROW()-ROW(tblConteo[#Headers])))</f>
        <v/>
      </c>
      <c r="D506" s="49" t="str">
        <f>IF(tblConteo[[#This Row],[SKU]]="","",INDEX(tblProductos[Categoría],ROW()-ROW(tblConteo[#Headers]))&amp;"")</f>
        <v/>
      </c>
      <c r="E506" s="42" t="str">
        <f>IF(tblConteo[[#This Row],[SKU]]="","",INDEX(tblProductos[Ubicación],ROW()-ROW(tblConteo[#Headers]))&amp;"")</f>
        <v/>
      </c>
      <c r="F506" s="42" t="str">
        <f>IF(tblConteo[[#This Row],[SKU]]="","",INDEX(tblProductos[Unidad],ROW()-ROW(tblConteo[#Headers]))&amp;"")</f>
        <v/>
      </c>
      <c r="G506" s="42" t="str">
        <f>IF(tblConteo[[#This Row],[SKU]]="","",IF(INDEX(tblProductos[Activo],ROW()-ROW(tblConteo[#Headers]))="NO","NO","SI"))</f>
        <v/>
      </c>
      <c r="H506" s="53" t="str">
        <f>IF(tblConteo[[#This Row],[SKU]]="","",IFERROR(N(INDEX(tblStock[StockActual],MATCH(tblConteo[[#This Row],[SKU]],tblStock[SKU],0))),0))</f>
        <v/>
      </c>
      <c r="I506" s="52"/>
      <c r="J506" s="59" t="str">
        <f>IF(OR(tblConteo[[#This Row],[SKU]]="",tblConteo[[#This Row],[Conteo]]=""),"",IF(ISNUMBER(tblConteo[[#This Row],[Conteo]]),tblConteo[[#This Row],[Conteo]]-N(tblConteo[[#This Row],[Sistema]]),""))</f>
        <v/>
      </c>
      <c r="K506" s="62" t="str">
        <f>IF(tblConteo[[#This Row],[Diferencia]]="","",tblConteo[[#This Row],[Diferencia]]*N(INDEX(tblProductos[CostoUnitario],ROW()-ROW(tblConteo[#Headers]))))</f>
        <v/>
      </c>
      <c r="L506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6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7" spans="2:13" x14ac:dyDescent="0.25">
      <c r="B507" s="42" t="str">
        <f>IF(INDEX(tblProductos[SKU],ROW()-ROW(tblConteo[#Headers]))="","",INDEX(tblProductos[SKU],ROW()-ROW(tblConteo[#Headers])))</f>
        <v/>
      </c>
      <c r="C507" s="49" t="str">
        <f>IF(tblConteo[[#This Row],[SKU]]="","",INDEX(tblProductos[Producto],ROW()-ROW(tblConteo[#Headers])))</f>
        <v/>
      </c>
      <c r="D507" s="49" t="str">
        <f>IF(tblConteo[[#This Row],[SKU]]="","",INDEX(tblProductos[Categoría],ROW()-ROW(tblConteo[#Headers]))&amp;"")</f>
        <v/>
      </c>
      <c r="E507" s="42" t="str">
        <f>IF(tblConteo[[#This Row],[SKU]]="","",INDEX(tblProductos[Ubicación],ROW()-ROW(tblConteo[#Headers]))&amp;"")</f>
        <v/>
      </c>
      <c r="F507" s="42" t="str">
        <f>IF(tblConteo[[#This Row],[SKU]]="","",INDEX(tblProductos[Unidad],ROW()-ROW(tblConteo[#Headers]))&amp;"")</f>
        <v/>
      </c>
      <c r="G507" s="42" t="str">
        <f>IF(tblConteo[[#This Row],[SKU]]="","",IF(INDEX(tblProductos[Activo],ROW()-ROW(tblConteo[#Headers]))="NO","NO","SI"))</f>
        <v/>
      </c>
      <c r="H507" s="53" t="str">
        <f>IF(tblConteo[[#This Row],[SKU]]="","",IFERROR(N(INDEX(tblStock[StockActual],MATCH(tblConteo[[#This Row],[SKU]],tblStock[SKU],0))),0))</f>
        <v/>
      </c>
      <c r="I507" s="52"/>
      <c r="J507" s="59" t="str">
        <f>IF(OR(tblConteo[[#This Row],[SKU]]="",tblConteo[[#This Row],[Conteo]]=""),"",IF(ISNUMBER(tblConteo[[#This Row],[Conteo]]),tblConteo[[#This Row],[Conteo]]-N(tblConteo[[#This Row],[Sistema]]),""))</f>
        <v/>
      </c>
      <c r="K507" s="62" t="str">
        <f>IF(tblConteo[[#This Row],[Diferencia]]="","",tblConteo[[#This Row],[Diferencia]]*N(INDEX(tblProductos[CostoUnitario],ROW()-ROW(tblConteo[#Headers]))))</f>
        <v/>
      </c>
      <c r="L507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7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8" spans="2:13" x14ac:dyDescent="0.25">
      <c r="B508" s="42" t="str">
        <f>IF(INDEX(tblProductos[SKU],ROW()-ROW(tblConteo[#Headers]))="","",INDEX(tblProductos[SKU],ROW()-ROW(tblConteo[#Headers])))</f>
        <v/>
      </c>
      <c r="C508" s="49" t="str">
        <f>IF(tblConteo[[#This Row],[SKU]]="","",INDEX(tblProductos[Producto],ROW()-ROW(tblConteo[#Headers])))</f>
        <v/>
      </c>
      <c r="D508" s="49" t="str">
        <f>IF(tblConteo[[#This Row],[SKU]]="","",INDEX(tblProductos[Categoría],ROW()-ROW(tblConteo[#Headers]))&amp;"")</f>
        <v/>
      </c>
      <c r="E508" s="42" t="str">
        <f>IF(tblConteo[[#This Row],[SKU]]="","",INDEX(tblProductos[Ubicación],ROW()-ROW(tblConteo[#Headers]))&amp;"")</f>
        <v/>
      </c>
      <c r="F508" s="42" t="str">
        <f>IF(tblConteo[[#This Row],[SKU]]="","",INDEX(tblProductos[Unidad],ROW()-ROW(tblConteo[#Headers]))&amp;"")</f>
        <v/>
      </c>
      <c r="G508" s="42" t="str">
        <f>IF(tblConteo[[#This Row],[SKU]]="","",IF(INDEX(tblProductos[Activo],ROW()-ROW(tblConteo[#Headers]))="NO","NO","SI"))</f>
        <v/>
      </c>
      <c r="H508" s="53" t="str">
        <f>IF(tblConteo[[#This Row],[SKU]]="","",IFERROR(N(INDEX(tblStock[StockActual],MATCH(tblConteo[[#This Row],[SKU]],tblStock[SKU],0))),0))</f>
        <v/>
      </c>
      <c r="I508" s="52"/>
      <c r="J508" s="59" t="str">
        <f>IF(OR(tblConteo[[#This Row],[SKU]]="",tblConteo[[#This Row],[Conteo]]=""),"",IF(ISNUMBER(tblConteo[[#This Row],[Conteo]]),tblConteo[[#This Row],[Conteo]]-N(tblConteo[[#This Row],[Sistema]]),""))</f>
        <v/>
      </c>
      <c r="K508" s="62" t="str">
        <f>IF(tblConteo[[#This Row],[Diferencia]]="","",tblConteo[[#This Row],[Diferencia]]*N(INDEX(tblProductos[CostoUnitario],ROW()-ROW(tblConteo[#Headers]))))</f>
        <v/>
      </c>
      <c r="L508" s="43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8" s="49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</sheetData>
  <sheetProtection password="930D" sheet="1" objects="1" scenarios="1" formatColumns="0" autoFilter="0"/>
  <protectedRanges>
    <protectedRange sqref="I9:I508" name="Conteo"/>
    <protectedRange sqref="D7" name="Fecha del conteo"/>
    <protectedRange sqref="H7" name="Confirmar conteo"/>
  </protectedRanges>
  <mergeCells count="8">
    <mergeCell ref="B7:C7"/>
    <mergeCell ref="E7:G7"/>
    <mergeCell ref="I7:M7"/>
    <mergeCell ref="G5:H5"/>
    <mergeCell ref="B6:C6"/>
    <mergeCell ref="D6:E6"/>
    <mergeCell ref="F6:H6"/>
    <mergeCell ref="J6:M6"/>
  </mergeCells>
  <conditionalFormatting sqref="B9:M508">
    <cfRule type="expression" dxfId="93" priority="10">
      <formula>$G9="NO"</formula>
    </cfRule>
  </conditionalFormatting>
  <conditionalFormatting sqref="H9:H508">
    <cfRule type="expression" dxfId="92" priority="11">
      <formula>AND(ISNUMBER(H9),H9&lt;&gt;INT(H9))</formula>
    </cfRule>
  </conditionalFormatting>
  <conditionalFormatting sqref="I9:I508">
    <cfRule type="expression" dxfId="91" priority="12">
      <formula>AND(ISNUMBER(I9),I9&lt;&gt;INT(I9))</formula>
    </cfRule>
  </conditionalFormatting>
  <conditionalFormatting sqref="I7:M7">
    <cfRule type="expression" dxfId="90" priority="1">
      <formula>LEFT($I$7,1)="✔"</formula>
    </cfRule>
    <cfRule type="expression" dxfId="89" priority="2">
      <formula>LEFT($I$7,1)="✖"</formula>
    </cfRule>
  </conditionalFormatting>
  <conditionalFormatting sqref="J9:J508">
    <cfRule type="expression" dxfId="88" priority="8">
      <formula>AND(ISNUMBER($J9),$J9&gt;0)</formula>
    </cfRule>
    <cfRule type="expression" dxfId="87" priority="9">
      <formula>AND(ISNUMBER($J9),$J9&lt;0)</formula>
    </cfRule>
    <cfRule type="expression" dxfId="86" priority="13">
      <formula>AND(ISNUMBER(J9),J9&lt;&gt;INT(J9))</formula>
    </cfRule>
  </conditionalFormatting>
  <conditionalFormatting sqref="L9:L508">
    <cfRule type="expression" dxfId="85" priority="3">
      <formula>LEFT($L9,1)="✔"</formula>
    </cfRule>
    <cfRule type="expression" dxfId="84" priority="4">
      <formula>LEFT($L9,1)="✖"</formula>
    </cfRule>
    <cfRule type="expression" dxfId="83" priority="5">
      <formula>LEFT($L9,1)="▲"</formula>
    </cfRule>
    <cfRule type="expression" dxfId="82" priority="6">
      <formula>LEFT($L9,1)="▼"</formula>
    </cfRule>
    <cfRule type="expression" dxfId="81" priority="7">
      <formula>LEFT($L9,1)="●"</formula>
    </cfRule>
  </conditionalFormatting>
  <dataValidations count="12">
    <dataValidation type="date" allowBlank="1" showInputMessage="1" showErrorMessage="1" errorTitle="Fecha no válida" error="Use dd/mm/aaaa, sin fechas futuras." promptTitle="Fecha del conteo" prompt="Opcional. Vacía = hoy." sqref="D7" xr:uid="{00000000-0002-0000-0B00-000000000000}">
      <formula1>cfgFechaMin</formula1>
      <formula2>TODAY()</formula2>
    </dataValidation>
    <dataValidation type="list" allowBlank="1" showInputMessage="1" showErrorMessage="1" errorTitle="Valor no válido" error="Escriba SI o deje vacío." promptTitle="Confirmar" prompt="Escriba SI justo antes de pulsar «Generar ajustes». El script lo borra al terminar (evita ejecutarlo por accidente)." sqref="H7" xr:uid="{00000000-0002-0000-0B00-000001000000}">
      <formula1>"SI"</formula1>
    </dataValidation>
    <dataValidation allowBlank="1" showInputMessage="1" showErrorMessage="1" promptTitle="ƒx SKU" prompt="Producto n del catálogo (05_PRODUCTOS)." sqref="B8" xr:uid="{00000000-0002-0000-0B00-000002000000}"/>
    <dataValidation allowBlank="1" showInputMessage="1" showErrorMessage="1" promptTitle="ƒx Categoría" prompt="Filtre por categoría para repartir el conteo." sqref="D8" xr:uid="{00000000-0002-0000-0B00-000003000000}"/>
    <dataValidation allowBlank="1" showInputMessage="1" showErrorMessage="1" promptTitle="ƒx Ubicación" prompt="Filtre por ubicación para recorrer la bodega en orden." sqref="E8" xr:uid="{00000000-0002-0000-0B00-000004000000}"/>
    <dataValidation allowBlank="1" showInputMessage="1" showErrorMessage="1" promptTitle="ƒx Sistema" prompt="Stock según la instantánea (15_STOCK). El ajuste final usa el stock EXACTO al generar." sqref="H8" xr:uid="{00000000-0002-0000-0B00-000005000000}"/>
    <dataValidation allowBlank="1" showInputMessage="1" showErrorMessage="1" promptTitle="✎ Conteo" prompt="Cantidad contada físicamente. Deje vacío lo que no contó: solo se ajustan los productos con conteo." sqref="I8" xr:uid="{00000000-0002-0000-0B00-000006000000}"/>
    <dataValidation allowBlank="1" showInputMessage="1" showErrorMessage="1" promptTitle="ƒx Diferencia" prompt="Conteo − sistema (vista previa con la instantánea)." sqref="J8" xr:uid="{00000000-0002-0000-0B00-000007000000}"/>
    <dataValidation allowBlank="1" showInputMessage="1" showErrorMessage="1" promptTitle="ƒx ValorDiferencia" prompt="Diferencia × costo unitario." sqref="K8" xr:uid="{00000000-0002-0000-0B00-000008000000}"/>
    <dataValidation allowBlank="1" showInputMessage="1" showErrorMessage="1" promptTitle="ƒx Resultado" prompt="✔ cuadra · ▲ sobrante · ▼ faltante · ● saldo inicial." sqref="L8" xr:uid="{00000000-0002-0000-0B00-000009000000}"/>
    <dataValidation allowBlank="1" showInputMessage="1" showErrorMessage="1" promptTitle="ƒx AjusteSugerido" prompt="Movimiento que registrará el script." sqref="M8" xr:uid="{00000000-0002-0000-0B00-00000A000000}"/>
    <dataValidation type="decimal" operator="greaterThanOrEqual" allowBlank="1" showInputMessage="1" showErrorMessage="1" errorTitle="Conteo no válido" error="Escriba un número mayor o igual a 0." promptTitle="Conteo físico" prompt="Cantidad contada (0 o más). Deje vacío lo que no contó." sqref="I9:I508" xr:uid="{00000000-0002-0000-0B00-00000B000000}">
      <formula1>0</formula1>
    </dataValidation>
  </dataValidations>
  <hyperlinks>
    <hyperlink ref="B5" location="'00_PORTADA_BODEGA'!A1" tooltip="Portada de Bodega" display="⌂ Bodega" xr:uid="{00000000-0004-0000-0B00-000000000000}"/>
    <hyperlink ref="C5" location="'00_PORTADA_VENTAS'!A1" tooltip="Portada de Ventas" display="⌂ Ventas" xr:uid="{00000000-0004-0000-0B00-000001000000}"/>
    <hyperlink ref="D5" location="'00_PORTADA_GERENCIA'!A1" tooltip="Portada de Gerencia: indicadores, pedido y actividad" display="◈ Gerencia" xr:uid="{00000000-0004-0000-0B00-000002000000}"/>
    <hyperlink ref="E5" location="'10A_ENTRADAS'!C9" tooltip="Registrar entradas y ajustes (Bodega)" display="⇩ Entradas" xr:uid="{00000000-0004-0000-0B00-000003000000}"/>
    <hyperlink ref="F5" location="'10B_SALIDAS'!E9" tooltip="Registrar salidas (Ventas)" display="⇧ Salidas" xr:uid="{00000000-0004-0000-0B00-000004000000}"/>
    <hyperlink ref="G5" location="'17_CONSULTA'!C9" tooltip="Consultar un producto en su fila" display="⌕ Consulta" xr:uid="{00000000-0004-0000-0B00-000005000000}"/>
    <hyperlink ref="I5" location="'15_STOCK'!A1" tooltip="Stock (instantánea recalculada a demanda)" display="▦ Stock" xr:uid="{00000000-0004-0000-0B00-000006000000}"/>
    <hyperlink ref="J5" location="'18_PEDIDO'!A1" tooltip="Pedido sugerido por proveedor" display="✚ Pedido" xr:uid="{00000000-0004-0000-0B00-000007000000}"/>
    <hyperlink ref="K5" location="'13_CONTEO'!I9" tooltip="Toma física (conteo) colaborativa" display="✓ Conteo" xr:uid="{00000000-0004-0000-0B00-000008000000}"/>
    <hyperlink ref="L5" location="'99_AYUDA'!A1" tooltip="Guía de uso, acceso e instalación" display="? Guía" xr:uid="{00000000-0004-0000-0B00-000009000000}"/>
  </hyperlinks>
  <pageMargins left="0.7" right="0.7" top="0.75" bottom="0.75" header="0.3" footer="0.3"/>
  <pageSetup fitToHeight="0" orientation="landscape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55A64"/>
    <pageSetUpPr fitToPage="1"/>
  </sheetPr>
  <dimension ref="B1:K485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27.140625" customWidth="1"/>
    <col min="3" max="3" width="20" customWidth="1"/>
    <col min="4" max="4" width="35.7109375" customWidth="1"/>
    <col min="5" max="5" width="24.28515625" customWidth="1"/>
    <col min="6" max="7" width="27.140625" customWidth="1"/>
    <col min="8" max="8" width="80" customWidth="1"/>
    <col min="9" max="11" width="13.7109375" customWidth="1"/>
    <col min="12" max="12" width="2.28515625" customWidth="1"/>
    <col min="13" max="13" width="0" hidden="1" customWidth="1"/>
  </cols>
  <sheetData>
    <row r="1" spans="2:11" s="1" customFormat="1" ht="4.5" customHeight="1" x14ac:dyDescent="0.25"/>
    <row r="2" spans="2:11" s="1" customFormat="1" ht="22.5" customHeight="1" x14ac:dyDescent="0.25">
      <c r="B2" s="2" t="s">
        <v>1370</v>
      </c>
    </row>
    <row r="3" spans="2:11" s="1" customFormat="1" ht="14.25" x14ac:dyDescent="0.25">
      <c r="B3" s="3" t="s">
        <v>1371</v>
      </c>
    </row>
    <row r="4" spans="2:11" s="1" customFormat="1" ht="4.5" customHeight="1" x14ac:dyDescent="0.25"/>
    <row r="5" spans="2:11" s="4" customFormat="1" ht="21" customHeight="1" x14ac:dyDescent="0.25">
      <c r="B5" s="6" t="s">
        <v>85</v>
      </c>
      <c r="C5" s="6" t="s">
        <v>86</v>
      </c>
      <c r="D5" s="6" t="s">
        <v>87</v>
      </c>
      <c r="E5" s="6" t="s">
        <v>88</v>
      </c>
      <c r="F5" s="6" t="s">
        <v>89</v>
      </c>
      <c r="G5" s="6" t="s">
        <v>90</v>
      </c>
      <c r="H5" s="6" t="s">
        <v>91</v>
      </c>
      <c r="I5" s="6" t="s">
        <v>92</v>
      </c>
      <c r="J5" s="6" t="s">
        <v>93</v>
      </c>
      <c r="K5" s="6" t="s">
        <v>94</v>
      </c>
    </row>
    <row r="6" spans="2:11" s="7" customFormat="1" ht="22.5" customHeight="1" x14ac:dyDescent="0.25">
      <c r="B6" s="38" t="str">
        <f>"Ejecuciones: "&amp;FIXED(kpiEjecuciones,0)</f>
        <v>Ejecuciones: 478</v>
      </c>
      <c r="C6" s="126" t="str">
        <f ca="1">IF(kpiBloqMes=0,"✔ Sin bloqueos este mes","✖ Bloqueos del mes: "&amp;kpiBloqMes)</f>
        <v>✖ Bloqueos del mes: 4</v>
      </c>
      <c r="D6" s="126"/>
      <c r="E6" s="126" t="str">
        <f>txtUltimaEjecucion</f>
        <v>Última: 25/09/2026 16:37 · RegistrarEntrada · Ana Gómez</v>
      </c>
      <c r="F6" s="126"/>
      <c r="G6" s="126"/>
      <c r="H6" s="39" t="s">
        <v>2333</v>
      </c>
    </row>
    <row r="7" spans="2:11" ht="24" customHeight="1" x14ac:dyDescent="0.25">
      <c r="B7" s="17" t="s">
        <v>340</v>
      </c>
      <c r="C7" s="17" t="s">
        <v>344</v>
      </c>
      <c r="D7" s="17" t="s">
        <v>343</v>
      </c>
      <c r="E7" s="17" t="s">
        <v>96</v>
      </c>
      <c r="F7" s="17" t="s">
        <v>1372</v>
      </c>
      <c r="G7" s="17" t="s">
        <v>332</v>
      </c>
      <c r="H7" s="17" t="s">
        <v>1373</v>
      </c>
    </row>
    <row r="8" spans="2:11" x14ac:dyDescent="0.25">
      <c r="B8" s="57" t="s">
        <v>1374</v>
      </c>
      <c r="C8" s="63">
        <v>46113.322800925933</v>
      </c>
      <c r="D8" s="64" t="s">
        <v>105</v>
      </c>
      <c r="E8" s="64" t="s">
        <v>106</v>
      </c>
      <c r="F8" s="64" t="s">
        <v>1375</v>
      </c>
      <c r="G8" s="54" t="s">
        <v>1376</v>
      </c>
      <c r="H8" s="64" t="s">
        <v>1377</v>
      </c>
    </row>
    <row r="9" spans="2:11" x14ac:dyDescent="0.25">
      <c r="B9" s="57" t="s">
        <v>1378</v>
      </c>
      <c r="C9" s="63">
        <v>46113.363252314812</v>
      </c>
      <c r="D9" s="64" t="s">
        <v>105</v>
      </c>
      <c r="E9" s="64" t="s">
        <v>106</v>
      </c>
      <c r="F9" s="64" t="s">
        <v>1375</v>
      </c>
      <c r="G9" s="54" t="s">
        <v>1376</v>
      </c>
      <c r="H9" s="64" t="s">
        <v>1379</v>
      </c>
    </row>
    <row r="10" spans="2:11" x14ac:dyDescent="0.25">
      <c r="B10" s="57" t="s">
        <v>1380</v>
      </c>
      <c r="C10" s="63">
        <v>46113.370636574073</v>
      </c>
      <c r="D10" s="64" t="s">
        <v>105</v>
      </c>
      <c r="E10" s="64" t="s">
        <v>106</v>
      </c>
      <c r="F10" s="64" t="s">
        <v>1375</v>
      </c>
      <c r="G10" s="54" t="s">
        <v>1376</v>
      </c>
      <c r="H10" s="64" t="s">
        <v>1381</v>
      </c>
    </row>
    <row r="11" spans="2:11" x14ac:dyDescent="0.25">
      <c r="B11" s="57" t="s">
        <v>1382</v>
      </c>
      <c r="C11" s="63">
        <v>46113.372881944437</v>
      </c>
      <c r="D11" s="64" t="s">
        <v>105</v>
      </c>
      <c r="E11" s="64" t="s">
        <v>106</v>
      </c>
      <c r="F11" s="64" t="s">
        <v>1375</v>
      </c>
      <c r="G11" s="54" t="s">
        <v>1376</v>
      </c>
      <c r="H11" s="64" t="s">
        <v>1383</v>
      </c>
    </row>
    <row r="12" spans="2:11" x14ac:dyDescent="0.25">
      <c r="B12" s="57" t="s">
        <v>1384</v>
      </c>
      <c r="C12" s="63">
        <v>46113.394687499997</v>
      </c>
      <c r="D12" s="64" t="s">
        <v>105</v>
      </c>
      <c r="E12" s="64" t="s">
        <v>106</v>
      </c>
      <c r="F12" s="64" t="s">
        <v>1375</v>
      </c>
      <c r="G12" s="54" t="s">
        <v>1376</v>
      </c>
      <c r="H12" s="64" t="s">
        <v>1385</v>
      </c>
    </row>
    <row r="13" spans="2:11" x14ac:dyDescent="0.25">
      <c r="B13" s="57" t="s">
        <v>1386</v>
      </c>
      <c r="C13" s="63">
        <v>46113.406863425917</v>
      </c>
      <c r="D13" s="64" t="s">
        <v>105</v>
      </c>
      <c r="E13" s="64" t="s">
        <v>106</v>
      </c>
      <c r="F13" s="64" t="s">
        <v>1375</v>
      </c>
      <c r="G13" s="54" t="s">
        <v>1376</v>
      </c>
      <c r="H13" s="64" t="s">
        <v>1387</v>
      </c>
    </row>
    <row r="14" spans="2:11" x14ac:dyDescent="0.25">
      <c r="B14" s="57" t="s">
        <v>1388</v>
      </c>
      <c r="C14" s="63">
        <v>46113.431238425917</v>
      </c>
      <c r="D14" s="64" t="s">
        <v>105</v>
      </c>
      <c r="E14" s="64" t="s">
        <v>106</v>
      </c>
      <c r="F14" s="64" t="s">
        <v>1375</v>
      </c>
      <c r="G14" s="54" t="s">
        <v>1376</v>
      </c>
      <c r="H14" s="64" t="s">
        <v>1389</v>
      </c>
    </row>
    <row r="15" spans="2:11" x14ac:dyDescent="0.25">
      <c r="B15" s="57" t="s">
        <v>1390</v>
      </c>
      <c r="C15" s="63">
        <v>46113.436921296299</v>
      </c>
      <c r="D15" s="64" t="s">
        <v>105</v>
      </c>
      <c r="E15" s="64" t="s">
        <v>106</v>
      </c>
      <c r="F15" s="64" t="s">
        <v>1375</v>
      </c>
      <c r="G15" s="54" t="s">
        <v>1376</v>
      </c>
      <c r="H15" s="64" t="s">
        <v>1391</v>
      </c>
    </row>
    <row r="16" spans="2:11" x14ac:dyDescent="0.25">
      <c r="B16" s="57" t="s">
        <v>1392</v>
      </c>
      <c r="C16" s="63">
        <v>46113.448344907411</v>
      </c>
      <c r="D16" s="64" t="s">
        <v>105</v>
      </c>
      <c r="E16" s="64" t="s">
        <v>106</v>
      </c>
      <c r="F16" s="64" t="s">
        <v>1375</v>
      </c>
      <c r="G16" s="54" t="s">
        <v>1376</v>
      </c>
      <c r="H16" s="64" t="s">
        <v>1393</v>
      </c>
    </row>
    <row r="17" spans="2:8" x14ac:dyDescent="0.25">
      <c r="B17" s="57" t="s">
        <v>1394</v>
      </c>
      <c r="C17" s="63">
        <v>46113.449097222219</v>
      </c>
      <c r="D17" s="64" t="s">
        <v>105</v>
      </c>
      <c r="E17" s="64" t="s">
        <v>106</v>
      </c>
      <c r="F17" s="64" t="s">
        <v>1375</v>
      </c>
      <c r="G17" s="54" t="s">
        <v>1376</v>
      </c>
      <c r="H17" s="64" t="s">
        <v>1395</v>
      </c>
    </row>
    <row r="18" spans="2:8" x14ac:dyDescent="0.25">
      <c r="B18" s="57" t="s">
        <v>1396</v>
      </c>
      <c r="C18" s="63">
        <v>46113.451701388891</v>
      </c>
      <c r="D18" s="64" t="s">
        <v>105</v>
      </c>
      <c r="E18" s="64" t="s">
        <v>106</v>
      </c>
      <c r="F18" s="64" t="s">
        <v>1375</v>
      </c>
      <c r="G18" s="54" t="s">
        <v>1376</v>
      </c>
      <c r="H18" s="64" t="s">
        <v>1397</v>
      </c>
    </row>
    <row r="19" spans="2:8" x14ac:dyDescent="0.25">
      <c r="B19" s="57" t="s">
        <v>1398</v>
      </c>
      <c r="C19" s="63">
        <v>46113.478993055563</v>
      </c>
      <c r="D19" s="64" t="s">
        <v>105</v>
      </c>
      <c r="E19" s="64" t="s">
        <v>106</v>
      </c>
      <c r="F19" s="64" t="s">
        <v>1375</v>
      </c>
      <c r="G19" s="54" t="s">
        <v>1376</v>
      </c>
      <c r="H19" s="64" t="s">
        <v>1399</v>
      </c>
    </row>
    <row r="20" spans="2:8" x14ac:dyDescent="0.25">
      <c r="B20" s="57" t="s">
        <v>1400</v>
      </c>
      <c r="C20" s="63">
        <v>46113.485833333332</v>
      </c>
      <c r="D20" s="64" t="s">
        <v>105</v>
      </c>
      <c r="E20" s="64" t="s">
        <v>106</v>
      </c>
      <c r="F20" s="64" t="s">
        <v>1375</v>
      </c>
      <c r="G20" s="54" t="s">
        <v>1376</v>
      </c>
      <c r="H20" s="64" t="s">
        <v>1401</v>
      </c>
    </row>
    <row r="21" spans="2:8" x14ac:dyDescent="0.25">
      <c r="B21" s="57" t="s">
        <v>1402</v>
      </c>
      <c r="C21" s="63">
        <v>46113.50571759259</v>
      </c>
      <c r="D21" s="64" t="s">
        <v>105</v>
      </c>
      <c r="E21" s="64" t="s">
        <v>106</v>
      </c>
      <c r="F21" s="64" t="s">
        <v>1375</v>
      </c>
      <c r="G21" s="54" t="s">
        <v>1376</v>
      </c>
      <c r="H21" s="64" t="s">
        <v>1403</v>
      </c>
    </row>
    <row r="22" spans="2:8" x14ac:dyDescent="0.25">
      <c r="B22" s="57" t="s">
        <v>1404</v>
      </c>
      <c r="C22" s="63">
        <v>46113.505983796298</v>
      </c>
      <c r="D22" s="64" t="s">
        <v>105</v>
      </c>
      <c r="E22" s="64" t="s">
        <v>106</v>
      </c>
      <c r="F22" s="64" t="s">
        <v>1375</v>
      </c>
      <c r="G22" s="54" t="s">
        <v>1376</v>
      </c>
      <c r="H22" s="64" t="s">
        <v>1405</v>
      </c>
    </row>
    <row r="23" spans="2:8" x14ac:dyDescent="0.25">
      <c r="B23" s="57" t="s">
        <v>1406</v>
      </c>
      <c r="C23" s="63">
        <v>46113.52238425926</v>
      </c>
      <c r="D23" s="64" t="s">
        <v>105</v>
      </c>
      <c r="E23" s="64" t="s">
        <v>106</v>
      </c>
      <c r="F23" s="64" t="s">
        <v>1375</v>
      </c>
      <c r="G23" s="54" t="s">
        <v>1376</v>
      </c>
      <c r="H23" s="64" t="s">
        <v>1407</v>
      </c>
    </row>
    <row r="24" spans="2:8" x14ac:dyDescent="0.25">
      <c r="B24" s="57" t="s">
        <v>1408</v>
      </c>
      <c r="C24" s="63">
        <v>46113.53162037037</v>
      </c>
      <c r="D24" s="64" t="s">
        <v>105</v>
      </c>
      <c r="E24" s="64" t="s">
        <v>106</v>
      </c>
      <c r="F24" s="64" t="s">
        <v>1375</v>
      </c>
      <c r="G24" s="54" t="s">
        <v>1376</v>
      </c>
      <c r="H24" s="64" t="s">
        <v>1409</v>
      </c>
    </row>
    <row r="25" spans="2:8" x14ac:dyDescent="0.25">
      <c r="B25" s="57" t="s">
        <v>1410</v>
      </c>
      <c r="C25" s="63">
        <v>46113.541712962957</v>
      </c>
      <c r="D25" s="64" t="s">
        <v>105</v>
      </c>
      <c r="E25" s="64" t="s">
        <v>106</v>
      </c>
      <c r="F25" s="64" t="s">
        <v>1375</v>
      </c>
      <c r="G25" s="54" t="s">
        <v>1376</v>
      </c>
      <c r="H25" s="64" t="s">
        <v>1411</v>
      </c>
    </row>
    <row r="26" spans="2:8" x14ac:dyDescent="0.25">
      <c r="B26" s="57" t="s">
        <v>1412</v>
      </c>
      <c r="C26" s="63">
        <v>46113.551585648151</v>
      </c>
      <c r="D26" s="64" t="s">
        <v>105</v>
      </c>
      <c r="E26" s="64" t="s">
        <v>106</v>
      </c>
      <c r="F26" s="64" t="s">
        <v>1375</v>
      </c>
      <c r="G26" s="54" t="s">
        <v>1376</v>
      </c>
      <c r="H26" s="64" t="s">
        <v>1413</v>
      </c>
    </row>
    <row r="27" spans="2:8" x14ac:dyDescent="0.25">
      <c r="B27" s="57" t="s">
        <v>1414</v>
      </c>
      <c r="C27" s="63">
        <v>46113.557129629633</v>
      </c>
      <c r="D27" s="64" t="s">
        <v>105</v>
      </c>
      <c r="E27" s="64" t="s">
        <v>106</v>
      </c>
      <c r="F27" s="64" t="s">
        <v>1375</v>
      </c>
      <c r="G27" s="54" t="s">
        <v>1376</v>
      </c>
      <c r="H27" s="64" t="s">
        <v>1415</v>
      </c>
    </row>
    <row r="28" spans="2:8" x14ac:dyDescent="0.25">
      <c r="B28" s="57" t="s">
        <v>1416</v>
      </c>
      <c r="C28" s="63">
        <v>46113.56858796296</v>
      </c>
      <c r="D28" s="64" t="s">
        <v>105</v>
      </c>
      <c r="E28" s="64" t="s">
        <v>106</v>
      </c>
      <c r="F28" s="64" t="s">
        <v>1375</v>
      </c>
      <c r="G28" s="54" t="s">
        <v>1376</v>
      </c>
      <c r="H28" s="64" t="s">
        <v>1417</v>
      </c>
    </row>
    <row r="29" spans="2:8" x14ac:dyDescent="0.25">
      <c r="B29" s="57" t="s">
        <v>1418</v>
      </c>
      <c r="C29" s="63">
        <v>46113.571655092594</v>
      </c>
      <c r="D29" s="64" t="s">
        <v>105</v>
      </c>
      <c r="E29" s="64" t="s">
        <v>106</v>
      </c>
      <c r="F29" s="64" t="s">
        <v>1375</v>
      </c>
      <c r="G29" s="54" t="s">
        <v>1376</v>
      </c>
      <c r="H29" s="64" t="s">
        <v>1419</v>
      </c>
    </row>
    <row r="30" spans="2:8" x14ac:dyDescent="0.25">
      <c r="B30" s="57" t="s">
        <v>1420</v>
      </c>
      <c r="C30" s="63">
        <v>46113.575057870366</v>
      </c>
      <c r="D30" s="64" t="s">
        <v>105</v>
      </c>
      <c r="E30" s="64" t="s">
        <v>106</v>
      </c>
      <c r="F30" s="64" t="s">
        <v>1375</v>
      </c>
      <c r="G30" s="54" t="s">
        <v>1376</v>
      </c>
      <c r="H30" s="64" t="s">
        <v>1421</v>
      </c>
    </row>
    <row r="31" spans="2:8" x14ac:dyDescent="0.25">
      <c r="B31" s="57" t="s">
        <v>1422</v>
      </c>
      <c r="C31" s="63">
        <v>46113.576296296298</v>
      </c>
      <c r="D31" s="64" t="s">
        <v>105</v>
      </c>
      <c r="E31" s="64" t="s">
        <v>106</v>
      </c>
      <c r="F31" s="64" t="s">
        <v>1375</v>
      </c>
      <c r="G31" s="54" t="s">
        <v>1376</v>
      </c>
      <c r="H31" s="64" t="s">
        <v>1423</v>
      </c>
    </row>
    <row r="32" spans="2:8" x14ac:dyDescent="0.25">
      <c r="B32" s="57" t="s">
        <v>1424</v>
      </c>
      <c r="C32" s="63">
        <v>46113.596099537041</v>
      </c>
      <c r="D32" s="64" t="s">
        <v>105</v>
      </c>
      <c r="E32" s="64" t="s">
        <v>106</v>
      </c>
      <c r="F32" s="64" t="s">
        <v>1375</v>
      </c>
      <c r="G32" s="54" t="s">
        <v>1376</v>
      </c>
      <c r="H32" s="64" t="s">
        <v>1425</v>
      </c>
    </row>
    <row r="33" spans="2:8" x14ac:dyDescent="0.25">
      <c r="B33" s="57" t="s">
        <v>1426</v>
      </c>
      <c r="C33" s="63">
        <v>46113.6018287037</v>
      </c>
      <c r="D33" s="64" t="s">
        <v>105</v>
      </c>
      <c r="E33" s="64" t="s">
        <v>106</v>
      </c>
      <c r="F33" s="64" t="s">
        <v>1375</v>
      </c>
      <c r="G33" s="54" t="s">
        <v>1376</v>
      </c>
      <c r="H33" s="64" t="s">
        <v>1427</v>
      </c>
    </row>
    <row r="34" spans="2:8" x14ac:dyDescent="0.25">
      <c r="B34" s="57" t="s">
        <v>1428</v>
      </c>
      <c r="C34" s="63">
        <v>46113.614421296297</v>
      </c>
      <c r="D34" s="64" t="s">
        <v>105</v>
      </c>
      <c r="E34" s="64" t="s">
        <v>106</v>
      </c>
      <c r="F34" s="64" t="s">
        <v>1375</v>
      </c>
      <c r="G34" s="54" t="s">
        <v>1376</v>
      </c>
      <c r="H34" s="64" t="s">
        <v>1429</v>
      </c>
    </row>
    <row r="35" spans="2:8" x14ac:dyDescent="0.25">
      <c r="B35" s="57" t="s">
        <v>1430</v>
      </c>
      <c r="C35" s="63">
        <v>46113.614988425928</v>
      </c>
      <c r="D35" s="64" t="s">
        <v>105</v>
      </c>
      <c r="E35" s="64" t="s">
        <v>106</v>
      </c>
      <c r="F35" s="64" t="s">
        <v>1375</v>
      </c>
      <c r="G35" s="54" t="s">
        <v>1376</v>
      </c>
      <c r="H35" s="64" t="s">
        <v>1431</v>
      </c>
    </row>
    <row r="36" spans="2:8" x14ac:dyDescent="0.25">
      <c r="B36" s="57" t="s">
        <v>1432</v>
      </c>
      <c r="C36" s="63">
        <v>46113.62054398148</v>
      </c>
      <c r="D36" s="64" t="s">
        <v>105</v>
      </c>
      <c r="E36" s="64" t="s">
        <v>106</v>
      </c>
      <c r="F36" s="64" t="s">
        <v>1375</v>
      </c>
      <c r="G36" s="54" t="s">
        <v>1376</v>
      </c>
      <c r="H36" s="64" t="s">
        <v>1433</v>
      </c>
    </row>
    <row r="37" spans="2:8" x14ac:dyDescent="0.25">
      <c r="B37" s="57" t="s">
        <v>1434</v>
      </c>
      <c r="C37" s="63">
        <v>46113.635104166657</v>
      </c>
      <c r="D37" s="64" t="s">
        <v>105</v>
      </c>
      <c r="E37" s="64" t="s">
        <v>106</v>
      </c>
      <c r="F37" s="64" t="s">
        <v>1375</v>
      </c>
      <c r="G37" s="54" t="s">
        <v>1376</v>
      </c>
      <c r="H37" s="64" t="s">
        <v>1435</v>
      </c>
    </row>
    <row r="38" spans="2:8" x14ac:dyDescent="0.25">
      <c r="B38" s="57" t="s">
        <v>1436</v>
      </c>
      <c r="C38" s="63">
        <v>46113.656770833331</v>
      </c>
      <c r="D38" s="64" t="s">
        <v>105</v>
      </c>
      <c r="E38" s="64" t="s">
        <v>106</v>
      </c>
      <c r="F38" s="64" t="s">
        <v>1375</v>
      </c>
      <c r="G38" s="54" t="s">
        <v>1376</v>
      </c>
      <c r="H38" s="64" t="s">
        <v>1437</v>
      </c>
    </row>
    <row r="39" spans="2:8" x14ac:dyDescent="0.25">
      <c r="B39" s="57" t="s">
        <v>1438</v>
      </c>
      <c r="C39" s="63">
        <v>46113.664513888893</v>
      </c>
      <c r="D39" s="64" t="s">
        <v>105</v>
      </c>
      <c r="E39" s="64" t="s">
        <v>106</v>
      </c>
      <c r="F39" s="64" t="s">
        <v>1375</v>
      </c>
      <c r="G39" s="54" t="s">
        <v>1376</v>
      </c>
      <c r="H39" s="64" t="s">
        <v>1439</v>
      </c>
    </row>
    <row r="40" spans="2:8" x14ac:dyDescent="0.25">
      <c r="B40" s="57" t="s">
        <v>1440</v>
      </c>
      <c r="C40" s="63">
        <v>46113.667615740742</v>
      </c>
      <c r="D40" s="64" t="s">
        <v>105</v>
      </c>
      <c r="E40" s="64" t="s">
        <v>106</v>
      </c>
      <c r="F40" s="64" t="s">
        <v>1375</v>
      </c>
      <c r="G40" s="54" t="s">
        <v>1376</v>
      </c>
      <c r="H40" s="64" t="s">
        <v>1441</v>
      </c>
    </row>
    <row r="41" spans="2:8" x14ac:dyDescent="0.25">
      <c r="B41" s="57" t="s">
        <v>1442</v>
      </c>
      <c r="C41" s="63">
        <v>46113.696284722217</v>
      </c>
      <c r="D41" s="64" t="s">
        <v>105</v>
      </c>
      <c r="E41" s="64" t="s">
        <v>106</v>
      </c>
      <c r="F41" s="64" t="s">
        <v>1375</v>
      </c>
      <c r="G41" s="54" t="s">
        <v>1376</v>
      </c>
      <c r="H41" s="64" t="s">
        <v>1443</v>
      </c>
    </row>
    <row r="42" spans="2:8" x14ac:dyDescent="0.25">
      <c r="B42" s="57" t="s">
        <v>1444</v>
      </c>
      <c r="C42" s="63">
        <v>46114.3594212963</v>
      </c>
      <c r="D42" s="64" t="s">
        <v>111</v>
      </c>
      <c r="E42" s="64" t="s">
        <v>112</v>
      </c>
      <c r="F42" s="64" t="s">
        <v>1445</v>
      </c>
      <c r="G42" s="54" t="s">
        <v>1376</v>
      </c>
      <c r="H42" s="64" t="s">
        <v>1446</v>
      </c>
    </row>
    <row r="43" spans="2:8" x14ac:dyDescent="0.25">
      <c r="B43" s="57" t="s">
        <v>1447</v>
      </c>
      <c r="C43" s="63">
        <v>46114.457743055558</v>
      </c>
      <c r="D43" s="64" t="s">
        <v>109</v>
      </c>
      <c r="E43" s="64" t="s">
        <v>110</v>
      </c>
      <c r="F43" s="64" t="s">
        <v>1445</v>
      </c>
      <c r="G43" s="54" t="s">
        <v>1376</v>
      </c>
      <c r="H43" s="64" t="s">
        <v>1448</v>
      </c>
    </row>
    <row r="44" spans="2:8" x14ac:dyDescent="0.25">
      <c r="B44" s="57" t="s">
        <v>1449</v>
      </c>
      <c r="C44" s="63">
        <v>46114.559212962973</v>
      </c>
      <c r="D44" s="64" t="s">
        <v>109</v>
      </c>
      <c r="E44" s="64" t="s">
        <v>110</v>
      </c>
      <c r="F44" s="64" t="s">
        <v>1445</v>
      </c>
      <c r="G44" s="54" t="s">
        <v>1376</v>
      </c>
      <c r="H44" s="64" t="s">
        <v>1450</v>
      </c>
    </row>
    <row r="45" spans="2:8" x14ac:dyDescent="0.25">
      <c r="B45" s="57" t="s">
        <v>1451</v>
      </c>
      <c r="C45" s="63">
        <v>46115.508344907408</v>
      </c>
      <c r="D45" s="64" t="s">
        <v>111</v>
      </c>
      <c r="E45" s="64" t="s">
        <v>112</v>
      </c>
      <c r="F45" s="64" t="s">
        <v>1445</v>
      </c>
      <c r="G45" s="54" t="s">
        <v>1376</v>
      </c>
      <c r="H45" s="64" t="s">
        <v>1452</v>
      </c>
    </row>
    <row r="46" spans="2:8" x14ac:dyDescent="0.25">
      <c r="B46" s="57" t="s">
        <v>1453</v>
      </c>
      <c r="C46" s="63">
        <v>46115.673449074071</v>
      </c>
      <c r="D46" s="64" t="s">
        <v>111</v>
      </c>
      <c r="E46" s="64" t="s">
        <v>112</v>
      </c>
      <c r="F46" s="64" t="s">
        <v>1445</v>
      </c>
      <c r="G46" s="54" t="s">
        <v>1376</v>
      </c>
      <c r="H46" s="64" t="s">
        <v>1454</v>
      </c>
    </row>
    <row r="47" spans="2:8" x14ac:dyDescent="0.25">
      <c r="B47" s="57" t="s">
        <v>1455</v>
      </c>
      <c r="C47" s="63">
        <v>46115.710856481477</v>
      </c>
      <c r="D47" s="64" t="s">
        <v>109</v>
      </c>
      <c r="E47" s="64" t="s">
        <v>110</v>
      </c>
      <c r="F47" s="64" t="s">
        <v>1445</v>
      </c>
      <c r="G47" s="54" t="s">
        <v>1376</v>
      </c>
      <c r="H47" s="64" t="s">
        <v>1456</v>
      </c>
    </row>
    <row r="48" spans="2:8" x14ac:dyDescent="0.25">
      <c r="B48" s="57" t="s">
        <v>1457</v>
      </c>
      <c r="C48" s="63">
        <v>46116.387013888889</v>
      </c>
      <c r="D48" s="64" t="s">
        <v>109</v>
      </c>
      <c r="E48" s="64" t="s">
        <v>110</v>
      </c>
      <c r="F48" s="64" t="s">
        <v>1445</v>
      </c>
      <c r="G48" s="54" t="s">
        <v>1376</v>
      </c>
      <c r="H48" s="64" t="s">
        <v>1458</v>
      </c>
    </row>
    <row r="49" spans="2:8" x14ac:dyDescent="0.25">
      <c r="B49" s="57" t="s">
        <v>1459</v>
      </c>
      <c r="C49" s="63">
        <v>46116.519965277781</v>
      </c>
      <c r="D49" s="64" t="s">
        <v>109</v>
      </c>
      <c r="E49" s="64" t="s">
        <v>110</v>
      </c>
      <c r="F49" s="64" t="s">
        <v>1445</v>
      </c>
      <c r="G49" s="54" t="s">
        <v>1376</v>
      </c>
      <c r="H49" s="64" t="s">
        <v>1460</v>
      </c>
    </row>
    <row r="50" spans="2:8" x14ac:dyDescent="0.25">
      <c r="B50" s="57" t="s">
        <v>1461</v>
      </c>
      <c r="C50" s="63">
        <v>46116.605150462958</v>
      </c>
      <c r="D50" s="64" t="s">
        <v>109</v>
      </c>
      <c r="E50" s="64" t="s">
        <v>110</v>
      </c>
      <c r="F50" s="64" t="s">
        <v>1445</v>
      </c>
      <c r="G50" s="54" t="s">
        <v>1376</v>
      </c>
      <c r="H50" s="64" t="s">
        <v>1462</v>
      </c>
    </row>
    <row r="51" spans="2:8" x14ac:dyDescent="0.25">
      <c r="B51" s="57" t="s">
        <v>1463</v>
      </c>
      <c r="C51" s="63">
        <v>46116.626875000002</v>
      </c>
      <c r="D51" s="64" t="s">
        <v>111</v>
      </c>
      <c r="E51" s="64" t="s">
        <v>112</v>
      </c>
      <c r="F51" s="64" t="s">
        <v>1445</v>
      </c>
      <c r="G51" s="54" t="s">
        <v>1376</v>
      </c>
      <c r="H51" s="64" t="s">
        <v>1464</v>
      </c>
    </row>
    <row r="52" spans="2:8" x14ac:dyDescent="0.25">
      <c r="B52" s="57" t="s">
        <v>1465</v>
      </c>
      <c r="C52" s="63">
        <v>46118.367349537039</v>
      </c>
      <c r="D52" s="64" t="s">
        <v>109</v>
      </c>
      <c r="E52" s="64" t="s">
        <v>110</v>
      </c>
      <c r="F52" s="64" t="s">
        <v>1445</v>
      </c>
      <c r="G52" s="54" t="s">
        <v>1376</v>
      </c>
      <c r="H52" s="64" t="s">
        <v>1466</v>
      </c>
    </row>
    <row r="53" spans="2:8" x14ac:dyDescent="0.25">
      <c r="B53" s="57" t="s">
        <v>1467</v>
      </c>
      <c r="C53" s="63">
        <v>46118.380532407413</v>
      </c>
      <c r="D53" s="64" t="s">
        <v>109</v>
      </c>
      <c r="E53" s="64" t="s">
        <v>110</v>
      </c>
      <c r="F53" s="64" t="s">
        <v>1445</v>
      </c>
      <c r="G53" s="54" t="s">
        <v>1376</v>
      </c>
      <c r="H53" s="64" t="s">
        <v>1468</v>
      </c>
    </row>
    <row r="54" spans="2:8" x14ac:dyDescent="0.25">
      <c r="B54" s="57" t="s">
        <v>1469</v>
      </c>
      <c r="C54" s="63">
        <v>46118.447013888886</v>
      </c>
      <c r="D54" s="64" t="s">
        <v>109</v>
      </c>
      <c r="E54" s="64" t="s">
        <v>110</v>
      </c>
      <c r="F54" s="64" t="s">
        <v>1445</v>
      </c>
      <c r="G54" s="54" t="s">
        <v>1376</v>
      </c>
      <c r="H54" s="64" t="s">
        <v>1470</v>
      </c>
    </row>
    <row r="55" spans="2:8" x14ac:dyDescent="0.25">
      <c r="B55" s="57" t="s">
        <v>1471</v>
      </c>
      <c r="C55" s="63">
        <v>46118.519479166673</v>
      </c>
      <c r="D55" s="64" t="s">
        <v>111</v>
      </c>
      <c r="E55" s="64" t="s">
        <v>112</v>
      </c>
      <c r="F55" s="64" t="s">
        <v>1445</v>
      </c>
      <c r="G55" s="54" t="s">
        <v>1376</v>
      </c>
      <c r="H55" s="64" t="s">
        <v>1472</v>
      </c>
    </row>
    <row r="56" spans="2:8" x14ac:dyDescent="0.25">
      <c r="B56" s="57" t="s">
        <v>1473</v>
      </c>
      <c r="C56" s="63">
        <v>46119.364282407398</v>
      </c>
      <c r="D56" s="64" t="s">
        <v>111</v>
      </c>
      <c r="E56" s="64" t="s">
        <v>112</v>
      </c>
      <c r="F56" s="64" t="s">
        <v>1445</v>
      </c>
      <c r="G56" s="54" t="s">
        <v>1376</v>
      </c>
      <c r="H56" s="64" t="s">
        <v>1474</v>
      </c>
    </row>
    <row r="57" spans="2:8" x14ac:dyDescent="0.25">
      <c r="B57" s="57" t="s">
        <v>1475</v>
      </c>
      <c r="C57" s="63">
        <v>46119.372141203698</v>
      </c>
      <c r="D57" s="64" t="s">
        <v>111</v>
      </c>
      <c r="E57" s="64" t="s">
        <v>112</v>
      </c>
      <c r="F57" s="64" t="s">
        <v>1445</v>
      </c>
      <c r="G57" s="54" t="s">
        <v>1376</v>
      </c>
      <c r="H57" s="64" t="s">
        <v>1476</v>
      </c>
    </row>
    <row r="58" spans="2:8" x14ac:dyDescent="0.25">
      <c r="B58" s="57" t="s">
        <v>1477</v>
      </c>
      <c r="C58" s="63">
        <v>46119.630173611113</v>
      </c>
      <c r="D58" s="64" t="s">
        <v>111</v>
      </c>
      <c r="E58" s="64" t="s">
        <v>112</v>
      </c>
      <c r="F58" s="64" t="s">
        <v>1445</v>
      </c>
      <c r="G58" s="54" t="s">
        <v>1376</v>
      </c>
      <c r="H58" s="64" t="s">
        <v>1478</v>
      </c>
    </row>
    <row r="59" spans="2:8" x14ac:dyDescent="0.25">
      <c r="B59" s="57" t="s">
        <v>1479</v>
      </c>
      <c r="C59" s="63">
        <v>46119.684895833343</v>
      </c>
      <c r="D59" s="64" t="s">
        <v>111</v>
      </c>
      <c r="E59" s="64" t="s">
        <v>112</v>
      </c>
      <c r="F59" s="64" t="s">
        <v>1445</v>
      </c>
      <c r="G59" s="54" t="s">
        <v>1376</v>
      </c>
      <c r="H59" s="64" t="s">
        <v>1480</v>
      </c>
    </row>
    <row r="60" spans="2:8" x14ac:dyDescent="0.25">
      <c r="B60" s="57" t="s">
        <v>1481</v>
      </c>
      <c r="C60" s="63">
        <v>46119.693888888891</v>
      </c>
      <c r="D60" s="64" t="s">
        <v>109</v>
      </c>
      <c r="E60" s="64" t="s">
        <v>110</v>
      </c>
      <c r="F60" s="64" t="s">
        <v>1445</v>
      </c>
      <c r="G60" s="54" t="s">
        <v>1376</v>
      </c>
      <c r="H60" s="64" t="s">
        <v>1482</v>
      </c>
    </row>
    <row r="61" spans="2:8" x14ac:dyDescent="0.25">
      <c r="B61" s="57" t="s">
        <v>1483</v>
      </c>
      <c r="C61" s="63">
        <v>46120.486851851849</v>
      </c>
      <c r="D61" s="64" t="s">
        <v>109</v>
      </c>
      <c r="E61" s="64" t="s">
        <v>110</v>
      </c>
      <c r="F61" s="64" t="s">
        <v>1445</v>
      </c>
      <c r="G61" s="54" t="s">
        <v>1376</v>
      </c>
      <c r="H61" s="64" t="s">
        <v>1484</v>
      </c>
    </row>
    <row r="62" spans="2:8" x14ac:dyDescent="0.25">
      <c r="B62" s="57" t="s">
        <v>1485</v>
      </c>
      <c r="C62" s="63">
        <v>46121.33929398148</v>
      </c>
      <c r="D62" s="64" t="s">
        <v>109</v>
      </c>
      <c r="E62" s="64" t="s">
        <v>110</v>
      </c>
      <c r="F62" s="64" t="s">
        <v>1445</v>
      </c>
      <c r="G62" s="54" t="s">
        <v>1376</v>
      </c>
      <c r="H62" s="64" t="s">
        <v>1486</v>
      </c>
    </row>
    <row r="63" spans="2:8" x14ac:dyDescent="0.25">
      <c r="B63" s="57" t="s">
        <v>1487</v>
      </c>
      <c r="C63" s="63">
        <v>46121.477569444447</v>
      </c>
      <c r="D63" s="64" t="s">
        <v>109</v>
      </c>
      <c r="E63" s="64" t="s">
        <v>110</v>
      </c>
      <c r="F63" s="64" t="s">
        <v>1445</v>
      </c>
      <c r="G63" s="54" t="s">
        <v>1376</v>
      </c>
      <c r="H63" s="64" t="s">
        <v>1488</v>
      </c>
    </row>
    <row r="64" spans="2:8" x14ac:dyDescent="0.25">
      <c r="B64" s="57" t="s">
        <v>1489</v>
      </c>
      <c r="C64" s="63">
        <v>46122.400578703702</v>
      </c>
      <c r="D64" s="64" t="s">
        <v>109</v>
      </c>
      <c r="E64" s="64" t="s">
        <v>110</v>
      </c>
      <c r="F64" s="64" t="s">
        <v>1445</v>
      </c>
      <c r="G64" s="54" t="s">
        <v>1376</v>
      </c>
      <c r="H64" s="64" t="s">
        <v>1490</v>
      </c>
    </row>
    <row r="65" spans="2:8" x14ac:dyDescent="0.25">
      <c r="B65" s="57" t="s">
        <v>1491</v>
      </c>
      <c r="C65" s="63">
        <v>46122.542326388888</v>
      </c>
      <c r="D65" s="64" t="s">
        <v>111</v>
      </c>
      <c r="E65" s="64" t="s">
        <v>112</v>
      </c>
      <c r="F65" s="64" t="s">
        <v>1445</v>
      </c>
      <c r="G65" s="54" t="s">
        <v>1376</v>
      </c>
      <c r="H65" s="64" t="s">
        <v>1492</v>
      </c>
    </row>
    <row r="66" spans="2:8" x14ac:dyDescent="0.25">
      <c r="B66" s="57" t="s">
        <v>1493</v>
      </c>
      <c r="C66" s="63">
        <v>46122.697083333333</v>
      </c>
      <c r="D66" s="64" t="s">
        <v>109</v>
      </c>
      <c r="E66" s="64" t="s">
        <v>110</v>
      </c>
      <c r="F66" s="64" t="s">
        <v>1445</v>
      </c>
      <c r="G66" s="54" t="s">
        <v>1376</v>
      </c>
      <c r="H66" s="64" t="s">
        <v>1494</v>
      </c>
    </row>
    <row r="67" spans="2:8" x14ac:dyDescent="0.25">
      <c r="B67" s="57" t="s">
        <v>1495</v>
      </c>
      <c r="C67" s="63">
        <v>46123.380856481483</v>
      </c>
      <c r="D67" s="64" t="s">
        <v>111</v>
      </c>
      <c r="E67" s="64" t="s">
        <v>112</v>
      </c>
      <c r="F67" s="64" t="s">
        <v>1445</v>
      </c>
      <c r="G67" s="54" t="s">
        <v>1376</v>
      </c>
      <c r="H67" s="64" t="s">
        <v>1496</v>
      </c>
    </row>
    <row r="68" spans="2:8" x14ac:dyDescent="0.25">
      <c r="B68" s="57" t="s">
        <v>1497</v>
      </c>
      <c r="C68" s="63">
        <v>46123.720555555563</v>
      </c>
      <c r="D68" s="64" t="s">
        <v>111</v>
      </c>
      <c r="E68" s="64" t="s">
        <v>112</v>
      </c>
      <c r="F68" s="64" t="s">
        <v>1445</v>
      </c>
      <c r="G68" s="54" t="s">
        <v>1376</v>
      </c>
      <c r="H68" s="64" t="s">
        <v>1498</v>
      </c>
    </row>
    <row r="69" spans="2:8" x14ac:dyDescent="0.25">
      <c r="B69" s="57" t="s">
        <v>1499</v>
      </c>
      <c r="C69" s="63">
        <v>46125.333923611113</v>
      </c>
      <c r="D69" s="64" t="s">
        <v>111</v>
      </c>
      <c r="E69" s="64" t="s">
        <v>112</v>
      </c>
      <c r="F69" s="64" t="s">
        <v>1445</v>
      </c>
      <c r="G69" s="54" t="s">
        <v>1376</v>
      </c>
      <c r="H69" s="64" t="s">
        <v>1500</v>
      </c>
    </row>
    <row r="70" spans="2:8" x14ac:dyDescent="0.25">
      <c r="B70" s="57" t="s">
        <v>1501</v>
      </c>
      <c r="C70" s="63">
        <v>46126.404305555552</v>
      </c>
      <c r="D70" s="64" t="s">
        <v>111</v>
      </c>
      <c r="E70" s="64" t="s">
        <v>112</v>
      </c>
      <c r="F70" s="64" t="s">
        <v>1445</v>
      </c>
      <c r="G70" s="54" t="s">
        <v>1376</v>
      </c>
      <c r="H70" s="64" t="s">
        <v>1502</v>
      </c>
    </row>
    <row r="71" spans="2:8" x14ac:dyDescent="0.25">
      <c r="B71" s="57" t="s">
        <v>1503</v>
      </c>
      <c r="C71" s="63">
        <v>46126.410925925928</v>
      </c>
      <c r="D71" s="64" t="s">
        <v>111</v>
      </c>
      <c r="E71" s="64" t="s">
        <v>112</v>
      </c>
      <c r="F71" s="64" t="s">
        <v>1445</v>
      </c>
      <c r="G71" s="54" t="s">
        <v>1376</v>
      </c>
      <c r="H71" s="64" t="s">
        <v>1504</v>
      </c>
    </row>
    <row r="72" spans="2:8" x14ac:dyDescent="0.25">
      <c r="B72" s="57" t="s">
        <v>1505</v>
      </c>
      <c r="C72" s="63">
        <v>46126.568113425928</v>
      </c>
      <c r="D72" s="64" t="s">
        <v>109</v>
      </c>
      <c r="E72" s="64" t="s">
        <v>110</v>
      </c>
      <c r="F72" s="64" t="s">
        <v>1445</v>
      </c>
      <c r="G72" s="54" t="s">
        <v>1376</v>
      </c>
      <c r="H72" s="64" t="s">
        <v>1506</v>
      </c>
    </row>
    <row r="73" spans="2:8" x14ac:dyDescent="0.25">
      <c r="B73" s="57" t="s">
        <v>1507</v>
      </c>
      <c r="C73" s="63">
        <v>46126.656087962961</v>
      </c>
      <c r="D73" s="64" t="s">
        <v>109</v>
      </c>
      <c r="E73" s="64" t="s">
        <v>110</v>
      </c>
      <c r="F73" s="64" t="s">
        <v>1445</v>
      </c>
      <c r="G73" s="54" t="s">
        <v>1376</v>
      </c>
      <c r="H73" s="64" t="s">
        <v>1508</v>
      </c>
    </row>
    <row r="74" spans="2:8" x14ac:dyDescent="0.25">
      <c r="B74" s="57" t="s">
        <v>1509</v>
      </c>
      <c r="C74" s="63">
        <v>46127.31653935185</v>
      </c>
      <c r="D74" s="64" t="s">
        <v>105</v>
      </c>
      <c r="E74" s="64" t="s">
        <v>106</v>
      </c>
      <c r="F74" s="64" t="s">
        <v>1375</v>
      </c>
      <c r="G74" s="54" t="s">
        <v>1376</v>
      </c>
      <c r="H74" s="64" t="s">
        <v>1510</v>
      </c>
    </row>
    <row r="75" spans="2:8" x14ac:dyDescent="0.25">
      <c r="B75" s="57" t="s">
        <v>1511</v>
      </c>
      <c r="C75" s="63">
        <v>46127.323055555556</v>
      </c>
      <c r="D75" s="64" t="s">
        <v>111</v>
      </c>
      <c r="E75" s="64" t="s">
        <v>112</v>
      </c>
      <c r="F75" s="64" t="s">
        <v>1445</v>
      </c>
      <c r="G75" s="54" t="s">
        <v>1376</v>
      </c>
      <c r="H75" s="64" t="s">
        <v>1512</v>
      </c>
    </row>
    <row r="76" spans="2:8" x14ac:dyDescent="0.25">
      <c r="B76" s="57" t="s">
        <v>1513</v>
      </c>
      <c r="C76" s="63">
        <v>46127.334027777782</v>
      </c>
      <c r="D76" s="64" t="s">
        <v>111</v>
      </c>
      <c r="E76" s="64" t="s">
        <v>112</v>
      </c>
      <c r="F76" s="64" t="s">
        <v>1445</v>
      </c>
      <c r="G76" s="54" t="s">
        <v>1376</v>
      </c>
      <c r="H76" s="64" t="s">
        <v>1514</v>
      </c>
    </row>
    <row r="77" spans="2:8" x14ac:dyDescent="0.25">
      <c r="B77" s="57" t="s">
        <v>1515</v>
      </c>
      <c r="C77" s="63">
        <v>46127.410856481481</v>
      </c>
      <c r="D77" s="64" t="s">
        <v>111</v>
      </c>
      <c r="E77" s="64" t="s">
        <v>112</v>
      </c>
      <c r="F77" s="64" t="s">
        <v>1445</v>
      </c>
      <c r="G77" s="54" t="s">
        <v>1376</v>
      </c>
      <c r="H77" s="64" t="s">
        <v>1516</v>
      </c>
    </row>
    <row r="78" spans="2:8" x14ac:dyDescent="0.25">
      <c r="B78" s="57" t="s">
        <v>1517</v>
      </c>
      <c r="C78" s="63">
        <v>46127.566620370373</v>
      </c>
      <c r="D78" s="64" t="s">
        <v>105</v>
      </c>
      <c r="E78" s="64" t="s">
        <v>106</v>
      </c>
      <c r="F78" s="64" t="s">
        <v>1375</v>
      </c>
      <c r="G78" s="54" t="s">
        <v>1376</v>
      </c>
      <c r="H78" s="64" t="s">
        <v>1518</v>
      </c>
    </row>
    <row r="79" spans="2:8" x14ac:dyDescent="0.25">
      <c r="B79" s="57" t="s">
        <v>1519</v>
      </c>
      <c r="C79" s="63">
        <v>46128.52915509259</v>
      </c>
      <c r="D79" s="64" t="s">
        <v>109</v>
      </c>
      <c r="E79" s="64" t="s">
        <v>110</v>
      </c>
      <c r="F79" s="64" t="s">
        <v>1445</v>
      </c>
      <c r="G79" s="54" t="s">
        <v>1376</v>
      </c>
      <c r="H79" s="64" t="s">
        <v>1520</v>
      </c>
    </row>
    <row r="80" spans="2:8" x14ac:dyDescent="0.25">
      <c r="B80" s="57" t="s">
        <v>1521</v>
      </c>
      <c r="C80" s="63">
        <v>46128.59443287037</v>
      </c>
      <c r="D80" s="64" t="s">
        <v>111</v>
      </c>
      <c r="E80" s="64" t="s">
        <v>112</v>
      </c>
      <c r="F80" s="64" t="s">
        <v>1445</v>
      </c>
      <c r="G80" s="54" t="s">
        <v>1376</v>
      </c>
      <c r="H80" s="64" t="s">
        <v>1522</v>
      </c>
    </row>
    <row r="81" spans="2:8" x14ac:dyDescent="0.25">
      <c r="B81" s="57" t="s">
        <v>1523</v>
      </c>
      <c r="C81" s="63">
        <v>46128.70175925926</v>
      </c>
      <c r="D81" s="64" t="s">
        <v>111</v>
      </c>
      <c r="E81" s="64" t="s">
        <v>112</v>
      </c>
      <c r="F81" s="64" t="s">
        <v>1445</v>
      </c>
      <c r="G81" s="54" t="s">
        <v>1376</v>
      </c>
      <c r="H81" s="64" t="s">
        <v>1524</v>
      </c>
    </row>
    <row r="82" spans="2:8" x14ac:dyDescent="0.25">
      <c r="B82" s="57" t="s">
        <v>1525</v>
      </c>
      <c r="C82" s="63">
        <v>46129.603726851848</v>
      </c>
      <c r="D82" s="64" t="s">
        <v>109</v>
      </c>
      <c r="E82" s="64" t="s">
        <v>110</v>
      </c>
      <c r="F82" s="64" t="s">
        <v>1445</v>
      </c>
      <c r="G82" s="54" t="s">
        <v>1376</v>
      </c>
      <c r="H82" s="64" t="s">
        <v>1526</v>
      </c>
    </row>
    <row r="83" spans="2:8" x14ac:dyDescent="0.25">
      <c r="B83" s="57" t="s">
        <v>1527</v>
      </c>
      <c r="C83" s="63">
        <v>46129.678402777783</v>
      </c>
      <c r="D83" s="64" t="s">
        <v>109</v>
      </c>
      <c r="E83" s="64" t="s">
        <v>110</v>
      </c>
      <c r="F83" s="64" t="s">
        <v>1445</v>
      </c>
      <c r="G83" s="54" t="s">
        <v>1376</v>
      </c>
      <c r="H83" s="64" t="s">
        <v>1528</v>
      </c>
    </row>
    <row r="84" spans="2:8" x14ac:dyDescent="0.25">
      <c r="B84" s="57" t="s">
        <v>1529</v>
      </c>
      <c r="C84" s="63">
        <v>46129.692893518521</v>
      </c>
      <c r="D84" s="64" t="s">
        <v>111</v>
      </c>
      <c r="E84" s="64" t="s">
        <v>112</v>
      </c>
      <c r="F84" s="64" t="s">
        <v>1445</v>
      </c>
      <c r="G84" s="54" t="s">
        <v>1376</v>
      </c>
      <c r="H84" s="64" t="s">
        <v>1530</v>
      </c>
    </row>
    <row r="85" spans="2:8" x14ac:dyDescent="0.25">
      <c r="B85" s="57" t="s">
        <v>1531</v>
      </c>
      <c r="C85" s="63">
        <v>46130.663344907407</v>
      </c>
      <c r="D85" s="64" t="s">
        <v>109</v>
      </c>
      <c r="E85" s="64" t="s">
        <v>110</v>
      </c>
      <c r="F85" s="64" t="s">
        <v>1445</v>
      </c>
      <c r="G85" s="54" t="s">
        <v>1376</v>
      </c>
      <c r="H85" s="64" t="s">
        <v>1532</v>
      </c>
    </row>
    <row r="86" spans="2:8" x14ac:dyDescent="0.25">
      <c r="B86" s="57" t="s">
        <v>1533</v>
      </c>
      <c r="C86" s="63">
        <v>46132.468298611107</v>
      </c>
      <c r="D86" s="64" t="s">
        <v>111</v>
      </c>
      <c r="E86" s="64" t="s">
        <v>112</v>
      </c>
      <c r="F86" s="64" t="s">
        <v>1445</v>
      </c>
      <c r="G86" s="54" t="s">
        <v>1376</v>
      </c>
      <c r="H86" s="64" t="s">
        <v>1534</v>
      </c>
    </row>
    <row r="87" spans="2:8" x14ac:dyDescent="0.25">
      <c r="B87" s="57" t="s">
        <v>1535</v>
      </c>
      <c r="C87" s="63">
        <v>46132.601064814808</v>
      </c>
      <c r="D87" s="64" t="s">
        <v>111</v>
      </c>
      <c r="E87" s="64" t="s">
        <v>112</v>
      </c>
      <c r="F87" s="64" t="s">
        <v>1445</v>
      </c>
      <c r="G87" s="54" t="s">
        <v>1376</v>
      </c>
      <c r="H87" s="64" t="s">
        <v>1536</v>
      </c>
    </row>
    <row r="88" spans="2:8" x14ac:dyDescent="0.25">
      <c r="B88" s="57" t="s">
        <v>1537</v>
      </c>
      <c r="C88" s="63">
        <v>46132.662280092591</v>
      </c>
      <c r="D88" s="64" t="s">
        <v>109</v>
      </c>
      <c r="E88" s="64" t="s">
        <v>110</v>
      </c>
      <c r="F88" s="64" t="s">
        <v>1445</v>
      </c>
      <c r="G88" s="54" t="s">
        <v>1376</v>
      </c>
      <c r="H88" s="64" t="s">
        <v>1538</v>
      </c>
    </row>
    <row r="89" spans="2:8" x14ac:dyDescent="0.25">
      <c r="B89" s="57" t="s">
        <v>1539</v>
      </c>
      <c r="C89" s="63">
        <v>46133.453275462962</v>
      </c>
      <c r="D89" s="64" t="s">
        <v>107</v>
      </c>
      <c r="E89" s="64" t="s">
        <v>108</v>
      </c>
      <c r="F89" s="64" t="s">
        <v>1375</v>
      </c>
      <c r="G89" s="54" t="s">
        <v>1376</v>
      </c>
      <c r="H89" s="64" t="s">
        <v>1540</v>
      </c>
    </row>
    <row r="90" spans="2:8" x14ac:dyDescent="0.25">
      <c r="B90" s="57" t="s">
        <v>1541</v>
      </c>
      <c r="C90" s="63">
        <v>46133.494814814818</v>
      </c>
      <c r="D90" s="64" t="s">
        <v>109</v>
      </c>
      <c r="E90" s="64" t="s">
        <v>110</v>
      </c>
      <c r="F90" s="64" t="s">
        <v>1445</v>
      </c>
      <c r="G90" s="54" t="s">
        <v>1376</v>
      </c>
      <c r="H90" s="64" t="s">
        <v>1542</v>
      </c>
    </row>
    <row r="91" spans="2:8" x14ac:dyDescent="0.25">
      <c r="B91" s="57" t="s">
        <v>1543</v>
      </c>
      <c r="C91" s="63">
        <v>46133.516516203701</v>
      </c>
      <c r="D91" s="64" t="s">
        <v>109</v>
      </c>
      <c r="E91" s="64" t="s">
        <v>110</v>
      </c>
      <c r="F91" s="64" t="s">
        <v>1445</v>
      </c>
      <c r="G91" s="54" t="s">
        <v>1376</v>
      </c>
      <c r="H91" s="64" t="s">
        <v>1544</v>
      </c>
    </row>
    <row r="92" spans="2:8" x14ac:dyDescent="0.25">
      <c r="B92" s="57" t="s">
        <v>1545</v>
      </c>
      <c r="C92" s="63">
        <v>46133.674722222233</v>
      </c>
      <c r="D92" s="64" t="s">
        <v>109</v>
      </c>
      <c r="E92" s="64" t="s">
        <v>110</v>
      </c>
      <c r="F92" s="64" t="s">
        <v>1445</v>
      </c>
      <c r="G92" s="54" t="s">
        <v>1376</v>
      </c>
      <c r="H92" s="64" t="s">
        <v>1546</v>
      </c>
    </row>
    <row r="93" spans="2:8" x14ac:dyDescent="0.25">
      <c r="B93" s="57" t="s">
        <v>1547</v>
      </c>
      <c r="C93" s="63">
        <v>46134.331747685188</v>
      </c>
      <c r="D93" s="64" t="s">
        <v>109</v>
      </c>
      <c r="E93" s="64" t="s">
        <v>110</v>
      </c>
      <c r="F93" s="64" t="s">
        <v>1445</v>
      </c>
      <c r="G93" s="54" t="s">
        <v>1376</v>
      </c>
      <c r="H93" s="64" t="s">
        <v>1548</v>
      </c>
    </row>
    <row r="94" spans="2:8" x14ac:dyDescent="0.25">
      <c r="B94" s="57" t="s">
        <v>1549</v>
      </c>
      <c r="C94" s="63">
        <v>46134.677685185183</v>
      </c>
      <c r="D94" s="64" t="s">
        <v>111</v>
      </c>
      <c r="E94" s="64" t="s">
        <v>112</v>
      </c>
      <c r="F94" s="64" t="s">
        <v>1445</v>
      </c>
      <c r="G94" s="54" t="s">
        <v>1376</v>
      </c>
      <c r="H94" s="64" t="s">
        <v>1550</v>
      </c>
    </row>
    <row r="95" spans="2:8" x14ac:dyDescent="0.25">
      <c r="B95" s="57" t="s">
        <v>1551</v>
      </c>
      <c r="C95" s="63">
        <v>46135.428206018521</v>
      </c>
      <c r="D95" s="64" t="s">
        <v>111</v>
      </c>
      <c r="E95" s="64" t="s">
        <v>112</v>
      </c>
      <c r="F95" s="64" t="s">
        <v>1445</v>
      </c>
      <c r="G95" s="54" t="s">
        <v>1376</v>
      </c>
      <c r="H95" s="64" t="s">
        <v>1552</v>
      </c>
    </row>
    <row r="96" spans="2:8" x14ac:dyDescent="0.25">
      <c r="B96" s="57" t="s">
        <v>1553</v>
      </c>
      <c r="C96" s="63">
        <v>46135.509618055563</v>
      </c>
      <c r="D96" s="64" t="s">
        <v>111</v>
      </c>
      <c r="E96" s="64" t="s">
        <v>112</v>
      </c>
      <c r="F96" s="64" t="s">
        <v>1445</v>
      </c>
      <c r="G96" s="54" t="s">
        <v>1376</v>
      </c>
      <c r="H96" s="64" t="s">
        <v>1554</v>
      </c>
    </row>
    <row r="97" spans="2:8" x14ac:dyDescent="0.25">
      <c r="B97" s="57" t="s">
        <v>1555</v>
      </c>
      <c r="C97" s="63">
        <v>46136.474780092591</v>
      </c>
      <c r="D97" s="64" t="s">
        <v>111</v>
      </c>
      <c r="E97" s="64" t="s">
        <v>112</v>
      </c>
      <c r="F97" s="64" t="s">
        <v>1445</v>
      </c>
      <c r="G97" s="54" t="s">
        <v>1376</v>
      </c>
      <c r="H97" s="64" t="s">
        <v>1556</v>
      </c>
    </row>
    <row r="98" spans="2:8" x14ac:dyDescent="0.25">
      <c r="B98" s="57" t="s">
        <v>1557</v>
      </c>
      <c r="C98" s="63">
        <v>46137.385821759257</v>
      </c>
      <c r="D98" s="64" t="s">
        <v>111</v>
      </c>
      <c r="E98" s="64" t="s">
        <v>112</v>
      </c>
      <c r="F98" s="64" t="s">
        <v>1445</v>
      </c>
      <c r="G98" s="54" t="s">
        <v>1376</v>
      </c>
      <c r="H98" s="64" t="s">
        <v>1558</v>
      </c>
    </row>
    <row r="99" spans="2:8" x14ac:dyDescent="0.25">
      <c r="B99" s="57" t="s">
        <v>1559</v>
      </c>
      <c r="C99" s="63">
        <v>46137.487638888888</v>
      </c>
      <c r="D99" s="64" t="s">
        <v>109</v>
      </c>
      <c r="E99" s="64" t="s">
        <v>110</v>
      </c>
      <c r="F99" s="64" t="s">
        <v>1445</v>
      </c>
      <c r="G99" s="54" t="s">
        <v>1376</v>
      </c>
      <c r="H99" s="64" t="s">
        <v>1560</v>
      </c>
    </row>
    <row r="100" spans="2:8" x14ac:dyDescent="0.25">
      <c r="B100" s="57" t="s">
        <v>1561</v>
      </c>
      <c r="C100" s="63">
        <v>46137.586678240739</v>
      </c>
      <c r="D100" s="64" t="s">
        <v>111</v>
      </c>
      <c r="E100" s="64" t="s">
        <v>112</v>
      </c>
      <c r="F100" s="64" t="s">
        <v>1445</v>
      </c>
      <c r="G100" s="54" t="s">
        <v>1376</v>
      </c>
      <c r="H100" s="64" t="s">
        <v>1562</v>
      </c>
    </row>
    <row r="101" spans="2:8" x14ac:dyDescent="0.25">
      <c r="B101" s="57" t="s">
        <v>1563</v>
      </c>
      <c r="C101" s="63">
        <v>46139.381388888891</v>
      </c>
      <c r="D101" s="64" t="s">
        <v>111</v>
      </c>
      <c r="E101" s="64" t="s">
        <v>112</v>
      </c>
      <c r="F101" s="64" t="s">
        <v>1445</v>
      </c>
      <c r="G101" s="54" t="s">
        <v>1376</v>
      </c>
      <c r="H101" s="64" t="s">
        <v>1564</v>
      </c>
    </row>
    <row r="102" spans="2:8" x14ac:dyDescent="0.25">
      <c r="B102" s="57" t="s">
        <v>1565</v>
      </c>
      <c r="C102" s="63">
        <v>46139.549351851849</v>
      </c>
      <c r="D102" s="64" t="s">
        <v>109</v>
      </c>
      <c r="E102" s="64" t="s">
        <v>110</v>
      </c>
      <c r="F102" s="64" t="s">
        <v>1445</v>
      </c>
      <c r="G102" s="54" t="s">
        <v>1376</v>
      </c>
      <c r="H102" s="64" t="s">
        <v>1566</v>
      </c>
    </row>
    <row r="103" spans="2:8" x14ac:dyDescent="0.25">
      <c r="B103" s="57" t="s">
        <v>1567</v>
      </c>
      <c r="C103" s="63">
        <v>46140.637604166674</v>
      </c>
      <c r="D103" s="64" t="s">
        <v>109</v>
      </c>
      <c r="E103" s="64" t="s">
        <v>110</v>
      </c>
      <c r="F103" s="64" t="s">
        <v>1445</v>
      </c>
      <c r="G103" s="54" t="s">
        <v>1376</v>
      </c>
      <c r="H103" s="64" t="s">
        <v>1568</v>
      </c>
    </row>
    <row r="104" spans="2:8" x14ac:dyDescent="0.25">
      <c r="B104" s="57" t="s">
        <v>1569</v>
      </c>
      <c r="C104" s="63">
        <v>46140.68891203704</v>
      </c>
      <c r="D104" s="64" t="s">
        <v>111</v>
      </c>
      <c r="E104" s="64" t="s">
        <v>112</v>
      </c>
      <c r="F104" s="64" t="s">
        <v>1445</v>
      </c>
      <c r="G104" s="54" t="s">
        <v>1376</v>
      </c>
      <c r="H104" s="64" t="s">
        <v>1570</v>
      </c>
    </row>
    <row r="105" spans="2:8" x14ac:dyDescent="0.25">
      <c r="B105" s="57" t="s">
        <v>1571</v>
      </c>
      <c r="C105" s="63">
        <v>46141.418333333328</v>
      </c>
      <c r="D105" s="64" t="s">
        <v>109</v>
      </c>
      <c r="E105" s="64" t="s">
        <v>110</v>
      </c>
      <c r="F105" s="64" t="s">
        <v>1445</v>
      </c>
      <c r="G105" s="54" t="s">
        <v>1376</v>
      </c>
      <c r="H105" s="64" t="s">
        <v>1572</v>
      </c>
    </row>
    <row r="106" spans="2:8" x14ac:dyDescent="0.25">
      <c r="B106" s="57" t="s">
        <v>1573</v>
      </c>
      <c r="C106" s="63">
        <v>46141.506053240737</v>
      </c>
      <c r="D106" s="64" t="s">
        <v>105</v>
      </c>
      <c r="E106" s="64" t="s">
        <v>106</v>
      </c>
      <c r="F106" s="64" t="s">
        <v>1375</v>
      </c>
      <c r="G106" s="54" t="s">
        <v>1376</v>
      </c>
      <c r="H106" s="64" t="s">
        <v>1574</v>
      </c>
    </row>
    <row r="107" spans="2:8" x14ac:dyDescent="0.25">
      <c r="B107" s="57" t="s">
        <v>1575</v>
      </c>
      <c r="C107" s="63">
        <v>46142.41511574074</v>
      </c>
      <c r="D107" s="64" t="s">
        <v>111</v>
      </c>
      <c r="E107" s="64" t="s">
        <v>112</v>
      </c>
      <c r="F107" s="64" t="s">
        <v>1445</v>
      </c>
      <c r="G107" s="54" t="s">
        <v>1376</v>
      </c>
      <c r="H107" s="64" t="s">
        <v>1576</v>
      </c>
    </row>
    <row r="108" spans="2:8" x14ac:dyDescent="0.25">
      <c r="B108" s="57" t="s">
        <v>1577</v>
      </c>
      <c r="C108" s="63">
        <v>46142.503622685188</v>
      </c>
      <c r="D108" s="64" t="s">
        <v>111</v>
      </c>
      <c r="E108" s="64" t="s">
        <v>112</v>
      </c>
      <c r="F108" s="64" t="s">
        <v>1445</v>
      </c>
      <c r="G108" s="54" t="s">
        <v>1376</v>
      </c>
      <c r="H108" s="64" t="s">
        <v>1578</v>
      </c>
    </row>
    <row r="109" spans="2:8" x14ac:dyDescent="0.25">
      <c r="B109" s="57" t="s">
        <v>1579</v>
      </c>
      <c r="C109" s="63">
        <v>46142.649270833332</v>
      </c>
      <c r="D109" s="64" t="s">
        <v>111</v>
      </c>
      <c r="E109" s="64" t="s">
        <v>112</v>
      </c>
      <c r="F109" s="64" t="s">
        <v>1445</v>
      </c>
      <c r="G109" s="54" t="s">
        <v>1376</v>
      </c>
      <c r="H109" s="64" t="s">
        <v>1580</v>
      </c>
    </row>
    <row r="110" spans="2:8" x14ac:dyDescent="0.25">
      <c r="B110" s="57" t="s">
        <v>1581</v>
      </c>
      <c r="C110" s="63">
        <v>46143.517824074072</v>
      </c>
      <c r="D110" s="64" t="s">
        <v>109</v>
      </c>
      <c r="E110" s="64" t="s">
        <v>110</v>
      </c>
      <c r="F110" s="64" t="s">
        <v>1445</v>
      </c>
      <c r="G110" s="54" t="s">
        <v>1376</v>
      </c>
      <c r="H110" s="64" t="s">
        <v>1582</v>
      </c>
    </row>
    <row r="111" spans="2:8" x14ac:dyDescent="0.25">
      <c r="B111" s="57" t="s">
        <v>1583</v>
      </c>
      <c r="C111" s="63">
        <v>46143.58253472222</v>
      </c>
      <c r="D111" s="64" t="s">
        <v>109</v>
      </c>
      <c r="E111" s="64" t="s">
        <v>110</v>
      </c>
      <c r="F111" s="64" t="s">
        <v>1445</v>
      </c>
      <c r="G111" s="54" t="s">
        <v>1376</v>
      </c>
      <c r="H111" s="64" t="s">
        <v>1584</v>
      </c>
    </row>
    <row r="112" spans="2:8" x14ac:dyDescent="0.25">
      <c r="B112" s="57" t="s">
        <v>1585</v>
      </c>
      <c r="C112" s="63">
        <v>46143.637372685182</v>
      </c>
      <c r="D112" s="64" t="s">
        <v>111</v>
      </c>
      <c r="E112" s="64" t="s">
        <v>112</v>
      </c>
      <c r="F112" s="64" t="s">
        <v>1445</v>
      </c>
      <c r="G112" s="54" t="s">
        <v>1376</v>
      </c>
      <c r="H112" s="64" t="s">
        <v>1586</v>
      </c>
    </row>
    <row r="113" spans="2:8" x14ac:dyDescent="0.25">
      <c r="B113" s="57" t="s">
        <v>1587</v>
      </c>
      <c r="C113" s="63">
        <v>46144.333124999997</v>
      </c>
      <c r="D113" s="64" t="s">
        <v>105</v>
      </c>
      <c r="E113" s="64" t="s">
        <v>106</v>
      </c>
      <c r="F113" s="64" t="s">
        <v>1375</v>
      </c>
      <c r="G113" s="54" t="s">
        <v>1376</v>
      </c>
      <c r="H113" s="64" t="s">
        <v>1588</v>
      </c>
    </row>
    <row r="114" spans="2:8" x14ac:dyDescent="0.25">
      <c r="B114" s="57" t="s">
        <v>1589</v>
      </c>
      <c r="C114" s="63">
        <v>46144.495856481481</v>
      </c>
      <c r="D114" s="64" t="s">
        <v>109</v>
      </c>
      <c r="E114" s="64" t="s">
        <v>110</v>
      </c>
      <c r="F114" s="64" t="s">
        <v>1445</v>
      </c>
      <c r="G114" s="54" t="s">
        <v>1376</v>
      </c>
      <c r="H114" s="64" t="s">
        <v>1590</v>
      </c>
    </row>
    <row r="115" spans="2:8" x14ac:dyDescent="0.25">
      <c r="B115" s="57" t="s">
        <v>1591</v>
      </c>
      <c r="C115" s="63">
        <v>46144.624537037038</v>
      </c>
      <c r="D115" s="64" t="s">
        <v>111</v>
      </c>
      <c r="E115" s="64" t="s">
        <v>112</v>
      </c>
      <c r="F115" s="64" t="s">
        <v>1445</v>
      </c>
      <c r="G115" s="54" t="s">
        <v>1376</v>
      </c>
      <c r="H115" s="64" t="s">
        <v>1592</v>
      </c>
    </row>
    <row r="116" spans="2:8" x14ac:dyDescent="0.25">
      <c r="B116" s="57" t="s">
        <v>1593</v>
      </c>
      <c r="C116" s="63">
        <v>46144.707800925928</v>
      </c>
      <c r="D116" s="64" t="s">
        <v>109</v>
      </c>
      <c r="E116" s="64" t="s">
        <v>110</v>
      </c>
      <c r="F116" s="64" t="s">
        <v>1445</v>
      </c>
      <c r="G116" s="54" t="s">
        <v>1376</v>
      </c>
      <c r="H116" s="64" t="s">
        <v>1594</v>
      </c>
    </row>
    <row r="117" spans="2:8" x14ac:dyDescent="0.25">
      <c r="B117" s="57" t="s">
        <v>1595</v>
      </c>
      <c r="C117" s="63">
        <v>46144.713287037041</v>
      </c>
      <c r="D117" s="64" t="s">
        <v>111</v>
      </c>
      <c r="E117" s="64" t="s">
        <v>112</v>
      </c>
      <c r="F117" s="64" t="s">
        <v>1445</v>
      </c>
      <c r="G117" s="54" t="s">
        <v>1376</v>
      </c>
      <c r="H117" s="64" t="s">
        <v>1596</v>
      </c>
    </row>
    <row r="118" spans="2:8" x14ac:dyDescent="0.25">
      <c r="B118" s="57" t="s">
        <v>1597</v>
      </c>
      <c r="C118" s="63">
        <v>46146.417754629627</v>
      </c>
      <c r="D118" s="64" t="s">
        <v>109</v>
      </c>
      <c r="E118" s="64" t="s">
        <v>110</v>
      </c>
      <c r="F118" s="64" t="s">
        <v>1445</v>
      </c>
      <c r="G118" s="54" t="s">
        <v>1376</v>
      </c>
      <c r="H118" s="64" t="s">
        <v>1598</v>
      </c>
    </row>
    <row r="119" spans="2:8" x14ac:dyDescent="0.25">
      <c r="B119" s="57" t="s">
        <v>1599</v>
      </c>
      <c r="C119" s="63">
        <v>46146.462245370371</v>
      </c>
      <c r="D119" s="64" t="s">
        <v>109</v>
      </c>
      <c r="E119" s="64" t="s">
        <v>110</v>
      </c>
      <c r="F119" s="64" t="s">
        <v>1445</v>
      </c>
      <c r="G119" s="54" t="s">
        <v>1376</v>
      </c>
      <c r="H119" s="64" t="s">
        <v>1600</v>
      </c>
    </row>
    <row r="120" spans="2:8" x14ac:dyDescent="0.25">
      <c r="B120" s="57" t="s">
        <v>1601</v>
      </c>
      <c r="C120" s="63">
        <v>46146.533020833333</v>
      </c>
      <c r="D120" s="64" t="s">
        <v>111</v>
      </c>
      <c r="E120" s="64" t="s">
        <v>112</v>
      </c>
      <c r="F120" s="64" t="s">
        <v>1445</v>
      </c>
      <c r="G120" s="54" t="s">
        <v>1376</v>
      </c>
      <c r="H120" s="64" t="s">
        <v>1602</v>
      </c>
    </row>
    <row r="121" spans="2:8" x14ac:dyDescent="0.25">
      <c r="B121" s="57" t="s">
        <v>1603</v>
      </c>
      <c r="C121" s="63">
        <v>46146.665081018517</v>
      </c>
      <c r="D121" s="64" t="s">
        <v>109</v>
      </c>
      <c r="E121" s="64" t="s">
        <v>110</v>
      </c>
      <c r="F121" s="64" t="s">
        <v>1445</v>
      </c>
      <c r="G121" s="54" t="s">
        <v>1376</v>
      </c>
      <c r="H121" s="64" t="s">
        <v>1604</v>
      </c>
    </row>
    <row r="122" spans="2:8" x14ac:dyDescent="0.25">
      <c r="B122" s="57" t="s">
        <v>1605</v>
      </c>
      <c r="C122" s="63">
        <v>46147.426805555559</v>
      </c>
      <c r="D122" s="64" t="s">
        <v>109</v>
      </c>
      <c r="E122" s="64" t="s">
        <v>110</v>
      </c>
      <c r="F122" s="64" t="s">
        <v>1445</v>
      </c>
      <c r="G122" s="54" t="s">
        <v>1376</v>
      </c>
      <c r="H122" s="64" t="s">
        <v>1606</v>
      </c>
    </row>
    <row r="123" spans="2:8" x14ac:dyDescent="0.25">
      <c r="B123" s="57" t="s">
        <v>1607</v>
      </c>
      <c r="C123" s="63">
        <v>46147.442615740743</v>
      </c>
      <c r="D123" s="64" t="s">
        <v>109</v>
      </c>
      <c r="E123" s="64" t="s">
        <v>110</v>
      </c>
      <c r="F123" s="64" t="s">
        <v>1445</v>
      </c>
      <c r="G123" s="54" t="s">
        <v>1376</v>
      </c>
      <c r="H123" s="64" t="s">
        <v>1608</v>
      </c>
    </row>
    <row r="124" spans="2:8" x14ac:dyDescent="0.25">
      <c r="B124" s="57" t="s">
        <v>1609</v>
      </c>
      <c r="C124" s="63">
        <v>46147.610717592594</v>
      </c>
      <c r="D124" s="64" t="s">
        <v>109</v>
      </c>
      <c r="E124" s="64" t="s">
        <v>110</v>
      </c>
      <c r="F124" s="64" t="s">
        <v>1445</v>
      </c>
      <c r="G124" s="54" t="s">
        <v>1376</v>
      </c>
      <c r="H124" s="64" t="s">
        <v>1610</v>
      </c>
    </row>
    <row r="125" spans="2:8" x14ac:dyDescent="0.25">
      <c r="B125" s="57" t="s">
        <v>1611</v>
      </c>
      <c r="C125" s="63">
        <v>46148.468229166669</v>
      </c>
      <c r="D125" s="64" t="s">
        <v>105</v>
      </c>
      <c r="E125" s="64" t="s">
        <v>106</v>
      </c>
      <c r="F125" s="64" t="s">
        <v>1375</v>
      </c>
      <c r="G125" s="54" t="s">
        <v>1376</v>
      </c>
      <c r="H125" s="64" t="s">
        <v>1612</v>
      </c>
    </row>
    <row r="126" spans="2:8" x14ac:dyDescent="0.25">
      <c r="B126" s="57" t="s">
        <v>1613</v>
      </c>
      <c r="C126" s="63">
        <v>46148.507997685178</v>
      </c>
      <c r="D126" s="64" t="s">
        <v>109</v>
      </c>
      <c r="E126" s="64" t="s">
        <v>110</v>
      </c>
      <c r="F126" s="64" t="s">
        <v>1445</v>
      </c>
      <c r="G126" s="54" t="s">
        <v>1376</v>
      </c>
      <c r="H126" s="64" t="s">
        <v>1614</v>
      </c>
    </row>
    <row r="127" spans="2:8" x14ac:dyDescent="0.25">
      <c r="B127" s="57" t="s">
        <v>1615</v>
      </c>
      <c r="C127" s="63">
        <v>46148.542650462958</v>
      </c>
      <c r="D127" s="64" t="s">
        <v>111</v>
      </c>
      <c r="E127" s="64" t="s">
        <v>112</v>
      </c>
      <c r="F127" s="64" t="s">
        <v>1445</v>
      </c>
      <c r="G127" s="54" t="s">
        <v>1376</v>
      </c>
      <c r="H127" s="64" t="s">
        <v>1616</v>
      </c>
    </row>
    <row r="128" spans="2:8" x14ac:dyDescent="0.25">
      <c r="B128" s="57" t="s">
        <v>1617</v>
      </c>
      <c r="C128" s="63">
        <v>46149.459699074083</v>
      </c>
      <c r="D128" s="64" t="s">
        <v>111</v>
      </c>
      <c r="E128" s="64" t="s">
        <v>112</v>
      </c>
      <c r="F128" s="64" t="s">
        <v>1445</v>
      </c>
      <c r="G128" s="54" t="s">
        <v>1376</v>
      </c>
      <c r="H128" s="64" t="s">
        <v>1618</v>
      </c>
    </row>
    <row r="129" spans="2:8" x14ac:dyDescent="0.25">
      <c r="B129" s="57" t="s">
        <v>1619</v>
      </c>
      <c r="C129" s="63">
        <v>46149.584166666667</v>
      </c>
      <c r="D129" s="64" t="s">
        <v>111</v>
      </c>
      <c r="E129" s="64" t="s">
        <v>112</v>
      </c>
      <c r="F129" s="64" t="s">
        <v>1445</v>
      </c>
      <c r="G129" s="54" t="s">
        <v>1376</v>
      </c>
      <c r="H129" s="64" t="s">
        <v>1620</v>
      </c>
    </row>
    <row r="130" spans="2:8" x14ac:dyDescent="0.25">
      <c r="B130" s="57" t="s">
        <v>1621</v>
      </c>
      <c r="C130" s="63">
        <v>46150.505833333344</v>
      </c>
      <c r="D130" s="64" t="s">
        <v>105</v>
      </c>
      <c r="E130" s="64" t="s">
        <v>106</v>
      </c>
      <c r="F130" s="64" t="s">
        <v>1375</v>
      </c>
      <c r="G130" s="54" t="s">
        <v>1376</v>
      </c>
      <c r="H130" s="64" t="s">
        <v>1622</v>
      </c>
    </row>
    <row r="131" spans="2:8" x14ac:dyDescent="0.25">
      <c r="B131" s="57" t="s">
        <v>1623</v>
      </c>
      <c r="C131" s="63">
        <v>46150.534467592603</v>
      </c>
      <c r="D131" s="64" t="s">
        <v>111</v>
      </c>
      <c r="E131" s="64" t="s">
        <v>112</v>
      </c>
      <c r="F131" s="64" t="s">
        <v>1445</v>
      </c>
      <c r="G131" s="54" t="s">
        <v>1376</v>
      </c>
      <c r="H131" s="64" t="s">
        <v>1624</v>
      </c>
    </row>
    <row r="132" spans="2:8" x14ac:dyDescent="0.25">
      <c r="B132" s="57" t="s">
        <v>1625</v>
      </c>
      <c r="C132" s="63">
        <v>46150.607835648138</v>
      </c>
      <c r="D132" s="64" t="s">
        <v>111</v>
      </c>
      <c r="E132" s="64" t="s">
        <v>112</v>
      </c>
      <c r="F132" s="64" t="s">
        <v>1445</v>
      </c>
      <c r="G132" s="54" t="s">
        <v>1376</v>
      </c>
      <c r="H132" s="64" t="s">
        <v>1626</v>
      </c>
    </row>
    <row r="133" spans="2:8" x14ac:dyDescent="0.25">
      <c r="B133" s="57" t="s">
        <v>1627</v>
      </c>
      <c r="C133" s="63">
        <v>46151.517604166656</v>
      </c>
      <c r="D133" s="64" t="s">
        <v>111</v>
      </c>
      <c r="E133" s="64" t="s">
        <v>112</v>
      </c>
      <c r="F133" s="64" t="s">
        <v>1445</v>
      </c>
      <c r="G133" s="54" t="s">
        <v>1376</v>
      </c>
      <c r="H133" s="64" t="s">
        <v>1628</v>
      </c>
    </row>
    <row r="134" spans="2:8" x14ac:dyDescent="0.25">
      <c r="B134" s="57" t="s">
        <v>1629</v>
      </c>
      <c r="C134" s="63">
        <v>46153.390231481477</v>
      </c>
      <c r="D134" s="64" t="s">
        <v>111</v>
      </c>
      <c r="E134" s="64" t="s">
        <v>112</v>
      </c>
      <c r="F134" s="64" t="s">
        <v>1445</v>
      </c>
      <c r="G134" s="54" t="s">
        <v>1376</v>
      </c>
      <c r="H134" s="64" t="s">
        <v>1630</v>
      </c>
    </row>
    <row r="135" spans="2:8" x14ac:dyDescent="0.25">
      <c r="B135" s="57" t="s">
        <v>1631</v>
      </c>
      <c r="C135" s="63">
        <v>46153.390335648153</v>
      </c>
      <c r="D135" s="64" t="s">
        <v>111</v>
      </c>
      <c r="E135" s="64" t="s">
        <v>112</v>
      </c>
      <c r="F135" s="64" t="s">
        <v>1445</v>
      </c>
      <c r="G135" s="54" t="s">
        <v>1376</v>
      </c>
      <c r="H135" s="64" t="s">
        <v>1632</v>
      </c>
    </row>
    <row r="136" spans="2:8" x14ac:dyDescent="0.25">
      <c r="B136" s="57" t="s">
        <v>1633</v>
      </c>
      <c r="C136" s="63">
        <v>46153.458425925928</v>
      </c>
      <c r="D136" s="64" t="s">
        <v>111</v>
      </c>
      <c r="E136" s="64" t="s">
        <v>112</v>
      </c>
      <c r="F136" s="64" t="s">
        <v>1445</v>
      </c>
      <c r="G136" s="54" t="s">
        <v>1376</v>
      </c>
      <c r="H136" s="64" t="s">
        <v>1634</v>
      </c>
    </row>
    <row r="137" spans="2:8" x14ac:dyDescent="0.25">
      <c r="B137" s="57" t="s">
        <v>1635</v>
      </c>
      <c r="C137" s="63">
        <v>46154.483587962961</v>
      </c>
      <c r="D137" s="64" t="s">
        <v>109</v>
      </c>
      <c r="E137" s="64" t="s">
        <v>110</v>
      </c>
      <c r="F137" s="64" t="s">
        <v>1445</v>
      </c>
      <c r="G137" s="54" t="s">
        <v>1376</v>
      </c>
      <c r="H137" s="64" t="s">
        <v>1636</v>
      </c>
    </row>
    <row r="138" spans="2:8" x14ac:dyDescent="0.25">
      <c r="B138" s="57" t="s">
        <v>1637</v>
      </c>
      <c r="C138" s="63">
        <v>46154.503831018519</v>
      </c>
      <c r="D138" s="64" t="s">
        <v>111</v>
      </c>
      <c r="E138" s="64" t="s">
        <v>112</v>
      </c>
      <c r="F138" s="64" t="s">
        <v>1445</v>
      </c>
      <c r="G138" s="54" t="s">
        <v>1376</v>
      </c>
      <c r="H138" s="64" t="s">
        <v>1638</v>
      </c>
    </row>
    <row r="139" spans="2:8" x14ac:dyDescent="0.25">
      <c r="B139" s="57" t="s">
        <v>1639</v>
      </c>
      <c r="C139" s="63">
        <v>46154.624976851846</v>
      </c>
      <c r="D139" s="64" t="s">
        <v>111</v>
      </c>
      <c r="E139" s="64" t="s">
        <v>112</v>
      </c>
      <c r="F139" s="64" t="s">
        <v>1445</v>
      </c>
      <c r="G139" s="54" t="s">
        <v>1376</v>
      </c>
      <c r="H139" s="64" t="s">
        <v>1640</v>
      </c>
    </row>
    <row r="140" spans="2:8" x14ac:dyDescent="0.25">
      <c r="B140" s="57" t="s">
        <v>1641</v>
      </c>
      <c r="C140" s="63">
        <v>46155.324074074073</v>
      </c>
      <c r="D140" s="64" t="s">
        <v>109</v>
      </c>
      <c r="E140" s="64" t="s">
        <v>110</v>
      </c>
      <c r="F140" s="64" t="s">
        <v>1445</v>
      </c>
      <c r="G140" s="54" t="s">
        <v>1376</v>
      </c>
      <c r="H140" s="64" t="s">
        <v>1642</v>
      </c>
    </row>
    <row r="141" spans="2:8" x14ac:dyDescent="0.25">
      <c r="B141" s="57" t="s">
        <v>1643</v>
      </c>
      <c r="C141" s="63">
        <v>46155.378067129634</v>
      </c>
      <c r="D141" s="64" t="s">
        <v>111</v>
      </c>
      <c r="E141" s="64" t="s">
        <v>112</v>
      </c>
      <c r="F141" s="64" t="s">
        <v>1445</v>
      </c>
      <c r="G141" s="54" t="s">
        <v>1376</v>
      </c>
      <c r="H141" s="64" t="s">
        <v>1644</v>
      </c>
    </row>
    <row r="142" spans="2:8" x14ac:dyDescent="0.25">
      <c r="B142" s="57" t="s">
        <v>1645</v>
      </c>
      <c r="C142" s="63">
        <v>46155.666134259263</v>
      </c>
      <c r="D142" s="64" t="s">
        <v>105</v>
      </c>
      <c r="E142" s="64" t="s">
        <v>106</v>
      </c>
      <c r="F142" s="64" t="s">
        <v>1375</v>
      </c>
      <c r="G142" s="54" t="s">
        <v>1376</v>
      </c>
      <c r="H142" s="64" t="s">
        <v>1646</v>
      </c>
    </row>
    <row r="143" spans="2:8" x14ac:dyDescent="0.25">
      <c r="B143" s="57" t="s">
        <v>1647</v>
      </c>
      <c r="C143" s="63">
        <v>46156.322083333333</v>
      </c>
      <c r="D143" s="64" t="s">
        <v>111</v>
      </c>
      <c r="E143" s="64" t="s">
        <v>112</v>
      </c>
      <c r="F143" s="64" t="s">
        <v>1445</v>
      </c>
      <c r="G143" s="54" t="s">
        <v>1376</v>
      </c>
      <c r="H143" s="64" t="s">
        <v>1648</v>
      </c>
    </row>
    <row r="144" spans="2:8" x14ac:dyDescent="0.25">
      <c r="B144" s="57" t="s">
        <v>1649</v>
      </c>
      <c r="C144" s="63">
        <v>46156.34302083333</v>
      </c>
      <c r="D144" s="64" t="s">
        <v>111</v>
      </c>
      <c r="E144" s="64" t="s">
        <v>112</v>
      </c>
      <c r="F144" s="64" t="s">
        <v>1445</v>
      </c>
      <c r="G144" s="54" t="s">
        <v>1376</v>
      </c>
      <c r="H144" s="64" t="s">
        <v>1650</v>
      </c>
    </row>
    <row r="145" spans="2:8" x14ac:dyDescent="0.25">
      <c r="B145" s="57" t="s">
        <v>1651</v>
      </c>
      <c r="C145" s="63">
        <v>46156.41810185185</v>
      </c>
      <c r="D145" s="64" t="s">
        <v>109</v>
      </c>
      <c r="E145" s="64" t="s">
        <v>110</v>
      </c>
      <c r="F145" s="64" t="s">
        <v>1445</v>
      </c>
      <c r="G145" s="54" t="s">
        <v>1376</v>
      </c>
      <c r="H145" s="64" t="s">
        <v>1652</v>
      </c>
    </row>
    <row r="146" spans="2:8" x14ac:dyDescent="0.25">
      <c r="B146" s="57" t="s">
        <v>1653</v>
      </c>
      <c r="C146" s="63">
        <v>46157.473993055559</v>
      </c>
      <c r="D146" s="64" t="s">
        <v>109</v>
      </c>
      <c r="E146" s="64" t="s">
        <v>110</v>
      </c>
      <c r="F146" s="64" t="s">
        <v>1445</v>
      </c>
      <c r="G146" s="54" t="s">
        <v>1376</v>
      </c>
      <c r="H146" s="64" t="s">
        <v>1654</v>
      </c>
    </row>
    <row r="147" spans="2:8" x14ac:dyDescent="0.25">
      <c r="B147" s="57" t="s">
        <v>1655</v>
      </c>
      <c r="C147" s="63">
        <v>46157.617789351847</v>
      </c>
      <c r="D147" s="64" t="s">
        <v>109</v>
      </c>
      <c r="E147" s="64" t="s">
        <v>110</v>
      </c>
      <c r="F147" s="64" t="s">
        <v>1445</v>
      </c>
      <c r="G147" s="54" t="s">
        <v>1376</v>
      </c>
      <c r="H147" s="64" t="s">
        <v>1656</v>
      </c>
    </row>
    <row r="148" spans="2:8" x14ac:dyDescent="0.25">
      <c r="B148" s="57" t="s">
        <v>1657</v>
      </c>
      <c r="C148" s="63">
        <v>46158.518333333333</v>
      </c>
      <c r="D148" s="64" t="s">
        <v>109</v>
      </c>
      <c r="E148" s="64" t="s">
        <v>110</v>
      </c>
      <c r="F148" s="64" t="s">
        <v>1445</v>
      </c>
      <c r="G148" s="54" t="s">
        <v>1376</v>
      </c>
      <c r="H148" s="64" t="s">
        <v>1658</v>
      </c>
    </row>
    <row r="149" spans="2:8" x14ac:dyDescent="0.25">
      <c r="B149" s="57" t="s">
        <v>1659</v>
      </c>
      <c r="C149" s="63">
        <v>46158.54787037037</v>
      </c>
      <c r="D149" s="64" t="s">
        <v>111</v>
      </c>
      <c r="E149" s="64" t="s">
        <v>112</v>
      </c>
      <c r="F149" s="64" t="s">
        <v>1445</v>
      </c>
      <c r="G149" s="54" t="s">
        <v>1376</v>
      </c>
      <c r="H149" s="64" t="s">
        <v>1660</v>
      </c>
    </row>
    <row r="150" spans="2:8" x14ac:dyDescent="0.25">
      <c r="B150" s="57" t="s">
        <v>1661</v>
      </c>
      <c r="C150" s="63">
        <v>46158.615185185183</v>
      </c>
      <c r="D150" s="64" t="s">
        <v>109</v>
      </c>
      <c r="E150" s="64" t="s">
        <v>110</v>
      </c>
      <c r="F150" s="64" t="s">
        <v>1445</v>
      </c>
      <c r="G150" s="54" t="s">
        <v>1376</v>
      </c>
      <c r="H150" s="64" t="s">
        <v>1662</v>
      </c>
    </row>
    <row r="151" spans="2:8" x14ac:dyDescent="0.25">
      <c r="B151" s="57" t="s">
        <v>1663</v>
      </c>
      <c r="C151" s="63">
        <v>46158.715555555558</v>
      </c>
      <c r="D151" s="64" t="s">
        <v>109</v>
      </c>
      <c r="E151" s="64" t="s">
        <v>110</v>
      </c>
      <c r="F151" s="64" t="s">
        <v>1445</v>
      </c>
      <c r="G151" s="54" t="s">
        <v>1376</v>
      </c>
      <c r="H151" s="64" t="s">
        <v>1664</v>
      </c>
    </row>
    <row r="152" spans="2:8" x14ac:dyDescent="0.25">
      <c r="B152" s="57" t="s">
        <v>1665</v>
      </c>
      <c r="C152" s="63">
        <v>46160.376168981478</v>
      </c>
      <c r="D152" s="64" t="s">
        <v>111</v>
      </c>
      <c r="E152" s="64" t="s">
        <v>112</v>
      </c>
      <c r="F152" s="64" t="s">
        <v>1445</v>
      </c>
      <c r="G152" s="54" t="s">
        <v>1376</v>
      </c>
      <c r="H152" s="64" t="s">
        <v>1666</v>
      </c>
    </row>
    <row r="153" spans="2:8" x14ac:dyDescent="0.25">
      <c r="B153" s="57" t="s">
        <v>1667</v>
      </c>
      <c r="C153" s="63">
        <v>46160.407083333332</v>
      </c>
      <c r="D153" s="64" t="s">
        <v>111</v>
      </c>
      <c r="E153" s="64" t="s">
        <v>112</v>
      </c>
      <c r="F153" s="64" t="s">
        <v>1445</v>
      </c>
      <c r="G153" s="54" t="s">
        <v>1376</v>
      </c>
      <c r="H153" s="64" t="s">
        <v>1668</v>
      </c>
    </row>
    <row r="154" spans="2:8" x14ac:dyDescent="0.25">
      <c r="B154" s="57" t="s">
        <v>1669</v>
      </c>
      <c r="C154" s="63">
        <v>46161.503229166658</v>
      </c>
      <c r="D154" s="64" t="s">
        <v>105</v>
      </c>
      <c r="E154" s="64" t="s">
        <v>106</v>
      </c>
      <c r="F154" s="64" t="s">
        <v>1375</v>
      </c>
      <c r="G154" s="54" t="s">
        <v>1376</v>
      </c>
      <c r="H154" s="64" t="s">
        <v>1670</v>
      </c>
    </row>
    <row r="155" spans="2:8" x14ac:dyDescent="0.25">
      <c r="B155" s="57" t="s">
        <v>1671</v>
      </c>
      <c r="C155" s="63">
        <v>46161.628981481481</v>
      </c>
      <c r="D155" s="64" t="s">
        <v>109</v>
      </c>
      <c r="E155" s="64" t="s">
        <v>110</v>
      </c>
      <c r="F155" s="64" t="s">
        <v>1445</v>
      </c>
      <c r="G155" s="54" t="s">
        <v>1376</v>
      </c>
      <c r="H155" s="64" t="s">
        <v>1672</v>
      </c>
    </row>
    <row r="156" spans="2:8" x14ac:dyDescent="0.25">
      <c r="B156" s="57" t="s">
        <v>1673</v>
      </c>
      <c r="C156" s="63">
        <v>46161.727256944447</v>
      </c>
      <c r="D156" s="64" t="s">
        <v>111</v>
      </c>
      <c r="E156" s="64" t="s">
        <v>112</v>
      </c>
      <c r="F156" s="64" t="s">
        <v>1445</v>
      </c>
      <c r="G156" s="54" t="s">
        <v>1376</v>
      </c>
      <c r="H156" s="64" t="s">
        <v>1674</v>
      </c>
    </row>
    <row r="157" spans="2:8" x14ac:dyDescent="0.25">
      <c r="B157" s="57" t="s">
        <v>1675</v>
      </c>
      <c r="C157" s="63">
        <v>46162.364259259259</v>
      </c>
      <c r="D157" s="64" t="s">
        <v>111</v>
      </c>
      <c r="E157" s="64" t="s">
        <v>112</v>
      </c>
      <c r="F157" s="64" t="s">
        <v>1445</v>
      </c>
      <c r="G157" s="54" t="s">
        <v>1376</v>
      </c>
      <c r="H157" s="64" t="s">
        <v>1676</v>
      </c>
    </row>
    <row r="158" spans="2:8" x14ac:dyDescent="0.25">
      <c r="B158" s="57" t="s">
        <v>1677</v>
      </c>
      <c r="C158" s="63">
        <v>46163.46297453704</v>
      </c>
      <c r="D158" s="64" t="s">
        <v>109</v>
      </c>
      <c r="E158" s="64" t="s">
        <v>110</v>
      </c>
      <c r="F158" s="64" t="s">
        <v>1445</v>
      </c>
      <c r="G158" s="54" t="s">
        <v>1376</v>
      </c>
      <c r="H158" s="64" t="s">
        <v>1678</v>
      </c>
    </row>
    <row r="159" spans="2:8" x14ac:dyDescent="0.25">
      <c r="B159" s="57" t="s">
        <v>1679</v>
      </c>
      <c r="C159" s="63">
        <v>46164.460104166668</v>
      </c>
      <c r="D159" s="64" t="s">
        <v>105</v>
      </c>
      <c r="E159" s="64" t="s">
        <v>106</v>
      </c>
      <c r="F159" s="64" t="s">
        <v>1375</v>
      </c>
      <c r="G159" s="54" t="s">
        <v>1376</v>
      </c>
      <c r="H159" s="64" t="s">
        <v>1680</v>
      </c>
    </row>
    <row r="160" spans="2:8" x14ac:dyDescent="0.25">
      <c r="B160" s="57" t="s">
        <v>1681</v>
      </c>
      <c r="C160" s="63">
        <v>46164.549756944441</v>
      </c>
      <c r="D160" s="64" t="s">
        <v>111</v>
      </c>
      <c r="E160" s="64" t="s">
        <v>112</v>
      </c>
      <c r="F160" s="64" t="s">
        <v>1445</v>
      </c>
      <c r="G160" s="54" t="s">
        <v>1376</v>
      </c>
      <c r="H160" s="64" t="s">
        <v>1682</v>
      </c>
    </row>
    <row r="161" spans="2:8" x14ac:dyDescent="0.25">
      <c r="B161" s="57" t="s">
        <v>1683</v>
      </c>
      <c r="C161" s="63">
        <v>46164.605358796303</v>
      </c>
      <c r="D161" s="64" t="s">
        <v>109</v>
      </c>
      <c r="E161" s="64" t="s">
        <v>110</v>
      </c>
      <c r="F161" s="64" t="s">
        <v>1445</v>
      </c>
      <c r="G161" s="54" t="s">
        <v>1376</v>
      </c>
      <c r="H161" s="64" t="s">
        <v>1684</v>
      </c>
    </row>
    <row r="162" spans="2:8" x14ac:dyDescent="0.25">
      <c r="B162" s="57" t="s">
        <v>1685</v>
      </c>
      <c r="C162" s="63">
        <v>46164.715104166673</v>
      </c>
      <c r="D162" s="64" t="s">
        <v>109</v>
      </c>
      <c r="E162" s="64" t="s">
        <v>110</v>
      </c>
      <c r="F162" s="64" t="s">
        <v>1445</v>
      </c>
      <c r="G162" s="54" t="s">
        <v>1376</v>
      </c>
      <c r="H162" s="64" t="s">
        <v>1686</v>
      </c>
    </row>
    <row r="163" spans="2:8" x14ac:dyDescent="0.25">
      <c r="B163" s="57" t="s">
        <v>1687</v>
      </c>
      <c r="C163" s="63">
        <v>46165.377314814818</v>
      </c>
      <c r="D163" s="64" t="s">
        <v>109</v>
      </c>
      <c r="E163" s="64" t="s">
        <v>110</v>
      </c>
      <c r="F163" s="64" t="s">
        <v>1445</v>
      </c>
      <c r="G163" s="54" t="s">
        <v>1376</v>
      </c>
      <c r="H163" s="64" t="s">
        <v>1688</v>
      </c>
    </row>
    <row r="164" spans="2:8" x14ac:dyDescent="0.25">
      <c r="B164" s="57" t="s">
        <v>1689</v>
      </c>
      <c r="C164" s="63">
        <v>46165.423206018517</v>
      </c>
      <c r="D164" s="64" t="s">
        <v>111</v>
      </c>
      <c r="E164" s="64" t="s">
        <v>112</v>
      </c>
      <c r="F164" s="64" t="s">
        <v>1445</v>
      </c>
      <c r="G164" s="54" t="s">
        <v>1376</v>
      </c>
      <c r="H164" s="64" t="s">
        <v>1690</v>
      </c>
    </row>
    <row r="165" spans="2:8" x14ac:dyDescent="0.25">
      <c r="B165" s="57" t="s">
        <v>1691</v>
      </c>
      <c r="C165" s="63">
        <v>46165.441666666673</v>
      </c>
      <c r="D165" s="64" t="s">
        <v>109</v>
      </c>
      <c r="E165" s="64" t="s">
        <v>110</v>
      </c>
      <c r="F165" s="64" t="s">
        <v>1445</v>
      </c>
      <c r="G165" s="54" t="s">
        <v>1376</v>
      </c>
      <c r="H165" s="64" t="s">
        <v>1692</v>
      </c>
    </row>
    <row r="166" spans="2:8" x14ac:dyDescent="0.25">
      <c r="B166" s="57" t="s">
        <v>1693</v>
      </c>
      <c r="C166" s="63">
        <v>46165.564467592587</v>
      </c>
      <c r="D166" s="64" t="s">
        <v>111</v>
      </c>
      <c r="E166" s="64" t="s">
        <v>112</v>
      </c>
      <c r="F166" s="64" t="s">
        <v>1445</v>
      </c>
      <c r="G166" s="54" t="s">
        <v>1376</v>
      </c>
      <c r="H166" s="64" t="s">
        <v>1694</v>
      </c>
    </row>
    <row r="167" spans="2:8" x14ac:dyDescent="0.25">
      <c r="B167" s="57" t="s">
        <v>1695</v>
      </c>
      <c r="C167" s="63">
        <v>46167.414293981477</v>
      </c>
      <c r="D167" s="64" t="s">
        <v>109</v>
      </c>
      <c r="E167" s="64" t="s">
        <v>110</v>
      </c>
      <c r="F167" s="64" t="s">
        <v>1445</v>
      </c>
      <c r="G167" s="54" t="s">
        <v>1376</v>
      </c>
      <c r="H167" s="64" t="s">
        <v>1696</v>
      </c>
    </row>
    <row r="168" spans="2:8" x14ac:dyDescent="0.25">
      <c r="B168" s="57" t="s">
        <v>1697</v>
      </c>
      <c r="C168" s="63">
        <v>46167.600960648153</v>
      </c>
      <c r="D168" s="64" t="s">
        <v>109</v>
      </c>
      <c r="E168" s="64" t="s">
        <v>110</v>
      </c>
      <c r="F168" s="64" t="s">
        <v>1445</v>
      </c>
      <c r="G168" s="54" t="s">
        <v>1376</v>
      </c>
      <c r="H168" s="64" t="s">
        <v>1698</v>
      </c>
    </row>
    <row r="169" spans="2:8" x14ac:dyDescent="0.25">
      <c r="B169" s="57" t="s">
        <v>1699</v>
      </c>
      <c r="C169" s="63">
        <v>46167.629131944443</v>
      </c>
      <c r="D169" s="64" t="s">
        <v>111</v>
      </c>
      <c r="E169" s="64" t="s">
        <v>112</v>
      </c>
      <c r="F169" s="64" t="s">
        <v>1445</v>
      </c>
      <c r="G169" s="54" t="s">
        <v>1376</v>
      </c>
      <c r="H169" s="64" t="s">
        <v>1700</v>
      </c>
    </row>
    <row r="170" spans="2:8" x14ac:dyDescent="0.25">
      <c r="B170" s="57" t="s">
        <v>1701</v>
      </c>
      <c r="C170" s="63">
        <v>46168.322418981479</v>
      </c>
      <c r="D170" s="64" t="s">
        <v>107</v>
      </c>
      <c r="E170" s="64" t="s">
        <v>108</v>
      </c>
      <c r="F170" s="64" t="s">
        <v>1375</v>
      </c>
      <c r="G170" s="54" t="s">
        <v>1376</v>
      </c>
      <c r="H170" s="64" t="s">
        <v>1702</v>
      </c>
    </row>
    <row r="171" spans="2:8" x14ac:dyDescent="0.25">
      <c r="B171" s="57" t="s">
        <v>1703</v>
      </c>
      <c r="C171" s="63">
        <v>46168.348090277781</v>
      </c>
      <c r="D171" s="64" t="s">
        <v>111</v>
      </c>
      <c r="E171" s="64" t="s">
        <v>112</v>
      </c>
      <c r="F171" s="64" t="s">
        <v>1445</v>
      </c>
      <c r="G171" s="54" t="s">
        <v>1376</v>
      </c>
      <c r="H171" s="64" t="s">
        <v>1704</v>
      </c>
    </row>
    <row r="172" spans="2:8" x14ac:dyDescent="0.25">
      <c r="B172" s="57" t="s">
        <v>1705</v>
      </c>
      <c r="C172" s="63">
        <v>46168.450416666667</v>
      </c>
      <c r="D172" s="64" t="s">
        <v>109</v>
      </c>
      <c r="E172" s="64" t="s">
        <v>110</v>
      </c>
      <c r="F172" s="64" t="s">
        <v>1445</v>
      </c>
      <c r="G172" s="54" t="s">
        <v>1376</v>
      </c>
      <c r="H172" s="64" t="s">
        <v>1706</v>
      </c>
    </row>
    <row r="173" spans="2:8" x14ac:dyDescent="0.25">
      <c r="B173" s="57" t="s">
        <v>1707</v>
      </c>
      <c r="C173" s="63">
        <v>46169.463692129633</v>
      </c>
      <c r="D173" s="64" t="s">
        <v>107</v>
      </c>
      <c r="E173" s="64" t="s">
        <v>108</v>
      </c>
      <c r="F173" s="64" t="s">
        <v>1375</v>
      </c>
      <c r="G173" s="54" t="s">
        <v>1376</v>
      </c>
      <c r="H173" s="64" t="s">
        <v>1708</v>
      </c>
    </row>
    <row r="174" spans="2:8" x14ac:dyDescent="0.25">
      <c r="B174" s="57" t="s">
        <v>1709</v>
      </c>
      <c r="C174" s="63">
        <v>46169.563136574077</v>
      </c>
      <c r="D174" s="64" t="s">
        <v>111</v>
      </c>
      <c r="E174" s="64" t="s">
        <v>112</v>
      </c>
      <c r="F174" s="64" t="s">
        <v>1445</v>
      </c>
      <c r="G174" s="54" t="s">
        <v>1376</v>
      </c>
      <c r="H174" s="64" t="s">
        <v>1710</v>
      </c>
    </row>
    <row r="175" spans="2:8" x14ac:dyDescent="0.25">
      <c r="B175" s="57" t="s">
        <v>1711</v>
      </c>
      <c r="C175" s="63">
        <v>46169.646736111114</v>
      </c>
      <c r="D175" s="64" t="s">
        <v>109</v>
      </c>
      <c r="E175" s="64" t="s">
        <v>110</v>
      </c>
      <c r="F175" s="64" t="s">
        <v>1445</v>
      </c>
      <c r="G175" s="54" t="s">
        <v>1376</v>
      </c>
      <c r="H175" s="64" t="s">
        <v>1712</v>
      </c>
    </row>
    <row r="176" spans="2:8" x14ac:dyDescent="0.25">
      <c r="B176" s="57" t="s">
        <v>1713</v>
      </c>
      <c r="C176" s="63">
        <v>46169.69425925926</v>
      </c>
      <c r="D176" s="64" t="s">
        <v>105</v>
      </c>
      <c r="E176" s="64" t="s">
        <v>106</v>
      </c>
      <c r="F176" s="64" t="s">
        <v>1375</v>
      </c>
      <c r="G176" s="54" t="s">
        <v>1376</v>
      </c>
      <c r="H176" s="64" t="s">
        <v>1714</v>
      </c>
    </row>
    <row r="177" spans="2:8" x14ac:dyDescent="0.25">
      <c r="B177" s="57" t="s">
        <v>1715</v>
      </c>
      <c r="C177" s="63">
        <v>46170.444305555553</v>
      </c>
      <c r="D177" s="64" t="s">
        <v>111</v>
      </c>
      <c r="E177" s="64" t="s">
        <v>112</v>
      </c>
      <c r="F177" s="64" t="s">
        <v>1445</v>
      </c>
      <c r="G177" s="54" t="s">
        <v>1376</v>
      </c>
      <c r="H177" s="64" t="s">
        <v>1716</v>
      </c>
    </row>
    <row r="178" spans="2:8" x14ac:dyDescent="0.25">
      <c r="B178" s="57" t="s">
        <v>1717</v>
      </c>
      <c r="C178" s="63">
        <v>46170.52884259259</v>
      </c>
      <c r="D178" s="64" t="s">
        <v>111</v>
      </c>
      <c r="E178" s="64" t="s">
        <v>112</v>
      </c>
      <c r="F178" s="64" t="s">
        <v>1445</v>
      </c>
      <c r="G178" s="54" t="s">
        <v>1376</v>
      </c>
      <c r="H178" s="64" t="s">
        <v>1718</v>
      </c>
    </row>
    <row r="179" spans="2:8" x14ac:dyDescent="0.25">
      <c r="B179" s="57" t="s">
        <v>1719</v>
      </c>
      <c r="C179" s="63">
        <v>46171.383773148147</v>
      </c>
      <c r="D179" s="64" t="s">
        <v>107</v>
      </c>
      <c r="E179" s="64" t="s">
        <v>108</v>
      </c>
      <c r="F179" s="64" t="s">
        <v>1375</v>
      </c>
      <c r="G179" s="54" t="s">
        <v>1376</v>
      </c>
      <c r="H179" s="64" t="s">
        <v>1720</v>
      </c>
    </row>
    <row r="180" spans="2:8" x14ac:dyDescent="0.25">
      <c r="B180" s="57" t="s">
        <v>1721</v>
      </c>
      <c r="C180" s="63">
        <v>46171.457696759258</v>
      </c>
      <c r="D180" s="64" t="s">
        <v>109</v>
      </c>
      <c r="E180" s="64" t="s">
        <v>110</v>
      </c>
      <c r="F180" s="64" t="s">
        <v>1445</v>
      </c>
      <c r="G180" s="54" t="s">
        <v>1376</v>
      </c>
      <c r="H180" s="64" t="s">
        <v>1722</v>
      </c>
    </row>
    <row r="181" spans="2:8" x14ac:dyDescent="0.25">
      <c r="B181" s="57" t="s">
        <v>1723</v>
      </c>
      <c r="C181" s="63">
        <v>46171.471331018518</v>
      </c>
      <c r="D181" s="64" t="s">
        <v>109</v>
      </c>
      <c r="E181" s="64" t="s">
        <v>110</v>
      </c>
      <c r="F181" s="64" t="s">
        <v>1445</v>
      </c>
      <c r="G181" s="54" t="s">
        <v>1376</v>
      </c>
      <c r="H181" s="64" t="s">
        <v>1724</v>
      </c>
    </row>
    <row r="182" spans="2:8" x14ac:dyDescent="0.25">
      <c r="B182" s="57" t="s">
        <v>1725</v>
      </c>
      <c r="C182" s="63">
        <v>46171.665949074071</v>
      </c>
      <c r="D182" s="64" t="s">
        <v>109</v>
      </c>
      <c r="E182" s="64" t="s">
        <v>110</v>
      </c>
      <c r="F182" s="64" t="s">
        <v>1445</v>
      </c>
      <c r="G182" s="54" t="s">
        <v>1376</v>
      </c>
      <c r="H182" s="64" t="s">
        <v>1726</v>
      </c>
    </row>
    <row r="183" spans="2:8" x14ac:dyDescent="0.25">
      <c r="B183" s="57" t="s">
        <v>1727</v>
      </c>
      <c r="C183" s="63">
        <v>46172.367546296293</v>
      </c>
      <c r="D183" s="64" t="s">
        <v>111</v>
      </c>
      <c r="E183" s="64" t="s">
        <v>112</v>
      </c>
      <c r="F183" s="64" t="s">
        <v>1445</v>
      </c>
      <c r="G183" s="54" t="s">
        <v>1376</v>
      </c>
      <c r="H183" s="64" t="s">
        <v>1728</v>
      </c>
    </row>
    <row r="184" spans="2:8" x14ac:dyDescent="0.25">
      <c r="B184" s="57" t="s">
        <v>1729</v>
      </c>
      <c r="C184" s="63">
        <v>46172.493969907409</v>
      </c>
      <c r="D184" s="64" t="s">
        <v>109</v>
      </c>
      <c r="E184" s="64" t="s">
        <v>110</v>
      </c>
      <c r="F184" s="64" t="s">
        <v>1445</v>
      </c>
      <c r="G184" s="54" t="s">
        <v>1376</v>
      </c>
      <c r="H184" s="64" t="s">
        <v>1730</v>
      </c>
    </row>
    <row r="185" spans="2:8" x14ac:dyDescent="0.25">
      <c r="B185" s="57" t="s">
        <v>1731</v>
      </c>
      <c r="C185" s="63">
        <v>46174.389305555553</v>
      </c>
      <c r="D185" s="64" t="s">
        <v>105</v>
      </c>
      <c r="E185" s="64" t="s">
        <v>106</v>
      </c>
      <c r="F185" s="64" t="s">
        <v>1375</v>
      </c>
      <c r="G185" s="54" t="s">
        <v>1376</v>
      </c>
      <c r="H185" s="64" t="s">
        <v>1732</v>
      </c>
    </row>
    <row r="186" spans="2:8" x14ac:dyDescent="0.25">
      <c r="B186" s="57" t="s">
        <v>1733</v>
      </c>
      <c r="C186" s="63">
        <v>46174.45244212963</v>
      </c>
      <c r="D186" s="64" t="s">
        <v>109</v>
      </c>
      <c r="E186" s="64" t="s">
        <v>110</v>
      </c>
      <c r="F186" s="64" t="s">
        <v>1445</v>
      </c>
      <c r="G186" s="54" t="s">
        <v>1376</v>
      </c>
      <c r="H186" s="64" t="s">
        <v>1734</v>
      </c>
    </row>
    <row r="187" spans="2:8" x14ac:dyDescent="0.25">
      <c r="B187" s="57" t="s">
        <v>1735</v>
      </c>
      <c r="C187" s="63">
        <v>46174.458541666667</v>
      </c>
      <c r="D187" s="64" t="s">
        <v>109</v>
      </c>
      <c r="E187" s="64" t="s">
        <v>110</v>
      </c>
      <c r="F187" s="64" t="s">
        <v>1445</v>
      </c>
      <c r="G187" s="54" t="s">
        <v>1376</v>
      </c>
      <c r="H187" s="64" t="s">
        <v>1736</v>
      </c>
    </row>
    <row r="188" spans="2:8" x14ac:dyDescent="0.25">
      <c r="B188" s="57" t="s">
        <v>1737</v>
      </c>
      <c r="C188" s="63">
        <v>46174.566099537027</v>
      </c>
      <c r="D188" s="64" t="s">
        <v>111</v>
      </c>
      <c r="E188" s="64" t="s">
        <v>112</v>
      </c>
      <c r="F188" s="64" t="s">
        <v>1445</v>
      </c>
      <c r="G188" s="54" t="s">
        <v>1376</v>
      </c>
      <c r="H188" s="64" t="s">
        <v>1738</v>
      </c>
    </row>
    <row r="189" spans="2:8" x14ac:dyDescent="0.25">
      <c r="B189" s="57" t="s">
        <v>1739</v>
      </c>
      <c r="C189" s="63">
        <v>46174.672314814823</v>
      </c>
      <c r="D189" s="64" t="s">
        <v>111</v>
      </c>
      <c r="E189" s="64" t="s">
        <v>112</v>
      </c>
      <c r="F189" s="64" t="s">
        <v>1445</v>
      </c>
      <c r="G189" s="54" t="s">
        <v>1376</v>
      </c>
      <c r="H189" s="64" t="s">
        <v>1740</v>
      </c>
    </row>
    <row r="190" spans="2:8" x14ac:dyDescent="0.25">
      <c r="B190" s="57" t="s">
        <v>1741</v>
      </c>
      <c r="C190" s="63">
        <v>46175.410127314812</v>
      </c>
      <c r="D190" s="64" t="s">
        <v>109</v>
      </c>
      <c r="E190" s="64" t="s">
        <v>110</v>
      </c>
      <c r="F190" s="64" t="s">
        <v>1445</v>
      </c>
      <c r="G190" s="54" t="s">
        <v>1376</v>
      </c>
      <c r="H190" s="64" t="s">
        <v>1742</v>
      </c>
    </row>
    <row r="191" spans="2:8" x14ac:dyDescent="0.25">
      <c r="B191" s="57" t="s">
        <v>1743</v>
      </c>
      <c r="C191" s="63">
        <v>46175.422997685193</v>
      </c>
      <c r="D191" s="64" t="s">
        <v>109</v>
      </c>
      <c r="E191" s="64" t="s">
        <v>110</v>
      </c>
      <c r="F191" s="64" t="s">
        <v>1445</v>
      </c>
      <c r="G191" s="54" t="s">
        <v>1376</v>
      </c>
      <c r="H191" s="64" t="s">
        <v>1744</v>
      </c>
    </row>
    <row r="192" spans="2:8" x14ac:dyDescent="0.25">
      <c r="B192" s="57" t="s">
        <v>1745</v>
      </c>
      <c r="C192" s="63">
        <v>46175.68917824074</v>
      </c>
      <c r="D192" s="64" t="s">
        <v>111</v>
      </c>
      <c r="E192" s="64" t="s">
        <v>112</v>
      </c>
      <c r="F192" s="64" t="s">
        <v>1445</v>
      </c>
      <c r="G192" s="54" t="s">
        <v>1376</v>
      </c>
      <c r="H192" s="64" t="s">
        <v>1746</v>
      </c>
    </row>
    <row r="193" spans="2:8" x14ac:dyDescent="0.25">
      <c r="B193" s="57" t="s">
        <v>1747</v>
      </c>
      <c r="C193" s="63">
        <v>46175.707118055558</v>
      </c>
      <c r="D193" s="64" t="s">
        <v>109</v>
      </c>
      <c r="E193" s="64" t="s">
        <v>110</v>
      </c>
      <c r="F193" s="64" t="s">
        <v>1445</v>
      </c>
      <c r="G193" s="54" t="s">
        <v>1376</v>
      </c>
      <c r="H193" s="64" t="s">
        <v>1748</v>
      </c>
    </row>
    <row r="194" spans="2:8" x14ac:dyDescent="0.25">
      <c r="B194" s="57" t="s">
        <v>1749</v>
      </c>
      <c r="C194" s="63">
        <v>46176.371412037042</v>
      </c>
      <c r="D194" s="64" t="s">
        <v>111</v>
      </c>
      <c r="E194" s="64" t="s">
        <v>112</v>
      </c>
      <c r="F194" s="64" t="s">
        <v>1445</v>
      </c>
      <c r="G194" s="54" t="s">
        <v>1376</v>
      </c>
      <c r="H194" s="64" t="s">
        <v>1750</v>
      </c>
    </row>
    <row r="195" spans="2:8" x14ac:dyDescent="0.25">
      <c r="B195" s="57" t="s">
        <v>1751</v>
      </c>
      <c r="C195" s="63">
        <v>46177.497673611113</v>
      </c>
      <c r="D195" s="64" t="s">
        <v>111</v>
      </c>
      <c r="E195" s="64" t="s">
        <v>112</v>
      </c>
      <c r="F195" s="64" t="s">
        <v>1445</v>
      </c>
      <c r="G195" s="54" t="s">
        <v>1376</v>
      </c>
      <c r="H195" s="64" t="s">
        <v>1752</v>
      </c>
    </row>
    <row r="196" spans="2:8" x14ac:dyDescent="0.25">
      <c r="B196" s="57" t="s">
        <v>1753</v>
      </c>
      <c r="C196" s="63">
        <v>46177.606817129628</v>
      </c>
      <c r="D196" s="64" t="s">
        <v>109</v>
      </c>
      <c r="E196" s="64" t="s">
        <v>110</v>
      </c>
      <c r="F196" s="64" t="s">
        <v>1445</v>
      </c>
      <c r="G196" s="54" t="s">
        <v>1376</v>
      </c>
      <c r="H196" s="64" t="s">
        <v>1754</v>
      </c>
    </row>
    <row r="197" spans="2:8" x14ac:dyDescent="0.25">
      <c r="B197" s="57" t="s">
        <v>1755</v>
      </c>
      <c r="C197" s="63">
        <v>46177.693738425929</v>
      </c>
      <c r="D197" s="64" t="s">
        <v>111</v>
      </c>
      <c r="E197" s="64" t="s">
        <v>112</v>
      </c>
      <c r="F197" s="64" t="s">
        <v>1445</v>
      </c>
      <c r="G197" s="54" t="s">
        <v>1376</v>
      </c>
      <c r="H197" s="64" t="s">
        <v>1756</v>
      </c>
    </row>
    <row r="198" spans="2:8" x14ac:dyDescent="0.25">
      <c r="B198" s="57" t="s">
        <v>1757</v>
      </c>
      <c r="C198" s="63">
        <v>46177.717442129629</v>
      </c>
      <c r="D198" s="64" t="s">
        <v>111</v>
      </c>
      <c r="E198" s="64" t="s">
        <v>112</v>
      </c>
      <c r="F198" s="64" t="s">
        <v>1445</v>
      </c>
      <c r="G198" s="54" t="s">
        <v>1376</v>
      </c>
      <c r="H198" s="64" t="s">
        <v>1758</v>
      </c>
    </row>
    <row r="199" spans="2:8" x14ac:dyDescent="0.25">
      <c r="B199" s="57" t="s">
        <v>1759</v>
      </c>
      <c r="C199" s="63">
        <v>46178.357488425929</v>
      </c>
      <c r="D199" s="64" t="s">
        <v>111</v>
      </c>
      <c r="E199" s="64" t="s">
        <v>112</v>
      </c>
      <c r="F199" s="64" t="s">
        <v>1445</v>
      </c>
      <c r="G199" s="54" t="s">
        <v>1376</v>
      </c>
      <c r="H199" s="64" t="s">
        <v>1760</v>
      </c>
    </row>
    <row r="200" spans="2:8" x14ac:dyDescent="0.25">
      <c r="B200" s="57" t="s">
        <v>1761</v>
      </c>
      <c r="C200" s="63">
        <v>46178.420439814807</v>
      </c>
      <c r="D200" s="64" t="s">
        <v>109</v>
      </c>
      <c r="E200" s="64" t="s">
        <v>110</v>
      </c>
      <c r="F200" s="64" t="s">
        <v>1445</v>
      </c>
      <c r="G200" s="54" t="s">
        <v>1376</v>
      </c>
      <c r="H200" s="64" t="s">
        <v>1762</v>
      </c>
    </row>
    <row r="201" spans="2:8" x14ac:dyDescent="0.25">
      <c r="B201" s="57" t="s">
        <v>1763</v>
      </c>
      <c r="C201" s="63">
        <v>46178.656886574077</v>
      </c>
      <c r="D201" s="64" t="s">
        <v>111</v>
      </c>
      <c r="E201" s="64" t="s">
        <v>112</v>
      </c>
      <c r="F201" s="64" t="s">
        <v>1445</v>
      </c>
      <c r="G201" s="54" t="s">
        <v>1376</v>
      </c>
      <c r="H201" s="64" t="s">
        <v>1764</v>
      </c>
    </row>
    <row r="202" spans="2:8" x14ac:dyDescent="0.25">
      <c r="B202" s="57" t="s">
        <v>1765</v>
      </c>
      <c r="C202" s="63">
        <v>46179.441863425927</v>
      </c>
      <c r="D202" s="64" t="s">
        <v>109</v>
      </c>
      <c r="E202" s="64" t="s">
        <v>110</v>
      </c>
      <c r="F202" s="64" t="s">
        <v>1445</v>
      </c>
      <c r="G202" s="54" t="s">
        <v>1376</v>
      </c>
      <c r="H202" s="64" t="s">
        <v>1766</v>
      </c>
    </row>
    <row r="203" spans="2:8" x14ac:dyDescent="0.25">
      <c r="B203" s="57" t="s">
        <v>1767</v>
      </c>
      <c r="C203" s="63">
        <v>46179.659421296303</v>
      </c>
      <c r="D203" s="64" t="s">
        <v>111</v>
      </c>
      <c r="E203" s="64" t="s">
        <v>112</v>
      </c>
      <c r="F203" s="64" t="s">
        <v>1445</v>
      </c>
      <c r="G203" s="54" t="s">
        <v>1376</v>
      </c>
      <c r="H203" s="64" t="s">
        <v>1768</v>
      </c>
    </row>
    <row r="204" spans="2:8" x14ac:dyDescent="0.25">
      <c r="B204" s="57" t="s">
        <v>1769</v>
      </c>
      <c r="C204" s="63">
        <v>46181.383287037039</v>
      </c>
      <c r="D204" s="64" t="s">
        <v>105</v>
      </c>
      <c r="E204" s="64" t="s">
        <v>106</v>
      </c>
      <c r="F204" s="64" t="s">
        <v>1375</v>
      </c>
      <c r="G204" s="54" t="s">
        <v>1376</v>
      </c>
      <c r="H204" s="64" t="s">
        <v>1770</v>
      </c>
    </row>
    <row r="205" spans="2:8" x14ac:dyDescent="0.25">
      <c r="B205" s="57" t="s">
        <v>1771</v>
      </c>
      <c r="C205" s="63">
        <v>46181.455474537041</v>
      </c>
      <c r="D205" s="64" t="s">
        <v>111</v>
      </c>
      <c r="E205" s="64" t="s">
        <v>112</v>
      </c>
      <c r="F205" s="64" t="s">
        <v>1445</v>
      </c>
      <c r="G205" s="54" t="s">
        <v>1376</v>
      </c>
      <c r="H205" s="64" t="s">
        <v>1772</v>
      </c>
    </row>
    <row r="206" spans="2:8" x14ac:dyDescent="0.25">
      <c r="B206" s="57" t="s">
        <v>1773</v>
      </c>
      <c r="C206" s="63">
        <v>46181.473171296297</v>
      </c>
      <c r="D206" s="64" t="s">
        <v>111</v>
      </c>
      <c r="E206" s="64" t="s">
        <v>112</v>
      </c>
      <c r="F206" s="64" t="s">
        <v>1445</v>
      </c>
      <c r="G206" s="54" t="s">
        <v>1376</v>
      </c>
      <c r="H206" s="64" t="s">
        <v>1774</v>
      </c>
    </row>
    <row r="207" spans="2:8" x14ac:dyDescent="0.25">
      <c r="B207" s="57" t="s">
        <v>1775</v>
      </c>
      <c r="C207" s="63">
        <v>46181.678657407407</v>
      </c>
      <c r="D207" s="64" t="s">
        <v>109</v>
      </c>
      <c r="E207" s="64" t="s">
        <v>110</v>
      </c>
      <c r="F207" s="64" t="s">
        <v>1445</v>
      </c>
      <c r="G207" s="54" t="s">
        <v>1376</v>
      </c>
      <c r="H207" s="64" t="s">
        <v>1776</v>
      </c>
    </row>
    <row r="208" spans="2:8" x14ac:dyDescent="0.25">
      <c r="B208" s="57" t="s">
        <v>1777</v>
      </c>
      <c r="C208" s="63">
        <v>46182.536689814813</v>
      </c>
      <c r="D208" s="64" t="s">
        <v>111</v>
      </c>
      <c r="E208" s="64" t="s">
        <v>112</v>
      </c>
      <c r="F208" s="64" t="s">
        <v>1445</v>
      </c>
      <c r="G208" s="54" t="s">
        <v>1376</v>
      </c>
      <c r="H208" s="64" t="s">
        <v>1778</v>
      </c>
    </row>
    <row r="209" spans="2:8" x14ac:dyDescent="0.25">
      <c r="B209" s="57" t="s">
        <v>1779</v>
      </c>
      <c r="C209" s="63">
        <v>46182.70521990741</v>
      </c>
      <c r="D209" s="64" t="s">
        <v>111</v>
      </c>
      <c r="E209" s="64" t="s">
        <v>112</v>
      </c>
      <c r="F209" s="64" t="s">
        <v>1445</v>
      </c>
      <c r="G209" s="54" t="s">
        <v>1376</v>
      </c>
      <c r="H209" s="64" t="s">
        <v>1780</v>
      </c>
    </row>
    <row r="210" spans="2:8" x14ac:dyDescent="0.25">
      <c r="B210" s="57" t="s">
        <v>1781</v>
      </c>
      <c r="C210" s="63">
        <v>46183.325497685182</v>
      </c>
      <c r="D210" s="64" t="s">
        <v>109</v>
      </c>
      <c r="E210" s="64" t="s">
        <v>110</v>
      </c>
      <c r="F210" s="64" t="s">
        <v>1445</v>
      </c>
      <c r="G210" s="54" t="s">
        <v>1376</v>
      </c>
      <c r="H210" s="64" t="s">
        <v>1782</v>
      </c>
    </row>
    <row r="211" spans="2:8" x14ac:dyDescent="0.25">
      <c r="B211" s="57" t="s">
        <v>1783</v>
      </c>
      <c r="C211" s="63">
        <v>46183.36377314815</v>
      </c>
      <c r="D211" s="64" t="s">
        <v>109</v>
      </c>
      <c r="E211" s="64" t="s">
        <v>110</v>
      </c>
      <c r="F211" s="64" t="s">
        <v>1445</v>
      </c>
      <c r="G211" s="54" t="s">
        <v>1376</v>
      </c>
      <c r="H211" s="64" t="s">
        <v>1784</v>
      </c>
    </row>
    <row r="212" spans="2:8" x14ac:dyDescent="0.25">
      <c r="B212" s="57" t="s">
        <v>1785</v>
      </c>
      <c r="C212" s="63">
        <v>46183.470775462964</v>
      </c>
      <c r="D212" s="64" t="s">
        <v>109</v>
      </c>
      <c r="E212" s="64" t="s">
        <v>110</v>
      </c>
      <c r="F212" s="64" t="s">
        <v>1445</v>
      </c>
      <c r="G212" s="54" t="s">
        <v>1376</v>
      </c>
      <c r="H212" s="64" t="s">
        <v>1786</v>
      </c>
    </row>
    <row r="213" spans="2:8" x14ac:dyDescent="0.25">
      <c r="B213" s="57" t="s">
        <v>1787</v>
      </c>
      <c r="C213" s="63">
        <v>46183.482974537037</v>
      </c>
      <c r="D213" s="64" t="s">
        <v>109</v>
      </c>
      <c r="E213" s="64" t="s">
        <v>110</v>
      </c>
      <c r="F213" s="64" t="s">
        <v>1445</v>
      </c>
      <c r="G213" s="54" t="s">
        <v>1376</v>
      </c>
      <c r="H213" s="64" t="s">
        <v>1788</v>
      </c>
    </row>
    <row r="214" spans="2:8" x14ac:dyDescent="0.25">
      <c r="B214" s="57" t="s">
        <v>1789</v>
      </c>
      <c r="C214" s="63">
        <v>46183.662280092591</v>
      </c>
      <c r="D214" s="64" t="s">
        <v>105</v>
      </c>
      <c r="E214" s="64" t="s">
        <v>106</v>
      </c>
      <c r="F214" s="64" t="s">
        <v>1375</v>
      </c>
      <c r="G214" s="54" t="s">
        <v>1376</v>
      </c>
      <c r="H214" s="64" t="s">
        <v>1790</v>
      </c>
    </row>
    <row r="215" spans="2:8" x14ac:dyDescent="0.25">
      <c r="B215" s="57" t="s">
        <v>1791</v>
      </c>
      <c r="C215" s="63">
        <v>46184.440416666657</v>
      </c>
      <c r="D215" s="64" t="s">
        <v>111</v>
      </c>
      <c r="E215" s="64" t="s">
        <v>112</v>
      </c>
      <c r="F215" s="64" t="s">
        <v>1445</v>
      </c>
      <c r="G215" s="54" t="s">
        <v>1376</v>
      </c>
      <c r="H215" s="64" t="s">
        <v>1792</v>
      </c>
    </row>
    <row r="216" spans="2:8" x14ac:dyDescent="0.25">
      <c r="B216" s="57" t="s">
        <v>1793</v>
      </c>
      <c r="C216" s="63">
        <v>46184.533877314818</v>
      </c>
      <c r="D216" s="64" t="s">
        <v>111</v>
      </c>
      <c r="E216" s="64" t="s">
        <v>112</v>
      </c>
      <c r="F216" s="64" t="s">
        <v>1445</v>
      </c>
      <c r="G216" s="54" t="s">
        <v>1376</v>
      </c>
      <c r="H216" s="64" t="s">
        <v>1794</v>
      </c>
    </row>
    <row r="217" spans="2:8" x14ac:dyDescent="0.25">
      <c r="B217" s="57" t="s">
        <v>1795</v>
      </c>
      <c r="C217" s="63">
        <v>46184.605810185189</v>
      </c>
      <c r="D217" s="64" t="s">
        <v>111</v>
      </c>
      <c r="E217" s="64" t="s">
        <v>112</v>
      </c>
      <c r="F217" s="64" t="s">
        <v>1445</v>
      </c>
      <c r="G217" s="54" t="s">
        <v>1376</v>
      </c>
      <c r="H217" s="64" t="s">
        <v>1796</v>
      </c>
    </row>
    <row r="218" spans="2:8" x14ac:dyDescent="0.25">
      <c r="B218" s="57" t="s">
        <v>1797</v>
      </c>
      <c r="C218" s="63">
        <v>46184.651921296303</v>
      </c>
      <c r="D218" s="64" t="s">
        <v>111</v>
      </c>
      <c r="E218" s="64" t="s">
        <v>112</v>
      </c>
      <c r="F218" s="64" t="s">
        <v>1445</v>
      </c>
      <c r="G218" s="54" t="s">
        <v>1376</v>
      </c>
      <c r="H218" s="64" t="s">
        <v>1798</v>
      </c>
    </row>
    <row r="219" spans="2:8" x14ac:dyDescent="0.25">
      <c r="B219" s="57" t="s">
        <v>1799</v>
      </c>
      <c r="C219" s="63">
        <v>46185.350706018522</v>
      </c>
      <c r="D219" s="64" t="s">
        <v>109</v>
      </c>
      <c r="E219" s="64" t="s">
        <v>110</v>
      </c>
      <c r="F219" s="64" t="s">
        <v>1445</v>
      </c>
      <c r="G219" s="54" t="s">
        <v>1376</v>
      </c>
      <c r="H219" s="64" t="s">
        <v>1800</v>
      </c>
    </row>
    <row r="220" spans="2:8" x14ac:dyDescent="0.25">
      <c r="B220" s="57" t="s">
        <v>1801</v>
      </c>
      <c r="C220" s="63">
        <v>46185.459374999999</v>
      </c>
      <c r="D220" s="64" t="s">
        <v>111</v>
      </c>
      <c r="E220" s="64" t="s">
        <v>112</v>
      </c>
      <c r="F220" s="64" t="s">
        <v>1445</v>
      </c>
      <c r="G220" s="54" t="s">
        <v>1376</v>
      </c>
      <c r="H220" s="64" t="s">
        <v>1802</v>
      </c>
    </row>
    <row r="221" spans="2:8" x14ac:dyDescent="0.25">
      <c r="B221" s="57" t="s">
        <v>1803</v>
      </c>
      <c r="C221" s="63">
        <v>46186.434606481482</v>
      </c>
      <c r="D221" s="64" t="s">
        <v>111</v>
      </c>
      <c r="E221" s="64" t="s">
        <v>112</v>
      </c>
      <c r="F221" s="64" t="s">
        <v>1445</v>
      </c>
      <c r="G221" s="54" t="s">
        <v>1376</v>
      </c>
      <c r="H221" s="64" t="s">
        <v>1804</v>
      </c>
    </row>
    <row r="222" spans="2:8" x14ac:dyDescent="0.25">
      <c r="B222" s="57" t="s">
        <v>1805</v>
      </c>
      <c r="C222" s="63">
        <v>46186.606736111113</v>
      </c>
      <c r="D222" s="64" t="s">
        <v>111</v>
      </c>
      <c r="E222" s="64" t="s">
        <v>112</v>
      </c>
      <c r="F222" s="64" t="s">
        <v>1445</v>
      </c>
      <c r="G222" s="54" t="s">
        <v>1376</v>
      </c>
      <c r="H222" s="64" t="s">
        <v>1806</v>
      </c>
    </row>
    <row r="223" spans="2:8" x14ac:dyDescent="0.25">
      <c r="B223" s="57" t="s">
        <v>1807</v>
      </c>
      <c r="C223" s="63">
        <v>46188.343622685177</v>
      </c>
      <c r="D223" s="64" t="s">
        <v>107</v>
      </c>
      <c r="E223" s="64" t="s">
        <v>108</v>
      </c>
      <c r="F223" s="64" t="s">
        <v>1375</v>
      </c>
      <c r="G223" s="54" t="s">
        <v>1376</v>
      </c>
      <c r="H223" s="64" t="s">
        <v>1808</v>
      </c>
    </row>
    <row r="224" spans="2:8" x14ac:dyDescent="0.25">
      <c r="B224" s="57" t="s">
        <v>1809</v>
      </c>
      <c r="C224" s="63">
        <v>46188.374884259261</v>
      </c>
      <c r="D224" s="64" t="s">
        <v>105</v>
      </c>
      <c r="E224" s="64" t="s">
        <v>106</v>
      </c>
      <c r="F224" s="64" t="s">
        <v>1375</v>
      </c>
      <c r="G224" s="54" t="s">
        <v>1376</v>
      </c>
      <c r="H224" s="64" t="s">
        <v>1810</v>
      </c>
    </row>
    <row r="225" spans="2:8" x14ac:dyDescent="0.25">
      <c r="B225" s="57" t="s">
        <v>1811</v>
      </c>
      <c r="C225" s="63">
        <v>46188.457384259258</v>
      </c>
      <c r="D225" s="64" t="s">
        <v>109</v>
      </c>
      <c r="E225" s="64" t="s">
        <v>110</v>
      </c>
      <c r="F225" s="64" t="s">
        <v>1445</v>
      </c>
      <c r="G225" s="54" t="s">
        <v>1376</v>
      </c>
      <c r="H225" s="64" t="s">
        <v>1812</v>
      </c>
    </row>
    <row r="226" spans="2:8" x14ac:dyDescent="0.25">
      <c r="B226" s="57" t="s">
        <v>1813</v>
      </c>
      <c r="C226" s="63">
        <v>46188.506018518521</v>
      </c>
      <c r="D226" s="64" t="s">
        <v>111</v>
      </c>
      <c r="E226" s="64" t="s">
        <v>112</v>
      </c>
      <c r="F226" s="64" t="s">
        <v>1445</v>
      </c>
      <c r="G226" s="54" t="s">
        <v>1376</v>
      </c>
      <c r="H226" s="64" t="s">
        <v>1814</v>
      </c>
    </row>
    <row r="227" spans="2:8" x14ac:dyDescent="0.25">
      <c r="B227" s="57" t="s">
        <v>1815</v>
      </c>
      <c r="C227" s="63">
        <v>46188.512974537043</v>
      </c>
      <c r="D227" s="64" t="s">
        <v>111</v>
      </c>
      <c r="E227" s="64" t="s">
        <v>112</v>
      </c>
      <c r="F227" s="64" t="s">
        <v>1445</v>
      </c>
      <c r="G227" s="54" t="s">
        <v>1376</v>
      </c>
      <c r="H227" s="64" t="s">
        <v>1816</v>
      </c>
    </row>
    <row r="228" spans="2:8" x14ac:dyDescent="0.25">
      <c r="B228" s="57" t="s">
        <v>1817</v>
      </c>
      <c r="C228" s="63">
        <v>46189.420277777783</v>
      </c>
      <c r="D228" s="64" t="s">
        <v>105</v>
      </c>
      <c r="E228" s="64" t="s">
        <v>106</v>
      </c>
      <c r="F228" s="64" t="s">
        <v>1375</v>
      </c>
      <c r="G228" s="54" t="s">
        <v>1376</v>
      </c>
      <c r="H228" s="64" t="s">
        <v>1818</v>
      </c>
    </row>
    <row r="229" spans="2:8" x14ac:dyDescent="0.25">
      <c r="B229" s="57" t="s">
        <v>1819</v>
      </c>
      <c r="C229" s="63">
        <v>46189.515277777777</v>
      </c>
      <c r="D229" s="64" t="s">
        <v>109</v>
      </c>
      <c r="E229" s="64" t="s">
        <v>110</v>
      </c>
      <c r="F229" s="64" t="s">
        <v>1445</v>
      </c>
      <c r="G229" s="54" t="s">
        <v>1376</v>
      </c>
      <c r="H229" s="64" t="s">
        <v>1820</v>
      </c>
    </row>
    <row r="230" spans="2:8" x14ac:dyDescent="0.25">
      <c r="B230" s="57" t="s">
        <v>1821</v>
      </c>
      <c r="C230" s="63">
        <v>46189.515902777777</v>
      </c>
      <c r="D230" s="64" t="s">
        <v>109</v>
      </c>
      <c r="E230" s="64" t="s">
        <v>110</v>
      </c>
      <c r="F230" s="64" t="s">
        <v>1445</v>
      </c>
      <c r="G230" s="54" t="s">
        <v>1376</v>
      </c>
      <c r="H230" s="64" t="s">
        <v>1822</v>
      </c>
    </row>
    <row r="231" spans="2:8" x14ac:dyDescent="0.25">
      <c r="B231" s="57" t="s">
        <v>1823</v>
      </c>
      <c r="C231" s="63">
        <v>46189.623923611107</v>
      </c>
      <c r="D231" s="64" t="s">
        <v>109</v>
      </c>
      <c r="E231" s="64" t="s">
        <v>110</v>
      </c>
      <c r="F231" s="64" t="s">
        <v>1445</v>
      </c>
      <c r="G231" s="54" t="s">
        <v>1376</v>
      </c>
      <c r="H231" s="64" t="s">
        <v>1824</v>
      </c>
    </row>
    <row r="232" spans="2:8" x14ac:dyDescent="0.25">
      <c r="B232" s="57" t="s">
        <v>1825</v>
      </c>
      <c r="C232" s="63">
        <v>46189.639131944437</v>
      </c>
      <c r="D232" s="64" t="s">
        <v>111</v>
      </c>
      <c r="E232" s="64" t="s">
        <v>112</v>
      </c>
      <c r="F232" s="64" t="s">
        <v>1445</v>
      </c>
      <c r="G232" s="54" t="s">
        <v>1376</v>
      </c>
      <c r="H232" s="64" t="s">
        <v>1826</v>
      </c>
    </row>
    <row r="233" spans="2:8" x14ac:dyDescent="0.25">
      <c r="B233" s="57" t="s">
        <v>1827</v>
      </c>
      <c r="C233" s="63">
        <v>46190.536006944443</v>
      </c>
      <c r="D233" s="64" t="s">
        <v>109</v>
      </c>
      <c r="E233" s="64" t="s">
        <v>110</v>
      </c>
      <c r="F233" s="64" t="s">
        <v>1445</v>
      </c>
      <c r="G233" s="54" t="s">
        <v>1376</v>
      </c>
      <c r="H233" s="64" t="s">
        <v>1828</v>
      </c>
    </row>
    <row r="234" spans="2:8" x14ac:dyDescent="0.25">
      <c r="B234" s="57" t="s">
        <v>1829</v>
      </c>
      <c r="C234" s="63">
        <v>46190.67</v>
      </c>
      <c r="D234" s="64" t="s">
        <v>111</v>
      </c>
      <c r="E234" s="64" t="s">
        <v>112</v>
      </c>
      <c r="F234" s="64" t="s">
        <v>1445</v>
      </c>
      <c r="G234" s="54" t="s">
        <v>1376</v>
      </c>
      <c r="H234" s="64" t="s">
        <v>1830</v>
      </c>
    </row>
    <row r="235" spans="2:8" x14ac:dyDescent="0.25">
      <c r="B235" s="57" t="s">
        <v>1831</v>
      </c>
      <c r="C235" s="63">
        <v>46191.41510416667</v>
      </c>
      <c r="D235" s="64" t="s">
        <v>105</v>
      </c>
      <c r="E235" s="64" t="s">
        <v>106</v>
      </c>
      <c r="F235" s="64" t="s">
        <v>1375</v>
      </c>
      <c r="G235" s="54" t="s">
        <v>1376</v>
      </c>
      <c r="H235" s="64" t="s">
        <v>1832</v>
      </c>
    </row>
    <row r="236" spans="2:8" x14ac:dyDescent="0.25">
      <c r="B236" s="57" t="s">
        <v>1833</v>
      </c>
      <c r="C236" s="63">
        <v>46191.436377314807</v>
      </c>
      <c r="D236" s="64" t="s">
        <v>111</v>
      </c>
      <c r="E236" s="64" t="s">
        <v>112</v>
      </c>
      <c r="F236" s="64" t="s">
        <v>1445</v>
      </c>
      <c r="G236" s="54" t="s">
        <v>1376</v>
      </c>
      <c r="H236" s="64" t="s">
        <v>1834</v>
      </c>
    </row>
    <row r="237" spans="2:8" x14ac:dyDescent="0.25">
      <c r="B237" s="57" t="s">
        <v>1835</v>
      </c>
      <c r="C237" s="63">
        <v>46192.32708333333</v>
      </c>
      <c r="D237" s="64" t="s">
        <v>111</v>
      </c>
      <c r="E237" s="64" t="s">
        <v>112</v>
      </c>
      <c r="F237" s="64" t="s">
        <v>1445</v>
      </c>
      <c r="G237" s="54" t="s">
        <v>1376</v>
      </c>
      <c r="H237" s="64" t="s">
        <v>1836</v>
      </c>
    </row>
    <row r="238" spans="2:8" x14ac:dyDescent="0.25">
      <c r="B238" s="57" t="s">
        <v>1837</v>
      </c>
      <c r="C238" s="63">
        <v>46192.424895833326</v>
      </c>
      <c r="D238" s="64" t="s">
        <v>111</v>
      </c>
      <c r="E238" s="64" t="s">
        <v>112</v>
      </c>
      <c r="F238" s="64" t="s">
        <v>1445</v>
      </c>
      <c r="G238" s="54" t="s">
        <v>1376</v>
      </c>
      <c r="H238" s="64" t="s">
        <v>1838</v>
      </c>
    </row>
    <row r="239" spans="2:8" x14ac:dyDescent="0.25">
      <c r="B239" s="57" t="s">
        <v>1839</v>
      </c>
      <c r="C239" s="63">
        <v>46193.340358796297</v>
      </c>
      <c r="D239" s="64" t="s">
        <v>109</v>
      </c>
      <c r="E239" s="64" t="s">
        <v>110</v>
      </c>
      <c r="F239" s="64" t="s">
        <v>1445</v>
      </c>
      <c r="G239" s="54" t="s">
        <v>1376</v>
      </c>
      <c r="H239" s="64" t="s">
        <v>1840</v>
      </c>
    </row>
    <row r="240" spans="2:8" x14ac:dyDescent="0.25">
      <c r="B240" s="57" t="s">
        <v>1841</v>
      </c>
      <c r="C240" s="63">
        <v>46193.356249999997</v>
      </c>
      <c r="D240" s="64" t="s">
        <v>111</v>
      </c>
      <c r="E240" s="64" t="s">
        <v>112</v>
      </c>
      <c r="F240" s="64" t="s">
        <v>1445</v>
      </c>
      <c r="G240" s="54" t="s">
        <v>1376</v>
      </c>
      <c r="H240" s="64" t="s">
        <v>1842</v>
      </c>
    </row>
    <row r="241" spans="2:8" x14ac:dyDescent="0.25">
      <c r="B241" s="57" t="s">
        <v>1843</v>
      </c>
      <c r="C241" s="63">
        <v>46193.442546296297</v>
      </c>
      <c r="D241" s="64" t="s">
        <v>109</v>
      </c>
      <c r="E241" s="64" t="s">
        <v>110</v>
      </c>
      <c r="F241" s="64" t="s">
        <v>1445</v>
      </c>
      <c r="G241" s="54" t="s">
        <v>1376</v>
      </c>
      <c r="H241" s="64" t="s">
        <v>1844</v>
      </c>
    </row>
    <row r="242" spans="2:8" x14ac:dyDescent="0.25">
      <c r="B242" s="57" t="s">
        <v>1845</v>
      </c>
      <c r="C242" s="63">
        <v>46193.702337962961</v>
      </c>
      <c r="D242" s="64" t="s">
        <v>109</v>
      </c>
      <c r="E242" s="64" t="s">
        <v>110</v>
      </c>
      <c r="F242" s="64" t="s">
        <v>1445</v>
      </c>
      <c r="G242" s="54" t="s">
        <v>1376</v>
      </c>
      <c r="H242" s="64" t="s">
        <v>1846</v>
      </c>
    </row>
    <row r="243" spans="2:8" x14ac:dyDescent="0.25">
      <c r="B243" s="57" t="s">
        <v>1847</v>
      </c>
      <c r="C243" s="63">
        <v>46195.384791666656</v>
      </c>
      <c r="D243" s="64" t="s">
        <v>105</v>
      </c>
      <c r="E243" s="64" t="s">
        <v>106</v>
      </c>
      <c r="F243" s="64" t="s">
        <v>1375</v>
      </c>
      <c r="G243" s="54" t="s">
        <v>1376</v>
      </c>
      <c r="H243" s="64" t="s">
        <v>1848</v>
      </c>
    </row>
    <row r="244" spans="2:8" x14ac:dyDescent="0.25">
      <c r="B244" s="57" t="s">
        <v>1849</v>
      </c>
      <c r="C244" s="63">
        <v>46195.431018518517</v>
      </c>
      <c r="D244" s="64" t="s">
        <v>107</v>
      </c>
      <c r="E244" s="64" t="s">
        <v>108</v>
      </c>
      <c r="F244" s="64" t="s">
        <v>1375</v>
      </c>
      <c r="G244" s="54" t="s">
        <v>1376</v>
      </c>
      <c r="H244" s="64" t="s">
        <v>1850</v>
      </c>
    </row>
    <row r="245" spans="2:8" x14ac:dyDescent="0.25">
      <c r="B245" s="57" t="s">
        <v>1851</v>
      </c>
      <c r="C245" s="63">
        <v>46195.504988425928</v>
      </c>
      <c r="D245" s="64" t="s">
        <v>111</v>
      </c>
      <c r="E245" s="64" t="s">
        <v>112</v>
      </c>
      <c r="F245" s="64" t="s">
        <v>1445</v>
      </c>
      <c r="G245" s="54" t="s">
        <v>1376</v>
      </c>
      <c r="H245" s="64" t="s">
        <v>1852</v>
      </c>
    </row>
    <row r="246" spans="2:8" x14ac:dyDescent="0.25">
      <c r="B246" s="57" t="s">
        <v>1853</v>
      </c>
      <c r="C246" s="63">
        <v>46195.713356481479</v>
      </c>
      <c r="D246" s="64" t="s">
        <v>109</v>
      </c>
      <c r="E246" s="64" t="s">
        <v>110</v>
      </c>
      <c r="F246" s="64" t="s">
        <v>1445</v>
      </c>
      <c r="G246" s="54" t="s">
        <v>1376</v>
      </c>
      <c r="H246" s="64" t="s">
        <v>1854</v>
      </c>
    </row>
    <row r="247" spans="2:8" x14ac:dyDescent="0.25">
      <c r="B247" s="57" t="s">
        <v>1855</v>
      </c>
      <c r="C247" s="63">
        <v>46196.449953703697</v>
      </c>
      <c r="D247" s="64" t="s">
        <v>105</v>
      </c>
      <c r="E247" s="64" t="s">
        <v>106</v>
      </c>
      <c r="F247" s="64" t="s">
        <v>1375</v>
      </c>
      <c r="G247" s="54" t="s">
        <v>1376</v>
      </c>
      <c r="H247" s="64" t="s">
        <v>1856</v>
      </c>
    </row>
    <row r="248" spans="2:8" x14ac:dyDescent="0.25">
      <c r="B248" s="57" t="s">
        <v>1857</v>
      </c>
      <c r="C248" s="63">
        <v>46196.689745370371</v>
      </c>
      <c r="D248" s="64" t="s">
        <v>111</v>
      </c>
      <c r="E248" s="64" t="s">
        <v>112</v>
      </c>
      <c r="F248" s="64" t="s">
        <v>1445</v>
      </c>
      <c r="G248" s="54" t="s">
        <v>1376</v>
      </c>
      <c r="H248" s="64" t="s">
        <v>1858</v>
      </c>
    </row>
    <row r="249" spans="2:8" x14ac:dyDescent="0.25">
      <c r="B249" s="57" t="s">
        <v>1859</v>
      </c>
      <c r="C249" s="63">
        <v>46197.463912037027</v>
      </c>
      <c r="D249" s="64" t="s">
        <v>109</v>
      </c>
      <c r="E249" s="64" t="s">
        <v>110</v>
      </c>
      <c r="F249" s="64" t="s">
        <v>1445</v>
      </c>
      <c r="G249" s="54" t="s">
        <v>1376</v>
      </c>
      <c r="H249" s="64" t="s">
        <v>1860</v>
      </c>
    </row>
    <row r="250" spans="2:8" x14ac:dyDescent="0.25">
      <c r="B250" s="57" t="s">
        <v>1861</v>
      </c>
      <c r="C250" s="63">
        <v>46197.590104166673</v>
      </c>
      <c r="D250" s="64" t="s">
        <v>109</v>
      </c>
      <c r="E250" s="64" t="s">
        <v>110</v>
      </c>
      <c r="F250" s="64" t="s">
        <v>1445</v>
      </c>
      <c r="G250" s="54" t="s">
        <v>1376</v>
      </c>
      <c r="H250" s="64" t="s">
        <v>1862</v>
      </c>
    </row>
    <row r="251" spans="2:8" x14ac:dyDescent="0.25">
      <c r="B251" s="57" t="s">
        <v>1863</v>
      </c>
      <c r="C251" s="63">
        <v>46197.675046296303</v>
      </c>
      <c r="D251" s="64" t="s">
        <v>105</v>
      </c>
      <c r="E251" s="64" t="s">
        <v>106</v>
      </c>
      <c r="F251" s="64" t="s">
        <v>1375</v>
      </c>
      <c r="G251" s="54" t="s">
        <v>1376</v>
      </c>
      <c r="H251" s="64" t="s">
        <v>1864</v>
      </c>
    </row>
    <row r="252" spans="2:8" x14ac:dyDescent="0.25">
      <c r="B252" s="57" t="s">
        <v>1865</v>
      </c>
      <c r="C252" s="63">
        <v>46198.451597222222</v>
      </c>
      <c r="D252" s="64" t="s">
        <v>107</v>
      </c>
      <c r="E252" s="64" t="s">
        <v>108</v>
      </c>
      <c r="F252" s="64" t="s">
        <v>1375</v>
      </c>
      <c r="G252" s="54" t="s">
        <v>1376</v>
      </c>
      <c r="H252" s="64" t="s">
        <v>1866</v>
      </c>
    </row>
    <row r="253" spans="2:8" x14ac:dyDescent="0.25">
      <c r="B253" s="57" t="s">
        <v>1867</v>
      </c>
      <c r="C253" s="63">
        <v>46198.537847222222</v>
      </c>
      <c r="D253" s="64" t="s">
        <v>111</v>
      </c>
      <c r="E253" s="64" t="s">
        <v>112</v>
      </c>
      <c r="F253" s="64" t="s">
        <v>1445</v>
      </c>
      <c r="G253" s="54" t="s">
        <v>1376</v>
      </c>
      <c r="H253" s="64" t="s">
        <v>1868</v>
      </c>
    </row>
    <row r="254" spans="2:8" x14ac:dyDescent="0.25">
      <c r="B254" s="57" t="s">
        <v>1869</v>
      </c>
      <c r="C254" s="63">
        <v>46198.555960648147</v>
      </c>
      <c r="D254" s="64" t="s">
        <v>109</v>
      </c>
      <c r="E254" s="64" t="s">
        <v>110</v>
      </c>
      <c r="F254" s="64" t="s">
        <v>1445</v>
      </c>
      <c r="G254" s="54" t="s">
        <v>1376</v>
      </c>
      <c r="H254" s="64" t="s">
        <v>1870</v>
      </c>
    </row>
    <row r="255" spans="2:8" x14ac:dyDescent="0.25">
      <c r="B255" s="57" t="s">
        <v>1871</v>
      </c>
      <c r="C255" s="63">
        <v>46199.591284722221</v>
      </c>
      <c r="D255" s="64" t="s">
        <v>109</v>
      </c>
      <c r="E255" s="64" t="s">
        <v>110</v>
      </c>
      <c r="F255" s="64" t="s">
        <v>1445</v>
      </c>
      <c r="G255" s="54" t="s">
        <v>1376</v>
      </c>
      <c r="H255" s="64" t="s">
        <v>1872</v>
      </c>
    </row>
    <row r="256" spans="2:8" x14ac:dyDescent="0.25">
      <c r="B256" s="57" t="s">
        <v>1873</v>
      </c>
      <c r="C256" s="63">
        <v>46199.654502314806</v>
      </c>
      <c r="D256" s="64" t="s">
        <v>109</v>
      </c>
      <c r="E256" s="64" t="s">
        <v>110</v>
      </c>
      <c r="F256" s="64" t="s">
        <v>1445</v>
      </c>
      <c r="G256" s="54" t="s">
        <v>1376</v>
      </c>
      <c r="H256" s="64" t="s">
        <v>1874</v>
      </c>
    </row>
    <row r="257" spans="2:8" x14ac:dyDescent="0.25">
      <c r="B257" s="57" t="s">
        <v>1875</v>
      </c>
      <c r="C257" s="63">
        <v>46200.354224537034</v>
      </c>
      <c r="D257" s="64" t="s">
        <v>109</v>
      </c>
      <c r="E257" s="64" t="s">
        <v>110</v>
      </c>
      <c r="F257" s="64" t="s">
        <v>1445</v>
      </c>
      <c r="G257" s="54" t="s">
        <v>1376</v>
      </c>
      <c r="H257" s="64" t="s">
        <v>1876</v>
      </c>
    </row>
    <row r="258" spans="2:8" x14ac:dyDescent="0.25">
      <c r="B258" s="57" t="s">
        <v>1877</v>
      </c>
      <c r="C258" s="63">
        <v>46200.364930555559</v>
      </c>
      <c r="D258" s="64" t="s">
        <v>111</v>
      </c>
      <c r="E258" s="64" t="s">
        <v>112</v>
      </c>
      <c r="F258" s="64" t="s">
        <v>1445</v>
      </c>
      <c r="G258" s="54" t="s">
        <v>1376</v>
      </c>
      <c r="H258" s="64" t="s">
        <v>1878</v>
      </c>
    </row>
    <row r="259" spans="2:8" x14ac:dyDescent="0.25">
      <c r="B259" s="57" t="s">
        <v>1879</v>
      </c>
      <c r="C259" s="63">
        <v>46202.505347222221</v>
      </c>
      <c r="D259" s="64" t="s">
        <v>111</v>
      </c>
      <c r="E259" s="64" t="s">
        <v>112</v>
      </c>
      <c r="F259" s="64" t="s">
        <v>1445</v>
      </c>
      <c r="G259" s="54" t="s">
        <v>1376</v>
      </c>
      <c r="H259" s="64" t="s">
        <v>1880</v>
      </c>
    </row>
    <row r="260" spans="2:8" x14ac:dyDescent="0.25">
      <c r="B260" s="57" t="s">
        <v>1881</v>
      </c>
      <c r="C260" s="63">
        <v>46202.575879629629</v>
      </c>
      <c r="D260" s="64" t="s">
        <v>111</v>
      </c>
      <c r="E260" s="64" t="s">
        <v>112</v>
      </c>
      <c r="F260" s="64" t="s">
        <v>1445</v>
      </c>
      <c r="G260" s="54" t="s">
        <v>1376</v>
      </c>
      <c r="H260" s="64" t="s">
        <v>1882</v>
      </c>
    </row>
    <row r="261" spans="2:8" x14ac:dyDescent="0.25">
      <c r="B261" s="57" t="s">
        <v>1883</v>
      </c>
      <c r="C261" s="63">
        <v>46203.33761574074</v>
      </c>
      <c r="D261" s="64" t="s">
        <v>109</v>
      </c>
      <c r="E261" s="64" t="s">
        <v>110</v>
      </c>
      <c r="F261" s="64" t="s">
        <v>1445</v>
      </c>
      <c r="G261" s="54" t="s">
        <v>1376</v>
      </c>
      <c r="H261" s="64" t="s">
        <v>1884</v>
      </c>
    </row>
    <row r="262" spans="2:8" x14ac:dyDescent="0.25">
      <c r="B262" s="57" t="s">
        <v>1885</v>
      </c>
      <c r="C262" s="63">
        <v>46203.649884259263</v>
      </c>
      <c r="D262" s="64" t="s">
        <v>109</v>
      </c>
      <c r="E262" s="64" t="s">
        <v>110</v>
      </c>
      <c r="F262" s="64" t="s">
        <v>1445</v>
      </c>
      <c r="G262" s="54" t="s">
        <v>1376</v>
      </c>
      <c r="H262" s="64" t="s">
        <v>1886</v>
      </c>
    </row>
    <row r="263" spans="2:8" x14ac:dyDescent="0.25">
      <c r="B263" s="57" t="s">
        <v>1887</v>
      </c>
      <c r="C263" s="63">
        <v>46203.660601851851</v>
      </c>
      <c r="D263" s="64" t="s">
        <v>109</v>
      </c>
      <c r="E263" s="64" t="s">
        <v>110</v>
      </c>
      <c r="F263" s="64" t="s">
        <v>1445</v>
      </c>
      <c r="G263" s="54" t="s">
        <v>1376</v>
      </c>
      <c r="H263" s="64" t="s">
        <v>1888</v>
      </c>
    </row>
    <row r="264" spans="2:8" x14ac:dyDescent="0.25">
      <c r="B264" s="57" t="s">
        <v>1889</v>
      </c>
      <c r="C264" s="63">
        <v>46203.660682870373</v>
      </c>
      <c r="D264" s="64" t="s">
        <v>111</v>
      </c>
      <c r="E264" s="64" t="s">
        <v>112</v>
      </c>
      <c r="F264" s="64" t="s">
        <v>1445</v>
      </c>
      <c r="G264" s="54" t="s">
        <v>1376</v>
      </c>
      <c r="H264" s="64" t="s">
        <v>1890</v>
      </c>
    </row>
    <row r="265" spans="2:8" x14ac:dyDescent="0.25">
      <c r="B265" s="57" t="s">
        <v>1891</v>
      </c>
      <c r="C265" s="63">
        <v>46204.437951388893</v>
      </c>
      <c r="D265" s="64" t="s">
        <v>109</v>
      </c>
      <c r="E265" s="64" t="s">
        <v>110</v>
      </c>
      <c r="F265" s="64" t="s">
        <v>1445</v>
      </c>
      <c r="G265" s="54" t="s">
        <v>1376</v>
      </c>
      <c r="H265" s="64" t="s">
        <v>1892</v>
      </c>
    </row>
    <row r="266" spans="2:8" x14ac:dyDescent="0.25">
      <c r="B266" s="57" t="s">
        <v>1893</v>
      </c>
      <c r="C266" s="63">
        <v>46204.564953703702</v>
      </c>
      <c r="D266" s="64" t="s">
        <v>111</v>
      </c>
      <c r="E266" s="64" t="s">
        <v>112</v>
      </c>
      <c r="F266" s="64" t="s">
        <v>1445</v>
      </c>
      <c r="G266" s="54" t="s">
        <v>1376</v>
      </c>
      <c r="H266" s="64" t="s">
        <v>1894</v>
      </c>
    </row>
    <row r="267" spans="2:8" x14ac:dyDescent="0.25">
      <c r="B267" s="57" t="s">
        <v>1895</v>
      </c>
      <c r="C267" s="63">
        <v>46204.623159722221</v>
      </c>
      <c r="D267" s="64" t="s">
        <v>111</v>
      </c>
      <c r="E267" s="64" t="s">
        <v>112</v>
      </c>
      <c r="F267" s="64" t="s">
        <v>1445</v>
      </c>
      <c r="G267" s="54" t="s">
        <v>1376</v>
      </c>
      <c r="H267" s="64" t="s">
        <v>1896</v>
      </c>
    </row>
    <row r="268" spans="2:8" x14ac:dyDescent="0.25">
      <c r="B268" s="57" t="s">
        <v>1897</v>
      </c>
      <c r="C268" s="63">
        <v>46205.692650462966</v>
      </c>
      <c r="D268" s="64" t="s">
        <v>111</v>
      </c>
      <c r="E268" s="64" t="s">
        <v>112</v>
      </c>
      <c r="F268" s="64" t="s">
        <v>1445</v>
      </c>
      <c r="G268" s="54" t="s">
        <v>1376</v>
      </c>
      <c r="H268" s="64" t="s">
        <v>1898</v>
      </c>
    </row>
    <row r="269" spans="2:8" x14ac:dyDescent="0.25">
      <c r="B269" s="57" t="s">
        <v>1899</v>
      </c>
      <c r="C269" s="63">
        <v>46206.467187499999</v>
      </c>
      <c r="D269" s="64" t="s">
        <v>111</v>
      </c>
      <c r="E269" s="64" t="s">
        <v>112</v>
      </c>
      <c r="F269" s="64" t="s">
        <v>1445</v>
      </c>
      <c r="G269" s="54" t="s">
        <v>1376</v>
      </c>
      <c r="H269" s="64" t="s">
        <v>1900</v>
      </c>
    </row>
    <row r="270" spans="2:8" x14ac:dyDescent="0.25">
      <c r="B270" s="57" t="s">
        <v>1901</v>
      </c>
      <c r="C270" s="63">
        <v>46206.65861111111</v>
      </c>
      <c r="D270" s="64" t="s">
        <v>109</v>
      </c>
      <c r="E270" s="64" t="s">
        <v>110</v>
      </c>
      <c r="F270" s="64" t="s">
        <v>1445</v>
      </c>
      <c r="G270" s="54" t="s">
        <v>1376</v>
      </c>
      <c r="H270" s="64" t="s">
        <v>1902</v>
      </c>
    </row>
    <row r="271" spans="2:8" x14ac:dyDescent="0.25">
      <c r="B271" s="57" t="s">
        <v>1903</v>
      </c>
      <c r="C271" s="63">
        <v>46207.581666666672</v>
      </c>
      <c r="D271" s="64" t="s">
        <v>109</v>
      </c>
      <c r="E271" s="64" t="s">
        <v>110</v>
      </c>
      <c r="F271" s="64" t="s">
        <v>1445</v>
      </c>
      <c r="G271" s="54" t="s">
        <v>1376</v>
      </c>
      <c r="H271" s="64" t="s">
        <v>1904</v>
      </c>
    </row>
    <row r="272" spans="2:8" x14ac:dyDescent="0.25">
      <c r="B272" s="57" t="s">
        <v>1905</v>
      </c>
      <c r="C272" s="63">
        <v>46207.625277777777</v>
      </c>
      <c r="D272" s="64" t="s">
        <v>111</v>
      </c>
      <c r="E272" s="64" t="s">
        <v>112</v>
      </c>
      <c r="F272" s="64" t="s">
        <v>1445</v>
      </c>
      <c r="G272" s="54" t="s">
        <v>1376</v>
      </c>
      <c r="H272" s="64" t="s">
        <v>1906</v>
      </c>
    </row>
    <row r="273" spans="2:8" x14ac:dyDescent="0.25">
      <c r="B273" s="57" t="s">
        <v>1907</v>
      </c>
      <c r="C273" s="63">
        <v>46209.520868055559</v>
      </c>
      <c r="D273" s="64" t="s">
        <v>111</v>
      </c>
      <c r="E273" s="64" t="s">
        <v>112</v>
      </c>
      <c r="F273" s="64" t="s">
        <v>1445</v>
      </c>
      <c r="G273" s="54" t="s">
        <v>1376</v>
      </c>
      <c r="H273" s="64" t="s">
        <v>1908</v>
      </c>
    </row>
    <row r="274" spans="2:8" x14ac:dyDescent="0.25">
      <c r="B274" s="57" t="s">
        <v>1909</v>
      </c>
      <c r="C274" s="63">
        <v>46209.656180555547</v>
      </c>
      <c r="D274" s="64" t="s">
        <v>111</v>
      </c>
      <c r="E274" s="64" t="s">
        <v>112</v>
      </c>
      <c r="F274" s="64" t="s">
        <v>1445</v>
      </c>
      <c r="G274" s="54" t="s">
        <v>1376</v>
      </c>
      <c r="H274" s="64" t="s">
        <v>1910</v>
      </c>
    </row>
    <row r="275" spans="2:8" x14ac:dyDescent="0.25">
      <c r="B275" s="57" t="s">
        <v>1911</v>
      </c>
      <c r="C275" s="63">
        <v>46209.681446759263</v>
      </c>
      <c r="D275" s="64" t="s">
        <v>111</v>
      </c>
      <c r="E275" s="64" t="s">
        <v>112</v>
      </c>
      <c r="F275" s="64" t="s">
        <v>1445</v>
      </c>
      <c r="G275" s="54" t="s">
        <v>1376</v>
      </c>
      <c r="H275" s="64" t="s">
        <v>1912</v>
      </c>
    </row>
    <row r="276" spans="2:8" x14ac:dyDescent="0.25">
      <c r="B276" s="57" t="s">
        <v>1913</v>
      </c>
      <c r="C276" s="63">
        <v>46210.568553240737</v>
      </c>
      <c r="D276" s="64" t="s">
        <v>105</v>
      </c>
      <c r="E276" s="64" t="s">
        <v>106</v>
      </c>
      <c r="F276" s="64" t="s">
        <v>1375</v>
      </c>
      <c r="G276" s="54" t="s">
        <v>1376</v>
      </c>
      <c r="H276" s="64" t="s">
        <v>1914</v>
      </c>
    </row>
    <row r="277" spans="2:8" x14ac:dyDescent="0.25">
      <c r="B277" s="57" t="s">
        <v>1915</v>
      </c>
      <c r="C277" s="63">
        <v>46210.586053240739</v>
      </c>
      <c r="D277" s="64" t="s">
        <v>109</v>
      </c>
      <c r="E277" s="64" t="s">
        <v>110</v>
      </c>
      <c r="F277" s="64" t="s">
        <v>1445</v>
      </c>
      <c r="G277" s="54" t="s">
        <v>1376</v>
      </c>
      <c r="H277" s="64" t="s">
        <v>1916</v>
      </c>
    </row>
    <row r="278" spans="2:8" x14ac:dyDescent="0.25">
      <c r="B278" s="57" t="s">
        <v>1917</v>
      </c>
      <c r="C278" s="63">
        <v>46211.341354166667</v>
      </c>
      <c r="D278" s="64" t="s">
        <v>111</v>
      </c>
      <c r="E278" s="64" t="s">
        <v>112</v>
      </c>
      <c r="F278" s="64" t="s">
        <v>1445</v>
      </c>
      <c r="G278" s="54" t="s">
        <v>1376</v>
      </c>
      <c r="H278" s="64" t="s">
        <v>1918</v>
      </c>
    </row>
    <row r="279" spans="2:8" x14ac:dyDescent="0.25">
      <c r="B279" s="57" t="s">
        <v>1919</v>
      </c>
      <c r="C279" s="63">
        <v>46211.376840277779</v>
      </c>
      <c r="D279" s="64" t="s">
        <v>109</v>
      </c>
      <c r="E279" s="64" t="s">
        <v>110</v>
      </c>
      <c r="F279" s="64" t="s">
        <v>1445</v>
      </c>
      <c r="G279" s="54" t="s">
        <v>1376</v>
      </c>
      <c r="H279" s="64" t="s">
        <v>1920</v>
      </c>
    </row>
    <row r="280" spans="2:8" x14ac:dyDescent="0.25">
      <c r="B280" s="57" t="s">
        <v>1921</v>
      </c>
      <c r="C280" s="63">
        <v>46211.378750000003</v>
      </c>
      <c r="D280" s="64" t="s">
        <v>109</v>
      </c>
      <c r="E280" s="64" t="s">
        <v>110</v>
      </c>
      <c r="F280" s="64" t="s">
        <v>1445</v>
      </c>
      <c r="G280" s="54" t="s">
        <v>1376</v>
      </c>
      <c r="H280" s="64" t="s">
        <v>1922</v>
      </c>
    </row>
    <row r="281" spans="2:8" x14ac:dyDescent="0.25">
      <c r="B281" s="57" t="s">
        <v>1923</v>
      </c>
      <c r="C281" s="63">
        <v>46211.402083333327</v>
      </c>
      <c r="D281" s="64" t="s">
        <v>105</v>
      </c>
      <c r="E281" s="64" t="s">
        <v>106</v>
      </c>
      <c r="F281" s="64" t="s">
        <v>1375</v>
      </c>
      <c r="G281" s="54" t="s">
        <v>1376</v>
      </c>
      <c r="H281" s="64" t="s">
        <v>1924</v>
      </c>
    </row>
    <row r="282" spans="2:8" x14ac:dyDescent="0.25">
      <c r="B282" s="57" t="s">
        <v>1925</v>
      </c>
      <c r="C282" s="63">
        <v>46212.406863425917</v>
      </c>
      <c r="D282" s="64" t="s">
        <v>109</v>
      </c>
      <c r="E282" s="64" t="s">
        <v>110</v>
      </c>
      <c r="F282" s="64" t="s">
        <v>1445</v>
      </c>
      <c r="G282" s="54" t="s">
        <v>1376</v>
      </c>
      <c r="H282" s="64" t="s">
        <v>1926</v>
      </c>
    </row>
    <row r="283" spans="2:8" x14ac:dyDescent="0.25">
      <c r="B283" s="57" t="s">
        <v>1927</v>
      </c>
      <c r="C283" s="63">
        <v>46212.646967592591</v>
      </c>
      <c r="D283" s="64" t="s">
        <v>109</v>
      </c>
      <c r="E283" s="64" t="s">
        <v>110</v>
      </c>
      <c r="F283" s="64" t="s">
        <v>1445</v>
      </c>
      <c r="G283" s="54" t="s">
        <v>1376</v>
      </c>
      <c r="H283" s="64" t="s">
        <v>1928</v>
      </c>
    </row>
    <row r="284" spans="2:8" x14ac:dyDescent="0.25">
      <c r="B284" s="57" t="s">
        <v>1929</v>
      </c>
      <c r="C284" s="63">
        <v>46213.376273148147</v>
      </c>
      <c r="D284" s="64" t="s">
        <v>111</v>
      </c>
      <c r="E284" s="64" t="s">
        <v>112</v>
      </c>
      <c r="F284" s="64" t="s">
        <v>1445</v>
      </c>
      <c r="G284" s="54" t="s">
        <v>1376</v>
      </c>
      <c r="H284" s="64" t="s">
        <v>1930</v>
      </c>
    </row>
    <row r="285" spans="2:8" x14ac:dyDescent="0.25">
      <c r="B285" s="57" t="s">
        <v>1931</v>
      </c>
      <c r="C285" s="63">
        <v>46213.650370370371</v>
      </c>
      <c r="D285" s="64" t="s">
        <v>109</v>
      </c>
      <c r="E285" s="64" t="s">
        <v>110</v>
      </c>
      <c r="F285" s="64" t="s">
        <v>1445</v>
      </c>
      <c r="G285" s="54" t="s">
        <v>1376</v>
      </c>
      <c r="H285" s="64" t="s">
        <v>1932</v>
      </c>
    </row>
    <row r="286" spans="2:8" x14ac:dyDescent="0.25">
      <c r="B286" s="57" t="s">
        <v>1933</v>
      </c>
      <c r="C286" s="63">
        <v>46213.707592592589</v>
      </c>
      <c r="D286" s="64" t="s">
        <v>111</v>
      </c>
      <c r="E286" s="64" t="s">
        <v>112</v>
      </c>
      <c r="F286" s="64" t="s">
        <v>1445</v>
      </c>
      <c r="G286" s="54" t="s">
        <v>1376</v>
      </c>
      <c r="H286" s="64" t="s">
        <v>1934</v>
      </c>
    </row>
    <row r="287" spans="2:8" x14ac:dyDescent="0.25">
      <c r="B287" s="57" t="s">
        <v>1935</v>
      </c>
      <c r="C287" s="63">
        <v>46214.465208333328</v>
      </c>
      <c r="D287" s="64" t="s">
        <v>109</v>
      </c>
      <c r="E287" s="64" t="s">
        <v>110</v>
      </c>
      <c r="F287" s="64" t="s">
        <v>1445</v>
      </c>
      <c r="G287" s="54" t="s">
        <v>1376</v>
      </c>
      <c r="H287" s="64" t="s">
        <v>1936</v>
      </c>
    </row>
    <row r="288" spans="2:8" x14ac:dyDescent="0.25">
      <c r="B288" s="57" t="s">
        <v>1937</v>
      </c>
      <c r="C288" s="63">
        <v>46214.67864583333</v>
      </c>
      <c r="D288" s="64" t="s">
        <v>111</v>
      </c>
      <c r="E288" s="64" t="s">
        <v>112</v>
      </c>
      <c r="F288" s="64" t="s">
        <v>1445</v>
      </c>
      <c r="G288" s="54" t="s">
        <v>1376</v>
      </c>
      <c r="H288" s="64" t="s">
        <v>1938</v>
      </c>
    </row>
    <row r="289" spans="2:8" x14ac:dyDescent="0.25">
      <c r="B289" s="57" t="s">
        <v>1939</v>
      </c>
      <c r="C289" s="63">
        <v>46214.681192129632</v>
      </c>
      <c r="D289" s="64" t="s">
        <v>109</v>
      </c>
      <c r="E289" s="64" t="s">
        <v>110</v>
      </c>
      <c r="F289" s="64" t="s">
        <v>1445</v>
      </c>
      <c r="G289" s="54" t="s">
        <v>1376</v>
      </c>
      <c r="H289" s="64" t="s">
        <v>1940</v>
      </c>
    </row>
    <row r="290" spans="2:8" x14ac:dyDescent="0.25">
      <c r="B290" s="57" t="s">
        <v>1941</v>
      </c>
      <c r="C290" s="63">
        <v>46216.318773148138</v>
      </c>
      <c r="D290" s="64" t="s">
        <v>111</v>
      </c>
      <c r="E290" s="64" t="s">
        <v>112</v>
      </c>
      <c r="F290" s="64" t="s">
        <v>1445</v>
      </c>
      <c r="G290" s="54" t="s">
        <v>1376</v>
      </c>
      <c r="H290" s="64" t="s">
        <v>1942</v>
      </c>
    </row>
    <row r="291" spans="2:8" x14ac:dyDescent="0.25">
      <c r="B291" s="57" t="s">
        <v>1943</v>
      </c>
      <c r="C291" s="63">
        <v>46216.370208333326</v>
      </c>
      <c r="D291" s="64" t="s">
        <v>111</v>
      </c>
      <c r="E291" s="64" t="s">
        <v>112</v>
      </c>
      <c r="F291" s="64" t="s">
        <v>1445</v>
      </c>
      <c r="G291" s="54" t="s">
        <v>1376</v>
      </c>
      <c r="H291" s="64" t="s">
        <v>1944</v>
      </c>
    </row>
    <row r="292" spans="2:8" x14ac:dyDescent="0.25">
      <c r="B292" s="57" t="s">
        <v>1945</v>
      </c>
      <c r="C292" s="63">
        <v>46216.711342592593</v>
      </c>
      <c r="D292" s="64" t="s">
        <v>111</v>
      </c>
      <c r="E292" s="64" t="s">
        <v>112</v>
      </c>
      <c r="F292" s="64" t="s">
        <v>1445</v>
      </c>
      <c r="G292" s="54" t="s">
        <v>1376</v>
      </c>
      <c r="H292" s="64" t="s">
        <v>1946</v>
      </c>
    </row>
    <row r="293" spans="2:8" x14ac:dyDescent="0.25">
      <c r="B293" s="57" t="s">
        <v>1947</v>
      </c>
      <c r="C293" s="63">
        <v>46217.453541666669</v>
      </c>
      <c r="D293" s="64" t="s">
        <v>109</v>
      </c>
      <c r="E293" s="64" t="s">
        <v>110</v>
      </c>
      <c r="F293" s="64" t="s">
        <v>1445</v>
      </c>
      <c r="G293" s="54" t="s">
        <v>1376</v>
      </c>
      <c r="H293" s="64" t="s">
        <v>1948</v>
      </c>
    </row>
    <row r="294" spans="2:8" x14ac:dyDescent="0.25">
      <c r="B294" s="57" t="s">
        <v>1949</v>
      </c>
      <c r="C294" s="63">
        <v>46217.519699074073</v>
      </c>
      <c r="D294" s="64" t="s">
        <v>109</v>
      </c>
      <c r="E294" s="64" t="s">
        <v>110</v>
      </c>
      <c r="F294" s="64" t="s">
        <v>1445</v>
      </c>
      <c r="G294" s="54" t="s">
        <v>1376</v>
      </c>
      <c r="H294" s="64" t="s">
        <v>1950</v>
      </c>
    </row>
    <row r="295" spans="2:8" x14ac:dyDescent="0.25">
      <c r="B295" s="57" t="s">
        <v>1951</v>
      </c>
      <c r="C295" s="63">
        <v>46217.542118055557</v>
      </c>
      <c r="D295" s="64" t="s">
        <v>109</v>
      </c>
      <c r="E295" s="64" t="s">
        <v>110</v>
      </c>
      <c r="F295" s="64" t="s">
        <v>1445</v>
      </c>
      <c r="G295" s="54" t="s">
        <v>1376</v>
      </c>
      <c r="H295" s="64" t="s">
        <v>1952</v>
      </c>
    </row>
    <row r="296" spans="2:8" x14ac:dyDescent="0.25">
      <c r="B296" s="57" t="s">
        <v>1953</v>
      </c>
      <c r="C296" s="63">
        <v>46218.544421296298</v>
      </c>
      <c r="D296" s="64" t="s">
        <v>109</v>
      </c>
      <c r="E296" s="64" t="s">
        <v>110</v>
      </c>
      <c r="F296" s="64" t="s">
        <v>1445</v>
      </c>
      <c r="G296" s="54" t="s">
        <v>1376</v>
      </c>
      <c r="H296" s="64" t="s">
        <v>1954</v>
      </c>
    </row>
    <row r="297" spans="2:8" x14ac:dyDescent="0.25">
      <c r="B297" s="57" t="s">
        <v>1955</v>
      </c>
      <c r="C297" s="63">
        <v>46218.548738425918</v>
      </c>
      <c r="D297" s="64" t="s">
        <v>109</v>
      </c>
      <c r="E297" s="64" t="s">
        <v>110</v>
      </c>
      <c r="F297" s="64" t="s">
        <v>1445</v>
      </c>
      <c r="G297" s="54" t="s">
        <v>1376</v>
      </c>
      <c r="H297" s="64" t="s">
        <v>1956</v>
      </c>
    </row>
    <row r="298" spans="2:8" x14ac:dyDescent="0.25">
      <c r="B298" s="57" t="s">
        <v>1957</v>
      </c>
      <c r="C298" s="63">
        <v>46218.618009259262</v>
      </c>
      <c r="D298" s="64" t="s">
        <v>111</v>
      </c>
      <c r="E298" s="64" t="s">
        <v>112</v>
      </c>
      <c r="F298" s="64" t="s">
        <v>1445</v>
      </c>
      <c r="G298" s="54" t="s">
        <v>1376</v>
      </c>
      <c r="H298" s="64" t="s">
        <v>1958</v>
      </c>
    </row>
    <row r="299" spans="2:8" x14ac:dyDescent="0.25">
      <c r="B299" s="57" t="s">
        <v>1959</v>
      </c>
      <c r="C299" s="63">
        <v>46219.365601851852</v>
      </c>
      <c r="D299" s="64" t="s">
        <v>109</v>
      </c>
      <c r="E299" s="64" t="s">
        <v>110</v>
      </c>
      <c r="F299" s="64" t="s">
        <v>1445</v>
      </c>
      <c r="G299" s="54" t="s">
        <v>1376</v>
      </c>
      <c r="H299" s="64" t="s">
        <v>1960</v>
      </c>
    </row>
    <row r="300" spans="2:8" x14ac:dyDescent="0.25">
      <c r="B300" s="57" t="s">
        <v>1961</v>
      </c>
      <c r="C300" s="63">
        <v>46219.600648148153</v>
      </c>
      <c r="D300" s="64" t="s">
        <v>111</v>
      </c>
      <c r="E300" s="64" t="s">
        <v>112</v>
      </c>
      <c r="F300" s="64" t="s">
        <v>1445</v>
      </c>
      <c r="G300" s="54" t="s">
        <v>1376</v>
      </c>
      <c r="H300" s="64" t="s">
        <v>1962</v>
      </c>
    </row>
    <row r="301" spans="2:8" x14ac:dyDescent="0.25">
      <c r="B301" s="57" t="s">
        <v>1963</v>
      </c>
      <c r="C301" s="63">
        <v>46220.590798611112</v>
      </c>
      <c r="D301" s="64" t="s">
        <v>109</v>
      </c>
      <c r="E301" s="64" t="s">
        <v>110</v>
      </c>
      <c r="F301" s="64" t="s">
        <v>1445</v>
      </c>
      <c r="G301" s="54" t="s">
        <v>1376</v>
      </c>
      <c r="H301" s="64" t="s">
        <v>1964</v>
      </c>
    </row>
    <row r="302" spans="2:8" x14ac:dyDescent="0.25">
      <c r="B302" s="57" t="s">
        <v>1965</v>
      </c>
      <c r="C302" s="63">
        <v>46221.720856481479</v>
      </c>
      <c r="D302" s="64" t="s">
        <v>105</v>
      </c>
      <c r="E302" s="64" t="s">
        <v>106</v>
      </c>
      <c r="F302" s="64" t="s">
        <v>1375</v>
      </c>
      <c r="G302" s="54" t="s">
        <v>1376</v>
      </c>
      <c r="H302" s="64" t="s">
        <v>1966</v>
      </c>
    </row>
    <row r="303" spans="2:8" x14ac:dyDescent="0.25">
      <c r="B303" s="57" t="s">
        <v>1967</v>
      </c>
      <c r="C303" s="63">
        <v>46221.728495370371</v>
      </c>
      <c r="D303" s="64" t="s">
        <v>109</v>
      </c>
      <c r="E303" s="64" t="s">
        <v>110</v>
      </c>
      <c r="F303" s="64" t="s">
        <v>1445</v>
      </c>
      <c r="G303" s="54" t="s">
        <v>1376</v>
      </c>
      <c r="H303" s="64" t="s">
        <v>1968</v>
      </c>
    </row>
    <row r="304" spans="2:8" x14ac:dyDescent="0.25">
      <c r="B304" s="57" t="s">
        <v>1969</v>
      </c>
      <c r="C304" s="63">
        <v>46223.57471064815</v>
      </c>
      <c r="D304" s="64" t="s">
        <v>105</v>
      </c>
      <c r="E304" s="64" t="s">
        <v>106</v>
      </c>
      <c r="F304" s="64" t="s">
        <v>1375</v>
      </c>
      <c r="G304" s="54" t="s">
        <v>1376</v>
      </c>
      <c r="H304" s="64" t="s">
        <v>1970</v>
      </c>
    </row>
    <row r="305" spans="2:8" x14ac:dyDescent="0.25">
      <c r="B305" s="57" t="s">
        <v>1971</v>
      </c>
      <c r="C305" s="63">
        <v>46223.612581018519</v>
      </c>
      <c r="D305" s="64" t="s">
        <v>111</v>
      </c>
      <c r="E305" s="64" t="s">
        <v>112</v>
      </c>
      <c r="F305" s="64" t="s">
        <v>1445</v>
      </c>
      <c r="G305" s="54" t="s">
        <v>1376</v>
      </c>
      <c r="H305" s="64" t="s">
        <v>1972</v>
      </c>
    </row>
    <row r="306" spans="2:8" x14ac:dyDescent="0.25">
      <c r="B306" s="57" t="s">
        <v>1973</v>
      </c>
      <c r="C306" s="63">
        <v>46223.640162037038</v>
      </c>
      <c r="D306" s="64" t="s">
        <v>109</v>
      </c>
      <c r="E306" s="64" t="s">
        <v>110</v>
      </c>
      <c r="F306" s="64" t="s">
        <v>1445</v>
      </c>
      <c r="G306" s="54" t="s">
        <v>1376</v>
      </c>
      <c r="H306" s="64" t="s">
        <v>1974</v>
      </c>
    </row>
    <row r="307" spans="2:8" x14ac:dyDescent="0.25">
      <c r="B307" s="57" t="s">
        <v>1975</v>
      </c>
      <c r="C307" s="63">
        <v>46224.347337962958</v>
      </c>
      <c r="D307" s="64" t="s">
        <v>109</v>
      </c>
      <c r="E307" s="64" t="s">
        <v>110</v>
      </c>
      <c r="F307" s="64" t="s">
        <v>1445</v>
      </c>
      <c r="G307" s="54" t="s">
        <v>1376</v>
      </c>
      <c r="H307" s="64" t="s">
        <v>1976</v>
      </c>
    </row>
    <row r="308" spans="2:8" x14ac:dyDescent="0.25">
      <c r="B308" s="57" t="s">
        <v>1977</v>
      </c>
      <c r="C308" s="63">
        <v>46224.507280092592</v>
      </c>
      <c r="D308" s="64" t="s">
        <v>111</v>
      </c>
      <c r="E308" s="64" t="s">
        <v>112</v>
      </c>
      <c r="F308" s="64" t="s">
        <v>1445</v>
      </c>
      <c r="G308" s="54" t="s">
        <v>1376</v>
      </c>
      <c r="H308" s="64" t="s">
        <v>1978</v>
      </c>
    </row>
    <row r="309" spans="2:8" x14ac:dyDescent="0.25">
      <c r="B309" s="57" t="s">
        <v>1979</v>
      </c>
      <c r="C309" s="63">
        <v>46224.609675925924</v>
      </c>
      <c r="D309" s="64" t="s">
        <v>111</v>
      </c>
      <c r="E309" s="64" t="s">
        <v>112</v>
      </c>
      <c r="F309" s="64" t="s">
        <v>1445</v>
      </c>
      <c r="G309" s="54" t="s">
        <v>1376</v>
      </c>
      <c r="H309" s="64" t="s">
        <v>1980</v>
      </c>
    </row>
    <row r="310" spans="2:8" x14ac:dyDescent="0.25">
      <c r="B310" s="57" t="s">
        <v>1981</v>
      </c>
      <c r="C310" s="63">
        <v>46225.411817129629</v>
      </c>
      <c r="D310" s="64" t="s">
        <v>111</v>
      </c>
      <c r="E310" s="64" t="s">
        <v>112</v>
      </c>
      <c r="F310" s="64" t="s">
        <v>1445</v>
      </c>
      <c r="G310" s="54" t="s">
        <v>1376</v>
      </c>
      <c r="H310" s="64" t="s">
        <v>1982</v>
      </c>
    </row>
    <row r="311" spans="2:8" x14ac:dyDescent="0.25">
      <c r="B311" s="57" t="s">
        <v>1983</v>
      </c>
      <c r="C311" s="63">
        <v>46225.581145833326</v>
      </c>
      <c r="D311" s="64" t="s">
        <v>109</v>
      </c>
      <c r="E311" s="64" t="s">
        <v>110</v>
      </c>
      <c r="F311" s="64" t="s">
        <v>1445</v>
      </c>
      <c r="G311" s="54" t="s">
        <v>1376</v>
      </c>
      <c r="H311" s="64" t="s">
        <v>1984</v>
      </c>
    </row>
    <row r="312" spans="2:8" x14ac:dyDescent="0.25">
      <c r="B312" s="57" t="s">
        <v>1985</v>
      </c>
      <c r="C312" s="63">
        <v>46225.690254629633</v>
      </c>
      <c r="D312" s="64" t="s">
        <v>105</v>
      </c>
      <c r="E312" s="64" t="s">
        <v>106</v>
      </c>
      <c r="F312" s="64" t="s">
        <v>1375</v>
      </c>
      <c r="G312" s="54" t="s">
        <v>1376</v>
      </c>
      <c r="H312" s="64" t="s">
        <v>1986</v>
      </c>
    </row>
    <row r="313" spans="2:8" x14ac:dyDescent="0.25">
      <c r="B313" s="57" t="s">
        <v>1987</v>
      </c>
      <c r="C313" s="63">
        <v>46226.381909722222</v>
      </c>
      <c r="D313" s="64" t="s">
        <v>111</v>
      </c>
      <c r="E313" s="64" t="s">
        <v>112</v>
      </c>
      <c r="F313" s="64" t="s">
        <v>1445</v>
      </c>
      <c r="G313" s="54" t="s">
        <v>1376</v>
      </c>
      <c r="H313" s="64" t="s">
        <v>1988</v>
      </c>
    </row>
    <row r="314" spans="2:8" x14ac:dyDescent="0.25">
      <c r="B314" s="57" t="s">
        <v>1989</v>
      </c>
      <c r="C314" s="63">
        <v>46227.314560185187</v>
      </c>
      <c r="D314" s="64" t="s">
        <v>109</v>
      </c>
      <c r="E314" s="64" t="s">
        <v>110</v>
      </c>
      <c r="F314" s="64" t="s">
        <v>1445</v>
      </c>
      <c r="G314" s="54" t="s">
        <v>1376</v>
      </c>
      <c r="H314" s="64" t="s">
        <v>1990</v>
      </c>
    </row>
    <row r="315" spans="2:8" x14ac:dyDescent="0.25">
      <c r="B315" s="57" t="s">
        <v>1991</v>
      </c>
      <c r="C315" s="63">
        <v>46227.592141203713</v>
      </c>
      <c r="D315" s="64" t="s">
        <v>111</v>
      </c>
      <c r="E315" s="64" t="s">
        <v>112</v>
      </c>
      <c r="F315" s="64" t="s">
        <v>1445</v>
      </c>
      <c r="G315" s="54" t="s">
        <v>1376</v>
      </c>
      <c r="H315" s="64" t="s">
        <v>1992</v>
      </c>
    </row>
    <row r="316" spans="2:8" x14ac:dyDescent="0.25">
      <c r="B316" s="57" t="s">
        <v>1993</v>
      </c>
      <c r="C316" s="63">
        <v>46227.643645833326</v>
      </c>
      <c r="D316" s="64" t="s">
        <v>111</v>
      </c>
      <c r="E316" s="64" t="s">
        <v>112</v>
      </c>
      <c r="F316" s="64" t="s">
        <v>1445</v>
      </c>
      <c r="G316" s="54" t="s">
        <v>1376</v>
      </c>
      <c r="H316" s="64" t="s">
        <v>1994</v>
      </c>
    </row>
    <row r="317" spans="2:8" x14ac:dyDescent="0.25">
      <c r="B317" s="57" t="s">
        <v>1995</v>
      </c>
      <c r="C317" s="63">
        <v>46227.692152777781</v>
      </c>
      <c r="D317" s="64" t="s">
        <v>111</v>
      </c>
      <c r="E317" s="64" t="s">
        <v>112</v>
      </c>
      <c r="F317" s="64" t="s">
        <v>1445</v>
      </c>
      <c r="G317" s="54" t="s">
        <v>1376</v>
      </c>
      <c r="H317" s="64" t="s">
        <v>1996</v>
      </c>
    </row>
    <row r="318" spans="2:8" x14ac:dyDescent="0.25">
      <c r="B318" s="57" t="s">
        <v>1997</v>
      </c>
      <c r="C318" s="63">
        <v>46228.330231481479</v>
      </c>
      <c r="D318" s="64" t="s">
        <v>111</v>
      </c>
      <c r="E318" s="64" t="s">
        <v>112</v>
      </c>
      <c r="F318" s="64" t="s">
        <v>1445</v>
      </c>
      <c r="G318" s="54" t="s">
        <v>1376</v>
      </c>
      <c r="H318" s="64" t="s">
        <v>1998</v>
      </c>
    </row>
    <row r="319" spans="2:8" x14ac:dyDescent="0.25">
      <c r="B319" s="57" t="s">
        <v>1999</v>
      </c>
      <c r="C319" s="63">
        <v>46228.386770833327</v>
      </c>
      <c r="D319" s="64" t="s">
        <v>111</v>
      </c>
      <c r="E319" s="64" t="s">
        <v>112</v>
      </c>
      <c r="F319" s="64" t="s">
        <v>1445</v>
      </c>
      <c r="G319" s="54" t="s">
        <v>1376</v>
      </c>
      <c r="H319" s="64" t="s">
        <v>2000</v>
      </c>
    </row>
    <row r="320" spans="2:8" x14ac:dyDescent="0.25">
      <c r="B320" s="57" t="s">
        <v>2001</v>
      </c>
      <c r="C320" s="63">
        <v>46228.416238425933</v>
      </c>
      <c r="D320" s="64" t="s">
        <v>111</v>
      </c>
      <c r="E320" s="64" t="s">
        <v>112</v>
      </c>
      <c r="F320" s="64" t="s">
        <v>1445</v>
      </c>
      <c r="G320" s="54" t="s">
        <v>1376</v>
      </c>
      <c r="H320" s="64" t="s">
        <v>2002</v>
      </c>
    </row>
    <row r="321" spans="2:8" x14ac:dyDescent="0.25">
      <c r="B321" s="57" t="s">
        <v>2003</v>
      </c>
      <c r="C321" s="63">
        <v>46230.387476851851</v>
      </c>
      <c r="D321" s="64" t="s">
        <v>105</v>
      </c>
      <c r="E321" s="64" t="s">
        <v>106</v>
      </c>
      <c r="F321" s="64" t="s">
        <v>1375</v>
      </c>
      <c r="G321" s="54" t="s">
        <v>1376</v>
      </c>
      <c r="H321" s="64" t="s">
        <v>2004</v>
      </c>
    </row>
    <row r="322" spans="2:8" x14ac:dyDescent="0.25">
      <c r="B322" s="57" t="s">
        <v>2005</v>
      </c>
      <c r="C322" s="63">
        <v>46230.415000000001</v>
      </c>
      <c r="D322" s="64" t="s">
        <v>107</v>
      </c>
      <c r="E322" s="64" t="s">
        <v>108</v>
      </c>
      <c r="F322" s="64" t="s">
        <v>1375</v>
      </c>
      <c r="G322" s="54" t="s">
        <v>1376</v>
      </c>
      <c r="H322" s="64" t="s">
        <v>2006</v>
      </c>
    </row>
    <row r="323" spans="2:8" x14ac:dyDescent="0.25">
      <c r="B323" s="57" t="s">
        <v>2007</v>
      </c>
      <c r="C323" s="63">
        <v>46230.446168981478</v>
      </c>
      <c r="D323" s="64" t="s">
        <v>105</v>
      </c>
      <c r="E323" s="64" t="s">
        <v>106</v>
      </c>
      <c r="F323" s="64" t="s">
        <v>1375</v>
      </c>
      <c r="G323" s="54" t="s">
        <v>1376</v>
      </c>
      <c r="H323" s="64" t="s">
        <v>2008</v>
      </c>
    </row>
    <row r="324" spans="2:8" x14ac:dyDescent="0.25">
      <c r="B324" s="57" t="s">
        <v>2009</v>
      </c>
      <c r="C324" s="63">
        <v>46230.497118055559</v>
      </c>
      <c r="D324" s="64" t="s">
        <v>111</v>
      </c>
      <c r="E324" s="64" t="s">
        <v>112</v>
      </c>
      <c r="F324" s="64" t="s">
        <v>1445</v>
      </c>
      <c r="G324" s="54" t="s">
        <v>1376</v>
      </c>
      <c r="H324" s="64" t="s">
        <v>2010</v>
      </c>
    </row>
    <row r="325" spans="2:8" x14ac:dyDescent="0.25">
      <c r="B325" s="57" t="s">
        <v>2011</v>
      </c>
      <c r="C325" s="63">
        <v>46230.707592592589</v>
      </c>
      <c r="D325" s="64" t="s">
        <v>109</v>
      </c>
      <c r="E325" s="64" t="s">
        <v>110</v>
      </c>
      <c r="F325" s="64" t="s">
        <v>1445</v>
      </c>
      <c r="G325" s="54" t="s">
        <v>1376</v>
      </c>
      <c r="H325" s="64" t="s">
        <v>2012</v>
      </c>
    </row>
    <row r="326" spans="2:8" x14ac:dyDescent="0.25">
      <c r="B326" s="57" t="s">
        <v>2013</v>
      </c>
      <c r="C326" s="63">
        <v>46230.70820601852</v>
      </c>
      <c r="D326" s="64" t="s">
        <v>109</v>
      </c>
      <c r="E326" s="64" t="s">
        <v>110</v>
      </c>
      <c r="F326" s="64" t="s">
        <v>1445</v>
      </c>
      <c r="G326" s="54" t="s">
        <v>1376</v>
      </c>
      <c r="H326" s="64" t="s">
        <v>2014</v>
      </c>
    </row>
    <row r="327" spans="2:8" x14ac:dyDescent="0.25">
      <c r="B327" s="57" t="s">
        <v>2015</v>
      </c>
      <c r="C327" s="63">
        <v>46231.688298611109</v>
      </c>
      <c r="D327" s="64" t="s">
        <v>109</v>
      </c>
      <c r="E327" s="64" t="s">
        <v>110</v>
      </c>
      <c r="F327" s="64" t="s">
        <v>1445</v>
      </c>
      <c r="G327" s="54" t="s">
        <v>1376</v>
      </c>
      <c r="H327" s="64" t="s">
        <v>2016</v>
      </c>
    </row>
    <row r="328" spans="2:8" x14ac:dyDescent="0.25">
      <c r="B328" s="57" t="s">
        <v>2017</v>
      </c>
      <c r="C328" s="63">
        <v>46232.402199074073</v>
      </c>
      <c r="D328" s="64" t="s">
        <v>111</v>
      </c>
      <c r="E328" s="64" t="s">
        <v>112</v>
      </c>
      <c r="F328" s="64" t="s">
        <v>1445</v>
      </c>
      <c r="G328" s="54" t="s">
        <v>1376</v>
      </c>
      <c r="H328" s="64" t="s">
        <v>2018</v>
      </c>
    </row>
    <row r="329" spans="2:8" x14ac:dyDescent="0.25">
      <c r="B329" s="57" t="s">
        <v>2019</v>
      </c>
      <c r="C329" s="63">
        <v>46232.686759259261</v>
      </c>
      <c r="D329" s="64" t="s">
        <v>109</v>
      </c>
      <c r="E329" s="64" t="s">
        <v>110</v>
      </c>
      <c r="F329" s="64" t="s">
        <v>1445</v>
      </c>
      <c r="G329" s="54" t="s">
        <v>1376</v>
      </c>
      <c r="H329" s="64" t="s">
        <v>2020</v>
      </c>
    </row>
    <row r="330" spans="2:8" x14ac:dyDescent="0.25">
      <c r="B330" s="57" t="s">
        <v>2021</v>
      </c>
      <c r="C330" s="63">
        <v>46233.331967592603</v>
      </c>
      <c r="D330" s="64" t="s">
        <v>105</v>
      </c>
      <c r="E330" s="64" t="s">
        <v>106</v>
      </c>
      <c r="F330" s="64" t="s">
        <v>1375</v>
      </c>
      <c r="G330" s="54" t="s">
        <v>1376</v>
      </c>
      <c r="H330" s="64" t="s">
        <v>2022</v>
      </c>
    </row>
    <row r="331" spans="2:8" x14ac:dyDescent="0.25">
      <c r="B331" s="57" t="s">
        <v>2023</v>
      </c>
      <c r="C331" s="63">
        <v>46233.389305555553</v>
      </c>
      <c r="D331" s="64" t="s">
        <v>109</v>
      </c>
      <c r="E331" s="64" t="s">
        <v>110</v>
      </c>
      <c r="F331" s="64" t="s">
        <v>1445</v>
      </c>
      <c r="G331" s="54" t="s">
        <v>1376</v>
      </c>
      <c r="H331" s="64" t="s">
        <v>2024</v>
      </c>
    </row>
    <row r="332" spans="2:8" x14ac:dyDescent="0.25">
      <c r="B332" s="57" t="s">
        <v>2025</v>
      </c>
      <c r="C332" s="63">
        <v>46233.589907407397</v>
      </c>
      <c r="D332" s="64" t="s">
        <v>109</v>
      </c>
      <c r="E332" s="64" t="s">
        <v>110</v>
      </c>
      <c r="F332" s="64" t="s">
        <v>1445</v>
      </c>
      <c r="G332" s="54" t="s">
        <v>1376</v>
      </c>
      <c r="H332" s="64" t="s">
        <v>2026</v>
      </c>
    </row>
    <row r="333" spans="2:8" x14ac:dyDescent="0.25">
      <c r="B333" s="57" t="s">
        <v>2027</v>
      </c>
      <c r="C333" s="63">
        <v>46233.602708333332</v>
      </c>
      <c r="D333" s="64" t="s">
        <v>111</v>
      </c>
      <c r="E333" s="64" t="s">
        <v>112</v>
      </c>
      <c r="F333" s="64" t="s">
        <v>1445</v>
      </c>
      <c r="G333" s="54" t="s">
        <v>1376</v>
      </c>
      <c r="H333" s="64" t="s">
        <v>2028</v>
      </c>
    </row>
    <row r="334" spans="2:8" x14ac:dyDescent="0.25">
      <c r="B334" s="57" t="s">
        <v>2029</v>
      </c>
      <c r="C334" s="63">
        <v>46234.317164351851</v>
      </c>
      <c r="D334" s="64" t="s">
        <v>105</v>
      </c>
      <c r="E334" s="64" t="s">
        <v>106</v>
      </c>
      <c r="F334" s="64" t="s">
        <v>1375</v>
      </c>
      <c r="G334" s="54" t="s">
        <v>1376</v>
      </c>
      <c r="H334" s="64" t="s">
        <v>2030</v>
      </c>
    </row>
    <row r="335" spans="2:8" x14ac:dyDescent="0.25">
      <c r="B335" s="57" t="s">
        <v>2031</v>
      </c>
      <c r="C335" s="63">
        <v>46234.680856481478</v>
      </c>
      <c r="D335" s="64" t="s">
        <v>109</v>
      </c>
      <c r="E335" s="64" t="s">
        <v>110</v>
      </c>
      <c r="F335" s="64" t="s">
        <v>1445</v>
      </c>
      <c r="G335" s="54" t="s">
        <v>1376</v>
      </c>
      <c r="H335" s="64" t="s">
        <v>2032</v>
      </c>
    </row>
    <row r="336" spans="2:8" x14ac:dyDescent="0.25">
      <c r="B336" s="57" t="s">
        <v>2033</v>
      </c>
      <c r="C336" s="63">
        <v>46234.693171296298</v>
      </c>
      <c r="D336" s="64" t="s">
        <v>109</v>
      </c>
      <c r="E336" s="64" t="s">
        <v>110</v>
      </c>
      <c r="F336" s="64" t="s">
        <v>1445</v>
      </c>
      <c r="G336" s="54" t="s">
        <v>1376</v>
      </c>
      <c r="H336" s="64" t="s">
        <v>2034</v>
      </c>
    </row>
    <row r="337" spans="2:8" x14ac:dyDescent="0.25">
      <c r="B337" s="57" t="s">
        <v>2035</v>
      </c>
      <c r="C337" s="63">
        <v>46235.437164351853</v>
      </c>
      <c r="D337" s="64" t="s">
        <v>105</v>
      </c>
      <c r="E337" s="64" t="s">
        <v>106</v>
      </c>
      <c r="F337" s="64" t="s">
        <v>1375</v>
      </c>
      <c r="G337" s="54" t="s">
        <v>1376</v>
      </c>
      <c r="H337" s="64" t="s">
        <v>2036</v>
      </c>
    </row>
    <row r="338" spans="2:8" x14ac:dyDescent="0.25">
      <c r="B338" s="57" t="s">
        <v>2037</v>
      </c>
      <c r="C338" s="63">
        <v>46235.574097222219</v>
      </c>
      <c r="D338" s="64" t="s">
        <v>109</v>
      </c>
      <c r="E338" s="64" t="s">
        <v>110</v>
      </c>
      <c r="F338" s="64" t="s">
        <v>1445</v>
      </c>
      <c r="G338" s="54" t="s">
        <v>1376</v>
      </c>
      <c r="H338" s="64" t="s">
        <v>2038</v>
      </c>
    </row>
    <row r="339" spans="2:8" x14ac:dyDescent="0.25">
      <c r="B339" s="57" t="s">
        <v>2039</v>
      </c>
      <c r="C339" s="63">
        <v>46235.588206018518</v>
      </c>
      <c r="D339" s="64" t="s">
        <v>111</v>
      </c>
      <c r="E339" s="64" t="s">
        <v>112</v>
      </c>
      <c r="F339" s="64" t="s">
        <v>1445</v>
      </c>
      <c r="G339" s="54" t="s">
        <v>1376</v>
      </c>
      <c r="H339" s="64" t="s">
        <v>2040</v>
      </c>
    </row>
    <row r="340" spans="2:8" x14ac:dyDescent="0.25">
      <c r="B340" s="57" t="s">
        <v>2041</v>
      </c>
      <c r="C340" s="63">
        <v>46235.644386574073</v>
      </c>
      <c r="D340" s="64" t="s">
        <v>109</v>
      </c>
      <c r="E340" s="64" t="s">
        <v>110</v>
      </c>
      <c r="F340" s="64" t="s">
        <v>1445</v>
      </c>
      <c r="G340" s="54" t="s">
        <v>1376</v>
      </c>
      <c r="H340" s="64" t="s">
        <v>2042</v>
      </c>
    </row>
    <row r="341" spans="2:8" x14ac:dyDescent="0.25">
      <c r="B341" s="57" t="s">
        <v>2043</v>
      </c>
      <c r="C341" s="63">
        <v>46237.40824074074</v>
      </c>
      <c r="D341" s="64" t="s">
        <v>105</v>
      </c>
      <c r="E341" s="64" t="s">
        <v>106</v>
      </c>
      <c r="F341" s="64" t="s">
        <v>1375</v>
      </c>
      <c r="G341" s="54" t="s">
        <v>1376</v>
      </c>
      <c r="H341" s="64" t="s">
        <v>2044</v>
      </c>
    </row>
    <row r="342" spans="2:8" x14ac:dyDescent="0.25">
      <c r="B342" s="57" t="s">
        <v>2045</v>
      </c>
      <c r="C342" s="63">
        <v>46237.675023148149</v>
      </c>
      <c r="D342" s="64" t="s">
        <v>111</v>
      </c>
      <c r="E342" s="64" t="s">
        <v>112</v>
      </c>
      <c r="F342" s="64" t="s">
        <v>1445</v>
      </c>
      <c r="G342" s="54" t="s">
        <v>1376</v>
      </c>
      <c r="H342" s="64" t="s">
        <v>2046</v>
      </c>
    </row>
    <row r="343" spans="2:8" x14ac:dyDescent="0.25">
      <c r="B343" s="57" t="s">
        <v>2047</v>
      </c>
      <c r="C343" s="63">
        <v>46237.701435185183</v>
      </c>
      <c r="D343" s="64" t="s">
        <v>109</v>
      </c>
      <c r="E343" s="64" t="s">
        <v>110</v>
      </c>
      <c r="F343" s="64" t="s">
        <v>1445</v>
      </c>
      <c r="G343" s="54" t="s">
        <v>1376</v>
      </c>
      <c r="H343" s="64" t="s">
        <v>2048</v>
      </c>
    </row>
    <row r="344" spans="2:8" x14ac:dyDescent="0.25">
      <c r="B344" s="57" t="s">
        <v>2049</v>
      </c>
      <c r="C344" s="63">
        <v>46238.461608796293</v>
      </c>
      <c r="D344" s="64" t="s">
        <v>109</v>
      </c>
      <c r="E344" s="64" t="s">
        <v>110</v>
      </c>
      <c r="F344" s="64" t="s">
        <v>1445</v>
      </c>
      <c r="G344" s="54" t="s">
        <v>1376</v>
      </c>
      <c r="H344" s="64" t="s">
        <v>2050</v>
      </c>
    </row>
    <row r="345" spans="2:8" x14ac:dyDescent="0.25">
      <c r="B345" s="57" t="s">
        <v>2051</v>
      </c>
      <c r="C345" s="63">
        <v>46238.682789351849</v>
      </c>
      <c r="D345" s="64" t="s">
        <v>109</v>
      </c>
      <c r="E345" s="64" t="s">
        <v>110</v>
      </c>
      <c r="F345" s="64" t="s">
        <v>1445</v>
      </c>
      <c r="G345" s="54" t="s">
        <v>1376</v>
      </c>
      <c r="H345" s="64" t="s">
        <v>2052</v>
      </c>
    </row>
    <row r="346" spans="2:8" x14ac:dyDescent="0.25">
      <c r="B346" s="57" t="s">
        <v>2053</v>
      </c>
      <c r="C346" s="63">
        <v>46239.443657407413</v>
      </c>
      <c r="D346" s="64" t="s">
        <v>111</v>
      </c>
      <c r="E346" s="64" t="s">
        <v>112</v>
      </c>
      <c r="F346" s="64" t="s">
        <v>1445</v>
      </c>
      <c r="G346" s="54" t="s">
        <v>1376</v>
      </c>
      <c r="H346" s="64" t="s">
        <v>2054</v>
      </c>
    </row>
    <row r="347" spans="2:8" x14ac:dyDescent="0.25">
      <c r="B347" s="57" t="s">
        <v>2055</v>
      </c>
      <c r="C347" s="63">
        <v>46239.72755787037</v>
      </c>
      <c r="D347" s="64" t="s">
        <v>105</v>
      </c>
      <c r="E347" s="64" t="s">
        <v>106</v>
      </c>
      <c r="F347" s="64" t="s">
        <v>1375</v>
      </c>
      <c r="G347" s="54" t="s">
        <v>1376</v>
      </c>
      <c r="H347" s="64" t="s">
        <v>2056</v>
      </c>
    </row>
    <row r="348" spans="2:8" x14ac:dyDescent="0.25">
      <c r="B348" s="57" t="s">
        <v>2057</v>
      </c>
      <c r="C348" s="63">
        <v>46240.336168981477</v>
      </c>
      <c r="D348" s="64" t="s">
        <v>109</v>
      </c>
      <c r="E348" s="64" t="s">
        <v>110</v>
      </c>
      <c r="F348" s="64" t="s">
        <v>1445</v>
      </c>
      <c r="G348" s="54" t="s">
        <v>1376</v>
      </c>
      <c r="H348" s="64" t="s">
        <v>2058</v>
      </c>
    </row>
    <row r="349" spans="2:8" x14ac:dyDescent="0.25">
      <c r="B349" s="57" t="s">
        <v>2059</v>
      </c>
      <c r="C349" s="63">
        <v>46240.398194444453</v>
      </c>
      <c r="D349" s="64" t="s">
        <v>111</v>
      </c>
      <c r="E349" s="64" t="s">
        <v>112</v>
      </c>
      <c r="F349" s="64" t="s">
        <v>1445</v>
      </c>
      <c r="G349" s="54" t="s">
        <v>1376</v>
      </c>
      <c r="H349" s="64" t="s">
        <v>2060</v>
      </c>
    </row>
    <row r="350" spans="2:8" x14ac:dyDescent="0.25">
      <c r="B350" s="57" t="s">
        <v>2061</v>
      </c>
      <c r="C350" s="63">
        <v>46240.641215277778</v>
      </c>
      <c r="D350" s="64" t="s">
        <v>109</v>
      </c>
      <c r="E350" s="64" t="s">
        <v>110</v>
      </c>
      <c r="F350" s="64" t="s">
        <v>1445</v>
      </c>
      <c r="G350" s="54" t="s">
        <v>1376</v>
      </c>
      <c r="H350" s="64" t="s">
        <v>2062</v>
      </c>
    </row>
    <row r="351" spans="2:8" x14ac:dyDescent="0.25">
      <c r="B351" s="57" t="s">
        <v>2063</v>
      </c>
      <c r="C351" s="63">
        <v>46241.661782407413</v>
      </c>
      <c r="D351" s="64" t="s">
        <v>109</v>
      </c>
      <c r="E351" s="64" t="s">
        <v>110</v>
      </c>
      <c r="F351" s="64" t="s">
        <v>1445</v>
      </c>
      <c r="G351" s="54" t="s">
        <v>1376</v>
      </c>
      <c r="H351" s="64" t="s">
        <v>2064</v>
      </c>
    </row>
    <row r="352" spans="2:8" x14ac:dyDescent="0.25">
      <c r="B352" s="57" t="s">
        <v>2065</v>
      </c>
      <c r="C352" s="63">
        <v>46241.664120370369</v>
      </c>
      <c r="D352" s="64" t="s">
        <v>109</v>
      </c>
      <c r="E352" s="64" t="s">
        <v>110</v>
      </c>
      <c r="F352" s="64" t="s">
        <v>1445</v>
      </c>
      <c r="G352" s="54" t="s">
        <v>1376</v>
      </c>
      <c r="H352" s="64" t="s">
        <v>2066</v>
      </c>
    </row>
    <row r="353" spans="2:8" x14ac:dyDescent="0.25">
      <c r="B353" s="57" t="s">
        <v>2067</v>
      </c>
      <c r="C353" s="63">
        <v>46241.705821759257</v>
      </c>
      <c r="D353" s="64" t="s">
        <v>109</v>
      </c>
      <c r="E353" s="64" t="s">
        <v>110</v>
      </c>
      <c r="F353" s="64" t="s">
        <v>1445</v>
      </c>
      <c r="G353" s="54" t="s">
        <v>1376</v>
      </c>
      <c r="H353" s="64" t="s">
        <v>2068</v>
      </c>
    </row>
    <row r="354" spans="2:8" x14ac:dyDescent="0.25">
      <c r="B354" s="57" t="s">
        <v>2069</v>
      </c>
      <c r="C354" s="63">
        <v>46242.458425925928</v>
      </c>
      <c r="D354" s="64" t="s">
        <v>109</v>
      </c>
      <c r="E354" s="64" t="s">
        <v>110</v>
      </c>
      <c r="F354" s="64" t="s">
        <v>1445</v>
      </c>
      <c r="G354" s="54" t="s">
        <v>1376</v>
      </c>
      <c r="H354" s="64" t="s">
        <v>2070</v>
      </c>
    </row>
    <row r="355" spans="2:8" x14ac:dyDescent="0.25">
      <c r="B355" s="57" t="s">
        <v>2071</v>
      </c>
      <c r="C355" s="63">
        <v>46242.61959490741</v>
      </c>
      <c r="D355" s="64" t="s">
        <v>109</v>
      </c>
      <c r="E355" s="64" t="s">
        <v>110</v>
      </c>
      <c r="F355" s="64" t="s">
        <v>1445</v>
      </c>
      <c r="G355" s="54" t="s">
        <v>1376</v>
      </c>
      <c r="H355" s="64" t="s">
        <v>2072</v>
      </c>
    </row>
    <row r="356" spans="2:8" x14ac:dyDescent="0.25">
      <c r="B356" s="57" t="s">
        <v>2073</v>
      </c>
      <c r="C356" s="63">
        <v>46242.712500000001</v>
      </c>
      <c r="D356" s="64" t="s">
        <v>109</v>
      </c>
      <c r="E356" s="64" t="s">
        <v>110</v>
      </c>
      <c r="F356" s="64" t="s">
        <v>1445</v>
      </c>
      <c r="G356" s="54" t="s">
        <v>1376</v>
      </c>
      <c r="H356" s="64" t="s">
        <v>2074</v>
      </c>
    </row>
    <row r="357" spans="2:8" x14ac:dyDescent="0.25">
      <c r="B357" s="57" t="s">
        <v>2075</v>
      </c>
      <c r="C357" s="63">
        <v>46244.599282407413</v>
      </c>
      <c r="D357" s="64" t="s">
        <v>105</v>
      </c>
      <c r="E357" s="64" t="s">
        <v>106</v>
      </c>
      <c r="F357" s="64" t="s">
        <v>1375</v>
      </c>
      <c r="G357" s="54" t="s">
        <v>1376</v>
      </c>
      <c r="H357" s="64" t="s">
        <v>2076</v>
      </c>
    </row>
    <row r="358" spans="2:8" x14ac:dyDescent="0.25">
      <c r="B358" s="57" t="s">
        <v>2077</v>
      </c>
      <c r="C358" s="63">
        <v>46244.605439814812</v>
      </c>
      <c r="D358" s="64" t="s">
        <v>109</v>
      </c>
      <c r="E358" s="64" t="s">
        <v>110</v>
      </c>
      <c r="F358" s="64" t="s">
        <v>1445</v>
      </c>
      <c r="G358" s="54" t="s">
        <v>1376</v>
      </c>
      <c r="H358" s="64" t="s">
        <v>2078</v>
      </c>
    </row>
    <row r="359" spans="2:8" x14ac:dyDescent="0.25">
      <c r="B359" s="57" t="s">
        <v>2079</v>
      </c>
      <c r="C359" s="63">
        <v>46244.609409722223</v>
      </c>
      <c r="D359" s="64" t="s">
        <v>111</v>
      </c>
      <c r="E359" s="64" t="s">
        <v>112</v>
      </c>
      <c r="F359" s="64" t="s">
        <v>1445</v>
      </c>
      <c r="G359" s="54" t="s">
        <v>1376</v>
      </c>
      <c r="H359" s="64" t="s">
        <v>2080</v>
      </c>
    </row>
    <row r="360" spans="2:8" x14ac:dyDescent="0.25">
      <c r="B360" s="57" t="s">
        <v>2081</v>
      </c>
      <c r="C360" s="63">
        <v>46244.690995370373</v>
      </c>
      <c r="D360" s="64" t="s">
        <v>109</v>
      </c>
      <c r="E360" s="64" t="s">
        <v>110</v>
      </c>
      <c r="F360" s="64" t="s">
        <v>1445</v>
      </c>
      <c r="G360" s="54" t="s">
        <v>1376</v>
      </c>
      <c r="H360" s="64" t="s">
        <v>2082</v>
      </c>
    </row>
    <row r="361" spans="2:8" x14ac:dyDescent="0.25">
      <c r="B361" s="57" t="s">
        <v>2083</v>
      </c>
      <c r="C361" s="63">
        <v>46245.324641203697</v>
      </c>
      <c r="D361" s="64" t="s">
        <v>109</v>
      </c>
      <c r="E361" s="64" t="s">
        <v>110</v>
      </c>
      <c r="F361" s="64" t="s">
        <v>1445</v>
      </c>
      <c r="G361" s="54" t="s">
        <v>1376</v>
      </c>
      <c r="H361" s="64" t="s">
        <v>2084</v>
      </c>
    </row>
    <row r="362" spans="2:8" x14ac:dyDescent="0.25">
      <c r="B362" s="57" t="s">
        <v>2085</v>
      </c>
      <c r="C362" s="63">
        <v>46245.551770833343</v>
      </c>
      <c r="D362" s="64" t="s">
        <v>109</v>
      </c>
      <c r="E362" s="64" t="s">
        <v>110</v>
      </c>
      <c r="F362" s="64" t="s">
        <v>1445</v>
      </c>
      <c r="G362" s="54" t="s">
        <v>1376</v>
      </c>
      <c r="H362" s="64" t="s">
        <v>2086</v>
      </c>
    </row>
    <row r="363" spans="2:8" x14ac:dyDescent="0.25">
      <c r="B363" s="57" t="s">
        <v>2087</v>
      </c>
      <c r="C363" s="63">
        <v>46245.566516203697</v>
      </c>
      <c r="D363" s="64" t="s">
        <v>109</v>
      </c>
      <c r="E363" s="64" t="s">
        <v>110</v>
      </c>
      <c r="F363" s="64" t="s">
        <v>1445</v>
      </c>
      <c r="G363" s="54" t="s">
        <v>1376</v>
      </c>
      <c r="H363" s="64" t="s">
        <v>2088</v>
      </c>
    </row>
    <row r="364" spans="2:8" x14ac:dyDescent="0.25">
      <c r="B364" s="57" t="s">
        <v>2089</v>
      </c>
      <c r="C364" s="63">
        <v>46246.343032407407</v>
      </c>
      <c r="D364" s="64" t="s">
        <v>111</v>
      </c>
      <c r="E364" s="64" t="s">
        <v>112</v>
      </c>
      <c r="F364" s="64" t="s">
        <v>1445</v>
      </c>
      <c r="G364" s="54" t="s">
        <v>1376</v>
      </c>
      <c r="H364" s="64" t="s">
        <v>2090</v>
      </c>
    </row>
    <row r="365" spans="2:8" x14ac:dyDescent="0.25">
      <c r="B365" s="57" t="s">
        <v>2091</v>
      </c>
      <c r="C365" s="63">
        <v>46246.431817129633</v>
      </c>
      <c r="D365" s="64" t="s">
        <v>109</v>
      </c>
      <c r="E365" s="64" t="s">
        <v>110</v>
      </c>
      <c r="F365" s="64" t="s">
        <v>1445</v>
      </c>
      <c r="G365" s="54" t="s">
        <v>1376</v>
      </c>
      <c r="H365" s="64" t="s">
        <v>2092</v>
      </c>
    </row>
    <row r="366" spans="2:8" x14ac:dyDescent="0.25">
      <c r="B366" s="57" t="s">
        <v>2093</v>
      </c>
      <c r="C366" s="63">
        <v>46246.435370370367</v>
      </c>
      <c r="D366" s="64" t="s">
        <v>109</v>
      </c>
      <c r="E366" s="64" t="s">
        <v>110</v>
      </c>
      <c r="F366" s="64" t="s">
        <v>1445</v>
      </c>
      <c r="G366" s="54" t="s">
        <v>1376</v>
      </c>
      <c r="H366" s="64" t="s">
        <v>2094</v>
      </c>
    </row>
    <row r="367" spans="2:8" x14ac:dyDescent="0.25">
      <c r="B367" s="57" t="s">
        <v>2095</v>
      </c>
      <c r="C367" s="63">
        <v>46246.710405092592</v>
      </c>
      <c r="D367" s="64" t="s">
        <v>111</v>
      </c>
      <c r="E367" s="64" t="s">
        <v>112</v>
      </c>
      <c r="F367" s="64" t="s">
        <v>1445</v>
      </c>
      <c r="G367" s="54" t="s">
        <v>1376</v>
      </c>
      <c r="H367" s="64" t="s">
        <v>2096</v>
      </c>
    </row>
    <row r="368" spans="2:8" x14ac:dyDescent="0.25">
      <c r="B368" s="57" t="s">
        <v>2097</v>
      </c>
      <c r="C368" s="63">
        <v>46247.47384259259</v>
      </c>
      <c r="D368" s="64" t="s">
        <v>111</v>
      </c>
      <c r="E368" s="64" t="s">
        <v>112</v>
      </c>
      <c r="F368" s="64" t="s">
        <v>1445</v>
      </c>
      <c r="G368" s="54" t="s">
        <v>1376</v>
      </c>
      <c r="H368" s="64" t="s">
        <v>2098</v>
      </c>
    </row>
    <row r="369" spans="2:8" x14ac:dyDescent="0.25">
      <c r="B369" s="57" t="s">
        <v>2099</v>
      </c>
      <c r="C369" s="63">
        <v>46247.614918981482</v>
      </c>
      <c r="D369" s="64" t="s">
        <v>109</v>
      </c>
      <c r="E369" s="64" t="s">
        <v>110</v>
      </c>
      <c r="F369" s="64" t="s">
        <v>1445</v>
      </c>
      <c r="G369" s="54" t="s">
        <v>1376</v>
      </c>
      <c r="H369" s="64" t="s">
        <v>2100</v>
      </c>
    </row>
    <row r="370" spans="2:8" x14ac:dyDescent="0.25">
      <c r="B370" s="57" t="s">
        <v>2101</v>
      </c>
      <c r="C370" s="63">
        <v>46248.494027777779</v>
      </c>
      <c r="D370" s="64" t="s">
        <v>111</v>
      </c>
      <c r="E370" s="64" t="s">
        <v>112</v>
      </c>
      <c r="F370" s="64" t="s">
        <v>1445</v>
      </c>
      <c r="G370" s="54" t="s">
        <v>1376</v>
      </c>
      <c r="H370" s="64" t="s">
        <v>2102</v>
      </c>
    </row>
    <row r="371" spans="2:8" x14ac:dyDescent="0.25">
      <c r="B371" s="57" t="s">
        <v>2103</v>
      </c>
      <c r="C371" s="63">
        <v>46249.35359953704</v>
      </c>
      <c r="D371" s="64" t="s">
        <v>109</v>
      </c>
      <c r="E371" s="64" t="s">
        <v>110</v>
      </c>
      <c r="F371" s="64" t="s">
        <v>1445</v>
      </c>
      <c r="G371" s="54" t="s">
        <v>1376</v>
      </c>
      <c r="H371" s="64" t="s">
        <v>2104</v>
      </c>
    </row>
    <row r="372" spans="2:8" x14ac:dyDescent="0.25">
      <c r="B372" s="57" t="s">
        <v>2105</v>
      </c>
      <c r="C372" s="63">
        <v>46251.603506944448</v>
      </c>
      <c r="D372" s="64" t="s">
        <v>105</v>
      </c>
      <c r="E372" s="64" t="s">
        <v>106</v>
      </c>
      <c r="F372" s="64" t="s">
        <v>1375</v>
      </c>
      <c r="G372" s="54" t="s">
        <v>1376</v>
      </c>
      <c r="H372" s="64" t="s">
        <v>2106</v>
      </c>
    </row>
    <row r="373" spans="2:8" x14ac:dyDescent="0.25">
      <c r="B373" s="57" t="s">
        <v>2107</v>
      </c>
      <c r="C373" s="63">
        <v>46251.616539351853</v>
      </c>
      <c r="D373" s="64" t="s">
        <v>111</v>
      </c>
      <c r="E373" s="64" t="s">
        <v>112</v>
      </c>
      <c r="F373" s="64" t="s">
        <v>1445</v>
      </c>
      <c r="G373" s="54" t="s">
        <v>1376</v>
      </c>
      <c r="H373" s="64" t="s">
        <v>2108</v>
      </c>
    </row>
    <row r="374" spans="2:8" x14ac:dyDescent="0.25">
      <c r="B374" s="57" t="s">
        <v>2109</v>
      </c>
      <c r="C374" s="63">
        <v>46251.673194444447</v>
      </c>
      <c r="D374" s="64" t="s">
        <v>109</v>
      </c>
      <c r="E374" s="64" t="s">
        <v>110</v>
      </c>
      <c r="F374" s="64" t="s">
        <v>1445</v>
      </c>
      <c r="G374" s="54" t="s">
        <v>1376</v>
      </c>
      <c r="H374" s="64" t="s">
        <v>2110</v>
      </c>
    </row>
    <row r="375" spans="2:8" x14ac:dyDescent="0.25">
      <c r="B375" s="57" t="s">
        <v>2111</v>
      </c>
      <c r="C375" s="63">
        <v>46251.679305555554</v>
      </c>
      <c r="D375" s="64" t="s">
        <v>109</v>
      </c>
      <c r="E375" s="64" t="s">
        <v>110</v>
      </c>
      <c r="F375" s="64" t="s">
        <v>1445</v>
      </c>
      <c r="G375" s="54" t="s">
        <v>1376</v>
      </c>
      <c r="H375" s="64" t="s">
        <v>2112</v>
      </c>
    </row>
    <row r="376" spans="2:8" x14ac:dyDescent="0.25">
      <c r="B376" s="57" t="s">
        <v>2113</v>
      </c>
      <c r="C376" s="63">
        <v>46251.683865740742</v>
      </c>
      <c r="D376" s="64" t="s">
        <v>111</v>
      </c>
      <c r="E376" s="64" t="s">
        <v>112</v>
      </c>
      <c r="F376" s="64" t="s">
        <v>1445</v>
      </c>
      <c r="G376" s="54" t="s">
        <v>1376</v>
      </c>
      <c r="H376" s="64" t="s">
        <v>2114</v>
      </c>
    </row>
    <row r="377" spans="2:8" x14ac:dyDescent="0.25">
      <c r="B377" s="57" t="s">
        <v>2115</v>
      </c>
      <c r="C377" s="63">
        <v>46252.323692129627</v>
      </c>
      <c r="D377" s="64" t="s">
        <v>109</v>
      </c>
      <c r="E377" s="64" t="s">
        <v>110</v>
      </c>
      <c r="F377" s="64" t="s">
        <v>1445</v>
      </c>
      <c r="G377" s="54" t="s">
        <v>1376</v>
      </c>
      <c r="H377" s="64" t="s">
        <v>2116</v>
      </c>
    </row>
    <row r="378" spans="2:8" x14ac:dyDescent="0.25">
      <c r="B378" s="57" t="s">
        <v>2117</v>
      </c>
      <c r="C378" s="63">
        <v>46252.391782407409</v>
      </c>
      <c r="D378" s="64" t="s">
        <v>109</v>
      </c>
      <c r="E378" s="64" t="s">
        <v>110</v>
      </c>
      <c r="F378" s="64" t="s">
        <v>1445</v>
      </c>
      <c r="G378" s="54" t="s">
        <v>1376</v>
      </c>
      <c r="H378" s="64" t="s">
        <v>2118</v>
      </c>
    </row>
    <row r="379" spans="2:8" x14ac:dyDescent="0.25">
      <c r="B379" s="57" t="s">
        <v>2119</v>
      </c>
      <c r="C379" s="63">
        <v>46252.700428240743</v>
      </c>
      <c r="D379" s="64" t="s">
        <v>111</v>
      </c>
      <c r="E379" s="64" t="s">
        <v>112</v>
      </c>
      <c r="F379" s="64" t="s">
        <v>1445</v>
      </c>
      <c r="G379" s="54" t="s">
        <v>1376</v>
      </c>
      <c r="H379" s="64" t="s">
        <v>2120</v>
      </c>
    </row>
    <row r="380" spans="2:8" x14ac:dyDescent="0.25">
      <c r="B380" s="57" t="s">
        <v>2121</v>
      </c>
      <c r="C380" s="63">
        <v>46253.335196759261</v>
      </c>
      <c r="D380" s="64" t="s">
        <v>111</v>
      </c>
      <c r="E380" s="64" t="s">
        <v>112</v>
      </c>
      <c r="F380" s="64" t="s">
        <v>1445</v>
      </c>
      <c r="G380" s="54" t="s">
        <v>1376</v>
      </c>
      <c r="H380" s="64" t="s">
        <v>2122</v>
      </c>
    </row>
    <row r="381" spans="2:8" x14ac:dyDescent="0.25">
      <c r="B381" s="57" t="s">
        <v>2123</v>
      </c>
      <c r="C381" s="63">
        <v>46253.462442129632</v>
      </c>
      <c r="D381" s="64" t="s">
        <v>111</v>
      </c>
      <c r="E381" s="64" t="s">
        <v>112</v>
      </c>
      <c r="F381" s="64" t="s">
        <v>1445</v>
      </c>
      <c r="G381" s="54" t="s">
        <v>1376</v>
      </c>
      <c r="H381" s="64" t="s">
        <v>2124</v>
      </c>
    </row>
    <row r="382" spans="2:8" x14ac:dyDescent="0.25">
      <c r="B382" s="57" t="s">
        <v>2125</v>
      </c>
      <c r="C382" s="63">
        <v>46253.686469907407</v>
      </c>
      <c r="D382" s="64" t="s">
        <v>109</v>
      </c>
      <c r="E382" s="64" t="s">
        <v>110</v>
      </c>
      <c r="F382" s="64" t="s">
        <v>1445</v>
      </c>
      <c r="G382" s="54" t="s">
        <v>1376</v>
      </c>
      <c r="H382" s="64" t="s">
        <v>2126</v>
      </c>
    </row>
    <row r="383" spans="2:8" x14ac:dyDescent="0.25">
      <c r="B383" s="57" t="s">
        <v>2127</v>
      </c>
      <c r="C383" s="63">
        <v>46253.727847222217</v>
      </c>
      <c r="D383" s="64" t="s">
        <v>105</v>
      </c>
      <c r="E383" s="64" t="s">
        <v>106</v>
      </c>
      <c r="F383" s="64" t="s">
        <v>1375</v>
      </c>
      <c r="G383" s="54" t="s">
        <v>1376</v>
      </c>
      <c r="H383" s="64" t="s">
        <v>2128</v>
      </c>
    </row>
    <row r="384" spans="2:8" x14ac:dyDescent="0.25">
      <c r="B384" s="57" t="s">
        <v>2129</v>
      </c>
      <c r="C384" s="63">
        <v>46254.703900462962</v>
      </c>
      <c r="D384" s="64" t="s">
        <v>111</v>
      </c>
      <c r="E384" s="64" t="s">
        <v>112</v>
      </c>
      <c r="F384" s="64" t="s">
        <v>1445</v>
      </c>
      <c r="G384" s="54" t="s">
        <v>1376</v>
      </c>
      <c r="H384" s="64" t="s">
        <v>2130</v>
      </c>
    </row>
    <row r="385" spans="2:8" x14ac:dyDescent="0.25">
      <c r="B385" s="57" t="s">
        <v>2131</v>
      </c>
      <c r="C385" s="63">
        <v>46255.316655092603</v>
      </c>
      <c r="D385" s="64" t="s">
        <v>109</v>
      </c>
      <c r="E385" s="64" t="s">
        <v>110</v>
      </c>
      <c r="F385" s="64" t="s">
        <v>1445</v>
      </c>
      <c r="G385" s="54" t="s">
        <v>1376</v>
      </c>
      <c r="H385" s="64" t="s">
        <v>2132</v>
      </c>
    </row>
    <row r="386" spans="2:8" x14ac:dyDescent="0.25">
      <c r="B386" s="57" t="s">
        <v>2133</v>
      </c>
      <c r="C386" s="63">
        <v>46256.368888888886</v>
      </c>
      <c r="D386" s="64" t="s">
        <v>105</v>
      </c>
      <c r="E386" s="64" t="s">
        <v>106</v>
      </c>
      <c r="F386" s="64" t="s">
        <v>1375</v>
      </c>
      <c r="G386" s="54" t="s">
        <v>1376</v>
      </c>
      <c r="H386" s="64" t="s">
        <v>2134</v>
      </c>
    </row>
    <row r="387" spans="2:8" x14ac:dyDescent="0.25">
      <c r="B387" s="57" t="s">
        <v>2135</v>
      </c>
      <c r="C387" s="63">
        <v>46256.39472222222</v>
      </c>
      <c r="D387" s="64" t="s">
        <v>111</v>
      </c>
      <c r="E387" s="64" t="s">
        <v>112</v>
      </c>
      <c r="F387" s="64" t="s">
        <v>1445</v>
      </c>
      <c r="G387" s="54" t="s">
        <v>1376</v>
      </c>
      <c r="H387" s="64" t="s">
        <v>2136</v>
      </c>
    </row>
    <row r="388" spans="2:8" x14ac:dyDescent="0.25">
      <c r="B388" s="57" t="s">
        <v>2137</v>
      </c>
      <c r="C388" s="63">
        <v>46256.605844907397</v>
      </c>
      <c r="D388" s="64" t="s">
        <v>109</v>
      </c>
      <c r="E388" s="64" t="s">
        <v>110</v>
      </c>
      <c r="F388" s="64" t="s">
        <v>1445</v>
      </c>
      <c r="G388" s="54" t="s">
        <v>1376</v>
      </c>
      <c r="H388" s="64" t="s">
        <v>2138</v>
      </c>
    </row>
    <row r="389" spans="2:8" x14ac:dyDescent="0.25">
      <c r="B389" s="57" t="s">
        <v>2139</v>
      </c>
      <c r="C389" s="63">
        <v>46258.407384259262</v>
      </c>
      <c r="D389" s="64" t="s">
        <v>105</v>
      </c>
      <c r="E389" s="64" t="s">
        <v>106</v>
      </c>
      <c r="F389" s="64" t="s">
        <v>1375</v>
      </c>
      <c r="G389" s="54" t="s">
        <v>1376</v>
      </c>
      <c r="H389" s="64" t="s">
        <v>2140</v>
      </c>
    </row>
    <row r="390" spans="2:8" x14ac:dyDescent="0.25">
      <c r="B390" s="57" t="s">
        <v>2141</v>
      </c>
      <c r="C390" s="63">
        <v>46258.529618055552</v>
      </c>
      <c r="D390" s="64" t="s">
        <v>111</v>
      </c>
      <c r="E390" s="64" t="s">
        <v>112</v>
      </c>
      <c r="F390" s="64" t="s">
        <v>1445</v>
      </c>
      <c r="G390" s="54" t="s">
        <v>1376</v>
      </c>
      <c r="H390" s="64" t="s">
        <v>2142</v>
      </c>
    </row>
    <row r="391" spans="2:8" x14ac:dyDescent="0.25">
      <c r="B391" s="57" t="s">
        <v>2143</v>
      </c>
      <c r="C391" s="63">
        <v>46258.700057870366</v>
      </c>
      <c r="D391" s="64" t="s">
        <v>111</v>
      </c>
      <c r="E391" s="64" t="s">
        <v>112</v>
      </c>
      <c r="F391" s="64" t="s">
        <v>1445</v>
      </c>
      <c r="G391" s="54" t="s">
        <v>1376</v>
      </c>
      <c r="H391" s="64" t="s">
        <v>2144</v>
      </c>
    </row>
    <row r="392" spans="2:8" x14ac:dyDescent="0.25">
      <c r="B392" s="57" t="s">
        <v>2145</v>
      </c>
      <c r="C392" s="63">
        <v>46259.562291666669</v>
      </c>
      <c r="D392" s="64" t="s">
        <v>111</v>
      </c>
      <c r="E392" s="64" t="s">
        <v>112</v>
      </c>
      <c r="F392" s="64" t="s">
        <v>1445</v>
      </c>
      <c r="G392" s="54" t="s">
        <v>1376</v>
      </c>
      <c r="H392" s="64" t="s">
        <v>2146</v>
      </c>
    </row>
    <row r="393" spans="2:8" x14ac:dyDescent="0.25">
      <c r="B393" s="57" t="s">
        <v>2147</v>
      </c>
      <c r="C393" s="63">
        <v>46260.427002314813</v>
      </c>
      <c r="D393" s="64" t="s">
        <v>111</v>
      </c>
      <c r="E393" s="64" t="s">
        <v>112</v>
      </c>
      <c r="F393" s="64" t="s">
        <v>1445</v>
      </c>
      <c r="G393" s="54" t="s">
        <v>1376</v>
      </c>
      <c r="H393" s="64" t="s">
        <v>2148</v>
      </c>
    </row>
    <row r="394" spans="2:8" x14ac:dyDescent="0.25">
      <c r="B394" s="57" t="s">
        <v>2149</v>
      </c>
      <c r="C394" s="63">
        <v>46260.42732638889</v>
      </c>
      <c r="D394" s="64" t="s">
        <v>111</v>
      </c>
      <c r="E394" s="64" t="s">
        <v>112</v>
      </c>
      <c r="F394" s="64" t="s">
        <v>1445</v>
      </c>
      <c r="G394" s="54" t="s">
        <v>1376</v>
      </c>
      <c r="H394" s="64" t="s">
        <v>2150</v>
      </c>
    </row>
    <row r="395" spans="2:8" x14ac:dyDescent="0.25">
      <c r="B395" s="57" t="s">
        <v>2151</v>
      </c>
      <c r="C395" s="63">
        <v>46260.493356481478</v>
      </c>
      <c r="D395" s="64" t="s">
        <v>111</v>
      </c>
      <c r="E395" s="64" t="s">
        <v>112</v>
      </c>
      <c r="F395" s="64" t="s">
        <v>1445</v>
      </c>
      <c r="G395" s="54" t="s">
        <v>1376</v>
      </c>
      <c r="H395" s="64" t="s">
        <v>2152</v>
      </c>
    </row>
    <row r="396" spans="2:8" x14ac:dyDescent="0.25">
      <c r="B396" s="57" t="s">
        <v>2153</v>
      </c>
      <c r="C396" s="63">
        <v>46260.517974537041</v>
      </c>
      <c r="D396" s="64" t="s">
        <v>111</v>
      </c>
      <c r="E396" s="64" t="s">
        <v>112</v>
      </c>
      <c r="F396" s="64" t="s">
        <v>1445</v>
      </c>
      <c r="G396" s="54" t="s">
        <v>1376</v>
      </c>
      <c r="H396" s="64" t="s">
        <v>2154</v>
      </c>
    </row>
    <row r="397" spans="2:8" x14ac:dyDescent="0.25">
      <c r="B397" s="57" t="s">
        <v>2155</v>
      </c>
      <c r="C397" s="63">
        <v>46261.371481481481</v>
      </c>
      <c r="D397" s="64" t="s">
        <v>109</v>
      </c>
      <c r="E397" s="64" t="s">
        <v>110</v>
      </c>
      <c r="F397" s="64" t="s">
        <v>1445</v>
      </c>
      <c r="G397" s="54" t="s">
        <v>1376</v>
      </c>
      <c r="H397" s="64" t="s">
        <v>2156</v>
      </c>
    </row>
    <row r="398" spans="2:8" x14ac:dyDescent="0.25">
      <c r="B398" s="57" t="s">
        <v>2157</v>
      </c>
      <c r="C398" s="63">
        <v>46261.531701388893</v>
      </c>
      <c r="D398" s="64" t="s">
        <v>111</v>
      </c>
      <c r="E398" s="64" t="s">
        <v>112</v>
      </c>
      <c r="F398" s="64" t="s">
        <v>1445</v>
      </c>
      <c r="G398" s="54" t="s">
        <v>1376</v>
      </c>
      <c r="H398" s="64" t="s">
        <v>2158</v>
      </c>
    </row>
    <row r="399" spans="2:8" x14ac:dyDescent="0.25">
      <c r="B399" s="57" t="s">
        <v>2159</v>
      </c>
      <c r="C399" s="63">
        <v>46261.65421296296</v>
      </c>
      <c r="D399" s="64" t="s">
        <v>111</v>
      </c>
      <c r="E399" s="64" t="s">
        <v>112</v>
      </c>
      <c r="F399" s="64" t="s">
        <v>1445</v>
      </c>
      <c r="G399" s="54" t="s">
        <v>1376</v>
      </c>
      <c r="H399" s="64" t="s">
        <v>2160</v>
      </c>
    </row>
    <row r="400" spans="2:8" x14ac:dyDescent="0.25">
      <c r="B400" s="57" t="s">
        <v>2161</v>
      </c>
      <c r="C400" s="63">
        <v>46262.340046296304</v>
      </c>
      <c r="D400" s="64" t="s">
        <v>107</v>
      </c>
      <c r="E400" s="64" t="s">
        <v>108</v>
      </c>
      <c r="F400" s="64" t="s">
        <v>1375</v>
      </c>
      <c r="G400" s="54" t="s">
        <v>1376</v>
      </c>
      <c r="H400" s="64" t="s">
        <v>2162</v>
      </c>
    </row>
    <row r="401" spans="2:8" x14ac:dyDescent="0.25">
      <c r="B401" s="57" t="s">
        <v>2163</v>
      </c>
      <c r="C401" s="63">
        <v>46262.461574074077</v>
      </c>
      <c r="D401" s="64" t="s">
        <v>111</v>
      </c>
      <c r="E401" s="64" t="s">
        <v>112</v>
      </c>
      <c r="F401" s="64" t="s">
        <v>1445</v>
      </c>
      <c r="G401" s="54" t="s">
        <v>1376</v>
      </c>
      <c r="H401" s="64" t="s">
        <v>2164</v>
      </c>
    </row>
    <row r="402" spans="2:8" x14ac:dyDescent="0.25">
      <c r="B402" s="57" t="s">
        <v>2165</v>
      </c>
      <c r="C402" s="63">
        <v>46262.487002314818</v>
      </c>
      <c r="D402" s="64" t="s">
        <v>111</v>
      </c>
      <c r="E402" s="64" t="s">
        <v>112</v>
      </c>
      <c r="F402" s="64" t="s">
        <v>1445</v>
      </c>
      <c r="G402" s="54" t="s">
        <v>1376</v>
      </c>
      <c r="H402" s="64" t="s">
        <v>2166</v>
      </c>
    </row>
    <row r="403" spans="2:8" x14ac:dyDescent="0.25">
      <c r="B403" s="57" t="s">
        <v>2167</v>
      </c>
      <c r="C403" s="63">
        <v>46262.595775462964</v>
      </c>
      <c r="D403" s="64" t="s">
        <v>109</v>
      </c>
      <c r="E403" s="64" t="s">
        <v>110</v>
      </c>
      <c r="F403" s="64" t="s">
        <v>1445</v>
      </c>
      <c r="G403" s="54" t="s">
        <v>1376</v>
      </c>
      <c r="H403" s="64" t="s">
        <v>2168</v>
      </c>
    </row>
    <row r="404" spans="2:8" x14ac:dyDescent="0.25">
      <c r="B404" s="57" t="s">
        <v>2169</v>
      </c>
      <c r="C404" s="63">
        <v>46263.325196759259</v>
      </c>
      <c r="D404" s="64" t="s">
        <v>107</v>
      </c>
      <c r="E404" s="64" t="s">
        <v>108</v>
      </c>
      <c r="F404" s="64" t="s">
        <v>1375</v>
      </c>
      <c r="G404" s="54" t="s">
        <v>1376</v>
      </c>
      <c r="H404" s="64" t="s">
        <v>2170</v>
      </c>
    </row>
    <row r="405" spans="2:8" x14ac:dyDescent="0.25">
      <c r="B405" s="57" t="s">
        <v>2171</v>
      </c>
      <c r="C405" s="63">
        <v>46263.527766203697</v>
      </c>
      <c r="D405" s="64" t="s">
        <v>109</v>
      </c>
      <c r="E405" s="64" t="s">
        <v>110</v>
      </c>
      <c r="F405" s="64" t="s">
        <v>1445</v>
      </c>
      <c r="G405" s="54" t="s">
        <v>1376</v>
      </c>
      <c r="H405" s="64" t="s">
        <v>2172</v>
      </c>
    </row>
    <row r="406" spans="2:8" x14ac:dyDescent="0.25">
      <c r="B406" s="57" t="s">
        <v>2173</v>
      </c>
      <c r="C406" s="63">
        <v>46263.559687499997</v>
      </c>
      <c r="D406" s="64" t="s">
        <v>111</v>
      </c>
      <c r="E406" s="64" t="s">
        <v>112</v>
      </c>
      <c r="F406" s="64" t="s">
        <v>1445</v>
      </c>
      <c r="G406" s="54" t="s">
        <v>1376</v>
      </c>
      <c r="H406" s="64" t="s">
        <v>2174</v>
      </c>
    </row>
    <row r="407" spans="2:8" x14ac:dyDescent="0.25">
      <c r="B407" s="57" t="s">
        <v>2175</v>
      </c>
      <c r="C407" s="63">
        <v>46265.58902777778</v>
      </c>
      <c r="D407" s="64" t="s">
        <v>111</v>
      </c>
      <c r="E407" s="64" t="s">
        <v>112</v>
      </c>
      <c r="F407" s="64" t="s">
        <v>1445</v>
      </c>
      <c r="G407" s="54" t="s">
        <v>1376</v>
      </c>
      <c r="H407" s="64" t="s">
        <v>2176</v>
      </c>
    </row>
    <row r="408" spans="2:8" x14ac:dyDescent="0.25">
      <c r="B408" s="57" t="s">
        <v>2177</v>
      </c>
      <c r="C408" s="63">
        <v>46265.620370370372</v>
      </c>
      <c r="D408" s="64" t="s">
        <v>111</v>
      </c>
      <c r="E408" s="64" t="s">
        <v>112</v>
      </c>
      <c r="F408" s="64" t="s">
        <v>1445</v>
      </c>
      <c r="G408" s="54" t="s">
        <v>1376</v>
      </c>
      <c r="H408" s="64" t="s">
        <v>2178</v>
      </c>
    </row>
    <row r="409" spans="2:8" x14ac:dyDescent="0.25">
      <c r="B409" s="57" t="s">
        <v>2179</v>
      </c>
      <c r="C409" s="63">
        <v>46265.634050925917</v>
      </c>
      <c r="D409" s="64" t="s">
        <v>111</v>
      </c>
      <c r="E409" s="64" t="s">
        <v>112</v>
      </c>
      <c r="F409" s="64" t="s">
        <v>1445</v>
      </c>
      <c r="G409" s="54" t="s">
        <v>1376</v>
      </c>
      <c r="H409" s="64" t="s">
        <v>2180</v>
      </c>
    </row>
    <row r="410" spans="2:8" x14ac:dyDescent="0.25">
      <c r="B410" s="57" t="s">
        <v>2181</v>
      </c>
      <c r="C410" s="63">
        <v>46266.595879629633</v>
      </c>
      <c r="D410" s="64" t="s">
        <v>109</v>
      </c>
      <c r="E410" s="64" t="s">
        <v>110</v>
      </c>
      <c r="F410" s="64" t="s">
        <v>1445</v>
      </c>
      <c r="G410" s="54" t="s">
        <v>1376</v>
      </c>
      <c r="H410" s="64" t="s">
        <v>2182</v>
      </c>
    </row>
    <row r="411" spans="2:8" x14ac:dyDescent="0.25">
      <c r="B411" s="57" t="s">
        <v>2183</v>
      </c>
      <c r="C411" s="63">
        <v>46266.609791666669</v>
      </c>
      <c r="D411" s="64" t="s">
        <v>111</v>
      </c>
      <c r="E411" s="64" t="s">
        <v>112</v>
      </c>
      <c r="F411" s="64" t="s">
        <v>1445</v>
      </c>
      <c r="G411" s="54" t="s">
        <v>1376</v>
      </c>
      <c r="H411" s="64" t="s">
        <v>2184</v>
      </c>
    </row>
    <row r="412" spans="2:8" x14ac:dyDescent="0.25">
      <c r="B412" s="57" t="s">
        <v>2185</v>
      </c>
      <c r="C412" s="63">
        <v>46266.705185185187</v>
      </c>
      <c r="D412" s="64" t="s">
        <v>109</v>
      </c>
      <c r="E412" s="64" t="s">
        <v>110</v>
      </c>
      <c r="F412" s="64" t="s">
        <v>1445</v>
      </c>
      <c r="G412" s="54" t="s">
        <v>1376</v>
      </c>
      <c r="H412" s="64" t="s">
        <v>2186</v>
      </c>
    </row>
    <row r="413" spans="2:8" x14ac:dyDescent="0.25">
      <c r="B413" s="57" t="s">
        <v>2187</v>
      </c>
      <c r="C413" s="63">
        <v>46267.432222222233</v>
      </c>
      <c r="D413" s="64" t="s">
        <v>111</v>
      </c>
      <c r="E413" s="64" t="s">
        <v>112</v>
      </c>
      <c r="F413" s="64" t="s">
        <v>1445</v>
      </c>
      <c r="G413" s="54" t="s">
        <v>1376</v>
      </c>
      <c r="H413" s="64" t="s">
        <v>2188</v>
      </c>
    </row>
    <row r="414" spans="2:8" x14ac:dyDescent="0.25">
      <c r="B414" s="57" t="s">
        <v>2189</v>
      </c>
      <c r="C414" s="63">
        <v>46267.528749999998</v>
      </c>
      <c r="D414" s="64" t="s">
        <v>111</v>
      </c>
      <c r="E414" s="64" t="s">
        <v>112</v>
      </c>
      <c r="F414" s="64" t="s">
        <v>1445</v>
      </c>
      <c r="G414" s="54" t="s">
        <v>1376</v>
      </c>
      <c r="H414" s="64" t="s">
        <v>2190</v>
      </c>
    </row>
    <row r="415" spans="2:8" x14ac:dyDescent="0.25">
      <c r="B415" s="57" t="s">
        <v>2191</v>
      </c>
      <c r="C415" s="63">
        <v>46267.553460648152</v>
      </c>
      <c r="D415" s="64" t="s">
        <v>109</v>
      </c>
      <c r="E415" s="64" t="s">
        <v>110</v>
      </c>
      <c r="F415" s="64" t="s">
        <v>1445</v>
      </c>
      <c r="G415" s="54" t="s">
        <v>1376</v>
      </c>
      <c r="H415" s="64" t="s">
        <v>2192</v>
      </c>
    </row>
    <row r="416" spans="2:8" x14ac:dyDescent="0.25">
      <c r="B416" s="57" t="s">
        <v>2193</v>
      </c>
      <c r="C416" s="63">
        <v>46267.637870370367</v>
      </c>
      <c r="D416" s="64" t="s">
        <v>105</v>
      </c>
      <c r="E416" s="64" t="s">
        <v>106</v>
      </c>
      <c r="F416" s="64" t="s">
        <v>1375</v>
      </c>
      <c r="G416" s="54" t="s">
        <v>1376</v>
      </c>
      <c r="H416" s="64" t="s">
        <v>2194</v>
      </c>
    </row>
    <row r="417" spans="2:8" x14ac:dyDescent="0.25">
      <c r="B417" s="57" t="s">
        <v>2195</v>
      </c>
      <c r="C417" s="63">
        <v>46268.569652777784</v>
      </c>
      <c r="D417" s="64" t="s">
        <v>109</v>
      </c>
      <c r="E417" s="64" t="s">
        <v>110</v>
      </c>
      <c r="F417" s="64" t="s">
        <v>1445</v>
      </c>
      <c r="G417" s="54" t="s">
        <v>1376</v>
      </c>
      <c r="H417" s="64" t="s">
        <v>2196</v>
      </c>
    </row>
    <row r="418" spans="2:8" x14ac:dyDescent="0.25">
      <c r="B418" s="57" t="s">
        <v>2197</v>
      </c>
      <c r="C418" s="63">
        <v>46268.636874999997</v>
      </c>
      <c r="D418" s="64" t="s">
        <v>109</v>
      </c>
      <c r="E418" s="64" t="s">
        <v>110</v>
      </c>
      <c r="F418" s="64" t="s">
        <v>1445</v>
      </c>
      <c r="G418" s="54" t="s">
        <v>1376</v>
      </c>
      <c r="H418" s="64" t="s">
        <v>2198</v>
      </c>
    </row>
    <row r="419" spans="2:8" x14ac:dyDescent="0.25">
      <c r="B419" s="57" t="s">
        <v>2199</v>
      </c>
      <c r="C419" s="63">
        <v>46269.600393518522</v>
      </c>
      <c r="D419" s="64" t="s">
        <v>111</v>
      </c>
      <c r="E419" s="64" t="s">
        <v>112</v>
      </c>
      <c r="F419" s="64" t="s">
        <v>1445</v>
      </c>
      <c r="G419" s="54" t="s">
        <v>1376</v>
      </c>
      <c r="H419" s="64" t="s">
        <v>2200</v>
      </c>
    </row>
    <row r="420" spans="2:8" x14ac:dyDescent="0.25">
      <c r="B420" s="57" t="s">
        <v>2201</v>
      </c>
      <c r="C420" s="63">
        <v>46269.710509259261</v>
      </c>
      <c r="D420" s="64" t="s">
        <v>111</v>
      </c>
      <c r="E420" s="64" t="s">
        <v>112</v>
      </c>
      <c r="F420" s="64" t="s">
        <v>1445</v>
      </c>
      <c r="G420" s="54" t="s">
        <v>1376</v>
      </c>
      <c r="H420" s="64" t="s">
        <v>2202</v>
      </c>
    </row>
    <row r="421" spans="2:8" x14ac:dyDescent="0.25">
      <c r="B421" s="57" t="s">
        <v>2203</v>
      </c>
      <c r="C421" s="63">
        <v>46270.54115740741</v>
      </c>
      <c r="D421" s="64" t="s">
        <v>111</v>
      </c>
      <c r="E421" s="64" t="s">
        <v>112</v>
      </c>
      <c r="F421" s="64" t="s">
        <v>1445</v>
      </c>
      <c r="G421" s="54" t="s">
        <v>1376</v>
      </c>
      <c r="H421" s="64" t="s">
        <v>2204</v>
      </c>
    </row>
    <row r="422" spans="2:8" x14ac:dyDescent="0.25">
      <c r="B422" s="57" t="s">
        <v>2205</v>
      </c>
      <c r="C422" s="63">
        <v>46270.706921296303</v>
      </c>
      <c r="D422" s="64" t="s">
        <v>111</v>
      </c>
      <c r="E422" s="64" t="s">
        <v>112</v>
      </c>
      <c r="F422" s="64" t="s">
        <v>1445</v>
      </c>
      <c r="G422" s="54" t="s">
        <v>1376</v>
      </c>
      <c r="H422" s="64" t="s">
        <v>2206</v>
      </c>
    </row>
    <row r="423" spans="2:8" x14ac:dyDescent="0.25">
      <c r="B423" s="57" t="s">
        <v>2207</v>
      </c>
      <c r="C423" s="63">
        <v>46272.326921296299</v>
      </c>
      <c r="D423" s="64" t="s">
        <v>107</v>
      </c>
      <c r="E423" s="64" t="s">
        <v>108</v>
      </c>
      <c r="F423" s="64" t="s">
        <v>1375</v>
      </c>
      <c r="G423" s="54" t="s">
        <v>1376</v>
      </c>
      <c r="H423" s="64" t="s">
        <v>2208</v>
      </c>
    </row>
    <row r="424" spans="2:8" x14ac:dyDescent="0.25">
      <c r="B424" s="57" t="s">
        <v>2209</v>
      </c>
      <c r="C424" s="63">
        <v>46272.418495370373</v>
      </c>
      <c r="D424" s="64" t="s">
        <v>111</v>
      </c>
      <c r="E424" s="64" t="s">
        <v>112</v>
      </c>
      <c r="F424" s="64" t="s">
        <v>1445</v>
      </c>
      <c r="G424" s="54" t="s">
        <v>1376</v>
      </c>
      <c r="H424" s="64" t="s">
        <v>2210</v>
      </c>
    </row>
    <row r="425" spans="2:8" x14ac:dyDescent="0.25">
      <c r="B425" s="57" t="s">
        <v>2211</v>
      </c>
      <c r="C425" s="63">
        <v>46272.611180555563</v>
      </c>
      <c r="D425" s="64" t="s">
        <v>111</v>
      </c>
      <c r="E425" s="64" t="s">
        <v>112</v>
      </c>
      <c r="F425" s="64" t="s">
        <v>1445</v>
      </c>
      <c r="G425" s="54" t="s">
        <v>1376</v>
      </c>
      <c r="H425" s="64" t="s">
        <v>2212</v>
      </c>
    </row>
    <row r="426" spans="2:8" x14ac:dyDescent="0.25">
      <c r="B426" s="57" t="s">
        <v>2213</v>
      </c>
      <c r="C426" s="63">
        <v>46272.65184027778</v>
      </c>
      <c r="D426" s="64" t="s">
        <v>111</v>
      </c>
      <c r="E426" s="64" t="s">
        <v>112</v>
      </c>
      <c r="F426" s="64" t="s">
        <v>1445</v>
      </c>
      <c r="G426" s="54" t="s">
        <v>1376</v>
      </c>
      <c r="H426" s="64" t="s">
        <v>2214</v>
      </c>
    </row>
    <row r="427" spans="2:8" x14ac:dyDescent="0.25">
      <c r="B427" s="57" t="s">
        <v>2215</v>
      </c>
      <c r="C427" s="63">
        <v>46272.684224537043</v>
      </c>
      <c r="D427" s="64" t="s">
        <v>111</v>
      </c>
      <c r="E427" s="64" t="s">
        <v>112</v>
      </c>
      <c r="F427" s="64" t="s">
        <v>1445</v>
      </c>
      <c r="G427" s="54" t="s">
        <v>1376</v>
      </c>
      <c r="H427" s="64" t="s">
        <v>2216</v>
      </c>
    </row>
    <row r="428" spans="2:8" x14ac:dyDescent="0.25">
      <c r="B428" s="57" t="s">
        <v>2217</v>
      </c>
      <c r="C428" s="63">
        <v>46273.446099537039</v>
      </c>
      <c r="D428" s="64" t="s">
        <v>109</v>
      </c>
      <c r="E428" s="64" t="s">
        <v>110</v>
      </c>
      <c r="F428" s="64" t="s">
        <v>1445</v>
      </c>
      <c r="G428" s="54" t="s">
        <v>1376</v>
      </c>
      <c r="H428" s="64" t="s">
        <v>2218</v>
      </c>
    </row>
    <row r="429" spans="2:8" x14ac:dyDescent="0.25">
      <c r="B429" s="57" t="s">
        <v>2219</v>
      </c>
      <c r="C429" s="63">
        <v>46274.445219907408</v>
      </c>
      <c r="D429" s="64" t="s">
        <v>109</v>
      </c>
      <c r="E429" s="64" t="s">
        <v>110</v>
      </c>
      <c r="F429" s="64" t="s">
        <v>1445</v>
      </c>
      <c r="G429" s="54" t="s">
        <v>1376</v>
      </c>
      <c r="H429" s="64" t="s">
        <v>2220</v>
      </c>
    </row>
    <row r="430" spans="2:8" x14ac:dyDescent="0.25">
      <c r="B430" s="57" t="s">
        <v>2221</v>
      </c>
      <c r="C430" s="63">
        <v>46274.527384259258</v>
      </c>
      <c r="D430" s="64" t="s">
        <v>111</v>
      </c>
      <c r="E430" s="64" t="s">
        <v>112</v>
      </c>
      <c r="F430" s="64" t="s">
        <v>1445</v>
      </c>
      <c r="G430" s="54" t="s">
        <v>1376</v>
      </c>
      <c r="H430" s="64" t="s">
        <v>2222</v>
      </c>
    </row>
    <row r="431" spans="2:8" x14ac:dyDescent="0.25">
      <c r="B431" s="57" t="s">
        <v>2223</v>
      </c>
      <c r="C431" s="63">
        <v>46275.415138888893</v>
      </c>
      <c r="D431" s="64" t="s">
        <v>109</v>
      </c>
      <c r="E431" s="64" t="s">
        <v>110</v>
      </c>
      <c r="F431" s="64" t="s">
        <v>1445</v>
      </c>
      <c r="G431" s="54" t="s">
        <v>1376</v>
      </c>
      <c r="H431" s="64" t="s">
        <v>2224</v>
      </c>
    </row>
    <row r="432" spans="2:8" x14ac:dyDescent="0.25">
      <c r="B432" s="57" t="s">
        <v>2225</v>
      </c>
      <c r="C432" s="63">
        <v>46275.418333333328</v>
      </c>
      <c r="D432" s="64" t="s">
        <v>111</v>
      </c>
      <c r="E432" s="64" t="s">
        <v>112</v>
      </c>
      <c r="F432" s="64" t="s">
        <v>1445</v>
      </c>
      <c r="G432" s="54" t="s">
        <v>1376</v>
      </c>
      <c r="H432" s="64" t="s">
        <v>2226</v>
      </c>
    </row>
    <row r="433" spans="2:8" x14ac:dyDescent="0.25">
      <c r="B433" s="57" t="s">
        <v>2227</v>
      </c>
      <c r="C433" s="63">
        <v>46275.531736111108</v>
      </c>
      <c r="D433" s="64" t="s">
        <v>111</v>
      </c>
      <c r="E433" s="64" t="s">
        <v>112</v>
      </c>
      <c r="F433" s="64" t="s">
        <v>1445</v>
      </c>
      <c r="G433" s="54" t="s">
        <v>1376</v>
      </c>
      <c r="H433" s="64" t="s">
        <v>2228</v>
      </c>
    </row>
    <row r="434" spans="2:8" x14ac:dyDescent="0.25">
      <c r="B434" s="57" t="s">
        <v>2229</v>
      </c>
      <c r="C434" s="63">
        <v>46275.57739583333</v>
      </c>
      <c r="D434" s="64" t="s">
        <v>111</v>
      </c>
      <c r="E434" s="64" t="s">
        <v>112</v>
      </c>
      <c r="F434" s="64" t="s">
        <v>1445</v>
      </c>
      <c r="G434" s="54" t="s">
        <v>1376</v>
      </c>
      <c r="H434" s="64" t="s">
        <v>2230</v>
      </c>
    </row>
    <row r="435" spans="2:8" x14ac:dyDescent="0.25">
      <c r="B435" s="57" t="s">
        <v>2231</v>
      </c>
      <c r="C435" s="63">
        <v>46276.499050925922</v>
      </c>
      <c r="D435" s="64" t="s">
        <v>109</v>
      </c>
      <c r="E435" s="64" t="s">
        <v>110</v>
      </c>
      <c r="F435" s="64" t="s">
        <v>1445</v>
      </c>
      <c r="G435" s="54" t="s">
        <v>1376</v>
      </c>
      <c r="H435" s="64" t="s">
        <v>2232</v>
      </c>
    </row>
    <row r="436" spans="2:8" x14ac:dyDescent="0.25">
      <c r="B436" s="57" t="s">
        <v>2233</v>
      </c>
      <c r="C436" s="63">
        <v>46277.31354166667</v>
      </c>
      <c r="D436" s="64" t="s">
        <v>105</v>
      </c>
      <c r="E436" s="64" t="s">
        <v>106</v>
      </c>
      <c r="F436" s="64" t="s">
        <v>1375</v>
      </c>
      <c r="G436" s="54" t="s">
        <v>1376</v>
      </c>
      <c r="H436" s="64" t="s">
        <v>2234</v>
      </c>
    </row>
    <row r="437" spans="2:8" x14ac:dyDescent="0.25">
      <c r="B437" s="57" t="s">
        <v>2235</v>
      </c>
      <c r="C437" s="63">
        <v>46277.389456018522</v>
      </c>
      <c r="D437" s="64" t="s">
        <v>109</v>
      </c>
      <c r="E437" s="64" t="s">
        <v>110</v>
      </c>
      <c r="F437" s="64" t="s">
        <v>1445</v>
      </c>
      <c r="G437" s="54" t="s">
        <v>1376</v>
      </c>
      <c r="H437" s="64" t="s">
        <v>2236</v>
      </c>
    </row>
    <row r="438" spans="2:8" x14ac:dyDescent="0.25">
      <c r="B438" s="57" t="s">
        <v>2237</v>
      </c>
      <c r="C438" s="63">
        <v>46277.468113425923</v>
      </c>
      <c r="D438" s="64" t="s">
        <v>109</v>
      </c>
      <c r="E438" s="64" t="s">
        <v>110</v>
      </c>
      <c r="F438" s="64" t="s">
        <v>1445</v>
      </c>
      <c r="G438" s="54" t="s">
        <v>1376</v>
      </c>
      <c r="H438" s="64" t="s">
        <v>2238</v>
      </c>
    </row>
    <row r="439" spans="2:8" x14ac:dyDescent="0.25">
      <c r="B439" s="57" t="s">
        <v>2239</v>
      </c>
      <c r="C439" s="63">
        <v>46277.524178240739</v>
      </c>
      <c r="D439" s="64" t="s">
        <v>109</v>
      </c>
      <c r="E439" s="64" t="s">
        <v>110</v>
      </c>
      <c r="F439" s="64" t="s">
        <v>1445</v>
      </c>
      <c r="G439" s="54" t="s">
        <v>2240</v>
      </c>
      <c r="H439" s="64" t="s">
        <v>2241</v>
      </c>
    </row>
    <row r="440" spans="2:8" x14ac:dyDescent="0.25">
      <c r="B440" s="57" t="s">
        <v>2242</v>
      </c>
      <c r="C440" s="63">
        <v>46277.541562500002</v>
      </c>
      <c r="D440" s="64" t="s">
        <v>109</v>
      </c>
      <c r="E440" s="64" t="s">
        <v>110</v>
      </c>
      <c r="F440" s="64" t="s">
        <v>1445</v>
      </c>
      <c r="G440" s="54" t="s">
        <v>1376</v>
      </c>
      <c r="H440" s="64" t="s">
        <v>2243</v>
      </c>
    </row>
    <row r="441" spans="2:8" x14ac:dyDescent="0.25">
      <c r="B441" s="57" t="s">
        <v>2244</v>
      </c>
      <c r="C441" s="63">
        <v>46279.345208333332</v>
      </c>
      <c r="D441" s="64" t="s">
        <v>105</v>
      </c>
      <c r="E441" s="64" t="s">
        <v>106</v>
      </c>
      <c r="F441" s="64" t="s">
        <v>1375</v>
      </c>
      <c r="G441" s="54" t="s">
        <v>1376</v>
      </c>
      <c r="H441" s="64" t="s">
        <v>2245</v>
      </c>
    </row>
    <row r="442" spans="2:8" x14ac:dyDescent="0.25">
      <c r="B442" s="57" t="s">
        <v>2246</v>
      </c>
      <c r="C442" s="63">
        <v>46279.402118055557</v>
      </c>
      <c r="D442" s="64" t="s">
        <v>109</v>
      </c>
      <c r="E442" s="64" t="s">
        <v>110</v>
      </c>
      <c r="F442" s="64" t="s">
        <v>1445</v>
      </c>
      <c r="G442" s="54" t="s">
        <v>2240</v>
      </c>
      <c r="H442" s="64" t="s">
        <v>2241</v>
      </c>
    </row>
    <row r="443" spans="2:8" x14ac:dyDescent="0.25">
      <c r="B443" s="57" t="s">
        <v>2247</v>
      </c>
      <c r="C443" s="63">
        <v>46279.419502314813</v>
      </c>
      <c r="D443" s="64" t="s">
        <v>109</v>
      </c>
      <c r="E443" s="64" t="s">
        <v>110</v>
      </c>
      <c r="F443" s="64" t="s">
        <v>1445</v>
      </c>
      <c r="G443" s="54" t="s">
        <v>1376</v>
      </c>
      <c r="H443" s="64" t="s">
        <v>2248</v>
      </c>
    </row>
    <row r="444" spans="2:8" x14ac:dyDescent="0.25">
      <c r="B444" s="57" t="s">
        <v>2249</v>
      </c>
      <c r="C444" s="63">
        <v>46279.498240740737</v>
      </c>
      <c r="D444" s="64" t="s">
        <v>111</v>
      </c>
      <c r="E444" s="64" t="s">
        <v>112</v>
      </c>
      <c r="F444" s="64" t="s">
        <v>1445</v>
      </c>
      <c r="G444" s="54" t="s">
        <v>1376</v>
      </c>
      <c r="H444" s="64" t="s">
        <v>2250</v>
      </c>
    </row>
    <row r="445" spans="2:8" x14ac:dyDescent="0.25">
      <c r="B445" s="57" t="s">
        <v>2251</v>
      </c>
      <c r="C445" s="63">
        <v>46279.595231481479</v>
      </c>
      <c r="D445" s="64" t="s">
        <v>109</v>
      </c>
      <c r="E445" s="64" t="s">
        <v>110</v>
      </c>
      <c r="F445" s="64" t="s">
        <v>1445</v>
      </c>
      <c r="G445" s="54" t="s">
        <v>1376</v>
      </c>
      <c r="H445" s="64" t="s">
        <v>2252</v>
      </c>
    </row>
    <row r="446" spans="2:8" x14ac:dyDescent="0.25">
      <c r="B446" s="57" t="s">
        <v>2253</v>
      </c>
      <c r="C446" s="63">
        <v>46280.404293981483</v>
      </c>
      <c r="D446" s="64" t="s">
        <v>111</v>
      </c>
      <c r="E446" s="64" t="s">
        <v>112</v>
      </c>
      <c r="F446" s="64" t="s">
        <v>1445</v>
      </c>
      <c r="G446" s="54" t="s">
        <v>1376</v>
      </c>
      <c r="H446" s="64" t="s">
        <v>2254</v>
      </c>
    </row>
    <row r="447" spans="2:8" x14ac:dyDescent="0.25">
      <c r="B447" s="57" t="s">
        <v>2255</v>
      </c>
      <c r="C447" s="63">
        <v>46281.337245370371</v>
      </c>
      <c r="D447" s="64" t="s">
        <v>111</v>
      </c>
      <c r="E447" s="64" t="s">
        <v>112</v>
      </c>
      <c r="F447" s="64" t="s">
        <v>1445</v>
      </c>
      <c r="G447" s="54" t="s">
        <v>1376</v>
      </c>
      <c r="H447" s="64" t="s">
        <v>2256</v>
      </c>
    </row>
    <row r="448" spans="2:8" x14ac:dyDescent="0.25">
      <c r="B448" s="57" t="s">
        <v>2257</v>
      </c>
      <c r="C448" s="63">
        <v>46281.354120370372</v>
      </c>
      <c r="D448" s="64" t="s">
        <v>111</v>
      </c>
      <c r="E448" s="64" t="s">
        <v>112</v>
      </c>
      <c r="F448" s="64" t="s">
        <v>1445</v>
      </c>
      <c r="G448" s="54" t="s">
        <v>1376</v>
      </c>
      <c r="H448" s="64" t="s">
        <v>2258</v>
      </c>
    </row>
    <row r="449" spans="2:8" x14ac:dyDescent="0.25">
      <c r="B449" s="57" t="s">
        <v>2259</v>
      </c>
      <c r="C449" s="63">
        <v>46281.370729166672</v>
      </c>
      <c r="D449" s="64" t="s">
        <v>111</v>
      </c>
      <c r="E449" s="64" t="s">
        <v>112</v>
      </c>
      <c r="F449" s="64" t="s">
        <v>1445</v>
      </c>
      <c r="G449" s="54" t="s">
        <v>1376</v>
      </c>
      <c r="H449" s="64" t="s">
        <v>2260</v>
      </c>
    </row>
    <row r="450" spans="2:8" x14ac:dyDescent="0.25">
      <c r="B450" s="57" t="s">
        <v>2261</v>
      </c>
      <c r="C450" s="63">
        <v>46281.658634259264</v>
      </c>
      <c r="D450" s="64" t="s">
        <v>105</v>
      </c>
      <c r="E450" s="64" t="s">
        <v>106</v>
      </c>
      <c r="F450" s="64" t="s">
        <v>1375</v>
      </c>
      <c r="G450" s="54" t="s">
        <v>1376</v>
      </c>
      <c r="H450" s="64" t="s">
        <v>2262</v>
      </c>
    </row>
    <row r="451" spans="2:8" x14ac:dyDescent="0.25">
      <c r="B451" s="57" t="s">
        <v>2263</v>
      </c>
      <c r="C451" s="63">
        <v>46282.418368055558</v>
      </c>
      <c r="D451" s="64" t="s">
        <v>109</v>
      </c>
      <c r="E451" s="64" t="s">
        <v>110</v>
      </c>
      <c r="F451" s="64" t="s">
        <v>1445</v>
      </c>
      <c r="G451" s="54" t="s">
        <v>1376</v>
      </c>
      <c r="H451" s="64" t="s">
        <v>2264</v>
      </c>
    </row>
    <row r="452" spans="2:8" x14ac:dyDescent="0.25">
      <c r="B452" s="57" t="s">
        <v>2265</v>
      </c>
      <c r="C452" s="63">
        <v>46283.609513888892</v>
      </c>
      <c r="D452" s="64" t="s">
        <v>109</v>
      </c>
      <c r="E452" s="64" t="s">
        <v>110</v>
      </c>
      <c r="F452" s="64" t="s">
        <v>1445</v>
      </c>
      <c r="G452" s="54" t="s">
        <v>1376</v>
      </c>
      <c r="H452" s="64" t="s">
        <v>2266</v>
      </c>
    </row>
    <row r="453" spans="2:8" x14ac:dyDescent="0.25">
      <c r="B453" s="57" t="s">
        <v>2267</v>
      </c>
      <c r="C453" s="63">
        <v>46283.635243055563</v>
      </c>
      <c r="D453" s="64" t="s">
        <v>109</v>
      </c>
      <c r="E453" s="64" t="s">
        <v>110</v>
      </c>
      <c r="F453" s="64" t="s">
        <v>1445</v>
      </c>
      <c r="G453" s="54" t="s">
        <v>1376</v>
      </c>
      <c r="H453" s="64" t="s">
        <v>2268</v>
      </c>
    </row>
    <row r="454" spans="2:8" x14ac:dyDescent="0.25">
      <c r="B454" s="57" t="s">
        <v>2269</v>
      </c>
      <c r="C454" s="63">
        <v>46284.467881944453</v>
      </c>
      <c r="D454" s="64" t="s">
        <v>109</v>
      </c>
      <c r="E454" s="64" t="s">
        <v>110</v>
      </c>
      <c r="F454" s="64" t="s">
        <v>1445</v>
      </c>
      <c r="G454" s="54" t="s">
        <v>2240</v>
      </c>
      <c r="H454" s="64" t="s">
        <v>2241</v>
      </c>
    </row>
    <row r="455" spans="2:8" x14ac:dyDescent="0.25">
      <c r="B455" s="57" t="s">
        <v>2270</v>
      </c>
      <c r="C455" s="63">
        <v>46284.485266203701</v>
      </c>
      <c r="D455" s="64" t="s">
        <v>109</v>
      </c>
      <c r="E455" s="64" t="s">
        <v>110</v>
      </c>
      <c r="F455" s="64" t="s">
        <v>1445</v>
      </c>
      <c r="G455" s="54" t="s">
        <v>1376</v>
      </c>
      <c r="H455" s="64" t="s">
        <v>2271</v>
      </c>
    </row>
    <row r="456" spans="2:8" x14ac:dyDescent="0.25">
      <c r="B456" s="57" t="s">
        <v>2272</v>
      </c>
      <c r="C456" s="63">
        <v>46284.54515046296</v>
      </c>
      <c r="D456" s="64" t="s">
        <v>109</v>
      </c>
      <c r="E456" s="64" t="s">
        <v>110</v>
      </c>
      <c r="F456" s="64" t="s">
        <v>1445</v>
      </c>
      <c r="G456" s="54" t="s">
        <v>1376</v>
      </c>
      <c r="H456" s="64" t="s">
        <v>2273</v>
      </c>
    </row>
    <row r="457" spans="2:8" x14ac:dyDescent="0.25">
      <c r="B457" s="57" t="s">
        <v>2274</v>
      </c>
      <c r="C457" s="63">
        <v>46286.555995370371</v>
      </c>
      <c r="D457" s="64" t="s">
        <v>109</v>
      </c>
      <c r="E457" s="64" t="s">
        <v>110</v>
      </c>
      <c r="F457" s="64" t="s">
        <v>1445</v>
      </c>
      <c r="G457" s="54" t="s">
        <v>1376</v>
      </c>
      <c r="H457" s="64" t="s">
        <v>2275</v>
      </c>
    </row>
    <row r="458" spans="2:8" x14ac:dyDescent="0.25">
      <c r="B458" s="57" t="s">
        <v>2276</v>
      </c>
      <c r="C458" s="63">
        <v>46286.698796296303</v>
      </c>
      <c r="D458" s="64" t="s">
        <v>111</v>
      </c>
      <c r="E458" s="64" t="s">
        <v>112</v>
      </c>
      <c r="F458" s="64" t="s">
        <v>1445</v>
      </c>
      <c r="G458" s="54" t="s">
        <v>1376</v>
      </c>
      <c r="H458" s="64" t="s">
        <v>2277</v>
      </c>
    </row>
    <row r="459" spans="2:8" x14ac:dyDescent="0.25">
      <c r="B459" s="57" t="s">
        <v>2278</v>
      </c>
      <c r="C459" s="63">
        <v>46286.716122685182</v>
      </c>
      <c r="D459" s="64" t="s">
        <v>111</v>
      </c>
      <c r="E459" s="64" t="s">
        <v>112</v>
      </c>
      <c r="F459" s="64" t="s">
        <v>1445</v>
      </c>
      <c r="G459" s="54" t="s">
        <v>1376</v>
      </c>
      <c r="H459" s="64" t="s">
        <v>2279</v>
      </c>
    </row>
    <row r="460" spans="2:8" x14ac:dyDescent="0.25">
      <c r="B460" s="57" t="s">
        <v>2280</v>
      </c>
      <c r="C460" s="63">
        <v>46287.342962962961</v>
      </c>
      <c r="D460" s="64" t="s">
        <v>105</v>
      </c>
      <c r="E460" s="64" t="s">
        <v>106</v>
      </c>
      <c r="F460" s="64" t="s">
        <v>1375</v>
      </c>
      <c r="G460" s="54" t="s">
        <v>1376</v>
      </c>
      <c r="H460" s="64" t="s">
        <v>2281</v>
      </c>
    </row>
    <row r="461" spans="2:8" x14ac:dyDescent="0.25">
      <c r="B461" s="57" t="s">
        <v>2282</v>
      </c>
      <c r="C461" s="63">
        <v>46287.530960648153</v>
      </c>
      <c r="D461" s="64" t="s">
        <v>109</v>
      </c>
      <c r="E461" s="64" t="s">
        <v>110</v>
      </c>
      <c r="F461" s="64" t="s">
        <v>1445</v>
      </c>
      <c r="G461" s="54" t="s">
        <v>1376</v>
      </c>
      <c r="H461" s="64" t="s">
        <v>2283</v>
      </c>
    </row>
    <row r="462" spans="2:8" x14ac:dyDescent="0.25">
      <c r="B462" s="57" t="s">
        <v>2284</v>
      </c>
      <c r="C462" s="63">
        <v>46287.585868055547</v>
      </c>
      <c r="D462" s="64" t="s">
        <v>109</v>
      </c>
      <c r="E462" s="64" t="s">
        <v>110</v>
      </c>
      <c r="F462" s="64" t="s">
        <v>1445</v>
      </c>
      <c r="G462" s="54" t="s">
        <v>1376</v>
      </c>
      <c r="H462" s="64" t="s">
        <v>2285</v>
      </c>
    </row>
    <row r="463" spans="2:8" x14ac:dyDescent="0.25">
      <c r="B463" s="57" t="s">
        <v>2286</v>
      </c>
      <c r="C463" s="63">
        <v>46287.591932870368</v>
      </c>
      <c r="D463" s="64" t="s">
        <v>109</v>
      </c>
      <c r="E463" s="64" t="s">
        <v>110</v>
      </c>
      <c r="F463" s="64" t="s">
        <v>1445</v>
      </c>
      <c r="G463" s="54" t="s">
        <v>2240</v>
      </c>
      <c r="H463" s="64" t="s">
        <v>2241</v>
      </c>
    </row>
    <row r="464" spans="2:8" x14ac:dyDescent="0.25">
      <c r="B464" s="57" t="s">
        <v>2287</v>
      </c>
      <c r="C464" s="63">
        <v>46287.609317129631</v>
      </c>
      <c r="D464" s="64" t="s">
        <v>109</v>
      </c>
      <c r="E464" s="64" t="s">
        <v>110</v>
      </c>
      <c r="F464" s="64" t="s">
        <v>1445</v>
      </c>
      <c r="G464" s="54" t="s">
        <v>1376</v>
      </c>
      <c r="H464" s="64" t="s">
        <v>2288</v>
      </c>
    </row>
    <row r="465" spans="2:8" x14ac:dyDescent="0.25">
      <c r="B465" s="57" t="s">
        <v>2289</v>
      </c>
      <c r="C465" s="63">
        <v>46287.683472222219</v>
      </c>
      <c r="D465" s="64" t="s">
        <v>109</v>
      </c>
      <c r="E465" s="64" t="s">
        <v>110</v>
      </c>
      <c r="F465" s="64" t="s">
        <v>1445</v>
      </c>
      <c r="G465" s="54" t="s">
        <v>1376</v>
      </c>
      <c r="H465" s="64" t="s">
        <v>2290</v>
      </c>
    </row>
    <row r="466" spans="2:8" x14ac:dyDescent="0.25">
      <c r="B466" s="57" t="s">
        <v>2291</v>
      </c>
      <c r="C466" s="63">
        <v>46288.375462962962</v>
      </c>
      <c r="D466" s="64" t="s">
        <v>111</v>
      </c>
      <c r="E466" s="64" t="s">
        <v>112</v>
      </c>
      <c r="F466" s="64" t="s">
        <v>1445</v>
      </c>
      <c r="G466" s="54" t="s">
        <v>1376</v>
      </c>
      <c r="H466" s="64" t="s">
        <v>2292</v>
      </c>
    </row>
    <row r="467" spans="2:8" x14ac:dyDescent="0.25">
      <c r="B467" s="57" t="s">
        <v>2293</v>
      </c>
      <c r="C467" s="63">
        <v>46288.579502314817</v>
      </c>
      <c r="D467" s="64" t="s">
        <v>111</v>
      </c>
      <c r="E467" s="64" t="s">
        <v>112</v>
      </c>
      <c r="F467" s="64" t="s">
        <v>1445</v>
      </c>
      <c r="G467" s="54" t="s">
        <v>1376</v>
      </c>
      <c r="H467" s="64" t="s">
        <v>2294</v>
      </c>
    </row>
    <row r="468" spans="2:8" x14ac:dyDescent="0.25">
      <c r="B468" s="57" t="s">
        <v>2295</v>
      </c>
      <c r="C468" s="63">
        <v>46289.496782407397</v>
      </c>
      <c r="D468" s="64" t="s">
        <v>111</v>
      </c>
      <c r="E468" s="64" t="s">
        <v>112</v>
      </c>
      <c r="F468" s="64" t="s">
        <v>1445</v>
      </c>
      <c r="G468" s="54" t="s">
        <v>1376</v>
      </c>
      <c r="H468" s="64" t="s">
        <v>2296</v>
      </c>
    </row>
    <row r="469" spans="2:8" x14ac:dyDescent="0.25">
      <c r="B469" s="57" t="s">
        <v>2297</v>
      </c>
      <c r="C469" s="63">
        <v>46289.667928240742</v>
      </c>
      <c r="D469" s="64" t="s">
        <v>111</v>
      </c>
      <c r="E469" s="64" t="s">
        <v>112</v>
      </c>
      <c r="F469" s="64" t="s">
        <v>1445</v>
      </c>
      <c r="G469" s="54" t="s">
        <v>1376</v>
      </c>
      <c r="H469" s="64" t="s">
        <v>2298</v>
      </c>
    </row>
    <row r="470" spans="2:8" x14ac:dyDescent="0.25">
      <c r="B470" s="57" t="s">
        <v>2299</v>
      </c>
      <c r="C470" s="63">
        <v>46289.67359953704</v>
      </c>
      <c r="D470" s="64" t="s">
        <v>109</v>
      </c>
      <c r="E470" s="64" t="s">
        <v>110</v>
      </c>
      <c r="F470" s="64" t="s">
        <v>1445</v>
      </c>
      <c r="G470" s="54" t="s">
        <v>1376</v>
      </c>
      <c r="H470" s="64" t="s">
        <v>2300</v>
      </c>
    </row>
    <row r="471" spans="2:8" x14ac:dyDescent="0.25">
      <c r="B471" s="57" t="s">
        <v>2301</v>
      </c>
      <c r="C471" s="63">
        <v>46289.675486111111</v>
      </c>
      <c r="D471" s="64" t="s">
        <v>111</v>
      </c>
      <c r="E471" s="64" t="s">
        <v>112</v>
      </c>
      <c r="F471" s="64" t="s">
        <v>1445</v>
      </c>
      <c r="G471" s="54" t="s">
        <v>1376</v>
      </c>
      <c r="H471" s="64" t="s">
        <v>2302</v>
      </c>
    </row>
    <row r="472" spans="2:8" x14ac:dyDescent="0.25">
      <c r="B472" s="57" t="s">
        <v>2303</v>
      </c>
      <c r="C472" s="63">
        <v>46290.369988425933</v>
      </c>
      <c r="D472" s="64" t="s">
        <v>111</v>
      </c>
      <c r="E472" s="64" t="s">
        <v>112</v>
      </c>
      <c r="F472" s="64" t="s">
        <v>1445</v>
      </c>
      <c r="G472" s="54" t="s">
        <v>1376</v>
      </c>
      <c r="H472" s="64" t="s">
        <v>2304</v>
      </c>
    </row>
    <row r="473" spans="2:8" x14ac:dyDescent="0.25">
      <c r="B473" s="57" t="s">
        <v>2305</v>
      </c>
      <c r="C473" s="63">
        <v>46290.384930555563</v>
      </c>
      <c r="D473" s="64" t="s">
        <v>109</v>
      </c>
      <c r="E473" s="64" t="s">
        <v>110</v>
      </c>
      <c r="F473" s="64" t="s">
        <v>1445</v>
      </c>
      <c r="G473" s="54" t="s">
        <v>1376</v>
      </c>
      <c r="H473" s="64" t="s">
        <v>2306</v>
      </c>
    </row>
    <row r="474" spans="2:8" x14ac:dyDescent="0.25">
      <c r="B474" s="57" t="s">
        <v>2307</v>
      </c>
      <c r="C474" s="63">
        <v>46290.435034722221</v>
      </c>
      <c r="D474" s="64" t="s">
        <v>111</v>
      </c>
      <c r="E474" s="64" t="s">
        <v>112</v>
      </c>
      <c r="F474" s="64" t="s">
        <v>1445</v>
      </c>
      <c r="G474" s="54" t="s">
        <v>1376</v>
      </c>
      <c r="H474" s="64" t="s">
        <v>2308</v>
      </c>
    </row>
    <row r="475" spans="2:8" x14ac:dyDescent="0.25">
      <c r="B475" s="57" t="s">
        <v>2309</v>
      </c>
      <c r="C475" s="63">
        <v>46290.443287037036</v>
      </c>
      <c r="D475" s="64" t="s">
        <v>109</v>
      </c>
      <c r="E475" s="64" t="s">
        <v>110</v>
      </c>
      <c r="F475" s="64" t="s">
        <v>1445</v>
      </c>
      <c r="G475" s="54" t="s">
        <v>1376</v>
      </c>
      <c r="H475" s="64" t="s">
        <v>2310</v>
      </c>
    </row>
    <row r="476" spans="2:8" x14ac:dyDescent="0.25">
      <c r="B476" s="57" t="s">
        <v>2311</v>
      </c>
      <c r="C476" s="63">
        <v>46290.506331018521</v>
      </c>
      <c r="D476" s="64" t="s">
        <v>109</v>
      </c>
      <c r="E476" s="64" t="s">
        <v>110</v>
      </c>
      <c r="F476" s="64" t="s">
        <v>1445</v>
      </c>
      <c r="G476" s="54" t="s">
        <v>1376</v>
      </c>
      <c r="H476" s="64" t="s">
        <v>2312</v>
      </c>
    </row>
    <row r="477" spans="2:8" x14ac:dyDescent="0.25">
      <c r="B477" s="57" t="s">
        <v>2313</v>
      </c>
      <c r="C477" s="63">
        <v>46290.538530092592</v>
      </c>
      <c r="D477" s="64" t="s">
        <v>105</v>
      </c>
      <c r="E477" s="64" t="s">
        <v>106</v>
      </c>
      <c r="F477" s="64" t="s">
        <v>1375</v>
      </c>
      <c r="G477" s="54" t="s">
        <v>1376</v>
      </c>
      <c r="H477" s="64" t="s">
        <v>2314</v>
      </c>
    </row>
    <row r="478" spans="2:8" x14ac:dyDescent="0.25">
      <c r="B478" s="57" t="s">
        <v>2315</v>
      </c>
      <c r="C478" s="63">
        <v>46290.560173611113</v>
      </c>
      <c r="D478" s="64" t="s">
        <v>105</v>
      </c>
      <c r="E478" s="64" t="s">
        <v>106</v>
      </c>
      <c r="F478" s="64" t="s">
        <v>1375</v>
      </c>
      <c r="G478" s="54" t="s">
        <v>1376</v>
      </c>
      <c r="H478" s="64" t="s">
        <v>2316</v>
      </c>
    </row>
    <row r="479" spans="2:8" x14ac:dyDescent="0.25">
      <c r="B479" s="57" t="s">
        <v>2317</v>
      </c>
      <c r="C479" s="63">
        <v>46290.592037037037</v>
      </c>
      <c r="D479" s="64" t="s">
        <v>109</v>
      </c>
      <c r="E479" s="64" t="s">
        <v>110</v>
      </c>
      <c r="F479" s="64" t="s">
        <v>1445</v>
      </c>
      <c r="G479" s="54" t="s">
        <v>1376</v>
      </c>
      <c r="H479" s="64" t="s">
        <v>2318</v>
      </c>
    </row>
    <row r="480" spans="2:8" x14ac:dyDescent="0.25">
      <c r="B480" s="57" t="s">
        <v>2319</v>
      </c>
      <c r="C480" s="63">
        <v>46290.610254629632</v>
      </c>
      <c r="D480" s="64" t="s">
        <v>111</v>
      </c>
      <c r="E480" s="64" t="s">
        <v>112</v>
      </c>
      <c r="F480" s="64" t="s">
        <v>1445</v>
      </c>
      <c r="G480" s="54" t="s">
        <v>1376</v>
      </c>
      <c r="H480" s="64" t="s">
        <v>2320</v>
      </c>
    </row>
    <row r="481" spans="2:8" x14ac:dyDescent="0.25">
      <c r="B481" s="57" t="s">
        <v>2321</v>
      </c>
      <c r="C481" s="63">
        <v>46290.610520833332</v>
      </c>
      <c r="D481" s="64" t="s">
        <v>111</v>
      </c>
      <c r="E481" s="64" t="s">
        <v>112</v>
      </c>
      <c r="F481" s="64" t="s">
        <v>1445</v>
      </c>
      <c r="G481" s="54" t="s">
        <v>1376</v>
      </c>
      <c r="H481" s="64" t="s">
        <v>2322</v>
      </c>
    </row>
    <row r="482" spans="2:8" x14ac:dyDescent="0.25">
      <c r="B482" s="57" t="s">
        <v>2323</v>
      </c>
      <c r="C482" s="63">
        <v>46290.611192129632</v>
      </c>
      <c r="D482" s="64" t="s">
        <v>38</v>
      </c>
      <c r="E482" s="64" t="s">
        <v>40</v>
      </c>
      <c r="F482" s="64" t="s">
        <v>2324</v>
      </c>
      <c r="G482" s="54" t="s">
        <v>2325</v>
      </c>
      <c r="H482" s="64" t="s">
        <v>2326</v>
      </c>
    </row>
    <row r="483" spans="2:8" x14ac:dyDescent="0.25">
      <c r="B483" s="57" t="s">
        <v>2327</v>
      </c>
      <c r="C483" s="63">
        <v>46290.619583333333</v>
      </c>
      <c r="D483" s="64" t="s">
        <v>105</v>
      </c>
      <c r="E483" s="64" t="s">
        <v>106</v>
      </c>
      <c r="F483" s="64" t="s">
        <v>1375</v>
      </c>
      <c r="G483" s="54" t="s">
        <v>1376</v>
      </c>
      <c r="H483" s="64" t="s">
        <v>2328</v>
      </c>
    </row>
    <row r="484" spans="2:8" x14ac:dyDescent="0.25">
      <c r="B484" s="57" t="s">
        <v>2329</v>
      </c>
      <c r="C484" s="63">
        <v>46290.630115740743</v>
      </c>
      <c r="D484" s="64" t="s">
        <v>109</v>
      </c>
      <c r="E484" s="64" t="s">
        <v>110</v>
      </c>
      <c r="F484" s="64" t="s">
        <v>1445</v>
      </c>
      <c r="G484" s="54" t="s">
        <v>1376</v>
      </c>
      <c r="H484" s="64" t="s">
        <v>2330</v>
      </c>
    </row>
    <row r="485" spans="2:8" x14ac:dyDescent="0.25">
      <c r="B485" s="57" t="s">
        <v>2331</v>
      </c>
      <c r="C485" s="63">
        <v>46290.692673611113</v>
      </c>
      <c r="D485" s="64" t="s">
        <v>105</v>
      </c>
      <c r="E485" s="64" t="s">
        <v>106</v>
      </c>
      <c r="F485" s="64" t="s">
        <v>1375</v>
      </c>
      <c r="G485" s="54" t="s">
        <v>1376</v>
      </c>
      <c r="H485" s="64" t="s">
        <v>2332</v>
      </c>
    </row>
  </sheetData>
  <sheetProtection password="930D" sheet="1" objects="1" scenarios="1" formatColumns="0" autoFilter="0"/>
  <mergeCells count="2">
    <mergeCell ref="C6:D6"/>
    <mergeCell ref="E6:G6"/>
  </mergeCells>
  <conditionalFormatting sqref="B8:H50008">
    <cfRule type="expression" dxfId="80" priority="3">
      <formula>AND($B8&lt;&gt;"",MOD(ROW(),2)=0)</formula>
    </cfRule>
  </conditionalFormatting>
  <conditionalFormatting sqref="C6:D6">
    <cfRule type="expression" dxfId="79" priority="4">
      <formula>kpiBloqMes&gt;0</formula>
    </cfRule>
  </conditionalFormatting>
  <conditionalFormatting sqref="G8:G50008">
    <cfRule type="expression" dxfId="78" priority="1">
      <formula>LEFT($G8,1)="✖"</formula>
    </cfRule>
    <cfRule type="expression" dxfId="77" priority="2">
      <formula>LEFT($G8,1)="✔"</formula>
    </cfRule>
  </conditionalFormatting>
  <dataValidations count="7">
    <dataValidation allowBlank="1" showInputMessage="1" showErrorMessage="1" promptTitle="ƒx ID" prompt="Identificador de la ejecución (A-fecha-hora-aleatorio)." sqref="B7" xr:uid="{00000000-0002-0000-0C00-000000000000}"/>
    <dataValidation allowBlank="1" showInputMessage="1" showErrorMessage="1" promptTitle="ƒx Timestamp" prompt="Fecha y hora de la ejecución." sqref="C7" xr:uid="{00000000-0002-0000-0C00-000001000000}"/>
    <dataValidation allowBlank="1" showInputMessage="1" showErrorMessage="1" promptTitle="ƒx Usuario_O365" prompt="Correo de Microsoft 365 de quien ejecutó el script." sqref="D7" xr:uid="{00000000-0002-0000-0C00-000002000000}"/>
    <dataValidation allowBlank="1" showInputMessage="1" showErrorMessage="1" promptTitle="ƒx Nombre" prompt="Nombre visible (02_USUARIOS o cuenta de Microsoft 365)." sqref="E7" xr:uid="{00000000-0002-0000-0C00-000003000000}"/>
    <dataValidation allowBlank="1" showInputMessage="1" showErrorMessage="1" promptTitle="ƒx Script" prompt="Office Script ejecutado." sqref="F7" xr:uid="{00000000-0002-0000-0C00-000004000000}"/>
    <dataValidation allowBlank="1" showInputMessage="1" showErrorMessage="1" promptTitle="ƒx Resultado" prompt="✔ correcto · ✖ bloqueado (el motivo está en Detalle)." sqref="G7" xr:uid="{00000000-0002-0000-0C00-000005000000}"/>
    <dataValidation allowBlank="1" showInputMessage="1" showErrorMessage="1" promptTitle="ƒx Detalle" prompt="Mensaje completo que recibió el usuario." sqref="H7" xr:uid="{00000000-0002-0000-0C00-000006000000}"/>
  </dataValidations>
  <hyperlinks>
    <hyperlink ref="B5" location="'00_PORTADA_BODEGA'!A1" tooltip="Portada de Bodega" display="⌂ Bodega" xr:uid="{00000000-0004-0000-0C00-000000000000}"/>
    <hyperlink ref="C5" location="'00_PORTADA_VENTAS'!A1" tooltip="Portada de Ventas" display="⌂ Ventas" xr:uid="{00000000-0004-0000-0C00-000001000000}"/>
    <hyperlink ref="D5" location="'00_PORTADA_GERENCIA'!A1" tooltip="Portada de Gerencia: indicadores, pedido y actividad" display="◈ Gerencia" xr:uid="{00000000-0004-0000-0C00-000002000000}"/>
    <hyperlink ref="E5" location="'10A_ENTRADAS'!C9" tooltip="Registrar entradas y ajustes (Bodega)" display="⇩ Entradas" xr:uid="{00000000-0004-0000-0C00-000003000000}"/>
    <hyperlink ref="F5" location="'10B_SALIDAS'!E9" tooltip="Registrar salidas (Ventas)" display="⇧ Salidas" xr:uid="{00000000-0004-0000-0C00-000004000000}"/>
    <hyperlink ref="G5" location="'17_CONSULTA'!C9" tooltip="Consultar un producto en su fila" display="⌕ Consulta" xr:uid="{00000000-0004-0000-0C00-000005000000}"/>
    <hyperlink ref="H5" location="'15_STOCK'!A1" tooltip="Stock (instantánea recalculada a demanda)" display="▦ Stock" xr:uid="{00000000-0004-0000-0C00-000006000000}"/>
    <hyperlink ref="I5" location="'18_PEDIDO'!A1" tooltip="Pedido sugerido por proveedor" display="✚ Pedido" xr:uid="{00000000-0004-0000-0C00-000007000000}"/>
    <hyperlink ref="J5" location="'13_CONTEO'!I9" tooltip="Toma física (conteo) colaborativa" display="✓ Conteo" xr:uid="{00000000-0004-0000-0C00-000008000000}"/>
    <hyperlink ref="K5" location="'99_AYUDA'!A1" tooltip="Guía de uso, acceso e instalación" display="? Guía" xr:uid="{00000000-0004-0000-0C00-000009000000}"/>
  </hyperlinks>
  <pageMargins left="0.7" right="0.7" top="0.75" bottom="0.75" header="0.3" footer="0.3"/>
  <pageSetup fitToHeight="0" orientation="landscape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96B"/>
    <pageSetUpPr fitToPage="1"/>
  </sheetPr>
  <dimension ref="B1:U507"/>
  <sheetViews>
    <sheetView showGridLines="0" showRowColHeaders="0" zoomScale="90" zoomScaleNormal="9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12" customWidth="1"/>
    <col min="3" max="3" width="38.5703125" customWidth="1"/>
    <col min="4" max="4" width="22.85546875" customWidth="1"/>
    <col min="5" max="5" width="28.5703125" customWidth="1"/>
    <col min="6" max="6" width="12" customWidth="1"/>
    <col min="7" max="7" width="11.140625" customWidth="1"/>
    <col min="8" max="9" width="13.7109375" customWidth="1"/>
    <col min="10" max="10" width="16.85546875" customWidth="1"/>
    <col min="11" max="13" width="14.85546875" customWidth="1"/>
    <col min="14" max="15" width="18.5703125" customWidth="1"/>
    <col min="16" max="16" width="20.85546875" customWidth="1"/>
    <col min="17" max="18" width="16.85546875" customWidth="1"/>
    <col min="19" max="19" width="16.5703125" customWidth="1"/>
    <col min="20" max="20" width="19.140625" customWidth="1"/>
    <col min="21" max="21" width="20.85546875" customWidth="1"/>
    <col min="22" max="22" width="2.28515625" customWidth="1"/>
    <col min="23" max="23" width="0" hidden="1" customWidth="1"/>
  </cols>
  <sheetData>
    <row r="1" spans="2:21" s="1" customFormat="1" ht="4.5" customHeight="1" x14ac:dyDescent="0.25"/>
    <row r="2" spans="2:21" s="1" customFormat="1" ht="22.5" customHeight="1" x14ac:dyDescent="0.25">
      <c r="B2" s="2" t="s">
        <v>2334</v>
      </c>
    </row>
    <row r="3" spans="2:21" s="1" customFormat="1" ht="14.25" x14ac:dyDescent="0.25">
      <c r="B3" s="3" t="s">
        <v>2335</v>
      </c>
    </row>
    <row r="4" spans="2:21" s="1" customFormat="1" ht="4.5" customHeight="1" x14ac:dyDescent="0.25"/>
    <row r="5" spans="2:21" s="4" customFormat="1" ht="21" customHeight="1" x14ac:dyDescent="0.25">
      <c r="H5" s="6" t="s">
        <v>85</v>
      </c>
      <c r="I5" s="6" t="s">
        <v>86</v>
      </c>
      <c r="J5" s="6" t="s">
        <v>87</v>
      </c>
      <c r="K5" s="6" t="s">
        <v>88</v>
      </c>
      <c r="L5" s="6" t="s">
        <v>89</v>
      </c>
      <c r="M5" s="6" t="s">
        <v>90</v>
      </c>
      <c r="N5" s="5" t="s">
        <v>91</v>
      </c>
      <c r="O5" s="6" t="s">
        <v>92</v>
      </c>
      <c r="P5" s="6" t="s">
        <v>93</v>
      </c>
      <c r="Q5" s="6" t="s">
        <v>94</v>
      </c>
    </row>
    <row r="6" spans="2:21" s="7" customFormat="1" ht="27" customHeight="1" x14ac:dyDescent="0.25">
      <c r="B6" s="126" t="str">
        <f>txtStockActualizado</f>
        <v>Calculado el 25/09/2026 14:40 · Administrador M-INV</v>
      </c>
      <c r="C6" s="126"/>
      <c r="D6" s="126" t="str">
        <f>txtFrescuraCorta</f>
        <v>⚠ 3 mov. nuevo(s): recalcule</v>
      </c>
      <c r="E6" s="126"/>
      <c r="F6" s="126"/>
      <c r="G6" s="93" t="s">
        <v>2346</v>
      </c>
      <c r="H6" s="93"/>
      <c r="I6" s="93"/>
      <c r="J6" s="93"/>
      <c r="K6" s="93"/>
    </row>
    <row r="7" spans="2:21" ht="24" customHeight="1" x14ac:dyDescent="0.25">
      <c r="B7" s="17" t="s">
        <v>160</v>
      </c>
      <c r="C7" s="17" t="s">
        <v>161</v>
      </c>
      <c r="D7" s="17" t="s">
        <v>162</v>
      </c>
      <c r="E7" s="17" t="s">
        <v>119</v>
      </c>
      <c r="F7" s="17" t="s">
        <v>163</v>
      </c>
      <c r="G7" s="17" t="s">
        <v>98</v>
      </c>
      <c r="H7" s="17" t="s">
        <v>2336</v>
      </c>
      <c r="I7" s="17" t="s">
        <v>2337</v>
      </c>
      <c r="J7" s="17" t="s">
        <v>2338</v>
      </c>
      <c r="K7" s="17" t="s">
        <v>164</v>
      </c>
      <c r="L7" s="17" t="s">
        <v>165</v>
      </c>
      <c r="M7" s="17" t="s">
        <v>2339</v>
      </c>
      <c r="N7" s="17" t="s">
        <v>59</v>
      </c>
      <c r="O7" s="17" t="s">
        <v>166</v>
      </c>
      <c r="P7" s="17" t="s">
        <v>2340</v>
      </c>
      <c r="Q7" s="17" t="s">
        <v>2341</v>
      </c>
      <c r="R7" s="17" t="s">
        <v>2342</v>
      </c>
      <c r="S7" s="17" t="s">
        <v>2343</v>
      </c>
      <c r="T7" s="17" t="s">
        <v>2344</v>
      </c>
      <c r="U7" s="17" t="s">
        <v>2345</v>
      </c>
    </row>
    <row r="8" spans="2:21" x14ac:dyDescent="0.25">
      <c r="B8" s="65" t="s">
        <v>170</v>
      </c>
      <c r="C8" s="66" t="s">
        <v>171</v>
      </c>
      <c r="D8" s="66" t="s">
        <v>172</v>
      </c>
      <c r="E8" s="66" t="s">
        <v>128</v>
      </c>
      <c r="F8" s="65" t="s">
        <v>173</v>
      </c>
      <c r="G8" s="65" t="s">
        <v>104</v>
      </c>
      <c r="H8" s="67">
        <v>191</v>
      </c>
      <c r="I8" s="67">
        <v>169</v>
      </c>
      <c r="J8" s="68">
        <v>22</v>
      </c>
      <c r="K8" s="67">
        <v>20</v>
      </c>
      <c r="L8" s="67">
        <v>120</v>
      </c>
      <c r="M8" s="69">
        <v>0.183333</v>
      </c>
      <c r="N8" s="70" t="s">
        <v>72</v>
      </c>
      <c r="O8" s="71">
        <v>9800</v>
      </c>
      <c r="P8" s="71">
        <v>215600</v>
      </c>
      <c r="Q8" s="72">
        <v>46290</v>
      </c>
      <c r="R8" s="73">
        <v>0</v>
      </c>
      <c r="S8" s="67">
        <v>54</v>
      </c>
      <c r="T8" s="73">
        <v>12</v>
      </c>
      <c r="U8" s="65">
        <v>7</v>
      </c>
    </row>
    <row r="9" spans="2:21" x14ac:dyDescent="0.25">
      <c r="B9" s="65" t="s">
        <v>175</v>
      </c>
      <c r="C9" s="66" t="s">
        <v>176</v>
      </c>
      <c r="D9" s="66" t="s">
        <v>172</v>
      </c>
      <c r="E9" s="66" t="s">
        <v>128</v>
      </c>
      <c r="F9" s="65" t="s">
        <v>177</v>
      </c>
      <c r="G9" s="65" t="s">
        <v>104</v>
      </c>
      <c r="H9" s="67">
        <v>125</v>
      </c>
      <c r="I9" s="67">
        <v>91</v>
      </c>
      <c r="J9" s="68">
        <v>34</v>
      </c>
      <c r="K9" s="67">
        <v>15</v>
      </c>
      <c r="L9" s="67">
        <v>80</v>
      </c>
      <c r="M9" s="69">
        <v>0.42499999999999999</v>
      </c>
      <c r="N9" s="70" t="s">
        <v>75</v>
      </c>
      <c r="O9" s="71">
        <v>6500</v>
      </c>
      <c r="P9" s="71">
        <v>221000</v>
      </c>
      <c r="Q9" s="72">
        <v>46283</v>
      </c>
      <c r="R9" s="73">
        <v>7</v>
      </c>
      <c r="S9" s="67">
        <v>21</v>
      </c>
      <c r="T9" s="73">
        <v>48</v>
      </c>
      <c r="U9" s="65">
        <v>12</v>
      </c>
    </row>
    <row r="10" spans="2:21" x14ac:dyDescent="0.25">
      <c r="B10" s="65" t="s">
        <v>179</v>
      </c>
      <c r="C10" s="66" t="s">
        <v>180</v>
      </c>
      <c r="D10" s="66" t="s">
        <v>172</v>
      </c>
      <c r="E10" s="66" t="s">
        <v>128</v>
      </c>
      <c r="F10" s="65" t="s">
        <v>181</v>
      </c>
      <c r="G10" s="65" t="s">
        <v>104</v>
      </c>
      <c r="H10" s="67">
        <v>50</v>
      </c>
      <c r="I10" s="67">
        <v>24</v>
      </c>
      <c r="J10" s="68">
        <v>26</v>
      </c>
      <c r="K10" s="67">
        <v>5</v>
      </c>
      <c r="L10" s="67">
        <v>30</v>
      </c>
      <c r="M10" s="69">
        <v>0.86666699999999997</v>
      </c>
      <c r="N10" s="70" t="s">
        <v>75</v>
      </c>
      <c r="O10" s="71">
        <v>28000</v>
      </c>
      <c r="P10" s="71">
        <v>728000</v>
      </c>
      <c r="Q10" s="72">
        <v>46279</v>
      </c>
      <c r="R10" s="73">
        <v>11</v>
      </c>
      <c r="S10" s="67">
        <v>4</v>
      </c>
      <c r="T10" s="73">
        <v>195</v>
      </c>
      <c r="U10" s="65">
        <v>25</v>
      </c>
    </row>
    <row r="11" spans="2:21" x14ac:dyDescent="0.25">
      <c r="B11" s="65" t="s">
        <v>183</v>
      </c>
      <c r="C11" s="66" t="s">
        <v>184</v>
      </c>
      <c r="D11" s="66" t="s">
        <v>172</v>
      </c>
      <c r="E11" s="66" t="s">
        <v>128</v>
      </c>
      <c r="F11" s="65" t="s">
        <v>181</v>
      </c>
      <c r="G11" s="65" t="s">
        <v>104</v>
      </c>
      <c r="H11" s="67">
        <v>34</v>
      </c>
      <c r="I11" s="67">
        <v>8</v>
      </c>
      <c r="J11" s="68">
        <v>26</v>
      </c>
      <c r="K11" s="67">
        <v>8</v>
      </c>
      <c r="L11" s="67">
        <v>40</v>
      </c>
      <c r="M11" s="69">
        <v>0.65</v>
      </c>
      <c r="N11" s="70" t="s">
        <v>75</v>
      </c>
      <c r="O11" s="71">
        <v>14500</v>
      </c>
      <c r="P11" s="71">
        <v>377000</v>
      </c>
      <c r="Q11" s="72">
        <v>46266</v>
      </c>
      <c r="R11" s="73">
        <v>24</v>
      </c>
      <c r="S11" s="67">
        <v>4</v>
      </c>
      <c r="T11" s="73">
        <v>195</v>
      </c>
      <c r="U11" s="65">
        <v>26</v>
      </c>
    </row>
    <row r="12" spans="2:21" x14ac:dyDescent="0.25">
      <c r="B12" s="65" t="s">
        <v>186</v>
      </c>
      <c r="C12" s="66" t="s">
        <v>187</v>
      </c>
      <c r="D12" s="66" t="s">
        <v>172</v>
      </c>
      <c r="E12" s="66" t="s">
        <v>128</v>
      </c>
      <c r="F12" s="65" t="s">
        <v>181</v>
      </c>
      <c r="G12" s="65" t="s">
        <v>104</v>
      </c>
      <c r="H12" s="67">
        <v>363</v>
      </c>
      <c r="I12" s="67">
        <v>349</v>
      </c>
      <c r="J12" s="68">
        <v>14</v>
      </c>
      <c r="K12" s="67">
        <v>25</v>
      </c>
      <c r="L12" s="67">
        <v>150</v>
      </c>
      <c r="M12" s="69">
        <v>9.3332999999999999E-2</v>
      </c>
      <c r="N12" s="70" t="s">
        <v>69</v>
      </c>
      <c r="O12" s="71">
        <v>3900</v>
      </c>
      <c r="P12" s="71">
        <v>54600</v>
      </c>
      <c r="Q12" s="72">
        <v>46290</v>
      </c>
      <c r="R12" s="73">
        <v>0</v>
      </c>
      <c r="S12" s="67">
        <v>171</v>
      </c>
      <c r="T12" s="73">
        <v>2</v>
      </c>
      <c r="U12" s="65">
        <v>4</v>
      </c>
    </row>
    <row r="13" spans="2:21" x14ac:dyDescent="0.25">
      <c r="B13" s="65" t="s">
        <v>189</v>
      </c>
      <c r="C13" s="66" t="s">
        <v>190</v>
      </c>
      <c r="D13" s="66" t="s">
        <v>172</v>
      </c>
      <c r="E13" s="66" t="s">
        <v>128</v>
      </c>
      <c r="F13" s="65" t="s">
        <v>181</v>
      </c>
      <c r="G13" s="65" t="s">
        <v>104</v>
      </c>
      <c r="H13" s="67">
        <v>24</v>
      </c>
      <c r="I13" s="67">
        <v>5</v>
      </c>
      <c r="J13" s="68">
        <v>19</v>
      </c>
      <c r="K13" s="67">
        <v>6</v>
      </c>
      <c r="L13" s="67">
        <v>36</v>
      </c>
      <c r="M13" s="69">
        <v>0.52777799999999997</v>
      </c>
      <c r="N13" s="70" t="s">
        <v>75</v>
      </c>
      <c r="O13" s="71">
        <v>22000</v>
      </c>
      <c r="P13" s="71">
        <v>418000</v>
      </c>
      <c r="Q13" s="72">
        <v>46121</v>
      </c>
      <c r="R13" s="73">
        <v>169</v>
      </c>
      <c r="S13" s="67">
        <v>0</v>
      </c>
      <c r="T13" s="73"/>
      <c r="U13" s="65"/>
    </row>
    <row r="14" spans="2:21" x14ac:dyDescent="0.25">
      <c r="B14" s="65" t="s">
        <v>192</v>
      </c>
      <c r="C14" s="66" t="s">
        <v>193</v>
      </c>
      <c r="D14" s="66" t="s">
        <v>172</v>
      </c>
      <c r="E14" s="66" t="s">
        <v>128</v>
      </c>
      <c r="F14" s="65" t="s">
        <v>181</v>
      </c>
      <c r="G14" s="65" t="s">
        <v>195</v>
      </c>
      <c r="H14" s="67">
        <v>3</v>
      </c>
      <c r="I14" s="67">
        <v>3</v>
      </c>
      <c r="J14" s="68">
        <v>0</v>
      </c>
      <c r="K14" s="67">
        <v>0</v>
      </c>
      <c r="L14" s="67">
        <v>0</v>
      </c>
      <c r="M14" s="69"/>
      <c r="N14" s="70" t="s">
        <v>81</v>
      </c>
      <c r="O14" s="71">
        <v>31000</v>
      </c>
      <c r="P14" s="71">
        <v>0</v>
      </c>
      <c r="Q14" s="72">
        <v>46133</v>
      </c>
      <c r="R14" s="73">
        <v>157</v>
      </c>
      <c r="S14" s="67">
        <v>0</v>
      </c>
      <c r="T14" s="73"/>
      <c r="U14" s="65"/>
    </row>
    <row r="15" spans="2:21" x14ac:dyDescent="0.25">
      <c r="B15" s="65" t="s">
        <v>196</v>
      </c>
      <c r="C15" s="66" t="s">
        <v>197</v>
      </c>
      <c r="D15" s="66" t="s">
        <v>198</v>
      </c>
      <c r="E15" s="66" t="s">
        <v>133</v>
      </c>
      <c r="F15" s="65" t="s">
        <v>199</v>
      </c>
      <c r="G15" s="65" t="s">
        <v>104</v>
      </c>
      <c r="H15" s="67">
        <v>16</v>
      </c>
      <c r="I15" s="67">
        <v>16</v>
      </c>
      <c r="J15" s="68">
        <v>0</v>
      </c>
      <c r="K15" s="67">
        <v>4</v>
      </c>
      <c r="L15" s="67">
        <v>20</v>
      </c>
      <c r="M15" s="69">
        <v>0</v>
      </c>
      <c r="N15" s="70" t="s">
        <v>66</v>
      </c>
      <c r="O15" s="71">
        <v>185000</v>
      </c>
      <c r="P15" s="71">
        <v>0</v>
      </c>
      <c r="Q15" s="72">
        <v>46290</v>
      </c>
      <c r="R15" s="73">
        <v>0</v>
      </c>
      <c r="S15" s="67">
        <v>11</v>
      </c>
      <c r="T15" s="73">
        <v>0</v>
      </c>
      <c r="U15" s="65">
        <v>19</v>
      </c>
    </row>
    <row r="16" spans="2:21" x14ac:dyDescent="0.25">
      <c r="B16" s="65" t="s">
        <v>201</v>
      </c>
      <c r="C16" s="66" t="s">
        <v>202</v>
      </c>
      <c r="D16" s="66" t="s">
        <v>198</v>
      </c>
      <c r="E16" s="66" t="s">
        <v>133</v>
      </c>
      <c r="F16" s="65" t="s">
        <v>181</v>
      </c>
      <c r="G16" s="65" t="s">
        <v>104</v>
      </c>
      <c r="H16" s="67">
        <v>865</v>
      </c>
      <c r="I16" s="67">
        <v>710</v>
      </c>
      <c r="J16" s="68">
        <v>155</v>
      </c>
      <c r="K16" s="67">
        <v>40</v>
      </c>
      <c r="L16" s="67">
        <v>250</v>
      </c>
      <c r="M16" s="69">
        <v>0.62</v>
      </c>
      <c r="N16" s="70" t="s">
        <v>75</v>
      </c>
      <c r="O16" s="71">
        <v>4200</v>
      </c>
      <c r="P16" s="71">
        <v>651000</v>
      </c>
      <c r="Q16" s="72">
        <v>46277</v>
      </c>
      <c r="R16" s="73">
        <v>13</v>
      </c>
      <c r="S16" s="67">
        <v>122</v>
      </c>
      <c r="T16" s="73">
        <v>38</v>
      </c>
      <c r="U16" s="65">
        <v>6</v>
      </c>
    </row>
    <row r="17" spans="2:21" x14ac:dyDescent="0.25">
      <c r="B17" s="65" t="s">
        <v>204</v>
      </c>
      <c r="C17" s="66" t="s">
        <v>205</v>
      </c>
      <c r="D17" s="66" t="s">
        <v>198</v>
      </c>
      <c r="E17" s="66" t="s">
        <v>133</v>
      </c>
      <c r="F17" s="65" t="s">
        <v>181</v>
      </c>
      <c r="G17" s="65" t="s">
        <v>104</v>
      </c>
      <c r="H17" s="67">
        <v>317</v>
      </c>
      <c r="I17" s="67">
        <v>216</v>
      </c>
      <c r="J17" s="68">
        <v>101</v>
      </c>
      <c r="K17" s="67">
        <v>20</v>
      </c>
      <c r="L17" s="67">
        <v>120</v>
      </c>
      <c r="M17" s="69">
        <v>0.84166700000000005</v>
      </c>
      <c r="N17" s="70" t="s">
        <v>75</v>
      </c>
      <c r="O17" s="71">
        <v>7800</v>
      </c>
      <c r="P17" s="71">
        <v>787800</v>
      </c>
      <c r="Q17" s="72">
        <v>46265</v>
      </c>
      <c r="R17" s="73">
        <v>25</v>
      </c>
      <c r="S17" s="67">
        <v>19</v>
      </c>
      <c r="T17" s="73">
        <v>159</v>
      </c>
      <c r="U17" s="65">
        <v>13</v>
      </c>
    </row>
    <row r="18" spans="2:21" x14ac:dyDescent="0.25">
      <c r="B18" s="65" t="s">
        <v>207</v>
      </c>
      <c r="C18" s="66" t="s">
        <v>208</v>
      </c>
      <c r="D18" s="66" t="s">
        <v>198</v>
      </c>
      <c r="E18" s="66" t="s">
        <v>133</v>
      </c>
      <c r="F18" s="65" t="s">
        <v>181</v>
      </c>
      <c r="G18" s="65" t="s">
        <v>104</v>
      </c>
      <c r="H18" s="67">
        <v>46</v>
      </c>
      <c r="I18" s="67">
        <v>35</v>
      </c>
      <c r="J18" s="68">
        <v>11</v>
      </c>
      <c r="K18" s="67">
        <v>10</v>
      </c>
      <c r="L18" s="67">
        <v>60</v>
      </c>
      <c r="M18" s="69">
        <v>0.183333</v>
      </c>
      <c r="N18" s="70" t="s">
        <v>72</v>
      </c>
      <c r="O18" s="71">
        <v>16500</v>
      </c>
      <c r="P18" s="71">
        <v>181500</v>
      </c>
      <c r="Q18" s="72">
        <v>46290</v>
      </c>
      <c r="R18" s="73">
        <v>0</v>
      </c>
      <c r="S18" s="67">
        <v>17</v>
      </c>
      <c r="T18" s="73">
        <v>19</v>
      </c>
      <c r="U18" s="65">
        <v>15</v>
      </c>
    </row>
    <row r="19" spans="2:21" x14ac:dyDescent="0.25">
      <c r="B19" s="65" t="s">
        <v>210</v>
      </c>
      <c r="C19" s="66" t="s">
        <v>211</v>
      </c>
      <c r="D19" s="66" t="s">
        <v>198</v>
      </c>
      <c r="E19" s="66" t="s">
        <v>133</v>
      </c>
      <c r="F19" s="65" t="s">
        <v>181</v>
      </c>
      <c r="G19" s="65" t="s">
        <v>104</v>
      </c>
      <c r="H19" s="67">
        <v>720</v>
      </c>
      <c r="I19" s="67">
        <v>547</v>
      </c>
      <c r="J19" s="68">
        <v>173</v>
      </c>
      <c r="K19" s="67">
        <v>30</v>
      </c>
      <c r="L19" s="67">
        <v>200</v>
      </c>
      <c r="M19" s="69">
        <v>0.86499999999999999</v>
      </c>
      <c r="N19" s="70" t="s">
        <v>75</v>
      </c>
      <c r="O19" s="71">
        <v>3500</v>
      </c>
      <c r="P19" s="71">
        <v>605500</v>
      </c>
      <c r="Q19" s="72">
        <v>46288</v>
      </c>
      <c r="R19" s="73">
        <v>2</v>
      </c>
      <c r="S19" s="67">
        <v>186</v>
      </c>
      <c r="T19" s="73">
        <v>27</v>
      </c>
      <c r="U19" s="65">
        <v>3</v>
      </c>
    </row>
    <row r="20" spans="2:21" x14ac:dyDescent="0.25">
      <c r="B20" s="65" t="s">
        <v>213</v>
      </c>
      <c r="C20" s="66" t="s">
        <v>214</v>
      </c>
      <c r="D20" s="66" t="s">
        <v>198</v>
      </c>
      <c r="E20" s="66" t="s">
        <v>133</v>
      </c>
      <c r="F20" s="65" t="s">
        <v>181</v>
      </c>
      <c r="G20" s="65" t="s">
        <v>104</v>
      </c>
      <c r="H20" s="67">
        <v>163</v>
      </c>
      <c r="I20" s="67">
        <v>117</v>
      </c>
      <c r="J20" s="68">
        <v>46</v>
      </c>
      <c r="K20" s="67">
        <v>20</v>
      </c>
      <c r="L20" s="67">
        <v>100</v>
      </c>
      <c r="M20" s="69">
        <v>0.46</v>
      </c>
      <c r="N20" s="70" t="s">
        <v>75</v>
      </c>
      <c r="O20" s="71">
        <v>6900</v>
      </c>
      <c r="P20" s="71">
        <v>317400</v>
      </c>
      <c r="Q20" s="72">
        <v>46286</v>
      </c>
      <c r="R20" s="73">
        <v>4</v>
      </c>
      <c r="S20" s="67">
        <v>16</v>
      </c>
      <c r="T20" s="73">
        <v>86</v>
      </c>
      <c r="U20" s="65">
        <v>16</v>
      </c>
    </row>
    <row r="21" spans="2:21" x14ac:dyDescent="0.25">
      <c r="B21" s="65" t="s">
        <v>216</v>
      </c>
      <c r="C21" s="66" t="s">
        <v>217</v>
      </c>
      <c r="D21" s="66" t="s">
        <v>198</v>
      </c>
      <c r="E21" s="66" t="s">
        <v>128</v>
      </c>
      <c r="F21" s="65" t="s">
        <v>218</v>
      </c>
      <c r="G21" s="65" t="s">
        <v>104</v>
      </c>
      <c r="H21" s="67">
        <v>4751</v>
      </c>
      <c r="I21" s="67">
        <v>4394.5</v>
      </c>
      <c r="J21" s="68">
        <v>356.5</v>
      </c>
      <c r="K21" s="67">
        <v>100</v>
      </c>
      <c r="L21" s="67">
        <v>600</v>
      </c>
      <c r="M21" s="69">
        <v>0.594167</v>
      </c>
      <c r="N21" s="70" t="s">
        <v>75</v>
      </c>
      <c r="O21" s="71">
        <v>2300</v>
      </c>
      <c r="P21" s="71">
        <v>819950</v>
      </c>
      <c r="Q21" s="72">
        <v>46289</v>
      </c>
      <c r="R21" s="73">
        <v>1</v>
      </c>
      <c r="S21" s="67">
        <v>700</v>
      </c>
      <c r="T21" s="73">
        <v>15</v>
      </c>
      <c r="U21" s="65">
        <v>1</v>
      </c>
    </row>
    <row r="22" spans="2:21" x14ac:dyDescent="0.25">
      <c r="B22" s="65" t="s">
        <v>220</v>
      </c>
      <c r="C22" s="66" t="s">
        <v>221</v>
      </c>
      <c r="D22" s="66" t="s">
        <v>222</v>
      </c>
      <c r="E22" s="66" t="s">
        <v>138</v>
      </c>
      <c r="F22" s="65" t="s">
        <v>181</v>
      </c>
      <c r="G22" s="65" t="s">
        <v>104</v>
      </c>
      <c r="H22" s="67">
        <v>62</v>
      </c>
      <c r="I22" s="67">
        <v>42</v>
      </c>
      <c r="J22" s="68">
        <v>20</v>
      </c>
      <c r="K22" s="67">
        <v>15</v>
      </c>
      <c r="L22" s="67">
        <v>80</v>
      </c>
      <c r="M22" s="69">
        <v>0.25</v>
      </c>
      <c r="N22" s="70" t="s">
        <v>75</v>
      </c>
      <c r="O22" s="71">
        <v>17500</v>
      </c>
      <c r="P22" s="71">
        <v>350000</v>
      </c>
      <c r="Q22" s="72">
        <v>46246</v>
      </c>
      <c r="R22" s="73">
        <v>44</v>
      </c>
      <c r="S22" s="67">
        <v>0</v>
      </c>
      <c r="T22" s="73"/>
      <c r="U22" s="65"/>
    </row>
    <row r="23" spans="2:21" x14ac:dyDescent="0.25">
      <c r="B23" s="65" t="s">
        <v>224</v>
      </c>
      <c r="C23" s="66" t="s">
        <v>225</v>
      </c>
      <c r="D23" s="66" t="s">
        <v>222</v>
      </c>
      <c r="E23" s="66" t="s">
        <v>138</v>
      </c>
      <c r="F23" s="65" t="s">
        <v>181</v>
      </c>
      <c r="G23" s="65" t="s">
        <v>104</v>
      </c>
      <c r="H23" s="67">
        <v>1288</v>
      </c>
      <c r="I23" s="67">
        <v>1203</v>
      </c>
      <c r="J23" s="68">
        <v>85</v>
      </c>
      <c r="K23" s="67">
        <v>50</v>
      </c>
      <c r="L23" s="67">
        <v>300</v>
      </c>
      <c r="M23" s="69">
        <v>0.283333</v>
      </c>
      <c r="N23" s="70" t="s">
        <v>75</v>
      </c>
      <c r="O23" s="71">
        <v>900</v>
      </c>
      <c r="P23" s="71">
        <v>76500</v>
      </c>
      <c r="Q23" s="72">
        <v>46289</v>
      </c>
      <c r="R23" s="73">
        <v>1</v>
      </c>
      <c r="S23" s="67">
        <v>215</v>
      </c>
      <c r="T23" s="73">
        <v>11</v>
      </c>
      <c r="U23" s="65">
        <v>2</v>
      </c>
    </row>
    <row r="24" spans="2:21" x14ac:dyDescent="0.25">
      <c r="B24" s="65" t="s">
        <v>227</v>
      </c>
      <c r="C24" s="66" t="s">
        <v>228</v>
      </c>
      <c r="D24" s="66" t="s">
        <v>222</v>
      </c>
      <c r="E24" s="66" t="s">
        <v>138</v>
      </c>
      <c r="F24" s="65" t="s">
        <v>181</v>
      </c>
      <c r="G24" s="65" t="s">
        <v>104</v>
      </c>
      <c r="H24" s="67">
        <v>69</v>
      </c>
      <c r="I24" s="67">
        <v>66</v>
      </c>
      <c r="J24" s="68">
        <v>3</v>
      </c>
      <c r="K24" s="67">
        <v>8</v>
      </c>
      <c r="L24" s="67">
        <v>40</v>
      </c>
      <c r="M24" s="69">
        <v>7.4999999999999997E-2</v>
      </c>
      <c r="N24" s="70" t="s">
        <v>69</v>
      </c>
      <c r="O24" s="71">
        <v>24000</v>
      </c>
      <c r="P24" s="71">
        <v>72000</v>
      </c>
      <c r="Q24" s="72">
        <v>46290</v>
      </c>
      <c r="R24" s="73">
        <v>0</v>
      </c>
      <c r="S24" s="67">
        <v>37</v>
      </c>
      <c r="T24" s="73">
        <v>2</v>
      </c>
      <c r="U24" s="65">
        <v>9</v>
      </c>
    </row>
    <row r="25" spans="2:21" x14ac:dyDescent="0.25">
      <c r="B25" s="65" t="s">
        <v>230</v>
      </c>
      <c r="C25" s="66" t="s">
        <v>231</v>
      </c>
      <c r="D25" s="66" t="s">
        <v>222</v>
      </c>
      <c r="E25" s="66" t="s">
        <v>138</v>
      </c>
      <c r="F25" s="65" t="s">
        <v>181</v>
      </c>
      <c r="G25" s="65" t="s">
        <v>104</v>
      </c>
      <c r="H25" s="67">
        <v>59</v>
      </c>
      <c r="I25" s="67">
        <v>21</v>
      </c>
      <c r="J25" s="68">
        <v>38</v>
      </c>
      <c r="K25" s="67">
        <v>10</v>
      </c>
      <c r="L25" s="67">
        <v>50</v>
      </c>
      <c r="M25" s="69">
        <v>0.76</v>
      </c>
      <c r="N25" s="70" t="s">
        <v>75</v>
      </c>
      <c r="O25" s="71">
        <v>32000</v>
      </c>
      <c r="P25" s="71">
        <v>1216000</v>
      </c>
      <c r="Q25" s="72">
        <v>46290</v>
      </c>
      <c r="R25" s="73">
        <v>0</v>
      </c>
      <c r="S25" s="67">
        <v>0</v>
      </c>
      <c r="T25" s="73"/>
      <c r="U25" s="65"/>
    </row>
    <row r="26" spans="2:21" x14ac:dyDescent="0.25">
      <c r="B26" s="65" t="s">
        <v>233</v>
      </c>
      <c r="C26" s="66" t="s">
        <v>234</v>
      </c>
      <c r="D26" s="66" t="s">
        <v>222</v>
      </c>
      <c r="E26" s="66" t="s">
        <v>138</v>
      </c>
      <c r="F26" s="65" t="s">
        <v>181</v>
      </c>
      <c r="G26" s="65" t="s">
        <v>104</v>
      </c>
      <c r="H26" s="67">
        <v>973</v>
      </c>
      <c r="I26" s="67">
        <v>648</v>
      </c>
      <c r="J26" s="68">
        <v>325</v>
      </c>
      <c r="K26" s="67">
        <v>40</v>
      </c>
      <c r="L26" s="67">
        <v>250</v>
      </c>
      <c r="M26" s="69">
        <v>1.3</v>
      </c>
      <c r="N26" s="70" t="s">
        <v>78</v>
      </c>
      <c r="O26" s="71">
        <v>1200</v>
      </c>
      <c r="P26" s="71">
        <v>390000</v>
      </c>
      <c r="Q26" s="72">
        <v>46290</v>
      </c>
      <c r="R26" s="73">
        <v>0</v>
      </c>
      <c r="S26" s="67">
        <v>123</v>
      </c>
      <c r="T26" s="73">
        <v>79</v>
      </c>
      <c r="U26" s="65">
        <v>5</v>
      </c>
    </row>
    <row r="27" spans="2:21" x14ac:dyDescent="0.25">
      <c r="B27" s="65" t="s">
        <v>236</v>
      </c>
      <c r="C27" s="66" t="s">
        <v>237</v>
      </c>
      <c r="D27" s="66" t="s">
        <v>238</v>
      </c>
      <c r="E27" s="66" t="s">
        <v>143</v>
      </c>
      <c r="F27" s="65" t="s">
        <v>239</v>
      </c>
      <c r="G27" s="65" t="s">
        <v>104</v>
      </c>
      <c r="H27" s="67">
        <v>95</v>
      </c>
      <c r="I27" s="67">
        <v>41.5</v>
      </c>
      <c r="J27" s="68">
        <v>53.5</v>
      </c>
      <c r="K27" s="67">
        <v>12</v>
      </c>
      <c r="L27" s="67">
        <v>60</v>
      </c>
      <c r="M27" s="69">
        <v>0.89166699999999999</v>
      </c>
      <c r="N27" s="70" t="s">
        <v>75</v>
      </c>
      <c r="O27" s="71">
        <v>58000</v>
      </c>
      <c r="P27" s="71">
        <v>3103000</v>
      </c>
      <c r="Q27" s="72">
        <v>46262</v>
      </c>
      <c r="R27" s="73">
        <v>28</v>
      </c>
      <c r="S27" s="67">
        <v>6.5</v>
      </c>
      <c r="T27" s="73">
        <v>246</v>
      </c>
      <c r="U27" s="65">
        <v>23</v>
      </c>
    </row>
    <row r="28" spans="2:21" x14ac:dyDescent="0.25">
      <c r="B28" s="65" t="s">
        <v>241</v>
      </c>
      <c r="C28" s="66" t="s">
        <v>242</v>
      </c>
      <c r="D28" s="66" t="s">
        <v>238</v>
      </c>
      <c r="E28" s="66" t="s">
        <v>143</v>
      </c>
      <c r="F28" s="65" t="s">
        <v>239</v>
      </c>
      <c r="G28" s="65" t="s">
        <v>104</v>
      </c>
      <c r="H28" s="67">
        <v>25.5</v>
      </c>
      <c r="I28" s="67">
        <v>25.5</v>
      </c>
      <c r="J28" s="68">
        <v>0</v>
      </c>
      <c r="K28" s="67">
        <v>6</v>
      </c>
      <c r="L28" s="67">
        <v>30</v>
      </c>
      <c r="M28" s="69">
        <v>0</v>
      </c>
      <c r="N28" s="70" t="s">
        <v>66</v>
      </c>
      <c r="O28" s="71">
        <v>74000</v>
      </c>
      <c r="P28" s="71">
        <v>0</v>
      </c>
      <c r="Q28" s="72">
        <v>46290</v>
      </c>
      <c r="R28" s="73">
        <v>0</v>
      </c>
      <c r="S28" s="67">
        <v>13</v>
      </c>
      <c r="T28" s="73">
        <v>0</v>
      </c>
      <c r="U28" s="65">
        <v>18</v>
      </c>
    </row>
    <row r="29" spans="2:21" x14ac:dyDescent="0.25">
      <c r="B29" s="65" t="s">
        <v>244</v>
      </c>
      <c r="C29" s="66" t="s">
        <v>245</v>
      </c>
      <c r="D29" s="66" t="s">
        <v>238</v>
      </c>
      <c r="E29" s="66" t="s">
        <v>143</v>
      </c>
      <c r="F29" s="65" t="s">
        <v>239</v>
      </c>
      <c r="G29" s="65" t="s">
        <v>104</v>
      </c>
      <c r="H29" s="67">
        <v>68</v>
      </c>
      <c r="I29" s="67">
        <v>28</v>
      </c>
      <c r="J29" s="68">
        <v>40</v>
      </c>
      <c r="K29" s="67">
        <v>8</v>
      </c>
      <c r="L29" s="67">
        <v>40</v>
      </c>
      <c r="M29" s="69">
        <v>1</v>
      </c>
      <c r="N29" s="70" t="s">
        <v>75</v>
      </c>
      <c r="O29" s="71">
        <v>26000</v>
      </c>
      <c r="P29" s="71">
        <v>1040000</v>
      </c>
      <c r="Q29" s="72">
        <v>46230</v>
      </c>
      <c r="R29" s="73">
        <v>60</v>
      </c>
      <c r="S29" s="67">
        <v>0</v>
      </c>
      <c r="T29" s="73"/>
      <c r="U29" s="65"/>
    </row>
    <row r="30" spans="2:21" x14ac:dyDescent="0.25">
      <c r="B30" s="65" t="s">
        <v>247</v>
      </c>
      <c r="C30" s="66" t="s">
        <v>248</v>
      </c>
      <c r="D30" s="66" t="s">
        <v>238</v>
      </c>
      <c r="E30" s="66" t="s">
        <v>143</v>
      </c>
      <c r="F30" s="65" t="s">
        <v>181</v>
      </c>
      <c r="G30" s="65" t="s">
        <v>104</v>
      </c>
      <c r="H30" s="67">
        <v>48</v>
      </c>
      <c r="I30" s="67">
        <v>37</v>
      </c>
      <c r="J30" s="68">
        <v>11</v>
      </c>
      <c r="K30" s="67">
        <v>10</v>
      </c>
      <c r="L30" s="67">
        <v>60</v>
      </c>
      <c r="M30" s="69">
        <v>0.183333</v>
      </c>
      <c r="N30" s="70" t="s">
        <v>72</v>
      </c>
      <c r="O30" s="71">
        <v>12500</v>
      </c>
      <c r="P30" s="71">
        <v>137500</v>
      </c>
      <c r="Q30" s="72">
        <v>46290</v>
      </c>
      <c r="R30" s="73">
        <v>0</v>
      </c>
      <c r="S30" s="67">
        <v>9</v>
      </c>
      <c r="T30" s="73">
        <v>36</v>
      </c>
      <c r="U30" s="65">
        <v>20</v>
      </c>
    </row>
    <row r="31" spans="2:21" x14ac:dyDescent="0.25">
      <c r="B31" s="65" t="s">
        <v>250</v>
      </c>
      <c r="C31" s="66" t="s">
        <v>251</v>
      </c>
      <c r="D31" s="66" t="s">
        <v>238</v>
      </c>
      <c r="E31" s="66" t="s">
        <v>143</v>
      </c>
      <c r="F31" s="65" t="s">
        <v>181</v>
      </c>
      <c r="G31" s="65" t="s">
        <v>104</v>
      </c>
      <c r="H31" s="67">
        <v>110</v>
      </c>
      <c r="I31" s="67">
        <v>64</v>
      </c>
      <c r="J31" s="68">
        <v>46</v>
      </c>
      <c r="K31" s="67">
        <v>12</v>
      </c>
      <c r="L31" s="67">
        <v>70</v>
      </c>
      <c r="M31" s="69">
        <v>0.65714300000000003</v>
      </c>
      <c r="N31" s="70" t="s">
        <v>75</v>
      </c>
      <c r="O31" s="71">
        <v>5800</v>
      </c>
      <c r="P31" s="71">
        <v>266800</v>
      </c>
      <c r="Q31" s="72">
        <v>46289</v>
      </c>
      <c r="R31" s="73">
        <v>1</v>
      </c>
      <c r="S31" s="67">
        <v>8</v>
      </c>
      <c r="T31" s="73">
        <v>172</v>
      </c>
      <c r="U31" s="65">
        <v>21</v>
      </c>
    </row>
    <row r="32" spans="2:21" x14ac:dyDescent="0.25">
      <c r="B32" s="65" t="s">
        <v>253</v>
      </c>
      <c r="C32" s="66" t="s">
        <v>254</v>
      </c>
      <c r="D32" s="66" t="s">
        <v>255</v>
      </c>
      <c r="E32" s="66" t="s">
        <v>148</v>
      </c>
      <c r="F32" s="65" t="s">
        <v>256</v>
      </c>
      <c r="G32" s="65" t="s">
        <v>104</v>
      </c>
      <c r="H32" s="67">
        <v>489</v>
      </c>
      <c r="I32" s="67">
        <v>436</v>
      </c>
      <c r="J32" s="68">
        <v>53</v>
      </c>
      <c r="K32" s="67">
        <v>30</v>
      </c>
      <c r="L32" s="67">
        <v>200</v>
      </c>
      <c r="M32" s="69">
        <v>0.26500000000000001</v>
      </c>
      <c r="N32" s="70" t="s">
        <v>75</v>
      </c>
      <c r="O32" s="71">
        <v>4500</v>
      </c>
      <c r="P32" s="71">
        <v>238500</v>
      </c>
      <c r="Q32" s="72">
        <v>46267</v>
      </c>
      <c r="R32" s="73">
        <v>23</v>
      </c>
      <c r="S32" s="67">
        <v>18</v>
      </c>
      <c r="T32" s="73">
        <v>88</v>
      </c>
      <c r="U32" s="65">
        <v>14</v>
      </c>
    </row>
    <row r="33" spans="2:21" x14ac:dyDescent="0.25">
      <c r="B33" s="65" t="s">
        <v>258</v>
      </c>
      <c r="C33" s="66" t="s">
        <v>259</v>
      </c>
      <c r="D33" s="66" t="s">
        <v>255</v>
      </c>
      <c r="E33" s="66" t="s">
        <v>148</v>
      </c>
      <c r="F33" s="65" t="s">
        <v>181</v>
      </c>
      <c r="G33" s="65" t="s">
        <v>104</v>
      </c>
      <c r="H33" s="67">
        <v>36</v>
      </c>
      <c r="I33" s="67">
        <v>0</v>
      </c>
      <c r="J33" s="68">
        <v>36</v>
      </c>
      <c r="K33" s="67">
        <v>6</v>
      </c>
      <c r="L33" s="67">
        <v>40</v>
      </c>
      <c r="M33" s="69">
        <v>0.9</v>
      </c>
      <c r="N33" s="70" t="s">
        <v>75</v>
      </c>
      <c r="O33" s="71">
        <v>24500</v>
      </c>
      <c r="P33" s="71">
        <v>882000</v>
      </c>
      <c r="Q33" s="72">
        <v>46113</v>
      </c>
      <c r="R33" s="73">
        <v>177</v>
      </c>
      <c r="S33" s="67">
        <v>0</v>
      </c>
      <c r="T33" s="73"/>
      <c r="U33" s="65"/>
    </row>
    <row r="34" spans="2:21" x14ac:dyDescent="0.25">
      <c r="B34" s="65" t="s">
        <v>261</v>
      </c>
      <c r="C34" s="66" t="s">
        <v>262</v>
      </c>
      <c r="D34" s="66" t="s">
        <v>255</v>
      </c>
      <c r="E34" s="66" t="s">
        <v>148</v>
      </c>
      <c r="F34" s="65" t="s">
        <v>181</v>
      </c>
      <c r="G34" s="65" t="s">
        <v>104</v>
      </c>
      <c r="H34" s="67">
        <v>79</v>
      </c>
      <c r="I34" s="67">
        <v>54</v>
      </c>
      <c r="J34" s="68">
        <v>25</v>
      </c>
      <c r="K34" s="67">
        <v>15</v>
      </c>
      <c r="L34" s="67">
        <v>90</v>
      </c>
      <c r="M34" s="69">
        <v>0.27777800000000002</v>
      </c>
      <c r="N34" s="70" t="s">
        <v>75</v>
      </c>
      <c r="O34" s="71">
        <v>6200</v>
      </c>
      <c r="P34" s="71">
        <v>155000</v>
      </c>
      <c r="Q34" s="72">
        <v>46224</v>
      </c>
      <c r="R34" s="73">
        <v>66</v>
      </c>
      <c r="S34" s="67">
        <v>0</v>
      </c>
      <c r="T34" s="73"/>
      <c r="U34" s="65"/>
    </row>
    <row r="35" spans="2:21" x14ac:dyDescent="0.25">
      <c r="B35" s="65" t="s">
        <v>264</v>
      </c>
      <c r="C35" s="66" t="s">
        <v>265</v>
      </c>
      <c r="D35" s="66" t="s">
        <v>255</v>
      </c>
      <c r="E35" s="66" t="s">
        <v>148</v>
      </c>
      <c r="F35" s="65" t="s">
        <v>256</v>
      </c>
      <c r="G35" s="65" t="s">
        <v>104</v>
      </c>
      <c r="H35" s="67">
        <v>21</v>
      </c>
      <c r="I35" s="67">
        <v>21</v>
      </c>
      <c r="J35" s="68">
        <v>0</v>
      </c>
      <c r="K35" s="67">
        <v>4</v>
      </c>
      <c r="L35" s="67">
        <v>24</v>
      </c>
      <c r="M35" s="69">
        <v>0</v>
      </c>
      <c r="N35" s="70" t="s">
        <v>66</v>
      </c>
      <c r="O35" s="71">
        <v>118000</v>
      </c>
      <c r="P35" s="71">
        <v>0</v>
      </c>
      <c r="Q35" s="72">
        <v>46290</v>
      </c>
      <c r="R35" s="73">
        <v>0</v>
      </c>
      <c r="S35" s="67">
        <v>16</v>
      </c>
      <c r="T35" s="73">
        <v>0</v>
      </c>
      <c r="U35" s="65">
        <v>17</v>
      </c>
    </row>
    <row r="36" spans="2:21" x14ac:dyDescent="0.25">
      <c r="B36" s="65" t="s">
        <v>267</v>
      </c>
      <c r="C36" s="66" t="s">
        <v>268</v>
      </c>
      <c r="D36" s="66" t="s">
        <v>255</v>
      </c>
      <c r="E36" s="66" t="s">
        <v>148</v>
      </c>
      <c r="F36" s="65" t="s">
        <v>173</v>
      </c>
      <c r="G36" s="65" t="s">
        <v>104</v>
      </c>
      <c r="H36" s="67">
        <v>45</v>
      </c>
      <c r="I36" s="67">
        <v>44</v>
      </c>
      <c r="J36" s="68">
        <v>1</v>
      </c>
      <c r="K36" s="67">
        <v>8</v>
      </c>
      <c r="L36" s="67">
        <v>50</v>
      </c>
      <c r="M36" s="69">
        <v>0.02</v>
      </c>
      <c r="N36" s="70" t="s">
        <v>69</v>
      </c>
      <c r="O36" s="71">
        <v>38000</v>
      </c>
      <c r="P36" s="71">
        <v>38000</v>
      </c>
      <c r="Q36" s="72">
        <v>46284</v>
      </c>
      <c r="R36" s="73">
        <v>6</v>
      </c>
      <c r="S36" s="67">
        <v>7</v>
      </c>
      <c r="T36" s="73">
        <v>4</v>
      </c>
      <c r="U36" s="65">
        <v>22</v>
      </c>
    </row>
    <row r="37" spans="2:21" x14ac:dyDescent="0.25">
      <c r="B37" s="65" t="s">
        <v>270</v>
      </c>
      <c r="C37" s="66" t="s">
        <v>271</v>
      </c>
      <c r="D37" s="66" t="s">
        <v>272</v>
      </c>
      <c r="E37" s="66" t="s">
        <v>153</v>
      </c>
      <c r="F37" s="65" t="s">
        <v>239</v>
      </c>
      <c r="G37" s="65" t="s">
        <v>104</v>
      </c>
      <c r="H37" s="67">
        <v>30</v>
      </c>
      <c r="I37" s="67">
        <v>16.5</v>
      </c>
      <c r="J37" s="68">
        <v>13.5</v>
      </c>
      <c r="K37" s="67">
        <v>6</v>
      </c>
      <c r="L37" s="67">
        <v>40</v>
      </c>
      <c r="M37" s="69">
        <v>0.33750000000000002</v>
      </c>
      <c r="N37" s="70" t="s">
        <v>75</v>
      </c>
      <c r="O37" s="71">
        <v>36000</v>
      </c>
      <c r="P37" s="71">
        <v>486000</v>
      </c>
      <c r="Q37" s="72">
        <v>46265</v>
      </c>
      <c r="R37" s="73">
        <v>25</v>
      </c>
      <c r="S37" s="67">
        <v>6</v>
      </c>
      <c r="T37" s="73">
        <v>67</v>
      </c>
      <c r="U37" s="65">
        <v>24</v>
      </c>
    </row>
    <row r="38" spans="2:21" x14ac:dyDescent="0.25">
      <c r="B38" s="65" t="s">
        <v>274</v>
      </c>
      <c r="C38" s="66" t="s">
        <v>275</v>
      </c>
      <c r="D38" s="66" t="s">
        <v>272</v>
      </c>
      <c r="E38" s="66" t="s">
        <v>153</v>
      </c>
      <c r="F38" s="65" t="s">
        <v>276</v>
      </c>
      <c r="G38" s="65" t="s">
        <v>104</v>
      </c>
      <c r="H38" s="67">
        <v>193.5</v>
      </c>
      <c r="I38" s="67">
        <v>125</v>
      </c>
      <c r="J38" s="68">
        <v>68.5</v>
      </c>
      <c r="K38" s="67">
        <v>20</v>
      </c>
      <c r="L38" s="67">
        <v>120</v>
      </c>
      <c r="M38" s="69">
        <v>0.57083300000000003</v>
      </c>
      <c r="N38" s="70" t="s">
        <v>75</v>
      </c>
      <c r="O38" s="71">
        <v>3800</v>
      </c>
      <c r="P38" s="71">
        <v>260300</v>
      </c>
      <c r="Q38" s="72">
        <v>46270</v>
      </c>
      <c r="R38" s="73">
        <v>20</v>
      </c>
      <c r="S38" s="67">
        <v>32</v>
      </c>
      <c r="T38" s="73">
        <v>64</v>
      </c>
      <c r="U38" s="65">
        <v>10</v>
      </c>
    </row>
    <row r="39" spans="2:21" x14ac:dyDescent="0.25">
      <c r="B39" s="65" t="s">
        <v>278</v>
      </c>
      <c r="C39" s="66" t="s">
        <v>279</v>
      </c>
      <c r="D39" s="66" t="s">
        <v>272</v>
      </c>
      <c r="E39" s="66" t="s">
        <v>148</v>
      </c>
      <c r="F39" s="65" t="s">
        <v>177</v>
      </c>
      <c r="G39" s="65" t="s">
        <v>104</v>
      </c>
      <c r="H39" s="67">
        <v>380</v>
      </c>
      <c r="I39" s="67">
        <v>351</v>
      </c>
      <c r="J39" s="68">
        <v>29</v>
      </c>
      <c r="K39" s="67">
        <v>25</v>
      </c>
      <c r="L39" s="67">
        <v>150</v>
      </c>
      <c r="M39" s="69">
        <v>0.193333</v>
      </c>
      <c r="N39" s="70" t="s">
        <v>72</v>
      </c>
      <c r="O39" s="71">
        <v>7200</v>
      </c>
      <c r="P39" s="71">
        <v>208800</v>
      </c>
      <c r="Q39" s="72">
        <v>46287</v>
      </c>
      <c r="R39" s="73">
        <v>3</v>
      </c>
      <c r="S39" s="67">
        <v>26</v>
      </c>
      <c r="T39" s="73">
        <v>33</v>
      </c>
      <c r="U39" s="65">
        <v>11</v>
      </c>
    </row>
    <row r="40" spans="2:21" x14ac:dyDescent="0.25">
      <c r="B40" s="65" t="s">
        <v>281</v>
      </c>
      <c r="C40" s="66" t="s">
        <v>282</v>
      </c>
      <c r="D40" s="66" t="s">
        <v>272</v>
      </c>
      <c r="E40" s="66" t="s">
        <v>153</v>
      </c>
      <c r="F40" s="65" t="s">
        <v>181</v>
      </c>
      <c r="G40" s="65" t="s">
        <v>104</v>
      </c>
      <c r="H40" s="67">
        <v>85</v>
      </c>
      <c r="I40" s="67">
        <v>54</v>
      </c>
      <c r="J40" s="68">
        <v>31</v>
      </c>
      <c r="K40" s="67">
        <v>8</v>
      </c>
      <c r="L40" s="67">
        <v>50</v>
      </c>
      <c r="M40" s="69">
        <v>0.62</v>
      </c>
      <c r="N40" s="70" t="s">
        <v>75</v>
      </c>
      <c r="O40" s="71">
        <v>11500</v>
      </c>
      <c r="P40" s="71">
        <v>356500</v>
      </c>
      <c r="Q40" s="72">
        <v>46235</v>
      </c>
      <c r="R40" s="73">
        <v>55</v>
      </c>
      <c r="S40" s="67">
        <v>0</v>
      </c>
      <c r="T40" s="73"/>
      <c r="U40" s="65"/>
    </row>
    <row r="41" spans="2:21" x14ac:dyDescent="0.25">
      <c r="B41" s="65" t="s">
        <v>284</v>
      </c>
      <c r="C41" s="66" t="s">
        <v>285</v>
      </c>
      <c r="D41" s="66" t="s">
        <v>272</v>
      </c>
      <c r="E41" s="66" t="s">
        <v>153</v>
      </c>
      <c r="F41" s="65" t="s">
        <v>286</v>
      </c>
      <c r="G41" s="65" t="s">
        <v>104</v>
      </c>
      <c r="H41" s="67">
        <v>372.5</v>
      </c>
      <c r="I41" s="67">
        <v>322.5</v>
      </c>
      <c r="J41" s="68">
        <v>50</v>
      </c>
      <c r="K41" s="67">
        <v>25</v>
      </c>
      <c r="L41" s="67">
        <v>150</v>
      </c>
      <c r="M41" s="69">
        <v>0.33333299999999999</v>
      </c>
      <c r="N41" s="70" t="s">
        <v>75</v>
      </c>
      <c r="O41" s="71">
        <v>6800</v>
      </c>
      <c r="P41" s="71">
        <v>340000</v>
      </c>
      <c r="Q41" s="72">
        <v>46283</v>
      </c>
      <c r="R41" s="73">
        <v>7</v>
      </c>
      <c r="S41" s="67">
        <v>38</v>
      </c>
      <c r="T41" s="73">
        <v>39</v>
      </c>
      <c r="U41" s="65">
        <v>8</v>
      </c>
    </row>
    <row r="42" spans="2:21" x14ac:dyDescent="0.25">
      <c r="B42" s="65"/>
      <c r="C42" s="66"/>
      <c r="D42" s="66"/>
      <c r="E42" s="66"/>
      <c r="F42" s="65"/>
      <c r="G42" s="65"/>
      <c r="H42" s="67"/>
      <c r="I42" s="67"/>
      <c r="J42" s="68"/>
      <c r="K42" s="67"/>
      <c r="L42" s="67"/>
      <c r="M42" s="69"/>
      <c r="N42" s="70"/>
      <c r="O42" s="71"/>
      <c r="P42" s="71"/>
      <c r="Q42" s="72"/>
      <c r="R42" s="73"/>
      <c r="S42" s="67"/>
      <c r="T42" s="73"/>
      <c r="U42" s="65"/>
    </row>
    <row r="43" spans="2:21" x14ac:dyDescent="0.25">
      <c r="B43" s="65"/>
      <c r="C43" s="66"/>
      <c r="D43" s="66"/>
      <c r="E43" s="66"/>
      <c r="F43" s="65"/>
      <c r="G43" s="65"/>
      <c r="H43" s="67"/>
      <c r="I43" s="67"/>
      <c r="J43" s="68"/>
      <c r="K43" s="67"/>
      <c r="L43" s="67"/>
      <c r="M43" s="69"/>
      <c r="N43" s="70"/>
      <c r="O43" s="71"/>
      <c r="P43" s="71"/>
      <c r="Q43" s="72"/>
      <c r="R43" s="73"/>
      <c r="S43" s="67"/>
      <c r="T43" s="73"/>
      <c r="U43" s="65"/>
    </row>
    <row r="44" spans="2:21" x14ac:dyDescent="0.25">
      <c r="B44" s="65"/>
      <c r="C44" s="66"/>
      <c r="D44" s="66"/>
      <c r="E44" s="66"/>
      <c r="F44" s="65"/>
      <c r="G44" s="65"/>
      <c r="H44" s="67"/>
      <c r="I44" s="67"/>
      <c r="J44" s="68"/>
      <c r="K44" s="67"/>
      <c r="L44" s="67"/>
      <c r="M44" s="69"/>
      <c r="N44" s="70"/>
      <c r="O44" s="71"/>
      <c r="P44" s="71"/>
      <c r="Q44" s="72"/>
      <c r="R44" s="73"/>
      <c r="S44" s="67"/>
      <c r="T44" s="73"/>
      <c r="U44" s="65"/>
    </row>
    <row r="45" spans="2:21" x14ac:dyDescent="0.25">
      <c r="B45" s="65"/>
      <c r="C45" s="66"/>
      <c r="D45" s="66"/>
      <c r="E45" s="66"/>
      <c r="F45" s="65"/>
      <c r="G45" s="65"/>
      <c r="H45" s="67"/>
      <c r="I45" s="67"/>
      <c r="J45" s="68"/>
      <c r="K45" s="67"/>
      <c r="L45" s="67"/>
      <c r="M45" s="69"/>
      <c r="N45" s="70"/>
      <c r="O45" s="71"/>
      <c r="P45" s="71"/>
      <c r="Q45" s="72"/>
      <c r="R45" s="73"/>
      <c r="S45" s="67"/>
      <c r="T45" s="73"/>
      <c r="U45" s="65"/>
    </row>
    <row r="46" spans="2:21" x14ac:dyDescent="0.25">
      <c r="B46" s="65"/>
      <c r="C46" s="66"/>
      <c r="D46" s="66"/>
      <c r="E46" s="66"/>
      <c r="F46" s="65"/>
      <c r="G46" s="65"/>
      <c r="H46" s="67"/>
      <c r="I46" s="67"/>
      <c r="J46" s="68"/>
      <c r="K46" s="67"/>
      <c r="L46" s="67"/>
      <c r="M46" s="69"/>
      <c r="N46" s="70"/>
      <c r="O46" s="71"/>
      <c r="P46" s="71"/>
      <c r="Q46" s="72"/>
      <c r="R46" s="73"/>
      <c r="S46" s="67"/>
      <c r="T46" s="73"/>
      <c r="U46" s="65"/>
    </row>
    <row r="47" spans="2:21" x14ac:dyDescent="0.25">
      <c r="B47" s="65"/>
      <c r="C47" s="66"/>
      <c r="D47" s="66"/>
      <c r="E47" s="66"/>
      <c r="F47" s="65"/>
      <c r="G47" s="65"/>
      <c r="H47" s="67"/>
      <c r="I47" s="67"/>
      <c r="J47" s="68"/>
      <c r="K47" s="67"/>
      <c r="L47" s="67"/>
      <c r="M47" s="69"/>
      <c r="N47" s="70"/>
      <c r="O47" s="71"/>
      <c r="P47" s="71"/>
      <c r="Q47" s="72"/>
      <c r="R47" s="73"/>
      <c r="S47" s="67"/>
      <c r="T47" s="73"/>
      <c r="U47" s="65"/>
    </row>
    <row r="48" spans="2:21" x14ac:dyDescent="0.25">
      <c r="B48" s="65"/>
      <c r="C48" s="66"/>
      <c r="D48" s="66"/>
      <c r="E48" s="66"/>
      <c r="F48" s="65"/>
      <c r="G48" s="65"/>
      <c r="H48" s="67"/>
      <c r="I48" s="67"/>
      <c r="J48" s="68"/>
      <c r="K48" s="67"/>
      <c r="L48" s="67"/>
      <c r="M48" s="69"/>
      <c r="N48" s="70"/>
      <c r="O48" s="71"/>
      <c r="P48" s="71"/>
      <c r="Q48" s="72"/>
      <c r="R48" s="73"/>
      <c r="S48" s="67"/>
      <c r="T48" s="73"/>
      <c r="U48" s="65"/>
    </row>
    <row r="49" spans="2:21" x14ac:dyDescent="0.25">
      <c r="B49" s="65"/>
      <c r="C49" s="66"/>
      <c r="D49" s="66"/>
      <c r="E49" s="66"/>
      <c r="F49" s="65"/>
      <c r="G49" s="65"/>
      <c r="H49" s="67"/>
      <c r="I49" s="67"/>
      <c r="J49" s="68"/>
      <c r="K49" s="67"/>
      <c r="L49" s="67"/>
      <c r="M49" s="69"/>
      <c r="N49" s="70"/>
      <c r="O49" s="71"/>
      <c r="P49" s="71"/>
      <c r="Q49" s="72"/>
      <c r="R49" s="73"/>
      <c r="S49" s="67"/>
      <c r="T49" s="73"/>
      <c r="U49" s="65"/>
    </row>
    <row r="50" spans="2:21" x14ac:dyDescent="0.25">
      <c r="B50" s="65"/>
      <c r="C50" s="66"/>
      <c r="D50" s="66"/>
      <c r="E50" s="66"/>
      <c r="F50" s="65"/>
      <c r="G50" s="65"/>
      <c r="H50" s="67"/>
      <c r="I50" s="67"/>
      <c r="J50" s="68"/>
      <c r="K50" s="67"/>
      <c r="L50" s="67"/>
      <c r="M50" s="69"/>
      <c r="N50" s="70"/>
      <c r="O50" s="71"/>
      <c r="P50" s="71"/>
      <c r="Q50" s="72"/>
      <c r="R50" s="73"/>
      <c r="S50" s="67"/>
      <c r="T50" s="73"/>
      <c r="U50" s="65"/>
    </row>
    <row r="51" spans="2:21" x14ac:dyDescent="0.25">
      <c r="B51" s="65"/>
      <c r="C51" s="66"/>
      <c r="D51" s="66"/>
      <c r="E51" s="66"/>
      <c r="F51" s="65"/>
      <c r="G51" s="65"/>
      <c r="H51" s="67"/>
      <c r="I51" s="67"/>
      <c r="J51" s="68"/>
      <c r="K51" s="67"/>
      <c r="L51" s="67"/>
      <c r="M51" s="69"/>
      <c r="N51" s="70"/>
      <c r="O51" s="71"/>
      <c r="P51" s="71"/>
      <c r="Q51" s="72"/>
      <c r="R51" s="73"/>
      <c r="S51" s="67"/>
      <c r="T51" s="73"/>
      <c r="U51" s="65"/>
    </row>
    <row r="52" spans="2:21" x14ac:dyDescent="0.25">
      <c r="B52" s="65"/>
      <c r="C52" s="66"/>
      <c r="D52" s="66"/>
      <c r="E52" s="66"/>
      <c r="F52" s="65"/>
      <c r="G52" s="65"/>
      <c r="H52" s="67"/>
      <c r="I52" s="67"/>
      <c r="J52" s="68"/>
      <c r="K52" s="67"/>
      <c r="L52" s="67"/>
      <c r="M52" s="69"/>
      <c r="N52" s="70"/>
      <c r="O52" s="71"/>
      <c r="P52" s="71"/>
      <c r="Q52" s="72"/>
      <c r="R52" s="73"/>
      <c r="S52" s="67"/>
      <c r="T52" s="73"/>
      <c r="U52" s="65"/>
    </row>
    <row r="53" spans="2:21" x14ac:dyDescent="0.25">
      <c r="B53" s="65"/>
      <c r="C53" s="66"/>
      <c r="D53" s="66"/>
      <c r="E53" s="66"/>
      <c r="F53" s="65"/>
      <c r="G53" s="65"/>
      <c r="H53" s="67"/>
      <c r="I53" s="67"/>
      <c r="J53" s="68"/>
      <c r="K53" s="67"/>
      <c r="L53" s="67"/>
      <c r="M53" s="69"/>
      <c r="N53" s="70"/>
      <c r="O53" s="71"/>
      <c r="P53" s="71"/>
      <c r="Q53" s="72"/>
      <c r="R53" s="73"/>
      <c r="S53" s="67"/>
      <c r="T53" s="73"/>
      <c r="U53" s="65"/>
    </row>
    <row r="54" spans="2:21" x14ac:dyDescent="0.25">
      <c r="B54" s="65"/>
      <c r="C54" s="66"/>
      <c r="D54" s="66"/>
      <c r="E54" s="66"/>
      <c r="F54" s="65"/>
      <c r="G54" s="65"/>
      <c r="H54" s="67"/>
      <c r="I54" s="67"/>
      <c r="J54" s="68"/>
      <c r="K54" s="67"/>
      <c r="L54" s="67"/>
      <c r="M54" s="69"/>
      <c r="N54" s="70"/>
      <c r="O54" s="71"/>
      <c r="P54" s="71"/>
      <c r="Q54" s="72"/>
      <c r="R54" s="73"/>
      <c r="S54" s="67"/>
      <c r="T54" s="73"/>
      <c r="U54" s="65"/>
    </row>
    <row r="55" spans="2:21" x14ac:dyDescent="0.25">
      <c r="B55" s="65"/>
      <c r="C55" s="66"/>
      <c r="D55" s="66"/>
      <c r="E55" s="66"/>
      <c r="F55" s="65"/>
      <c r="G55" s="65"/>
      <c r="H55" s="67"/>
      <c r="I55" s="67"/>
      <c r="J55" s="68"/>
      <c r="K55" s="67"/>
      <c r="L55" s="67"/>
      <c r="M55" s="69"/>
      <c r="N55" s="70"/>
      <c r="O55" s="71"/>
      <c r="P55" s="71"/>
      <c r="Q55" s="72"/>
      <c r="R55" s="73"/>
      <c r="S55" s="67"/>
      <c r="T55" s="73"/>
      <c r="U55" s="65"/>
    </row>
    <row r="56" spans="2:21" x14ac:dyDescent="0.25">
      <c r="B56" s="65"/>
      <c r="C56" s="66"/>
      <c r="D56" s="66"/>
      <c r="E56" s="66"/>
      <c r="F56" s="65"/>
      <c r="G56" s="65"/>
      <c r="H56" s="67"/>
      <c r="I56" s="67"/>
      <c r="J56" s="68"/>
      <c r="K56" s="67"/>
      <c r="L56" s="67"/>
      <c r="M56" s="69"/>
      <c r="N56" s="70"/>
      <c r="O56" s="71"/>
      <c r="P56" s="71"/>
      <c r="Q56" s="72"/>
      <c r="R56" s="73"/>
      <c r="S56" s="67"/>
      <c r="T56" s="73"/>
      <c r="U56" s="65"/>
    </row>
    <row r="57" spans="2:21" x14ac:dyDescent="0.25">
      <c r="B57" s="65"/>
      <c r="C57" s="66"/>
      <c r="D57" s="66"/>
      <c r="E57" s="66"/>
      <c r="F57" s="65"/>
      <c r="G57" s="65"/>
      <c r="H57" s="67"/>
      <c r="I57" s="67"/>
      <c r="J57" s="68"/>
      <c r="K57" s="67"/>
      <c r="L57" s="67"/>
      <c r="M57" s="69"/>
      <c r="N57" s="70"/>
      <c r="O57" s="71"/>
      <c r="P57" s="71"/>
      <c r="Q57" s="72"/>
      <c r="R57" s="73"/>
      <c r="S57" s="67"/>
      <c r="T57" s="73"/>
      <c r="U57" s="65"/>
    </row>
    <row r="58" spans="2:21" x14ac:dyDescent="0.25">
      <c r="B58" s="65"/>
      <c r="C58" s="66"/>
      <c r="D58" s="66"/>
      <c r="E58" s="66"/>
      <c r="F58" s="65"/>
      <c r="G58" s="65"/>
      <c r="H58" s="67"/>
      <c r="I58" s="67"/>
      <c r="J58" s="68"/>
      <c r="K58" s="67"/>
      <c r="L58" s="67"/>
      <c r="M58" s="69"/>
      <c r="N58" s="70"/>
      <c r="O58" s="71"/>
      <c r="P58" s="71"/>
      <c r="Q58" s="72"/>
      <c r="R58" s="73"/>
      <c r="S58" s="67"/>
      <c r="T58" s="73"/>
      <c r="U58" s="65"/>
    </row>
    <row r="59" spans="2:21" x14ac:dyDescent="0.25">
      <c r="B59" s="65"/>
      <c r="C59" s="66"/>
      <c r="D59" s="66"/>
      <c r="E59" s="66"/>
      <c r="F59" s="65"/>
      <c r="G59" s="65"/>
      <c r="H59" s="67"/>
      <c r="I59" s="67"/>
      <c r="J59" s="68"/>
      <c r="K59" s="67"/>
      <c r="L59" s="67"/>
      <c r="M59" s="69"/>
      <c r="N59" s="70"/>
      <c r="O59" s="71"/>
      <c r="P59" s="71"/>
      <c r="Q59" s="72"/>
      <c r="R59" s="73"/>
      <c r="S59" s="67"/>
      <c r="T59" s="73"/>
      <c r="U59" s="65"/>
    </row>
    <row r="60" spans="2:21" x14ac:dyDescent="0.25">
      <c r="B60" s="65"/>
      <c r="C60" s="66"/>
      <c r="D60" s="66"/>
      <c r="E60" s="66"/>
      <c r="F60" s="65"/>
      <c r="G60" s="65"/>
      <c r="H60" s="67"/>
      <c r="I60" s="67"/>
      <c r="J60" s="68"/>
      <c r="K60" s="67"/>
      <c r="L60" s="67"/>
      <c r="M60" s="69"/>
      <c r="N60" s="70"/>
      <c r="O60" s="71"/>
      <c r="P60" s="71"/>
      <c r="Q60" s="72"/>
      <c r="R60" s="73"/>
      <c r="S60" s="67"/>
      <c r="T60" s="73"/>
      <c r="U60" s="65"/>
    </row>
    <row r="61" spans="2:21" x14ac:dyDescent="0.25">
      <c r="B61" s="65"/>
      <c r="C61" s="66"/>
      <c r="D61" s="66"/>
      <c r="E61" s="66"/>
      <c r="F61" s="65"/>
      <c r="G61" s="65"/>
      <c r="H61" s="67"/>
      <c r="I61" s="67"/>
      <c r="J61" s="68"/>
      <c r="K61" s="67"/>
      <c r="L61" s="67"/>
      <c r="M61" s="69"/>
      <c r="N61" s="70"/>
      <c r="O61" s="71"/>
      <c r="P61" s="71"/>
      <c r="Q61" s="72"/>
      <c r="R61" s="73"/>
      <c r="S61" s="67"/>
      <c r="T61" s="73"/>
      <c r="U61" s="65"/>
    </row>
    <row r="62" spans="2:21" x14ac:dyDescent="0.25">
      <c r="B62" s="65"/>
      <c r="C62" s="66"/>
      <c r="D62" s="66"/>
      <c r="E62" s="66"/>
      <c r="F62" s="65"/>
      <c r="G62" s="65"/>
      <c r="H62" s="67"/>
      <c r="I62" s="67"/>
      <c r="J62" s="68"/>
      <c r="K62" s="67"/>
      <c r="L62" s="67"/>
      <c r="M62" s="69"/>
      <c r="N62" s="70"/>
      <c r="O62" s="71"/>
      <c r="P62" s="71"/>
      <c r="Q62" s="72"/>
      <c r="R62" s="73"/>
      <c r="S62" s="67"/>
      <c r="T62" s="73"/>
      <c r="U62" s="65"/>
    </row>
    <row r="63" spans="2:21" x14ac:dyDescent="0.25">
      <c r="B63" s="65"/>
      <c r="C63" s="66"/>
      <c r="D63" s="66"/>
      <c r="E63" s="66"/>
      <c r="F63" s="65"/>
      <c r="G63" s="65"/>
      <c r="H63" s="67"/>
      <c r="I63" s="67"/>
      <c r="J63" s="68"/>
      <c r="K63" s="67"/>
      <c r="L63" s="67"/>
      <c r="M63" s="69"/>
      <c r="N63" s="70"/>
      <c r="O63" s="71"/>
      <c r="P63" s="71"/>
      <c r="Q63" s="72"/>
      <c r="R63" s="73"/>
      <c r="S63" s="67"/>
      <c r="T63" s="73"/>
      <c r="U63" s="65"/>
    </row>
    <row r="64" spans="2:21" x14ac:dyDescent="0.25">
      <c r="B64" s="65"/>
      <c r="C64" s="66"/>
      <c r="D64" s="66"/>
      <c r="E64" s="66"/>
      <c r="F64" s="65"/>
      <c r="G64" s="65"/>
      <c r="H64" s="67"/>
      <c r="I64" s="67"/>
      <c r="J64" s="68"/>
      <c r="K64" s="67"/>
      <c r="L64" s="67"/>
      <c r="M64" s="69"/>
      <c r="N64" s="70"/>
      <c r="O64" s="71"/>
      <c r="P64" s="71"/>
      <c r="Q64" s="72"/>
      <c r="R64" s="73"/>
      <c r="S64" s="67"/>
      <c r="T64" s="73"/>
      <c r="U64" s="65"/>
    </row>
    <row r="65" spans="2:21" x14ac:dyDescent="0.25">
      <c r="B65" s="65"/>
      <c r="C65" s="66"/>
      <c r="D65" s="66"/>
      <c r="E65" s="66"/>
      <c r="F65" s="65"/>
      <c r="G65" s="65"/>
      <c r="H65" s="67"/>
      <c r="I65" s="67"/>
      <c r="J65" s="68"/>
      <c r="K65" s="67"/>
      <c r="L65" s="67"/>
      <c r="M65" s="69"/>
      <c r="N65" s="70"/>
      <c r="O65" s="71"/>
      <c r="P65" s="71"/>
      <c r="Q65" s="72"/>
      <c r="R65" s="73"/>
      <c r="S65" s="67"/>
      <c r="T65" s="73"/>
      <c r="U65" s="65"/>
    </row>
    <row r="66" spans="2:21" x14ac:dyDescent="0.25">
      <c r="B66" s="65"/>
      <c r="C66" s="66"/>
      <c r="D66" s="66"/>
      <c r="E66" s="66"/>
      <c r="F66" s="65"/>
      <c r="G66" s="65"/>
      <c r="H66" s="67"/>
      <c r="I66" s="67"/>
      <c r="J66" s="68"/>
      <c r="K66" s="67"/>
      <c r="L66" s="67"/>
      <c r="M66" s="69"/>
      <c r="N66" s="70"/>
      <c r="O66" s="71"/>
      <c r="P66" s="71"/>
      <c r="Q66" s="72"/>
      <c r="R66" s="73"/>
      <c r="S66" s="67"/>
      <c r="T66" s="73"/>
      <c r="U66" s="65"/>
    </row>
    <row r="67" spans="2:21" x14ac:dyDescent="0.25">
      <c r="B67" s="65"/>
      <c r="C67" s="66"/>
      <c r="D67" s="66"/>
      <c r="E67" s="66"/>
      <c r="F67" s="65"/>
      <c r="G67" s="65"/>
      <c r="H67" s="67"/>
      <c r="I67" s="67"/>
      <c r="J67" s="68"/>
      <c r="K67" s="67"/>
      <c r="L67" s="67"/>
      <c r="M67" s="69"/>
      <c r="N67" s="70"/>
      <c r="O67" s="71"/>
      <c r="P67" s="71"/>
      <c r="Q67" s="72"/>
      <c r="R67" s="73"/>
      <c r="S67" s="67"/>
      <c r="T67" s="73"/>
      <c r="U67" s="65"/>
    </row>
    <row r="68" spans="2:21" x14ac:dyDescent="0.25">
      <c r="B68" s="65"/>
      <c r="C68" s="66"/>
      <c r="D68" s="66"/>
      <c r="E68" s="66"/>
      <c r="F68" s="65"/>
      <c r="G68" s="65"/>
      <c r="H68" s="67"/>
      <c r="I68" s="67"/>
      <c r="J68" s="68"/>
      <c r="K68" s="67"/>
      <c r="L68" s="67"/>
      <c r="M68" s="69"/>
      <c r="N68" s="70"/>
      <c r="O68" s="71"/>
      <c r="P68" s="71"/>
      <c r="Q68" s="72"/>
      <c r="R68" s="73"/>
      <c r="S68" s="67"/>
      <c r="T68" s="73"/>
      <c r="U68" s="65"/>
    </row>
    <row r="69" spans="2:21" x14ac:dyDescent="0.25">
      <c r="B69" s="65"/>
      <c r="C69" s="66"/>
      <c r="D69" s="66"/>
      <c r="E69" s="66"/>
      <c r="F69" s="65"/>
      <c r="G69" s="65"/>
      <c r="H69" s="67"/>
      <c r="I69" s="67"/>
      <c r="J69" s="68"/>
      <c r="K69" s="67"/>
      <c r="L69" s="67"/>
      <c r="M69" s="69"/>
      <c r="N69" s="70"/>
      <c r="O69" s="71"/>
      <c r="P69" s="71"/>
      <c r="Q69" s="72"/>
      <c r="R69" s="73"/>
      <c r="S69" s="67"/>
      <c r="T69" s="73"/>
      <c r="U69" s="65"/>
    </row>
    <row r="70" spans="2:21" x14ac:dyDescent="0.25">
      <c r="B70" s="65"/>
      <c r="C70" s="66"/>
      <c r="D70" s="66"/>
      <c r="E70" s="66"/>
      <c r="F70" s="65"/>
      <c r="G70" s="65"/>
      <c r="H70" s="67"/>
      <c r="I70" s="67"/>
      <c r="J70" s="68"/>
      <c r="K70" s="67"/>
      <c r="L70" s="67"/>
      <c r="M70" s="69"/>
      <c r="N70" s="70"/>
      <c r="O70" s="71"/>
      <c r="P70" s="71"/>
      <c r="Q70" s="72"/>
      <c r="R70" s="73"/>
      <c r="S70" s="67"/>
      <c r="T70" s="73"/>
      <c r="U70" s="65"/>
    </row>
    <row r="71" spans="2:21" x14ac:dyDescent="0.25">
      <c r="B71" s="65"/>
      <c r="C71" s="66"/>
      <c r="D71" s="66"/>
      <c r="E71" s="66"/>
      <c r="F71" s="65"/>
      <c r="G71" s="65"/>
      <c r="H71" s="67"/>
      <c r="I71" s="67"/>
      <c r="J71" s="68"/>
      <c r="K71" s="67"/>
      <c r="L71" s="67"/>
      <c r="M71" s="69"/>
      <c r="N71" s="70"/>
      <c r="O71" s="71"/>
      <c r="P71" s="71"/>
      <c r="Q71" s="72"/>
      <c r="R71" s="73"/>
      <c r="S71" s="67"/>
      <c r="T71" s="73"/>
      <c r="U71" s="65"/>
    </row>
    <row r="72" spans="2:21" x14ac:dyDescent="0.25">
      <c r="B72" s="65"/>
      <c r="C72" s="66"/>
      <c r="D72" s="66"/>
      <c r="E72" s="66"/>
      <c r="F72" s="65"/>
      <c r="G72" s="65"/>
      <c r="H72" s="67"/>
      <c r="I72" s="67"/>
      <c r="J72" s="68"/>
      <c r="K72" s="67"/>
      <c r="L72" s="67"/>
      <c r="M72" s="69"/>
      <c r="N72" s="70"/>
      <c r="O72" s="71"/>
      <c r="P72" s="71"/>
      <c r="Q72" s="72"/>
      <c r="R72" s="73"/>
      <c r="S72" s="67"/>
      <c r="T72" s="73"/>
      <c r="U72" s="65"/>
    </row>
    <row r="73" spans="2:21" x14ac:dyDescent="0.25">
      <c r="B73" s="65"/>
      <c r="C73" s="66"/>
      <c r="D73" s="66"/>
      <c r="E73" s="66"/>
      <c r="F73" s="65"/>
      <c r="G73" s="65"/>
      <c r="H73" s="67"/>
      <c r="I73" s="67"/>
      <c r="J73" s="68"/>
      <c r="K73" s="67"/>
      <c r="L73" s="67"/>
      <c r="M73" s="69"/>
      <c r="N73" s="70"/>
      <c r="O73" s="71"/>
      <c r="P73" s="71"/>
      <c r="Q73" s="72"/>
      <c r="R73" s="73"/>
      <c r="S73" s="67"/>
      <c r="T73" s="73"/>
      <c r="U73" s="65"/>
    </row>
    <row r="74" spans="2:21" x14ac:dyDescent="0.25">
      <c r="B74" s="65"/>
      <c r="C74" s="66"/>
      <c r="D74" s="66"/>
      <c r="E74" s="66"/>
      <c r="F74" s="65"/>
      <c r="G74" s="65"/>
      <c r="H74" s="67"/>
      <c r="I74" s="67"/>
      <c r="J74" s="68"/>
      <c r="K74" s="67"/>
      <c r="L74" s="67"/>
      <c r="M74" s="69"/>
      <c r="N74" s="70"/>
      <c r="O74" s="71"/>
      <c r="P74" s="71"/>
      <c r="Q74" s="72"/>
      <c r="R74" s="73"/>
      <c r="S74" s="67"/>
      <c r="T74" s="73"/>
      <c r="U74" s="65"/>
    </row>
    <row r="75" spans="2:21" x14ac:dyDescent="0.25">
      <c r="B75" s="65"/>
      <c r="C75" s="66"/>
      <c r="D75" s="66"/>
      <c r="E75" s="66"/>
      <c r="F75" s="65"/>
      <c r="G75" s="65"/>
      <c r="H75" s="67"/>
      <c r="I75" s="67"/>
      <c r="J75" s="68"/>
      <c r="K75" s="67"/>
      <c r="L75" s="67"/>
      <c r="M75" s="69"/>
      <c r="N75" s="70"/>
      <c r="O75" s="71"/>
      <c r="P75" s="71"/>
      <c r="Q75" s="72"/>
      <c r="R75" s="73"/>
      <c r="S75" s="67"/>
      <c r="T75" s="73"/>
      <c r="U75" s="65"/>
    </row>
    <row r="76" spans="2:21" x14ac:dyDescent="0.25">
      <c r="B76" s="65"/>
      <c r="C76" s="66"/>
      <c r="D76" s="66"/>
      <c r="E76" s="66"/>
      <c r="F76" s="65"/>
      <c r="G76" s="65"/>
      <c r="H76" s="67"/>
      <c r="I76" s="67"/>
      <c r="J76" s="68"/>
      <c r="K76" s="67"/>
      <c r="L76" s="67"/>
      <c r="M76" s="69"/>
      <c r="N76" s="70"/>
      <c r="O76" s="71"/>
      <c r="P76" s="71"/>
      <c r="Q76" s="72"/>
      <c r="R76" s="73"/>
      <c r="S76" s="67"/>
      <c r="T76" s="73"/>
      <c r="U76" s="65"/>
    </row>
    <row r="77" spans="2:21" x14ac:dyDescent="0.25">
      <c r="B77" s="65"/>
      <c r="C77" s="66"/>
      <c r="D77" s="66"/>
      <c r="E77" s="66"/>
      <c r="F77" s="65"/>
      <c r="G77" s="65"/>
      <c r="H77" s="67"/>
      <c r="I77" s="67"/>
      <c r="J77" s="68"/>
      <c r="K77" s="67"/>
      <c r="L77" s="67"/>
      <c r="M77" s="69"/>
      <c r="N77" s="70"/>
      <c r="O77" s="71"/>
      <c r="P77" s="71"/>
      <c r="Q77" s="72"/>
      <c r="R77" s="73"/>
      <c r="S77" s="67"/>
      <c r="T77" s="73"/>
      <c r="U77" s="65"/>
    </row>
    <row r="78" spans="2:21" x14ac:dyDescent="0.25">
      <c r="B78" s="65"/>
      <c r="C78" s="66"/>
      <c r="D78" s="66"/>
      <c r="E78" s="66"/>
      <c r="F78" s="65"/>
      <c r="G78" s="65"/>
      <c r="H78" s="67"/>
      <c r="I78" s="67"/>
      <c r="J78" s="68"/>
      <c r="K78" s="67"/>
      <c r="L78" s="67"/>
      <c r="M78" s="69"/>
      <c r="N78" s="70"/>
      <c r="O78" s="71"/>
      <c r="P78" s="71"/>
      <c r="Q78" s="72"/>
      <c r="R78" s="73"/>
      <c r="S78" s="67"/>
      <c r="T78" s="73"/>
      <c r="U78" s="65"/>
    </row>
    <row r="79" spans="2:21" x14ac:dyDescent="0.25">
      <c r="B79" s="65"/>
      <c r="C79" s="66"/>
      <c r="D79" s="66"/>
      <c r="E79" s="66"/>
      <c r="F79" s="65"/>
      <c r="G79" s="65"/>
      <c r="H79" s="67"/>
      <c r="I79" s="67"/>
      <c r="J79" s="68"/>
      <c r="K79" s="67"/>
      <c r="L79" s="67"/>
      <c r="M79" s="69"/>
      <c r="N79" s="70"/>
      <c r="O79" s="71"/>
      <c r="P79" s="71"/>
      <c r="Q79" s="72"/>
      <c r="R79" s="73"/>
      <c r="S79" s="67"/>
      <c r="T79" s="73"/>
      <c r="U79" s="65"/>
    </row>
    <row r="80" spans="2:21" x14ac:dyDescent="0.25">
      <c r="B80" s="65"/>
      <c r="C80" s="66"/>
      <c r="D80" s="66"/>
      <c r="E80" s="66"/>
      <c r="F80" s="65"/>
      <c r="G80" s="65"/>
      <c r="H80" s="67"/>
      <c r="I80" s="67"/>
      <c r="J80" s="68"/>
      <c r="K80" s="67"/>
      <c r="L80" s="67"/>
      <c r="M80" s="69"/>
      <c r="N80" s="70"/>
      <c r="O80" s="71"/>
      <c r="P80" s="71"/>
      <c r="Q80" s="72"/>
      <c r="R80" s="73"/>
      <c r="S80" s="67"/>
      <c r="T80" s="73"/>
      <c r="U80" s="65"/>
    </row>
    <row r="81" spans="2:21" x14ac:dyDescent="0.25">
      <c r="B81" s="65"/>
      <c r="C81" s="66"/>
      <c r="D81" s="66"/>
      <c r="E81" s="66"/>
      <c r="F81" s="65"/>
      <c r="G81" s="65"/>
      <c r="H81" s="67"/>
      <c r="I81" s="67"/>
      <c r="J81" s="68"/>
      <c r="K81" s="67"/>
      <c r="L81" s="67"/>
      <c r="M81" s="69"/>
      <c r="N81" s="70"/>
      <c r="O81" s="71"/>
      <c r="P81" s="71"/>
      <c r="Q81" s="72"/>
      <c r="R81" s="73"/>
      <c r="S81" s="67"/>
      <c r="T81" s="73"/>
      <c r="U81" s="65"/>
    </row>
    <row r="82" spans="2:21" x14ac:dyDescent="0.25">
      <c r="B82" s="65"/>
      <c r="C82" s="66"/>
      <c r="D82" s="66"/>
      <c r="E82" s="66"/>
      <c r="F82" s="65"/>
      <c r="G82" s="65"/>
      <c r="H82" s="67"/>
      <c r="I82" s="67"/>
      <c r="J82" s="68"/>
      <c r="K82" s="67"/>
      <c r="L82" s="67"/>
      <c r="M82" s="69"/>
      <c r="N82" s="70"/>
      <c r="O82" s="71"/>
      <c r="P82" s="71"/>
      <c r="Q82" s="72"/>
      <c r="R82" s="73"/>
      <c r="S82" s="67"/>
      <c r="T82" s="73"/>
      <c r="U82" s="65"/>
    </row>
    <row r="83" spans="2:21" x14ac:dyDescent="0.25">
      <c r="B83" s="65"/>
      <c r="C83" s="66"/>
      <c r="D83" s="66"/>
      <c r="E83" s="66"/>
      <c r="F83" s="65"/>
      <c r="G83" s="65"/>
      <c r="H83" s="67"/>
      <c r="I83" s="67"/>
      <c r="J83" s="68"/>
      <c r="K83" s="67"/>
      <c r="L83" s="67"/>
      <c r="M83" s="69"/>
      <c r="N83" s="70"/>
      <c r="O83" s="71"/>
      <c r="P83" s="71"/>
      <c r="Q83" s="72"/>
      <c r="R83" s="73"/>
      <c r="S83" s="67"/>
      <c r="T83" s="73"/>
      <c r="U83" s="65"/>
    </row>
    <row r="84" spans="2:21" x14ac:dyDescent="0.25">
      <c r="B84" s="65"/>
      <c r="C84" s="66"/>
      <c r="D84" s="66"/>
      <c r="E84" s="66"/>
      <c r="F84" s="65"/>
      <c r="G84" s="65"/>
      <c r="H84" s="67"/>
      <c r="I84" s="67"/>
      <c r="J84" s="68"/>
      <c r="K84" s="67"/>
      <c r="L84" s="67"/>
      <c r="M84" s="69"/>
      <c r="N84" s="70"/>
      <c r="O84" s="71"/>
      <c r="P84" s="71"/>
      <c r="Q84" s="72"/>
      <c r="R84" s="73"/>
      <c r="S84" s="67"/>
      <c r="T84" s="73"/>
      <c r="U84" s="65"/>
    </row>
    <row r="85" spans="2:21" x14ac:dyDescent="0.25">
      <c r="B85" s="65"/>
      <c r="C85" s="66"/>
      <c r="D85" s="66"/>
      <c r="E85" s="66"/>
      <c r="F85" s="65"/>
      <c r="G85" s="65"/>
      <c r="H85" s="67"/>
      <c r="I85" s="67"/>
      <c r="J85" s="68"/>
      <c r="K85" s="67"/>
      <c r="L85" s="67"/>
      <c r="M85" s="69"/>
      <c r="N85" s="70"/>
      <c r="O85" s="71"/>
      <c r="P85" s="71"/>
      <c r="Q85" s="72"/>
      <c r="R85" s="73"/>
      <c r="S85" s="67"/>
      <c r="T85" s="73"/>
      <c r="U85" s="65"/>
    </row>
    <row r="86" spans="2:21" x14ac:dyDescent="0.25">
      <c r="B86" s="65"/>
      <c r="C86" s="66"/>
      <c r="D86" s="66"/>
      <c r="E86" s="66"/>
      <c r="F86" s="65"/>
      <c r="G86" s="65"/>
      <c r="H86" s="67"/>
      <c r="I86" s="67"/>
      <c r="J86" s="68"/>
      <c r="K86" s="67"/>
      <c r="L86" s="67"/>
      <c r="M86" s="69"/>
      <c r="N86" s="70"/>
      <c r="O86" s="71"/>
      <c r="P86" s="71"/>
      <c r="Q86" s="72"/>
      <c r="R86" s="73"/>
      <c r="S86" s="67"/>
      <c r="T86" s="73"/>
      <c r="U86" s="65"/>
    </row>
    <row r="87" spans="2:21" x14ac:dyDescent="0.25">
      <c r="B87" s="65"/>
      <c r="C87" s="66"/>
      <c r="D87" s="66"/>
      <c r="E87" s="66"/>
      <c r="F87" s="65"/>
      <c r="G87" s="65"/>
      <c r="H87" s="67"/>
      <c r="I87" s="67"/>
      <c r="J87" s="68"/>
      <c r="K87" s="67"/>
      <c r="L87" s="67"/>
      <c r="M87" s="69"/>
      <c r="N87" s="70"/>
      <c r="O87" s="71"/>
      <c r="P87" s="71"/>
      <c r="Q87" s="72"/>
      <c r="R87" s="73"/>
      <c r="S87" s="67"/>
      <c r="T87" s="73"/>
      <c r="U87" s="65"/>
    </row>
    <row r="88" spans="2:21" x14ac:dyDescent="0.25">
      <c r="B88" s="65"/>
      <c r="C88" s="66"/>
      <c r="D88" s="66"/>
      <c r="E88" s="66"/>
      <c r="F88" s="65"/>
      <c r="G88" s="65"/>
      <c r="H88" s="67"/>
      <c r="I88" s="67"/>
      <c r="J88" s="68"/>
      <c r="K88" s="67"/>
      <c r="L88" s="67"/>
      <c r="M88" s="69"/>
      <c r="N88" s="70"/>
      <c r="O88" s="71"/>
      <c r="P88" s="71"/>
      <c r="Q88" s="72"/>
      <c r="R88" s="73"/>
      <c r="S88" s="67"/>
      <c r="T88" s="73"/>
      <c r="U88" s="65"/>
    </row>
    <row r="89" spans="2:21" x14ac:dyDescent="0.25">
      <c r="B89" s="65"/>
      <c r="C89" s="66"/>
      <c r="D89" s="66"/>
      <c r="E89" s="66"/>
      <c r="F89" s="65"/>
      <c r="G89" s="65"/>
      <c r="H89" s="67"/>
      <c r="I89" s="67"/>
      <c r="J89" s="68"/>
      <c r="K89" s="67"/>
      <c r="L89" s="67"/>
      <c r="M89" s="69"/>
      <c r="N89" s="70"/>
      <c r="O89" s="71"/>
      <c r="P89" s="71"/>
      <c r="Q89" s="72"/>
      <c r="R89" s="73"/>
      <c r="S89" s="67"/>
      <c r="T89" s="73"/>
      <c r="U89" s="65"/>
    </row>
    <row r="90" spans="2:21" x14ac:dyDescent="0.25">
      <c r="B90" s="65"/>
      <c r="C90" s="66"/>
      <c r="D90" s="66"/>
      <c r="E90" s="66"/>
      <c r="F90" s="65"/>
      <c r="G90" s="65"/>
      <c r="H90" s="67"/>
      <c r="I90" s="67"/>
      <c r="J90" s="68"/>
      <c r="K90" s="67"/>
      <c r="L90" s="67"/>
      <c r="M90" s="69"/>
      <c r="N90" s="70"/>
      <c r="O90" s="71"/>
      <c r="P90" s="71"/>
      <c r="Q90" s="72"/>
      <c r="R90" s="73"/>
      <c r="S90" s="67"/>
      <c r="T90" s="73"/>
      <c r="U90" s="65"/>
    </row>
    <row r="91" spans="2:21" x14ac:dyDescent="0.25">
      <c r="B91" s="65"/>
      <c r="C91" s="66"/>
      <c r="D91" s="66"/>
      <c r="E91" s="66"/>
      <c r="F91" s="65"/>
      <c r="G91" s="65"/>
      <c r="H91" s="67"/>
      <c r="I91" s="67"/>
      <c r="J91" s="68"/>
      <c r="K91" s="67"/>
      <c r="L91" s="67"/>
      <c r="M91" s="69"/>
      <c r="N91" s="70"/>
      <c r="O91" s="71"/>
      <c r="P91" s="71"/>
      <c r="Q91" s="72"/>
      <c r="R91" s="73"/>
      <c r="S91" s="67"/>
      <c r="T91" s="73"/>
      <c r="U91" s="65"/>
    </row>
    <row r="92" spans="2:21" x14ac:dyDescent="0.25">
      <c r="B92" s="65"/>
      <c r="C92" s="66"/>
      <c r="D92" s="66"/>
      <c r="E92" s="66"/>
      <c r="F92" s="65"/>
      <c r="G92" s="65"/>
      <c r="H92" s="67"/>
      <c r="I92" s="67"/>
      <c r="J92" s="68"/>
      <c r="K92" s="67"/>
      <c r="L92" s="67"/>
      <c r="M92" s="69"/>
      <c r="N92" s="70"/>
      <c r="O92" s="71"/>
      <c r="P92" s="71"/>
      <c r="Q92" s="72"/>
      <c r="R92" s="73"/>
      <c r="S92" s="67"/>
      <c r="T92" s="73"/>
      <c r="U92" s="65"/>
    </row>
    <row r="93" spans="2:21" x14ac:dyDescent="0.25">
      <c r="B93" s="65"/>
      <c r="C93" s="66"/>
      <c r="D93" s="66"/>
      <c r="E93" s="66"/>
      <c r="F93" s="65"/>
      <c r="G93" s="65"/>
      <c r="H93" s="67"/>
      <c r="I93" s="67"/>
      <c r="J93" s="68"/>
      <c r="K93" s="67"/>
      <c r="L93" s="67"/>
      <c r="M93" s="69"/>
      <c r="N93" s="70"/>
      <c r="O93" s="71"/>
      <c r="P93" s="71"/>
      <c r="Q93" s="72"/>
      <c r="R93" s="73"/>
      <c r="S93" s="67"/>
      <c r="T93" s="73"/>
      <c r="U93" s="65"/>
    </row>
    <row r="94" spans="2:21" x14ac:dyDescent="0.25">
      <c r="B94" s="65"/>
      <c r="C94" s="66"/>
      <c r="D94" s="66"/>
      <c r="E94" s="66"/>
      <c r="F94" s="65"/>
      <c r="G94" s="65"/>
      <c r="H94" s="67"/>
      <c r="I94" s="67"/>
      <c r="J94" s="68"/>
      <c r="K94" s="67"/>
      <c r="L94" s="67"/>
      <c r="M94" s="69"/>
      <c r="N94" s="70"/>
      <c r="O94" s="71"/>
      <c r="P94" s="71"/>
      <c r="Q94" s="72"/>
      <c r="R94" s="73"/>
      <c r="S94" s="67"/>
      <c r="T94" s="73"/>
      <c r="U94" s="65"/>
    </row>
    <row r="95" spans="2:21" x14ac:dyDescent="0.25">
      <c r="B95" s="65"/>
      <c r="C95" s="66"/>
      <c r="D95" s="66"/>
      <c r="E95" s="66"/>
      <c r="F95" s="65"/>
      <c r="G95" s="65"/>
      <c r="H95" s="67"/>
      <c r="I95" s="67"/>
      <c r="J95" s="68"/>
      <c r="K95" s="67"/>
      <c r="L95" s="67"/>
      <c r="M95" s="69"/>
      <c r="N95" s="70"/>
      <c r="O95" s="71"/>
      <c r="P95" s="71"/>
      <c r="Q95" s="72"/>
      <c r="R95" s="73"/>
      <c r="S95" s="67"/>
      <c r="T95" s="73"/>
      <c r="U95" s="65"/>
    </row>
    <row r="96" spans="2:21" x14ac:dyDescent="0.25">
      <c r="B96" s="65"/>
      <c r="C96" s="66"/>
      <c r="D96" s="66"/>
      <c r="E96" s="66"/>
      <c r="F96" s="65"/>
      <c r="G96" s="65"/>
      <c r="H96" s="67"/>
      <c r="I96" s="67"/>
      <c r="J96" s="68"/>
      <c r="K96" s="67"/>
      <c r="L96" s="67"/>
      <c r="M96" s="69"/>
      <c r="N96" s="70"/>
      <c r="O96" s="71"/>
      <c r="P96" s="71"/>
      <c r="Q96" s="72"/>
      <c r="R96" s="73"/>
      <c r="S96" s="67"/>
      <c r="T96" s="73"/>
      <c r="U96" s="65"/>
    </row>
    <row r="97" spans="2:21" x14ac:dyDescent="0.25">
      <c r="B97" s="65"/>
      <c r="C97" s="66"/>
      <c r="D97" s="66"/>
      <c r="E97" s="66"/>
      <c r="F97" s="65"/>
      <c r="G97" s="65"/>
      <c r="H97" s="67"/>
      <c r="I97" s="67"/>
      <c r="J97" s="68"/>
      <c r="K97" s="67"/>
      <c r="L97" s="67"/>
      <c r="M97" s="69"/>
      <c r="N97" s="70"/>
      <c r="O97" s="71"/>
      <c r="P97" s="71"/>
      <c r="Q97" s="72"/>
      <c r="R97" s="73"/>
      <c r="S97" s="67"/>
      <c r="T97" s="73"/>
      <c r="U97" s="65"/>
    </row>
    <row r="98" spans="2:21" x14ac:dyDescent="0.25">
      <c r="B98" s="65"/>
      <c r="C98" s="66"/>
      <c r="D98" s="66"/>
      <c r="E98" s="66"/>
      <c r="F98" s="65"/>
      <c r="G98" s="65"/>
      <c r="H98" s="67"/>
      <c r="I98" s="67"/>
      <c r="J98" s="68"/>
      <c r="K98" s="67"/>
      <c r="L98" s="67"/>
      <c r="M98" s="69"/>
      <c r="N98" s="70"/>
      <c r="O98" s="71"/>
      <c r="P98" s="71"/>
      <c r="Q98" s="72"/>
      <c r="R98" s="73"/>
      <c r="S98" s="67"/>
      <c r="T98" s="73"/>
      <c r="U98" s="65"/>
    </row>
    <row r="99" spans="2:21" x14ac:dyDescent="0.25">
      <c r="B99" s="65"/>
      <c r="C99" s="66"/>
      <c r="D99" s="66"/>
      <c r="E99" s="66"/>
      <c r="F99" s="65"/>
      <c r="G99" s="65"/>
      <c r="H99" s="67"/>
      <c r="I99" s="67"/>
      <c r="J99" s="68"/>
      <c r="K99" s="67"/>
      <c r="L99" s="67"/>
      <c r="M99" s="69"/>
      <c r="N99" s="70"/>
      <c r="O99" s="71"/>
      <c r="P99" s="71"/>
      <c r="Q99" s="72"/>
      <c r="R99" s="73"/>
      <c r="S99" s="67"/>
      <c r="T99" s="73"/>
      <c r="U99" s="65"/>
    </row>
    <row r="100" spans="2:21" x14ac:dyDescent="0.25">
      <c r="B100" s="65"/>
      <c r="C100" s="66"/>
      <c r="D100" s="66"/>
      <c r="E100" s="66"/>
      <c r="F100" s="65"/>
      <c r="G100" s="65"/>
      <c r="H100" s="67"/>
      <c r="I100" s="67"/>
      <c r="J100" s="68"/>
      <c r="K100" s="67"/>
      <c r="L100" s="67"/>
      <c r="M100" s="69"/>
      <c r="N100" s="70"/>
      <c r="O100" s="71"/>
      <c r="P100" s="71"/>
      <c r="Q100" s="72"/>
      <c r="R100" s="73"/>
      <c r="S100" s="67"/>
      <c r="T100" s="73"/>
      <c r="U100" s="65"/>
    </row>
    <row r="101" spans="2:21" x14ac:dyDescent="0.25">
      <c r="B101" s="65"/>
      <c r="C101" s="66"/>
      <c r="D101" s="66"/>
      <c r="E101" s="66"/>
      <c r="F101" s="65"/>
      <c r="G101" s="65"/>
      <c r="H101" s="67"/>
      <c r="I101" s="67"/>
      <c r="J101" s="68"/>
      <c r="K101" s="67"/>
      <c r="L101" s="67"/>
      <c r="M101" s="69"/>
      <c r="N101" s="70"/>
      <c r="O101" s="71"/>
      <c r="P101" s="71"/>
      <c r="Q101" s="72"/>
      <c r="R101" s="73"/>
      <c r="S101" s="67"/>
      <c r="T101" s="73"/>
      <c r="U101" s="65"/>
    </row>
    <row r="102" spans="2:21" x14ac:dyDescent="0.25">
      <c r="B102" s="65"/>
      <c r="C102" s="66"/>
      <c r="D102" s="66"/>
      <c r="E102" s="66"/>
      <c r="F102" s="65"/>
      <c r="G102" s="65"/>
      <c r="H102" s="67"/>
      <c r="I102" s="67"/>
      <c r="J102" s="68"/>
      <c r="K102" s="67"/>
      <c r="L102" s="67"/>
      <c r="M102" s="69"/>
      <c r="N102" s="70"/>
      <c r="O102" s="71"/>
      <c r="P102" s="71"/>
      <c r="Q102" s="72"/>
      <c r="R102" s="73"/>
      <c r="S102" s="67"/>
      <c r="T102" s="73"/>
      <c r="U102" s="65"/>
    </row>
    <row r="103" spans="2:21" x14ac:dyDescent="0.25">
      <c r="B103" s="65"/>
      <c r="C103" s="66"/>
      <c r="D103" s="66"/>
      <c r="E103" s="66"/>
      <c r="F103" s="65"/>
      <c r="G103" s="65"/>
      <c r="H103" s="67"/>
      <c r="I103" s="67"/>
      <c r="J103" s="68"/>
      <c r="K103" s="67"/>
      <c r="L103" s="67"/>
      <c r="M103" s="69"/>
      <c r="N103" s="70"/>
      <c r="O103" s="71"/>
      <c r="P103" s="71"/>
      <c r="Q103" s="72"/>
      <c r="R103" s="73"/>
      <c r="S103" s="67"/>
      <c r="T103" s="73"/>
      <c r="U103" s="65"/>
    </row>
    <row r="104" spans="2:21" x14ac:dyDescent="0.25">
      <c r="B104" s="65"/>
      <c r="C104" s="66"/>
      <c r="D104" s="66"/>
      <c r="E104" s="66"/>
      <c r="F104" s="65"/>
      <c r="G104" s="65"/>
      <c r="H104" s="67"/>
      <c r="I104" s="67"/>
      <c r="J104" s="68"/>
      <c r="K104" s="67"/>
      <c r="L104" s="67"/>
      <c r="M104" s="69"/>
      <c r="N104" s="70"/>
      <c r="O104" s="71"/>
      <c r="P104" s="71"/>
      <c r="Q104" s="72"/>
      <c r="R104" s="73"/>
      <c r="S104" s="67"/>
      <c r="T104" s="73"/>
      <c r="U104" s="65"/>
    </row>
    <row r="105" spans="2:21" x14ac:dyDescent="0.25">
      <c r="B105" s="65"/>
      <c r="C105" s="66"/>
      <c r="D105" s="66"/>
      <c r="E105" s="66"/>
      <c r="F105" s="65"/>
      <c r="G105" s="65"/>
      <c r="H105" s="67"/>
      <c r="I105" s="67"/>
      <c r="J105" s="68"/>
      <c r="K105" s="67"/>
      <c r="L105" s="67"/>
      <c r="M105" s="69"/>
      <c r="N105" s="70"/>
      <c r="O105" s="71"/>
      <c r="P105" s="71"/>
      <c r="Q105" s="72"/>
      <c r="R105" s="73"/>
      <c r="S105" s="67"/>
      <c r="T105" s="73"/>
      <c r="U105" s="65"/>
    </row>
    <row r="106" spans="2:21" x14ac:dyDescent="0.25">
      <c r="B106" s="65"/>
      <c r="C106" s="66"/>
      <c r="D106" s="66"/>
      <c r="E106" s="66"/>
      <c r="F106" s="65"/>
      <c r="G106" s="65"/>
      <c r="H106" s="67"/>
      <c r="I106" s="67"/>
      <c r="J106" s="68"/>
      <c r="K106" s="67"/>
      <c r="L106" s="67"/>
      <c r="M106" s="69"/>
      <c r="N106" s="70"/>
      <c r="O106" s="71"/>
      <c r="P106" s="71"/>
      <c r="Q106" s="72"/>
      <c r="R106" s="73"/>
      <c r="S106" s="67"/>
      <c r="T106" s="73"/>
      <c r="U106" s="65"/>
    </row>
    <row r="107" spans="2:21" x14ac:dyDescent="0.25">
      <c r="B107" s="65"/>
      <c r="C107" s="66"/>
      <c r="D107" s="66"/>
      <c r="E107" s="66"/>
      <c r="F107" s="65"/>
      <c r="G107" s="65"/>
      <c r="H107" s="67"/>
      <c r="I107" s="67"/>
      <c r="J107" s="68"/>
      <c r="K107" s="67"/>
      <c r="L107" s="67"/>
      <c r="M107" s="69"/>
      <c r="N107" s="70"/>
      <c r="O107" s="71"/>
      <c r="P107" s="71"/>
      <c r="Q107" s="72"/>
      <c r="R107" s="73"/>
      <c r="S107" s="67"/>
      <c r="T107" s="73"/>
      <c r="U107" s="65"/>
    </row>
    <row r="108" spans="2:21" x14ac:dyDescent="0.25">
      <c r="B108" s="65"/>
      <c r="C108" s="66"/>
      <c r="D108" s="66"/>
      <c r="E108" s="66"/>
      <c r="F108" s="65"/>
      <c r="G108" s="65"/>
      <c r="H108" s="67"/>
      <c r="I108" s="67"/>
      <c r="J108" s="68"/>
      <c r="K108" s="67"/>
      <c r="L108" s="67"/>
      <c r="M108" s="69"/>
      <c r="N108" s="70"/>
      <c r="O108" s="71"/>
      <c r="P108" s="71"/>
      <c r="Q108" s="72"/>
      <c r="R108" s="73"/>
      <c r="S108" s="67"/>
      <c r="T108" s="73"/>
      <c r="U108" s="65"/>
    </row>
    <row r="109" spans="2:21" x14ac:dyDescent="0.25">
      <c r="B109" s="65"/>
      <c r="C109" s="66"/>
      <c r="D109" s="66"/>
      <c r="E109" s="66"/>
      <c r="F109" s="65"/>
      <c r="G109" s="65"/>
      <c r="H109" s="67"/>
      <c r="I109" s="67"/>
      <c r="J109" s="68"/>
      <c r="K109" s="67"/>
      <c r="L109" s="67"/>
      <c r="M109" s="69"/>
      <c r="N109" s="70"/>
      <c r="O109" s="71"/>
      <c r="P109" s="71"/>
      <c r="Q109" s="72"/>
      <c r="R109" s="73"/>
      <c r="S109" s="67"/>
      <c r="T109" s="73"/>
      <c r="U109" s="65"/>
    </row>
    <row r="110" spans="2:21" x14ac:dyDescent="0.25">
      <c r="B110" s="65"/>
      <c r="C110" s="66"/>
      <c r="D110" s="66"/>
      <c r="E110" s="66"/>
      <c r="F110" s="65"/>
      <c r="G110" s="65"/>
      <c r="H110" s="67"/>
      <c r="I110" s="67"/>
      <c r="J110" s="68"/>
      <c r="K110" s="67"/>
      <c r="L110" s="67"/>
      <c r="M110" s="69"/>
      <c r="N110" s="70"/>
      <c r="O110" s="71"/>
      <c r="P110" s="71"/>
      <c r="Q110" s="72"/>
      <c r="R110" s="73"/>
      <c r="S110" s="67"/>
      <c r="T110" s="73"/>
      <c r="U110" s="65"/>
    </row>
    <row r="111" spans="2:21" x14ac:dyDescent="0.25">
      <c r="B111" s="65"/>
      <c r="C111" s="66"/>
      <c r="D111" s="66"/>
      <c r="E111" s="66"/>
      <c r="F111" s="65"/>
      <c r="G111" s="65"/>
      <c r="H111" s="67"/>
      <c r="I111" s="67"/>
      <c r="J111" s="68"/>
      <c r="K111" s="67"/>
      <c r="L111" s="67"/>
      <c r="M111" s="69"/>
      <c r="N111" s="70"/>
      <c r="O111" s="71"/>
      <c r="P111" s="71"/>
      <c r="Q111" s="72"/>
      <c r="R111" s="73"/>
      <c r="S111" s="67"/>
      <c r="T111" s="73"/>
      <c r="U111" s="65"/>
    </row>
    <row r="112" spans="2:21" x14ac:dyDescent="0.25">
      <c r="B112" s="65"/>
      <c r="C112" s="66"/>
      <c r="D112" s="66"/>
      <c r="E112" s="66"/>
      <c r="F112" s="65"/>
      <c r="G112" s="65"/>
      <c r="H112" s="67"/>
      <c r="I112" s="67"/>
      <c r="J112" s="68"/>
      <c r="K112" s="67"/>
      <c r="L112" s="67"/>
      <c r="M112" s="69"/>
      <c r="N112" s="70"/>
      <c r="O112" s="71"/>
      <c r="P112" s="71"/>
      <c r="Q112" s="72"/>
      <c r="R112" s="73"/>
      <c r="S112" s="67"/>
      <c r="T112" s="73"/>
      <c r="U112" s="65"/>
    </row>
    <row r="113" spans="2:21" x14ac:dyDescent="0.25">
      <c r="B113" s="65"/>
      <c r="C113" s="66"/>
      <c r="D113" s="66"/>
      <c r="E113" s="66"/>
      <c r="F113" s="65"/>
      <c r="G113" s="65"/>
      <c r="H113" s="67"/>
      <c r="I113" s="67"/>
      <c r="J113" s="68"/>
      <c r="K113" s="67"/>
      <c r="L113" s="67"/>
      <c r="M113" s="69"/>
      <c r="N113" s="70"/>
      <c r="O113" s="71"/>
      <c r="P113" s="71"/>
      <c r="Q113" s="72"/>
      <c r="R113" s="73"/>
      <c r="S113" s="67"/>
      <c r="T113" s="73"/>
      <c r="U113" s="65"/>
    </row>
    <row r="114" spans="2:21" x14ac:dyDescent="0.25">
      <c r="B114" s="65"/>
      <c r="C114" s="66"/>
      <c r="D114" s="66"/>
      <c r="E114" s="66"/>
      <c r="F114" s="65"/>
      <c r="G114" s="65"/>
      <c r="H114" s="67"/>
      <c r="I114" s="67"/>
      <c r="J114" s="68"/>
      <c r="K114" s="67"/>
      <c r="L114" s="67"/>
      <c r="M114" s="69"/>
      <c r="N114" s="70"/>
      <c r="O114" s="71"/>
      <c r="P114" s="71"/>
      <c r="Q114" s="72"/>
      <c r="R114" s="73"/>
      <c r="S114" s="67"/>
      <c r="T114" s="73"/>
      <c r="U114" s="65"/>
    </row>
    <row r="115" spans="2:21" x14ac:dyDescent="0.25">
      <c r="B115" s="65"/>
      <c r="C115" s="66"/>
      <c r="D115" s="66"/>
      <c r="E115" s="66"/>
      <c r="F115" s="65"/>
      <c r="G115" s="65"/>
      <c r="H115" s="67"/>
      <c r="I115" s="67"/>
      <c r="J115" s="68"/>
      <c r="K115" s="67"/>
      <c r="L115" s="67"/>
      <c r="M115" s="69"/>
      <c r="N115" s="70"/>
      <c r="O115" s="71"/>
      <c r="P115" s="71"/>
      <c r="Q115" s="72"/>
      <c r="R115" s="73"/>
      <c r="S115" s="67"/>
      <c r="T115" s="73"/>
      <c r="U115" s="65"/>
    </row>
    <row r="116" spans="2:21" x14ac:dyDescent="0.25">
      <c r="B116" s="65"/>
      <c r="C116" s="66"/>
      <c r="D116" s="66"/>
      <c r="E116" s="66"/>
      <c r="F116" s="65"/>
      <c r="G116" s="65"/>
      <c r="H116" s="67"/>
      <c r="I116" s="67"/>
      <c r="J116" s="68"/>
      <c r="K116" s="67"/>
      <c r="L116" s="67"/>
      <c r="M116" s="69"/>
      <c r="N116" s="70"/>
      <c r="O116" s="71"/>
      <c r="P116" s="71"/>
      <c r="Q116" s="72"/>
      <c r="R116" s="73"/>
      <c r="S116" s="67"/>
      <c r="T116" s="73"/>
      <c r="U116" s="65"/>
    </row>
    <row r="117" spans="2:21" x14ac:dyDescent="0.25">
      <c r="B117" s="65"/>
      <c r="C117" s="66"/>
      <c r="D117" s="66"/>
      <c r="E117" s="66"/>
      <c r="F117" s="65"/>
      <c r="G117" s="65"/>
      <c r="H117" s="67"/>
      <c r="I117" s="67"/>
      <c r="J117" s="68"/>
      <c r="K117" s="67"/>
      <c r="L117" s="67"/>
      <c r="M117" s="69"/>
      <c r="N117" s="70"/>
      <c r="O117" s="71"/>
      <c r="P117" s="71"/>
      <c r="Q117" s="72"/>
      <c r="R117" s="73"/>
      <c r="S117" s="67"/>
      <c r="T117" s="73"/>
      <c r="U117" s="65"/>
    </row>
    <row r="118" spans="2:21" x14ac:dyDescent="0.25">
      <c r="B118" s="65"/>
      <c r="C118" s="66"/>
      <c r="D118" s="66"/>
      <c r="E118" s="66"/>
      <c r="F118" s="65"/>
      <c r="G118" s="65"/>
      <c r="H118" s="67"/>
      <c r="I118" s="67"/>
      <c r="J118" s="68"/>
      <c r="K118" s="67"/>
      <c r="L118" s="67"/>
      <c r="M118" s="69"/>
      <c r="N118" s="70"/>
      <c r="O118" s="71"/>
      <c r="P118" s="71"/>
      <c r="Q118" s="72"/>
      <c r="R118" s="73"/>
      <c r="S118" s="67"/>
      <c r="T118" s="73"/>
      <c r="U118" s="65"/>
    </row>
    <row r="119" spans="2:21" x14ac:dyDescent="0.25">
      <c r="B119" s="65"/>
      <c r="C119" s="66"/>
      <c r="D119" s="66"/>
      <c r="E119" s="66"/>
      <c r="F119" s="65"/>
      <c r="G119" s="65"/>
      <c r="H119" s="67"/>
      <c r="I119" s="67"/>
      <c r="J119" s="68"/>
      <c r="K119" s="67"/>
      <c r="L119" s="67"/>
      <c r="M119" s="69"/>
      <c r="N119" s="70"/>
      <c r="O119" s="71"/>
      <c r="P119" s="71"/>
      <c r="Q119" s="72"/>
      <c r="R119" s="73"/>
      <c r="S119" s="67"/>
      <c r="T119" s="73"/>
      <c r="U119" s="65"/>
    </row>
    <row r="120" spans="2:21" x14ac:dyDescent="0.25">
      <c r="B120" s="65"/>
      <c r="C120" s="66"/>
      <c r="D120" s="66"/>
      <c r="E120" s="66"/>
      <c r="F120" s="65"/>
      <c r="G120" s="65"/>
      <c r="H120" s="67"/>
      <c r="I120" s="67"/>
      <c r="J120" s="68"/>
      <c r="K120" s="67"/>
      <c r="L120" s="67"/>
      <c r="M120" s="69"/>
      <c r="N120" s="70"/>
      <c r="O120" s="71"/>
      <c r="P120" s="71"/>
      <c r="Q120" s="72"/>
      <c r="R120" s="73"/>
      <c r="S120" s="67"/>
      <c r="T120" s="73"/>
      <c r="U120" s="65"/>
    </row>
    <row r="121" spans="2:21" x14ac:dyDescent="0.25">
      <c r="B121" s="65"/>
      <c r="C121" s="66"/>
      <c r="D121" s="66"/>
      <c r="E121" s="66"/>
      <c r="F121" s="65"/>
      <c r="G121" s="65"/>
      <c r="H121" s="67"/>
      <c r="I121" s="67"/>
      <c r="J121" s="68"/>
      <c r="K121" s="67"/>
      <c r="L121" s="67"/>
      <c r="M121" s="69"/>
      <c r="N121" s="70"/>
      <c r="O121" s="71"/>
      <c r="P121" s="71"/>
      <c r="Q121" s="72"/>
      <c r="R121" s="73"/>
      <c r="S121" s="67"/>
      <c r="T121" s="73"/>
      <c r="U121" s="65"/>
    </row>
    <row r="122" spans="2:21" x14ac:dyDescent="0.25">
      <c r="B122" s="65"/>
      <c r="C122" s="66"/>
      <c r="D122" s="66"/>
      <c r="E122" s="66"/>
      <c r="F122" s="65"/>
      <c r="G122" s="65"/>
      <c r="H122" s="67"/>
      <c r="I122" s="67"/>
      <c r="J122" s="68"/>
      <c r="K122" s="67"/>
      <c r="L122" s="67"/>
      <c r="M122" s="69"/>
      <c r="N122" s="70"/>
      <c r="O122" s="71"/>
      <c r="P122" s="71"/>
      <c r="Q122" s="72"/>
      <c r="R122" s="73"/>
      <c r="S122" s="67"/>
      <c r="T122" s="73"/>
      <c r="U122" s="65"/>
    </row>
    <row r="123" spans="2:21" x14ac:dyDescent="0.25">
      <c r="B123" s="65"/>
      <c r="C123" s="66"/>
      <c r="D123" s="66"/>
      <c r="E123" s="66"/>
      <c r="F123" s="65"/>
      <c r="G123" s="65"/>
      <c r="H123" s="67"/>
      <c r="I123" s="67"/>
      <c r="J123" s="68"/>
      <c r="K123" s="67"/>
      <c r="L123" s="67"/>
      <c r="M123" s="69"/>
      <c r="N123" s="70"/>
      <c r="O123" s="71"/>
      <c r="P123" s="71"/>
      <c r="Q123" s="72"/>
      <c r="R123" s="73"/>
      <c r="S123" s="67"/>
      <c r="T123" s="73"/>
      <c r="U123" s="65"/>
    </row>
    <row r="124" spans="2:21" x14ac:dyDescent="0.25">
      <c r="B124" s="65"/>
      <c r="C124" s="66"/>
      <c r="D124" s="66"/>
      <c r="E124" s="66"/>
      <c r="F124" s="65"/>
      <c r="G124" s="65"/>
      <c r="H124" s="67"/>
      <c r="I124" s="67"/>
      <c r="J124" s="68"/>
      <c r="K124" s="67"/>
      <c r="L124" s="67"/>
      <c r="M124" s="69"/>
      <c r="N124" s="70"/>
      <c r="O124" s="71"/>
      <c r="P124" s="71"/>
      <c r="Q124" s="72"/>
      <c r="R124" s="73"/>
      <c r="S124" s="67"/>
      <c r="T124" s="73"/>
      <c r="U124" s="65"/>
    </row>
    <row r="125" spans="2:21" x14ac:dyDescent="0.25">
      <c r="B125" s="65"/>
      <c r="C125" s="66"/>
      <c r="D125" s="66"/>
      <c r="E125" s="66"/>
      <c r="F125" s="65"/>
      <c r="G125" s="65"/>
      <c r="H125" s="67"/>
      <c r="I125" s="67"/>
      <c r="J125" s="68"/>
      <c r="K125" s="67"/>
      <c r="L125" s="67"/>
      <c r="M125" s="69"/>
      <c r="N125" s="70"/>
      <c r="O125" s="71"/>
      <c r="P125" s="71"/>
      <c r="Q125" s="72"/>
      <c r="R125" s="73"/>
      <c r="S125" s="67"/>
      <c r="T125" s="73"/>
      <c r="U125" s="65"/>
    </row>
    <row r="126" spans="2:21" x14ac:dyDescent="0.25">
      <c r="B126" s="65"/>
      <c r="C126" s="66"/>
      <c r="D126" s="66"/>
      <c r="E126" s="66"/>
      <c r="F126" s="65"/>
      <c r="G126" s="65"/>
      <c r="H126" s="67"/>
      <c r="I126" s="67"/>
      <c r="J126" s="68"/>
      <c r="K126" s="67"/>
      <c r="L126" s="67"/>
      <c r="M126" s="69"/>
      <c r="N126" s="70"/>
      <c r="O126" s="71"/>
      <c r="P126" s="71"/>
      <c r="Q126" s="72"/>
      <c r="R126" s="73"/>
      <c r="S126" s="67"/>
      <c r="T126" s="73"/>
      <c r="U126" s="65"/>
    </row>
    <row r="127" spans="2:21" x14ac:dyDescent="0.25">
      <c r="B127" s="65"/>
      <c r="C127" s="66"/>
      <c r="D127" s="66"/>
      <c r="E127" s="66"/>
      <c r="F127" s="65"/>
      <c r="G127" s="65"/>
      <c r="H127" s="67"/>
      <c r="I127" s="67"/>
      <c r="J127" s="68"/>
      <c r="K127" s="67"/>
      <c r="L127" s="67"/>
      <c r="M127" s="69"/>
      <c r="N127" s="70"/>
      <c r="O127" s="71"/>
      <c r="P127" s="71"/>
      <c r="Q127" s="72"/>
      <c r="R127" s="73"/>
      <c r="S127" s="67"/>
      <c r="T127" s="73"/>
      <c r="U127" s="65"/>
    </row>
    <row r="128" spans="2:21" x14ac:dyDescent="0.25">
      <c r="B128" s="65"/>
      <c r="C128" s="66"/>
      <c r="D128" s="66"/>
      <c r="E128" s="66"/>
      <c r="F128" s="65"/>
      <c r="G128" s="65"/>
      <c r="H128" s="67"/>
      <c r="I128" s="67"/>
      <c r="J128" s="68"/>
      <c r="K128" s="67"/>
      <c r="L128" s="67"/>
      <c r="M128" s="69"/>
      <c r="N128" s="70"/>
      <c r="O128" s="71"/>
      <c r="P128" s="71"/>
      <c r="Q128" s="72"/>
      <c r="R128" s="73"/>
      <c r="S128" s="67"/>
      <c r="T128" s="73"/>
      <c r="U128" s="65"/>
    </row>
    <row r="129" spans="2:21" x14ac:dyDescent="0.25">
      <c r="B129" s="65"/>
      <c r="C129" s="66"/>
      <c r="D129" s="66"/>
      <c r="E129" s="66"/>
      <c r="F129" s="65"/>
      <c r="G129" s="65"/>
      <c r="H129" s="67"/>
      <c r="I129" s="67"/>
      <c r="J129" s="68"/>
      <c r="K129" s="67"/>
      <c r="L129" s="67"/>
      <c r="M129" s="69"/>
      <c r="N129" s="70"/>
      <c r="O129" s="71"/>
      <c r="P129" s="71"/>
      <c r="Q129" s="72"/>
      <c r="R129" s="73"/>
      <c r="S129" s="67"/>
      <c r="T129" s="73"/>
      <c r="U129" s="65"/>
    </row>
    <row r="130" spans="2:21" x14ac:dyDescent="0.25">
      <c r="B130" s="65"/>
      <c r="C130" s="66"/>
      <c r="D130" s="66"/>
      <c r="E130" s="66"/>
      <c r="F130" s="65"/>
      <c r="G130" s="65"/>
      <c r="H130" s="67"/>
      <c r="I130" s="67"/>
      <c r="J130" s="68"/>
      <c r="K130" s="67"/>
      <c r="L130" s="67"/>
      <c r="M130" s="69"/>
      <c r="N130" s="70"/>
      <c r="O130" s="71"/>
      <c r="P130" s="71"/>
      <c r="Q130" s="72"/>
      <c r="R130" s="73"/>
      <c r="S130" s="67"/>
      <c r="T130" s="73"/>
      <c r="U130" s="65"/>
    </row>
    <row r="131" spans="2:21" x14ac:dyDescent="0.25">
      <c r="B131" s="65"/>
      <c r="C131" s="66"/>
      <c r="D131" s="66"/>
      <c r="E131" s="66"/>
      <c r="F131" s="65"/>
      <c r="G131" s="65"/>
      <c r="H131" s="67"/>
      <c r="I131" s="67"/>
      <c r="J131" s="68"/>
      <c r="K131" s="67"/>
      <c r="L131" s="67"/>
      <c r="M131" s="69"/>
      <c r="N131" s="70"/>
      <c r="O131" s="71"/>
      <c r="P131" s="71"/>
      <c r="Q131" s="72"/>
      <c r="R131" s="73"/>
      <c r="S131" s="67"/>
      <c r="T131" s="73"/>
      <c r="U131" s="65"/>
    </row>
    <row r="132" spans="2:21" x14ac:dyDescent="0.25">
      <c r="B132" s="65"/>
      <c r="C132" s="66"/>
      <c r="D132" s="66"/>
      <c r="E132" s="66"/>
      <c r="F132" s="65"/>
      <c r="G132" s="65"/>
      <c r="H132" s="67"/>
      <c r="I132" s="67"/>
      <c r="J132" s="68"/>
      <c r="K132" s="67"/>
      <c r="L132" s="67"/>
      <c r="M132" s="69"/>
      <c r="N132" s="70"/>
      <c r="O132" s="71"/>
      <c r="P132" s="71"/>
      <c r="Q132" s="72"/>
      <c r="R132" s="73"/>
      <c r="S132" s="67"/>
      <c r="T132" s="73"/>
      <c r="U132" s="65"/>
    </row>
    <row r="133" spans="2:21" x14ac:dyDescent="0.25">
      <c r="B133" s="65"/>
      <c r="C133" s="66"/>
      <c r="D133" s="66"/>
      <c r="E133" s="66"/>
      <c r="F133" s="65"/>
      <c r="G133" s="65"/>
      <c r="H133" s="67"/>
      <c r="I133" s="67"/>
      <c r="J133" s="68"/>
      <c r="K133" s="67"/>
      <c r="L133" s="67"/>
      <c r="M133" s="69"/>
      <c r="N133" s="70"/>
      <c r="O133" s="71"/>
      <c r="P133" s="71"/>
      <c r="Q133" s="72"/>
      <c r="R133" s="73"/>
      <c r="S133" s="67"/>
      <c r="T133" s="73"/>
      <c r="U133" s="65"/>
    </row>
    <row r="134" spans="2:21" x14ac:dyDescent="0.25">
      <c r="B134" s="65"/>
      <c r="C134" s="66"/>
      <c r="D134" s="66"/>
      <c r="E134" s="66"/>
      <c r="F134" s="65"/>
      <c r="G134" s="65"/>
      <c r="H134" s="67"/>
      <c r="I134" s="67"/>
      <c r="J134" s="68"/>
      <c r="K134" s="67"/>
      <c r="L134" s="67"/>
      <c r="M134" s="69"/>
      <c r="N134" s="70"/>
      <c r="O134" s="71"/>
      <c r="P134" s="71"/>
      <c r="Q134" s="72"/>
      <c r="R134" s="73"/>
      <c r="S134" s="67"/>
      <c r="T134" s="73"/>
      <c r="U134" s="65"/>
    </row>
    <row r="135" spans="2:21" x14ac:dyDescent="0.25">
      <c r="B135" s="65"/>
      <c r="C135" s="66"/>
      <c r="D135" s="66"/>
      <c r="E135" s="66"/>
      <c r="F135" s="65"/>
      <c r="G135" s="65"/>
      <c r="H135" s="67"/>
      <c r="I135" s="67"/>
      <c r="J135" s="68"/>
      <c r="K135" s="67"/>
      <c r="L135" s="67"/>
      <c r="M135" s="69"/>
      <c r="N135" s="70"/>
      <c r="O135" s="71"/>
      <c r="P135" s="71"/>
      <c r="Q135" s="72"/>
      <c r="R135" s="73"/>
      <c r="S135" s="67"/>
      <c r="T135" s="73"/>
      <c r="U135" s="65"/>
    </row>
    <row r="136" spans="2:21" x14ac:dyDescent="0.25">
      <c r="B136" s="65"/>
      <c r="C136" s="66"/>
      <c r="D136" s="66"/>
      <c r="E136" s="66"/>
      <c r="F136" s="65"/>
      <c r="G136" s="65"/>
      <c r="H136" s="67"/>
      <c r="I136" s="67"/>
      <c r="J136" s="68"/>
      <c r="K136" s="67"/>
      <c r="L136" s="67"/>
      <c r="M136" s="69"/>
      <c r="N136" s="70"/>
      <c r="O136" s="71"/>
      <c r="P136" s="71"/>
      <c r="Q136" s="72"/>
      <c r="R136" s="73"/>
      <c r="S136" s="67"/>
      <c r="T136" s="73"/>
      <c r="U136" s="65"/>
    </row>
    <row r="137" spans="2:21" x14ac:dyDescent="0.25">
      <c r="B137" s="65"/>
      <c r="C137" s="66"/>
      <c r="D137" s="66"/>
      <c r="E137" s="66"/>
      <c r="F137" s="65"/>
      <c r="G137" s="65"/>
      <c r="H137" s="67"/>
      <c r="I137" s="67"/>
      <c r="J137" s="68"/>
      <c r="K137" s="67"/>
      <c r="L137" s="67"/>
      <c r="M137" s="69"/>
      <c r="N137" s="70"/>
      <c r="O137" s="71"/>
      <c r="P137" s="71"/>
      <c r="Q137" s="72"/>
      <c r="R137" s="73"/>
      <c r="S137" s="67"/>
      <c r="T137" s="73"/>
      <c r="U137" s="65"/>
    </row>
    <row r="138" spans="2:21" x14ac:dyDescent="0.25">
      <c r="B138" s="65"/>
      <c r="C138" s="66"/>
      <c r="D138" s="66"/>
      <c r="E138" s="66"/>
      <c r="F138" s="65"/>
      <c r="G138" s="65"/>
      <c r="H138" s="67"/>
      <c r="I138" s="67"/>
      <c r="J138" s="68"/>
      <c r="K138" s="67"/>
      <c r="L138" s="67"/>
      <c r="M138" s="69"/>
      <c r="N138" s="70"/>
      <c r="O138" s="71"/>
      <c r="P138" s="71"/>
      <c r="Q138" s="72"/>
      <c r="R138" s="73"/>
      <c r="S138" s="67"/>
      <c r="T138" s="73"/>
      <c r="U138" s="65"/>
    </row>
    <row r="139" spans="2:21" x14ac:dyDescent="0.25">
      <c r="B139" s="65"/>
      <c r="C139" s="66"/>
      <c r="D139" s="66"/>
      <c r="E139" s="66"/>
      <c r="F139" s="65"/>
      <c r="G139" s="65"/>
      <c r="H139" s="67"/>
      <c r="I139" s="67"/>
      <c r="J139" s="68"/>
      <c r="K139" s="67"/>
      <c r="L139" s="67"/>
      <c r="M139" s="69"/>
      <c r="N139" s="70"/>
      <c r="O139" s="71"/>
      <c r="P139" s="71"/>
      <c r="Q139" s="72"/>
      <c r="R139" s="73"/>
      <c r="S139" s="67"/>
      <c r="T139" s="73"/>
      <c r="U139" s="65"/>
    </row>
    <row r="140" spans="2:21" x14ac:dyDescent="0.25">
      <c r="B140" s="65"/>
      <c r="C140" s="66"/>
      <c r="D140" s="66"/>
      <c r="E140" s="66"/>
      <c r="F140" s="65"/>
      <c r="G140" s="65"/>
      <c r="H140" s="67"/>
      <c r="I140" s="67"/>
      <c r="J140" s="68"/>
      <c r="K140" s="67"/>
      <c r="L140" s="67"/>
      <c r="M140" s="69"/>
      <c r="N140" s="70"/>
      <c r="O140" s="71"/>
      <c r="P140" s="71"/>
      <c r="Q140" s="72"/>
      <c r="R140" s="73"/>
      <c r="S140" s="67"/>
      <c r="T140" s="73"/>
      <c r="U140" s="65"/>
    </row>
    <row r="141" spans="2:21" x14ac:dyDescent="0.25">
      <c r="B141" s="65"/>
      <c r="C141" s="66"/>
      <c r="D141" s="66"/>
      <c r="E141" s="66"/>
      <c r="F141" s="65"/>
      <c r="G141" s="65"/>
      <c r="H141" s="67"/>
      <c r="I141" s="67"/>
      <c r="J141" s="68"/>
      <c r="K141" s="67"/>
      <c r="L141" s="67"/>
      <c r="M141" s="69"/>
      <c r="N141" s="70"/>
      <c r="O141" s="71"/>
      <c r="P141" s="71"/>
      <c r="Q141" s="72"/>
      <c r="R141" s="73"/>
      <c r="S141" s="67"/>
      <c r="T141" s="73"/>
      <c r="U141" s="65"/>
    </row>
    <row r="142" spans="2:21" x14ac:dyDescent="0.25">
      <c r="B142" s="65"/>
      <c r="C142" s="66"/>
      <c r="D142" s="66"/>
      <c r="E142" s="66"/>
      <c r="F142" s="65"/>
      <c r="G142" s="65"/>
      <c r="H142" s="67"/>
      <c r="I142" s="67"/>
      <c r="J142" s="68"/>
      <c r="K142" s="67"/>
      <c r="L142" s="67"/>
      <c r="M142" s="69"/>
      <c r="N142" s="70"/>
      <c r="O142" s="71"/>
      <c r="P142" s="71"/>
      <c r="Q142" s="72"/>
      <c r="R142" s="73"/>
      <c r="S142" s="67"/>
      <c r="T142" s="73"/>
      <c r="U142" s="65"/>
    </row>
    <row r="143" spans="2:21" x14ac:dyDescent="0.25">
      <c r="B143" s="65"/>
      <c r="C143" s="66"/>
      <c r="D143" s="66"/>
      <c r="E143" s="66"/>
      <c r="F143" s="65"/>
      <c r="G143" s="65"/>
      <c r="H143" s="67"/>
      <c r="I143" s="67"/>
      <c r="J143" s="68"/>
      <c r="K143" s="67"/>
      <c r="L143" s="67"/>
      <c r="M143" s="69"/>
      <c r="N143" s="70"/>
      <c r="O143" s="71"/>
      <c r="P143" s="71"/>
      <c r="Q143" s="72"/>
      <c r="R143" s="73"/>
      <c r="S143" s="67"/>
      <c r="T143" s="73"/>
      <c r="U143" s="65"/>
    </row>
    <row r="144" spans="2:21" x14ac:dyDescent="0.25">
      <c r="B144" s="65"/>
      <c r="C144" s="66"/>
      <c r="D144" s="66"/>
      <c r="E144" s="66"/>
      <c r="F144" s="65"/>
      <c r="G144" s="65"/>
      <c r="H144" s="67"/>
      <c r="I144" s="67"/>
      <c r="J144" s="68"/>
      <c r="K144" s="67"/>
      <c r="L144" s="67"/>
      <c r="M144" s="69"/>
      <c r="N144" s="70"/>
      <c r="O144" s="71"/>
      <c r="P144" s="71"/>
      <c r="Q144" s="72"/>
      <c r="R144" s="73"/>
      <c r="S144" s="67"/>
      <c r="T144" s="73"/>
      <c r="U144" s="65"/>
    </row>
    <row r="145" spans="2:21" x14ac:dyDescent="0.25">
      <c r="B145" s="65"/>
      <c r="C145" s="66"/>
      <c r="D145" s="66"/>
      <c r="E145" s="66"/>
      <c r="F145" s="65"/>
      <c r="G145" s="65"/>
      <c r="H145" s="67"/>
      <c r="I145" s="67"/>
      <c r="J145" s="68"/>
      <c r="K145" s="67"/>
      <c r="L145" s="67"/>
      <c r="M145" s="69"/>
      <c r="N145" s="70"/>
      <c r="O145" s="71"/>
      <c r="P145" s="71"/>
      <c r="Q145" s="72"/>
      <c r="R145" s="73"/>
      <c r="S145" s="67"/>
      <c r="T145" s="73"/>
      <c r="U145" s="65"/>
    </row>
    <row r="146" spans="2:21" x14ac:dyDescent="0.25">
      <c r="B146" s="65"/>
      <c r="C146" s="66"/>
      <c r="D146" s="66"/>
      <c r="E146" s="66"/>
      <c r="F146" s="65"/>
      <c r="G146" s="65"/>
      <c r="H146" s="67"/>
      <c r="I146" s="67"/>
      <c r="J146" s="68"/>
      <c r="K146" s="67"/>
      <c r="L146" s="67"/>
      <c r="M146" s="69"/>
      <c r="N146" s="70"/>
      <c r="O146" s="71"/>
      <c r="P146" s="71"/>
      <c r="Q146" s="72"/>
      <c r="R146" s="73"/>
      <c r="S146" s="67"/>
      <c r="T146" s="73"/>
      <c r="U146" s="65"/>
    </row>
    <row r="147" spans="2:21" x14ac:dyDescent="0.25">
      <c r="B147" s="65"/>
      <c r="C147" s="66"/>
      <c r="D147" s="66"/>
      <c r="E147" s="66"/>
      <c r="F147" s="65"/>
      <c r="G147" s="65"/>
      <c r="H147" s="67"/>
      <c r="I147" s="67"/>
      <c r="J147" s="68"/>
      <c r="K147" s="67"/>
      <c r="L147" s="67"/>
      <c r="M147" s="69"/>
      <c r="N147" s="70"/>
      <c r="O147" s="71"/>
      <c r="P147" s="71"/>
      <c r="Q147" s="72"/>
      <c r="R147" s="73"/>
      <c r="S147" s="67"/>
      <c r="T147" s="73"/>
      <c r="U147" s="65"/>
    </row>
    <row r="148" spans="2:21" x14ac:dyDescent="0.25">
      <c r="B148" s="65"/>
      <c r="C148" s="66"/>
      <c r="D148" s="66"/>
      <c r="E148" s="66"/>
      <c r="F148" s="65"/>
      <c r="G148" s="65"/>
      <c r="H148" s="67"/>
      <c r="I148" s="67"/>
      <c r="J148" s="68"/>
      <c r="K148" s="67"/>
      <c r="L148" s="67"/>
      <c r="M148" s="69"/>
      <c r="N148" s="70"/>
      <c r="O148" s="71"/>
      <c r="P148" s="71"/>
      <c r="Q148" s="72"/>
      <c r="R148" s="73"/>
      <c r="S148" s="67"/>
      <c r="T148" s="73"/>
      <c r="U148" s="65"/>
    </row>
    <row r="149" spans="2:21" x14ac:dyDescent="0.25">
      <c r="B149" s="65"/>
      <c r="C149" s="66"/>
      <c r="D149" s="66"/>
      <c r="E149" s="66"/>
      <c r="F149" s="65"/>
      <c r="G149" s="65"/>
      <c r="H149" s="67"/>
      <c r="I149" s="67"/>
      <c r="J149" s="68"/>
      <c r="K149" s="67"/>
      <c r="L149" s="67"/>
      <c r="M149" s="69"/>
      <c r="N149" s="70"/>
      <c r="O149" s="71"/>
      <c r="P149" s="71"/>
      <c r="Q149" s="72"/>
      <c r="R149" s="73"/>
      <c r="S149" s="67"/>
      <c r="T149" s="73"/>
      <c r="U149" s="65"/>
    </row>
    <row r="150" spans="2:21" x14ac:dyDescent="0.25">
      <c r="B150" s="65"/>
      <c r="C150" s="66"/>
      <c r="D150" s="66"/>
      <c r="E150" s="66"/>
      <c r="F150" s="65"/>
      <c r="G150" s="65"/>
      <c r="H150" s="67"/>
      <c r="I150" s="67"/>
      <c r="J150" s="68"/>
      <c r="K150" s="67"/>
      <c r="L150" s="67"/>
      <c r="M150" s="69"/>
      <c r="N150" s="70"/>
      <c r="O150" s="71"/>
      <c r="P150" s="71"/>
      <c r="Q150" s="72"/>
      <c r="R150" s="73"/>
      <c r="S150" s="67"/>
      <c r="T150" s="73"/>
      <c r="U150" s="65"/>
    </row>
    <row r="151" spans="2:21" x14ac:dyDescent="0.25">
      <c r="B151" s="65"/>
      <c r="C151" s="66"/>
      <c r="D151" s="66"/>
      <c r="E151" s="66"/>
      <c r="F151" s="65"/>
      <c r="G151" s="65"/>
      <c r="H151" s="67"/>
      <c r="I151" s="67"/>
      <c r="J151" s="68"/>
      <c r="K151" s="67"/>
      <c r="L151" s="67"/>
      <c r="M151" s="69"/>
      <c r="N151" s="70"/>
      <c r="O151" s="71"/>
      <c r="P151" s="71"/>
      <c r="Q151" s="72"/>
      <c r="R151" s="73"/>
      <c r="S151" s="67"/>
      <c r="T151" s="73"/>
      <c r="U151" s="65"/>
    </row>
    <row r="152" spans="2:21" x14ac:dyDescent="0.25">
      <c r="B152" s="65"/>
      <c r="C152" s="66"/>
      <c r="D152" s="66"/>
      <c r="E152" s="66"/>
      <c r="F152" s="65"/>
      <c r="G152" s="65"/>
      <c r="H152" s="67"/>
      <c r="I152" s="67"/>
      <c r="J152" s="68"/>
      <c r="K152" s="67"/>
      <c r="L152" s="67"/>
      <c r="M152" s="69"/>
      <c r="N152" s="70"/>
      <c r="O152" s="71"/>
      <c r="P152" s="71"/>
      <c r="Q152" s="72"/>
      <c r="R152" s="73"/>
      <c r="S152" s="67"/>
      <c r="T152" s="73"/>
      <c r="U152" s="65"/>
    </row>
    <row r="153" spans="2:21" x14ac:dyDescent="0.25">
      <c r="B153" s="65"/>
      <c r="C153" s="66"/>
      <c r="D153" s="66"/>
      <c r="E153" s="66"/>
      <c r="F153" s="65"/>
      <c r="G153" s="65"/>
      <c r="H153" s="67"/>
      <c r="I153" s="67"/>
      <c r="J153" s="68"/>
      <c r="K153" s="67"/>
      <c r="L153" s="67"/>
      <c r="M153" s="69"/>
      <c r="N153" s="70"/>
      <c r="O153" s="71"/>
      <c r="P153" s="71"/>
      <c r="Q153" s="72"/>
      <c r="R153" s="73"/>
      <c r="S153" s="67"/>
      <c r="T153" s="73"/>
      <c r="U153" s="65"/>
    </row>
    <row r="154" spans="2:21" x14ac:dyDescent="0.25">
      <c r="B154" s="65"/>
      <c r="C154" s="66"/>
      <c r="D154" s="66"/>
      <c r="E154" s="66"/>
      <c r="F154" s="65"/>
      <c r="G154" s="65"/>
      <c r="H154" s="67"/>
      <c r="I154" s="67"/>
      <c r="J154" s="68"/>
      <c r="K154" s="67"/>
      <c r="L154" s="67"/>
      <c r="M154" s="69"/>
      <c r="N154" s="70"/>
      <c r="O154" s="71"/>
      <c r="P154" s="71"/>
      <c r="Q154" s="72"/>
      <c r="R154" s="73"/>
      <c r="S154" s="67"/>
      <c r="T154" s="73"/>
      <c r="U154" s="65"/>
    </row>
    <row r="155" spans="2:21" x14ac:dyDescent="0.25">
      <c r="B155" s="65"/>
      <c r="C155" s="66"/>
      <c r="D155" s="66"/>
      <c r="E155" s="66"/>
      <c r="F155" s="65"/>
      <c r="G155" s="65"/>
      <c r="H155" s="67"/>
      <c r="I155" s="67"/>
      <c r="J155" s="68"/>
      <c r="K155" s="67"/>
      <c r="L155" s="67"/>
      <c r="M155" s="69"/>
      <c r="N155" s="70"/>
      <c r="O155" s="71"/>
      <c r="P155" s="71"/>
      <c r="Q155" s="72"/>
      <c r="R155" s="73"/>
      <c r="S155" s="67"/>
      <c r="T155" s="73"/>
      <c r="U155" s="65"/>
    </row>
    <row r="156" spans="2:21" x14ac:dyDescent="0.25">
      <c r="B156" s="65"/>
      <c r="C156" s="66"/>
      <c r="D156" s="66"/>
      <c r="E156" s="66"/>
      <c r="F156" s="65"/>
      <c r="G156" s="65"/>
      <c r="H156" s="67"/>
      <c r="I156" s="67"/>
      <c r="J156" s="68"/>
      <c r="K156" s="67"/>
      <c r="L156" s="67"/>
      <c r="M156" s="69"/>
      <c r="N156" s="70"/>
      <c r="O156" s="71"/>
      <c r="P156" s="71"/>
      <c r="Q156" s="72"/>
      <c r="R156" s="73"/>
      <c r="S156" s="67"/>
      <c r="T156" s="73"/>
      <c r="U156" s="65"/>
    </row>
    <row r="157" spans="2:21" x14ac:dyDescent="0.25">
      <c r="B157" s="65"/>
      <c r="C157" s="66"/>
      <c r="D157" s="66"/>
      <c r="E157" s="66"/>
      <c r="F157" s="65"/>
      <c r="G157" s="65"/>
      <c r="H157" s="67"/>
      <c r="I157" s="67"/>
      <c r="J157" s="68"/>
      <c r="K157" s="67"/>
      <c r="L157" s="67"/>
      <c r="M157" s="69"/>
      <c r="N157" s="70"/>
      <c r="O157" s="71"/>
      <c r="P157" s="71"/>
      <c r="Q157" s="72"/>
      <c r="R157" s="73"/>
      <c r="S157" s="67"/>
      <c r="T157" s="73"/>
      <c r="U157" s="65"/>
    </row>
    <row r="158" spans="2:21" x14ac:dyDescent="0.25">
      <c r="B158" s="65"/>
      <c r="C158" s="66"/>
      <c r="D158" s="66"/>
      <c r="E158" s="66"/>
      <c r="F158" s="65"/>
      <c r="G158" s="65"/>
      <c r="H158" s="67"/>
      <c r="I158" s="67"/>
      <c r="J158" s="68"/>
      <c r="K158" s="67"/>
      <c r="L158" s="67"/>
      <c r="M158" s="69"/>
      <c r="N158" s="70"/>
      <c r="O158" s="71"/>
      <c r="P158" s="71"/>
      <c r="Q158" s="72"/>
      <c r="R158" s="73"/>
      <c r="S158" s="67"/>
      <c r="T158" s="73"/>
      <c r="U158" s="65"/>
    </row>
    <row r="159" spans="2:21" x14ac:dyDescent="0.25">
      <c r="B159" s="65"/>
      <c r="C159" s="66"/>
      <c r="D159" s="66"/>
      <c r="E159" s="66"/>
      <c r="F159" s="65"/>
      <c r="G159" s="65"/>
      <c r="H159" s="67"/>
      <c r="I159" s="67"/>
      <c r="J159" s="68"/>
      <c r="K159" s="67"/>
      <c r="L159" s="67"/>
      <c r="M159" s="69"/>
      <c r="N159" s="70"/>
      <c r="O159" s="71"/>
      <c r="P159" s="71"/>
      <c r="Q159" s="72"/>
      <c r="R159" s="73"/>
      <c r="S159" s="67"/>
      <c r="T159" s="73"/>
      <c r="U159" s="65"/>
    </row>
    <row r="160" spans="2:21" x14ac:dyDescent="0.25">
      <c r="B160" s="65"/>
      <c r="C160" s="66"/>
      <c r="D160" s="66"/>
      <c r="E160" s="66"/>
      <c r="F160" s="65"/>
      <c r="G160" s="65"/>
      <c r="H160" s="67"/>
      <c r="I160" s="67"/>
      <c r="J160" s="68"/>
      <c r="K160" s="67"/>
      <c r="L160" s="67"/>
      <c r="M160" s="69"/>
      <c r="N160" s="70"/>
      <c r="O160" s="71"/>
      <c r="P160" s="71"/>
      <c r="Q160" s="72"/>
      <c r="R160" s="73"/>
      <c r="S160" s="67"/>
      <c r="T160" s="73"/>
      <c r="U160" s="65"/>
    </row>
    <row r="161" spans="2:21" x14ac:dyDescent="0.25">
      <c r="B161" s="65"/>
      <c r="C161" s="66"/>
      <c r="D161" s="66"/>
      <c r="E161" s="66"/>
      <c r="F161" s="65"/>
      <c r="G161" s="65"/>
      <c r="H161" s="67"/>
      <c r="I161" s="67"/>
      <c r="J161" s="68"/>
      <c r="K161" s="67"/>
      <c r="L161" s="67"/>
      <c r="M161" s="69"/>
      <c r="N161" s="70"/>
      <c r="O161" s="71"/>
      <c r="P161" s="71"/>
      <c r="Q161" s="72"/>
      <c r="R161" s="73"/>
      <c r="S161" s="67"/>
      <c r="T161" s="73"/>
      <c r="U161" s="65"/>
    </row>
    <row r="162" spans="2:21" x14ac:dyDescent="0.25">
      <c r="B162" s="65"/>
      <c r="C162" s="66"/>
      <c r="D162" s="66"/>
      <c r="E162" s="66"/>
      <c r="F162" s="65"/>
      <c r="G162" s="65"/>
      <c r="H162" s="67"/>
      <c r="I162" s="67"/>
      <c r="J162" s="68"/>
      <c r="K162" s="67"/>
      <c r="L162" s="67"/>
      <c r="M162" s="69"/>
      <c r="N162" s="70"/>
      <c r="O162" s="71"/>
      <c r="P162" s="71"/>
      <c r="Q162" s="72"/>
      <c r="R162" s="73"/>
      <c r="S162" s="67"/>
      <c r="T162" s="73"/>
      <c r="U162" s="65"/>
    </row>
    <row r="163" spans="2:21" x14ac:dyDescent="0.25">
      <c r="B163" s="65"/>
      <c r="C163" s="66"/>
      <c r="D163" s="66"/>
      <c r="E163" s="66"/>
      <c r="F163" s="65"/>
      <c r="G163" s="65"/>
      <c r="H163" s="67"/>
      <c r="I163" s="67"/>
      <c r="J163" s="68"/>
      <c r="K163" s="67"/>
      <c r="L163" s="67"/>
      <c r="M163" s="69"/>
      <c r="N163" s="70"/>
      <c r="O163" s="71"/>
      <c r="P163" s="71"/>
      <c r="Q163" s="72"/>
      <c r="R163" s="73"/>
      <c r="S163" s="67"/>
      <c r="T163" s="73"/>
      <c r="U163" s="65"/>
    </row>
    <row r="164" spans="2:21" x14ac:dyDescent="0.25">
      <c r="B164" s="65"/>
      <c r="C164" s="66"/>
      <c r="D164" s="66"/>
      <c r="E164" s="66"/>
      <c r="F164" s="65"/>
      <c r="G164" s="65"/>
      <c r="H164" s="67"/>
      <c r="I164" s="67"/>
      <c r="J164" s="68"/>
      <c r="K164" s="67"/>
      <c r="L164" s="67"/>
      <c r="M164" s="69"/>
      <c r="N164" s="70"/>
      <c r="O164" s="71"/>
      <c r="P164" s="71"/>
      <c r="Q164" s="72"/>
      <c r="R164" s="73"/>
      <c r="S164" s="67"/>
      <c r="T164" s="73"/>
      <c r="U164" s="65"/>
    </row>
    <row r="165" spans="2:21" x14ac:dyDescent="0.25">
      <c r="B165" s="65"/>
      <c r="C165" s="66"/>
      <c r="D165" s="66"/>
      <c r="E165" s="66"/>
      <c r="F165" s="65"/>
      <c r="G165" s="65"/>
      <c r="H165" s="67"/>
      <c r="I165" s="67"/>
      <c r="J165" s="68"/>
      <c r="K165" s="67"/>
      <c r="L165" s="67"/>
      <c r="M165" s="69"/>
      <c r="N165" s="70"/>
      <c r="O165" s="71"/>
      <c r="P165" s="71"/>
      <c r="Q165" s="72"/>
      <c r="R165" s="73"/>
      <c r="S165" s="67"/>
      <c r="T165" s="73"/>
      <c r="U165" s="65"/>
    </row>
    <row r="166" spans="2:21" x14ac:dyDescent="0.25">
      <c r="B166" s="65"/>
      <c r="C166" s="66"/>
      <c r="D166" s="66"/>
      <c r="E166" s="66"/>
      <c r="F166" s="65"/>
      <c r="G166" s="65"/>
      <c r="H166" s="67"/>
      <c r="I166" s="67"/>
      <c r="J166" s="68"/>
      <c r="K166" s="67"/>
      <c r="L166" s="67"/>
      <c r="M166" s="69"/>
      <c r="N166" s="70"/>
      <c r="O166" s="71"/>
      <c r="P166" s="71"/>
      <c r="Q166" s="72"/>
      <c r="R166" s="73"/>
      <c r="S166" s="67"/>
      <c r="T166" s="73"/>
      <c r="U166" s="65"/>
    </row>
    <row r="167" spans="2:21" x14ac:dyDescent="0.25">
      <c r="B167" s="65"/>
      <c r="C167" s="66"/>
      <c r="D167" s="66"/>
      <c r="E167" s="66"/>
      <c r="F167" s="65"/>
      <c r="G167" s="65"/>
      <c r="H167" s="67"/>
      <c r="I167" s="67"/>
      <c r="J167" s="68"/>
      <c r="K167" s="67"/>
      <c r="L167" s="67"/>
      <c r="M167" s="69"/>
      <c r="N167" s="70"/>
      <c r="O167" s="71"/>
      <c r="P167" s="71"/>
      <c r="Q167" s="72"/>
      <c r="R167" s="73"/>
      <c r="S167" s="67"/>
      <c r="T167" s="73"/>
      <c r="U167" s="65"/>
    </row>
    <row r="168" spans="2:21" x14ac:dyDescent="0.25">
      <c r="B168" s="65"/>
      <c r="C168" s="66"/>
      <c r="D168" s="66"/>
      <c r="E168" s="66"/>
      <c r="F168" s="65"/>
      <c r="G168" s="65"/>
      <c r="H168" s="67"/>
      <c r="I168" s="67"/>
      <c r="J168" s="68"/>
      <c r="K168" s="67"/>
      <c r="L168" s="67"/>
      <c r="M168" s="69"/>
      <c r="N168" s="70"/>
      <c r="O168" s="71"/>
      <c r="P168" s="71"/>
      <c r="Q168" s="72"/>
      <c r="R168" s="73"/>
      <c r="S168" s="67"/>
      <c r="T168" s="73"/>
      <c r="U168" s="65"/>
    </row>
    <row r="169" spans="2:21" x14ac:dyDescent="0.25">
      <c r="B169" s="65"/>
      <c r="C169" s="66"/>
      <c r="D169" s="66"/>
      <c r="E169" s="66"/>
      <c r="F169" s="65"/>
      <c r="G169" s="65"/>
      <c r="H169" s="67"/>
      <c r="I169" s="67"/>
      <c r="J169" s="68"/>
      <c r="K169" s="67"/>
      <c r="L169" s="67"/>
      <c r="M169" s="69"/>
      <c r="N169" s="70"/>
      <c r="O169" s="71"/>
      <c r="P169" s="71"/>
      <c r="Q169" s="72"/>
      <c r="R169" s="73"/>
      <c r="S169" s="67"/>
      <c r="T169" s="73"/>
      <c r="U169" s="65"/>
    </row>
    <row r="170" spans="2:21" x14ac:dyDescent="0.25">
      <c r="B170" s="65"/>
      <c r="C170" s="66"/>
      <c r="D170" s="66"/>
      <c r="E170" s="66"/>
      <c r="F170" s="65"/>
      <c r="G170" s="65"/>
      <c r="H170" s="67"/>
      <c r="I170" s="67"/>
      <c r="J170" s="68"/>
      <c r="K170" s="67"/>
      <c r="L170" s="67"/>
      <c r="M170" s="69"/>
      <c r="N170" s="70"/>
      <c r="O170" s="71"/>
      <c r="P170" s="71"/>
      <c r="Q170" s="72"/>
      <c r="R170" s="73"/>
      <c r="S170" s="67"/>
      <c r="T170" s="73"/>
      <c r="U170" s="65"/>
    </row>
    <row r="171" spans="2:21" x14ac:dyDescent="0.25">
      <c r="B171" s="65"/>
      <c r="C171" s="66"/>
      <c r="D171" s="66"/>
      <c r="E171" s="66"/>
      <c r="F171" s="65"/>
      <c r="G171" s="65"/>
      <c r="H171" s="67"/>
      <c r="I171" s="67"/>
      <c r="J171" s="68"/>
      <c r="K171" s="67"/>
      <c r="L171" s="67"/>
      <c r="M171" s="69"/>
      <c r="N171" s="70"/>
      <c r="O171" s="71"/>
      <c r="P171" s="71"/>
      <c r="Q171" s="72"/>
      <c r="R171" s="73"/>
      <c r="S171" s="67"/>
      <c r="T171" s="73"/>
      <c r="U171" s="65"/>
    </row>
    <row r="172" spans="2:21" x14ac:dyDescent="0.25">
      <c r="B172" s="65"/>
      <c r="C172" s="66"/>
      <c r="D172" s="66"/>
      <c r="E172" s="66"/>
      <c r="F172" s="65"/>
      <c r="G172" s="65"/>
      <c r="H172" s="67"/>
      <c r="I172" s="67"/>
      <c r="J172" s="68"/>
      <c r="K172" s="67"/>
      <c r="L172" s="67"/>
      <c r="M172" s="69"/>
      <c r="N172" s="70"/>
      <c r="O172" s="71"/>
      <c r="P172" s="71"/>
      <c r="Q172" s="72"/>
      <c r="R172" s="73"/>
      <c r="S172" s="67"/>
      <c r="T172" s="73"/>
      <c r="U172" s="65"/>
    </row>
    <row r="173" spans="2:21" x14ac:dyDescent="0.25">
      <c r="B173" s="65"/>
      <c r="C173" s="66"/>
      <c r="D173" s="66"/>
      <c r="E173" s="66"/>
      <c r="F173" s="65"/>
      <c r="G173" s="65"/>
      <c r="H173" s="67"/>
      <c r="I173" s="67"/>
      <c r="J173" s="68"/>
      <c r="K173" s="67"/>
      <c r="L173" s="67"/>
      <c r="M173" s="69"/>
      <c r="N173" s="70"/>
      <c r="O173" s="71"/>
      <c r="P173" s="71"/>
      <c r="Q173" s="72"/>
      <c r="R173" s="73"/>
      <c r="S173" s="67"/>
      <c r="T173" s="73"/>
      <c r="U173" s="65"/>
    </row>
    <row r="174" spans="2:21" x14ac:dyDescent="0.25">
      <c r="B174" s="65"/>
      <c r="C174" s="66"/>
      <c r="D174" s="66"/>
      <c r="E174" s="66"/>
      <c r="F174" s="65"/>
      <c r="G174" s="65"/>
      <c r="H174" s="67"/>
      <c r="I174" s="67"/>
      <c r="J174" s="68"/>
      <c r="K174" s="67"/>
      <c r="L174" s="67"/>
      <c r="M174" s="69"/>
      <c r="N174" s="70"/>
      <c r="O174" s="71"/>
      <c r="P174" s="71"/>
      <c r="Q174" s="72"/>
      <c r="R174" s="73"/>
      <c r="S174" s="67"/>
      <c r="T174" s="73"/>
      <c r="U174" s="65"/>
    </row>
    <row r="175" spans="2:21" x14ac:dyDescent="0.25">
      <c r="B175" s="65"/>
      <c r="C175" s="66"/>
      <c r="D175" s="66"/>
      <c r="E175" s="66"/>
      <c r="F175" s="65"/>
      <c r="G175" s="65"/>
      <c r="H175" s="67"/>
      <c r="I175" s="67"/>
      <c r="J175" s="68"/>
      <c r="K175" s="67"/>
      <c r="L175" s="67"/>
      <c r="M175" s="69"/>
      <c r="N175" s="70"/>
      <c r="O175" s="71"/>
      <c r="P175" s="71"/>
      <c r="Q175" s="72"/>
      <c r="R175" s="73"/>
      <c r="S175" s="67"/>
      <c r="T175" s="73"/>
      <c r="U175" s="65"/>
    </row>
    <row r="176" spans="2:21" x14ac:dyDescent="0.25">
      <c r="B176" s="65"/>
      <c r="C176" s="66"/>
      <c r="D176" s="66"/>
      <c r="E176" s="66"/>
      <c r="F176" s="65"/>
      <c r="G176" s="65"/>
      <c r="H176" s="67"/>
      <c r="I176" s="67"/>
      <c r="J176" s="68"/>
      <c r="K176" s="67"/>
      <c r="L176" s="67"/>
      <c r="M176" s="69"/>
      <c r="N176" s="70"/>
      <c r="O176" s="71"/>
      <c r="P176" s="71"/>
      <c r="Q176" s="72"/>
      <c r="R176" s="73"/>
      <c r="S176" s="67"/>
      <c r="T176" s="73"/>
      <c r="U176" s="65"/>
    </row>
    <row r="177" spans="2:21" x14ac:dyDescent="0.25">
      <c r="B177" s="65"/>
      <c r="C177" s="66"/>
      <c r="D177" s="66"/>
      <c r="E177" s="66"/>
      <c r="F177" s="65"/>
      <c r="G177" s="65"/>
      <c r="H177" s="67"/>
      <c r="I177" s="67"/>
      <c r="J177" s="68"/>
      <c r="K177" s="67"/>
      <c r="L177" s="67"/>
      <c r="M177" s="69"/>
      <c r="N177" s="70"/>
      <c r="O177" s="71"/>
      <c r="P177" s="71"/>
      <c r="Q177" s="72"/>
      <c r="R177" s="73"/>
      <c r="S177" s="67"/>
      <c r="T177" s="73"/>
      <c r="U177" s="65"/>
    </row>
    <row r="178" spans="2:21" x14ac:dyDescent="0.25">
      <c r="B178" s="65"/>
      <c r="C178" s="66"/>
      <c r="D178" s="66"/>
      <c r="E178" s="66"/>
      <c r="F178" s="65"/>
      <c r="G178" s="65"/>
      <c r="H178" s="67"/>
      <c r="I178" s="67"/>
      <c r="J178" s="68"/>
      <c r="K178" s="67"/>
      <c r="L178" s="67"/>
      <c r="M178" s="69"/>
      <c r="N178" s="70"/>
      <c r="O178" s="71"/>
      <c r="P178" s="71"/>
      <c r="Q178" s="72"/>
      <c r="R178" s="73"/>
      <c r="S178" s="67"/>
      <c r="T178" s="73"/>
      <c r="U178" s="65"/>
    </row>
    <row r="179" spans="2:21" x14ac:dyDescent="0.25">
      <c r="B179" s="65"/>
      <c r="C179" s="66"/>
      <c r="D179" s="66"/>
      <c r="E179" s="66"/>
      <c r="F179" s="65"/>
      <c r="G179" s="65"/>
      <c r="H179" s="67"/>
      <c r="I179" s="67"/>
      <c r="J179" s="68"/>
      <c r="K179" s="67"/>
      <c r="L179" s="67"/>
      <c r="M179" s="69"/>
      <c r="N179" s="70"/>
      <c r="O179" s="71"/>
      <c r="P179" s="71"/>
      <c r="Q179" s="72"/>
      <c r="R179" s="73"/>
      <c r="S179" s="67"/>
      <c r="T179" s="73"/>
      <c r="U179" s="65"/>
    </row>
    <row r="180" spans="2:21" x14ac:dyDescent="0.25">
      <c r="B180" s="65"/>
      <c r="C180" s="66"/>
      <c r="D180" s="66"/>
      <c r="E180" s="66"/>
      <c r="F180" s="65"/>
      <c r="G180" s="65"/>
      <c r="H180" s="67"/>
      <c r="I180" s="67"/>
      <c r="J180" s="68"/>
      <c r="K180" s="67"/>
      <c r="L180" s="67"/>
      <c r="M180" s="69"/>
      <c r="N180" s="70"/>
      <c r="O180" s="71"/>
      <c r="P180" s="71"/>
      <c r="Q180" s="72"/>
      <c r="R180" s="73"/>
      <c r="S180" s="67"/>
      <c r="T180" s="73"/>
      <c r="U180" s="65"/>
    </row>
    <row r="181" spans="2:21" x14ac:dyDescent="0.25">
      <c r="B181" s="65"/>
      <c r="C181" s="66"/>
      <c r="D181" s="66"/>
      <c r="E181" s="66"/>
      <c r="F181" s="65"/>
      <c r="G181" s="65"/>
      <c r="H181" s="67"/>
      <c r="I181" s="67"/>
      <c r="J181" s="68"/>
      <c r="K181" s="67"/>
      <c r="L181" s="67"/>
      <c r="M181" s="69"/>
      <c r="N181" s="70"/>
      <c r="O181" s="71"/>
      <c r="P181" s="71"/>
      <c r="Q181" s="72"/>
      <c r="R181" s="73"/>
      <c r="S181" s="67"/>
      <c r="T181" s="73"/>
      <c r="U181" s="65"/>
    </row>
    <row r="182" spans="2:21" x14ac:dyDescent="0.25">
      <c r="B182" s="65"/>
      <c r="C182" s="66"/>
      <c r="D182" s="66"/>
      <c r="E182" s="66"/>
      <c r="F182" s="65"/>
      <c r="G182" s="65"/>
      <c r="H182" s="67"/>
      <c r="I182" s="67"/>
      <c r="J182" s="68"/>
      <c r="K182" s="67"/>
      <c r="L182" s="67"/>
      <c r="M182" s="69"/>
      <c r="N182" s="70"/>
      <c r="O182" s="71"/>
      <c r="P182" s="71"/>
      <c r="Q182" s="72"/>
      <c r="R182" s="73"/>
      <c r="S182" s="67"/>
      <c r="T182" s="73"/>
      <c r="U182" s="65"/>
    </row>
    <row r="183" spans="2:21" x14ac:dyDescent="0.25">
      <c r="B183" s="65"/>
      <c r="C183" s="66"/>
      <c r="D183" s="66"/>
      <c r="E183" s="66"/>
      <c r="F183" s="65"/>
      <c r="G183" s="65"/>
      <c r="H183" s="67"/>
      <c r="I183" s="67"/>
      <c r="J183" s="68"/>
      <c r="K183" s="67"/>
      <c r="L183" s="67"/>
      <c r="M183" s="69"/>
      <c r="N183" s="70"/>
      <c r="O183" s="71"/>
      <c r="P183" s="71"/>
      <c r="Q183" s="72"/>
      <c r="R183" s="73"/>
      <c r="S183" s="67"/>
      <c r="T183" s="73"/>
      <c r="U183" s="65"/>
    </row>
    <row r="184" spans="2:21" x14ac:dyDescent="0.25">
      <c r="B184" s="65"/>
      <c r="C184" s="66"/>
      <c r="D184" s="66"/>
      <c r="E184" s="66"/>
      <c r="F184" s="65"/>
      <c r="G184" s="65"/>
      <c r="H184" s="67"/>
      <c r="I184" s="67"/>
      <c r="J184" s="68"/>
      <c r="K184" s="67"/>
      <c r="L184" s="67"/>
      <c r="M184" s="69"/>
      <c r="N184" s="70"/>
      <c r="O184" s="71"/>
      <c r="P184" s="71"/>
      <c r="Q184" s="72"/>
      <c r="R184" s="73"/>
      <c r="S184" s="67"/>
      <c r="T184" s="73"/>
      <c r="U184" s="65"/>
    </row>
    <row r="185" spans="2:21" x14ac:dyDescent="0.25">
      <c r="B185" s="65"/>
      <c r="C185" s="66"/>
      <c r="D185" s="66"/>
      <c r="E185" s="66"/>
      <c r="F185" s="65"/>
      <c r="G185" s="65"/>
      <c r="H185" s="67"/>
      <c r="I185" s="67"/>
      <c r="J185" s="68"/>
      <c r="K185" s="67"/>
      <c r="L185" s="67"/>
      <c r="M185" s="69"/>
      <c r="N185" s="70"/>
      <c r="O185" s="71"/>
      <c r="P185" s="71"/>
      <c r="Q185" s="72"/>
      <c r="R185" s="73"/>
      <c r="S185" s="67"/>
      <c r="T185" s="73"/>
      <c r="U185" s="65"/>
    </row>
    <row r="186" spans="2:21" x14ac:dyDescent="0.25">
      <c r="B186" s="65"/>
      <c r="C186" s="66"/>
      <c r="D186" s="66"/>
      <c r="E186" s="66"/>
      <c r="F186" s="65"/>
      <c r="G186" s="65"/>
      <c r="H186" s="67"/>
      <c r="I186" s="67"/>
      <c r="J186" s="68"/>
      <c r="K186" s="67"/>
      <c r="L186" s="67"/>
      <c r="M186" s="69"/>
      <c r="N186" s="70"/>
      <c r="O186" s="71"/>
      <c r="P186" s="71"/>
      <c r="Q186" s="72"/>
      <c r="R186" s="73"/>
      <c r="S186" s="67"/>
      <c r="T186" s="73"/>
      <c r="U186" s="65"/>
    </row>
    <row r="187" spans="2:21" x14ac:dyDescent="0.25">
      <c r="B187" s="65"/>
      <c r="C187" s="66"/>
      <c r="D187" s="66"/>
      <c r="E187" s="66"/>
      <c r="F187" s="65"/>
      <c r="G187" s="65"/>
      <c r="H187" s="67"/>
      <c r="I187" s="67"/>
      <c r="J187" s="68"/>
      <c r="K187" s="67"/>
      <c r="L187" s="67"/>
      <c r="M187" s="69"/>
      <c r="N187" s="70"/>
      <c r="O187" s="71"/>
      <c r="P187" s="71"/>
      <c r="Q187" s="72"/>
      <c r="R187" s="73"/>
      <c r="S187" s="67"/>
      <c r="T187" s="73"/>
      <c r="U187" s="65"/>
    </row>
    <row r="188" spans="2:21" x14ac:dyDescent="0.25">
      <c r="B188" s="65"/>
      <c r="C188" s="66"/>
      <c r="D188" s="66"/>
      <c r="E188" s="66"/>
      <c r="F188" s="65"/>
      <c r="G188" s="65"/>
      <c r="H188" s="67"/>
      <c r="I188" s="67"/>
      <c r="J188" s="68"/>
      <c r="K188" s="67"/>
      <c r="L188" s="67"/>
      <c r="M188" s="69"/>
      <c r="N188" s="70"/>
      <c r="O188" s="71"/>
      <c r="P188" s="71"/>
      <c r="Q188" s="72"/>
      <c r="R188" s="73"/>
      <c r="S188" s="67"/>
      <c r="T188" s="73"/>
      <c r="U188" s="65"/>
    </row>
    <row r="189" spans="2:21" x14ac:dyDescent="0.25">
      <c r="B189" s="65"/>
      <c r="C189" s="66"/>
      <c r="D189" s="66"/>
      <c r="E189" s="66"/>
      <c r="F189" s="65"/>
      <c r="G189" s="65"/>
      <c r="H189" s="67"/>
      <c r="I189" s="67"/>
      <c r="J189" s="68"/>
      <c r="K189" s="67"/>
      <c r="L189" s="67"/>
      <c r="M189" s="69"/>
      <c r="N189" s="70"/>
      <c r="O189" s="71"/>
      <c r="P189" s="71"/>
      <c r="Q189" s="72"/>
      <c r="R189" s="73"/>
      <c r="S189" s="67"/>
      <c r="T189" s="73"/>
      <c r="U189" s="65"/>
    </row>
    <row r="190" spans="2:21" x14ac:dyDescent="0.25">
      <c r="B190" s="65"/>
      <c r="C190" s="66"/>
      <c r="D190" s="66"/>
      <c r="E190" s="66"/>
      <c r="F190" s="65"/>
      <c r="G190" s="65"/>
      <c r="H190" s="67"/>
      <c r="I190" s="67"/>
      <c r="J190" s="68"/>
      <c r="K190" s="67"/>
      <c r="L190" s="67"/>
      <c r="M190" s="69"/>
      <c r="N190" s="70"/>
      <c r="O190" s="71"/>
      <c r="P190" s="71"/>
      <c r="Q190" s="72"/>
      <c r="R190" s="73"/>
      <c r="S190" s="67"/>
      <c r="T190" s="73"/>
      <c r="U190" s="65"/>
    </row>
    <row r="191" spans="2:21" x14ac:dyDescent="0.25">
      <c r="B191" s="65"/>
      <c r="C191" s="66"/>
      <c r="D191" s="66"/>
      <c r="E191" s="66"/>
      <c r="F191" s="65"/>
      <c r="G191" s="65"/>
      <c r="H191" s="67"/>
      <c r="I191" s="67"/>
      <c r="J191" s="68"/>
      <c r="K191" s="67"/>
      <c r="L191" s="67"/>
      <c r="M191" s="69"/>
      <c r="N191" s="70"/>
      <c r="O191" s="71"/>
      <c r="P191" s="71"/>
      <c r="Q191" s="72"/>
      <c r="R191" s="73"/>
      <c r="S191" s="67"/>
      <c r="T191" s="73"/>
      <c r="U191" s="65"/>
    </row>
    <row r="192" spans="2:21" x14ac:dyDescent="0.25">
      <c r="B192" s="65"/>
      <c r="C192" s="66"/>
      <c r="D192" s="66"/>
      <c r="E192" s="66"/>
      <c r="F192" s="65"/>
      <c r="G192" s="65"/>
      <c r="H192" s="67"/>
      <c r="I192" s="67"/>
      <c r="J192" s="68"/>
      <c r="K192" s="67"/>
      <c r="L192" s="67"/>
      <c r="M192" s="69"/>
      <c r="N192" s="70"/>
      <c r="O192" s="71"/>
      <c r="P192" s="71"/>
      <c r="Q192" s="72"/>
      <c r="R192" s="73"/>
      <c r="S192" s="67"/>
      <c r="T192" s="73"/>
      <c r="U192" s="65"/>
    </row>
    <row r="193" spans="2:21" x14ac:dyDescent="0.25">
      <c r="B193" s="65"/>
      <c r="C193" s="66"/>
      <c r="D193" s="66"/>
      <c r="E193" s="66"/>
      <c r="F193" s="65"/>
      <c r="G193" s="65"/>
      <c r="H193" s="67"/>
      <c r="I193" s="67"/>
      <c r="J193" s="68"/>
      <c r="K193" s="67"/>
      <c r="L193" s="67"/>
      <c r="M193" s="69"/>
      <c r="N193" s="70"/>
      <c r="O193" s="71"/>
      <c r="P193" s="71"/>
      <c r="Q193" s="72"/>
      <c r="R193" s="73"/>
      <c r="S193" s="67"/>
      <c r="T193" s="73"/>
      <c r="U193" s="65"/>
    </row>
    <row r="194" spans="2:21" x14ac:dyDescent="0.25">
      <c r="B194" s="65"/>
      <c r="C194" s="66"/>
      <c r="D194" s="66"/>
      <c r="E194" s="66"/>
      <c r="F194" s="65"/>
      <c r="G194" s="65"/>
      <c r="H194" s="67"/>
      <c r="I194" s="67"/>
      <c r="J194" s="68"/>
      <c r="K194" s="67"/>
      <c r="L194" s="67"/>
      <c r="M194" s="69"/>
      <c r="N194" s="70"/>
      <c r="O194" s="71"/>
      <c r="P194" s="71"/>
      <c r="Q194" s="72"/>
      <c r="R194" s="73"/>
      <c r="S194" s="67"/>
      <c r="T194" s="73"/>
      <c r="U194" s="65"/>
    </row>
    <row r="195" spans="2:21" x14ac:dyDescent="0.25">
      <c r="B195" s="65"/>
      <c r="C195" s="66"/>
      <c r="D195" s="66"/>
      <c r="E195" s="66"/>
      <c r="F195" s="65"/>
      <c r="G195" s="65"/>
      <c r="H195" s="67"/>
      <c r="I195" s="67"/>
      <c r="J195" s="68"/>
      <c r="K195" s="67"/>
      <c r="L195" s="67"/>
      <c r="M195" s="69"/>
      <c r="N195" s="70"/>
      <c r="O195" s="71"/>
      <c r="P195" s="71"/>
      <c r="Q195" s="72"/>
      <c r="R195" s="73"/>
      <c r="S195" s="67"/>
      <c r="T195" s="73"/>
      <c r="U195" s="65"/>
    </row>
    <row r="196" spans="2:21" x14ac:dyDescent="0.25">
      <c r="B196" s="65"/>
      <c r="C196" s="66"/>
      <c r="D196" s="66"/>
      <c r="E196" s="66"/>
      <c r="F196" s="65"/>
      <c r="G196" s="65"/>
      <c r="H196" s="67"/>
      <c r="I196" s="67"/>
      <c r="J196" s="68"/>
      <c r="K196" s="67"/>
      <c r="L196" s="67"/>
      <c r="M196" s="69"/>
      <c r="N196" s="70"/>
      <c r="O196" s="71"/>
      <c r="P196" s="71"/>
      <c r="Q196" s="72"/>
      <c r="R196" s="73"/>
      <c r="S196" s="67"/>
      <c r="T196" s="73"/>
      <c r="U196" s="65"/>
    </row>
    <row r="197" spans="2:21" x14ac:dyDescent="0.25">
      <c r="B197" s="65"/>
      <c r="C197" s="66"/>
      <c r="D197" s="66"/>
      <c r="E197" s="66"/>
      <c r="F197" s="65"/>
      <c r="G197" s="65"/>
      <c r="H197" s="67"/>
      <c r="I197" s="67"/>
      <c r="J197" s="68"/>
      <c r="K197" s="67"/>
      <c r="L197" s="67"/>
      <c r="M197" s="69"/>
      <c r="N197" s="70"/>
      <c r="O197" s="71"/>
      <c r="P197" s="71"/>
      <c r="Q197" s="72"/>
      <c r="R197" s="73"/>
      <c r="S197" s="67"/>
      <c r="T197" s="73"/>
      <c r="U197" s="65"/>
    </row>
    <row r="198" spans="2:21" x14ac:dyDescent="0.25">
      <c r="B198" s="65"/>
      <c r="C198" s="66"/>
      <c r="D198" s="66"/>
      <c r="E198" s="66"/>
      <c r="F198" s="65"/>
      <c r="G198" s="65"/>
      <c r="H198" s="67"/>
      <c r="I198" s="67"/>
      <c r="J198" s="68"/>
      <c r="K198" s="67"/>
      <c r="L198" s="67"/>
      <c r="M198" s="69"/>
      <c r="N198" s="70"/>
      <c r="O198" s="71"/>
      <c r="P198" s="71"/>
      <c r="Q198" s="72"/>
      <c r="R198" s="73"/>
      <c r="S198" s="67"/>
      <c r="T198" s="73"/>
      <c r="U198" s="65"/>
    </row>
    <row r="199" spans="2:21" x14ac:dyDescent="0.25">
      <c r="B199" s="65"/>
      <c r="C199" s="66"/>
      <c r="D199" s="66"/>
      <c r="E199" s="66"/>
      <c r="F199" s="65"/>
      <c r="G199" s="65"/>
      <c r="H199" s="67"/>
      <c r="I199" s="67"/>
      <c r="J199" s="68"/>
      <c r="K199" s="67"/>
      <c r="L199" s="67"/>
      <c r="M199" s="69"/>
      <c r="N199" s="70"/>
      <c r="O199" s="71"/>
      <c r="P199" s="71"/>
      <c r="Q199" s="72"/>
      <c r="R199" s="73"/>
      <c r="S199" s="67"/>
      <c r="T199" s="73"/>
      <c r="U199" s="65"/>
    </row>
    <row r="200" spans="2:21" x14ac:dyDescent="0.25">
      <c r="B200" s="65"/>
      <c r="C200" s="66"/>
      <c r="D200" s="66"/>
      <c r="E200" s="66"/>
      <c r="F200" s="65"/>
      <c r="G200" s="65"/>
      <c r="H200" s="67"/>
      <c r="I200" s="67"/>
      <c r="J200" s="68"/>
      <c r="K200" s="67"/>
      <c r="L200" s="67"/>
      <c r="M200" s="69"/>
      <c r="N200" s="70"/>
      <c r="O200" s="71"/>
      <c r="P200" s="71"/>
      <c r="Q200" s="72"/>
      <c r="R200" s="73"/>
      <c r="S200" s="67"/>
      <c r="T200" s="73"/>
      <c r="U200" s="65"/>
    </row>
    <row r="201" spans="2:21" x14ac:dyDescent="0.25">
      <c r="B201" s="65"/>
      <c r="C201" s="66"/>
      <c r="D201" s="66"/>
      <c r="E201" s="66"/>
      <c r="F201" s="65"/>
      <c r="G201" s="65"/>
      <c r="H201" s="67"/>
      <c r="I201" s="67"/>
      <c r="J201" s="68"/>
      <c r="K201" s="67"/>
      <c r="L201" s="67"/>
      <c r="M201" s="69"/>
      <c r="N201" s="70"/>
      <c r="O201" s="71"/>
      <c r="P201" s="71"/>
      <c r="Q201" s="72"/>
      <c r="R201" s="73"/>
      <c r="S201" s="67"/>
      <c r="T201" s="73"/>
      <c r="U201" s="65"/>
    </row>
    <row r="202" spans="2:21" x14ac:dyDescent="0.25">
      <c r="B202" s="65"/>
      <c r="C202" s="66"/>
      <c r="D202" s="66"/>
      <c r="E202" s="66"/>
      <c r="F202" s="65"/>
      <c r="G202" s="65"/>
      <c r="H202" s="67"/>
      <c r="I202" s="67"/>
      <c r="J202" s="68"/>
      <c r="K202" s="67"/>
      <c r="L202" s="67"/>
      <c r="M202" s="69"/>
      <c r="N202" s="70"/>
      <c r="O202" s="71"/>
      <c r="P202" s="71"/>
      <c r="Q202" s="72"/>
      <c r="R202" s="73"/>
      <c r="S202" s="67"/>
      <c r="T202" s="73"/>
      <c r="U202" s="65"/>
    </row>
    <row r="203" spans="2:21" x14ac:dyDescent="0.25">
      <c r="B203" s="65"/>
      <c r="C203" s="66"/>
      <c r="D203" s="66"/>
      <c r="E203" s="66"/>
      <c r="F203" s="65"/>
      <c r="G203" s="65"/>
      <c r="H203" s="67"/>
      <c r="I203" s="67"/>
      <c r="J203" s="68"/>
      <c r="K203" s="67"/>
      <c r="L203" s="67"/>
      <c r="M203" s="69"/>
      <c r="N203" s="70"/>
      <c r="O203" s="71"/>
      <c r="P203" s="71"/>
      <c r="Q203" s="72"/>
      <c r="R203" s="73"/>
      <c r="S203" s="67"/>
      <c r="T203" s="73"/>
      <c r="U203" s="65"/>
    </row>
    <row r="204" spans="2:21" x14ac:dyDescent="0.25">
      <c r="B204" s="65"/>
      <c r="C204" s="66"/>
      <c r="D204" s="66"/>
      <c r="E204" s="66"/>
      <c r="F204" s="65"/>
      <c r="G204" s="65"/>
      <c r="H204" s="67"/>
      <c r="I204" s="67"/>
      <c r="J204" s="68"/>
      <c r="K204" s="67"/>
      <c r="L204" s="67"/>
      <c r="M204" s="69"/>
      <c r="N204" s="70"/>
      <c r="O204" s="71"/>
      <c r="P204" s="71"/>
      <c r="Q204" s="72"/>
      <c r="R204" s="73"/>
      <c r="S204" s="67"/>
      <c r="T204" s="73"/>
      <c r="U204" s="65"/>
    </row>
    <row r="205" spans="2:21" x14ac:dyDescent="0.25">
      <c r="B205" s="65"/>
      <c r="C205" s="66"/>
      <c r="D205" s="66"/>
      <c r="E205" s="66"/>
      <c r="F205" s="65"/>
      <c r="G205" s="65"/>
      <c r="H205" s="67"/>
      <c r="I205" s="67"/>
      <c r="J205" s="68"/>
      <c r="K205" s="67"/>
      <c r="L205" s="67"/>
      <c r="M205" s="69"/>
      <c r="N205" s="70"/>
      <c r="O205" s="71"/>
      <c r="P205" s="71"/>
      <c r="Q205" s="72"/>
      <c r="R205" s="73"/>
      <c r="S205" s="67"/>
      <c r="T205" s="73"/>
      <c r="U205" s="65"/>
    </row>
    <row r="206" spans="2:21" x14ac:dyDescent="0.25">
      <c r="B206" s="65"/>
      <c r="C206" s="66"/>
      <c r="D206" s="66"/>
      <c r="E206" s="66"/>
      <c r="F206" s="65"/>
      <c r="G206" s="65"/>
      <c r="H206" s="67"/>
      <c r="I206" s="67"/>
      <c r="J206" s="68"/>
      <c r="K206" s="67"/>
      <c r="L206" s="67"/>
      <c r="M206" s="69"/>
      <c r="N206" s="70"/>
      <c r="O206" s="71"/>
      <c r="P206" s="71"/>
      <c r="Q206" s="72"/>
      <c r="R206" s="73"/>
      <c r="S206" s="67"/>
      <c r="T206" s="73"/>
      <c r="U206" s="65"/>
    </row>
    <row r="207" spans="2:21" x14ac:dyDescent="0.25">
      <c r="B207" s="65"/>
      <c r="C207" s="66"/>
      <c r="D207" s="66"/>
      <c r="E207" s="66"/>
      <c r="F207" s="65"/>
      <c r="G207" s="65"/>
      <c r="H207" s="67"/>
      <c r="I207" s="67"/>
      <c r="J207" s="68"/>
      <c r="K207" s="67"/>
      <c r="L207" s="67"/>
      <c r="M207" s="69"/>
      <c r="N207" s="70"/>
      <c r="O207" s="71"/>
      <c r="P207" s="71"/>
      <c r="Q207" s="72"/>
      <c r="R207" s="73"/>
      <c r="S207" s="67"/>
      <c r="T207" s="73"/>
      <c r="U207" s="65"/>
    </row>
    <row r="208" spans="2:21" x14ac:dyDescent="0.25">
      <c r="B208" s="65"/>
      <c r="C208" s="66"/>
      <c r="D208" s="66"/>
      <c r="E208" s="66"/>
      <c r="F208" s="65"/>
      <c r="G208" s="65"/>
      <c r="H208" s="67"/>
      <c r="I208" s="67"/>
      <c r="J208" s="68"/>
      <c r="K208" s="67"/>
      <c r="L208" s="67"/>
      <c r="M208" s="69"/>
      <c r="N208" s="70"/>
      <c r="O208" s="71"/>
      <c r="P208" s="71"/>
      <c r="Q208" s="72"/>
      <c r="R208" s="73"/>
      <c r="S208" s="67"/>
      <c r="T208" s="73"/>
      <c r="U208" s="65"/>
    </row>
    <row r="209" spans="2:21" x14ac:dyDescent="0.25">
      <c r="B209" s="65"/>
      <c r="C209" s="66"/>
      <c r="D209" s="66"/>
      <c r="E209" s="66"/>
      <c r="F209" s="65"/>
      <c r="G209" s="65"/>
      <c r="H209" s="67"/>
      <c r="I209" s="67"/>
      <c r="J209" s="68"/>
      <c r="K209" s="67"/>
      <c r="L209" s="67"/>
      <c r="M209" s="69"/>
      <c r="N209" s="70"/>
      <c r="O209" s="71"/>
      <c r="P209" s="71"/>
      <c r="Q209" s="72"/>
      <c r="R209" s="73"/>
      <c r="S209" s="67"/>
      <c r="T209" s="73"/>
      <c r="U209" s="65"/>
    </row>
    <row r="210" spans="2:21" x14ac:dyDescent="0.25">
      <c r="B210" s="65"/>
      <c r="C210" s="66"/>
      <c r="D210" s="66"/>
      <c r="E210" s="66"/>
      <c r="F210" s="65"/>
      <c r="G210" s="65"/>
      <c r="H210" s="67"/>
      <c r="I210" s="67"/>
      <c r="J210" s="68"/>
      <c r="K210" s="67"/>
      <c r="L210" s="67"/>
      <c r="M210" s="69"/>
      <c r="N210" s="70"/>
      <c r="O210" s="71"/>
      <c r="P210" s="71"/>
      <c r="Q210" s="72"/>
      <c r="R210" s="73"/>
      <c r="S210" s="67"/>
      <c r="T210" s="73"/>
      <c r="U210" s="65"/>
    </row>
    <row r="211" spans="2:21" x14ac:dyDescent="0.25">
      <c r="B211" s="65"/>
      <c r="C211" s="66"/>
      <c r="D211" s="66"/>
      <c r="E211" s="66"/>
      <c r="F211" s="65"/>
      <c r="G211" s="65"/>
      <c r="H211" s="67"/>
      <c r="I211" s="67"/>
      <c r="J211" s="68"/>
      <c r="K211" s="67"/>
      <c r="L211" s="67"/>
      <c r="M211" s="69"/>
      <c r="N211" s="70"/>
      <c r="O211" s="71"/>
      <c r="P211" s="71"/>
      <c r="Q211" s="72"/>
      <c r="R211" s="73"/>
      <c r="S211" s="67"/>
      <c r="T211" s="73"/>
      <c r="U211" s="65"/>
    </row>
    <row r="212" spans="2:21" x14ac:dyDescent="0.25">
      <c r="B212" s="65"/>
      <c r="C212" s="66"/>
      <c r="D212" s="66"/>
      <c r="E212" s="66"/>
      <c r="F212" s="65"/>
      <c r="G212" s="65"/>
      <c r="H212" s="67"/>
      <c r="I212" s="67"/>
      <c r="J212" s="68"/>
      <c r="K212" s="67"/>
      <c r="L212" s="67"/>
      <c r="M212" s="69"/>
      <c r="N212" s="70"/>
      <c r="O212" s="71"/>
      <c r="P212" s="71"/>
      <c r="Q212" s="72"/>
      <c r="R212" s="73"/>
      <c r="S212" s="67"/>
      <c r="T212" s="73"/>
      <c r="U212" s="65"/>
    </row>
    <row r="213" spans="2:21" x14ac:dyDescent="0.25">
      <c r="B213" s="65"/>
      <c r="C213" s="66"/>
      <c r="D213" s="66"/>
      <c r="E213" s="66"/>
      <c r="F213" s="65"/>
      <c r="G213" s="65"/>
      <c r="H213" s="67"/>
      <c r="I213" s="67"/>
      <c r="J213" s="68"/>
      <c r="K213" s="67"/>
      <c r="L213" s="67"/>
      <c r="M213" s="69"/>
      <c r="N213" s="70"/>
      <c r="O213" s="71"/>
      <c r="P213" s="71"/>
      <c r="Q213" s="72"/>
      <c r="R213" s="73"/>
      <c r="S213" s="67"/>
      <c r="T213" s="73"/>
      <c r="U213" s="65"/>
    </row>
    <row r="214" spans="2:21" x14ac:dyDescent="0.25">
      <c r="B214" s="65"/>
      <c r="C214" s="66"/>
      <c r="D214" s="66"/>
      <c r="E214" s="66"/>
      <c r="F214" s="65"/>
      <c r="G214" s="65"/>
      <c r="H214" s="67"/>
      <c r="I214" s="67"/>
      <c r="J214" s="68"/>
      <c r="K214" s="67"/>
      <c r="L214" s="67"/>
      <c r="M214" s="69"/>
      <c r="N214" s="70"/>
      <c r="O214" s="71"/>
      <c r="P214" s="71"/>
      <c r="Q214" s="72"/>
      <c r="R214" s="73"/>
      <c r="S214" s="67"/>
      <c r="T214" s="73"/>
      <c r="U214" s="65"/>
    </row>
    <row r="215" spans="2:21" x14ac:dyDescent="0.25">
      <c r="B215" s="65"/>
      <c r="C215" s="66"/>
      <c r="D215" s="66"/>
      <c r="E215" s="66"/>
      <c r="F215" s="65"/>
      <c r="G215" s="65"/>
      <c r="H215" s="67"/>
      <c r="I215" s="67"/>
      <c r="J215" s="68"/>
      <c r="K215" s="67"/>
      <c r="L215" s="67"/>
      <c r="M215" s="69"/>
      <c r="N215" s="70"/>
      <c r="O215" s="71"/>
      <c r="P215" s="71"/>
      <c r="Q215" s="72"/>
      <c r="R215" s="73"/>
      <c r="S215" s="67"/>
      <c r="T215" s="73"/>
      <c r="U215" s="65"/>
    </row>
    <row r="216" spans="2:21" x14ac:dyDescent="0.25">
      <c r="B216" s="65"/>
      <c r="C216" s="66"/>
      <c r="D216" s="66"/>
      <c r="E216" s="66"/>
      <c r="F216" s="65"/>
      <c r="G216" s="65"/>
      <c r="H216" s="67"/>
      <c r="I216" s="67"/>
      <c r="J216" s="68"/>
      <c r="K216" s="67"/>
      <c r="L216" s="67"/>
      <c r="M216" s="69"/>
      <c r="N216" s="70"/>
      <c r="O216" s="71"/>
      <c r="P216" s="71"/>
      <c r="Q216" s="72"/>
      <c r="R216" s="73"/>
      <c r="S216" s="67"/>
      <c r="T216" s="73"/>
      <c r="U216" s="65"/>
    </row>
    <row r="217" spans="2:21" x14ac:dyDescent="0.25">
      <c r="B217" s="65"/>
      <c r="C217" s="66"/>
      <c r="D217" s="66"/>
      <c r="E217" s="66"/>
      <c r="F217" s="65"/>
      <c r="G217" s="65"/>
      <c r="H217" s="67"/>
      <c r="I217" s="67"/>
      <c r="J217" s="68"/>
      <c r="K217" s="67"/>
      <c r="L217" s="67"/>
      <c r="M217" s="69"/>
      <c r="N217" s="70"/>
      <c r="O217" s="71"/>
      <c r="P217" s="71"/>
      <c r="Q217" s="72"/>
      <c r="R217" s="73"/>
      <c r="S217" s="67"/>
      <c r="T217" s="73"/>
      <c r="U217" s="65"/>
    </row>
    <row r="218" spans="2:21" x14ac:dyDescent="0.25">
      <c r="B218" s="65"/>
      <c r="C218" s="66"/>
      <c r="D218" s="66"/>
      <c r="E218" s="66"/>
      <c r="F218" s="65"/>
      <c r="G218" s="65"/>
      <c r="H218" s="67"/>
      <c r="I218" s="67"/>
      <c r="J218" s="68"/>
      <c r="K218" s="67"/>
      <c r="L218" s="67"/>
      <c r="M218" s="69"/>
      <c r="N218" s="70"/>
      <c r="O218" s="71"/>
      <c r="P218" s="71"/>
      <c r="Q218" s="72"/>
      <c r="R218" s="73"/>
      <c r="S218" s="67"/>
      <c r="T218" s="73"/>
      <c r="U218" s="65"/>
    </row>
    <row r="219" spans="2:21" x14ac:dyDescent="0.25">
      <c r="B219" s="65"/>
      <c r="C219" s="66"/>
      <c r="D219" s="66"/>
      <c r="E219" s="66"/>
      <c r="F219" s="65"/>
      <c r="G219" s="65"/>
      <c r="H219" s="67"/>
      <c r="I219" s="67"/>
      <c r="J219" s="68"/>
      <c r="K219" s="67"/>
      <c r="L219" s="67"/>
      <c r="M219" s="69"/>
      <c r="N219" s="70"/>
      <c r="O219" s="71"/>
      <c r="P219" s="71"/>
      <c r="Q219" s="72"/>
      <c r="R219" s="73"/>
      <c r="S219" s="67"/>
      <c r="T219" s="73"/>
      <c r="U219" s="65"/>
    </row>
    <row r="220" spans="2:21" x14ac:dyDescent="0.25">
      <c r="B220" s="65"/>
      <c r="C220" s="66"/>
      <c r="D220" s="66"/>
      <c r="E220" s="66"/>
      <c r="F220" s="65"/>
      <c r="G220" s="65"/>
      <c r="H220" s="67"/>
      <c r="I220" s="67"/>
      <c r="J220" s="68"/>
      <c r="K220" s="67"/>
      <c r="L220" s="67"/>
      <c r="M220" s="69"/>
      <c r="N220" s="70"/>
      <c r="O220" s="71"/>
      <c r="P220" s="71"/>
      <c r="Q220" s="72"/>
      <c r="R220" s="73"/>
      <c r="S220" s="67"/>
      <c r="T220" s="73"/>
      <c r="U220" s="65"/>
    </row>
    <row r="221" spans="2:21" x14ac:dyDescent="0.25">
      <c r="B221" s="65"/>
      <c r="C221" s="66"/>
      <c r="D221" s="66"/>
      <c r="E221" s="66"/>
      <c r="F221" s="65"/>
      <c r="G221" s="65"/>
      <c r="H221" s="67"/>
      <c r="I221" s="67"/>
      <c r="J221" s="68"/>
      <c r="K221" s="67"/>
      <c r="L221" s="67"/>
      <c r="M221" s="69"/>
      <c r="N221" s="70"/>
      <c r="O221" s="71"/>
      <c r="P221" s="71"/>
      <c r="Q221" s="72"/>
      <c r="R221" s="73"/>
      <c r="S221" s="67"/>
      <c r="T221" s="73"/>
      <c r="U221" s="65"/>
    </row>
    <row r="222" spans="2:21" x14ac:dyDescent="0.25">
      <c r="B222" s="65"/>
      <c r="C222" s="66"/>
      <c r="D222" s="66"/>
      <c r="E222" s="66"/>
      <c r="F222" s="65"/>
      <c r="G222" s="65"/>
      <c r="H222" s="67"/>
      <c r="I222" s="67"/>
      <c r="J222" s="68"/>
      <c r="K222" s="67"/>
      <c r="L222" s="67"/>
      <c r="M222" s="69"/>
      <c r="N222" s="70"/>
      <c r="O222" s="71"/>
      <c r="P222" s="71"/>
      <c r="Q222" s="72"/>
      <c r="R222" s="73"/>
      <c r="S222" s="67"/>
      <c r="T222" s="73"/>
      <c r="U222" s="65"/>
    </row>
    <row r="223" spans="2:21" x14ac:dyDescent="0.25">
      <c r="B223" s="65"/>
      <c r="C223" s="66"/>
      <c r="D223" s="66"/>
      <c r="E223" s="66"/>
      <c r="F223" s="65"/>
      <c r="G223" s="65"/>
      <c r="H223" s="67"/>
      <c r="I223" s="67"/>
      <c r="J223" s="68"/>
      <c r="K223" s="67"/>
      <c r="L223" s="67"/>
      <c r="M223" s="69"/>
      <c r="N223" s="70"/>
      <c r="O223" s="71"/>
      <c r="P223" s="71"/>
      <c r="Q223" s="72"/>
      <c r="R223" s="73"/>
      <c r="S223" s="67"/>
      <c r="T223" s="73"/>
      <c r="U223" s="65"/>
    </row>
    <row r="224" spans="2:21" x14ac:dyDescent="0.25">
      <c r="B224" s="65"/>
      <c r="C224" s="66"/>
      <c r="D224" s="66"/>
      <c r="E224" s="66"/>
      <c r="F224" s="65"/>
      <c r="G224" s="65"/>
      <c r="H224" s="67"/>
      <c r="I224" s="67"/>
      <c r="J224" s="68"/>
      <c r="K224" s="67"/>
      <c r="L224" s="67"/>
      <c r="M224" s="69"/>
      <c r="N224" s="70"/>
      <c r="O224" s="71"/>
      <c r="P224" s="71"/>
      <c r="Q224" s="72"/>
      <c r="R224" s="73"/>
      <c r="S224" s="67"/>
      <c r="T224" s="73"/>
      <c r="U224" s="65"/>
    </row>
    <row r="225" spans="2:21" x14ac:dyDescent="0.25">
      <c r="B225" s="65"/>
      <c r="C225" s="66"/>
      <c r="D225" s="66"/>
      <c r="E225" s="66"/>
      <c r="F225" s="65"/>
      <c r="G225" s="65"/>
      <c r="H225" s="67"/>
      <c r="I225" s="67"/>
      <c r="J225" s="68"/>
      <c r="K225" s="67"/>
      <c r="L225" s="67"/>
      <c r="M225" s="69"/>
      <c r="N225" s="70"/>
      <c r="O225" s="71"/>
      <c r="P225" s="71"/>
      <c r="Q225" s="72"/>
      <c r="R225" s="73"/>
      <c r="S225" s="67"/>
      <c r="T225" s="73"/>
      <c r="U225" s="65"/>
    </row>
    <row r="226" spans="2:21" x14ac:dyDescent="0.25">
      <c r="B226" s="65"/>
      <c r="C226" s="66"/>
      <c r="D226" s="66"/>
      <c r="E226" s="66"/>
      <c r="F226" s="65"/>
      <c r="G226" s="65"/>
      <c r="H226" s="67"/>
      <c r="I226" s="67"/>
      <c r="J226" s="68"/>
      <c r="K226" s="67"/>
      <c r="L226" s="67"/>
      <c r="M226" s="69"/>
      <c r="N226" s="70"/>
      <c r="O226" s="71"/>
      <c r="P226" s="71"/>
      <c r="Q226" s="72"/>
      <c r="R226" s="73"/>
      <c r="S226" s="67"/>
      <c r="T226" s="73"/>
      <c r="U226" s="65"/>
    </row>
    <row r="227" spans="2:21" x14ac:dyDescent="0.25">
      <c r="B227" s="65"/>
      <c r="C227" s="66"/>
      <c r="D227" s="66"/>
      <c r="E227" s="66"/>
      <c r="F227" s="65"/>
      <c r="G227" s="65"/>
      <c r="H227" s="67"/>
      <c r="I227" s="67"/>
      <c r="J227" s="68"/>
      <c r="K227" s="67"/>
      <c r="L227" s="67"/>
      <c r="M227" s="69"/>
      <c r="N227" s="70"/>
      <c r="O227" s="71"/>
      <c r="P227" s="71"/>
      <c r="Q227" s="72"/>
      <c r="R227" s="73"/>
      <c r="S227" s="67"/>
      <c r="T227" s="73"/>
      <c r="U227" s="65"/>
    </row>
    <row r="228" spans="2:21" x14ac:dyDescent="0.25">
      <c r="B228" s="65"/>
      <c r="C228" s="66"/>
      <c r="D228" s="66"/>
      <c r="E228" s="66"/>
      <c r="F228" s="65"/>
      <c r="G228" s="65"/>
      <c r="H228" s="67"/>
      <c r="I228" s="67"/>
      <c r="J228" s="68"/>
      <c r="K228" s="67"/>
      <c r="L228" s="67"/>
      <c r="M228" s="69"/>
      <c r="N228" s="70"/>
      <c r="O228" s="71"/>
      <c r="P228" s="71"/>
      <c r="Q228" s="72"/>
      <c r="R228" s="73"/>
      <c r="S228" s="67"/>
      <c r="T228" s="73"/>
      <c r="U228" s="65"/>
    </row>
    <row r="229" spans="2:21" x14ac:dyDescent="0.25">
      <c r="B229" s="65"/>
      <c r="C229" s="66"/>
      <c r="D229" s="66"/>
      <c r="E229" s="66"/>
      <c r="F229" s="65"/>
      <c r="G229" s="65"/>
      <c r="H229" s="67"/>
      <c r="I229" s="67"/>
      <c r="J229" s="68"/>
      <c r="K229" s="67"/>
      <c r="L229" s="67"/>
      <c r="M229" s="69"/>
      <c r="N229" s="70"/>
      <c r="O229" s="71"/>
      <c r="P229" s="71"/>
      <c r="Q229" s="72"/>
      <c r="R229" s="73"/>
      <c r="S229" s="67"/>
      <c r="T229" s="73"/>
      <c r="U229" s="65"/>
    </row>
    <row r="230" spans="2:21" x14ac:dyDescent="0.25">
      <c r="B230" s="65"/>
      <c r="C230" s="66"/>
      <c r="D230" s="66"/>
      <c r="E230" s="66"/>
      <c r="F230" s="65"/>
      <c r="G230" s="65"/>
      <c r="H230" s="67"/>
      <c r="I230" s="67"/>
      <c r="J230" s="68"/>
      <c r="K230" s="67"/>
      <c r="L230" s="67"/>
      <c r="M230" s="69"/>
      <c r="N230" s="70"/>
      <c r="O230" s="71"/>
      <c r="P230" s="71"/>
      <c r="Q230" s="72"/>
      <c r="R230" s="73"/>
      <c r="S230" s="67"/>
      <c r="T230" s="73"/>
      <c r="U230" s="65"/>
    </row>
    <row r="231" spans="2:21" x14ac:dyDescent="0.25">
      <c r="B231" s="65"/>
      <c r="C231" s="66"/>
      <c r="D231" s="66"/>
      <c r="E231" s="66"/>
      <c r="F231" s="65"/>
      <c r="G231" s="65"/>
      <c r="H231" s="67"/>
      <c r="I231" s="67"/>
      <c r="J231" s="68"/>
      <c r="K231" s="67"/>
      <c r="L231" s="67"/>
      <c r="M231" s="69"/>
      <c r="N231" s="70"/>
      <c r="O231" s="71"/>
      <c r="P231" s="71"/>
      <c r="Q231" s="72"/>
      <c r="R231" s="73"/>
      <c r="S231" s="67"/>
      <c r="T231" s="73"/>
      <c r="U231" s="65"/>
    </row>
    <row r="232" spans="2:21" x14ac:dyDescent="0.25">
      <c r="B232" s="65"/>
      <c r="C232" s="66"/>
      <c r="D232" s="66"/>
      <c r="E232" s="66"/>
      <c r="F232" s="65"/>
      <c r="G232" s="65"/>
      <c r="H232" s="67"/>
      <c r="I232" s="67"/>
      <c r="J232" s="68"/>
      <c r="K232" s="67"/>
      <c r="L232" s="67"/>
      <c r="M232" s="69"/>
      <c r="N232" s="70"/>
      <c r="O232" s="71"/>
      <c r="P232" s="71"/>
      <c r="Q232" s="72"/>
      <c r="R232" s="73"/>
      <c r="S232" s="67"/>
      <c r="T232" s="73"/>
      <c r="U232" s="65"/>
    </row>
    <row r="233" spans="2:21" x14ac:dyDescent="0.25">
      <c r="B233" s="65"/>
      <c r="C233" s="66"/>
      <c r="D233" s="66"/>
      <c r="E233" s="66"/>
      <c r="F233" s="65"/>
      <c r="G233" s="65"/>
      <c r="H233" s="67"/>
      <c r="I233" s="67"/>
      <c r="J233" s="68"/>
      <c r="K233" s="67"/>
      <c r="L233" s="67"/>
      <c r="M233" s="69"/>
      <c r="N233" s="70"/>
      <c r="O233" s="71"/>
      <c r="P233" s="71"/>
      <c r="Q233" s="72"/>
      <c r="R233" s="73"/>
      <c r="S233" s="67"/>
      <c r="T233" s="73"/>
      <c r="U233" s="65"/>
    </row>
    <row r="234" spans="2:21" x14ac:dyDescent="0.25">
      <c r="B234" s="65"/>
      <c r="C234" s="66"/>
      <c r="D234" s="66"/>
      <c r="E234" s="66"/>
      <c r="F234" s="65"/>
      <c r="G234" s="65"/>
      <c r="H234" s="67"/>
      <c r="I234" s="67"/>
      <c r="J234" s="68"/>
      <c r="K234" s="67"/>
      <c r="L234" s="67"/>
      <c r="M234" s="69"/>
      <c r="N234" s="70"/>
      <c r="O234" s="71"/>
      <c r="P234" s="71"/>
      <c r="Q234" s="72"/>
      <c r="R234" s="73"/>
      <c r="S234" s="67"/>
      <c r="T234" s="73"/>
      <c r="U234" s="65"/>
    </row>
    <row r="235" spans="2:21" x14ac:dyDescent="0.25">
      <c r="B235" s="65"/>
      <c r="C235" s="66"/>
      <c r="D235" s="66"/>
      <c r="E235" s="66"/>
      <c r="F235" s="65"/>
      <c r="G235" s="65"/>
      <c r="H235" s="67"/>
      <c r="I235" s="67"/>
      <c r="J235" s="68"/>
      <c r="K235" s="67"/>
      <c r="L235" s="67"/>
      <c r="M235" s="69"/>
      <c r="N235" s="70"/>
      <c r="O235" s="71"/>
      <c r="P235" s="71"/>
      <c r="Q235" s="72"/>
      <c r="R235" s="73"/>
      <c r="S235" s="67"/>
      <c r="T235" s="73"/>
      <c r="U235" s="65"/>
    </row>
    <row r="236" spans="2:21" x14ac:dyDescent="0.25">
      <c r="B236" s="65"/>
      <c r="C236" s="66"/>
      <c r="D236" s="66"/>
      <c r="E236" s="66"/>
      <c r="F236" s="65"/>
      <c r="G236" s="65"/>
      <c r="H236" s="67"/>
      <c r="I236" s="67"/>
      <c r="J236" s="68"/>
      <c r="K236" s="67"/>
      <c r="L236" s="67"/>
      <c r="M236" s="69"/>
      <c r="N236" s="70"/>
      <c r="O236" s="71"/>
      <c r="P236" s="71"/>
      <c r="Q236" s="72"/>
      <c r="R236" s="73"/>
      <c r="S236" s="67"/>
      <c r="T236" s="73"/>
      <c r="U236" s="65"/>
    </row>
    <row r="237" spans="2:21" x14ac:dyDescent="0.25">
      <c r="B237" s="65"/>
      <c r="C237" s="66"/>
      <c r="D237" s="66"/>
      <c r="E237" s="66"/>
      <c r="F237" s="65"/>
      <c r="G237" s="65"/>
      <c r="H237" s="67"/>
      <c r="I237" s="67"/>
      <c r="J237" s="68"/>
      <c r="K237" s="67"/>
      <c r="L237" s="67"/>
      <c r="M237" s="69"/>
      <c r="N237" s="70"/>
      <c r="O237" s="71"/>
      <c r="P237" s="71"/>
      <c r="Q237" s="72"/>
      <c r="R237" s="73"/>
      <c r="S237" s="67"/>
      <c r="T237" s="73"/>
      <c r="U237" s="65"/>
    </row>
    <row r="238" spans="2:21" x14ac:dyDescent="0.25">
      <c r="B238" s="65"/>
      <c r="C238" s="66"/>
      <c r="D238" s="66"/>
      <c r="E238" s="66"/>
      <c r="F238" s="65"/>
      <c r="G238" s="65"/>
      <c r="H238" s="67"/>
      <c r="I238" s="67"/>
      <c r="J238" s="68"/>
      <c r="K238" s="67"/>
      <c r="L238" s="67"/>
      <c r="M238" s="69"/>
      <c r="N238" s="70"/>
      <c r="O238" s="71"/>
      <c r="P238" s="71"/>
      <c r="Q238" s="72"/>
      <c r="R238" s="73"/>
      <c r="S238" s="67"/>
      <c r="T238" s="73"/>
      <c r="U238" s="65"/>
    </row>
    <row r="239" spans="2:21" x14ac:dyDescent="0.25">
      <c r="B239" s="65"/>
      <c r="C239" s="66"/>
      <c r="D239" s="66"/>
      <c r="E239" s="66"/>
      <c r="F239" s="65"/>
      <c r="G239" s="65"/>
      <c r="H239" s="67"/>
      <c r="I239" s="67"/>
      <c r="J239" s="68"/>
      <c r="K239" s="67"/>
      <c r="L239" s="67"/>
      <c r="M239" s="69"/>
      <c r="N239" s="70"/>
      <c r="O239" s="71"/>
      <c r="P239" s="71"/>
      <c r="Q239" s="72"/>
      <c r="R239" s="73"/>
      <c r="S239" s="67"/>
      <c r="T239" s="73"/>
      <c r="U239" s="65"/>
    </row>
    <row r="240" spans="2:21" x14ac:dyDescent="0.25">
      <c r="B240" s="65"/>
      <c r="C240" s="66"/>
      <c r="D240" s="66"/>
      <c r="E240" s="66"/>
      <c r="F240" s="65"/>
      <c r="G240" s="65"/>
      <c r="H240" s="67"/>
      <c r="I240" s="67"/>
      <c r="J240" s="68"/>
      <c r="K240" s="67"/>
      <c r="L240" s="67"/>
      <c r="M240" s="69"/>
      <c r="N240" s="70"/>
      <c r="O240" s="71"/>
      <c r="P240" s="71"/>
      <c r="Q240" s="72"/>
      <c r="R240" s="73"/>
      <c r="S240" s="67"/>
      <c r="T240" s="73"/>
      <c r="U240" s="65"/>
    </row>
    <row r="241" spans="2:21" x14ac:dyDescent="0.25">
      <c r="B241" s="65"/>
      <c r="C241" s="66"/>
      <c r="D241" s="66"/>
      <c r="E241" s="66"/>
      <c r="F241" s="65"/>
      <c r="G241" s="65"/>
      <c r="H241" s="67"/>
      <c r="I241" s="67"/>
      <c r="J241" s="68"/>
      <c r="K241" s="67"/>
      <c r="L241" s="67"/>
      <c r="M241" s="69"/>
      <c r="N241" s="70"/>
      <c r="O241" s="71"/>
      <c r="P241" s="71"/>
      <c r="Q241" s="72"/>
      <c r="R241" s="73"/>
      <c r="S241" s="67"/>
      <c r="T241" s="73"/>
      <c r="U241" s="65"/>
    </row>
    <row r="242" spans="2:21" x14ac:dyDescent="0.25">
      <c r="B242" s="65"/>
      <c r="C242" s="66"/>
      <c r="D242" s="66"/>
      <c r="E242" s="66"/>
      <c r="F242" s="65"/>
      <c r="G242" s="65"/>
      <c r="H242" s="67"/>
      <c r="I242" s="67"/>
      <c r="J242" s="68"/>
      <c r="K242" s="67"/>
      <c r="L242" s="67"/>
      <c r="M242" s="69"/>
      <c r="N242" s="70"/>
      <c r="O242" s="71"/>
      <c r="P242" s="71"/>
      <c r="Q242" s="72"/>
      <c r="R242" s="73"/>
      <c r="S242" s="67"/>
      <c r="T242" s="73"/>
      <c r="U242" s="65"/>
    </row>
    <row r="243" spans="2:21" x14ac:dyDescent="0.25">
      <c r="B243" s="65"/>
      <c r="C243" s="66"/>
      <c r="D243" s="66"/>
      <c r="E243" s="66"/>
      <c r="F243" s="65"/>
      <c r="G243" s="65"/>
      <c r="H243" s="67"/>
      <c r="I243" s="67"/>
      <c r="J243" s="68"/>
      <c r="K243" s="67"/>
      <c r="L243" s="67"/>
      <c r="M243" s="69"/>
      <c r="N243" s="70"/>
      <c r="O243" s="71"/>
      <c r="P243" s="71"/>
      <c r="Q243" s="72"/>
      <c r="R243" s="73"/>
      <c r="S243" s="67"/>
      <c r="T243" s="73"/>
      <c r="U243" s="65"/>
    </row>
    <row r="244" spans="2:21" x14ac:dyDescent="0.25">
      <c r="B244" s="65"/>
      <c r="C244" s="66"/>
      <c r="D244" s="66"/>
      <c r="E244" s="66"/>
      <c r="F244" s="65"/>
      <c r="G244" s="65"/>
      <c r="H244" s="67"/>
      <c r="I244" s="67"/>
      <c r="J244" s="68"/>
      <c r="K244" s="67"/>
      <c r="L244" s="67"/>
      <c r="M244" s="69"/>
      <c r="N244" s="70"/>
      <c r="O244" s="71"/>
      <c r="P244" s="71"/>
      <c r="Q244" s="72"/>
      <c r="R244" s="73"/>
      <c r="S244" s="67"/>
      <c r="T244" s="73"/>
      <c r="U244" s="65"/>
    </row>
    <row r="245" spans="2:21" x14ac:dyDescent="0.25">
      <c r="B245" s="65"/>
      <c r="C245" s="66"/>
      <c r="D245" s="66"/>
      <c r="E245" s="66"/>
      <c r="F245" s="65"/>
      <c r="G245" s="65"/>
      <c r="H245" s="67"/>
      <c r="I245" s="67"/>
      <c r="J245" s="68"/>
      <c r="K245" s="67"/>
      <c r="L245" s="67"/>
      <c r="M245" s="69"/>
      <c r="N245" s="70"/>
      <c r="O245" s="71"/>
      <c r="P245" s="71"/>
      <c r="Q245" s="72"/>
      <c r="R245" s="73"/>
      <c r="S245" s="67"/>
      <c r="T245" s="73"/>
      <c r="U245" s="65"/>
    </row>
    <row r="246" spans="2:21" x14ac:dyDescent="0.25">
      <c r="B246" s="65"/>
      <c r="C246" s="66"/>
      <c r="D246" s="66"/>
      <c r="E246" s="66"/>
      <c r="F246" s="65"/>
      <c r="G246" s="65"/>
      <c r="H246" s="67"/>
      <c r="I246" s="67"/>
      <c r="J246" s="68"/>
      <c r="K246" s="67"/>
      <c r="L246" s="67"/>
      <c r="M246" s="69"/>
      <c r="N246" s="70"/>
      <c r="O246" s="71"/>
      <c r="P246" s="71"/>
      <c r="Q246" s="72"/>
      <c r="R246" s="73"/>
      <c r="S246" s="67"/>
      <c r="T246" s="73"/>
      <c r="U246" s="65"/>
    </row>
    <row r="247" spans="2:21" x14ac:dyDescent="0.25">
      <c r="B247" s="65"/>
      <c r="C247" s="66"/>
      <c r="D247" s="66"/>
      <c r="E247" s="66"/>
      <c r="F247" s="65"/>
      <c r="G247" s="65"/>
      <c r="H247" s="67"/>
      <c r="I247" s="67"/>
      <c r="J247" s="68"/>
      <c r="K247" s="67"/>
      <c r="L247" s="67"/>
      <c r="M247" s="69"/>
      <c r="N247" s="70"/>
      <c r="O247" s="71"/>
      <c r="P247" s="71"/>
      <c r="Q247" s="72"/>
      <c r="R247" s="73"/>
      <c r="S247" s="67"/>
      <c r="T247" s="73"/>
      <c r="U247" s="65"/>
    </row>
    <row r="248" spans="2:21" x14ac:dyDescent="0.25">
      <c r="B248" s="65"/>
      <c r="C248" s="66"/>
      <c r="D248" s="66"/>
      <c r="E248" s="66"/>
      <c r="F248" s="65"/>
      <c r="G248" s="65"/>
      <c r="H248" s="67"/>
      <c r="I248" s="67"/>
      <c r="J248" s="68"/>
      <c r="K248" s="67"/>
      <c r="L248" s="67"/>
      <c r="M248" s="69"/>
      <c r="N248" s="70"/>
      <c r="O248" s="71"/>
      <c r="P248" s="71"/>
      <c r="Q248" s="72"/>
      <c r="R248" s="73"/>
      <c r="S248" s="67"/>
      <c r="T248" s="73"/>
      <c r="U248" s="65"/>
    </row>
    <row r="249" spans="2:21" x14ac:dyDescent="0.25">
      <c r="B249" s="65"/>
      <c r="C249" s="66"/>
      <c r="D249" s="66"/>
      <c r="E249" s="66"/>
      <c r="F249" s="65"/>
      <c r="G249" s="65"/>
      <c r="H249" s="67"/>
      <c r="I249" s="67"/>
      <c r="J249" s="68"/>
      <c r="K249" s="67"/>
      <c r="L249" s="67"/>
      <c r="M249" s="69"/>
      <c r="N249" s="70"/>
      <c r="O249" s="71"/>
      <c r="P249" s="71"/>
      <c r="Q249" s="72"/>
      <c r="R249" s="73"/>
      <c r="S249" s="67"/>
      <c r="T249" s="73"/>
      <c r="U249" s="65"/>
    </row>
    <row r="250" spans="2:21" x14ac:dyDescent="0.25">
      <c r="B250" s="65"/>
      <c r="C250" s="66"/>
      <c r="D250" s="66"/>
      <c r="E250" s="66"/>
      <c r="F250" s="65"/>
      <c r="G250" s="65"/>
      <c r="H250" s="67"/>
      <c r="I250" s="67"/>
      <c r="J250" s="68"/>
      <c r="K250" s="67"/>
      <c r="L250" s="67"/>
      <c r="M250" s="69"/>
      <c r="N250" s="70"/>
      <c r="O250" s="71"/>
      <c r="P250" s="71"/>
      <c r="Q250" s="72"/>
      <c r="R250" s="73"/>
      <c r="S250" s="67"/>
      <c r="T250" s="73"/>
      <c r="U250" s="65"/>
    </row>
    <row r="251" spans="2:21" x14ac:dyDescent="0.25">
      <c r="B251" s="65"/>
      <c r="C251" s="66"/>
      <c r="D251" s="66"/>
      <c r="E251" s="66"/>
      <c r="F251" s="65"/>
      <c r="G251" s="65"/>
      <c r="H251" s="67"/>
      <c r="I251" s="67"/>
      <c r="J251" s="68"/>
      <c r="K251" s="67"/>
      <c r="L251" s="67"/>
      <c r="M251" s="69"/>
      <c r="N251" s="70"/>
      <c r="O251" s="71"/>
      <c r="P251" s="71"/>
      <c r="Q251" s="72"/>
      <c r="R251" s="73"/>
      <c r="S251" s="67"/>
      <c r="T251" s="73"/>
      <c r="U251" s="65"/>
    </row>
    <row r="252" spans="2:21" x14ac:dyDescent="0.25">
      <c r="B252" s="65"/>
      <c r="C252" s="66"/>
      <c r="D252" s="66"/>
      <c r="E252" s="66"/>
      <c r="F252" s="65"/>
      <c r="G252" s="65"/>
      <c r="H252" s="67"/>
      <c r="I252" s="67"/>
      <c r="J252" s="68"/>
      <c r="K252" s="67"/>
      <c r="L252" s="67"/>
      <c r="M252" s="69"/>
      <c r="N252" s="70"/>
      <c r="O252" s="71"/>
      <c r="P252" s="71"/>
      <c r="Q252" s="72"/>
      <c r="R252" s="73"/>
      <c r="S252" s="67"/>
      <c r="T252" s="73"/>
      <c r="U252" s="65"/>
    </row>
    <row r="253" spans="2:21" x14ac:dyDescent="0.25">
      <c r="B253" s="65"/>
      <c r="C253" s="66"/>
      <c r="D253" s="66"/>
      <c r="E253" s="66"/>
      <c r="F253" s="65"/>
      <c r="G253" s="65"/>
      <c r="H253" s="67"/>
      <c r="I253" s="67"/>
      <c r="J253" s="68"/>
      <c r="K253" s="67"/>
      <c r="L253" s="67"/>
      <c r="M253" s="69"/>
      <c r="N253" s="70"/>
      <c r="O253" s="71"/>
      <c r="P253" s="71"/>
      <c r="Q253" s="72"/>
      <c r="R253" s="73"/>
      <c r="S253" s="67"/>
      <c r="T253" s="73"/>
      <c r="U253" s="65"/>
    </row>
    <row r="254" spans="2:21" x14ac:dyDescent="0.25">
      <c r="B254" s="65"/>
      <c r="C254" s="66"/>
      <c r="D254" s="66"/>
      <c r="E254" s="66"/>
      <c r="F254" s="65"/>
      <c r="G254" s="65"/>
      <c r="H254" s="67"/>
      <c r="I254" s="67"/>
      <c r="J254" s="68"/>
      <c r="K254" s="67"/>
      <c r="L254" s="67"/>
      <c r="M254" s="69"/>
      <c r="N254" s="70"/>
      <c r="O254" s="71"/>
      <c r="P254" s="71"/>
      <c r="Q254" s="72"/>
      <c r="R254" s="73"/>
      <c r="S254" s="67"/>
      <c r="T254" s="73"/>
      <c r="U254" s="65"/>
    </row>
    <row r="255" spans="2:21" x14ac:dyDescent="0.25">
      <c r="B255" s="65"/>
      <c r="C255" s="66"/>
      <c r="D255" s="66"/>
      <c r="E255" s="66"/>
      <c r="F255" s="65"/>
      <c r="G255" s="65"/>
      <c r="H255" s="67"/>
      <c r="I255" s="67"/>
      <c r="J255" s="68"/>
      <c r="K255" s="67"/>
      <c r="L255" s="67"/>
      <c r="M255" s="69"/>
      <c r="N255" s="70"/>
      <c r="O255" s="71"/>
      <c r="P255" s="71"/>
      <c r="Q255" s="72"/>
      <c r="R255" s="73"/>
      <c r="S255" s="67"/>
      <c r="T255" s="73"/>
      <c r="U255" s="65"/>
    </row>
    <row r="256" spans="2:21" x14ac:dyDescent="0.25">
      <c r="B256" s="65"/>
      <c r="C256" s="66"/>
      <c r="D256" s="66"/>
      <c r="E256" s="66"/>
      <c r="F256" s="65"/>
      <c r="G256" s="65"/>
      <c r="H256" s="67"/>
      <c r="I256" s="67"/>
      <c r="J256" s="68"/>
      <c r="K256" s="67"/>
      <c r="L256" s="67"/>
      <c r="M256" s="69"/>
      <c r="N256" s="70"/>
      <c r="O256" s="71"/>
      <c r="P256" s="71"/>
      <c r="Q256" s="72"/>
      <c r="R256" s="73"/>
      <c r="S256" s="67"/>
      <c r="T256" s="73"/>
      <c r="U256" s="65"/>
    </row>
    <row r="257" spans="2:21" x14ac:dyDescent="0.25">
      <c r="B257" s="65"/>
      <c r="C257" s="66"/>
      <c r="D257" s="66"/>
      <c r="E257" s="66"/>
      <c r="F257" s="65"/>
      <c r="G257" s="65"/>
      <c r="H257" s="67"/>
      <c r="I257" s="67"/>
      <c r="J257" s="68"/>
      <c r="K257" s="67"/>
      <c r="L257" s="67"/>
      <c r="M257" s="69"/>
      <c r="N257" s="70"/>
      <c r="O257" s="71"/>
      <c r="P257" s="71"/>
      <c r="Q257" s="72"/>
      <c r="R257" s="73"/>
      <c r="S257" s="67"/>
      <c r="T257" s="73"/>
      <c r="U257" s="65"/>
    </row>
    <row r="258" spans="2:21" x14ac:dyDescent="0.25">
      <c r="B258" s="65"/>
      <c r="C258" s="66"/>
      <c r="D258" s="66"/>
      <c r="E258" s="66"/>
      <c r="F258" s="65"/>
      <c r="G258" s="65"/>
      <c r="H258" s="67"/>
      <c r="I258" s="67"/>
      <c r="J258" s="68"/>
      <c r="K258" s="67"/>
      <c r="L258" s="67"/>
      <c r="M258" s="69"/>
      <c r="N258" s="70"/>
      <c r="O258" s="71"/>
      <c r="P258" s="71"/>
      <c r="Q258" s="72"/>
      <c r="R258" s="73"/>
      <c r="S258" s="67"/>
      <c r="T258" s="73"/>
      <c r="U258" s="65"/>
    </row>
    <row r="259" spans="2:21" x14ac:dyDescent="0.25">
      <c r="B259" s="65"/>
      <c r="C259" s="66"/>
      <c r="D259" s="66"/>
      <c r="E259" s="66"/>
      <c r="F259" s="65"/>
      <c r="G259" s="65"/>
      <c r="H259" s="67"/>
      <c r="I259" s="67"/>
      <c r="J259" s="68"/>
      <c r="K259" s="67"/>
      <c r="L259" s="67"/>
      <c r="M259" s="69"/>
      <c r="N259" s="70"/>
      <c r="O259" s="71"/>
      <c r="P259" s="71"/>
      <c r="Q259" s="72"/>
      <c r="R259" s="73"/>
      <c r="S259" s="67"/>
      <c r="T259" s="73"/>
      <c r="U259" s="65"/>
    </row>
    <row r="260" spans="2:21" x14ac:dyDescent="0.25">
      <c r="B260" s="65"/>
      <c r="C260" s="66"/>
      <c r="D260" s="66"/>
      <c r="E260" s="66"/>
      <c r="F260" s="65"/>
      <c r="G260" s="65"/>
      <c r="H260" s="67"/>
      <c r="I260" s="67"/>
      <c r="J260" s="68"/>
      <c r="K260" s="67"/>
      <c r="L260" s="67"/>
      <c r="M260" s="69"/>
      <c r="N260" s="70"/>
      <c r="O260" s="71"/>
      <c r="P260" s="71"/>
      <c r="Q260" s="72"/>
      <c r="R260" s="73"/>
      <c r="S260" s="67"/>
      <c r="T260" s="73"/>
      <c r="U260" s="65"/>
    </row>
    <row r="261" spans="2:21" x14ac:dyDescent="0.25">
      <c r="B261" s="65"/>
      <c r="C261" s="66"/>
      <c r="D261" s="66"/>
      <c r="E261" s="66"/>
      <c r="F261" s="65"/>
      <c r="G261" s="65"/>
      <c r="H261" s="67"/>
      <c r="I261" s="67"/>
      <c r="J261" s="68"/>
      <c r="K261" s="67"/>
      <c r="L261" s="67"/>
      <c r="M261" s="69"/>
      <c r="N261" s="70"/>
      <c r="O261" s="71"/>
      <c r="P261" s="71"/>
      <c r="Q261" s="72"/>
      <c r="R261" s="73"/>
      <c r="S261" s="67"/>
      <c r="T261" s="73"/>
      <c r="U261" s="65"/>
    </row>
    <row r="262" spans="2:21" x14ac:dyDescent="0.25">
      <c r="B262" s="65"/>
      <c r="C262" s="66"/>
      <c r="D262" s="66"/>
      <c r="E262" s="66"/>
      <c r="F262" s="65"/>
      <c r="G262" s="65"/>
      <c r="H262" s="67"/>
      <c r="I262" s="67"/>
      <c r="J262" s="68"/>
      <c r="K262" s="67"/>
      <c r="L262" s="67"/>
      <c r="M262" s="69"/>
      <c r="N262" s="70"/>
      <c r="O262" s="71"/>
      <c r="P262" s="71"/>
      <c r="Q262" s="72"/>
      <c r="R262" s="73"/>
      <c r="S262" s="67"/>
      <c r="T262" s="73"/>
      <c r="U262" s="65"/>
    </row>
    <row r="263" spans="2:21" x14ac:dyDescent="0.25">
      <c r="B263" s="65"/>
      <c r="C263" s="66"/>
      <c r="D263" s="66"/>
      <c r="E263" s="66"/>
      <c r="F263" s="65"/>
      <c r="G263" s="65"/>
      <c r="H263" s="67"/>
      <c r="I263" s="67"/>
      <c r="J263" s="68"/>
      <c r="K263" s="67"/>
      <c r="L263" s="67"/>
      <c r="M263" s="69"/>
      <c r="N263" s="70"/>
      <c r="O263" s="71"/>
      <c r="P263" s="71"/>
      <c r="Q263" s="72"/>
      <c r="R263" s="73"/>
      <c r="S263" s="67"/>
      <c r="T263" s="73"/>
      <c r="U263" s="65"/>
    </row>
    <row r="264" spans="2:21" x14ac:dyDescent="0.25">
      <c r="B264" s="65"/>
      <c r="C264" s="66"/>
      <c r="D264" s="66"/>
      <c r="E264" s="66"/>
      <c r="F264" s="65"/>
      <c r="G264" s="65"/>
      <c r="H264" s="67"/>
      <c r="I264" s="67"/>
      <c r="J264" s="68"/>
      <c r="K264" s="67"/>
      <c r="L264" s="67"/>
      <c r="M264" s="69"/>
      <c r="N264" s="70"/>
      <c r="O264" s="71"/>
      <c r="P264" s="71"/>
      <c r="Q264" s="72"/>
      <c r="R264" s="73"/>
      <c r="S264" s="67"/>
      <c r="T264" s="73"/>
      <c r="U264" s="65"/>
    </row>
    <row r="265" spans="2:21" x14ac:dyDescent="0.25">
      <c r="B265" s="65"/>
      <c r="C265" s="66"/>
      <c r="D265" s="66"/>
      <c r="E265" s="66"/>
      <c r="F265" s="65"/>
      <c r="G265" s="65"/>
      <c r="H265" s="67"/>
      <c r="I265" s="67"/>
      <c r="J265" s="68"/>
      <c r="K265" s="67"/>
      <c r="L265" s="67"/>
      <c r="M265" s="69"/>
      <c r="N265" s="70"/>
      <c r="O265" s="71"/>
      <c r="P265" s="71"/>
      <c r="Q265" s="72"/>
      <c r="R265" s="73"/>
      <c r="S265" s="67"/>
      <c r="T265" s="73"/>
      <c r="U265" s="65"/>
    </row>
    <row r="266" spans="2:21" x14ac:dyDescent="0.25">
      <c r="B266" s="65"/>
      <c r="C266" s="66"/>
      <c r="D266" s="66"/>
      <c r="E266" s="66"/>
      <c r="F266" s="65"/>
      <c r="G266" s="65"/>
      <c r="H266" s="67"/>
      <c r="I266" s="67"/>
      <c r="J266" s="68"/>
      <c r="K266" s="67"/>
      <c r="L266" s="67"/>
      <c r="M266" s="69"/>
      <c r="N266" s="70"/>
      <c r="O266" s="71"/>
      <c r="P266" s="71"/>
      <c r="Q266" s="72"/>
      <c r="R266" s="73"/>
      <c r="S266" s="67"/>
      <c r="T266" s="73"/>
      <c r="U266" s="65"/>
    </row>
    <row r="267" spans="2:21" x14ac:dyDescent="0.25">
      <c r="B267" s="65"/>
      <c r="C267" s="66"/>
      <c r="D267" s="66"/>
      <c r="E267" s="66"/>
      <c r="F267" s="65"/>
      <c r="G267" s="65"/>
      <c r="H267" s="67"/>
      <c r="I267" s="67"/>
      <c r="J267" s="68"/>
      <c r="K267" s="67"/>
      <c r="L267" s="67"/>
      <c r="M267" s="69"/>
      <c r="N267" s="70"/>
      <c r="O267" s="71"/>
      <c r="P267" s="71"/>
      <c r="Q267" s="72"/>
      <c r="R267" s="73"/>
      <c r="S267" s="67"/>
      <c r="T267" s="73"/>
      <c r="U267" s="65"/>
    </row>
    <row r="268" spans="2:21" x14ac:dyDescent="0.25">
      <c r="B268" s="65"/>
      <c r="C268" s="66"/>
      <c r="D268" s="66"/>
      <c r="E268" s="66"/>
      <c r="F268" s="65"/>
      <c r="G268" s="65"/>
      <c r="H268" s="67"/>
      <c r="I268" s="67"/>
      <c r="J268" s="68"/>
      <c r="K268" s="67"/>
      <c r="L268" s="67"/>
      <c r="M268" s="69"/>
      <c r="N268" s="70"/>
      <c r="O268" s="71"/>
      <c r="P268" s="71"/>
      <c r="Q268" s="72"/>
      <c r="R268" s="73"/>
      <c r="S268" s="67"/>
      <c r="T268" s="73"/>
      <c r="U268" s="65"/>
    </row>
    <row r="269" spans="2:21" x14ac:dyDescent="0.25">
      <c r="B269" s="65"/>
      <c r="C269" s="66"/>
      <c r="D269" s="66"/>
      <c r="E269" s="66"/>
      <c r="F269" s="65"/>
      <c r="G269" s="65"/>
      <c r="H269" s="67"/>
      <c r="I269" s="67"/>
      <c r="J269" s="68"/>
      <c r="K269" s="67"/>
      <c r="L269" s="67"/>
      <c r="M269" s="69"/>
      <c r="N269" s="70"/>
      <c r="O269" s="71"/>
      <c r="P269" s="71"/>
      <c r="Q269" s="72"/>
      <c r="R269" s="73"/>
      <c r="S269" s="67"/>
      <c r="T269" s="73"/>
      <c r="U269" s="65"/>
    </row>
    <row r="270" spans="2:21" x14ac:dyDescent="0.25">
      <c r="B270" s="65"/>
      <c r="C270" s="66"/>
      <c r="D270" s="66"/>
      <c r="E270" s="66"/>
      <c r="F270" s="65"/>
      <c r="G270" s="65"/>
      <c r="H270" s="67"/>
      <c r="I270" s="67"/>
      <c r="J270" s="68"/>
      <c r="K270" s="67"/>
      <c r="L270" s="67"/>
      <c r="M270" s="69"/>
      <c r="N270" s="70"/>
      <c r="O270" s="71"/>
      <c r="P270" s="71"/>
      <c r="Q270" s="72"/>
      <c r="R270" s="73"/>
      <c r="S270" s="67"/>
      <c r="T270" s="73"/>
      <c r="U270" s="65"/>
    </row>
    <row r="271" spans="2:21" x14ac:dyDescent="0.25">
      <c r="B271" s="65"/>
      <c r="C271" s="66"/>
      <c r="D271" s="66"/>
      <c r="E271" s="66"/>
      <c r="F271" s="65"/>
      <c r="G271" s="65"/>
      <c r="H271" s="67"/>
      <c r="I271" s="67"/>
      <c r="J271" s="68"/>
      <c r="K271" s="67"/>
      <c r="L271" s="67"/>
      <c r="M271" s="69"/>
      <c r="N271" s="70"/>
      <c r="O271" s="71"/>
      <c r="P271" s="71"/>
      <c r="Q271" s="72"/>
      <c r="R271" s="73"/>
      <c r="S271" s="67"/>
      <c r="T271" s="73"/>
      <c r="U271" s="65"/>
    </row>
    <row r="272" spans="2:21" x14ac:dyDescent="0.25">
      <c r="B272" s="65"/>
      <c r="C272" s="66"/>
      <c r="D272" s="66"/>
      <c r="E272" s="66"/>
      <c r="F272" s="65"/>
      <c r="G272" s="65"/>
      <c r="H272" s="67"/>
      <c r="I272" s="67"/>
      <c r="J272" s="68"/>
      <c r="K272" s="67"/>
      <c r="L272" s="67"/>
      <c r="M272" s="69"/>
      <c r="N272" s="70"/>
      <c r="O272" s="71"/>
      <c r="P272" s="71"/>
      <c r="Q272" s="72"/>
      <c r="R272" s="73"/>
      <c r="S272" s="67"/>
      <c r="T272" s="73"/>
      <c r="U272" s="65"/>
    </row>
    <row r="273" spans="2:21" x14ac:dyDescent="0.25">
      <c r="B273" s="65"/>
      <c r="C273" s="66"/>
      <c r="D273" s="66"/>
      <c r="E273" s="66"/>
      <c r="F273" s="65"/>
      <c r="G273" s="65"/>
      <c r="H273" s="67"/>
      <c r="I273" s="67"/>
      <c r="J273" s="68"/>
      <c r="K273" s="67"/>
      <c r="L273" s="67"/>
      <c r="M273" s="69"/>
      <c r="N273" s="70"/>
      <c r="O273" s="71"/>
      <c r="P273" s="71"/>
      <c r="Q273" s="72"/>
      <c r="R273" s="73"/>
      <c r="S273" s="67"/>
      <c r="T273" s="73"/>
      <c r="U273" s="65"/>
    </row>
    <row r="274" spans="2:21" x14ac:dyDescent="0.25">
      <c r="B274" s="65"/>
      <c r="C274" s="66"/>
      <c r="D274" s="66"/>
      <c r="E274" s="66"/>
      <c r="F274" s="65"/>
      <c r="G274" s="65"/>
      <c r="H274" s="67"/>
      <c r="I274" s="67"/>
      <c r="J274" s="68"/>
      <c r="K274" s="67"/>
      <c r="L274" s="67"/>
      <c r="M274" s="69"/>
      <c r="N274" s="70"/>
      <c r="O274" s="71"/>
      <c r="P274" s="71"/>
      <c r="Q274" s="72"/>
      <c r="R274" s="73"/>
      <c r="S274" s="67"/>
      <c r="T274" s="73"/>
      <c r="U274" s="65"/>
    </row>
    <row r="275" spans="2:21" x14ac:dyDescent="0.25">
      <c r="B275" s="65"/>
      <c r="C275" s="66"/>
      <c r="D275" s="66"/>
      <c r="E275" s="66"/>
      <c r="F275" s="65"/>
      <c r="G275" s="65"/>
      <c r="H275" s="67"/>
      <c r="I275" s="67"/>
      <c r="J275" s="68"/>
      <c r="K275" s="67"/>
      <c r="L275" s="67"/>
      <c r="M275" s="69"/>
      <c r="N275" s="70"/>
      <c r="O275" s="71"/>
      <c r="P275" s="71"/>
      <c r="Q275" s="72"/>
      <c r="R275" s="73"/>
      <c r="S275" s="67"/>
      <c r="T275" s="73"/>
      <c r="U275" s="65"/>
    </row>
    <row r="276" spans="2:21" x14ac:dyDescent="0.25">
      <c r="B276" s="65"/>
      <c r="C276" s="66"/>
      <c r="D276" s="66"/>
      <c r="E276" s="66"/>
      <c r="F276" s="65"/>
      <c r="G276" s="65"/>
      <c r="H276" s="67"/>
      <c r="I276" s="67"/>
      <c r="J276" s="68"/>
      <c r="K276" s="67"/>
      <c r="L276" s="67"/>
      <c r="M276" s="69"/>
      <c r="N276" s="70"/>
      <c r="O276" s="71"/>
      <c r="P276" s="71"/>
      <c r="Q276" s="72"/>
      <c r="R276" s="73"/>
      <c r="S276" s="67"/>
      <c r="T276" s="73"/>
      <c r="U276" s="65"/>
    </row>
    <row r="277" spans="2:21" x14ac:dyDescent="0.25">
      <c r="B277" s="65"/>
      <c r="C277" s="66"/>
      <c r="D277" s="66"/>
      <c r="E277" s="66"/>
      <c r="F277" s="65"/>
      <c r="G277" s="65"/>
      <c r="H277" s="67"/>
      <c r="I277" s="67"/>
      <c r="J277" s="68"/>
      <c r="K277" s="67"/>
      <c r="L277" s="67"/>
      <c r="M277" s="69"/>
      <c r="N277" s="70"/>
      <c r="O277" s="71"/>
      <c r="P277" s="71"/>
      <c r="Q277" s="72"/>
      <c r="R277" s="73"/>
      <c r="S277" s="67"/>
      <c r="T277" s="73"/>
      <c r="U277" s="65"/>
    </row>
    <row r="278" spans="2:21" x14ac:dyDescent="0.25">
      <c r="B278" s="65"/>
      <c r="C278" s="66"/>
      <c r="D278" s="66"/>
      <c r="E278" s="66"/>
      <c r="F278" s="65"/>
      <c r="G278" s="65"/>
      <c r="H278" s="67"/>
      <c r="I278" s="67"/>
      <c r="J278" s="68"/>
      <c r="K278" s="67"/>
      <c r="L278" s="67"/>
      <c r="M278" s="69"/>
      <c r="N278" s="70"/>
      <c r="O278" s="71"/>
      <c r="P278" s="71"/>
      <c r="Q278" s="72"/>
      <c r="R278" s="73"/>
      <c r="S278" s="67"/>
      <c r="T278" s="73"/>
      <c r="U278" s="65"/>
    </row>
    <row r="279" spans="2:21" x14ac:dyDescent="0.25">
      <c r="B279" s="65"/>
      <c r="C279" s="66"/>
      <c r="D279" s="66"/>
      <c r="E279" s="66"/>
      <c r="F279" s="65"/>
      <c r="G279" s="65"/>
      <c r="H279" s="67"/>
      <c r="I279" s="67"/>
      <c r="J279" s="68"/>
      <c r="K279" s="67"/>
      <c r="L279" s="67"/>
      <c r="M279" s="69"/>
      <c r="N279" s="70"/>
      <c r="O279" s="71"/>
      <c r="P279" s="71"/>
      <c r="Q279" s="72"/>
      <c r="R279" s="73"/>
      <c r="S279" s="67"/>
      <c r="T279" s="73"/>
      <c r="U279" s="65"/>
    </row>
    <row r="280" spans="2:21" x14ac:dyDescent="0.25">
      <c r="B280" s="65"/>
      <c r="C280" s="66"/>
      <c r="D280" s="66"/>
      <c r="E280" s="66"/>
      <c r="F280" s="65"/>
      <c r="G280" s="65"/>
      <c r="H280" s="67"/>
      <c r="I280" s="67"/>
      <c r="J280" s="68"/>
      <c r="K280" s="67"/>
      <c r="L280" s="67"/>
      <c r="M280" s="69"/>
      <c r="N280" s="70"/>
      <c r="O280" s="71"/>
      <c r="P280" s="71"/>
      <c r="Q280" s="72"/>
      <c r="R280" s="73"/>
      <c r="S280" s="67"/>
      <c r="T280" s="73"/>
      <c r="U280" s="65"/>
    </row>
    <row r="281" spans="2:21" x14ac:dyDescent="0.25">
      <c r="B281" s="65"/>
      <c r="C281" s="66"/>
      <c r="D281" s="66"/>
      <c r="E281" s="66"/>
      <c r="F281" s="65"/>
      <c r="G281" s="65"/>
      <c r="H281" s="67"/>
      <c r="I281" s="67"/>
      <c r="J281" s="68"/>
      <c r="K281" s="67"/>
      <c r="L281" s="67"/>
      <c r="M281" s="69"/>
      <c r="N281" s="70"/>
      <c r="O281" s="71"/>
      <c r="P281" s="71"/>
      <c r="Q281" s="72"/>
      <c r="R281" s="73"/>
      <c r="S281" s="67"/>
      <c r="T281" s="73"/>
      <c r="U281" s="65"/>
    </row>
    <row r="282" spans="2:21" x14ac:dyDescent="0.25">
      <c r="B282" s="65"/>
      <c r="C282" s="66"/>
      <c r="D282" s="66"/>
      <c r="E282" s="66"/>
      <c r="F282" s="65"/>
      <c r="G282" s="65"/>
      <c r="H282" s="67"/>
      <c r="I282" s="67"/>
      <c r="J282" s="68"/>
      <c r="K282" s="67"/>
      <c r="L282" s="67"/>
      <c r="M282" s="69"/>
      <c r="N282" s="70"/>
      <c r="O282" s="71"/>
      <c r="P282" s="71"/>
      <c r="Q282" s="72"/>
      <c r="R282" s="73"/>
      <c r="S282" s="67"/>
      <c r="T282" s="73"/>
      <c r="U282" s="65"/>
    </row>
    <row r="283" spans="2:21" x14ac:dyDescent="0.25">
      <c r="B283" s="65"/>
      <c r="C283" s="66"/>
      <c r="D283" s="66"/>
      <c r="E283" s="66"/>
      <c r="F283" s="65"/>
      <c r="G283" s="65"/>
      <c r="H283" s="67"/>
      <c r="I283" s="67"/>
      <c r="J283" s="68"/>
      <c r="K283" s="67"/>
      <c r="L283" s="67"/>
      <c r="M283" s="69"/>
      <c r="N283" s="70"/>
      <c r="O283" s="71"/>
      <c r="P283" s="71"/>
      <c r="Q283" s="72"/>
      <c r="R283" s="73"/>
      <c r="S283" s="67"/>
      <c r="T283" s="73"/>
      <c r="U283" s="65"/>
    </row>
    <row r="284" spans="2:21" x14ac:dyDescent="0.25">
      <c r="B284" s="65"/>
      <c r="C284" s="66"/>
      <c r="D284" s="66"/>
      <c r="E284" s="66"/>
      <c r="F284" s="65"/>
      <c r="G284" s="65"/>
      <c r="H284" s="67"/>
      <c r="I284" s="67"/>
      <c r="J284" s="68"/>
      <c r="K284" s="67"/>
      <c r="L284" s="67"/>
      <c r="M284" s="69"/>
      <c r="N284" s="70"/>
      <c r="O284" s="71"/>
      <c r="P284" s="71"/>
      <c r="Q284" s="72"/>
      <c r="R284" s="73"/>
      <c r="S284" s="67"/>
      <c r="T284" s="73"/>
      <c r="U284" s="65"/>
    </row>
    <row r="285" spans="2:21" x14ac:dyDescent="0.25">
      <c r="B285" s="65"/>
      <c r="C285" s="66"/>
      <c r="D285" s="66"/>
      <c r="E285" s="66"/>
      <c r="F285" s="65"/>
      <c r="G285" s="65"/>
      <c r="H285" s="67"/>
      <c r="I285" s="67"/>
      <c r="J285" s="68"/>
      <c r="K285" s="67"/>
      <c r="L285" s="67"/>
      <c r="M285" s="69"/>
      <c r="N285" s="70"/>
      <c r="O285" s="71"/>
      <c r="P285" s="71"/>
      <c r="Q285" s="72"/>
      <c r="R285" s="73"/>
      <c r="S285" s="67"/>
      <c r="T285" s="73"/>
      <c r="U285" s="65"/>
    </row>
    <row r="286" spans="2:21" x14ac:dyDescent="0.25">
      <c r="B286" s="65"/>
      <c r="C286" s="66"/>
      <c r="D286" s="66"/>
      <c r="E286" s="66"/>
      <c r="F286" s="65"/>
      <c r="G286" s="65"/>
      <c r="H286" s="67"/>
      <c r="I286" s="67"/>
      <c r="J286" s="68"/>
      <c r="K286" s="67"/>
      <c r="L286" s="67"/>
      <c r="M286" s="69"/>
      <c r="N286" s="70"/>
      <c r="O286" s="71"/>
      <c r="P286" s="71"/>
      <c r="Q286" s="72"/>
      <c r="R286" s="73"/>
      <c r="S286" s="67"/>
      <c r="T286" s="73"/>
      <c r="U286" s="65"/>
    </row>
    <row r="287" spans="2:21" x14ac:dyDescent="0.25">
      <c r="B287" s="65"/>
      <c r="C287" s="66"/>
      <c r="D287" s="66"/>
      <c r="E287" s="66"/>
      <c r="F287" s="65"/>
      <c r="G287" s="65"/>
      <c r="H287" s="67"/>
      <c r="I287" s="67"/>
      <c r="J287" s="68"/>
      <c r="K287" s="67"/>
      <c r="L287" s="67"/>
      <c r="M287" s="69"/>
      <c r="N287" s="70"/>
      <c r="O287" s="71"/>
      <c r="P287" s="71"/>
      <c r="Q287" s="72"/>
      <c r="R287" s="73"/>
      <c r="S287" s="67"/>
      <c r="T287" s="73"/>
      <c r="U287" s="65"/>
    </row>
    <row r="288" spans="2:21" x14ac:dyDescent="0.25">
      <c r="B288" s="65"/>
      <c r="C288" s="66"/>
      <c r="D288" s="66"/>
      <c r="E288" s="66"/>
      <c r="F288" s="65"/>
      <c r="G288" s="65"/>
      <c r="H288" s="67"/>
      <c r="I288" s="67"/>
      <c r="J288" s="68"/>
      <c r="K288" s="67"/>
      <c r="L288" s="67"/>
      <c r="M288" s="69"/>
      <c r="N288" s="70"/>
      <c r="O288" s="71"/>
      <c r="P288" s="71"/>
      <c r="Q288" s="72"/>
      <c r="R288" s="73"/>
      <c r="S288" s="67"/>
      <c r="T288" s="73"/>
      <c r="U288" s="65"/>
    </row>
    <row r="289" spans="2:21" x14ac:dyDescent="0.25">
      <c r="B289" s="65"/>
      <c r="C289" s="66"/>
      <c r="D289" s="66"/>
      <c r="E289" s="66"/>
      <c r="F289" s="65"/>
      <c r="G289" s="65"/>
      <c r="H289" s="67"/>
      <c r="I289" s="67"/>
      <c r="J289" s="68"/>
      <c r="K289" s="67"/>
      <c r="L289" s="67"/>
      <c r="M289" s="69"/>
      <c r="N289" s="70"/>
      <c r="O289" s="71"/>
      <c r="P289" s="71"/>
      <c r="Q289" s="72"/>
      <c r="R289" s="73"/>
      <c r="S289" s="67"/>
      <c r="T289" s="73"/>
      <c r="U289" s="65"/>
    </row>
    <row r="290" spans="2:21" x14ac:dyDescent="0.25">
      <c r="B290" s="65"/>
      <c r="C290" s="66"/>
      <c r="D290" s="66"/>
      <c r="E290" s="66"/>
      <c r="F290" s="65"/>
      <c r="G290" s="65"/>
      <c r="H290" s="67"/>
      <c r="I290" s="67"/>
      <c r="J290" s="68"/>
      <c r="K290" s="67"/>
      <c r="L290" s="67"/>
      <c r="M290" s="69"/>
      <c r="N290" s="70"/>
      <c r="O290" s="71"/>
      <c r="P290" s="71"/>
      <c r="Q290" s="72"/>
      <c r="R290" s="73"/>
      <c r="S290" s="67"/>
      <c r="T290" s="73"/>
      <c r="U290" s="65"/>
    </row>
    <row r="291" spans="2:21" x14ac:dyDescent="0.25">
      <c r="B291" s="65"/>
      <c r="C291" s="66"/>
      <c r="D291" s="66"/>
      <c r="E291" s="66"/>
      <c r="F291" s="65"/>
      <c r="G291" s="65"/>
      <c r="H291" s="67"/>
      <c r="I291" s="67"/>
      <c r="J291" s="68"/>
      <c r="K291" s="67"/>
      <c r="L291" s="67"/>
      <c r="M291" s="69"/>
      <c r="N291" s="70"/>
      <c r="O291" s="71"/>
      <c r="P291" s="71"/>
      <c r="Q291" s="72"/>
      <c r="R291" s="73"/>
      <c r="S291" s="67"/>
      <c r="T291" s="73"/>
      <c r="U291" s="65"/>
    </row>
    <row r="292" spans="2:21" x14ac:dyDescent="0.25">
      <c r="B292" s="65"/>
      <c r="C292" s="66"/>
      <c r="D292" s="66"/>
      <c r="E292" s="66"/>
      <c r="F292" s="65"/>
      <c r="G292" s="65"/>
      <c r="H292" s="67"/>
      <c r="I292" s="67"/>
      <c r="J292" s="68"/>
      <c r="K292" s="67"/>
      <c r="L292" s="67"/>
      <c r="M292" s="69"/>
      <c r="N292" s="70"/>
      <c r="O292" s="71"/>
      <c r="P292" s="71"/>
      <c r="Q292" s="72"/>
      <c r="R292" s="73"/>
      <c r="S292" s="67"/>
      <c r="T292" s="73"/>
      <c r="U292" s="65"/>
    </row>
    <row r="293" spans="2:21" x14ac:dyDescent="0.25">
      <c r="B293" s="65"/>
      <c r="C293" s="66"/>
      <c r="D293" s="66"/>
      <c r="E293" s="66"/>
      <c r="F293" s="65"/>
      <c r="G293" s="65"/>
      <c r="H293" s="67"/>
      <c r="I293" s="67"/>
      <c r="J293" s="68"/>
      <c r="K293" s="67"/>
      <c r="L293" s="67"/>
      <c r="M293" s="69"/>
      <c r="N293" s="70"/>
      <c r="O293" s="71"/>
      <c r="P293" s="71"/>
      <c r="Q293" s="72"/>
      <c r="R293" s="73"/>
      <c r="S293" s="67"/>
      <c r="T293" s="73"/>
      <c r="U293" s="65"/>
    </row>
    <row r="294" spans="2:21" x14ac:dyDescent="0.25">
      <c r="B294" s="65"/>
      <c r="C294" s="66"/>
      <c r="D294" s="66"/>
      <c r="E294" s="66"/>
      <c r="F294" s="65"/>
      <c r="G294" s="65"/>
      <c r="H294" s="67"/>
      <c r="I294" s="67"/>
      <c r="J294" s="68"/>
      <c r="K294" s="67"/>
      <c r="L294" s="67"/>
      <c r="M294" s="69"/>
      <c r="N294" s="70"/>
      <c r="O294" s="71"/>
      <c r="P294" s="71"/>
      <c r="Q294" s="72"/>
      <c r="R294" s="73"/>
      <c r="S294" s="67"/>
      <c r="T294" s="73"/>
      <c r="U294" s="65"/>
    </row>
    <row r="295" spans="2:21" x14ac:dyDescent="0.25">
      <c r="B295" s="65"/>
      <c r="C295" s="66"/>
      <c r="D295" s="66"/>
      <c r="E295" s="66"/>
      <c r="F295" s="65"/>
      <c r="G295" s="65"/>
      <c r="H295" s="67"/>
      <c r="I295" s="67"/>
      <c r="J295" s="68"/>
      <c r="K295" s="67"/>
      <c r="L295" s="67"/>
      <c r="M295" s="69"/>
      <c r="N295" s="70"/>
      <c r="O295" s="71"/>
      <c r="P295" s="71"/>
      <c r="Q295" s="72"/>
      <c r="R295" s="73"/>
      <c r="S295" s="67"/>
      <c r="T295" s="73"/>
      <c r="U295" s="65"/>
    </row>
    <row r="296" spans="2:21" x14ac:dyDescent="0.25">
      <c r="B296" s="65"/>
      <c r="C296" s="66"/>
      <c r="D296" s="66"/>
      <c r="E296" s="66"/>
      <c r="F296" s="65"/>
      <c r="G296" s="65"/>
      <c r="H296" s="67"/>
      <c r="I296" s="67"/>
      <c r="J296" s="68"/>
      <c r="K296" s="67"/>
      <c r="L296" s="67"/>
      <c r="M296" s="69"/>
      <c r="N296" s="70"/>
      <c r="O296" s="71"/>
      <c r="P296" s="71"/>
      <c r="Q296" s="72"/>
      <c r="R296" s="73"/>
      <c r="S296" s="67"/>
      <c r="T296" s="73"/>
      <c r="U296" s="65"/>
    </row>
    <row r="297" spans="2:21" x14ac:dyDescent="0.25">
      <c r="B297" s="65"/>
      <c r="C297" s="66"/>
      <c r="D297" s="66"/>
      <c r="E297" s="66"/>
      <c r="F297" s="65"/>
      <c r="G297" s="65"/>
      <c r="H297" s="67"/>
      <c r="I297" s="67"/>
      <c r="J297" s="68"/>
      <c r="K297" s="67"/>
      <c r="L297" s="67"/>
      <c r="M297" s="69"/>
      <c r="N297" s="70"/>
      <c r="O297" s="71"/>
      <c r="P297" s="71"/>
      <c r="Q297" s="72"/>
      <c r="R297" s="73"/>
      <c r="S297" s="67"/>
      <c r="T297" s="73"/>
      <c r="U297" s="65"/>
    </row>
    <row r="298" spans="2:21" x14ac:dyDescent="0.25">
      <c r="B298" s="65"/>
      <c r="C298" s="66"/>
      <c r="D298" s="66"/>
      <c r="E298" s="66"/>
      <c r="F298" s="65"/>
      <c r="G298" s="65"/>
      <c r="H298" s="67"/>
      <c r="I298" s="67"/>
      <c r="J298" s="68"/>
      <c r="K298" s="67"/>
      <c r="L298" s="67"/>
      <c r="M298" s="69"/>
      <c r="N298" s="70"/>
      <c r="O298" s="71"/>
      <c r="P298" s="71"/>
      <c r="Q298" s="72"/>
      <c r="R298" s="73"/>
      <c r="S298" s="67"/>
      <c r="T298" s="73"/>
      <c r="U298" s="65"/>
    </row>
    <row r="299" spans="2:21" x14ac:dyDescent="0.25">
      <c r="B299" s="65"/>
      <c r="C299" s="66"/>
      <c r="D299" s="66"/>
      <c r="E299" s="66"/>
      <c r="F299" s="65"/>
      <c r="G299" s="65"/>
      <c r="H299" s="67"/>
      <c r="I299" s="67"/>
      <c r="J299" s="68"/>
      <c r="K299" s="67"/>
      <c r="L299" s="67"/>
      <c r="M299" s="69"/>
      <c r="N299" s="70"/>
      <c r="O299" s="71"/>
      <c r="P299" s="71"/>
      <c r="Q299" s="72"/>
      <c r="R299" s="73"/>
      <c r="S299" s="67"/>
      <c r="T299" s="73"/>
      <c r="U299" s="65"/>
    </row>
    <row r="300" spans="2:21" x14ac:dyDescent="0.25">
      <c r="B300" s="65"/>
      <c r="C300" s="66"/>
      <c r="D300" s="66"/>
      <c r="E300" s="66"/>
      <c r="F300" s="65"/>
      <c r="G300" s="65"/>
      <c r="H300" s="67"/>
      <c r="I300" s="67"/>
      <c r="J300" s="68"/>
      <c r="K300" s="67"/>
      <c r="L300" s="67"/>
      <c r="M300" s="69"/>
      <c r="N300" s="70"/>
      <c r="O300" s="71"/>
      <c r="P300" s="71"/>
      <c r="Q300" s="72"/>
      <c r="R300" s="73"/>
      <c r="S300" s="67"/>
      <c r="T300" s="73"/>
      <c r="U300" s="65"/>
    </row>
    <row r="301" spans="2:21" x14ac:dyDescent="0.25">
      <c r="B301" s="65"/>
      <c r="C301" s="66"/>
      <c r="D301" s="66"/>
      <c r="E301" s="66"/>
      <c r="F301" s="65"/>
      <c r="G301" s="65"/>
      <c r="H301" s="67"/>
      <c r="I301" s="67"/>
      <c r="J301" s="68"/>
      <c r="K301" s="67"/>
      <c r="L301" s="67"/>
      <c r="M301" s="69"/>
      <c r="N301" s="70"/>
      <c r="O301" s="71"/>
      <c r="P301" s="71"/>
      <c r="Q301" s="72"/>
      <c r="R301" s="73"/>
      <c r="S301" s="67"/>
      <c r="T301" s="73"/>
      <c r="U301" s="65"/>
    </row>
    <row r="302" spans="2:21" x14ac:dyDescent="0.25">
      <c r="B302" s="65"/>
      <c r="C302" s="66"/>
      <c r="D302" s="66"/>
      <c r="E302" s="66"/>
      <c r="F302" s="65"/>
      <c r="G302" s="65"/>
      <c r="H302" s="67"/>
      <c r="I302" s="67"/>
      <c r="J302" s="68"/>
      <c r="K302" s="67"/>
      <c r="L302" s="67"/>
      <c r="M302" s="69"/>
      <c r="N302" s="70"/>
      <c r="O302" s="71"/>
      <c r="P302" s="71"/>
      <c r="Q302" s="72"/>
      <c r="R302" s="73"/>
      <c r="S302" s="67"/>
      <c r="T302" s="73"/>
      <c r="U302" s="65"/>
    </row>
    <row r="303" spans="2:21" x14ac:dyDescent="0.25">
      <c r="B303" s="65"/>
      <c r="C303" s="66"/>
      <c r="D303" s="66"/>
      <c r="E303" s="66"/>
      <c r="F303" s="65"/>
      <c r="G303" s="65"/>
      <c r="H303" s="67"/>
      <c r="I303" s="67"/>
      <c r="J303" s="68"/>
      <c r="K303" s="67"/>
      <c r="L303" s="67"/>
      <c r="M303" s="69"/>
      <c r="N303" s="70"/>
      <c r="O303" s="71"/>
      <c r="P303" s="71"/>
      <c r="Q303" s="72"/>
      <c r="R303" s="73"/>
      <c r="S303" s="67"/>
      <c r="T303" s="73"/>
      <c r="U303" s="65"/>
    </row>
    <row r="304" spans="2:21" x14ac:dyDescent="0.25">
      <c r="B304" s="65"/>
      <c r="C304" s="66"/>
      <c r="D304" s="66"/>
      <c r="E304" s="66"/>
      <c r="F304" s="65"/>
      <c r="G304" s="65"/>
      <c r="H304" s="67"/>
      <c r="I304" s="67"/>
      <c r="J304" s="68"/>
      <c r="K304" s="67"/>
      <c r="L304" s="67"/>
      <c r="M304" s="69"/>
      <c r="N304" s="70"/>
      <c r="O304" s="71"/>
      <c r="P304" s="71"/>
      <c r="Q304" s="72"/>
      <c r="R304" s="73"/>
      <c r="S304" s="67"/>
      <c r="T304" s="73"/>
      <c r="U304" s="65"/>
    </row>
    <row r="305" spans="2:21" x14ac:dyDescent="0.25">
      <c r="B305" s="65"/>
      <c r="C305" s="66"/>
      <c r="D305" s="66"/>
      <c r="E305" s="66"/>
      <c r="F305" s="65"/>
      <c r="G305" s="65"/>
      <c r="H305" s="67"/>
      <c r="I305" s="67"/>
      <c r="J305" s="68"/>
      <c r="K305" s="67"/>
      <c r="L305" s="67"/>
      <c r="M305" s="69"/>
      <c r="N305" s="70"/>
      <c r="O305" s="71"/>
      <c r="P305" s="71"/>
      <c r="Q305" s="72"/>
      <c r="R305" s="73"/>
      <c r="S305" s="67"/>
      <c r="T305" s="73"/>
      <c r="U305" s="65"/>
    </row>
    <row r="306" spans="2:21" x14ac:dyDescent="0.25">
      <c r="B306" s="65"/>
      <c r="C306" s="66"/>
      <c r="D306" s="66"/>
      <c r="E306" s="66"/>
      <c r="F306" s="65"/>
      <c r="G306" s="65"/>
      <c r="H306" s="67"/>
      <c r="I306" s="67"/>
      <c r="J306" s="68"/>
      <c r="K306" s="67"/>
      <c r="L306" s="67"/>
      <c r="M306" s="69"/>
      <c r="N306" s="70"/>
      <c r="O306" s="71"/>
      <c r="P306" s="71"/>
      <c r="Q306" s="72"/>
      <c r="R306" s="73"/>
      <c r="S306" s="67"/>
      <c r="T306" s="73"/>
      <c r="U306" s="65"/>
    </row>
    <row r="307" spans="2:21" x14ac:dyDescent="0.25">
      <c r="B307" s="65"/>
      <c r="C307" s="66"/>
      <c r="D307" s="66"/>
      <c r="E307" s="66"/>
      <c r="F307" s="65"/>
      <c r="G307" s="65"/>
      <c r="H307" s="67"/>
      <c r="I307" s="67"/>
      <c r="J307" s="68"/>
      <c r="K307" s="67"/>
      <c r="L307" s="67"/>
      <c r="M307" s="69"/>
      <c r="N307" s="70"/>
      <c r="O307" s="71"/>
      <c r="P307" s="71"/>
      <c r="Q307" s="72"/>
      <c r="R307" s="73"/>
      <c r="S307" s="67"/>
      <c r="T307" s="73"/>
      <c r="U307" s="65"/>
    </row>
    <row r="308" spans="2:21" x14ac:dyDescent="0.25">
      <c r="B308" s="65"/>
      <c r="C308" s="66"/>
      <c r="D308" s="66"/>
      <c r="E308" s="66"/>
      <c r="F308" s="65"/>
      <c r="G308" s="65"/>
      <c r="H308" s="67"/>
      <c r="I308" s="67"/>
      <c r="J308" s="68"/>
      <c r="K308" s="67"/>
      <c r="L308" s="67"/>
      <c r="M308" s="69"/>
      <c r="N308" s="70"/>
      <c r="O308" s="71"/>
      <c r="P308" s="71"/>
      <c r="Q308" s="72"/>
      <c r="R308" s="73"/>
      <c r="S308" s="67"/>
      <c r="T308" s="73"/>
      <c r="U308" s="65"/>
    </row>
    <row r="309" spans="2:21" x14ac:dyDescent="0.25">
      <c r="B309" s="65"/>
      <c r="C309" s="66"/>
      <c r="D309" s="66"/>
      <c r="E309" s="66"/>
      <c r="F309" s="65"/>
      <c r="G309" s="65"/>
      <c r="H309" s="67"/>
      <c r="I309" s="67"/>
      <c r="J309" s="68"/>
      <c r="K309" s="67"/>
      <c r="L309" s="67"/>
      <c r="M309" s="69"/>
      <c r="N309" s="70"/>
      <c r="O309" s="71"/>
      <c r="P309" s="71"/>
      <c r="Q309" s="72"/>
      <c r="R309" s="73"/>
      <c r="S309" s="67"/>
      <c r="T309" s="73"/>
      <c r="U309" s="65"/>
    </row>
    <row r="310" spans="2:21" x14ac:dyDescent="0.25">
      <c r="B310" s="65"/>
      <c r="C310" s="66"/>
      <c r="D310" s="66"/>
      <c r="E310" s="66"/>
      <c r="F310" s="65"/>
      <c r="G310" s="65"/>
      <c r="H310" s="67"/>
      <c r="I310" s="67"/>
      <c r="J310" s="68"/>
      <c r="K310" s="67"/>
      <c r="L310" s="67"/>
      <c r="M310" s="69"/>
      <c r="N310" s="70"/>
      <c r="O310" s="71"/>
      <c r="P310" s="71"/>
      <c r="Q310" s="72"/>
      <c r="R310" s="73"/>
      <c r="S310" s="67"/>
      <c r="T310" s="73"/>
      <c r="U310" s="65"/>
    </row>
    <row r="311" spans="2:21" x14ac:dyDescent="0.25">
      <c r="B311" s="65"/>
      <c r="C311" s="66"/>
      <c r="D311" s="66"/>
      <c r="E311" s="66"/>
      <c r="F311" s="65"/>
      <c r="G311" s="65"/>
      <c r="H311" s="67"/>
      <c r="I311" s="67"/>
      <c r="J311" s="68"/>
      <c r="K311" s="67"/>
      <c r="L311" s="67"/>
      <c r="M311" s="69"/>
      <c r="N311" s="70"/>
      <c r="O311" s="71"/>
      <c r="P311" s="71"/>
      <c r="Q311" s="72"/>
      <c r="R311" s="73"/>
      <c r="S311" s="67"/>
      <c r="T311" s="73"/>
      <c r="U311" s="65"/>
    </row>
    <row r="312" spans="2:21" x14ac:dyDescent="0.25">
      <c r="B312" s="65"/>
      <c r="C312" s="66"/>
      <c r="D312" s="66"/>
      <c r="E312" s="66"/>
      <c r="F312" s="65"/>
      <c r="G312" s="65"/>
      <c r="H312" s="67"/>
      <c r="I312" s="67"/>
      <c r="J312" s="68"/>
      <c r="K312" s="67"/>
      <c r="L312" s="67"/>
      <c r="M312" s="69"/>
      <c r="N312" s="70"/>
      <c r="O312" s="71"/>
      <c r="P312" s="71"/>
      <c r="Q312" s="72"/>
      <c r="R312" s="73"/>
      <c r="S312" s="67"/>
      <c r="T312" s="73"/>
      <c r="U312" s="65"/>
    </row>
    <row r="313" spans="2:21" x14ac:dyDescent="0.25">
      <c r="B313" s="65"/>
      <c r="C313" s="66"/>
      <c r="D313" s="66"/>
      <c r="E313" s="66"/>
      <c r="F313" s="65"/>
      <c r="G313" s="65"/>
      <c r="H313" s="67"/>
      <c r="I313" s="67"/>
      <c r="J313" s="68"/>
      <c r="K313" s="67"/>
      <c r="L313" s="67"/>
      <c r="M313" s="69"/>
      <c r="N313" s="70"/>
      <c r="O313" s="71"/>
      <c r="P313" s="71"/>
      <c r="Q313" s="72"/>
      <c r="R313" s="73"/>
      <c r="S313" s="67"/>
      <c r="T313" s="73"/>
      <c r="U313" s="65"/>
    </row>
    <row r="314" spans="2:21" x14ac:dyDescent="0.25">
      <c r="B314" s="65"/>
      <c r="C314" s="66"/>
      <c r="D314" s="66"/>
      <c r="E314" s="66"/>
      <c r="F314" s="65"/>
      <c r="G314" s="65"/>
      <c r="H314" s="67"/>
      <c r="I314" s="67"/>
      <c r="J314" s="68"/>
      <c r="K314" s="67"/>
      <c r="L314" s="67"/>
      <c r="M314" s="69"/>
      <c r="N314" s="70"/>
      <c r="O314" s="71"/>
      <c r="P314" s="71"/>
      <c r="Q314" s="72"/>
      <c r="R314" s="73"/>
      <c r="S314" s="67"/>
      <c r="T314" s="73"/>
      <c r="U314" s="65"/>
    </row>
    <row r="315" spans="2:21" x14ac:dyDescent="0.25">
      <c r="B315" s="65"/>
      <c r="C315" s="66"/>
      <c r="D315" s="66"/>
      <c r="E315" s="66"/>
      <c r="F315" s="65"/>
      <c r="G315" s="65"/>
      <c r="H315" s="67"/>
      <c r="I315" s="67"/>
      <c r="J315" s="68"/>
      <c r="K315" s="67"/>
      <c r="L315" s="67"/>
      <c r="M315" s="69"/>
      <c r="N315" s="70"/>
      <c r="O315" s="71"/>
      <c r="P315" s="71"/>
      <c r="Q315" s="72"/>
      <c r="R315" s="73"/>
      <c r="S315" s="67"/>
      <c r="T315" s="73"/>
      <c r="U315" s="65"/>
    </row>
    <row r="316" spans="2:21" x14ac:dyDescent="0.25">
      <c r="B316" s="65"/>
      <c r="C316" s="66"/>
      <c r="D316" s="66"/>
      <c r="E316" s="66"/>
      <c r="F316" s="65"/>
      <c r="G316" s="65"/>
      <c r="H316" s="67"/>
      <c r="I316" s="67"/>
      <c r="J316" s="68"/>
      <c r="K316" s="67"/>
      <c r="L316" s="67"/>
      <c r="M316" s="69"/>
      <c r="N316" s="70"/>
      <c r="O316" s="71"/>
      <c r="P316" s="71"/>
      <c r="Q316" s="72"/>
      <c r="R316" s="73"/>
      <c r="S316" s="67"/>
      <c r="T316" s="73"/>
      <c r="U316" s="65"/>
    </row>
    <row r="317" spans="2:21" x14ac:dyDescent="0.25">
      <c r="B317" s="65"/>
      <c r="C317" s="66"/>
      <c r="D317" s="66"/>
      <c r="E317" s="66"/>
      <c r="F317" s="65"/>
      <c r="G317" s="65"/>
      <c r="H317" s="67"/>
      <c r="I317" s="67"/>
      <c r="J317" s="68"/>
      <c r="K317" s="67"/>
      <c r="L317" s="67"/>
      <c r="M317" s="69"/>
      <c r="N317" s="70"/>
      <c r="O317" s="71"/>
      <c r="P317" s="71"/>
      <c r="Q317" s="72"/>
      <c r="R317" s="73"/>
      <c r="S317" s="67"/>
      <c r="T317" s="73"/>
      <c r="U317" s="65"/>
    </row>
    <row r="318" spans="2:21" x14ac:dyDescent="0.25">
      <c r="B318" s="65"/>
      <c r="C318" s="66"/>
      <c r="D318" s="66"/>
      <c r="E318" s="66"/>
      <c r="F318" s="65"/>
      <c r="G318" s="65"/>
      <c r="H318" s="67"/>
      <c r="I318" s="67"/>
      <c r="J318" s="68"/>
      <c r="K318" s="67"/>
      <c r="L318" s="67"/>
      <c r="M318" s="69"/>
      <c r="N318" s="70"/>
      <c r="O318" s="71"/>
      <c r="P318" s="71"/>
      <c r="Q318" s="72"/>
      <c r="R318" s="73"/>
      <c r="S318" s="67"/>
      <c r="T318" s="73"/>
      <c r="U318" s="65"/>
    </row>
    <row r="319" spans="2:21" x14ac:dyDescent="0.25">
      <c r="B319" s="65"/>
      <c r="C319" s="66"/>
      <c r="D319" s="66"/>
      <c r="E319" s="66"/>
      <c r="F319" s="65"/>
      <c r="G319" s="65"/>
      <c r="H319" s="67"/>
      <c r="I319" s="67"/>
      <c r="J319" s="68"/>
      <c r="K319" s="67"/>
      <c r="L319" s="67"/>
      <c r="M319" s="69"/>
      <c r="N319" s="70"/>
      <c r="O319" s="71"/>
      <c r="P319" s="71"/>
      <c r="Q319" s="72"/>
      <c r="R319" s="73"/>
      <c r="S319" s="67"/>
      <c r="T319" s="73"/>
      <c r="U319" s="65"/>
    </row>
    <row r="320" spans="2:21" x14ac:dyDescent="0.25">
      <c r="B320" s="65"/>
      <c r="C320" s="66"/>
      <c r="D320" s="66"/>
      <c r="E320" s="66"/>
      <c r="F320" s="65"/>
      <c r="G320" s="65"/>
      <c r="H320" s="67"/>
      <c r="I320" s="67"/>
      <c r="J320" s="68"/>
      <c r="K320" s="67"/>
      <c r="L320" s="67"/>
      <c r="M320" s="69"/>
      <c r="N320" s="70"/>
      <c r="O320" s="71"/>
      <c r="P320" s="71"/>
      <c r="Q320" s="72"/>
      <c r="R320" s="73"/>
      <c r="S320" s="67"/>
      <c r="T320" s="73"/>
      <c r="U320" s="65"/>
    </row>
    <row r="321" spans="2:21" x14ac:dyDescent="0.25">
      <c r="B321" s="65"/>
      <c r="C321" s="66"/>
      <c r="D321" s="66"/>
      <c r="E321" s="66"/>
      <c r="F321" s="65"/>
      <c r="G321" s="65"/>
      <c r="H321" s="67"/>
      <c r="I321" s="67"/>
      <c r="J321" s="68"/>
      <c r="K321" s="67"/>
      <c r="L321" s="67"/>
      <c r="M321" s="69"/>
      <c r="N321" s="70"/>
      <c r="O321" s="71"/>
      <c r="P321" s="71"/>
      <c r="Q321" s="72"/>
      <c r="R321" s="73"/>
      <c r="S321" s="67"/>
      <c r="T321" s="73"/>
      <c r="U321" s="65"/>
    </row>
    <row r="322" spans="2:21" x14ac:dyDescent="0.25">
      <c r="B322" s="65"/>
      <c r="C322" s="66"/>
      <c r="D322" s="66"/>
      <c r="E322" s="66"/>
      <c r="F322" s="65"/>
      <c r="G322" s="65"/>
      <c r="H322" s="67"/>
      <c r="I322" s="67"/>
      <c r="J322" s="68"/>
      <c r="K322" s="67"/>
      <c r="L322" s="67"/>
      <c r="M322" s="69"/>
      <c r="N322" s="70"/>
      <c r="O322" s="71"/>
      <c r="P322" s="71"/>
      <c r="Q322" s="72"/>
      <c r="R322" s="73"/>
      <c r="S322" s="67"/>
      <c r="T322" s="73"/>
      <c r="U322" s="65"/>
    </row>
    <row r="323" spans="2:21" x14ac:dyDescent="0.25">
      <c r="B323" s="65"/>
      <c r="C323" s="66"/>
      <c r="D323" s="66"/>
      <c r="E323" s="66"/>
      <c r="F323" s="65"/>
      <c r="G323" s="65"/>
      <c r="H323" s="67"/>
      <c r="I323" s="67"/>
      <c r="J323" s="68"/>
      <c r="K323" s="67"/>
      <c r="L323" s="67"/>
      <c r="M323" s="69"/>
      <c r="N323" s="70"/>
      <c r="O323" s="71"/>
      <c r="P323" s="71"/>
      <c r="Q323" s="72"/>
      <c r="R323" s="73"/>
      <c r="S323" s="67"/>
      <c r="T323" s="73"/>
      <c r="U323" s="65"/>
    </row>
    <row r="324" spans="2:21" x14ac:dyDescent="0.25">
      <c r="B324" s="65"/>
      <c r="C324" s="66"/>
      <c r="D324" s="66"/>
      <c r="E324" s="66"/>
      <c r="F324" s="65"/>
      <c r="G324" s="65"/>
      <c r="H324" s="67"/>
      <c r="I324" s="67"/>
      <c r="J324" s="68"/>
      <c r="K324" s="67"/>
      <c r="L324" s="67"/>
      <c r="M324" s="69"/>
      <c r="N324" s="70"/>
      <c r="O324" s="71"/>
      <c r="P324" s="71"/>
      <c r="Q324" s="72"/>
      <c r="R324" s="73"/>
      <c r="S324" s="67"/>
      <c r="T324" s="73"/>
      <c r="U324" s="65"/>
    </row>
    <row r="325" spans="2:21" x14ac:dyDescent="0.25">
      <c r="B325" s="65"/>
      <c r="C325" s="66"/>
      <c r="D325" s="66"/>
      <c r="E325" s="66"/>
      <c r="F325" s="65"/>
      <c r="G325" s="65"/>
      <c r="H325" s="67"/>
      <c r="I325" s="67"/>
      <c r="J325" s="68"/>
      <c r="K325" s="67"/>
      <c r="L325" s="67"/>
      <c r="M325" s="69"/>
      <c r="N325" s="70"/>
      <c r="O325" s="71"/>
      <c r="P325" s="71"/>
      <c r="Q325" s="72"/>
      <c r="R325" s="73"/>
      <c r="S325" s="67"/>
      <c r="T325" s="73"/>
      <c r="U325" s="65"/>
    </row>
    <row r="326" spans="2:21" x14ac:dyDescent="0.25">
      <c r="B326" s="65"/>
      <c r="C326" s="66"/>
      <c r="D326" s="66"/>
      <c r="E326" s="66"/>
      <c r="F326" s="65"/>
      <c r="G326" s="65"/>
      <c r="H326" s="67"/>
      <c r="I326" s="67"/>
      <c r="J326" s="68"/>
      <c r="K326" s="67"/>
      <c r="L326" s="67"/>
      <c r="M326" s="69"/>
      <c r="N326" s="70"/>
      <c r="O326" s="71"/>
      <c r="P326" s="71"/>
      <c r="Q326" s="72"/>
      <c r="R326" s="73"/>
      <c r="S326" s="67"/>
      <c r="T326" s="73"/>
      <c r="U326" s="65"/>
    </row>
    <row r="327" spans="2:21" x14ac:dyDescent="0.25">
      <c r="B327" s="65"/>
      <c r="C327" s="66"/>
      <c r="D327" s="66"/>
      <c r="E327" s="66"/>
      <c r="F327" s="65"/>
      <c r="G327" s="65"/>
      <c r="H327" s="67"/>
      <c r="I327" s="67"/>
      <c r="J327" s="68"/>
      <c r="K327" s="67"/>
      <c r="L327" s="67"/>
      <c r="M327" s="69"/>
      <c r="N327" s="70"/>
      <c r="O327" s="71"/>
      <c r="P327" s="71"/>
      <c r="Q327" s="72"/>
      <c r="R327" s="73"/>
      <c r="S327" s="67"/>
      <c r="T327" s="73"/>
      <c r="U327" s="65"/>
    </row>
    <row r="328" spans="2:21" x14ac:dyDescent="0.25">
      <c r="B328" s="65"/>
      <c r="C328" s="66"/>
      <c r="D328" s="66"/>
      <c r="E328" s="66"/>
      <c r="F328" s="65"/>
      <c r="G328" s="65"/>
      <c r="H328" s="67"/>
      <c r="I328" s="67"/>
      <c r="J328" s="68"/>
      <c r="K328" s="67"/>
      <c r="L328" s="67"/>
      <c r="M328" s="69"/>
      <c r="N328" s="70"/>
      <c r="O328" s="71"/>
      <c r="P328" s="71"/>
      <c r="Q328" s="72"/>
      <c r="R328" s="73"/>
      <c r="S328" s="67"/>
      <c r="T328" s="73"/>
      <c r="U328" s="65"/>
    </row>
    <row r="329" spans="2:21" x14ac:dyDescent="0.25">
      <c r="B329" s="65"/>
      <c r="C329" s="66"/>
      <c r="D329" s="66"/>
      <c r="E329" s="66"/>
      <c r="F329" s="65"/>
      <c r="G329" s="65"/>
      <c r="H329" s="67"/>
      <c r="I329" s="67"/>
      <c r="J329" s="68"/>
      <c r="K329" s="67"/>
      <c r="L329" s="67"/>
      <c r="M329" s="69"/>
      <c r="N329" s="70"/>
      <c r="O329" s="71"/>
      <c r="P329" s="71"/>
      <c r="Q329" s="72"/>
      <c r="R329" s="73"/>
      <c r="S329" s="67"/>
      <c r="T329" s="73"/>
      <c r="U329" s="65"/>
    </row>
    <row r="330" spans="2:21" x14ac:dyDescent="0.25">
      <c r="B330" s="65"/>
      <c r="C330" s="66"/>
      <c r="D330" s="66"/>
      <c r="E330" s="66"/>
      <c r="F330" s="65"/>
      <c r="G330" s="65"/>
      <c r="H330" s="67"/>
      <c r="I330" s="67"/>
      <c r="J330" s="68"/>
      <c r="K330" s="67"/>
      <c r="L330" s="67"/>
      <c r="M330" s="69"/>
      <c r="N330" s="70"/>
      <c r="O330" s="71"/>
      <c r="P330" s="71"/>
      <c r="Q330" s="72"/>
      <c r="R330" s="73"/>
      <c r="S330" s="67"/>
      <c r="T330" s="73"/>
      <c r="U330" s="65"/>
    </row>
    <row r="331" spans="2:21" x14ac:dyDescent="0.25">
      <c r="B331" s="65"/>
      <c r="C331" s="66"/>
      <c r="D331" s="66"/>
      <c r="E331" s="66"/>
      <c r="F331" s="65"/>
      <c r="G331" s="65"/>
      <c r="H331" s="67"/>
      <c r="I331" s="67"/>
      <c r="J331" s="68"/>
      <c r="K331" s="67"/>
      <c r="L331" s="67"/>
      <c r="M331" s="69"/>
      <c r="N331" s="70"/>
      <c r="O331" s="71"/>
      <c r="P331" s="71"/>
      <c r="Q331" s="72"/>
      <c r="R331" s="73"/>
      <c r="S331" s="67"/>
      <c r="T331" s="73"/>
      <c r="U331" s="65"/>
    </row>
    <row r="332" spans="2:21" x14ac:dyDescent="0.25">
      <c r="B332" s="65"/>
      <c r="C332" s="66"/>
      <c r="D332" s="66"/>
      <c r="E332" s="66"/>
      <c r="F332" s="65"/>
      <c r="G332" s="65"/>
      <c r="H332" s="67"/>
      <c r="I332" s="67"/>
      <c r="J332" s="68"/>
      <c r="K332" s="67"/>
      <c r="L332" s="67"/>
      <c r="M332" s="69"/>
      <c r="N332" s="70"/>
      <c r="O332" s="71"/>
      <c r="P332" s="71"/>
      <c r="Q332" s="72"/>
      <c r="R332" s="73"/>
      <c r="S332" s="67"/>
      <c r="T332" s="73"/>
      <c r="U332" s="65"/>
    </row>
    <row r="333" spans="2:21" x14ac:dyDescent="0.25">
      <c r="B333" s="65"/>
      <c r="C333" s="66"/>
      <c r="D333" s="66"/>
      <c r="E333" s="66"/>
      <c r="F333" s="65"/>
      <c r="G333" s="65"/>
      <c r="H333" s="67"/>
      <c r="I333" s="67"/>
      <c r="J333" s="68"/>
      <c r="K333" s="67"/>
      <c r="L333" s="67"/>
      <c r="M333" s="69"/>
      <c r="N333" s="70"/>
      <c r="O333" s="71"/>
      <c r="P333" s="71"/>
      <c r="Q333" s="72"/>
      <c r="R333" s="73"/>
      <c r="S333" s="67"/>
      <c r="T333" s="73"/>
      <c r="U333" s="65"/>
    </row>
    <row r="334" spans="2:21" x14ac:dyDescent="0.25">
      <c r="B334" s="65"/>
      <c r="C334" s="66"/>
      <c r="D334" s="66"/>
      <c r="E334" s="66"/>
      <c r="F334" s="65"/>
      <c r="G334" s="65"/>
      <c r="H334" s="67"/>
      <c r="I334" s="67"/>
      <c r="J334" s="68"/>
      <c r="K334" s="67"/>
      <c r="L334" s="67"/>
      <c r="M334" s="69"/>
      <c r="N334" s="70"/>
      <c r="O334" s="71"/>
      <c r="P334" s="71"/>
      <c r="Q334" s="72"/>
      <c r="R334" s="73"/>
      <c r="S334" s="67"/>
      <c r="T334" s="73"/>
      <c r="U334" s="65"/>
    </row>
    <row r="335" spans="2:21" x14ac:dyDescent="0.25">
      <c r="B335" s="65"/>
      <c r="C335" s="66"/>
      <c r="D335" s="66"/>
      <c r="E335" s="66"/>
      <c r="F335" s="65"/>
      <c r="G335" s="65"/>
      <c r="H335" s="67"/>
      <c r="I335" s="67"/>
      <c r="J335" s="68"/>
      <c r="K335" s="67"/>
      <c r="L335" s="67"/>
      <c r="M335" s="69"/>
      <c r="N335" s="70"/>
      <c r="O335" s="71"/>
      <c r="P335" s="71"/>
      <c r="Q335" s="72"/>
      <c r="R335" s="73"/>
      <c r="S335" s="67"/>
      <c r="T335" s="73"/>
      <c r="U335" s="65"/>
    </row>
    <row r="336" spans="2:21" x14ac:dyDescent="0.25">
      <c r="B336" s="65"/>
      <c r="C336" s="66"/>
      <c r="D336" s="66"/>
      <c r="E336" s="66"/>
      <c r="F336" s="65"/>
      <c r="G336" s="65"/>
      <c r="H336" s="67"/>
      <c r="I336" s="67"/>
      <c r="J336" s="68"/>
      <c r="K336" s="67"/>
      <c r="L336" s="67"/>
      <c r="M336" s="69"/>
      <c r="N336" s="70"/>
      <c r="O336" s="71"/>
      <c r="P336" s="71"/>
      <c r="Q336" s="72"/>
      <c r="R336" s="73"/>
      <c r="S336" s="67"/>
      <c r="T336" s="73"/>
      <c r="U336" s="65"/>
    </row>
    <row r="337" spans="2:21" x14ac:dyDescent="0.25">
      <c r="B337" s="65"/>
      <c r="C337" s="66"/>
      <c r="D337" s="66"/>
      <c r="E337" s="66"/>
      <c r="F337" s="65"/>
      <c r="G337" s="65"/>
      <c r="H337" s="67"/>
      <c r="I337" s="67"/>
      <c r="J337" s="68"/>
      <c r="K337" s="67"/>
      <c r="L337" s="67"/>
      <c r="M337" s="69"/>
      <c r="N337" s="70"/>
      <c r="O337" s="71"/>
      <c r="P337" s="71"/>
      <c r="Q337" s="72"/>
      <c r="R337" s="73"/>
      <c r="S337" s="67"/>
      <c r="T337" s="73"/>
      <c r="U337" s="65"/>
    </row>
    <row r="338" spans="2:21" x14ac:dyDescent="0.25">
      <c r="B338" s="65"/>
      <c r="C338" s="66"/>
      <c r="D338" s="66"/>
      <c r="E338" s="66"/>
      <c r="F338" s="65"/>
      <c r="G338" s="65"/>
      <c r="H338" s="67"/>
      <c r="I338" s="67"/>
      <c r="J338" s="68"/>
      <c r="K338" s="67"/>
      <c r="L338" s="67"/>
      <c r="M338" s="69"/>
      <c r="N338" s="70"/>
      <c r="O338" s="71"/>
      <c r="P338" s="71"/>
      <c r="Q338" s="72"/>
      <c r="R338" s="73"/>
      <c r="S338" s="67"/>
      <c r="T338" s="73"/>
      <c r="U338" s="65"/>
    </row>
    <row r="339" spans="2:21" x14ac:dyDescent="0.25">
      <c r="B339" s="65"/>
      <c r="C339" s="66"/>
      <c r="D339" s="66"/>
      <c r="E339" s="66"/>
      <c r="F339" s="65"/>
      <c r="G339" s="65"/>
      <c r="H339" s="67"/>
      <c r="I339" s="67"/>
      <c r="J339" s="68"/>
      <c r="K339" s="67"/>
      <c r="L339" s="67"/>
      <c r="M339" s="69"/>
      <c r="N339" s="70"/>
      <c r="O339" s="71"/>
      <c r="P339" s="71"/>
      <c r="Q339" s="72"/>
      <c r="R339" s="73"/>
      <c r="S339" s="67"/>
      <c r="T339" s="73"/>
      <c r="U339" s="65"/>
    </row>
    <row r="340" spans="2:21" x14ac:dyDescent="0.25">
      <c r="B340" s="65"/>
      <c r="C340" s="66"/>
      <c r="D340" s="66"/>
      <c r="E340" s="66"/>
      <c r="F340" s="65"/>
      <c r="G340" s="65"/>
      <c r="H340" s="67"/>
      <c r="I340" s="67"/>
      <c r="J340" s="68"/>
      <c r="K340" s="67"/>
      <c r="L340" s="67"/>
      <c r="M340" s="69"/>
      <c r="N340" s="70"/>
      <c r="O340" s="71"/>
      <c r="P340" s="71"/>
      <c r="Q340" s="72"/>
      <c r="R340" s="73"/>
      <c r="S340" s="67"/>
      <c r="T340" s="73"/>
      <c r="U340" s="65"/>
    </row>
    <row r="341" spans="2:21" x14ac:dyDescent="0.25">
      <c r="B341" s="65"/>
      <c r="C341" s="66"/>
      <c r="D341" s="66"/>
      <c r="E341" s="66"/>
      <c r="F341" s="65"/>
      <c r="G341" s="65"/>
      <c r="H341" s="67"/>
      <c r="I341" s="67"/>
      <c r="J341" s="68"/>
      <c r="K341" s="67"/>
      <c r="L341" s="67"/>
      <c r="M341" s="69"/>
      <c r="N341" s="70"/>
      <c r="O341" s="71"/>
      <c r="P341" s="71"/>
      <c r="Q341" s="72"/>
      <c r="R341" s="73"/>
      <c r="S341" s="67"/>
      <c r="T341" s="73"/>
      <c r="U341" s="65"/>
    </row>
    <row r="342" spans="2:21" x14ac:dyDescent="0.25">
      <c r="B342" s="65"/>
      <c r="C342" s="66"/>
      <c r="D342" s="66"/>
      <c r="E342" s="66"/>
      <c r="F342" s="65"/>
      <c r="G342" s="65"/>
      <c r="H342" s="67"/>
      <c r="I342" s="67"/>
      <c r="J342" s="68"/>
      <c r="K342" s="67"/>
      <c r="L342" s="67"/>
      <c r="M342" s="69"/>
      <c r="N342" s="70"/>
      <c r="O342" s="71"/>
      <c r="P342" s="71"/>
      <c r="Q342" s="72"/>
      <c r="R342" s="73"/>
      <c r="S342" s="67"/>
      <c r="T342" s="73"/>
      <c r="U342" s="65"/>
    </row>
    <row r="343" spans="2:21" x14ac:dyDescent="0.25">
      <c r="B343" s="65"/>
      <c r="C343" s="66"/>
      <c r="D343" s="66"/>
      <c r="E343" s="66"/>
      <c r="F343" s="65"/>
      <c r="G343" s="65"/>
      <c r="H343" s="67"/>
      <c r="I343" s="67"/>
      <c r="J343" s="68"/>
      <c r="K343" s="67"/>
      <c r="L343" s="67"/>
      <c r="M343" s="69"/>
      <c r="N343" s="70"/>
      <c r="O343" s="71"/>
      <c r="P343" s="71"/>
      <c r="Q343" s="72"/>
      <c r="R343" s="73"/>
      <c r="S343" s="67"/>
      <c r="T343" s="73"/>
      <c r="U343" s="65"/>
    </row>
    <row r="344" spans="2:21" x14ac:dyDescent="0.25">
      <c r="B344" s="65"/>
      <c r="C344" s="66"/>
      <c r="D344" s="66"/>
      <c r="E344" s="66"/>
      <c r="F344" s="65"/>
      <c r="G344" s="65"/>
      <c r="H344" s="67"/>
      <c r="I344" s="67"/>
      <c r="J344" s="68"/>
      <c r="K344" s="67"/>
      <c r="L344" s="67"/>
      <c r="M344" s="69"/>
      <c r="N344" s="70"/>
      <c r="O344" s="71"/>
      <c r="P344" s="71"/>
      <c r="Q344" s="72"/>
      <c r="R344" s="73"/>
      <c r="S344" s="67"/>
      <c r="T344" s="73"/>
      <c r="U344" s="65"/>
    </row>
    <row r="345" spans="2:21" x14ac:dyDescent="0.25">
      <c r="B345" s="65"/>
      <c r="C345" s="66"/>
      <c r="D345" s="66"/>
      <c r="E345" s="66"/>
      <c r="F345" s="65"/>
      <c r="G345" s="65"/>
      <c r="H345" s="67"/>
      <c r="I345" s="67"/>
      <c r="J345" s="68"/>
      <c r="K345" s="67"/>
      <c r="L345" s="67"/>
      <c r="M345" s="69"/>
      <c r="N345" s="70"/>
      <c r="O345" s="71"/>
      <c r="P345" s="71"/>
      <c r="Q345" s="72"/>
      <c r="R345" s="73"/>
      <c r="S345" s="67"/>
      <c r="T345" s="73"/>
      <c r="U345" s="65"/>
    </row>
    <row r="346" spans="2:21" x14ac:dyDescent="0.25">
      <c r="B346" s="65"/>
      <c r="C346" s="66"/>
      <c r="D346" s="66"/>
      <c r="E346" s="66"/>
      <c r="F346" s="65"/>
      <c r="G346" s="65"/>
      <c r="H346" s="67"/>
      <c r="I346" s="67"/>
      <c r="J346" s="68"/>
      <c r="K346" s="67"/>
      <c r="L346" s="67"/>
      <c r="M346" s="69"/>
      <c r="N346" s="70"/>
      <c r="O346" s="71"/>
      <c r="P346" s="71"/>
      <c r="Q346" s="72"/>
      <c r="R346" s="73"/>
      <c r="S346" s="67"/>
      <c r="T346" s="73"/>
      <c r="U346" s="65"/>
    </row>
    <row r="347" spans="2:21" x14ac:dyDescent="0.25">
      <c r="B347" s="65"/>
      <c r="C347" s="66"/>
      <c r="D347" s="66"/>
      <c r="E347" s="66"/>
      <c r="F347" s="65"/>
      <c r="G347" s="65"/>
      <c r="H347" s="67"/>
      <c r="I347" s="67"/>
      <c r="J347" s="68"/>
      <c r="K347" s="67"/>
      <c r="L347" s="67"/>
      <c r="M347" s="69"/>
      <c r="N347" s="70"/>
      <c r="O347" s="71"/>
      <c r="P347" s="71"/>
      <c r="Q347" s="72"/>
      <c r="R347" s="73"/>
      <c r="S347" s="67"/>
      <c r="T347" s="73"/>
      <c r="U347" s="65"/>
    </row>
    <row r="348" spans="2:21" x14ac:dyDescent="0.25">
      <c r="B348" s="65"/>
      <c r="C348" s="66"/>
      <c r="D348" s="66"/>
      <c r="E348" s="66"/>
      <c r="F348" s="65"/>
      <c r="G348" s="65"/>
      <c r="H348" s="67"/>
      <c r="I348" s="67"/>
      <c r="J348" s="68"/>
      <c r="K348" s="67"/>
      <c r="L348" s="67"/>
      <c r="M348" s="69"/>
      <c r="N348" s="70"/>
      <c r="O348" s="71"/>
      <c r="P348" s="71"/>
      <c r="Q348" s="72"/>
      <c r="R348" s="73"/>
      <c r="S348" s="67"/>
      <c r="T348" s="73"/>
      <c r="U348" s="65"/>
    </row>
    <row r="349" spans="2:21" x14ac:dyDescent="0.25">
      <c r="B349" s="65"/>
      <c r="C349" s="66"/>
      <c r="D349" s="66"/>
      <c r="E349" s="66"/>
      <c r="F349" s="65"/>
      <c r="G349" s="65"/>
      <c r="H349" s="67"/>
      <c r="I349" s="67"/>
      <c r="J349" s="68"/>
      <c r="K349" s="67"/>
      <c r="L349" s="67"/>
      <c r="M349" s="69"/>
      <c r="N349" s="70"/>
      <c r="O349" s="71"/>
      <c r="P349" s="71"/>
      <c r="Q349" s="72"/>
      <c r="R349" s="73"/>
      <c r="S349" s="67"/>
      <c r="T349" s="73"/>
      <c r="U349" s="65"/>
    </row>
    <row r="350" spans="2:21" x14ac:dyDescent="0.25">
      <c r="B350" s="65"/>
      <c r="C350" s="66"/>
      <c r="D350" s="66"/>
      <c r="E350" s="66"/>
      <c r="F350" s="65"/>
      <c r="G350" s="65"/>
      <c r="H350" s="67"/>
      <c r="I350" s="67"/>
      <c r="J350" s="68"/>
      <c r="K350" s="67"/>
      <c r="L350" s="67"/>
      <c r="M350" s="69"/>
      <c r="N350" s="70"/>
      <c r="O350" s="71"/>
      <c r="P350" s="71"/>
      <c r="Q350" s="72"/>
      <c r="R350" s="73"/>
      <c r="S350" s="67"/>
      <c r="T350" s="73"/>
      <c r="U350" s="65"/>
    </row>
    <row r="351" spans="2:21" x14ac:dyDescent="0.25">
      <c r="B351" s="65"/>
      <c r="C351" s="66"/>
      <c r="D351" s="66"/>
      <c r="E351" s="66"/>
      <c r="F351" s="65"/>
      <c r="G351" s="65"/>
      <c r="H351" s="67"/>
      <c r="I351" s="67"/>
      <c r="J351" s="68"/>
      <c r="K351" s="67"/>
      <c r="L351" s="67"/>
      <c r="M351" s="69"/>
      <c r="N351" s="70"/>
      <c r="O351" s="71"/>
      <c r="P351" s="71"/>
      <c r="Q351" s="72"/>
      <c r="R351" s="73"/>
      <c r="S351" s="67"/>
      <c r="T351" s="73"/>
      <c r="U351" s="65"/>
    </row>
    <row r="352" spans="2:21" x14ac:dyDescent="0.25">
      <c r="B352" s="65"/>
      <c r="C352" s="66"/>
      <c r="D352" s="66"/>
      <c r="E352" s="66"/>
      <c r="F352" s="65"/>
      <c r="G352" s="65"/>
      <c r="H352" s="67"/>
      <c r="I352" s="67"/>
      <c r="J352" s="68"/>
      <c r="K352" s="67"/>
      <c r="L352" s="67"/>
      <c r="M352" s="69"/>
      <c r="N352" s="70"/>
      <c r="O352" s="71"/>
      <c r="P352" s="71"/>
      <c r="Q352" s="72"/>
      <c r="R352" s="73"/>
      <c r="S352" s="67"/>
      <c r="T352" s="73"/>
      <c r="U352" s="65"/>
    </row>
    <row r="353" spans="2:21" x14ac:dyDescent="0.25">
      <c r="B353" s="65"/>
      <c r="C353" s="66"/>
      <c r="D353" s="66"/>
      <c r="E353" s="66"/>
      <c r="F353" s="65"/>
      <c r="G353" s="65"/>
      <c r="H353" s="67"/>
      <c r="I353" s="67"/>
      <c r="J353" s="68"/>
      <c r="K353" s="67"/>
      <c r="L353" s="67"/>
      <c r="M353" s="69"/>
      <c r="N353" s="70"/>
      <c r="O353" s="71"/>
      <c r="P353" s="71"/>
      <c r="Q353" s="72"/>
      <c r="R353" s="73"/>
      <c r="S353" s="67"/>
      <c r="T353" s="73"/>
      <c r="U353" s="65"/>
    </row>
    <row r="354" spans="2:21" x14ac:dyDescent="0.25">
      <c r="B354" s="65"/>
      <c r="C354" s="66"/>
      <c r="D354" s="66"/>
      <c r="E354" s="66"/>
      <c r="F354" s="65"/>
      <c r="G354" s="65"/>
      <c r="H354" s="67"/>
      <c r="I354" s="67"/>
      <c r="J354" s="68"/>
      <c r="K354" s="67"/>
      <c r="L354" s="67"/>
      <c r="M354" s="69"/>
      <c r="N354" s="70"/>
      <c r="O354" s="71"/>
      <c r="P354" s="71"/>
      <c r="Q354" s="72"/>
      <c r="R354" s="73"/>
      <c r="S354" s="67"/>
      <c r="T354" s="73"/>
      <c r="U354" s="65"/>
    </row>
    <row r="355" spans="2:21" x14ac:dyDescent="0.25">
      <c r="B355" s="65"/>
      <c r="C355" s="66"/>
      <c r="D355" s="66"/>
      <c r="E355" s="66"/>
      <c r="F355" s="65"/>
      <c r="G355" s="65"/>
      <c r="H355" s="67"/>
      <c r="I355" s="67"/>
      <c r="J355" s="68"/>
      <c r="K355" s="67"/>
      <c r="L355" s="67"/>
      <c r="M355" s="69"/>
      <c r="N355" s="70"/>
      <c r="O355" s="71"/>
      <c r="P355" s="71"/>
      <c r="Q355" s="72"/>
      <c r="R355" s="73"/>
      <c r="S355" s="67"/>
      <c r="T355" s="73"/>
      <c r="U355" s="65"/>
    </row>
    <row r="356" spans="2:21" x14ac:dyDescent="0.25">
      <c r="B356" s="65"/>
      <c r="C356" s="66"/>
      <c r="D356" s="66"/>
      <c r="E356" s="66"/>
      <c r="F356" s="65"/>
      <c r="G356" s="65"/>
      <c r="H356" s="67"/>
      <c r="I356" s="67"/>
      <c r="J356" s="68"/>
      <c r="K356" s="67"/>
      <c r="L356" s="67"/>
      <c r="M356" s="69"/>
      <c r="N356" s="70"/>
      <c r="O356" s="71"/>
      <c r="P356" s="71"/>
      <c r="Q356" s="72"/>
      <c r="R356" s="73"/>
      <c r="S356" s="67"/>
      <c r="T356" s="73"/>
      <c r="U356" s="65"/>
    </row>
    <row r="357" spans="2:21" x14ac:dyDescent="0.25">
      <c r="B357" s="65"/>
      <c r="C357" s="66"/>
      <c r="D357" s="66"/>
      <c r="E357" s="66"/>
      <c r="F357" s="65"/>
      <c r="G357" s="65"/>
      <c r="H357" s="67"/>
      <c r="I357" s="67"/>
      <c r="J357" s="68"/>
      <c r="K357" s="67"/>
      <c r="L357" s="67"/>
      <c r="M357" s="69"/>
      <c r="N357" s="70"/>
      <c r="O357" s="71"/>
      <c r="P357" s="71"/>
      <c r="Q357" s="72"/>
      <c r="R357" s="73"/>
      <c r="S357" s="67"/>
      <c r="T357" s="73"/>
      <c r="U357" s="65"/>
    </row>
    <row r="358" spans="2:21" x14ac:dyDescent="0.25">
      <c r="B358" s="65"/>
      <c r="C358" s="66"/>
      <c r="D358" s="66"/>
      <c r="E358" s="66"/>
      <c r="F358" s="65"/>
      <c r="G358" s="65"/>
      <c r="H358" s="67"/>
      <c r="I358" s="67"/>
      <c r="J358" s="68"/>
      <c r="K358" s="67"/>
      <c r="L358" s="67"/>
      <c r="M358" s="69"/>
      <c r="N358" s="70"/>
      <c r="O358" s="71"/>
      <c r="P358" s="71"/>
      <c r="Q358" s="72"/>
      <c r="R358" s="73"/>
      <c r="S358" s="67"/>
      <c r="T358" s="73"/>
      <c r="U358" s="65"/>
    </row>
    <row r="359" spans="2:21" x14ac:dyDescent="0.25">
      <c r="B359" s="65"/>
      <c r="C359" s="66"/>
      <c r="D359" s="66"/>
      <c r="E359" s="66"/>
      <c r="F359" s="65"/>
      <c r="G359" s="65"/>
      <c r="H359" s="67"/>
      <c r="I359" s="67"/>
      <c r="J359" s="68"/>
      <c r="K359" s="67"/>
      <c r="L359" s="67"/>
      <c r="M359" s="69"/>
      <c r="N359" s="70"/>
      <c r="O359" s="71"/>
      <c r="P359" s="71"/>
      <c r="Q359" s="72"/>
      <c r="R359" s="73"/>
      <c r="S359" s="67"/>
      <c r="T359" s="73"/>
      <c r="U359" s="65"/>
    </row>
    <row r="360" spans="2:21" x14ac:dyDescent="0.25">
      <c r="B360" s="65"/>
      <c r="C360" s="66"/>
      <c r="D360" s="66"/>
      <c r="E360" s="66"/>
      <c r="F360" s="65"/>
      <c r="G360" s="65"/>
      <c r="H360" s="67"/>
      <c r="I360" s="67"/>
      <c r="J360" s="68"/>
      <c r="K360" s="67"/>
      <c r="L360" s="67"/>
      <c r="M360" s="69"/>
      <c r="N360" s="70"/>
      <c r="O360" s="71"/>
      <c r="P360" s="71"/>
      <c r="Q360" s="72"/>
      <c r="R360" s="73"/>
      <c r="S360" s="67"/>
      <c r="T360" s="73"/>
      <c r="U360" s="65"/>
    </row>
    <row r="361" spans="2:21" x14ac:dyDescent="0.25">
      <c r="B361" s="65"/>
      <c r="C361" s="66"/>
      <c r="D361" s="66"/>
      <c r="E361" s="66"/>
      <c r="F361" s="65"/>
      <c r="G361" s="65"/>
      <c r="H361" s="67"/>
      <c r="I361" s="67"/>
      <c r="J361" s="68"/>
      <c r="K361" s="67"/>
      <c r="L361" s="67"/>
      <c r="M361" s="69"/>
      <c r="N361" s="70"/>
      <c r="O361" s="71"/>
      <c r="P361" s="71"/>
      <c r="Q361" s="72"/>
      <c r="R361" s="73"/>
      <c r="S361" s="67"/>
      <c r="T361" s="73"/>
      <c r="U361" s="65"/>
    </row>
    <row r="362" spans="2:21" x14ac:dyDescent="0.25">
      <c r="B362" s="65"/>
      <c r="C362" s="66"/>
      <c r="D362" s="66"/>
      <c r="E362" s="66"/>
      <c r="F362" s="65"/>
      <c r="G362" s="65"/>
      <c r="H362" s="67"/>
      <c r="I362" s="67"/>
      <c r="J362" s="68"/>
      <c r="K362" s="67"/>
      <c r="L362" s="67"/>
      <c r="M362" s="69"/>
      <c r="N362" s="70"/>
      <c r="O362" s="71"/>
      <c r="P362" s="71"/>
      <c r="Q362" s="72"/>
      <c r="R362" s="73"/>
      <c r="S362" s="67"/>
      <c r="T362" s="73"/>
      <c r="U362" s="65"/>
    </row>
    <row r="363" spans="2:21" x14ac:dyDescent="0.25">
      <c r="B363" s="65"/>
      <c r="C363" s="66"/>
      <c r="D363" s="66"/>
      <c r="E363" s="66"/>
      <c r="F363" s="65"/>
      <c r="G363" s="65"/>
      <c r="H363" s="67"/>
      <c r="I363" s="67"/>
      <c r="J363" s="68"/>
      <c r="K363" s="67"/>
      <c r="L363" s="67"/>
      <c r="M363" s="69"/>
      <c r="N363" s="70"/>
      <c r="O363" s="71"/>
      <c r="P363" s="71"/>
      <c r="Q363" s="72"/>
      <c r="R363" s="73"/>
      <c r="S363" s="67"/>
      <c r="T363" s="73"/>
      <c r="U363" s="65"/>
    </row>
    <row r="364" spans="2:21" x14ac:dyDescent="0.25">
      <c r="B364" s="65"/>
      <c r="C364" s="66"/>
      <c r="D364" s="66"/>
      <c r="E364" s="66"/>
      <c r="F364" s="65"/>
      <c r="G364" s="65"/>
      <c r="H364" s="67"/>
      <c r="I364" s="67"/>
      <c r="J364" s="68"/>
      <c r="K364" s="67"/>
      <c r="L364" s="67"/>
      <c r="M364" s="69"/>
      <c r="N364" s="70"/>
      <c r="O364" s="71"/>
      <c r="P364" s="71"/>
      <c r="Q364" s="72"/>
      <c r="R364" s="73"/>
      <c r="S364" s="67"/>
      <c r="T364" s="73"/>
      <c r="U364" s="65"/>
    </row>
    <row r="365" spans="2:21" x14ac:dyDescent="0.25">
      <c r="B365" s="65"/>
      <c r="C365" s="66"/>
      <c r="D365" s="66"/>
      <c r="E365" s="66"/>
      <c r="F365" s="65"/>
      <c r="G365" s="65"/>
      <c r="H365" s="67"/>
      <c r="I365" s="67"/>
      <c r="J365" s="68"/>
      <c r="K365" s="67"/>
      <c r="L365" s="67"/>
      <c r="M365" s="69"/>
      <c r="N365" s="70"/>
      <c r="O365" s="71"/>
      <c r="P365" s="71"/>
      <c r="Q365" s="72"/>
      <c r="R365" s="73"/>
      <c r="S365" s="67"/>
      <c r="T365" s="73"/>
      <c r="U365" s="65"/>
    </row>
    <row r="366" spans="2:21" x14ac:dyDescent="0.25">
      <c r="B366" s="65"/>
      <c r="C366" s="66"/>
      <c r="D366" s="66"/>
      <c r="E366" s="66"/>
      <c r="F366" s="65"/>
      <c r="G366" s="65"/>
      <c r="H366" s="67"/>
      <c r="I366" s="67"/>
      <c r="J366" s="68"/>
      <c r="K366" s="67"/>
      <c r="L366" s="67"/>
      <c r="M366" s="69"/>
      <c r="N366" s="70"/>
      <c r="O366" s="71"/>
      <c r="P366" s="71"/>
      <c r="Q366" s="72"/>
      <c r="R366" s="73"/>
      <c r="S366" s="67"/>
      <c r="T366" s="73"/>
      <c r="U366" s="65"/>
    </row>
    <row r="367" spans="2:21" x14ac:dyDescent="0.25">
      <c r="B367" s="65"/>
      <c r="C367" s="66"/>
      <c r="D367" s="66"/>
      <c r="E367" s="66"/>
      <c r="F367" s="65"/>
      <c r="G367" s="65"/>
      <c r="H367" s="67"/>
      <c r="I367" s="67"/>
      <c r="J367" s="68"/>
      <c r="K367" s="67"/>
      <c r="L367" s="67"/>
      <c r="M367" s="69"/>
      <c r="N367" s="70"/>
      <c r="O367" s="71"/>
      <c r="P367" s="71"/>
      <c r="Q367" s="72"/>
      <c r="R367" s="73"/>
      <c r="S367" s="67"/>
      <c r="T367" s="73"/>
      <c r="U367" s="65"/>
    </row>
    <row r="368" spans="2:21" x14ac:dyDescent="0.25">
      <c r="B368" s="65"/>
      <c r="C368" s="66"/>
      <c r="D368" s="66"/>
      <c r="E368" s="66"/>
      <c r="F368" s="65"/>
      <c r="G368" s="65"/>
      <c r="H368" s="67"/>
      <c r="I368" s="67"/>
      <c r="J368" s="68"/>
      <c r="K368" s="67"/>
      <c r="L368" s="67"/>
      <c r="M368" s="69"/>
      <c r="N368" s="70"/>
      <c r="O368" s="71"/>
      <c r="P368" s="71"/>
      <c r="Q368" s="72"/>
      <c r="R368" s="73"/>
      <c r="S368" s="67"/>
      <c r="T368" s="73"/>
      <c r="U368" s="65"/>
    </row>
    <row r="369" spans="2:21" x14ac:dyDescent="0.25">
      <c r="B369" s="65"/>
      <c r="C369" s="66"/>
      <c r="D369" s="66"/>
      <c r="E369" s="66"/>
      <c r="F369" s="65"/>
      <c r="G369" s="65"/>
      <c r="H369" s="67"/>
      <c r="I369" s="67"/>
      <c r="J369" s="68"/>
      <c r="K369" s="67"/>
      <c r="L369" s="67"/>
      <c r="M369" s="69"/>
      <c r="N369" s="70"/>
      <c r="O369" s="71"/>
      <c r="P369" s="71"/>
      <c r="Q369" s="72"/>
      <c r="R369" s="73"/>
      <c r="S369" s="67"/>
      <c r="T369" s="73"/>
      <c r="U369" s="65"/>
    </row>
    <row r="370" spans="2:21" x14ac:dyDescent="0.25">
      <c r="B370" s="65"/>
      <c r="C370" s="66"/>
      <c r="D370" s="66"/>
      <c r="E370" s="66"/>
      <c r="F370" s="65"/>
      <c r="G370" s="65"/>
      <c r="H370" s="67"/>
      <c r="I370" s="67"/>
      <c r="J370" s="68"/>
      <c r="K370" s="67"/>
      <c r="L370" s="67"/>
      <c r="M370" s="69"/>
      <c r="N370" s="70"/>
      <c r="O370" s="71"/>
      <c r="P370" s="71"/>
      <c r="Q370" s="72"/>
      <c r="R370" s="73"/>
      <c r="S370" s="67"/>
      <c r="T370" s="73"/>
      <c r="U370" s="65"/>
    </row>
    <row r="371" spans="2:21" x14ac:dyDescent="0.25">
      <c r="B371" s="65"/>
      <c r="C371" s="66"/>
      <c r="D371" s="66"/>
      <c r="E371" s="66"/>
      <c r="F371" s="65"/>
      <c r="G371" s="65"/>
      <c r="H371" s="67"/>
      <c r="I371" s="67"/>
      <c r="J371" s="68"/>
      <c r="K371" s="67"/>
      <c r="L371" s="67"/>
      <c r="M371" s="69"/>
      <c r="N371" s="70"/>
      <c r="O371" s="71"/>
      <c r="P371" s="71"/>
      <c r="Q371" s="72"/>
      <c r="R371" s="73"/>
      <c r="S371" s="67"/>
      <c r="T371" s="73"/>
      <c r="U371" s="65"/>
    </row>
    <row r="372" spans="2:21" x14ac:dyDescent="0.25">
      <c r="B372" s="65"/>
      <c r="C372" s="66"/>
      <c r="D372" s="66"/>
      <c r="E372" s="66"/>
      <c r="F372" s="65"/>
      <c r="G372" s="65"/>
      <c r="H372" s="67"/>
      <c r="I372" s="67"/>
      <c r="J372" s="68"/>
      <c r="K372" s="67"/>
      <c r="L372" s="67"/>
      <c r="M372" s="69"/>
      <c r="N372" s="70"/>
      <c r="O372" s="71"/>
      <c r="P372" s="71"/>
      <c r="Q372" s="72"/>
      <c r="R372" s="73"/>
      <c r="S372" s="67"/>
      <c r="T372" s="73"/>
      <c r="U372" s="65"/>
    </row>
    <row r="373" spans="2:21" x14ac:dyDescent="0.25">
      <c r="B373" s="65"/>
      <c r="C373" s="66"/>
      <c r="D373" s="66"/>
      <c r="E373" s="66"/>
      <c r="F373" s="65"/>
      <c r="G373" s="65"/>
      <c r="H373" s="67"/>
      <c r="I373" s="67"/>
      <c r="J373" s="68"/>
      <c r="K373" s="67"/>
      <c r="L373" s="67"/>
      <c r="M373" s="69"/>
      <c r="N373" s="70"/>
      <c r="O373" s="71"/>
      <c r="P373" s="71"/>
      <c r="Q373" s="72"/>
      <c r="R373" s="73"/>
      <c r="S373" s="67"/>
      <c r="T373" s="73"/>
      <c r="U373" s="65"/>
    </row>
    <row r="374" spans="2:21" x14ac:dyDescent="0.25">
      <c r="B374" s="65"/>
      <c r="C374" s="66"/>
      <c r="D374" s="66"/>
      <c r="E374" s="66"/>
      <c r="F374" s="65"/>
      <c r="G374" s="65"/>
      <c r="H374" s="67"/>
      <c r="I374" s="67"/>
      <c r="J374" s="68"/>
      <c r="K374" s="67"/>
      <c r="L374" s="67"/>
      <c r="M374" s="69"/>
      <c r="N374" s="70"/>
      <c r="O374" s="71"/>
      <c r="P374" s="71"/>
      <c r="Q374" s="72"/>
      <c r="R374" s="73"/>
      <c r="S374" s="67"/>
      <c r="T374" s="73"/>
      <c r="U374" s="65"/>
    </row>
    <row r="375" spans="2:21" x14ac:dyDescent="0.25">
      <c r="B375" s="65"/>
      <c r="C375" s="66"/>
      <c r="D375" s="66"/>
      <c r="E375" s="66"/>
      <c r="F375" s="65"/>
      <c r="G375" s="65"/>
      <c r="H375" s="67"/>
      <c r="I375" s="67"/>
      <c r="J375" s="68"/>
      <c r="K375" s="67"/>
      <c r="L375" s="67"/>
      <c r="M375" s="69"/>
      <c r="N375" s="70"/>
      <c r="O375" s="71"/>
      <c r="P375" s="71"/>
      <c r="Q375" s="72"/>
      <c r="R375" s="73"/>
      <c r="S375" s="67"/>
      <c r="T375" s="73"/>
      <c r="U375" s="65"/>
    </row>
    <row r="376" spans="2:21" x14ac:dyDescent="0.25">
      <c r="B376" s="65"/>
      <c r="C376" s="66"/>
      <c r="D376" s="66"/>
      <c r="E376" s="66"/>
      <c r="F376" s="65"/>
      <c r="G376" s="65"/>
      <c r="H376" s="67"/>
      <c r="I376" s="67"/>
      <c r="J376" s="68"/>
      <c r="K376" s="67"/>
      <c r="L376" s="67"/>
      <c r="M376" s="69"/>
      <c r="N376" s="70"/>
      <c r="O376" s="71"/>
      <c r="P376" s="71"/>
      <c r="Q376" s="72"/>
      <c r="R376" s="73"/>
      <c r="S376" s="67"/>
      <c r="T376" s="73"/>
      <c r="U376" s="65"/>
    </row>
    <row r="377" spans="2:21" x14ac:dyDescent="0.25">
      <c r="B377" s="65"/>
      <c r="C377" s="66"/>
      <c r="D377" s="66"/>
      <c r="E377" s="66"/>
      <c r="F377" s="65"/>
      <c r="G377" s="65"/>
      <c r="H377" s="67"/>
      <c r="I377" s="67"/>
      <c r="J377" s="68"/>
      <c r="K377" s="67"/>
      <c r="L377" s="67"/>
      <c r="M377" s="69"/>
      <c r="N377" s="70"/>
      <c r="O377" s="71"/>
      <c r="P377" s="71"/>
      <c r="Q377" s="72"/>
      <c r="R377" s="73"/>
      <c r="S377" s="67"/>
      <c r="T377" s="73"/>
      <c r="U377" s="65"/>
    </row>
    <row r="378" spans="2:21" x14ac:dyDescent="0.25">
      <c r="B378" s="65"/>
      <c r="C378" s="66"/>
      <c r="D378" s="66"/>
      <c r="E378" s="66"/>
      <c r="F378" s="65"/>
      <c r="G378" s="65"/>
      <c r="H378" s="67"/>
      <c r="I378" s="67"/>
      <c r="J378" s="68"/>
      <c r="K378" s="67"/>
      <c r="L378" s="67"/>
      <c r="M378" s="69"/>
      <c r="N378" s="70"/>
      <c r="O378" s="71"/>
      <c r="P378" s="71"/>
      <c r="Q378" s="72"/>
      <c r="R378" s="73"/>
      <c r="S378" s="67"/>
      <c r="T378" s="73"/>
      <c r="U378" s="65"/>
    </row>
    <row r="379" spans="2:21" x14ac:dyDescent="0.25">
      <c r="B379" s="65"/>
      <c r="C379" s="66"/>
      <c r="D379" s="66"/>
      <c r="E379" s="66"/>
      <c r="F379" s="65"/>
      <c r="G379" s="65"/>
      <c r="H379" s="67"/>
      <c r="I379" s="67"/>
      <c r="J379" s="68"/>
      <c r="K379" s="67"/>
      <c r="L379" s="67"/>
      <c r="M379" s="69"/>
      <c r="N379" s="70"/>
      <c r="O379" s="71"/>
      <c r="P379" s="71"/>
      <c r="Q379" s="72"/>
      <c r="R379" s="73"/>
      <c r="S379" s="67"/>
      <c r="T379" s="73"/>
      <c r="U379" s="65"/>
    </row>
    <row r="380" spans="2:21" x14ac:dyDescent="0.25">
      <c r="B380" s="65"/>
      <c r="C380" s="66"/>
      <c r="D380" s="66"/>
      <c r="E380" s="66"/>
      <c r="F380" s="65"/>
      <c r="G380" s="65"/>
      <c r="H380" s="67"/>
      <c r="I380" s="67"/>
      <c r="J380" s="68"/>
      <c r="K380" s="67"/>
      <c r="L380" s="67"/>
      <c r="M380" s="69"/>
      <c r="N380" s="70"/>
      <c r="O380" s="71"/>
      <c r="P380" s="71"/>
      <c r="Q380" s="72"/>
      <c r="R380" s="73"/>
      <c r="S380" s="67"/>
      <c r="T380" s="73"/>
      <c r="U380" s="65"/>
    </row>
    <row r="381" spans="2:21" x14ac:dyDescent="0.25">
      <c r="B381" s="65"/>
      <c r="C381" s="66"/>
      <c r="D381" s="66"/>
      <c r="E381" s="66"/>
      <c r="F381" s="65"/>
      <c r="G381" s="65"/>
      <c r="H381" s="67"/>
      <c r="I381" s="67"/>
      <c r="J381" s="68"/>
      <c r="K381" s="67"/>
      <c r="L381" s="67"/>
      <c r="M381" s="69"/>
      <c r="N381" s="70"/>
      <c r="O381" s="71"/>
      <c r="P381" s="71"/>
      <c r="Q381" s="72"/>
      <c r="R381" s="73"/>
      <c r="S381" s="67"/>
      <c r="T381" s="73"/>
      <c r="U381" s="65"/>
    </row>
    <row r="382" spans="2:21" x14ac:dyDescent="0.25">
      <c r="B382" s="65"/>
      <c r="C382" s="66"/>
      <c r="D382" s="66"/>
      <c r="E382" s="66"/>
      <c r="F382" s="65"/>
      <c r="G382" s="65"/>
      <c r="H382" s="67"/>
      <c r="I382" s="67"/>
      <c r="J382" s="68"/>
      <c r="K382" s="67"/>
      <c r="L382" s="67"/>
      <c r="M382" s="69"/>
      <c r="N382" s="70"/>
      <c r="O382" s="71"/>
      <c r="P382" s="71"/>
      <c r="Q382" s="72"/>
      <c r="R382" s="73"/>
      <c r="S382" s="67"/>
      <c r="T382" s="73"/>
      <c r="U382" s="65"/>
    </row>
    <row r="383" spans="2:21" x14ac:dyDescent="0.25">
      <c r="B383" s="65"/>
      <c r="C383" s="66"/>
      <c r="D383" s="66"/>
      <c r="E383" s="66"/>
      <c r="F383" s="65"/>
      <c r="G383" s="65"/>
      <c r="H383" s="67"/>
      <c r="I383" s="67"/>
      <c r="J383" s="68"/>
      <c r="K383" s="67"/>
      <c r="L383" s="67"/>
      <c r="M383" s="69"/>
      <c r="N383" s="70"/>
      <c r="O383" s="71"/>
      <c r="P383" s="71"/>
      <c r="Q383" s="72"/>
      <c r="R383" s="73"/>
      <c r="S383" s="67"/>
      <c r="T383" s="73"/>
      <c r="U383" s="65"/>
    </row>
    <row r="384" spans="2:21" x14ac:dyDescent="0.25">
      <c r="B384" s="65"/>
      <c r="C384" s="66"/>
      <c r="D384" s="66"/>
      <c r="E384" s="66"/>
      <c r="F384" s="65"/>
      <c r="G384" s="65"/>
      <c r="H384" s="67"/>
      <c r="I384" s="67"/>
      <c r="J384" s="68"/>
      <c r="K384" s="67"/>
      <c r="L384" s="67"/>
      <c r="M384" s="69"/>
      <c r="N384" s="70"/>
      <c r="O384" s="71"/>
      <c r="P384" s="71"/>
      <c r="Q384" s="72"/>
      <c r="R384" s="73"/>
      <c r="S384" s="67"/>
      <c r="T384" s="73"/>
      <c r="U384" s="65"/>
    </row>
    <row r="385" spans="2:21" x14ac:dyDescent="0.25">
      <c r="B385" s="65"/>
      <c r="C385" s="66"/>
      <c r="D385" s="66"/>
      <c r="E385" s="66"/>
      <c r="F385" s="65"/>
      <c r="G385" s="65"/>
      <c r="H385" s="67"/>
      <c r="I385" s="67"/>
      <c r="J385" s="68"/>
      <c r="K385" s="67"/>
      <c r="L385" s="67"/>
      <c r="M385" s="69"/>
      <c r="N385" s="70"/>
      <c r="O385" s="71"/>
      <c r="P385" s="71"/>
      <c r="Q385" s="72"/>
      <c r="R385" s="73"/>
      <c r="S385" s="67"/>
      <c r="T385" s="73"/>
      <c r="U385" s="65"/>
    </row>
    <row r="386" spans="2:21" x14ac:dyDescent="0.25">
      <c r="B386" s="65"/>
      <c r="C386" s="66"/>
      <c r="D386" s="66"/>
      <c r="E386" s="66"/>
      <c r="F386" s="65"/>
      <c r="G386" s="65"/>
      <c r="H386" s="67"/>
      <c r="I386" s="67"/>
      <c r="J386" s="68"/>
      <c r="K386" s="67"/>
      <c r="L386" s="67"/>
      <c r="M386" s="69"/>
      <c r="N386" s="70"/>
      <c r="O386" s="71"/>
      <c r="P386" s="71"/>
      <c r="Q386" s="72"/>
      <c r="R386" s="73"/>
      <c r="S386" s="67"/>
      <c r="T386" s="73"/>
      <c r="U386" s="65"/>
    </row>
    <row r="387" spans="2:21" x14ac:dyDescent="0.25">
      <c r="B387" s="65"/>
      <c r="C387" s="66"/>
      <c r="D387" s="66"/>
      <c r="E387" s="66"/>
      <c r="F387" s="65"/>
      <c r="G387" s="65"/>
      <c r="H387" s="67"/>
      <c r="I387" s="67"/>
      <c r="J387" s="68"/>
      <c r="K387" s="67"/>
      <c r="L387" s="67"/>
      <c r="M387" s="69"/>
      <c r="N387" s="70"/>
      <c r="O387" s="71"/>
      <c r="P387" s="71"/>
      <c r="Q387" s="72"/>
      <c r="R387" s="73"/>
      <c r="S387" s="67"/>
      <c r="T387" s="73"/>
      <c r="U387" s="65"/>
    </row>
    <row r="388" spans="2:21" x14ac:dyDescent="0.25">
      <c r="B388" s="65"/>
      <c r="C388" s="66"/>
      <c r="D388" s="66"/>
      <c r="E388" s="66"/>
      <c r="F388" s="65"/>
      <c r="G388" s="65"/>
      <c r="H388" s="67"/>
      <c r="I388" s="67"/>
      <c r="J388" s="68"/>
      <c r="K388" s="67"/>
      <c r="L388" s="67"/>
      <c r="M388" s="69"/>
      <c r="N388" s="70"/>
      <c r="O388" s="71"/>
      <c r="P388" s="71"/>
      <c r="Q388" s="72"/>
      <c r="R388" s="73"/>
      <c r="S388" s="67"/>
      <c r="T388" s="73"/>
      <c r="U388" s="65"/>
    </row>
    <row r="389" spans="2:21" x14ac:dyDescent="0.25">
      <c r="B389" s="65"/>
      <c r="C389" s="66"/>
      <c r="D389" s="66"/>
      <c r="E389" s="66"/>
      <c r="F389" s="65"/>
      <c r="G389" s="65"/>
      <c r="H389" s="67"/>
      <c r="I389" s="67"/>
      <c r="J389" s="68"/>
      <c r="K389" s="67"/>
      <c r="L389" s="67"/>
      <c r="M389" s="69"/>
      <c r="N389" s="70"/>
      <c r="O389" s="71"/>
      <c r="P389" s="71"/>
      <c r="Q389" s="72"/>
      <c r="R389" s="73"/>
      <c r="S389" s="67"/>
      <c r="T389" s="73"/>
      <c r="U389" s="65"/>
    </row>
    <row r="390" spans="2:21" x14ac:dyDescent="0.25">
      <c r="B390" s="65"/>
      <c r="C390" s="66"/>
      <c r="D390" s="66"/>
      <c r="E390" s="66"/>
      <c r="F390" s="65"/>
      <c r="G390" s="65"/>
      <c r="H390" s="67"/>
      <c r="I390" s="67"/>
      <c r="J390" s="68"/>
      <c r="K390" s="67"/>
      <c r="L390" s="67"/>
      <c r="M390" s="69"/>
      <c r="N390" s="70"/>
      <c r="O390" s="71"/>
      <c r="P390" s="71"/>
      <c r="Q390" s="72"/>
      <c r="R390" s="73"/>
      <c r="S390" s="67"/>
      <c r="T390" s="73"/>
      <c r="U390" s="65"/>
    </row>
    <row r="391" spans="2:21" x14ac:dyDescent="0.25">
      <c r="B391" s="65"/>
      <c r="C391" s="66"/>
      <c r="D391" s="66"/>
      <c r="E391" s="66"/>
      <c r="F391" s="65"/>
      <c r="G391" s="65"/>
      <c r="H391" s="67"/>
      <c r="I391" s="67"/>
      <c r="J391" s="68"/>
      <c r="K391" s="67"/>
      <c r="L391" s="67"/>
      <c r="M391" s="69"/>
      <c r="N391" s="70"/>
      <c r="O391" s="71"/>
      <c r="P391" s="71"/>
      <c r="Q391" s="72"/>
      <c r="R391" s="73"/>
      <c r="S391" s="67"/>
      <c r="T391" s="73"/>
      <c r="U391" s="65"/>
    </row>
    <row r="392" spans="2:21" x14ac:dyDescent="0.25">
      <c r="B392" s="65"/>
      <c r="C392" s="66"/>
      <c r="D392" s="66"/>
      <c r="E392" s="66"/>
      <c r="F392" s="65"/>
      <c r="G392" s="65"/>
      <c r="H392" s="67"/>
      <c r="I392" s="67"/>
      <c r="J392" s="68"/>
      <c r="K392" s="67"/>
      <c r="L392" s="67"/>
      <c r="M392" s="69"/>
      <c r="N392" s="70"/>
      <c r="O392" s="71"/>
      <c r="P392" s="71"/>
      <c r="Q392" s="72"/>
      <c r="R392" s="73"/>
      <c r="S392" s="67"/>
      <c r="T392" s="73"/>
      <c r="U392" s="65"/>
    </row>
    <row r="393" spans="2:21" x14ac:dyDescent="0.25">
      <c r="B393" s="65"/>
      <c r="C393" s="66"/>
      <c r="D393" s="66"/>
      <c r="E393" s="66"/>
      <c r="F393" s="65"/>
      <c r="G393" s="65"/>
      <c r="H393" s="67"/>
      <c r="I393" s="67"/>
      <c r="J393" s="68"/>
      <c r="K393" s="67"/>
      <c r="L393" s="67"/>
      <c r="M393" s="69"/>
      <c r="N393" s="70"/>
      <c r="O393" s="71"/>
      <c r="P393" s="71"/>
      <c r="Q393" s="72"/>
      <c r="R393" s="73"/>
      <c r="S393" s="67"/>
      <c r="T393" s="73"/>
      <c r="U393" s="65"/>
    </row>
    <row r="394" spans="2:21" x14ac:dyDescent="0.25">
      <c r="B394" s="65"/>
      <c r="C394" s="66"/>
      <c r="D394" s="66"/>
      <c r="E394" s="66"/>
      <c r="F394" s="65"/>
      <c r="G394" s="65"/>
      <c r="H394" s="67"/>
      <c r="I394" s="67"/>
      <c r="J394" s="68"/>
      <c r="K394" s="67"/>
      <c r="L394" s="67"/>
      <c r="M394" s="69"/>
      <c r="N394" s="70"/>
      <c r="O394" s="71"/>
      <c r="P394" s="71"/>
      <c r="Q394" s="72"/>
      <c r="R394" s="73"/>
      <c r="S394" s="67"/>
      <c r="T394" s="73"/>
      <c r="U394" s="65"/>
    </row>
    <row r="395" spans="2:21" x14ac:dyDescent="0.25">
      <c r="B395" s="65"/>
      <c r="C395" s="66"/>
      <c r="D395" s="66"/>
      <c r="E395" s="66"/>
      <c r="F395" s="65"/>
      <c r="G395" s="65"/>
      <c r="H395" s="67"/>
      <c r="I395" s="67"/>
      <c r="J395" s="68"/>
      <c r="K395" s="67"/>
      <c r="L395" s="67"/>
      <c r="M395" s="69"/>
      <c r="N395" s="70"/>
      <c r="O395" s="71"/>
      <c r="P395" s="71"/>
      <c r="Q395" s="72"/>
      <c r="R395" s="73"/>
      <c r="S395" s="67"/>
      <c r="T395" s="73"/>
      <c r="U395" s="65"/>
    </row>
    <row r="396" spans="2:21" x14ac:dyDescent="0.25">
      <c r="B396" s="65"/>
      <c r="C396" s="66"/>
      <c r="D396" s="66"/>
      <c r="E396" s="66"/>
      <c r="F396" s="65"/>
      <c r="G396" s="65"/>
      <c r="H396" s="67"/>
      <c r="I396" s="67"/>
      <c r="J396" s="68"/>
      <c r="K396" s="67"/>
      <c r="L396" s="67"/>
      <c r="M396" s="69"/>
      <c r="N396" s="70"/>
      <c r="O396" s="71"/>
      <c r="P396" s="71"/>
      <c r="Q396" s="72"/>
      <c r="R396" s="73"/>
      <c r="S396" s="67"/>
      <c r="T396" s="73"/>
      <c r="U396" s="65"/>
    </row>
    <row r="397" spans="2:21" x14ac:dyDescent="0.25">
      <c r="B397" s="65"/>
      <c r="C397" s="66"/>
      <c r="D397" s="66"/>
      <c r="E397" s="66"/>
      <c r="F397" s="65"/>
      <c r="G397" s="65"/>
      <c r="H397" s="67"/>
      <c r="I397" s="67"/>
      <c r="J397" s="68"/>
      <c r="K397" s="67"/>
      <c r="L397" s="67"/>
      <c r="M397" s="69"/>
      <c r="N397" s="70"/>
      <c r="O397" s="71"/>
      <c r="P397" s="71"/>
      <c r="Q397" s="72"/>
      <c r="R397" s="73"/>
      <c r="S397" s="67"/>
      <c r="T397" s="73"/>
      <c r="U397" s="65"/>
    </row>
    <row r="398" spans="2:21" x14ac:dyDescent="0.25">
      <c r="B398" s="65"/>
      <c r="C398" s="66"/>
      <c r="D398" s="66"/>
      <c r="E398" s="66"/>
      <c r="F398" s="65"/>
      <c r="G398" s="65"/>
      <c r="H398" s="67"/>
      <c r="I398" s="67"/>
      <c r="J398" s="68"/>
      <c r="K398" s="67"/>
      <c r="L398" s="67"/>
      <c r="M398" s="69"/>
      <c r="N398" s="70"/>
      <c r="O398" s="71"/>
      <c r="P398" s="71"/>
      <c r="Q398" s="72"/>
      <c r="R398" s="73"/>
      <c r="S398" s="67"/>
      <c r="T398" s="73"/>
      <c r="U398" s="65"/>
    </row>
    <row r="399" spans="2:21" x14ac:dyDescent="0.25">
      <c r="B399" s="65"/>
      <c r="C399" s="66"/>
      <c r="D399" s="66"/>
      <c r="E399" s="66"/>
      <c r="F399" s="65"/>
      <c r="G399" s="65"/>
      <c r="H399" s="67"/>
      <c r="I399" s="67"/>
      <c r="J399" s="68"/>
      <c r="K399" s="67"/>
      <c r="L399" s="67"/>
      <c r="M399" s="69"/>
      <c r="N399" s="70"/>
      <c r="O399" s="71"/>
      <c r="P399" s="71"/>
      <c r="Q399" s="72"/>
      <c r="R399" s="73"/>
      <c r="S399" s="67"/>
      <c r="T399" s="73"/>
      <c r="U399" s="65"/>
    </row>
    <row r="400" spans="2:21" x14ac:dyDescent="0.25">
      <c r="B400" s="65"/>
      <c r="C400" s="66"/>
      <c r="D400" s="66"/>
      <c r="E400" s="66"/>
      <c r="F400" s="65"/>
      <c r="G400" s="65"/>
      <c r="H400" s="67"/>
      <c r="I400" s="67"/>
      <c r="J400" s="68"/>
      <c r="K400" s="67"/>
      <c r="L400" s="67"/>
      <c r="M400" s="69"/>
      <c r="N400" s="70"/>
      <c r="O400" s="71"/>
      <c r="P400" s="71"/>
      <c r="Q400" s="72"/>
      <c r="R400" s="73"/>
      <c r="S400" s="67"/>
      <c r="T400" s="73"/>
      <c r="U400" s="65"/>
    </row>
    <row r="401" spans="2:21" x14ac:dyDescent="0.25">
      <c r="B401" s="65"/>
      <c r="C401" s="66"/>
      <c r="D401" s="66"/>
      <c r="E401" s="66"/>
      <c r="F401" s="65"/>
      <c r="G401" s="65"/>
      <c r="H401" s="67"/>
      <c r="I401" s="67"/>
      <c r="J401" s="68"/>
      <c r="K401" s="67"/>
      <c r="L401" s="67"/>
      <c r="M401" s="69"/>
      <c r="N401" s="70"/>
      <c r="O401" s="71"/>
      <c r="P401" s="71"/>
      <c r="Q401" s="72"/>
      <c r="R401" s="73"/>
      <c r="S401" s="67"/>
      <c r="T401" s="73"/>
      <c r="U401" s="65"/>
    </row>
    <row r="402" spans="2:21" x14ac:dyDescent="0.25">
      <c r="B402" s="65"/>
      <c r="C402" s="66"/>
      <c r="D402" s="66"/>
      <c r="E402" s="66"/>
      <c r="F402" s="65"/>
      <c r="G402" s="65"/>
      <c r="H402" s="67"/>
      <c r="I402" s="67"/>
      <c r="J402" s="68"/>
      <c r="K402" s="67"/>
      <c r="L402" s="67"/>
      <c r="M402" s="69"/>
      <c r="N402" s="70"/>
      <c r="O402" s="71"/>
      <c r="P402" s="71"/>
      <c r="Q402" s="72"/>
      <c r="R402" s="73"/>
      <c r="S402" s="67"/>
      <c r="T402" s="73"/>
      <c r="U402" s="65"/>
    </row>
    <row r="403" spans="2:21" x14ac:dyDescent="0.25">
      <c r="B403" s="65"/>
      <c r="C403" s="66"/>
      <c r="D403" s="66"/>
      <c r="E403" s="66"/>
      <c r="F403" s="65"/>
      <c r="G403" s="65"/>
      <c r="H403" s="67"/>
      <c r="I403" s="67"/>
      <c r="J403" s="68"/>
      <c r="K403" s="67"/>
      <c r="L403" s="67"/>
      <c r="M403" s="69"/>
      <c r="N403" s="70"/>
      <c r="O403" s="71"/>
      <c r="P403" s="71"/>
      <c r="Q403" s="72"/>
      <c r="R403" s="73"/>
      <c r="S403" s="67"/>
      <c r="T403" s="73"/>
      <c r="U403" s="65"/>
    </row>
    <row r="404" spans="2:21" x14ac:dyDescent="0.25">
      <c r="B404" s="65"/>
      <c r="C404" s="66"/>
      <c r="D404" s="66"/>
      <c r="E404" s="66"/>
      <c r="F404" s="65"/>
      <c r="G404" s="65"/>
      <c r="H404" s="67"/>
      <c r="I404" s="67"/>
      <c r="J404" s="68"/>
      <c r="K404" s="67"/>
      <c r="L404" s="67"/>
      <c r="M404" s="69"/>
      <c r="N404" s="70"/>
      <c r="O404" s="71"/>
      <c r="P404" s="71"/>
      <c r="Q404" s="72"/>
      <c r="R404" s="73"/>
      <c r="S404" s="67"/>
      <c r="T404" s="73"/>
      <c r="U404" s="65"/>
    </row>
    <row r="405" spans="2:21" x14ac:dyDescent="0.25">
      <c r="B405" s="65"/>
      <c r="C405" s="66"/>
      <c r="D405" s="66"/>
      <c r="E405" s="66"/>
      <c r="F405" s="65"/>
      <c r="G405" s="65"/>
      <c r="H405" s="67"/>
      <c r="I405" s="67"/>
      <c r="J405" s="68"/>
      <c r="K405" s="67"/>
      <c r="L405" s="67"/>
      <c r="M405" s="69"/>
      <c r="N405" s="70"/>
      <c r="O405" s="71"/>
      <c r="P405" s="71"/>
      <c r="Q405" s="72"/>
      <c r="R405" s="73"/>
      <c r="S405" s="67"/>
      <c r="T405" s="73"/>
      <c r="U405" s="65"/>
    </row>
    <row r="406" spans="2:21" x14ac:dyDescent="0.25">
      <c r="B406" s="65"/>
      <c r="C406" s="66"/>
      <c r="D406" s="66"/>
      <c r="E406" s="66"/>
      <c r="F406" s="65"/>
      <c r="G406" s="65"/>
      <c r="H406" s="67"/>
      <c r="I406" s="67"/>
      <c r="J406" s="68"/>
      <c r="K406" s="67"/>
      <c r="L406" s="67"/>
      <c r="M406" s="69"/>
      <c r="N406" s="70"/>
      <c r="O406" s="71"/>
      <c r="P406" s="71"/>
      <c r="Q406" s="72"/>
      <c r="R406" s="73"/>
      <c r="S406" s="67"/>
      <c r="T406" s="73"/>
      <c r="U406" s="65"/>
    </row>
    <row r="407" spans="2:21" x14ac:dyDescent="0.25">
      <c r="B407" s="65"/>
      <c r="C407" s="66"/>
      <c r="D407" s="66"/>
      <c r="E407" s="66"/>
      <c r="F407" s="65"/>
      <c r="G407" s="65"/>
      <c r="H407" s="67"/>
      <c r="I407" s="67"/>
      <c r="J407" s="68"/>
      <c r="K407" s="67"/>
      <c r="L407" s="67"/>
      <c r="M407" s="69"/>
      <c r="N407" s="70"/>
      <c r="O407" s="71"/>
      <c r="P407" s="71"/>
      <c r="Q407" s="72"/>
      <c r="R407" s="73"/>
      <c r="S407" s="67"/>
      <c r="T407" s="73"/>
      <c r="U407" s="65"/>
    </row>
    <row r="408" spans="2:21" x14ac:dyDescent="0.25">
      <c r="B408" s="65"/>
      <c r="C408" s="66"/>
      <c r="D408" s="66"/>
      <c r="E408" s="66"/>
      <c r="F408" s="65"/>
      <c r="G408" s="65"/>
      <c r="H408" s="67"/>
      <c r="I408" s="67"/>
      <c r="J408" s="68"/>
      <c r="K408" s="67"/>
      <c r="L408" s="67"/>
      <c r="M408" s="69"/>
      <c r="N408" s="70"/>
      <c r="O408" s="71"/>
      <c r="P408" s="71"/>
      <c r="Q408" s="72"/>
      <c r="R408" s="73"/>
      <c r="S408" s="67"/>
      <c r="T408" s="73"/>
      <c r="U408" s="65"/>
    </row>
    <row r="409" spans="2:21" x14ac:dyDescent="0.25">
      <c r="B409" s="65"/>
      <c r="C409" s="66"/>
      <c r="D409" s="66"/>
      <c r="E409" s="66"/>
      <c r="F409" s="65"/>
      <c r="G409" s="65"/>
      <c r="H409" s="67"/>
      <c r="I409" s="67"/>
      <c r="J409" s="68"/>
      <c r="K409" s="67"/>
      <c r="L409" s="67"/>
      <c r="M409" s="69"/>
      <c r="N409" s="70"/>
      <c r="O409" s="71"/>
      <c r="P409" s="71"/>
      <c r="Q409" s="72"/>
      <c r="R409" s="73"/>
      <c r="S409" s="67"/>
      <c r="T409" s="73"/>
      <c r="U409" s="65"/>
    </row>
    <row r="410" spans="2:21" x14ac:dyDescent="0.25">
      <c r="B410" s="65"/>
      <c r="C410" s="66"/>
      <c r="D410" s="66"/>
      <c r="E410" s="66"/>
      <c r="F410" s="65"/>
      <c r="G410" s="65"/>
      <c r="H410" s="67"/>
      <c r="I410" s="67"/>
      <c r="J410" s="68"/>
      <c r="K410" s="67"/>
      <c r="L410" s="67"/>
      <c r="M410" s="69"/>
      <c r="N410" s="70"/>
      <c r="O410" s="71"/>
      <c r="P410" s="71"/>
      <c r="Q410" s="72"/>
      <c r="R410" s="73"/>
      <c r="S410" s="67"/>
      <c r="T410" s="73"/>
      <c r="U410" s="65"/>
    </row>
    <row r="411" spans="2:21" x14ac:dyDescent="0.25">
      <c r="B411" s="65"/>
      <c r="C411" s="66"/>
      <c r="D411" s="66"/>
      <c r="E411" s="66"/>
      <c r="F411" s="65"/>
      <c r="G411" s="65"/>
      <c r="H411" s="67"/>
      <c r="I411" s="67"/>
      <c r="J411" s="68"/>
      <c r="K411" s="67"/>
      <c r="L411" s="67"/>
      <c r="M411" s="69"/>
      <c r="N411" s="70"/>
      <c r="O411" s="71"/>
      <c r="P411" s="71"/>
      <c r="Q411" s="72"/>
      <c r="R411" s="73"/>
      <c r="S411" s="67"/>
      <c r="T411" s="73"/>
      <c r="U411" s="65"/>
    </row>
    <row r="412" spans="2:21" x14ac:dyDescent="0.25">
      <c r="B412" s="65"/>
      <c r="C412" s="66"/>
      <c r="D412" s="66"/>
      <c r="E412" s="66"/>
      <c r="F412" s="65"/>
      <c r="G412" s="65"/>
      <c r="H412" s="67"/>
      <c r="I412" s="67"/>
      <c r="J412" s="68"/>
      <c r="K412" s="67"/>
      <c r="L412" s="67"/>
      <c r="M412" s="69"/>
      <c r="N412" s="70"/>
      <c r="O412" s="71"/>
      <c r="P412" s="71"/>
      <c r="Q412" s="72"/>
      <c r="R412" s="73"/>
      <c r="S412" s="67"/>
      <c r="T412" s="73"/>
      <c r="U412" s="65"/>
    </row>
    <row r="413" spans="2:21" x14ac:dyDescent="0.25">
      <c r="B413" s="65"/>
      <c r="C413" s="66"/>
      <c r="D413" s="66"/>
      <c r="E413" s="66"/>
      <c r="F413" s="65"/>
      <c r="G413" s="65"/>
      <c r="H413" s="67"/>
      <c r="I413" s="67"/>
      <c r="J413" s="68"/>
      <c r="K413" s="67"/>
      <c r="L413" s="67"/>
      <c r="M413" s="69"/>
      <c r="N413" s="70"/>
      <c r="O413" s="71"/>
      <c r="P413" s="71"/>
      <c r="Q413" s="72"/>
      <c r="R413" s="73"/>
      <c r="S413" s="67"/>
      <c r="T413" s="73"/>
      <c r="U413" s="65"/>
    </row>
    <row r="414" spans="2:21" x14ac:dyDescent="0.25">
      <c r="B414" s="65"/>
      <c r="C414" s="66"/>
      <c r="D414" s="66"/>
      <c r="E414" s="66"/>
      <c r="F414" s="65"/>
      <c r="G414" s="65"/>
      <c r="H414" s="67"/>
      <c r="I414" s="67"/>
      <c r="J414" s="68"/>
      <c r="K414" s="67"/>
      <c r="L414" s="67"/>
      <c r="M414" s="69"/>
      <c r="N414" s="70"/>
      <c r="O414" s="71"/>
      <c r="P414" s="71"/>
      <c r="Q414" s="72"/>
      <c r="R414" s="73"/>
      <c r="S414" s="67"/>
      <c r="T414" s="73"/>
      <c r="U414" s="65"/>
    </row>
    <row r="415" spans="2:21" x14ac:dyDescent="0.25">
      <c r="B415" s="65"/>
      <c r="C415" s="66"/>
      <c r="D415" s="66"/>
      <c r="E415" s="66"/>
      <c r="F415" s="65"/>
      <c r="G415" s="65"/>
      <c r="H415" s="67"/>
      <c r="I415" s="67"/>
      <c r="J415" s="68"/>
      <c r="K415" s="67"/>
      <c r="L415" s="67"/>
      <c r="M415" s="69"/>
      <c r="N415" s="70"/>
      <c r="O415" s="71"/>
      <c r="P415" s="71"/>
      <c r="Q415" s="72"/>
      <c r="R415" s="73"/>
      <c r="S415" s="67"/>
      <c r="T415" s="73"/>
      <c r="U415" s="65"/>
    </row>
    <row r="416" spans="2:21" x14ac:dyDescent="0.25">
      <c r="B416" s="65"/>
      <c r="C416" s="66"/>
      <c r="D416" s="66"/>
      <c r="E416" s="66"/>
      <c r="F416" s="65"/>
      <c r="G416" s="65"/>
      <c r="H416" s="67"/>
      <c r="I416" s="67"/>
      <c r="J416" s="68"/>
      <c r="K416" s="67"/>
      <c r="L416" s="67"/>
      <c r="M416" s="69"/>
      <c r="N416" s="70"/>
      <c r="O416" s="71"/>
      <c r="P416" s="71"/>
      <c r="Q416" s="72"/>
      <c r="R416" s="73"/>
      <c r="S416" s="67"/>
      <c r="T416" s="73"/>
      <c r="U416" s="65"/>
    </row>
    <row r="417" spans="2:21" x14ac:dyDescent="0.25">
      <c r="B417" s="65"/>
      <c r="C417" s="66"/>
      <c r="D417" s="66"/>
      <c r="E417" s="66"/>
      <c r="F417" s="65"/>
      <c r="G417" s="65"/>
      <c r="H417" s="67"/>
      <c r="I417" s="67"/>
      <c r="J417" s="68"/>
      <c r="K417" s="67"/>
      <c r="L417" s="67"/>
      <c r="M417" s="69"/>
      <c r="N417" s="70"/>
      <c r="O417" s="71"/>
      <c r="P417" s="71"/>
      <c r="Q417" s="72"/>
      <c r="R417" s="73"/>
      <c r="S417" s="67"/>
      <c r="T417" s="73"/>
      <c r="U417" s="65"/>
    </row>
    <row r="418" spans="2:21" x14ac:dyDescent="0.25">
      <c r="B418" s="65"/>
      <c r="C418" s="66"/>
      <c r="D418" s="66"/>
      <c r="E418" s="66"/>
      <c r="F418" s="65"/>
      <c r="G418" s="65"/>
      <c r="H418" s="67"/>
      <c r="I418" s="67"/>
      <c r="J418" s="68"/>
      <c r="K418" s="67"/>
      <c r="L418" s="67"/>
      <c r="M418" s="69"/>
      <c r="N418" s="70"/>
      <c r="O418" s="71"/>
      <c r="P418" s="71"/>
      <c r="Q418" s="72"/>
      <c r="R418" s="73"/>
      <c r="S418" s="67"/>
      <c r="T418" s="73"/>
      <c r="U418" s="65"/>
    </row>
    <row r="419" spans="2:21" x14ac:dyDescent="0.25">
      <c r="B419" s="65"/>
      <c r="C419" s="66"/>
      <c r="D419" s="66"/>
      <c r="E419" s="66"/>
      <c r="F419" s="65"/>
      <c r="G419" s="65"/>
      <c r="H419" s="67"/>
      <c r="I419" s="67"/>
      <c r="J419" s="68"/>
      <c r="K419" s="67"/>
      <c r="L419" s="67"/>
      <c r="M419" s="69"/>
      <c r="N419" s="70"/>
      <c r="O419" s="71"/>
      <c r="P419" s="71"/>
      <c r="Q419" s="72"/>
      <c r="R419" s="73"/>
      <c r="S419" s="67"/>
      <c r="T419" s="73"/>
      <c r="U419" s="65"/>
    </row>
    <row r="420" spans="2:21" x14ac:dyDescent="0.25">
      <c r="B420" s="65"/>
      <c r="C420" s="66"/>
      <c r="D420" s="66"/>
      <c r="E420" s="66"/>
      <c r="F420" s="65"/>
      <c r="G420" s="65"/>
      <c r="H420" s="67"/>
      <c r="I420" s="67"/>
      <c r="J420" s="68"/>
      <c r="K420" s="67"/>
      <c r="L420" s="67"/>
      <c r="M420" s="69"/>
      <c r="N420" s="70"/>
      <c r="O420" s="71"/>
      <c r="P420" s="71"/>
      <c r="Q420" s="72"/>
      <c r="R420" s="73"/>
      <c r="S420" s="67"/>
      <c r="T420" s="73"/>
      <c r="U420" s="65"/>
    </row>
    <row r="421" spans="2:21" x14ac:dyDescent="0.25">
      <c r="B421" s="65"/>
      <c r="C421" s="66"/>
      <c r="D421" s="66"/>
      <c r="E421" s="66"/>
      <c r="F421" s="65"/>
      <c r="G421" s="65"/>
      <c r="H421" s="67"/>
      <c r="I421" s="67"/>
      <c r="J421" s="68"/>
      <c r="K421" s="67"/>
      <c r="L421" s="67"/>
      <c r="M421" s="69"/>
      <c r="N421" s="70"/>
      <c r="O421" s="71"/>
      <c r="P421" s="71"/>
      <c r="Q421" s="72"/>
      <c r="R421" s="73"/>
      <c r="S421" s="67"/>
      <c r="T421" s="73"/>
      <c r="U421" s="65"/>
    </row>
    <row r="422" spans="2:21" x14ac:dyDescent="0.25">
      <c r="B422" s="65"/>
      <c r="C422" s="66"/>
      <c r="D422" s="66"/>
      <c r="E422" s="66"/>
      <c r="F422" s="65"/>
      <c r="G422" s="65"/>
      <c r="H422" s="67"/>
      <c r="I422" s="67"/>
      <c r="J422" s="68"/>
      <c r="K422" s="67"/>
      <c r="L422" s="67"/>
      <c r="M422" s="69"/>
      <c r="N422" s="70"/>
      <c r="O422" s="71"/>
      <c r="P422" s="71"/>
      <c r="Q422" s="72"/>
      <c r="R422" s="73"/>
      <c r="S422" s="67"/>
      <c r="T422" s="73"/>
      <c r="U422" s="65"/>
    </row>
    <row r="423" spans="2:21" x14ac:dyDescent="0.25">
      <c r="B423" s="65"/>
      <c r="C423" s="66"/>
      <c r="D423" s="66"/>
      <c r="E423" s="66"/>
      <c r="F423" s="65"/>
      <c r="G423" s="65"/>
      <c r="H423" s="67"/>
      <c r="I423" s="67"/>
      <c r="J423" s="68"/>
      <c r="K423" s="67"/>
      <c r="L423" s="67"/>
      <c r="M423" s="69"/>
      <c r="N423" s="70"/>
      <c r="O423" s="71"/>
      <c r="P423" s="71"/>
      <c r="Q423" s="72"/>
      <c r="R423" s="73"/>
      <c r="S423" s="67"/>
      <c r="T423" s="73"/>
      <c r="U423" s="65"/>
    </row>
    <row r="424" spans="2:21" x14ac:dyDescent="0.25">
      <c r="B424" s="65"/>
      <c r="C424" s="66"/>
      <c r="D424" s="66"/>
      <c r="E424" s="66"/>
      <c r="F424" s="65"/>
      <c r="G424" s="65"/>
      <c r="H424" s="67"/>
      <c r="I424" s="67"/>
      <c r="J424" s="68"/>
      <c r="K424" s="67"/>
      <c r="L424" s="67"/>
      <c r="M424" s="69"/>
      <c r="N424" s="70"/>
      <c r="O424" s="71"/>
      <c r="P424" s="71"/>
      <c r="Q424" s="72"/>
      <c r="R424" s="73"/>
      <c r="S424" s="67"/>
      <c r="T424" s="73"/>
      <c r="U424" s="65"/>
    </row>
    <row r="425" spans="2:21" x14ac:dyDescent="0.25">
      <c r="B425" s="65"/>
      <c r="C425" s="66"/>
      <c r="D425" s="66"/>
      <c r="E425" s="66"/>
      <c r="F425" s="65"/>
      <c r="G425" s="65"/>
      <c r="H425" s="67"/>
      <c r="I425" s="67"/>
      <c r="J425" s="68"/>
      <c r="K425" s="67"/>
      <c r="L425" s="67"/>
      <c r="M425" s="69"/>
      <c r="N425" s="70"/>
      <c r="O425" s="71"/>
      <c r="P425" s="71"/>
      <c r="Q425" s="72"/>
      <c r="R425" s="73"/>
      <c r="S425" s="67"/>
      <c r="T425" s="73"/>
      <c r="U425" s="65"/>
    </row>
    <row r="426" spans="2:21" x14ac:dyDescent="0.25">
      <c r="B426" s="65"/>
      <c r="C426" s="66"/>
      <c r="D426" s="66"/>
      <c r="E426" s="66"/>
      <c r="F426" s="65"/>
      <c r="G426" s="65"/>
      <c r="H426" s="67"/>
      <c r="I426" s="67"/>
      <c r="J426" s="68"/>
      <c r="K426" s="67"/>
      <c r="L426" s="67"/>
      <c r="M426" s="69"/>
      <c r="N426" s="70"/>
      <c r="O426" s="71"/>
      <c r="P426" s="71"/>
      <c r="Q426" s="72"/>
      <c r="R426" s="73"/>
      <c r="S426" s="67"/>
      <c r="T426" s="73"/>
      <c r="U426" s="65"/>
    </row>
    <row r="427" spans="2:21" x14ac:dyDescent="0.25">
      <c r="B427" s="65"/>
      <c r="C427" s="66"/>
      <c r="D427" s="66"/>
      <c r="E427" s="66"/>
      <c r="F427" s="65"/>
      <c r="G427" s="65"/>
      <c r="H427" s="67"/>
      <c r="I427" s="67"/>
      <c r="J427" s="68"/>
      <c r="K427" s="67"/>
      <c r="L427" s="67"/>
      <c r="M427" s="69"/>
      <c r="N427" s="70"/>
      <c r="O427" s="71"/>
      <c r="P427" s="71"/>
      <c r="Q427" s="72"/>
      <c r="R427" s="73"/>
      <c r="S427" s="67"/>
      <c r="T427" s="73"/>
      <c r="U427" s="65"/>
    </row>
    <row r="428" spans="2:21" x14ac:dyDescent="0.25">
      <c r="B428" s="65"/>
      <c r="C428" s="66"/>
      <c r="D428" s="66"/>
      <c r="E428" s="66"/>
      <c r="F428" s="65"/>
      <c r="G428" s="65"/>
      <c r="H428" s="67"/>
      <c r="I428" s="67"/>
      <c r="J428" s="68"/>
      <c r="K428" s="67"/>
      <c r="L428" s="67"/>
      <c r="M428" s="69"/>
      <c r="N428" s="70"/>
      <c r="O428" s="71"/>
      <c r="P428" s="71"/>
      <c r="Q428" s="72"/>
      <c r="R428" s="73"/>
      <c r="S428" s="67"/>
      <c r="T428" s="73"/>
      <c r="U428" s="65"/>
    </row>
    <row r="429" spans="2:21" x14ac:dyDescent="0.25">
      <c r="B429" s="65"/>
      <c r="C429" s="66"/>
      <c r="D429" s="66"/>
      <c r="E429" s="66"/>
      <c r="F429" s="65"/>
      <c r="G429" s="65"/>
      <c r="H429" s="67"/>
      <c r="I429" s="67"/>
      <c r="J429" s="68"/>
      <c r="K429" s="67"/>
      <c r="L429" s="67"/>
      <c r="M429" s="69"/>
      <c r="N429" s="70"/>
      <c r="O429" s="71"/>
      <c r="P429" s="71"/>
      <c r="Q429" s="72"/>
      <c r="R429" s="73"/>
      <c r="S429" s="67"/>
      <c r="T429" s="73"/>
      <c r="U429" s="65"/>
    </row>
    <row r="430" spans="2:21" x14ac:dyDescent="0.25">
      <c r="B430" s="65"/>
      <c r="C430" s="66"/>
      <c r="D430" s="66"/>
      <c r="E430" s="66"/>
      <c r="F430" s="65"/>
      <c r="G430" s="65"/>
      <c r="H430" s="67"/>
      <c r="I430" s="67"/>
      <c r="J430" s="68"/>
      <c r="K430" s="67"/>
      <c r="L430" s="67"/>
      <c r="M430" s="69"/>
      <c r="N430" s="70"/>
      <c r="O430" s="71"/>
      <c r="P430" s="71"/>
      <c r="Q430" s="72"/>
      <c r="R430" s="73"/>
      <c r="S430" s="67"/>
      <c r="T430" s="73"/>
      <c r="U430" s="65"/>
    </row>
    <row r="431" spans="2:21" x14ac:dyDescent="0.25">
      <c r="B431" s="65"/>
      <c r="C431" s="66"/>
      <c r="D431" s="66"/>
      <c r="E431" s="66"/>
      <c r="F431" s="65"/>
      <c r="G431" s="65"/>
      <c r="H431" s="67"/>
      <c r="I431" s="67"/>
      <c r="J431" s="68"/>
      <c r="K431" s="67"/>
      <c r="L431" s="67"/>
      <c r="M431" s="69"/>
      <c r="N431" s="70"/>
      <c r="O431" s="71"/>
      <c r="P431" s="71"/>
      <c r="Q431" s="72"/>
      <c r="R431" s="73"/>
      <c r="S431" s="67"/>
      <c r="T431" s="73"/>
      <c r="U431" s="65"/>
    </row>
    <row r="432" spans="2:21" x14ac:dyDescent="0.25">
      <c r="B432" s="65"/>
      <c r="C432" s="66"/>
      <c r="D432" s="66"/>
      <c r="E432" s="66"/>
      <c r="F432" s="65"/>
      <c r="G432" s="65"/>
      <c r="H432" s="67"/>
      <c r="I432" s="67"/>
      <c r="J432" s="68"/>
      <c r="K432" s="67"/>
      <c r="L432" s="67"/>
      <c r="M432" s="69"/>
      <c r="N432" s="70"/>
      <c r="O432" s="71"/>
      <c r="P432" s="71"/>
      <c r="Q432" s="72"/>
      <c r="R432" s="73"/>
      <c r="S432" s="67"/>
      <c r="T432" s="73"/>
      <c r="U432" s="65"/>
    </row>
    <row r="433" spans="2:21" x14ac:dyDescent="0.25">
      <c r="B433" s="65"/>
      <c r="C433" s="66"/>
      <c r="D433" s="66"/>
      <c r="E433" s="66"/>
      <c r="F433" s="65"/>
      <c r="G433" s="65"/>
      <c r="H433" s="67"/>
      <c r="I433" s="67"/>
      <c r="J433" s="68"/>
      <c r="K433" s="67"/>
      <c r="L433" s="67"/>
      <c r="M433" s="69"/>
      <c r="N433" s="70"/>
      <c r="O433" s="71"/>
      <c r="P433" s="71"/>
      <c r="Q433" s="72"/>
      <c r="R433" s="73"/>
      <c r="S433" s="67"/>
      <c r="T433" s="73"/>
      <c r="U433" s="65"/>
    </row>
    <row r="434" spans="2:21" x14ac:dyDescent="0.25">
      <c r="B434" s="65"/>
      <c r="C434" s="66"/>
      <c r="D434" s="66"/>
      <c r="E434" s="66"/>
      <c r="F434" s="65"/>
      <c r="G434" s="65"/>
      <c r="H434" s="67"/>
      <c r="I434" s="67"/>
      <c r="J434" s="68"/>
      <c r="K434" s="67"/>
      <c r="L434" s="67"/>
      <c r="M434" s="69"/>
      <c r="N434" s="70"/>
      <c r="O434" s="71"/>
      <c r="P434" s="71"/>
      <c r="Q434" s="72"/>
      <c r="R434" s="73"/>
      <c r="S434" s="67"/>
      <c r="T434" s="73"/>
      <c r="U434" s="65"/>
    </row>
    <row r="435" spans="2:21" x14ac:dyDescent="0.25">
      <c r="B435" s="65"/>
      <c r="C435" s="66"/>
      <c r="D435" s="66"/>
      <c r="E435" s="66"/>
      <c r="F435" s="65"/>
      <c r="G435" s="65"/>
      <c r="H435" s="67"/>
      <c r="I435" s="67"/>
      <c r="J435" s="68"/>
      <c r="K435" s="67"/>
      <c r="L435" s="67"/>
      <c r="M435" s="69"/>
      <c r="N435" s="70"/>
      <c r="O435" s="71"/>
      <c r="P435" s="71"/>
      <c r="Q435" s="72"/>
      <c r="R435" s="73"/>
      <c r="S435" s="67"/>
      <c r="T435" s="73"/>
      <c r="U435" s="65"/>
    </row>
    <row r="436" spans="2:21" x14ac:dyDescent="0.25">
      <c r="B436" s="65"/>
      <c r="C436" s="66"/>
      <c r="D436" s="66"/>
      <c r="E436" s="66"/>
      <c r="F436" s="65"/>
      <c r="G436" s="65"/>
      <c r="H436" s="67"/>
      <c r="I436" s="67"/>
      <c r="J436" s="68"/>
      <c r="K436" s="67"/>
      <c r="L436" s="67"/>
      <c r="M436" s="69"/>
      <c r="N436" s="70"/>
      <c r="O436" s="71"/>
      <c r="P436" s="71"/>
      <c r="Q436" s="72"/>
      <c r="R436" s="73"/>
      <c r="S436" s="67"/>
      <c r="T436" s="73"/>
      <c r="U436" s="65"/>
    </row>
    <row r="437" spans="2:21" x14ac:dyDescent="0.25">
      <c r="B437" s="65"/>
      <c r="C437" s="66"/>
      <c r="D437" s="66"/>
      <c r="E437" s="66"/>
      <c r="F437" s="65"/>
      <c r="G437" s="65"/>
      <c r="H437" s="67"/>
      <c r="I437" s="67"/>
      <c r="J437" s="68"/>
      <c r="K437" s="67"/>
      <c r="L437" s="67"/>
      <c r="M437" s="69"/>
      <c r="N437" s="70"/>
      <c r="O437" s="71"/>
      <c r="P437" s="71"/>
      <c r="Q437" s="72"/>
      <c r="R437" s="73"/>
      <c r="S437" s="67"/>
      <c r="T437" s="73"/>
      <c r="U437" s="65"/>
    </row>
    <row r="438" spans="2:21" x14ac:dyDescent="0.25">
      <c r="B438" s="65"/>
      <c r="C438" s="66"/>
      <c r="D438" s="66"/>
      <c r="E438" s="66"/>
      <c r="F438" s="65"/>
      <c r="G438" s="65"/>
      <c r="H438" s="67"/>
      <c r="I438" s="67"/>
      <c r="J438" s="68"/>
      <c r="K438" s="67"/>
      <c r="L438" s="67"/>
      <c r="M438" s="69"/>
      <c r="N438" s="70"/>
      <c r="O438" s="71"/>
      <c r="P438" s="71"/>
      <c r="Q438" s="72"/>
      <c r="R438" s="73"/>
      <c r="S438" s="67"/>
      <c r="T438" s="73"/>
      <c r="U438" s="65"/>
    </row>
    <row r="439" spans="2:21" x14ac:dyDescent="0.25">
      <c r="B439" s="65"/>
      <c r="C439" s="66"/>
      <c r="D439" s="66"/>
      <c r="E439" s="66"/>
      <c r="F439" s="65"/>
      <c r="G439" s="65"/>
      <c r="H439" s="67"/>
      <c r="I439" s="67"/>
      <c r="J439" s="68"/>
      <c r="K439" s="67"/>
      <c r="L439" s="67"/>
      <c r="M439" s="69"/>
      <c r="N439" s="70"/>
      <c r="O439" s="71"/>
      <c r="P439" s="71"/>
      <c r="Q439" s="72"/>
      <c r="R439" s="73"/>
      <c r="S439" s="67"/>
      <c r="T439" s="73"/>
      <c r="U439" s="65"/>
    </row>
    <row r="440" spans="2:21" x14ac:dyDescent="0.25">
      <c r="B440" s="65"/>
      <c r="C440" s="66"/>
      <c r="D440" s="66"/>
      <c r="E440" s="66"/>
      <c r="F440" s="65"/>
      <c r="G440" s="65"/>
      <c r="H440" s="67"/>
      <c r="I440" s="67"/>
      <c r="J440" s="68"/>
      <c r="K440" s="67"/>
      <c r="L440" s="67"/>
      <c r="M440" s="69"/>
      <c r="N440" s="70"/>
      <c r="O440" s="71"/>
      <c r="P440" s="71"/>
      <c r="Q440" s="72"/>
      <c r="R440" s="73"/>
      <c r="S440" s="67"/>
      <c r="T440" s="73"/>
      <c r="U440" s="65"/>
    </row>
    <row r="441" spans="2:21" x14ac:dyDescent="0.25">
      <c r="B441" s="65"/>
      <c r="C441" s="66"/>
      <c r="D441" s="66"/>
      <c r="E441" s="66"/>
      <c r="F441" s="65"/>
      <c r="G441" s="65"/>
      <c r="H441" s="67"/>
      <c r="I441" s="67"/>
      <c r="J441" s="68"/>
      <c r="K441" s="67"/>
      <c r="L441" s="67"/>
      <c r="M441" s="69"/>
      <c r="N441" s="70"/>
      <c r="O441" s="71"/>
      <c r="P441" s="71"/>
      <c r="Q441" s="72"/>
      <c r="R441" s="73"/>
      <c r="S441" s="67"/>
      <c r="T441" s="73"/>
      <c r="U441" s="65"/>
    </row>
    <row r="442" spans="2:21" x14ac:dyDescent="0.25">
      <c r="B442" s="65"/>
      <c r="C442" s="66"/>
      <c r="D442" s="66"/>
      <c r="E442" s="66"/>
      <c r="F442" s="65"/>
      <c r="G442" s="65"/>
      <c r="H442" s="67"/>
      <c r="I442" s="67"/>
      <c r="J442" s="68"/>
      <c r="K442" s="67"/>
      <c r="L442" s="67"/>
      <c r="M442" s="69"/>
      <c r="N442" s="70"/>
      <c r="O442" s="71"/>
      <c r="P442" s="71"/>
      <c r="Q442" s="72"/>
      <c r="R442" s="73"/>
      <c r="S442" s="67"/>
      <c r="T442" s="73"/>
      <c r="U442" s="65"/>
    </row>
    <row r="443" spans="2:21" x14ac:dyDescent="0.25">
      <c r="B443" s="65"/>
      <c r="C443" s="66"/>
      <c r="D443" s="66"/>
      <c r="E443" s="66"/>
      <c r="F443" s="65"/>
      <c r="G443" s="65"/>
      <c r="H443" s="67"/>
      <c r="I443" s="67"/>
      <c r="J443" s="68"/>
      <c r="K443" s="67"/>
      <c r="L443" s="67"/>
      <c r="M443" s="69"/>
      <c r="N443" s="70"/>
      <c r="O443" s="71"/>
      <c r="P443" s="71"/>
      <c r="Q443" s="72"/>
      <c r="R443" s="73"/>
      <c r="S443" s="67"/>
      <c r="T443" s="73"/>
      <c r="U443" s="65"/>
    </row>
    <row r="444" spans="2:21" x14ac:dyDescent="0.25">
      <c r="B444" s="65"/>
      <c r="C444" s="66"/>
      <c r="D444" s="66"/>
      <c r="E444" s="66"/>
      <c r="F444" s="65"/>
      <c r="G444" s="65"/>
      <c r="H444" s="67"/>
      <c r="I444" s="67"/>
      <c r="J444" s="68"/>
      <c r="K444" s="67"/>
      <c r="L444" s="67"/>
      <c r="M444" s="69"/>
      <c r="N444" s="70"/>
      <c r="O444" s="71"/>
      <c r="P444" s="71"/>
      <c r="Q444" s="72"/>
      <c r="R444" s="73"/>
      <c r="S444" s="67"/>
      <c r="T444" s="73"/>
      <c r="U444" s="65"/>
    </row>
    <row r="445" spans="2:21" x14ac:dyDescent="0.25">
      <c r="B445" s="65"/>
      <c r="C445" s="66"/>
      <c r="D445" s="66"/>
      <c r="E445" s="66"/>
      <c r="F445" s="65"/>
      <c r="G445" s="65"/>
      <c r="H445" s="67"/>
      <c r="I445" s="67"/>
      <c r="J445" s="68"/>
      <c r="K445" s="67"/>
      <c r="L445" s="67"/>
      <c r="M445" s="69"/>
      <c r="N445" s="70"/>
      <c r="O445" s="71"/>
      <c r="P445" s="71"/>
      <c r="Q445" s="72"/>
      <c r="R445" s="73"/>
      <c r="S445" s="67"/>
      <c r="T445" s="73"/>
      <c r="U445" s="65"/>
    </row>
    <row r="446" spans="2:21" x14ac:dyDescent="0.25">
      <c r="B446" s="65"/>
      <c r="C446" s="66"/>
      <c r="D446" s="66"/>
      <c r="E446" s="66"/>
      <c r="F446" s="65"/>
      <c r="G446" s="65"/>
      <c r="H446" s="67"/>
      <c r="I446" s="67"/>
      <c r="J446" s="68"/>
      <c r="K446" s="67"/>
      <c r="L446" s="67"/>
      <c r="M446" s="69"/>
      <c r="N446" s="70"/>
      <c r="O446" s="71"/>
      <c r="P446" s="71"/>
      <c r="Q446" s="72"/>
      <c r="R446" s="73"/>
      <c r="S446" s="67"/>
      <c r="T446" s="73"/>
      <c r="U446" s="65"/>
    </row>
    <row r="447" spans="2:21" x14ac:dyDescent="0.25">
      <c r="B447" s="65"/>
      <c r="C447" s="66"/>
      <c r="D447" s="66"/>
      <c r="E447" s="66"/>
      <c r="F447" s="65"/>
      <c r="G447" s="65"/>
      <c r="H447" s="67"/>
      <c r="I447" s="67"/>
      <c r="J447" s="68"/>
      <c r="K447" s="67"/>
      <c r="L447" s="67"/>
      <c r="M447" s="69"/>
      <c r="N447" s="70"/>
      <c r="O447" s="71"/>
      <c r="P447" s="71"/>
      <c r="Q447" s="72"/>
      <c r="R447" s="73"/>
      <c r="S447" s="67"/>
      <c r="T447" s="73"/>
      <c r="U447" s="65"/>
    </row>
    <row r="448" spans="2:21" x14ac:dyDescent="0.25">
      <c r="B448" s="65"/>
      <c r="C448" s="66"/>
      <c r="D448" s="66"/>
      <c r="E448" s="66"/>
      <c r="F448" s="65"/>
      <c r="G448" s="65"/>
      <c r="H448" s="67"/>
      <c r="I448" s="67"/>
      <c r="J448" s="68"/>
      <c r="K448" s="67"/>
      <c r="L448" s="67"/>
      <c r="M448" s="69"/>
      <c r="N448" s="70"/>
      <c r="O448" s="71"/>
      <c r="P448" s="71"/>
      <c r="Q448" s="72"/>
      <c r="R448" s="73"/>
      <c r="S448" s="67"/>
      <c r="T448" s="73"/>
      <c r="U448" s="65"/>
    </row>
    <row r="449" spans="2:21" x14ac:dyDescent="0.25">
      <c r="B449" s="65"/>
      <c r="C449" s="66"/>
      <c r="D449" s="66"/>
      <c r="E449" s="66"/>
      <c r="F449" s="65"/>
      <c r="G449" s="65"/>
      <c r="H449" s="67"/>
      <c r="I449" s="67"/>
      <c r="J449" s="68"/>
      <c r="K449" s="67"/>
      <c r="L449" s="67"/>
      <c r="M449" s="69"/>
      <c r="N449" s="70"/>
      <c r="O449" s="71"/>
      <c r="P449" s="71"/>
      <c r="Q449" s="72"/>
      <c r="R449" s="73"/>
      <c r="S449" s="67"/>
      <c r="T449" s="73"/>
      <c r="U449" s="65"/>
    </row>
    <row r="450" spans="2:21" x14ac:dyDescent="0.25">
      <c r="B450" s="65"/>
      <c r="C450" s="66"/>
      <c r="D450" s="66"/>
      <c r="E450" s="66"/>
      <c r="F450" s="65"/>
      <c r="G450" s="65"/>
      <c r="H450" s="67"/>
      <c r="I450" s="67"/>
      <c r="J450" s="68"/>
      <c r="K450" s="67"/>
      <c r="L450" s="67"/>
      <c r="M450" s="69"/>
      <c r="N450" s="70"/>
      <c r="O450" s="71"/>
      <c r="P450" s="71"/>
      <c r="Q450" s="72"/>
      <c r="R450" s="73"/>
      <c r="S450" s="67"/>
      <c r="T450" s="73"/>
      <c r="U450" s="65"/>
    </row>
    <row r="451" spans="2:21" x14ac:dyDescent="0.25">
      <c r="B451" s="65"/>
      <c r="C451" s="66"/>
      <c r="D451" s="66"/>
      <c r="E451" s="66"/>
      <c r="F451" s="65"/>
      <c r="G451" s="65"/>
      <c r="H451" s="67"/>
      <c r="I451" s="67"/>
      <c r="J451" s="68"/>
      <c r="K451" s="67"/>
      <c r="L451" s="67"/>
      <c r="M451" s="69"/>
      <c r="N451" s="70"/>
      <c r="O451" s="71"/>
      <c r="P451" s="71"/>
      <c r="Q451" s="72"/>
      <c r="R451" s="73"/>
      <c r="S451" s="67"/>
      <c r="T451" s="73"/>
      <c r="U451" s="65"/>
    </row>
    <row r="452" spans="2:21" x14ac:dyDescent="0.25">
      <c r="B452" s="65"/>
      <c r="C452" s="66"/>
      <c r="D452" s="66"/>
      <c r="E452" s="66"/>
      <c r="F452" s="65"/>
      <c r="G452" s="65"/>
      <c r="H452" s="67"/>
      <c r="I452" s="67"/>
      <c r="J452" s="68"/>
      <c r="K452" s="67"/>
      <c r="L452" s="67"/>
      <c r="M452" s="69"/>
      <c r="N452" s="70"/>
      <c r="O452" s="71"/>
      <c r="P452" s="71"/>
      <c r="Q452" s="72"/>
      <c r="R452" s="73"/>
      <c r="S452" s="67"/>
      <c r="T452" s="73"/>
      <c r="U452" s="65"/>
    </row>
    <row r="453" spans="2:21" x14ac:dyDescent="0.25">
      <c r="B453" s="65"/>
      <c r="C453" s="66"/>
      <c r="D453" s="66"/>
      <c r="E453" s="66"/>
      <c r="F453" s="65"/>
      <c r="G453" s="65"/>
      <c r="H453" s="67"/>
      <c r="I453" s="67"/>
      <c r="J453" s="68"/>
      <c r="K453" s="67"/>
      <c r="L453" s="67"/>
      <c r="M453" s="69"/>
      <c r="N453" s="70"/>
      <c r="O453" s="71"/>
      <c r="P453" s="71"/>
      <c r="Q453" s="72"/>
      <c r="R453" s="73"/>
      <c r="S453" s="67"/>
      <c r="T453" s="73"/>
      <c r="U453" s="65"/>
    </row>
    <row r="454" spans="2:21" x14ac:dyDescent="0.25">
      <c r="B454" s="65"/>
      <c r="C454" s="66"/>
      <c r="D454" s="66"/>
      <c r="E454" s="66"/>
      <c r="F454" s="65"/>
      <c r="G454" s="65"/>
      <c r="H454" s="67"/>
      <c r="I454" s="67"/>
      <c r="J454" s="68"/>
      <c r="K454" s="67"/>
      <c r="L454" s="67"/>
      <c r="M454" s="69"/>
      <c r="N454" s="70"/>
      <c r="O454" s="71"/>
      <c r="P454" s="71"/>
      <c r="Q454" s="72"/>
      <c r="R454" s="73"/>
      <c r="S454" s="67"/>
      <c r="T454" s="73"/>
      <c r="U454" s="65"/>
    </row>
    <row r="455" spans="2:21" x14ac:dyDescent="0.25">
      <c r="B455" s="65"/>
      <c r="C455" s="66"/>
      <c r="D455" s="66"/>
      <c r="E455" s="66"/>
      <c r="F455" s="65"/>
      <c r="G455" s="65"/>
      <c r="H455" s="67"/>
      <c r="I455" s="67"/>
      <c r="J455" s="68"/>
      <c r="K455" s="67"/>
      <c r="L455" s="67"/>
      <c r="M455" s="69"/>
      <c r="N455" s="70"/>
      <c r="O455" s="71"/>
      <c r="P455" s="71"/>
      <c r="Q455" s="72"/>
      <c r="R455" s="73"/>
      <c r="S455" s="67"/>
      <c r="T455" s="73"/>
      <c r="U455" s="65"/>
    </row>
    <row r="456" spans="2:21" x14ac:dyDescent="0.25">
      <c r="B456" s="65"/>
      <c r="C456" s="66"/>
      <c r="D456" s="66"/>
      <c r="E456" s="66"/>
      <c r="F456" s="65"/>
      <c r="G456" s="65"/>
      <c r="H456" s="67"/>
      <c r="I456" s="67"/>
      <c r="J456" s="68"/>
      <c r="K456" s="67"/>
      <c r="L456" s="67"/>
      <c r="M456" s="69"/>
      <c r="N456" s="70"/>
      <c r="O456" s="71"/>
      <c r="P456" s="71"/>
      <c r="Q456" s="72"/>
      <c r="R456" s="73"/>
      <c r="S456" s="67"/>
      <c r="T456" s="73"/>
      <c r="U456" s="65"/>
    </row>
    <row r="457" spans="2:21" x14ac:dyDescent="0.25">
      <c r="B457" s="65"/>
      <c r="C457" s="66"/>
      <c r="D457" s="66"/>
      <c r="E457" s="66"/>
      <c r="F457" s="65"/>
      <c r="G457" s="65"/>
      <c r="H457" s="67"/>
      <c r="I457" s="67"/>
      <c r="J457" s="68"/>
      <c r="K457" s="67"/>
      <c r="L457" s="67"/>
      <c r="M457" s="69"/>
      <c r="N457" s="70"/>
      <c r="O457" s="71"/>
      <c r="P457" s="71"/>
      <c r="Q457" s="72"/>
      <c r="R457" s="73"/>
      <c r="S457" s="67"/>
      <c r="T457" s="73"/>
      <c r="U457" s="65"/>
    </row>
    <row r="458" spans="2:21" x14ac:dyDescent="0.25">
      <c r="B458" s="65"/>
      <c r="C458" s="66"/>
      <c r="D458" s="66"/>
      <c r="E458" s="66"/>
      <c r="F458" s="65"/>
      <c r="G458" s="65"/>
      <c r="H458" s="67"/>
      <c r="I458" s="67"/>
      <c r="J458" s="68"/>
      <c r="K458" s="67"/>
      <c r="L458" s="67"/>
      <c r="M458" s="69"/>
      <c r="N458" s="70"/>
      <c r="O458" s="71"/>
      <c r="P458" s="71"/>
      <c r="Q458" s="72"/>
      <c r="R458" s="73"/>
      <c r="S458" s="67"/>
      <c r="T458" s="73"/>
      <c r="U458" s="65"/>
    </row>
    <row r="459" spans="2:21" x14ac:dyDescent="0.25">
      <c r="B459" s="65"/>
      <c r="C459" s="66"/>
      <c r="D459" s="66"/>
      <c r="E459" s="66"/>
      <c r="F459" s="65"/>
      <c r="G459" s="65"/>
      <c r="H459" s="67"/>
      <c r="I459" s="67"/>
      <c r="J459" s="68"/>
      <c r="K459" s="67"/>
      <c r="L459" s="67"/>
      <c r="M459" s="69"/>
      <c r="N459" s="70"/>
      <c r="O459" s="71"/>
      <c r="P459" s="71"/>
      <c r="Q459" s="72"/>
      <c r="R459" s="73"/>
      <c r="S459" s="67"/>
      <c r="T459" s="73"/>
      <c r="U459" s="65"/>
    </row>
    <row r="460" spans="2:21" x14ac:dyDescent="0.25">
      <c r="B460" s="65"/>
      <c r="C460" s="66"/>
      <c r="D460" s="66"/>
      <c r="E460" s="66"/>
      <c r="F460" s="65"/>
      <c r="G460" s="65"/>
      <c r="H460" s="67"/>
      <c r="I460" s="67"/>
      <c r="J460" s="68"/>
      <c r="K460" s="67"/>
      <c r="L460" s="67"/>
      <c r="M460" s="69"/>
      <c r="N460" s="70"/>
      <c r="O460" s="71"/>
      <c r="P460" s="71"/>
      <c r="Q460" s="72"/>
      <c r="R460" s="73"/>
      <c r="S460" s="67"/>
      <c r="T460" s="73"/>
      <c r="U460" s="65"/>
    </row>
    <row r="461" spans="2:21" x14ac:dyDescent="0.25">
      <c r="B461" s="65"/>
      <c r="C461" s="66"/>
      <c r="D461" s="66"/>
      <c r="E461" s="66"/>
      <c r="F461" s="65"/>
      <c r="G461" s="65"/>
      <c r="H461" s="67"/>
      <c r="I461" s="67"/>
      <c r="J461" s="68"/>
      <c r="K461" s="67"/>
      <c r="L461" s="67"/>
      <c r="M461" s="69"/>
      <c r="N461" s="70"/>
      <c r="O461" s="71"/>
      <c r="P461" s="71"/>
      <c r="Q461" s="72"/>
      <c r="R461" s="73"/>
      <c r="S461" s="67"/>
      <c r="T461" s="73"/>
      <c r="U461" s="65"/>
    </row>
    <row r="462" spans="2:21" x14ac:dyDescent="0.25">
      <c r="B462" s="65"/>
      <c r="C462" s="66"/>
      <c r="D462" s="66"/>
      <c r="E462" s="66"/>
      <c r="F462" s="65"/>
      <c r="G462" s="65"/>
      <c r="H462" s="67"/>
      <c r="I462" s="67"/>
      <c r="J462" s="68"/>
      <c r="K462" s="67"/>
      <c r="L462" s="67"/>
      <c r="M462" s="69"/>
      <c r="N462" s="70"/>
      <c r="O462" s="71"/>
      <c r="P462" s="71"/>
      <c r="Q462" s="72"/>
      <c r="R462" s="73"/>
      <c r="S462" s="67"/>
      <c r="T462" s="73"/>
      <c r="U462" s="65"/>
    </row>
    <row r="463" spans="2:21" x14ac:dyDescent="0.25">
      <c r="B463" s="65"/>
      <c r="C463" s="66"/>
      <c r="D463" s="66"/>
      <c r="E463" s="66"/>
      <c r="F463" s="65"/>
      <c r="G463" s="65"/>
      <c r="H463" s="67"/>
      <c r="I463" s="67"/>
      <c r="J463" s="68"/>
      <c r="K463" s="67"/>
      <c r="L463" s="67"/>
      <c r="M463" s="69"/>
      <c r="N463" s="70"/>
      <c r="O463" s="71"/>
      <c r="P463" s="71"/>
      <c r="Q463" s="72"/>
      <c r="R463" s="73"/>
      <c r="S463" s="67"/>
      <c r="T463" s="73"/>
      <c r="U463" s="65"/>
    </row>
    <row r="464" spans="2:21" x14ac:dyDescent="0.25">
      <c r="B464" s="65"/>
      <c r="C464" s="66"/>
      <c r="D464" s="66"/>
      <c r="E464" s="66"/>
      <c r="F464" s="65"/>
      <c r="G464" s="65"/>
      <c r="H464" s="67"/>
      <c r="I464" s="67"/>
      <c r="J464" s="68"/>
      <c r="K464" s="67"/>
      <c r="L464" s="67"/>
      <c r="M464" s="69"/>
      <c r="N464" s="70"/>
      <c r="O464" s="71"/>
      <c r="P464" s="71"/>
      <c r="Q464" s="72"/>
      <c r="R464" s="73"/>
      <c r="S464" s="67"/>
      <c r="T464" s="73"/>
      <c r="U464" s="65"/>
    </row>
    <row r="465" spans="2:21" x14ac:dyDescent="0.25">
      <c r="B465" s="65"/>
      <c r="C465" s="66"/>
      <c r="D465" s="66"/>
      <c r="E465" s="66"/>
      <c r="F465" s="65"/>
      <c r="G465" s="65"/>
      <c r="H465" s="67"/>
      <c r="I465" s="67"/>
      <c r="J465" s="68"/>
      <c r="K465" s="67"/>
      <c r="L465" s="67"/>
      <c r="M465" s="69"/>
      <c r="N465" s="70"/>
      <c r="O465" s="71"/>
      <c r="P465" s="71"/>
      <c r="Q465" s="72"/>
      <c r="R465" s="73"/>
      <c r="S465" s="67"/>
      <c r="T465" s="73"/>
      <c r="U465" s="65"/>
    </row>
    <row r="466" spans="2:21" x14ac:dyDescent="0.25">
      <c r="B466" s="65"/>
      <c r="C466" s="66"/>
      <c r="D466" s="66"/>
      <c r="E466" s="66"/>
      <c r="F466" s="65"/>
      <c r="G466" s="65"/>
      <c r="H466" s="67"/>
      <c r="I466" s="67"/>
      <c r="J466" s="68"/>
      <c r="K466" s="67"/>
      <c r="L466" s="67"/>
      <c r="M466" s="69"/>
      <c r="N466" s="70"/>
      <c r="O466" s="71"/>
      <c r="P466" s="71"/>
      <c r="Q466" s="72"/>
      <c r="R466" s="73"/>
      <c r="S466" s="67"/>
      <c r="T466" s="73"/>
      <c r="U466" s="65"/>
    </row>
    <row r="467" spans="2:21" x14ac:dyDescent="0.25">
      <c r="B467" s="65"/>
      <c r="C467" s="66"/>
      <c r="D467" s="66"/>
      <c r="E467" s="66"/>
      <c r="F467" s="65"/>
      <c r="G467" s="65"/>
      <c r="H467" s="67"/>
      <c r="I467" s="67"/>
      <c r="J467" s="68"/>
      <c r="K467" s="67"/>
      <c r="L467" s="67"/>
      <c r="M467" s="69"/>
      <c r="N467" s="70"/>
      <c r="O467" s="71"/>
      <c r="P467" s="71"/>
      <c r="Q467" s="72"/>
      <c r="R467" s="73"/>
      <c r="S467" s="67"/>
      <c r="T467" s="73"/>
      <c r="U467" s="65"/>
    </row>
    <row r="468" spans="2:21" x14ac:dyDescent="0.25">
      <c r="B468" s="65"/>
      <c r="C468" s="66"/>
      <c r="D468" s="66"/>
      <c r="E468" s="66"/>
      <c r="F468" s="65"/>
      <c r="G468" s="65"/>
      <c r="H468" s="67"/>
      <c r="I468" s="67"/>
      <c r="J468" s="68"/>
      <c r="K468" s="67"/>
      <c r="L468" s="67"/>
      <c r="M468" s="69"/>
      <c r="N468" s="70"/>
      <c r="O468" s="71"/>
      <c r="P468" s="71"/>
      <c r="Q468" s="72"/>
      <c r="R468" s="73"/>
      <c r="S468" s="67"/>
      <c r="T468" s="73"/>
      <c r="U468" s="65"/>
    </row>
    <row r="469" spans="2:21" x14ac:dyDescent="0.25">
      <c r="B469" s="65"/>
      <c r="C469" s="66"/>
      <c r="D469" s="66"/>
      <c r="E469" s="66"/>
      <c r="F469" s="65"/>
      <c r="G469" s="65"/>
      <c r="H469" s="67"/>
      <c r="I469" s="67"/>
      <c r="J469" s="68"/>
      <c r="K469" s="67"/>
      <c r="L469" s="67"/>
      <c r="M469" s="69"/>
      <c r="N469" s="70"/>
      <c r="O469" s="71"/>
      <c r="P469" s="71"/>
      <c r="Q469" s="72"/>
      <c r="R469" s="73"/>
      <c r="S469" s="67"/>
      <c r="T469" s="73"/>
      <c r="U469" s="65"/>
    </row>
    <row r="470" spans="2:21" x14ac:dyDescent="0.25">
      <c r="B470" s="65"/>
      <c r="C470" s="66"/>
      <c r="D470" s="66"/>
      <c r="E470" s="66"/>
      <c r="F470" s="65"/>
      <c r="G470" s="65"/>
      <c r="H470" s="67"/>
      <c r="I470" s="67"/>
      <c r="J470" s="68"/>
      <c r="K470" s="67"/>
      <c r="L470" s="67"/>
      <c r="M470" s="69"/>
      <c r="N470" s="70"/>
      <c r="O470" s="71"/>
      <c r="P470" s="71"/>
      <c r="Q470" s="72"/>
      <c r="R470" s="73"/>
      <c r="S470" s="67"/>
      <c r="T470" s="73"/>
      <c r="U470" s="65"/>
    </row>
    <row r="471" spans="2:21" x14ac:dyDescent="0.25">
      <c r="B471" s="65"/>
      <c r="C471" s="66"/>
      <c r="D471" s="66"/>
      <c r="E471" s="66"/>
      <c r="F471" s="65"/>
      <c r="G471" s="65"/>
      <c r="H471" s="67"/>
      <c r="I471" s="67"/>
      <c r="J471" s="68"/>
      <c r="K471" s="67"/>
      <c r="L471" s="67"/>
      <c r="M471" s="69"/>
      <c r="N471" s="70"/>
      <c r="O471" s="71"/>
      <c r="P471" s="71"/>
      <c r="Q471" s="72"/>
      <c r="R471" s="73"/>
      <c r="S471" s="67"/>
      <c r="T471" s="73"/>
      <c r="U471" s="65"/>
    </row>
    <row r="472" spans="2:21" x14ac:dyDescent="0.25">
      <c r="B472" s="65"/>
      <c r="C472" s="66"/>
      <c r="D472" s="66"/>
      <c r="E472" s="66"/>
      <c r="F472" s="65"/>
      <c r="G472" s="65"/>
      <c r="H472" s="67"/>
      <c r="I472" s="67"/>
      <c r="J472" s="68"/>
      <c r="K472" s="67"/>
      <c r="L472" s="67"/>
      <c r="M472" s="69"/>
      <c r="N472" s="70"/>
      <c r="O472" s="71"/>
      <c r="P472" s="71"/>
      <c r="Q472" s="72"/>
      <c r="R472" s="73"/>
      <c r="S472" s="67"/>
      <c r="T472" s="73"/>
      <c r="U472" s="65"/>
    </row>
    <row r="473" spans="2:21" x14ac:dyDescent="0.25">
      <c r="B473" s="65"/>
      <c r="C473" s="66"/>
      <c r="D473" s="66"/>
      <c r="E473" s="66"/>
      <c r="F473" s="65"/>
      <c r="G473" s="65"/>
      <c r="H473" s="67"/>
      <c r="I473" s="67"/>
      <c r="J473" s="68"/>
      <c r="K473" s="67"/>
      <c r="L473" s="67"/>
      <c r="M473" s="69"/>
      <c r="N473" s="70"/>
      <c r="O473" s="71"/>
      <c r="P473" s="71"/>
      <c r="Q473" s="72"/>
      <c r="R473" s="73"/>
      <c r="S473" s="67"/>
      <c r="T473" s="73"/>
      <c r="U473" s="65"/>
    </row>
    <row r="474" spans="2:21" x14ac:dyDescent="0.25">
      <c r="B474" s="65"/>
      <c r="C474" s="66"/>
      <c r="D474" s="66"/>
      <c r="E474" s="66"/>
      <c r="F474" s="65"/>
      <c r="G474" s="65"/>
      <c r="H474" s="67"/>
      <c r="I474" s="67"/>
      <c r="J474" s="68"/>
      <c r="K474" s="67"/>
      <c r="L474" s="67"/>
      <c r="M474" s="69"/>
      <c r="N474" s="70"/>
      <c r="O474" s="71"/>
      <c r="P474" s="71"/>
      <c r="Q474" s="72"/>
      <c r="R474" s="73"/>
      <c r="S474" s="67"/>
      <c r="T474" s="73"/>
      <c r="U474" s="65"/>
    </row>
    <row r="475" spans="2:21" x14ac:dyDescent="0.25">
      <c r="B475" s="65"/>
      <c r="C475" s="66"/>
      <c r="D475" s="66"/>
      <c r="E475" s="66"/>
      <c r="F475" s="65"/>
      <c r="G475" s="65"/>
      <c r="H475" s="67"/>
      <c r="I475" s="67"/>
      <c r="J475" s="68"/>
      <c r="K475" s="67"/>
      <c r="L475" s="67"/>
      <c r="M475" s="69"/>
      <c r="N475" s="70"/>
      <c r="O475" s="71"/>
      <c r="P475" s="71"/>
      <c r="Q475" s="72"/>
      <c r="R475" s="73"/>
      <c r="S475" s="67"/>
      <c r="T475" s="73"/>
      <c r="U475" s="65"/>
    </row>
    <row r="476" spans="2:21" x14ac:dyDescent="0.25">
      <c r="B476" s="65"/>
      <c r="C476" s="66"/>
      <c r="D476" s="66"/>
      <c r="E476" s="66"/>
      <c r="F476" s="65"/>
      <c r="G476" s="65"/>
      <c r="H476" s="67"/>
      <c r="I476" s="67"/>
      <c r="J476" s="68"/>
      <c r="K476" s="67"/>
      <c r="L476" s="67"/>
      <c r="M476" s="69"/>
      <c r="N476" s="70"/>
      <c r="O476" s="71"/>
      <c r="P476" s="71"/>
      <c r="Q476" s="72"/>
      <c r="R476" s="73"/>
      <c r="S476" s="67"/>
      <c r="T476" s="73"/>
      <c r="U476" s="65"/>
    </row>
    <row r="477" spans="2:21" x14ac:dyDescent="0.25">
      <c r="B477" s="65"/>
      <c r="C477" s="66"/>
      <c r="D477" s="66"/>
      <c r="E477" s="66"/>
      <c r="F477" s="65"/>
      <c r="G477" s="65"/>
      <c r="H477" s="67"/>
      <c r="I477" s="67"/>
      <c r="J477" s="68"/>
      <c r="K477" s="67"/>
      <c r="L477" s="67"/>
      <c r="M477" s="69"/>
      <c r="N477" s="70"/>
      <c r="O477" s="71"/>
      <c r="P477" s="71"/>
      <c r="Q477" s="72"/>
      <c r="R477" s="73"/>
      <c r="S477" s="67"/>
      <c r="T477" s="73"/>
      <c r="U477" s="65"/>
    </row>
    <row r="478" spans="2:21" x14ac:dyDescent="0.25">
      <c r="B478" s="65"/>
      <c r="C478" s="66"/>
      <c r="D478" s="66"/>
      <c r="E478" s="66"/>
      <c r="F478" s="65"/>
      <c r="G478" s="65"/>
      <c r="H478" s="67"/>
      <c r="I478" s="67"/>
      <c r="J478" s="68"/>
      <c r="K478" s="67"/>
      <c r="L478" s="67"/>
      <c r="M478" s="69"/>
      <c r="N478" s="70"/>
      <c r="O478" s="71"/>
      <c r="P478" s="71"/>
      <c r="Q478" s="72"/>
      <c r="R478" s="73"/>
      <c r="S478" s="67"/>
      <c r="T478" s="73"/>
      <c r="U478" s="65"/>
    </row>
    <row r="479" spans="2:21" x14ac:dyDescent="0.25">
      <c r="B479" s="65"/>
      <c r="C479" s="66"/>
      <c r="D479" s="66"/>
      <c r="E479" s="66"/>
      <c r="F479" s="65"/>
      <c r="G479" s="65"/>
      <c r="H479" s="67"/>
      <c r="I479" s="67"/>
      <c r="J479" s="68"/>
      <c r="K479" s="67"/>
      <c r="L479" s="67"/>
      <c r="M479" s="69"/>
      <c r="N479" s="70"/>
      <c r="O479" s="71"/>
      <c r="P479" s="71"/>
      <c r="Q479" s="72"/>
      <c r="R479" s="73"/>
      <c r="S479" s="67"/>
      <c r="T479" s="73"/>
      <c r="U479" s="65"/>
    </row>
    <row r="480" spans="2:21" x14ac:dyDescent="0.25">
      <c r="B480" s="65"/>
      <c r="C480" s="66"/>
      <c r="D480" s="66"/>
      <c r="E480" s="66"/>
      <c r="F480" s="65"/>
      <c r="G480" s="65"/>
      <c r="H480" s="67"/>
      <c r="I480" s="67"/>
      <c r="J480" s="68"/>
      <c r="K480" s="67"/>
      <c r="L480" s="67"/>
      <c r="M480" s="69"/>
      <c r="N480" s="70"/>
      <c r="O480" s="71"/>
      <c r="P480" s="71"/>
      <c r="Q480" s="72"/>
      <c r="R480" s="73"/>
      <c r="S480" s="67"/>
      <c r="T480" s="73"/>
      <c r="U480" s="65"/>
    </row>
    <row r="481" spans="2:21" x14ac:dyDescent="0.25">
      <c r="B481" s="65"/>
      <c r="C481" s="66"/>
      <c r="D481" s="66"/>
      <c r="E481" s="66"/>
      <c r="F481" s="65"/>
      <c r="G481" s="65"/>
      <c r="H481" s="67"/>
      <c r="I481" s="67"/>
      <c r="J481" s="68"/>
      <c r="K481" s="67"/>
      <c r="L481" s="67"/>
      <c r="M481" s="69"/>
      <c r="N481" s="70"/>
      <c r="O481" s="71"/>
      <c r="P481" s="71"/>
      <c r="Q481" s="72"/>
      <c r="R481" s="73"/>
      <c r="S481" s="67"/>
      <c r="T481" s="73"/>
      <c r="U481" s="65"/>
    </row>
    <row r="482" spans="2:21" x14ac:dyDescent="0.25">
      <c r="B482" s="65"/>
      <c r="C482" s="66"/>
      <c r="D482" s="66"/>
      <c r="E482" s="66"/>
      <c r="F482" s="65"/>
      <c r="G482" s="65"/>
      <c r="H482" s="67"/>
      <c r="I482" s="67"/>
      <c r="J482" s="68"/>
      <c r="K482" s="67"/>
      <c r="L482" s="67"/>
      <c r="M482" s="69"/>
      <c r="N482" s="70"/>
      <c r="O482" s="71"/>
      <c r="P482" s="71"/>
      <c r="Q482" s="72"/>
      <c r="R482" s="73"/>
      <c r="S482" s="67"/>
      <c r="T482" s="73"/>
      <c r="U482" s="65"/>
    </row>
    <row r="483" spans="2:21" x14ac:dyDescent="0.25">
      <c r="B483" s="65"/>
      <c r="C483" s="66"/>
      <c r="D483" s="66"/>
      <c r="E483" s="66"/>
      <c r="F483" s="65"/>
      <c r="G483" s="65"/>
      <c r="H483" s="67"/>
      <c r="I483" s="67"/>
      <c r="J483" s="68"/>
      <c r="K483" s="67"/>
      <c r="L483" s="67"/>
      <c r="M483" s="69"/>
      <c r="N483" s="70"/>
      <c r="O483" s="71"/>
      <c r="P483" s="71"/>
      <c r="Q483" s="72"/>
      <c r="R483" s="73"/>
      <c r="S483" s="67"/>
      <c r="T483" s="73"/>
      <c r="U483" s="65"/>
    </row>
    <row r="484" spans="2:21" x14ac:dyDescent="0.25">
      <c r="B484" s="65"/>
      <c r="C484" s="66"/>
      <c r="D484" s="66"/>
      <c r="E484" s="66"/>
      <c r="F484" s="65"/>
      <c r="G484" s="65"/>
      <c r="H484" s="67"/>
      <c r="I484" s="67"/>
      <c r="J484" s="68"/>
      <c r="K484" s="67"/>
      <c r="L484" s="67"/>
      <c r="M484" s="69"/>
      <c r="N484" s="70"/>
      <c r="O484" s="71"/>
      <c r="P484" s="71"/>
      <c r="Q484" s="72"/>
      <c r="R484" s="73"/>
      <c r="S484" s="67"/>
      <c r="T484" s="73"/>
      <c r="U484" s="65"/>
    </row>
    <row r="485" spans="2:21" x14ac:dyDescent="0.25">
      <c r="B485" s="65"/>
      <c r="C485" s="66"/>
      <c r="D485" s="66"/>
      <c r="E485" s="66"/>
      <c r="F485" s="65"/>
      <c r="G485" s="65"/>
      <c r="H485" s="67"/>
      <c r="I485" s="67"/>
      <c r="J485" s="68"/>
      <c r="K485" s="67"/>
      <c r="L485" s="67"/>
      <c r="M485" s="69"/>
      <c r="N485" s="70"/>
      <c r="O485" s="71"/>
      <c r="P485" s="71"/>
      <c r="Q485" s="72"/>
      <c r="R485" s="73"/>
      <c r="S485" s="67"/>
      <c r="T485" s="73"/>
      <c r="U485" s="65"/>
    </row>
    <row r="486" spans="2:21" x14ac:dyDescent="0.25">
      <c r="B486" s="65"/>
      <c r="C486" s="66"/>
      <c r="D486" s="66"/>
      <c r="E486" s="66"/>
      <c r="F486" s="65"/>
      <c r="G486" s="65"/>
      <c r="H486" s="67"/>
      <c r="I486" s="67"/>
      <c r="J486" s="68"/>
      <c r="K486" s="67"/>
      <c r="L486" s="67"/>
      <c r="M486" s="69"/>
      <c r="N486" s="70"/>
      <c r="O486" s="71"/>
      <c r="P486" s="71"/>
      <c r="Q486" s="72"/>
      <c r="R486" s="73"/>
      <c r="S486" s="67"/>
      <c r="T486" s="73"/>
      <c r="U486" s="65"/>
    </row>
    <row r="487" spans="2:21" x14ac:dyDescent="0.25">
      <c r="B487" s="65"/>
      <c r="C487" s="66"/>
      <c r="D487" s="66"/>
      <c r="E487" s="66"/>
      <c r="F487" s="65"/>
      <c r="G487" s="65"/>
      <c r="H487" s="67"/>
      <c r="I487" s="67"/>
      <c r="J487" s="68"/>
      <c r="K487" s="67"/>
      <c r="L487" s="67"/>
      <c r="M487" s="69"/>
      <c r="N487" s="70"/>
      <c r="O487" s="71"/>
      <c r="P487" s="71"/>
      <c r="Q487" s="72"/>
      <c r="R487" s="73"/>
      <c r="S487" s="67"/>
      <c r="T487" s="73"/>
      <c r="U487" s="65"/>
    </row>
    <row r="488" spans="2:21" x14ac:dyDescent="0.25">
      <c r="B488" s="65"/>
      <c r="C488" s="66"/>
      <c r="D488" s="66"/>
      <c r="E488" s="66"/>
      <c r="F488" s="65"/>
      <c r="G488" s="65"/>
      <c r="H488" s="67"/>
      <c r="I488" s="67"/>
      <c r="J488" s="68"/>
      <c r="K488" s="67"/>
      <c r="L488" s="67"/>
      <c r="M488" s="69"/>
      <c r="N488" s="70"/>
      <c r="O488" s="71"/>
      <c r="P488" s="71"/>
      <c r="Q488" s="72"/>
      <c r="R488" s="73"/>
      <c r="S488" s="67"/>
      <c r="T488" s="73"/>
      <c r="U488" s="65"/>
    </row>
    <row r="489" spans="2:21" x14ac:dyDescent="0.25">
      <c r="B489" s="65"/>
      <c r="C489" s="66"/>
      <c r="D489" s="66"/>
      <c r="E489" s="66"/>
      <c r="F489" s="65"/>
      <c r="G489" s="65"/>
      <c r="H489" s="67"/>
      <c r="I489" s="67"/>
      <c r="J489" s="68"/>
      <c r="K489" s="67"/>
      <c r="L489" s="67"/>
      <c r="M489" s="69"/>
      <c r="N489" s="70"/>
      <c r="O489" s="71"/>
      <c r="P489" s="71"/>
      <c r="Q489" s="72"/>
      <c r="R489" s="73"/>
      <c r="S489" s="67"/>
      <c r="T489" s="73"/>
      <c r="U489" s="65"/>
    </row>
    <row r="490" spans="2:21" x14ac:dyDescent="0.25">
      <c r="B490" s="65"/>
      <c r="C490" s="66"/>
      <c r="D490" s="66"/>
      <c r="E490" s="66"/>
      <c r="F490" s="65"/>
      <c r="G490" s="65"/>
      <c r="H490" s="67"/>
      <c r="I490" s="67"/>
      <c r="J490" s="68"/>
      <c r="K490" s="67"/>
      <c r="L490" s="67"/>
      <c r="M490" s="69"/>
      <c r="N490" s="70"/>
      <c r="O490" s="71"/>
      <c r="P490" s="71"/>
      <c r="Q490" s="72"/>
      <c r="R490" s="73"/>
      <c r="S490" s="67"/>
      <c r="T490" s="73"/>
      <c r="U490" s="65"/>
    </row>
    <row r="491" spans="2:21" x14ac:dyDescent="0.25">
      <c r="B491" s="65"/>
      <c r="C491" s="66"/>
      <c r="D491" s="66"/>
      <c r="E491" s="66"/>
      <c r="F491" s="65"/>
      <c r="G491" s="65"/>
      <c r="H491" s="67"/>
      <c r="I491" s="67"/>
      <c r="J491" s="68"/>
      <c r="K491" s="67"/>
      <c r="L491" s="67"/>
      <c r="M491" s="69"/>
      <c r="N491" s="70"/>
      <c r="O491" s="71"/>
      <c r="P491" s="71"/>
      <c r="Q491" s="72"/>
      <c r="R491" s="73"/>
      <c r="S491" s="67"/>
      <c r="T491" s="73"/>
      <c r="U491" s="65"/>
    </row>
    <row r="492" spans="2:21" x14ac:dyDescent="0.25">
      <c r="B492" s="65"/>
      <c r="C492" s="66"/>
      <c r="D492" s="66"/>
      <c r="E492" s="66"/>
      <c r="F492" s="65"/>
      <c r="G492" s="65"/>
      <c r="H492" s="67"/>
      <c r="I492" s="67"/>
      <c r="J492" s="68"/>
      <c r="K492" s="67"/>
      <c r="L492" s="67"/>
      <c r="M492" s="69"/>
      <c r="N492" s="70"/>
      <c r="O492" s="71"/>
      <c r="P492" s="71"/>
      <c r="Q492" s="72"/>
      <c r="R492" s="73"/>
      <c r="S492" s="67"/>
      <c r="T492" s="73"/>
      <c r="U492" s="65"/>
    </row>
    <row r="493" spans="2:21" x14ac:dyDescent="0.25">
      <c r="B493" s="65"/>
      <c r="C493" s="66"/>
      <c r="D493" s="66"/>
      <c r="E493" s="66"/>
      <c r="F493" s="65"/>
      <c r="G493" s="65"/>
      <c r="H493" s="67"/>
      <c r="I493" s="67"/>
      <c r="J493" s="68"/>
      <c r="K493" s="67"/>
      <c r="L493" s="67"/>
      <c r="M493" s="69"/>
      <c r="N493" s="70"/>
      <c r="O493" s="71"/>
      <c r="P493" s="71"/>
      <c r="Q493" s="72"/>
      <c r="R493" s="73"/>
      <c r="S493" s="67"/>
      <c r="T493" s="73"/>
      <c r="U493" s="65"/>
    </row>
    <row r="494" spans="2:21" x14ac:dyDescent="0.25">
      <c r="B494" s="65"/>
      <c r="C494" s="66"/>
      <c r="D494" s="66"/>
      <c r="E494" s="66"/>
      <c r="F494" s="65"/>
      <c r="G494" s="65"/>
      <c r="H494" s="67"/>
      <c r="I494" s="67"/>
      <c r="J494" s="68"/>
      <c r="K494" s="67"/>
      <c r="L494" s="67"/>
      <c r="M494" s="69"/>
      <c r="N494" s="70"/>
      <c r="O494" s="71"/>
      <c r="P494" s="71"/>
      <c r="Q494" s="72"/>
      <c r="R494" s="73"/>
      <c r="S494" s="67"/>
      <c r="T494" s="73"/>
      <c r="U494" s="65"/>
    </row>
    <row r="495" spans="2:21" x14ac:dyDescent="0.25">
      <c r="B495" s="65"/>
      <c r="C495" s="66"/>
      <c r="D495" s="66"/>
      <c r="E495" s="66"/>
      <c r="F495" s="65"/>
      <c r="G495" s="65"/>
      <c r="H495" s="67"/>
      <c r="I495" s="67"/>
      <c r="J495" s="68"/>
      <c r="K495" s="67"/>
      <c r="L495" s="67"/>
      <c r="M495" s="69"/>
      <c r="N495" s="70"/>
      <c r="O495" s="71"/>
      <c r="P495" s="71"/>
      <c r="Q495" s="72"/>
      <c r="R495" s="73"/>
      <c r="S495" s="67"/>
      <c r="T495" s="73"/>
      <c r="U495" s="65"/>
    </row>
    <row r="496" spans="2:21" x14ac:dyDescent="0.25">
      <c r="B496" s="65"/>
      <c r="C496" s="66"/>
      <c r="D496" s="66"/>
      <c r="E496" s="66"/>
      <c r="F496" s="65"/>
      <c r="G496" s="65"/>
      <c r="H496" s="67"/>
      <c r="I496" s="67"/>
      <c r="J496" s="68"/>
      <c r="K496" s="67"/>
      <c r="L496" s="67"/>
      <c r="M496" s="69"/>
      <c r="N496" s="70"/>
      <c r="O496" s="71"/>
      <c r="P496" s="71"/>
      <c r="Q496" s="72"/>
      <c r="R496" s="73"/>
      <c r="S496" s="67"/>
      <c r="T496" s="73"/>
      <c r="U496" s="65"/>
    </row>
    <row r="497" spans="2:21" x14ac:dyDescent="0.25">
      <c r="B497" s="65"/>
      <c r="C497" s="66"/>
      <c r="D497" s="66"/>
      <c r="E497" s="66"/>
      <c r="F497" s="65"/>
      <c r="G497" s="65"/>
      <c r="H497" s="67"/>
      <c r="I497" s="67"/>
      <c r="J497" s="68"/>
      <c r="K497" s="67"/>
      <c r="L497" s="67"/>
      <c r="M497" s="69"/>
      <c r="N497" s="70"/>
      <c r="O497" s="71"/>
      <c r="P497" s="71"/>
      <c r="Q497" s="72"/>
      <c r="R497" s="73"/>
      <c r="S497" s="67"/>
      <c r="T497" s="73"/>
      <c r="U497" s="65"/>
    </row>
    <row r="498" spans="2:21" x14ac:dyDescent="0.25">
      <c r="B498" s="65"/>
      <c r="C498" s="66"/>
      <c r="D498" s="66"/>
      <c r="E498" s="66"/>
      <c r="F498" s="65"/>
      <c r="G498" s="65"/>
      <c r="H498" s="67"/>
      <c r="I498" s="67"/>
      <c r="J498" s="68"/>
      <c r="K498" s="67"/>
      <c r="L498" s="67"/>
      <c r="M498" s="69"/>
      <c r="N498" s="70"/>
      <c r="O498" s="71"/>
      <c r="P498" s="71"/>
      <c r="Q498" s="72"/>
      <c r="R498" s="73"/>
      <c r="S498" s="67"/>
      <c r="T498" s="73"/>
      <c r="U498" s="65"/>
    </row>
    <row r="499" spans="2:21" x14ac:dyDescent="0.25">
      <c r="B499" s="65"/>
      <c r="C499" s="66"/>
      <c r="D499" s="66"/>
      <c r="E499" s="66"/>
      <c r="F499" s="65"/>
      <c r="G499" s="65"/>
      <c r="H499" s="67"/>
      <c r="I499" s="67"/>
      <c r="J499" s="68"/>
      <c r="K499" s="67"/>
      <c r="L499" s="67"/>
      <c r="M499" s="69"/>
      <c r="N499" s="70"/>
      <c r="O499" s="71"/>
      <c r="P499" s="71"/>
      <c r="Q499" s="72"/>
      <c r="R499" s="73"/>
      <c r="S499" s="67"/>
      <c r="T499" s="73"/>
      <c r="U499" s="65"/>
    </row>
    <row r="500" spans="2:21" x14ac:dyDescent="0.25">
      <c r="B500" s="65"/>
      <c r="C500" s="66"/>
      <c r="D500" s="66"/>
      <c r="E500" s="66"/>
      <c r="F500" s="65"/>
      <c r="G500" s="65"/>
      <c r="H500" s="67"/>
      <c r="I500" s="67"/>
      <c r="J500" s="68"/>
      <c r="K500" s="67"/>
      <c r="L500" s="67"/>
      <c r="M500" s="69"/>
      <c r="N500" s="70"/>
      <c r="O500" s="71"/>
      <c r="P500" s="71"/>
      <c r="Q500" s="72"/>
      <c r="R500" s="73"/>
      <c r="S500" s="67"/>
      <c r="T500" s="73"/>
      <c r="U500" s="65"/>
    </row>
    <row r="501" spans="2:21" x14ac:dyDescent="0.25">
      <c r="B501" s="65"/>
      <c r="C501" s="66"/>
      <c r="D501" s="66"/>
      <c r="E501" s="66"/>
      <c r="F501" s="65"/>
      <c r="G501" s="65"/>
      <c r="H501" s="67"/>
      <c r="I501" s="67"/>
      <c r="J501" s="68"/>
      <c r="K501" s="67"/>
      <c r="L501" s="67"/>
      <c r="M501" s="69"/>
      <c r="N501" s="70"/>
      <c r="O501" s="71"/>
      <c r="P501" s="71"/>
      <c r="Q501" s="72"/>
      <c r="R501" s="73"/>
      <c r="S501" s="67"/>
      <c r="T501" s="73"/>
      <c r="U501" s="65"/>
    </row>
    <row r="502" spans="2:21" x14ac:dyDescent="0.25">
      <c r="B502" s="65"/>
      <c r="C502" s="66"/>
      <c r="D502" s="66"/>
      <c r="E502" s="66"/>
      <c r="F502" s="65"/>
      <c r="G502" s="65"/>
      <c r="H502" s="67"/>
      <c r="I502" s="67"/>
      <c r="J502" s="68"/>
      <c r="K502" s="67"/>
      <c r="L502" s="67"/>
      <c r="M502" s="69"/>
      <c r="N502" s="70"/>
      <c r="O502" s="71"/>
      <c r="P502" s="71"/>
      <c r="Q502" s="72"/>
      <c r="R502" s="73"/>
      <c r="S502" s="67"/>
      <c r="T502" s="73"/>
      <c r="U502" s="65"/>
    </row>
    <row r="503" spans="2:21" x14ac:dyDescent="0.25">
      <c r="B503" s="65"/>
      <c r="C503" s="66"/>
      <c r="D503" s="66"/>
      <c r="E503" s="66"/>
      <c r="F503" s="65"/>
      <c r="G503" s="65"/>
      <c r="H503" s="67"/>
      <c r="I503" s="67"/>
      <c r="J503" s="68"/>
      <c r="K503" s="67"/>
      <c r="L503" s="67"/>
      <c r="M503" s="69"/>
      <c r="N503" s="70"/>
      <c r="O503" s="71"/>
      <c r="P503" s="71"/>
      <c r="Q503" s="72"/>
      <c r="R503" s="73"/>
      <c r="S503" s="67"/>
      <c r="T503" s="73"/>
      <c r="U503" s="65"/>
    </row>
    <row r="504" spans="2:21" x14ac:dyDescent="0.25">
      <c r="B504" s="65"/>
      <c r="C504" s="66"/>
      <c r="D504" s="66"/>
      <c r="E504" s="66"/>
      <c r="F504" s="65"/>
      <c r="G504" s="65"/>
      <c r="H504" s="67"/>
      <c r="I504" s="67"/>
      <c r="J504" s="68"/>
      <c r="K504" s="67"/>
      <c r="L504" s="67"/>
      <c r="M504" s="69"/>
      <c r="N504" s="70"/>
      <c r="O504" s="71"/>
      <c r="P504" s="71"/>
      <c r="Q504" s="72"/>
      <c r="R504" s="73"/>
      <c r="S504" s="67"/>
      <c r="T504" s="73"/>
      <c r="U504" s="65"/>
    </row>
    <row r="505" spans="2:21" x14ac:dyDescent="0.25">
      <c r="B505" s="65"/>
      <c r="C505" s="66"/>
      <c r="D505" s="66"/>
      <c r="E505" s="66"/>
      <c r="F505" s="65"/>
      <c r="G505" s="65"/>
      <c r="H505" s="67"/>
      <c r="I505" s="67"/>
      <c r="J505" s="68"/>
      <c r="K505" s="67"/>
      <c r="L505" s="67"/>
      <c r="M505" s="69"/>
      <c r="N505" s="70"/>
      <c r="O505" s="71"/>
      <c r="P505" s="71"/>
      <c r="Q505" s="72"/>
      <c r="R505" s="73"/>
      <c r="S505" s="67"/>
      <c r="T505" s="73"/>
      <c r="U505" s="65"/>
    </row>
    <row r="506" spans="2:21" x14ac:dyDescent="0.25">
      <c r="B506" s="65"/>
      <c r="C506" s="66"/>
      <c r="D506" s="66"/>
      <c r="E506" s="66"/>
      <c r="F506" s="65"/>
      <c r="G506" s="65"/>
      <c r="H506" s="67"/>
      <c r="I506" s="67"/>
      <c r="J506" s="68"/>
      <c r="K506" s="67"/>
      <c r="L506" s="67"/>
      <c r="M506" s="69"/>
      <c r="N506" s="70"/>
      <c r="O506" s="71"/>
      <c r="P506" s="71"/>
      <c r="Q506" s="72"/>
      <c r="R506" s="73"/>
      <c r="S506" s="67"/>
      <c r="T506" s="73"/>
      <c r="U506" s="65"/>
    </row>
    <row r="507" spans="2:21" x14ac:dyDescent="0.25">
      <c r="B507" s="65"/>
      <c r="C507" s="66"/>
      <c r="D507" s="66"/>
      <c r="E507" s="66"/>
      <c r="F507" s="65"/>
      <c r="G507" s="65"/>
      <c r="H507" s="67"/>
      <c r="I507" s="67"/>
      <c r="J507" s="68"/>
      <c r="K507" s="67"/>
      <c r="L507" s="67"/>
      <c r="M507" s="69"/>
      <c r="N507" s="70"/>
      <c r="O507" s="71"/>
      <c r="P507" s="71"/>
      <c r="Q507" s="72"/>
      <c r="R507" s="73"/>
      <c r="S507" s="67"/>
      <c r="T507" s="73"/>
      <c r="U507" s="65"/>
    </row>
  </sheetData>
  <sheetProtection password="930D" sheet="1" objects="1" scenarios="1" formatColumns="0" autoFilter="0"/>
  <mergeCells count="3">
    <mergeCell ref="B6:C6"/>
    <mergeCell ref="D6:F6"/>
    <mergeCell ref="G6:K6"/>
  </mergeCells>
  <conditionalFormatting sqref="B8:U507">
    <cfRule type="expression" dxfId="76" priority="18">
      <formula>AND($B8&lt;&gt;"",MOD(ROW(),2)=0)</formula>
    </cfRule>
  </conditionalFormatting>
  <conditionalFormatting sqref="D6:F6">
    <cfRule type="expression" dxfId="75" priority="19">
      <formula>kpiNuevosDesdeCalculo=0</formula>
    </cfRule>
    <cfRule type="expression" dxfId="74" priority="20">
      <formula>kpiNuevosDesdeCalculo&gt;0</formula>
    </cfRule>
  </conditionalFormatting>
  <conditionalFormatting sqref="H8:H507">
    <cfRule type="expression" dxfId="73" priority="10">
      <formula>AND(ISNUMBER(H8),H8&lt;&gt;INT(H8))</formula>
    </cfRule>
  </conditionalFormatting>
  <conditionalFormatting sqref="I8:I507">
    <cfRule type="expression" dxfId="72" priority="11">
      <formula>AND(ISNUMBER(I8),I8&lt;&gt;INT(I8))</formula>
    </cfRule>
  </conditionalFormatting>
  <conditionalFormatting sqref="J8:J507">
    <cfRule type="expression" dxfId="71" priority="12">
      <formula>AND(ISNUMBER(J8),J8&lt;&gt;INT(J8))</formula>
    </cfRule>
  </conditionalFormatting>
  <conditionalFormatting sqref="K8:K507">
    <cfRule type="expression" dxfId="70" priority="13">
      <formula>AND(ISNUMBER(K8),K8&lt;&gt;INT(K8))</formula>
    </cfRule>
  </conditionalFormatting>
  <conditionalFormatting sqref="L8:L507">
    <cfRule type="expression" dxfId="69" priority="14">
      <formula>AND(ISNUMBER(L8),L8&lt;&gt;INT(L8))</formula>
    </cfRule>
  </conditionalFormatting>
  <conditionalFormatting sqref="M8:M507">
    <cfRule type="dataBar" priority="8">
      <dataBar>
        <cfvo type="num" val="0"/>
        <cfvo type="num" val="1"/>
        <color rgb="FF90CAF9"/>
      </dataBar>
      <extLst>
        <ext xmlns:x14="http://schemas.microsoft.com/office/spreadsheetml/2009/9/main" uri="{B025F937-C7B1-47D3-B67F-A62EFF666E3E}">
          <x14:id>{DA7ABA51-AAAA-BBBB-000E-000000000001}</x14:id>
        </ext>
      </extLst>
    </cfRule>
  </conditionalFormatting>
  <conditionalFormatting sqref="N8:N507">
    <cfRule type="expression" dxfId="68" priority="1">
      <formula>$N8="INCONSISTENTE"</formula>
    </cfRule>
    <cfRule type="expression" dxfId="67" priority="2">
      <formula>$N8="AGOTADO"</formula>
    </cfRule>
    <cfRule type="expression" dxfId="66" priority="3">
      <formula>$N8="CRÍTICO"</formula>
    </cfRule>
    <cfRule type="expression" dxfId="65" priority="4">
      <formula>$N8="BAJO"</formula>
    </cfRule>
    <cfRule type="expression" dxfId="64" priority="5">
      <formula>$N8="ÓPTIMO"</formula>
    </cfRule>
    <cfRule type="expression" dxfId="63" priority="6">
      <formula>$N8="SOBRESTOCK"</formula>
    </cfRule>
    <cfRule type="expression" dxfId="62" priority="7">
      <formula>$N8="INACTIVO"</formula>
    </cfRule>
  </conditionalFormatting>
  <conditionalFormatting sqref="R8:R507">
    <cfRule type="expression" dxfId="61" priority="9">
      <formula>AND(ISNUMBER($R8),$R8&gt;cfgDiasSinRotacion,$J8&gt;0)</formula>
    </cfRule>
  </conditionalFormatting>
  <conditionalFormatting sqref="T8:T507">
    <cfRule type="expression" dxfId="60" priority="15" stopIfTrue="1">
      <formula>AND(ISNUMBER($T8),$T8&lt;3)</formula>
    </cfRule>
    <cfRule type="expression" dxfId="59" priority="16" stopIfTrue="1">
      <formula>AND(ISNUMBER($T8),$T8&lt;7)</formula>
    </cfRule>
  </conditionalFormatting>
  <conditionalFormatting sqref="U8:U507">
    <cfRule type="expression" dxfId="58" priority="17">
      <formula>AND(ISNUMBER($U8),$U8&lt;=10)</formula>
    </cfRule>
  </conditionalFormatting>
  <hyperlinks>
    <hyperlink ref="H5" location="'00_PORTADA_BODEGA'!A1" tooltip="Portada de Bodega" display="⌂ Bodega" xr:uid="{00000000-0004-0000-0D00-000000000000}"/>
    <hyperlink ref="I5" location="'00_PORTADA_VENTAS'!A1" tooltip="Portada de Ventas" display="⌂ Ventas" xr:uid="{00000000-0004-0000-0D00-000001000000}"/>
    <hyperlink ref="J5" location="'00_PORTADA_GERENCIA'!A1" tooltip="Portada de Gerencia: indicadores, pedido y actividad" display="◈ Gerencia" xr:uid="{00000000-0004-0000-0D00-000002000000}"/>
    <hyperlink ref="K5" location="'10A_ENTRADAS'!C9" tooltip="Registrar entradas y ajustes (Bodega)" display="⇩ Entradas" xr:uid="{00000000-0004-0000-0D00-000003000000}"/>
    <hyperlink ref="L5" location="'10B_SALIDAS'!E9" tooltip="Registrar salidas (Ventas)" display="⇧ Salidas" xr:uid="{00000000-0004-0000-0D00-000004000000}"/>
    <hyperlink ref="M5" location="'17_CONSULTA'!C9" tooltip="Consultar un producto en su fila" display="⌕ Consulta" xr:uid="{00000000-0004-0000-0D00-000005000000}"/>
    <hyperlink ref="N5" location="'15_STOCK'!A1" tooltip="Stock (instantánea recalculada a demanda)" display="▦ Stock" xr:uid="{00000000-0004-0000-0D00-000006000000}"/>
    <hyperlink ref="O5" location="'18_PEDIDO'!A1" tooltip="Pedido sugerido por proveedor" display="✚ Pedido" xr:uid="{00000000-0004-0000-0D00-000007000000}"/>
    <hyperlink ref="P5" location="'13_CONTEO'!I9" tooltip="Toma física (conteo) colaborativa" display="✓ Conteo" xr:uid="{00000000-0004-0000-0D00-000008000000}"/>
    <hyperlink ref="Q5" location="'99_AYUDA'!A1" tooltip="Guía de uso, acceso e instalación" display="? Guía" xr:uid="{00000000-0004-0000-0D00-000009000000}"/>
  </hyperlinks>
  <pageMargins left="0.7" right="0.7" top="0.75" bottom="0.75" header="0.3" footer="0.3"/>
  <pageSetup fitToHeight="0"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E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0CAF9"/>
              <x14:negativeFillColor rgb="FFFF0000"/>
              <x14:negativeBorderColor rgb="FFFF0000"/>
              <x14:axisColor rgb="FF000000"/>
            </x14:dataBar>
          </x14:cfRule>
          <xm:sqref>M8:M507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62828"/>
    <pageSetUpPr fitToPage="1"/>
  </sheetPr>
  <dimension ref="B1:O507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6.85546875" customWidth="1"/>
    <col min="3" max="3" width="18.5703125" customWidth="1"/>
    <col min="4" max="4" width="12" customWidth="1"/>
    <col min="5" max="5" width="38.5703125" customWidth="1"/>
    <col min="6" max="6" width="22.85546875" customWidth="1"/>
    <col min="7" max="7" width="28.5703125" customWidth="1"/>
    <col min="8" max="8" width="12.85546875" customWidth="1"/>
    <col min="9" max="10" width="13.7109375" customWidth="1"/>
    <col min="11" max="11" width="12" customWidth="1"/>
    <col min="12" max="12" width="13.7109375" customWidth="1"/>
    <col min="13" max="13" width="19.42578125" customWidth="1"/>
    <col min="14" max="14" width="35.7109375" customWidth="1"/>
    <col min="15" max="15" width="16.85546875" customWidth="1"/>
    <col min="16" max="16" width="2.28515625" customWidth="1"/>
    <col min="17" max="17" width="0" hidden="1" customWidth="1"/>
  </cols>
  <sheetData>
    <row r="1" spans="2:15" s="1" customFormat="1" ht="4.5" customHeight="1" x14ac:dyDescent="0.25"/>
    <row r="2" spans="2:15" s="1" customFormat="1" ht="22.5" customHeight="1" x14ac:dyDescent="0.25">
      <c r="B2" s="2" t="s">
        <v>2347</v>
      </c>
    </row>
    <row r="3" spans="2:15" s="1" customFormat="1" ht="14.25" x14ac:dyDescent="0.25">
      <c r="B3" s="3" t="s">
        <v>2348</v>
      </c>
    </row>
    <row r="4" spans="2:15" s="1" customFormat="1" ht="4.5" customHeight="1" x14ac:dyDescent="0.25"/>
    <row r="5" spans="2:15" s="4" customFormat="1" ht="21" customHeight="1" x14ac:dyDescent="0.25">
      <c r="B5" s="125" t="s">
        <v>85</v>
      </c>
      <c r="C5" s="125"/>
      <c r="D5" s="6" t="s">
        <v>86</v>
      </c>
      <c r="E5" s="6" t="s">
        <v>87</v>
      </c>
      <c r="F5" s="6" t="s">
        <v>88</v>
      </c>
      <c r="G5" s="6" t="s">
        <v>89</v>
      </c>
      <c r="H5" s="6" t="s">
        <v>90</v>
      </c>
      <c r="I5" s="6" t="s">
        <v>91</v>
      </c>
      <c r="J5" s="6" t="s">
        <v>92</v>
      </c>
      <c r="K5" s="6" t="s">
        <v>93</v>
      </c>
      <c r="L5" s="6" t="s">
        <v>94</v>
      </c>
    </row>
    <row r="6" spans="2:15" s="7" customFormat="1" ht="27" customHeight="1" x14ac:dyDescent="0.25">
      <c r="B6" s="126" t="str">
        <f>txtStockActualizado</f>
        <v>Calculado el 25/09/2026 14:40 · Administrador M-INV</v>
      </c>
      <c r="C6" s="126"/>
      <c r="D6" s="126"/>
      <c r="E6" s="126"/>
      <c r="F6" s="126" t="str">
        <f>txtFrescuraCorta</f>
        <v>⚠ 3 mov. nuevo(s): recalcule</v>
      </c>
      <c r="G6" s="126"/>
      <c r="H6" s="93" t="s">
        <v>2346</v>
      </c>
      <c r="I6" s="93"/>
      <c r="J6" s="93"/>
      <c r="K6" s="93"/>
      <c r="L6" s="93"/>
      <c r="M6" s="93"/>
    </row>
    <row r="7" spans="2:15" ht="24" customHeight="1" x14ac:dyDescent="0.25">
      <c r="B7" s="17" t="s">
        <v>2349</v>
      </c>
      <c r="C7" s="17" t="s">
        <v>59</v>
      </c>
      <c r="D7" s="17" t="s">
        <v>160</v>
      </c>
      <c r="E7" s="17" t="s">
        <v>161</v>
      </c>
      <c r="F7" s="17" t="s">
        <v>162</v>
      </c>
      <c r="G7" s="17" t="s">
        <v>119</v>
      </c>
      <c r="H7" s="17" t="s">
        <v>2350</v>
      </c>
      <c r="I7" s="17" t="s">
        <v>2351</v>
      </c>
      <c r="J7" s="17" t="s">
        <v>2352</v>
      </c>
      <c r="K7" s="17" t="s">
        <v>163</v>
      </c>
      <c r="L7" s="17" t="s">
        <v>2353</v>
      </c>
      <c r="M7" s="17" t="s">
        <v>2354</v>
      </c>
      <c r="N7" s="17" t="s">
        <v>2355</v>
      </c>
      <c r="O7" s="17" t="s">
        <v>2341</v>
      </c>
    </row>
    <row r="8" spans="2:15" x14ac:dyDescent="0.25">
      <c r="B8" s="74">
        <v>1</v>
      </c>
      <c r="C8" s="70" t="s">
        <v>66</v>
      </c>
      <c r="D8" s="65" t="s">
        <v>196</v>
      </c>
      <c r="E8" s="66" t="s">
        <v>197</v>
      </c>
      <c r="F8" s="66" t="s">
        <v>198</v>
      </c>
      <c r="G8" s="66" t="s">
        <v>133</v>
      </c>
      <c r="H8" s="68">
        <v>0</v>
      </c>
      <c r="I8" s="67">
        <v>4</v>
      </c>
      <c r="J8" s="67">
        <v>20</v>
      </c>
      <c r="K8" s="65" t="s">
        <v>199</v>
      </c>
      <c r="L8" s="67">
        <v>4</v>
      </c>
      <c r="M8" s="67">
        <v>20</v>
      </c>
      <c r="N8" s="66" t="s">
        <v>68</v>
      </c>
      <c r="O8" s="72">
        <v>46290</v>
      </c>
    </row>
    <row r="9" spans="2:15" x14ac:dyDescent="0.25">
      <c r="B9" s="74">
        <v>2</v>
      </c>
      <c r="C9" s="70" t="s">
        <v>66</v>
      </c>
      <c r="D9" s="65" t="s">
        <v>241</v>
      </c>
      <c r="E9" s="66" t="s">
        <v>242</v>
      </c>
      <c r="F9" s="66" t="s">
        <v>238</v>
      </c>
      <c r="G9" s="66" t="s">
        <v>143</v>
      </c>
      <c r="H9" s="68">
        <v>0</v>
      </c>
      <c r="I9" s="67">
        <v>6</v>
      </c>
      <c r="J9" s="67">
        <v>30</v>
      </c>
      <c r="K9" s="65" t="s">
        <v>239</v>
      </c>
      <c r="L9" s="67">
        <v>6</v>
      </c>
      <c r="M9" s="67">
        <v>30</v>
      </c>
      <c r="N9" s="66" t="s">
        <v>68</v>
      </c>
      <c r="O9" s="72">
        <v>46290</v>
      </c>
    </row>
    <row r="10" spans="2:15" x14ac:dyDescent="0.25">
      <c r="B10" s="74">
        <v>3</v>
      </c>
      <c r="C10" s="70" t="s">
        <v>66</v>
      </c>
      <c r="D10" s="65" t="s">
        <v>264</v>
      </c>
      <c r="E10" s="66" t="s">
        <v>265</v>
      </c>
      <c r="F10" s="66" t="s">
        <v>255</v>
      </c>
      <c r="G10" s="66" t="s">
        <v>148</v>
      </c>
      <c r="H10" s="68">
        <v>0</v>
      </c>
      <c r="I10" s="67">
        <v>4</v>
      </c>
      <c r="J10" s="67">
        <v>24</v>
      </c>
      <c r="K10" s="65" t="s">
        <v>256</v>
      </c>
      <c r="L10" s="67">
        <v>4</v>
      </c>
      <c r="M10" s="67">
        <v>24</v>
      </c>
      <c r="N10" s="66" t="s">
        <v>68</v>
      </c>
      <c r="O10" s="72">
        <v>46290</v>
      </c>
    </row>
    <row r="11" spans="2:15" x14ac:dyDescent="0.25">
      <c r="B11" s="74">
        <v>4</v>
      </c>
      <c r="C11" s="70" t="s">
        <v>69</v>
      </c>
      <c r="D11" s="65" t="s">
        <v>267</v>
      </c>
      <c r="E11" s="66" t="s">
        <v>268</v>
      </c>
      <c r="F11" s="66" t="s">
        <v>255</v>
      </c>
      <c r="G11" s="66" t="s">
        <v>148</v>
      </c>
      <c r="H11" s="68">
        <v>1</v>
      </c>
      <c r="I11" s="67">
        <v>8</v>
      </c>
      <c r="J11" s="67">
        <v>50</v>
      </c>
      <c r="K11" s="65" t="s">
        <v>173</v>
      </c>
      <c r="L11" s="67">
        <v>7</v>
      </c>
      <c r="M11" s="67">
        <v>49</v>
      </c>
      <c r="N11" s="66" t="s">
        <v>71</v>
      </c>
      <c r="O11" s="72">
        <v>46284</v>
      </c>
    </row>
    <row r="12" spans="2:15" x14ac:dyDescent="0.25">
      <c r="B12" s="74">
        <v>5</v>
      </c>
      <c r="C12" s="70" t="s">
        <v>69</v>
      </c>
      <c r="D12" s="65" t="s">
        <v>227</v>
      </c>
      <c r="E12" s="66" t="s">
        <v>228</v>
      </c>
      <c r="F12" s="66" t="s">
        <v>222</v>
      </c>
      <c r="G12" s="66" t="s">
        <v>138</v>
      </c>
      <c r="H12" s="68">
        <v>3</v>
      </c>
      <c r="I12" s="67">
        <v>8</v>
      </c>
      <c r="J12" s="67">
        <v>40</v>
      </c>
      <c r="K12" s="65" t="s">
        <v>181</v>
      </c>
      <c r="L12" s="67">
        <v>5</v>
      </c>
      <c r="M12" s="67">
        <v>37</v>
      </c>
      <c r="N12" s="66" t="s">
        <v>71</v>
      </c>
      <c r="O12" s="72">
        <v>46290</v>
      </c>
    </row>
    <row r="13" spans="2:15" x14ac:dyDescent="0.25">
      <c r="B13" s="74">
        <v>6</v>
      </c>
      <c r="C13" s="70" t="s">
        <v>69</v>
      </c>
      <c r="D13" s="65" t="s">
        <v>186</v>
      </c>
      <c r="E13" s="66" t="s">
        <v>187</v>
      </c>
      <c r="F13" s="66" t="s">
        <v>172</v>
      </c>
      <c r="G13" s="66" t="s">
        <v>128</v>
      </c>
      <c r="H13" s="68">
        <v>14</v>
      </c>
      <c r="I13" s="67">
        <v>25</v>
      </c>
      <c r="J13" s="67">
        <v>150</v>
      </c>
      <c r="K13" s="65" t="s">
        <v>181</v>
      </c>
      <c r="L13" s="67">
        <v>11</v>
      </c>
      <c r="M13" s="67">
        <v>136</v>
      </c>
      <c r="N13" s="66" t="s">
        <v>71</v>
      </c>
      <c r="O13" s="72">
        <v>46290</v>
      </c>
    </row>
    <row r="14" spans="2:15" x14ac:dyDescent="0.25">
      <c r="B14" s="74">
        <v>7</v>
      </c>
      <c r="C14" s="70" t="s">
        <v>72</v>
      </c>
      <c r="D14" s="65" t="s">
        <v>170</v>
      </c>
      <c r="E14" s="66" t="s">
        <v>171</v>
      </c>
      <c r="F14" s="66" t="s">
        <v>172</v>
      </c>
      <c r="G14" s="66" t="s">
        <v>128</v>
      </c>
      <c r="H14" s="68">
        <v>22</v>
      </c>
      <c r="I14" s="67">
        <v>20</v>
      </c>
      <c r="J14" s="67">
        <v>120</v>
      </c>
      <c r="K14" s="65" t="s">
        <v>173</v>
      </c>
      <c r="L14" s="67">
        <v>0</v>
      </c>
      <c r="M14" s="67">
        <v>98</v>
      </c>
      <c r="N14" s="66" t="s">
        <v>74</v>
      </c>
      <c r="O14" s="72">
        <v>46290</v>
      </c>
    </row>
    <row r="15" spans="2:15" x14ac:dyDescent="0.25">
      <c r="B15" s="74">
        <v>8</v>
      </c>
      <c r="C15" s="70" t="s">
        <v>72</v>
      </c>
      <c r="D15" s="65" t="s">
        <v>207</v>
      </c>
      <c r="E15" s="66" t="s">
        <v>208</v>
      </c>
      <c r="F15" s="66" t="s">
        <v>198</v>
      </c>
      <c r="G15" s="66" t="s">
        <v>133</v>
      </c>
      <c r="H15" s="68">
        <v>11</v>
      </c>
      <c r="I15" s="67">
        <v>10</v>
      </c>
      <c r="J15" s="67">
        <v>60</v>
      </c>
      <c r="K15" s="65" t="s">
        <v>181</v>
      </c>
      <c r="L15" s="67">
        <v>0</v>
      </c>
      <c r="M15" s="67">
        <v>49</v>
      </c>
      <c r="N15" s="66" t="s">
        <v>74</v>
      </c>
      <c r="O15" s="72">
        <v>46290</v>
      </c>
    </row>
    <row r="16" spans="2:15" x14ac:dyDescent="0.25">
      <c r="B16" s="74">
        <v>9</v>
      </c>
      <c r="C16" s="70" t="s">
        <v>72</v>
      </c>
      <c r="D16" s="65" t="s">
        <v>247</v>
      </c>
      <c r="E16" s="66" t="s">
        <v>248</v>
      </c>
      <c r="F16" s="66" t="s">
        <v>238</v>
      </c>
      <c r="G16" s="66" t="s">
        <v>143</v>
      </c>
      <c r="H16" s="68">
        <v>11</v>
      </c>
      <c r="I16" s="67">
        <v>10</v>
      </c>
      <c r="J16" s="67">
        <v>60</v>
      </c>
      <c r="K16" s="65" t="s">
        <v>181</v>
      </c>
      <c r="L16" s="67">
        <v>0</v>
      </c>
      <c r="M16" s="67">
        <v>49</v>
      </c>
      <c r="N16" s="66" t="s">
        <v>74</v>
      </c>
      <c r="O16" s="72">
        <v>46290</v>
      </c>
    </row>
    <row r="17" spans="2:15" x14ac:dyDescent="0.25">
      <c r="B17" s="74">
        <v>10</v>
      </c>
      <c r="C17" s="70" t="s">
        <v>72</v>
      </c>
      <c r="D17" s="65" t="s">
        <v>278</v>
      </c>
      <c r="E17" s="66" t="s">
        <v>279</v>
      </c>
      <c r="F17" s="66" t="s">
        <v>272</v>
      </c>
      <c r="G17" s="66" t="s">
        <v>148</v>
      </c>
      <c r="H17" s="68">
        <v>29</v>
      </c>
      <c r="I17" s="67">
        <v>25</v>
      </c>
      <c r="J17" s="67">
        <v>150</v>
      </c>
      <c r="K17" s="65" t="s">
        <v>177</v>
      </c>
      <c r="L17" s="67">
        <v>0</v>
      </c>
      <c r="M17" s="67">
        <v>121</v>
      </c>
      <c r="N17" s="66" t="s">
        <v>74</v>
      </c>
      <c r="O17" s="72">
        <v>46287</v>
      </c>
    </row>
    <row r="18" spans="2:15" x14ac:dyDescent="0.25">
      <c r="B18" s="74">
        <v>11</v>
      </c>
      <c r="C18" s="70" t="s">
        <v>78</v>
      </c>
      <c r="D18" s="65" t="s">
        <v>233</v>
      </c>
      <c r="E18" s="66" t="s">
        <v>234</v>
      </c>
      <c r="F18" s="66" t="s">
        <v>222</v>
      </c>
      <c r="G18" s="66" t="s">
        <v>138</v>
      </c>
      <c r="H18" s="68">
        <v>325</v>
      </c>
      <c r="I18" s="67">
        <v>40</v>
      </c>
      <c r="J18" s="67">
        <v>250</v>
      </c>
      <c r="K18" s="65" t="s">
        <v>181</v>
      </c>
      <c r="L18" s="67">
        <v>0</v>
      </c>
      <c r="M18" s="67">
        <v>0</v>
      </c>
      <c r="N18" s="66" t="s">
        <v>80</v>
      </c>
      <c r="O18" s="72">
        <v>46290</v>
      </c>
    </row>
    <row r="19" spans="2:15" x14ac:dyDescent="0.25">
      <c r="B19" s="74"/>
      <c r="C19" s="70"/>
      <c r="D19" s="65"/>
      <c r="E19" s="66"/>
      <c r="F19" s="66"/>
      <c r="G19" s="66"/>
      <c r="H19" s="68"/>
      <c r="I19" s="67"/>
      <c r="J19" s="67"/>
      <c r="K19" s="65"/>
      <c r="L19" s="67"/>
      <c r="M19" s="67"/>
      <c r="N19" s="66"/>
      <c r="O19" s="72"/>
    </row>
    <row r="20" spans="2:15" x14ac:dyDescent="0.25">
      <c r="B20" s="74"/>
      <c r="C20" s="70"/>
      <c r="D20" s="65"/>
      <c r="E20" s="66"/>
      <c r="F20" s="66"/>
      <c r="G20" s="66"/>
      <c r="H20" s="68"/>
      <c r="I20" s="67"/>
      <c r="J20" s="67"/>
      <c r="K20" s="65"/>
      <c r="L20" s="67"/>
      <c r="M20" s="67"/>
      <c r="N20" s="66"/>
      <c r="O20" s="72"/>
    </row>
    <row r="21" spans="2:15" x14ac:dyDescent="0.25">
      <c r="B21" s="74"/>
      <c r="C21" s="70"/>
      <c r="D21" s="65"/>
      <c r="E21" s="66"/>
      <c r="F21" s="66"/>
      <c r="G21" s="66"/>
      <c r="H21" s="68"/>
      <c r="I21" s="67"/>
      <c r="J21" s="67"/>
      <c r="K21" s="65"/>
      <c r="L21" s="67"/>
      <c r="M21" s="67"/>
      <c r="N21" s="66"/>
      <c r="O21" s="72"/>
    </row>
    <row r="22" spans="2:15" x14ac:dyDescent="0.25">
      <c r="B22" s="74"/>
      <c r="C22" s="70"/>
      <c r="D22" s="65"/>
      <c r="E22" s="66"/>
      <c r="F22" s="66"/>
      <c r="G22" s="66"/>
      <c r="H22" s="68"/>
      <c r="I22" s="67"/>
      <c r="J22" s="67"/>
      <c r="K22" s="65"/>
      <c r="L22" s="67"/>
      <c r="M22" s="67"/>
      <c r="N22" s="66"/>
      <c r="O22" s="72"/>
    </row>
    <row r="23" spans="2:15" x14ac:dyDescent="0.25">
      <c r="B23" s="74"/>
      <c r="C23" s="70"/>
      <c r="D23" s="65"/>
      <c r="E23" s="66"/>
      <c r="F23" s="66"/>
      <c r="G23" s="66"/>
      <c r="H23" s="68"/>
      <c r="I23" s="67"/>
      <c r="J23" s="67"/>
      <c r="K23" s="65"/>
      <c r="L23" s="67"/>
      <c r="M23" s="67"/>
      <c r="N23" s="66"/>
      <c r="O23" s="72"/>
    </row>
    <row r="24" spans="2:15" x14ac:dyDescent="0.25">
      <c r="B24" s="74"/>
      <c r="C24" s="70"/>
      <c r="D24" s="65"/>
      <c r="E24" s="66"/>
      <c r="F24" s="66"/>
      <c r="G24" s="66"/>
      <c r="H24" s="68"/>
      <c r="I24" s="67"/>
      <c r="J24" s="67"/>
      <c r="K24" s="65"/>
      <c r="L24" s="67"/>
      <c r="M24" s="67"/>
      <c r="N24" s="66"/>
      <c r="O24" s="72"/>
    </row>
    <row r="25" spans="2:15" x14ac:dyDescent="0.25">
      <c r="B25" s="74"/>
      <c r="C25" s="70"/>
      <c r="D25" s="65"/>
      <c r="E25" s="66"/>
      <c r="F25" s="66"/>
      <c r="G25" s="66"/>
      <c r="H25" s="68"/>
      <c r="I25" s="67"/>
      <c r="J25" s="67"/>
      <c r="K25" s="65"/>
      <c r="L25" s="67"/>
      <c r="M25" s="67"/>
      <c r="N25" s="66"/>
      <c r="O25" s="72"/>
    </row>
    <row r="26" spans="2:15" x14ac:dyDescent="0.25">
      <c r="B26" s="74"/>
      <c r="C26" s="70"/>
      <c r="D26" s="65"/>
      <c r="E26" s="66"/>
      <c r="F26" s="66"/>
      <c r="G26" s="66"/>
      <c r="H26" s="68"/>
      <c r="I26" s="67"/>
      <c r="J26" s="67"/>
      <c r="K26" s="65"/>
      <c r="L26" s="67"/>
      <c r="M26" s="67"/>
      <c r="N26" s="66"/>
      <c r="O26" s="72"/>
    </row>
    <row r="27" spans="2:15" x14ac:dyDescent="0.25">
      <c r="B27" s="74"/>
      <c r="C27" s="70"/>
      <c r="D27" s="65"/>
      <c r="E27" s="66"/>
      <c r="F27" s="66"/>
      <c r="G27" s="66"/>
      <c r="H27" s="68"/>
      <c r="I27" s="67"/>
      <c r="J27" s="67"/>
      <c r="K27" s="65"/>
      <c r="L27" s="67"/>
      <c r="M27" s="67"/>
      <c r="N27" s="66"/>
      <c r="O27" s="72"/>
    </row>
    <row r="28" spans="2:15" x14ac:dyDescent="0.25">
      <c r="B28" s="74"/>
      <c r="C28" s="70"/>
      <c r="D28" s="65"/>
      <c r="E28" s="66"/>
      <c r="F28" s="66"/>
      <c r="G28" s="66"/>
      <c r="H28" s="68"/>
      <c r="I28" s="67"/>
      <c r="J28" s="67"/>
      <c r="K28" s="65"/>
      <c r="L28" s="67"/>
      <c r="M28" s="67"/>
      <c r="N28" s="66"/>
      <c r="O28" s="72"/>
    </row>
    <row r="29" spans="2:15" x14ac:dyDescent="0.25">
      <c r="B29" s="74"/>
      <c r="C29" s="70"/>
      <c r="D29" s="65"/>
      <c r="E29" s="66"/>
      <c r="F29" s="66"/>
      <c r="G29" s="66"/>
      <c r="H29" s="68"/>
      <c r="I29" s="67"/>
      <c r="J29" s="67"/>
      <c r="K29" s="65"/>
      <c r="L29" s="67"/>
      <c r="M29" s="67"/>
      <c r="N29" s="66"/>
      <c r="O29" s="72"/>
    </row>
    <row r="30" spans="2:15" x14ac:dyDescent="0.25">
      <c r="B30" s="74"/>
      <c r="C30" s="70"/>
      <c r="D30" s="65"/>
      <c r="E30" s="66"/>
      <c r="F30" s="66"/>
      <c r="G30" s="66"/>
      <c r="H30" s="68"/>
      <c r="I30" s="67"/>
      <c r="J30" s="67"/>
      <c r="K30" s="65"/>
      <c r="L30" s="67"/>
      <c r="M30" s="67"/>
      <c r="N30" s="66"/>
      <c r="O30" s="72"/>
    </row>
    <row r="31" spans="2:15" x14ac:dyDescent="0.25">
      <c r="B31" s="74"/>
      <c r="C31" s="70"/>
      <c r="D31" s="65"/>
      <c r="E31" s="66"/>
      <c r="F31" s="66"/>
      <c r="G31" s="66"/>
      <c r="H31" s="68"/>
      <c r="I31" s="67"/>
      <c r="J31" s="67"/>
      <c r="K31" s="65"/>
      <c r="L31" s="67"/>
      <c r="M31" s="67"/>
      <c r="N31" s="66"/>
      <c r="O31" s="72"/>
    </row>
    <row r="32" spans="2:15" x14ac:dyDescent="0.25">
      <c r="B32" s="74"/>
      <c r="C32" s="70"/>
      <c r="D32" s="65"/>
      <c r="E32" s="66"/>
      <c r="F32" s="66"/>
      <c r="G32" s="66"/>
      <c r="H32" s="68"/>
      <c r="I32" s="67"/>
      <c r="J32" s="67"/>
      <c r="K32" s="65"/>
      <c r="L32" s="67"/>
      <c r="M32" s="67"/>
      <c r="N32" s="66"/>
      <c r="O32" s="72"/>
    </row>
    <row r="33" spans="2:15" x14ac:dyDescent="0.25">
      <c r="B33" s="74"/>
      <c r="C33" s="70"/>
      <c r="D33" s="65"/>
      <c r="E33" s="66"/>
      <c r="F33" s="66"/>
      <c r="G33" s="66"/>
      <c r="H33" s="68"/>
      <c r="I33" s="67"/>
      <c r="J33" s="67"/>
      <c r="K33" s="65"/>
      <c r="L33" s="67"/>
      <c r="M33" s="67"/>
      <c r="N33" s="66"/>
      <c r="O33" s="72"/>
    </row>
    <row r="34" spans="2:15" x14ac:dyDescent="0.25">
      <c r="B34" s="74"/>
      <c r="C34" s="70"/>
      <c r="D34" s="65"/>
      <c r="E34" s="66"/>
      <c r="F34" s="66"/>
      <c r="G34" s="66"/>
      <c r="H34" s="68"/>
      <c r="I34" s="67"/>
      <c r="J34" s="67"/>
      <c r="K34" s="65"/>
      <c r="L34" s="67"/>
      <c r="M34" s="67"/>
      <c r="N34" s="66"/>
      <c r="O34" s="72"/>
    </row>
    <row r="35" spans="2:15" x14ac:dyDescent="0.25">
      <c r="B35" s="74"/>
      <c r="C35" s="70"/>
      <c r="D35" s="65"/>
      <c r="E35" s="66"/>
      <c r="F35" s="66"/>
      <c r="G35" s="66"/>
      <c r="H35" s="68"/>
      <c r="I35" s="67"/>
      <c r="J35" s="67"/>
      <c r="K35" s="65"/>
      <c r="L35" s="67"/>
      <c r="M35" s="67"/>
      <c r="N35" s="66"/>
      <c r="O35" s="72"/>
    </row>
    <row r="36" spans="2:15" x14ac:dyDescent="0.25">
      <c r="B36" s="74"/>
      <c r="C36" s="70"/>
      <c r="D36" s="65"/>
      <c r="E36" s="66"/>
      <c r="F36" s="66"/>
      <c r="G36" s="66"/>
      <c r="H36" s="68"/>
      <c r="I36" s="67"/>
      <c r="J36" s="67"/>
      <c r="K36" s="65"/>
      <c r="L36" s="67"/>
      <c r="M36" s="67"/>
      <c r="N36" s="66"/>
      <c r="O36" s="72"/>
    </row>
    <row r="37" spans="2:15" x14ac:dyDescent="0.25">
      <c r="B37" s="74"/>
      <c r="C37" s="70"/>
      <c r="D37" s="65"/>
      <c r="E37" s="66"/>
      <c r="F37" s="66"/>
      <c r="G37" s="66"/>
      <c r="H37" s="68"/>
      <c r="I37" s="67"/>
      <c r="J37" s="67"/>
      <c r="K37" s="65"/>
      <c r="L37" s="67"/>
      <c r="M37" s="67"/>
      <c r="N37" s="66"/>
      <c r="O37" s="72"/>
    </row>
    <row r="38" spans="2:15" x14ac:dyDescent="0.25">
      <c r="B38" s="74"/>
      <c r="C38" s="70"/>
      <c r="D38" s="65"/>
      <c r="E38" s="66"/>
      <c r="F38" s="66"/>
      <c r="G38" s="66"/>
      <c r="H38" s="68"/>
      <c r="I38" s="67"/>
      <c r="J38" s="67"/>
      <c r="K38" s="65"/>
      <c r="L38" s="67"/>
      <c r="M38" s="67"/>
      <c r="N38" s="66"/>
      <c r="O38" s="72"/>
    </row>
    <row r="39" spans="2:15" x14ac:dyDescent="0.25">
      <c r="B39" s="74"/>
      <c r="C39" s="70"/>
      <c r="D39" s="65"/>
      <c r="E39" s="66"/>
      <c r="F39" s="66"/>
      <c r="G39" s="66"/>
      <c r="H39" s="68"/>
      <c r="I39" s="67"/>
      <c r="J39" s="67"/>
      <c r="K39" s="65"/>
      <c r="L39" s="67"/>
      <c r="M39" s="67"/>
      <c r="N39" s="66"/>
      <c r="O39" s="72"/>
    </row>
    <row r="40" spans="2:15" x14ac:dyDescent="0.25">
      <c r="B40" s="74"/>
      <c r="C40" s="70"/>
      <c r="D40" s="65"/>
      <c r="E40" s="66"/>
      <c r="F40" s="66"/>
      <c r="G40" s="66"/>
      <c r="H40" s="68"/>
      <c r="I40" s="67"/>
      <c r="J40" s="67"/>
      <c r="K40" s="65"/>
      <c r="L40" s="67"/>
      <c r="M40" s="67"/>
      <c r="N40" s="66"/>
      <c r="O40" s="72"/>
    </row>
    <row r="41" spans="2:15" x14ac:dyDescent="0.25">
      <c r="B41" s="74"/>
      <c r="C41" s="70"/>
      <c r="D41" s="65"/>
      <c r="E41" s="66"/>
      <c r="F41" s="66"/>
      <c r="G41" s="66"/>
      <c r="H41" s="68"/>
      <c r="I41" s="67"/>
      <c r="J41" s="67"/>
      <c r="K41" s="65"/>
      <c r="L41" s="67"/>
      <c r="M41" s="67"/>
      <c r="N41" s="66"/>
      <c r="O41" s="72"/>
    </row>
    <row r="42" spans="2:15" x14ac:dyDescent="0.25">
      <c r="B42" s="74"/>
      <c r="C42" s="70"/>
      <c r="D42" s="65"/>
      <c r="E42" s="66"/>
      <c r="F42" s="66"/>
      <c r="G42" s="66"/>
      <c r="H42" s="68"/>
      <c r="I42" s="67"/>
      <c r="J42" s="67"/>
      <c r="K42" s="65"/>
      <c r="L42" s="67"/>
      <c r="M42" s="67"/>
      <c r="N42" s="66"/>
      <c r="O42" s="72"/>
    </row>
    <row r="43" spans="2:15" x14ac:dyDescent="0.25">
      <c r="B43" s="74"/>
      <c r="C43" s="70"/>
      <c r="D43" s="65"/>
      <c r="E43" s="66"/>
      <c r="F43" s="66"/>
      <c r="G43" s="66"/>
      <c r="H43" s="68"/>
      <c r="I43" s="67"/>
      <c r="J43" s="67"/>
      <c r="K43" s="65"/>
      <c r="L43" s="67"/>
      <c r="M43" s="67"/>
      <c r="N43" s="66"/>
      <c r="O43" s="72"/>
    </row>
    <row r="44" spans="2:15" x14ac:dyDescent="0.25">
      <c r="B44" s="74"/>
      <c r="C44" s="70"/>
      <c r="D44" s="65"/>
      <c r="E44" s="66"/>
      <c r="F44" s="66"/>
      <c r="G44" s="66"/>
      <c r="H44" s="68"/>
      <c r="I44" s="67"/>
      <c r="J44" s="67"/>
      <c r="K44" s="65"/>
      <c r="L44" s="67"/>
      <c r="M44" s="67"/>
      <c r="N44" s="66"/>
      <c r="O44" s="72"/>
    </row>
    <row r="45" spans="2:15" x14ac:dyDescent="0.25">
      <c r="B45" s="74"/>
      <c r="C45" s="70"/>
      <c r="D45" s="65"/>
      <c r="E45" s="66"/>
      <c r="F45" s="66"/>
      <c r="G45" s="66"/>
      <c r="H45" s="68"/>
      <c r="I45" s="67"/>
      <c r="J45" s="67"/>
      <c r="K45" s="65"/>
      <c r="L45" s="67"/>
      <c r="M45" s="67"/>
      <c r="N45" s="66"/>
      <c r="O45" s="72"/>
    </row>
    <row r="46" spans="2:15" x14ac:dyDescent="0.25">
      <c r="B46" s="74"/>
      <c r="C46" s="70"/>
      <c r="D46" s="65"/>
      <c r="E46" s="66"/>
      <c r="F46" s="66"/>
      <c r="G46" s="66"/>
      <c r="H46" s="68"/>
      <c r="I46" s="67"/>
      <c r="J46" s="67"/>
      <c r="K46" s="65"/>
      <c r="L46" s="67"/>
      <c r="M46" s="67"/>
      <c r="N46" s="66"/>
      <c r="O46" s="72"/>
    </row>
    <row r="47" spans="2:15" x14ac:dyDescent="0.25">
      <c r="B47" s="74"/>
      <c r="C47" s="70"/>
      <c r="D47" s="65"/>
      <c r="E47" s="66"/>
      <c r="F47" s="66"/>
      <c r="G47" s="66"/>
      <c r="H47" s="68"/>
      <c r="I47" s="67"/>
      <c r="J47" s="67"/>
      <c r="K47" s="65"/>
      <c r="L47" s="67"/>
      <c r="M47" s="67"/>
      <c r="N47" s="66"/>
      <c r="O47" s="72"/>
    </row>
    <row r="48" spans="2:15" x14ac:dyDescent="0.25">
      <c r="B48" s="74"/>
      <c r="C48" s="70"/>
      <c r="D48" s="65"/>
      <c r="E48" s="66"/>
      <c r="F48" s="66"/>
      <c r="G48" s="66"/>
      <c r="H48" s="68"/>
      <c r="I48" s="67"/>
      <c r="J48" s="67"/>
      <c r="K48" s="65"/>
      <c r="L48" s="67"/>
      <c r="M48" s="67"/>
      <c r="N48" s="66"/>
      <c r="O48" s="72"/>
    </row>
    <row r="49" spans="2:15" x14ac:dyDescent="0.25">
      <c r="B49" s="74"/>
      <c r="C49" s="70"/>
      <c r="D49" s="65"/>
      <c r="E49" s="66"/>
      <c r="F49" s="66"/>
      <c r="G49" s="66"/>
      <c r="H49" s="68"/>
      <c r="I49" s="67"/>
      <c r="J49" s="67"/>
      <c r="K49" s="65"/>
      <c r="L49" s="67"/>
      <c r="M49" s="67"/>
      <c r="N49" s="66"/>
      <c r="O49" s="72"/>
    </row>
    <row r="50" spans="2:15" x14ac:dyDescent="0.25">
      <c r="B50" s="74"/>
      <c r="C50" s="70"/>
      <c r="D50" s="65"/>
      <c r="E50" s="66"/>
      <c r="F50" s="66"/>
      <c r="G50" s="66"/>
      <c r="H50" s="68"/>
      <c r="I50" s="67"/>
      <c r="J50" s="67"/>
      <c r="K50" s="65"/>
      <c r="L50" s="67"/>
      <c r="M50" s="67"/>
      <c r="N50" s="66"/>
      <c r="O50" s="72"/>
    </row>
    <row r="51" spans="2:15" x14ac:dyDescent="0.25">
      <c r="B51" s="74"/>
      <c r="C51" s="70"/>
      <c r="D51" s="65"/>
      <c r="E51" s="66"/>
      <c r="F51" s="66"/>
      <c r="G51" s="66"/>
      <c r="H51" s="68"/>
      <c r="I51" s="67"/>
      <c r="J51" s="67"/>
      <c r="K51" s="65"/>
      <c r="L51" s="67"/>
      <c r="M51" s="67"/>
      <c r="N51" s="66"/>
      <c r="O51" s="72"/>
    </row>
    <row r="52" spans="2:15" x14ac:dyDescent="0.25">
      <c r="B52" s="74"/>
      <c r="C52" s="70"/>
      <c r="D52" s="65"/>
      <c r="E52" s="66"/>
      <c r="F52" s="66"/>
      <c r="G52" s="66"/>
      <c r="H52" s="68"/>
      <c r="I52" s="67"/>
      <c r="J52" s="67"/>
      <c r="K52" s="65"/>
      <c r="L52" s="67"/>
      <c r="M52" s="67"/>
      <c r="N52" s="66"/>
      <c r="O52" s="72"/>
    </row>
    <row r="53" spans="2:15" x14ac:dyDescent="0.25">
      <c r="B53" s="74"/>
      <c r="C53" s="70"/>
      <c r="D53" s="65"/>
      <c r="E53" s="66"/>
      <c r="F53" s="66"/>
      <c r="G53" s="66"/>
      <c r="H53" s="68"/>
      <c r="I53" s="67"/>
      <c r="J53" s="67"/>
      <c r="K53" s="65"/>
      <c r="L53" s="67"/>
      <c r="M53" s="67"/>
      <c r="N53" s="66"/>
      <c r="O53" s="72"/>
    </row>
    <row r="54" spans="2:15" x14ac:dyDescent="0.25">
      <c r="B54" s="74"/>
      <c r="C54" s="70"/>
      <c r="D54" s="65"/>
      <c r="E54" s="66"/>
      <c r="F54" s="66"/>
      <c r="G54" s="66"/>
      <c r="H54" s="68"/>
      <c r="I54" s="67"/>
      <c r="J54" s="67"/>
      <c r="K54" s="65"/>
      <c r="L54" s="67"/>
      <c r="M54" s="67"/>
      <c r="N54" s="66"/>
      <c r="O54" s="72"/>
    </row>
    <row r="55" spans="2:15" x14ac:dyDescent="0.25">
      <c r="B55" s="74"/>
      <c r="C55" s="70"/>
      <c r="D55" s="65"/>
      <c r="E55" s="66"/>
      <c r="F55" s="66"/>
      <c r="G55" s="66"/>
      <c r="H55" s="68"/>
      <c r="I55" s="67"/>
      <c r="J55" s="67"/>
      <c r="K55" s="65"/>
      <c r="L55" s="67"/>
      <c r="M55" s="67"/>
      <c r="N55" s="66"/>
      <c r="O55" s="72"/>
    </row>
    <row r="56" spans="2:15" x14ac:dyDescent="0.25">
      <c r="B56" s="74"/>
      <c r="C56" s="70"/>
      <c r="D56" s="65"/>
      <c r="E56" s="66"/>
      <c r="F56" s="66"/>
      <c r="G56" s="66"/>
      <c r="H56" s="68"/>
      <c r="I56" s="67"/>
      <c r="J56" s="67"/>
      <c r="K56" s="65"/>
      <c r="L56" s="67"/>
      <c r="M56" s="67"/>
      <c r="N56" s="66"/>
      <c r="O56" s="72"/>
    </row>
    <row r="57" spans="2:15" x14ac:dyDescent="0.25">
      <c r="B57" s="74"/>
      <c r="C57" s="70"/>
      <c r="D57" s="65"/>
      <c r="E57" s="66"/>
      <c r="F57" s="66"/>
      <c r="G57" s="66"/>
      <c r="H57" s="68"/>
      <c r="I57" s="67"/>
      <c r="J57" s="67"/>
      <c r="K57" s="65"/>
      <c r="L57" s="67"/>
      <c r="M57" s="67"/>
      <c r="N57" s="66"/>
      <c r="O57" s="72"/>
    </row>
    <row r="58" spans="2:15" x14ac:dyDescent="0.25">
      <c r="B58" s="74"/>
      <c r="C58" s="70"/>
      <c r="D58" s="65"/>
      <c r="E58" s="66"/>
      <c r="F58" s="66"/>
      <c r="G58" s="66"/>
      <c r="H58" s="68"/>
      <c r="I58" s="67"/>
      <c r="J58" s="67"/>
      <c r="K58" s="65"/>
      <c r="L58" s="67"/>
      <c r="M58" s="67"/>
      <c r="N58" s="66"/>
      <c r="O58" s="72"/>
    </row>
    <row r="59" spans="2:15" x14ac:dyDescent="0.25">
      <c r="B59" s="74"/>
      <c r="C59" s="70"/>
      <c r="D59" s="65"/>
      <c r="E59" s="66"/>
      <c r="F59" s="66"/>
      <c r="G59" s="66"/>
      <c r="H59" s="68"/>
      <c r="I59" s="67"/>
      <c r="J59" s="67"/>
      <c r="K59" s="65"/>
      <c r="L59" s="67"/>
      <c r="M59" s="67"/>
      <c r="N59" s="66"/>
      <c r="O59" s="72"/>
    </row>
    <row r="60" spans="2:15" x14ac:dyDescent="0.25">
      <c r="B60" s="74"/>
      <c r="C60" s="70"/>
      <c r="D60" s="65"/>
      <c r="E60" s="66"/>
      <c r="F60" s="66"/>
      <c r="G60" s="66"/>
      <c r="H60" s="68"/>
      <c r="I60" s="67"/>
      <c r="J60" s="67"/>
      <c r="K60" s="65"/>
      <c r="L60" s="67"/>
      <c r="M60" s="67"/>
      <c r="N60" s="66"/>
      <c r="O60" s="72"/>
    </row>
    <row r="61" spans="2:15" x14ac:dyDescent="0.25">
      <c r="B61" s="74"/>
      <c r="C61" s="70"/>
      <c r="D61" s="65"/>
      <c r="E61" s="66"/>
      <c r="F61" s="66"/>
      <c r="G61" s="66"/>
      <c r="H61" s="68"/>
      <c r="I61" s="67"/>
      <c r="J61" s="67"/>
      <c r="K61" s="65"/>
      <c r="L61" s="67"/>
      <c r="M61" s="67"/>
      <c r="N61" s="66"/>
      <c r="O61" s="72"/>
    </row>
    <row r="62" spans="2:15" x14ac:dyDescent="0.25">
      <c r="B62" s="74"/>
      <c r="C62" s="70"/>
      <c r="D62" s="65"/>
      <c r="E62" s="66"/>
      <c r="F62" s="66"/>
      <c r="G62" s="66"/>
      <c r="H62" s="68"/>
      <c r="I62" s="67"/>
      <c r="J62" s="67"/>
      <c r="K62" s="65"/>
      <c r="L62" s="67"/>
      <c r="M62" s="67"/>
      <c r="N62" s="66"/>
      <c r="O62" s="72"/>
    </row>
    <row r="63" spans="2:15" x14ac:dyDescent="0.25">
      <c r="B63" s="74"/>
      <c r="C63" s="70"/>
      <c r="D63" s="65"/>
      <c r="E63" s="66"/>
      <c r="F63" s="66"/>
      <c r="G63" s="66"/>
      <c r="H63" s="68"/>
      <c r="I63" s="67"/>
      <c r="J63" s="67"/>
      <c r="K63" s="65"/>
      <c r="L63" s="67"/>
      <c r="M63" s="67"/>
      <c r="N63" s="66"/>
      <c r="O63" s="72"/>
    </row>
    <row r="64" spans="2:15" x14ac:dyDescent="0.25">
      <c r="B64" s="74"/>
      <c r="C64" s="70"/>
      <c r="D64" s="65"/>
      <c r="E64" s="66"/>
      <c r="F64" s="66"/>
      <c r="G64" s="66"/>
      <c r="H64" s="68"/>
      <c r="I64" s="67"/>
      <c r="J64" s="67"/>
      <c r="K64" s="65"/>
      <c r="L64" s="67"/>
      <c r="M64" s="67"/>
      <c r="N64" s="66"/>
      <c r="O64" s="72"/>
    </row>
    <row r="65" spans="2:15" x14ac:dyDescent="0.25">
      <c r="B65" s="74"/>
      <c r="C65" s="70"/>
      <c r="D65" s="65"/>
      <c r="E65" s="66"/>
      <c r="F65" s="66"/>
      <c r="G65" s="66"/>
      <c r="H65" s="68"/>
      <c r="I65" s="67"/>
      <c r="J65" s="67"/>
      <c r="K65" s="65"/>
      <c r="L65" s="67"/>
      <c r="M65" s="67"/>
      <c r="N65" s="66"/>
      <c r="O65" s="72"/>
    </row>
    <row r="66" spans="2:15" x14ac:dyDescent="0.25">
      <c r="B66" s="74"/>
      <c r="C66" s="70"/>
      <c r="D66" s="65"/>
      <c r="E66" s="66"/>
      <c r="F66" s="66"/>
      <c r="G66" s="66"/>
      <c r="H66" s="68"/>
      <c r="I66" s="67"/>
      <c r="J66" s="67"/>
      <c r="K66" s="65"/>
      <c r="L66" s="67"/>
      <c r="M66" s="67"/>
      <c r="N66" s="66"/>
      <c r="O66" s="72"/>
    </row>
    <row r="67" spans="2:15" x14ac:dyDescent="0.25">
      <c r="B67" s="74"/>
      <c r="C67" s="70"/>
      <c r="D67" s="65"/>
      <c r="E67" s="66"/>
      <c r="F67" s="66"/>
      <c r="G67" s="66"/>
      <c r="H67" s="68"/>
      <c r="I67" s="67"/>
      <c r="J67" s="67"/>
      <c r="K67" s="65"/>
      <c r="L67" s="67"/>
      <c r="M67" s="67"/>
      <c r="N67" s="66"/>
      <c r="O67" s="72"/>
    </row>
    <row r="68" spans="2:15" x14ac:dyDescent="0.25">
      <c r="B68" s="74"/>
      <c r="C68" s="70"/>
      <c r="D68" s="65"/>
      <c r="E68" s="66"/>
      <c r="F68" s="66"/>
      <c r="G68" s="66"/>
      <c r="H68" s="68"/>
      <c r="I68" s="67"/>
      <c r="J68" s="67"/>
      <c r="K68" s="65"/>
      <c r="L68" s="67"/>
      <c r="M68" s="67"/>
      <c r="N68" s="66"/>
      <c r="O68" s="72"/>
    </row>
    <row r="69" spans="2:15" x14ac:dyDescent="0.25">
      <c r="B69" s="74"/>
      <c r="C69" s="70"/>
      <c r="D69" s="65"/>
      <c r="E69" s="66"/>
      <c r="F69" s="66"/>
      <c r="G69" s="66"/>
      <c r="H69" s="68"/>
      <c r="I69" s="67"/>
      <c r="J69" s="67"/>
      <c r="K69" s="65"/>
      <c r="L69" s="67"/>
      <c r="M69" s="67"/>
      <c r="N69" s="66"/>
      <c r="O69" s="72"/>
    </row>
    <row r="70" spans="2:15" x14ac:dyDescent="0.25">
      <c r="B70" s="74"/>
      <c r="C70" s="70"/>
      <c r="D70" s="65"/>
      <c r="E70" s="66"/>
      <c r="F70" s="66"/>
      <c r="G70" s="66"/>
      <c r="H70" s="68"/>
      <c r="I70" s="67"/>
      <c r="J70" s="67"/>
      <c r="K70" s="65"/>
      <c r="L70" s="67"/>
      <c r="M70" s="67"/>
      <c r="N70" s="66"/>
      <c r="O70" s="72"/>
    </row>
    <row r="71" spans="2:15" x14ac:dyDescent="0.25">
      <c r="B71" s="74"/>
      <c r="C71" s="70"/>
      <c r="D71" s="65"/>
      <c r="E71" s="66"/>
      <c r="F71" s="66"/>
      <c r="G71" s="66"/>
      <c r="H71" s="68"/>
      <c r="I71" s="67"/>
      <c r="J71" s="67"/>
      <c r="K71" s="65"/>
      <c r="L71" s="67"/>
      <c r="M71" s="67"/>
      <c r="N71" s="66"/>
      <c r="O71" s="72"/>
    </row>
    <row r="72" spans="2:15" x14ac:dyDescent="0.25">
      <c r="B72" s="74"/>
      <c r="C72" s="70"/>
      <c r="D72" s="65"/>
      <c r="E72" s="66"/>
      <c r="F72" s="66"/>
      <c r="G72" s="66"/>
      <c r="H72" s="68"/>
      <c r="I72" s="67"/>
      <c r="J72" s="67"/>
      <c r="K72" s="65"/>
      <c r="L72" s="67"/>
      <c r="M72" s="67"/>
      <c r="N72" s="66"/>
      <c r="O72" s="72"/>
    </row>
    <row r="73" spans="2:15" x14ac:dyDescent="0.25">
      <c r="B73" s="74"/>
      <c r="C73" s="70"/>
      <c r="D73" s="65"/>
      <c r="E73" s="66"/>
      <c r="F73" s="66"/>
      <c r="G73" s="66"/>
      <c r="H73" s="68"/>
      <c r="I73" s="67"/>
      <c r="J73" s="67"/>
      <c r="K73" s="65"/>
      <c r="L73" s="67"/>
      <c r="M73" s="67"/>
      <c r="N73" s="66"/>
      <c r="O73" s="72"/>
    </row>
    <row r="74" spans="2:15" x14ac:dyDescent="0.25">
      <c r="B74" s="74"/>
      <c r="C74" s="70"/>
      <c r="D74" s="65"/>
      <c r="E74" s="66"/>
      <c r="F74" s="66"/>
      <c r="G74" s="66"/>
      <c r="H74" s="68"/>
      <c r="I74" s="67"/>
      <c r="J74" s="67"/>
      <c r="K74" s="65"/>
      <c r="L74" s="67"/>
      <c r="M74" s="67"/>
      <c r="N74" s="66"/>
      <c r="O74" s="72"/>
    </row>
    <row r="75" spans="2:15" x14ac:dyDescent="0.25">
      <c r="B75" s="74"/>
      <c r="C75" s="70"/>
      <c r="D75" s="65"/>
      <c r="E75" s="66"/>
      <c r="F75" s="66"/>
      <c r="G75" s="66"/>
      <c r="H75" s="68"/>
      <c r="I75" s="67"/>
      <c r="J75" s="67"/>
      <c r="K75" s="65"/>
      <c r="L75" s="67"/>
      <c r="M75" s="67"/>
      <c r="N75" s="66"/>
      <c r="O75" s="72"/>
    </row>
    <row r="76" spans="2:15" x14ac:dyDescent="0.25">
      <c r="B76" s="74"/>
      <c r="C76" s="70"/>
      <c r="D76" s="65"/>
      <c r="E76" s="66"/>
      <c r="F76" s="66"/>
      <c r="G76" s="66"/>
      <c r="H76" s="68"/>
      <c r="I76" s="67"/>
      <c r="J76" s="67"/>
      <c r="K76" s="65"/>
      <c r="L76" s="67"/>
      <c r="M76" s="67"/>
      <c r="N76" s="66"/>
      <c r="O76" s="72"/>
    </row>
    <row r="77" spans="2:15" x14ac:dyDescent="0.25">
      <c r="B77" s="74"/>
      <c r="C77" s="70"/>
      <c r="D77" s="65"/>
      <c r="E77" s="66"/>
      <c r="F77" s="66"/>
      <c r="G77" s="66"/>
      <c r="H77" s="68"/>
      <c r="I77" s="67"/>
      <c r="J77" s="67"/>
      <c r="K77" s="65"/>
      <c r="L77" s="67"/>
      <c r="M77" s="67"/>
      <c r="N77" s="66"/>
      <c r="O77" s="72"/>
    </row>
    <row r="78" spans="2:15" x14ac:dyDescent="0.25">
      <c r="B78" s="74"/>
      <c r="C78" s="70"/>
      <c r="D78" s="65"/>
      <c r="E78" s="66"/>
      <c r="F78" s="66"/>
      <c r="G78" s="66"/>
      <c r="H78" s="68"/>
      <c r="I78" s="67"/>
      <c r="J78" s="67"/>
      <c r="K78" s="65"/>
      <c r="L78" s="67"/>
      <c r="M78" s="67"/>
      <c r="N78" s="66"/>
      <c r="O78" s="72"/>
    </row>
    <row r="79" spans="2:15" x14ac:dyDescent="0.25">
      <c r="B79" s="74"/>
      <c r="C79" s="70"/>
      <c r="D79" s="65"/>
      <c r="E79" s="66"/>
      <c r="F79" s="66"/>
      <c r="G79" s="66"/>
      <c r="H79" s="68"/>
      <c r="I79" s="67"/>
      <c r="J79" s="67"/>
      <c r="K79" s="65"/>
      <c r="L79" s="67"/>
      <c r="M79" s="67"/>
      <c r="N79" s="66"/>
      <c r="O79" s="72"/>
    </row>
    <row r="80" spans="2:15" x14ac:dyDescent="0.25">
      <c r="B80" s="74"/>
      <c r="C80" s="70"/>
      <c r="D80" s="65"/>
      <c r="E80" s="66"/>
      <c r="F80" s="66"/>
      <c r="G80" s="66"/>
      <c r="H80" s="68"/>
      <c r="I80" s="67"/>
      <c r="J80" s="67"/>
      <c r="K80" s="65"/>
      <c r="L80" s="67"/>
      <c r="M80" s="67"/>
      <c r="N80" s="66"/>
      <c r="O80" s="72"/>
    </row>
    <row r="81" spans="2:15" x14ac:dyDescent="0.25">
      <c r="B81" s="74"/>
      <c r="C81" s="70"/>
      <c r="D81" s="65"/>
      <c r="E81" s="66"/>
      <c r="F81" s="66"/>
      <c r="G81" s="66"/>
      <c r="H81" s="68"/>
      <c r="I81" s="67"/>
      <c r="J81" s="67"/>
      <c r="K81" s="65"/>
      <c r="L81" s="67"/>
      <c r="M81" s="67"/>
      <c r="N81" s="66"/>
      <c r="O81" s="72"/>
    </row>
    <row r="82" spans="2:15" x14ac:dyDescent="0.25">
      <c r="B82" s="74"/>
      <c r="C82" s="70"/>
      <c r="D82" s="65"/>
      <c r="E82" s="66"/>
      <c r="F82" s="66"/>
      <c r="G82" s="66"/>
      <c r="H82" s="68"/>
      <c r="I82" s="67"/>
      <c r="J82" s="67"/>
      <c r="K82" s="65"/>
      <c r="L82" s="67"/>
      <c r="M82" s="67"/>
      <c r="N82" s="66"/>
      <c r="O82" s="72"/>
    </row>
    <row r="83" spans="2:15" x14ac:dyDescent="0.25">
      <c r="B83" s="74"/>
      <c r="C83" s="70"/>
      <c r="D83" s="65"/>
      <c r="E83" s="66"/>
      <c r="F83" s="66"/>
      <c r="G83" s="66"/>
      <c r="H83" s="68"/>
      <c r="I83" s="67"/>
      <c r="J83" s="67"/>
      <c r="K83" s="65"/>
      <c r="L83" s="67"/>
      <c r="M83" s="67"/>
      <c r="N83" s="66"/>
      <c r="O83" s="72"/>
    </row>
    <row r="84" spans="2:15" x14ac:dyDescent="0.25">
      <c r="B84" s="74"/>
      <c r="C84" s="70"/>
      <c r="D84" s="65"/>
      <c r="E84" s="66"/>
      <c r="F84" s="66"/>
      <c r="G84" s="66"/>
      <c r="H84" s="68"/>
      <c r="I84" s="67"/>
      <c r="J84" s="67"/>
      <c r="K84" s="65"/>
      <c r="L84" s="67"/>
      <c r="M84" s="67"/>
      <c r="N84" s="66"/>
      <c r="O84" s="72"/>
    </row>
    <row r="85" spans="2:15" x14ac:dyDescent="0.25">
      <c r="B85" s="74"/>
      <c r="C85" s="70"/>
      <c r="D85" s="65"/>
      <c r="E85" s="66"/>
      <c r="F85" s="66"/>
      <c r="G85" s="66"/>
      <c r="H85" s="68"/>
      <c r="I85" s="67"/>
      <c r="J85" s="67"/>
      <c r="K85" s="65"/>
      <c r="L85" s="67"/>
      <c r="M85" s="67"/>
      <c r="N85" s="66"/>
      <c r="O85" s="72"/>
    </row>
    <row r="86" spans="2:15" x14ac:dyDescent="0.25">
      <c r="B86" s="74"/>
      <c r="C86" s="70"/>
      <c r="D86" s="65"/>
      <c r="E86" s="66"/>
      <c r="F86" s="66"/>
      <c r="G86" s="66"/>
      <c r="H86" s="68"/>
      <c r="I86" s="67"/>
      <c r="J86" s="67"/>
      <c r="K86" s="65"/>
      <c r="L86" s="67"/>
      <c r="M86" s="67"/>
      <c r="N86" s="66"/>
      <c r="O86" s="72"/>
    </row>
    <row r="87" spans="2:15" x14ac:dyDescent="0.25">
      <c r="B87" s="74"/>
      <c r="C87" s="70"/>
      <c r="D87" s="65"/>
      <c r="E87" s="66"/>
      <c r="F87" s="66"/>
      <c r="G87" s="66"/>
      <c r="H87" s="68"/>
      <c r="I87" s="67"/>
      <c r="J87" s="67"/>
      <c r="K87" s="65"/>
      <c r="L87" s="67"/>
      <c r="M87" s="67"/>
      <c r="N87" s="66"/>
      <c r="O87" s="72"/>
    </row>
    <row r="88" spans="2:15" x14ac:dyDescent="0.25">
      <c r="B88" s="74"/>
      <c r="C88" s="70"/>
      <c r="D88" s="65"/>
      <c r="E88" s="66"/>
      <c r="F88" s="66"/>
      <c r="G88" s="66"/>
      <c r="H88" s="68"/>
      <c r="I88" s="67"/>
      <c r="J88" s="67"/>
      <c r="K88" s="65"/>
      <c r="L88" s="67"/>
      <c r="M88" s="67"/>
      <c r="N88" s="66"/>
      <c r="O88" s="72"/>
    </row>
    <row r="89" spans="2:15" x14ac:dyDescent="0.25">
      <c r="B89" s="74"/>
      <c r="C89" s="70"/>
      <c r="D89" s="65"/>
      <c r="E89" s="66"/>
      <c r="F89" s="66"/>
      <c r="G89" s="66"/>
      <c r="H89" s="68"/>
      <c r="I89" s="67"/>
      <c r="J89" s="67"/>
      <c r="K89" s="65"/>
      <c r="L89" s="67"/>
      <c r="M89" s="67"/>
      <c r="N89" s="66"/>
      <c r="O89" s="72"/>
    </row>
    <row r="90" spans="2:15" x14ac:dyDescent="0.25">
      <c r="B90" s="74"/>
      <c r="C90" s="70"/>
      <c r="D90" s="65"/>
      <c r="E90" s="66"/>
      <c r="F90" s="66"/>
      <c r="G90" s="66"/>
      <c r="H90" s="68"/>
      <c r="I90" s="67"/>
      <c r="J90" s="67"/>
      <c r="K90" s="65"/>
      <c r="L90" s="67"/>
      <c r="M90" s="67"/>
      <c r="N90" s="66"/>
      <c r="O90" s="72"/>
    </row>
    <row r="91" spans="2:15" x14ac:dyDescent="0.25">
      <c r="B91" s="74"/>
      <c r="C91" s="70"/>
      <c r="D91" s="65"/>
      <c r="E91" s="66"/>
      <c r="F91" s="66"/>
      <c r="G91" s="66"/>
      <c r="H91" s="68"/>
      <c r="I91" s="67"/>
      <c r="J91" s="67"/>
      <c r="K91" s="65"/>
      <c r="L91" s="67"/>
      <c r="M91" s="67"/>
      <c r="N91" s="66"/>
      <c r="O91" s="72"/>
    </row>
    <row r="92" spans="2:15" x14ac:dyDescent="0.25">
      <c r="B92" s="74"/>
      <c r="C92" s="70"/>
      <c r="D92" s="65"/>
      <c r="E92" s="66"/>
      <c r="F92" s="66"/>
      <c r="G92" s="66"/>
      <c r="H92" s="68"/>
      <c r="I92" s="67"/>
      <c r="J92" s="67"/>
      <c r="K92" s="65"/>
      <c r="L92" s="67"/>
      <c r="M92" s="67"/>
      <c r="N92" s="66"/>
      <c r="O92" s="72"/>
    </row>
    <row r="93" spans="2:15" x14ac:dyDescent="0.25">
      <c r="B93" s="74"/>
      <c r="C93" s="70"/>
      <c r="D93" s="65"/>
      <c r="E93" s="66"/>
      <c r="F93" s="66"/>
      <c r="G93" s="66"/>
      <c r="H93" s="68"/>
      <c r="I93" s="67"/>
      <c r="J93" s="67"/>
      <c r="K93" s="65"/>
      <c r="L93" s="67"/>
      <c r="M93" s="67"/>
      <c r="N93" s="66"/>
      <c r="O93" s="72"/>
    </row>
    <row r="94" spans="2:15" x14ac:dyDescent="0.25">
      <c r="B94" s="74"/>
      <c r="C94" s="70"/>
      <c r="D94" s="65"/>
      <c r="E94" s="66"/>
      <c r="F94" s="66"/>
      <c r="G94" s="66"/>
      <c r="H94" s="68"/>
      <c r="I94" s="67"/>
      <c r="J94" s="67"/>
      <c r="K94" s="65"/>
      <c r="L94" s="67"/>
      <c r="M94" s="67"/>
      <c r="N94" s="66"/>
      <c r="O94" s="72"/>
    </row>
    <row r="95" spans="2:15" x14ac:dyDescent="0.25">
      <c r="B95" s="74"/>
      <c r="C95" s="70"/>
      <c r="D95" s="65"/>
      <c r="E95" s="66"/>
      <c r="F95" s="66"/>
      <c r="G95" s="66"/>
      <c r="H95" s="68"/>
      <c r="I95" s="67"/>
      <c r="J95" s="67"/>
      <c r="K95" s="65"/>
      <c r="L95" s="67"/>
      <c r="M95" s="67"/>
      <c r="N95" s="66"/>
      <c r="O95" s="72"/>
    </row>
    <row r="96" spans="2:15" x14ac:dyDescent="0.25">
      <c r="B96" s="74"/>
      <c r="C96" s="70"/>
      <c r="D96" s="65"/>
      <c r="E96" s="66"/>
      <c r="F96" s="66"/>
      <c r="G96" s="66"/>
      <c r="H96" s="68"/>
      <c r="I96" s="67"/>
      <c r="J96" s="67"/>
      <c r="K96" s="65"/>
      <c r="L96" s="67"/>
      <c r="M96" s="67"/>
      <c r="N96" s="66"/>
      <c r="O96" s="72"/>
    </row>
    <row r="97" spans="2:15" x14ac:dyDescent="0.25">
      <c r="B97" s="74"/>
      <c r="C97" s="70"/>
      <c r="D97" s="65"/>
      <c r="E97" s="66"/>
      <c r="F97" s="66"/>
      <c r="G97" s="66"/>
      <c r="H97" s="68"/>
      <c r="I97" s="67"/>
      <c r="J97" s="67"/>
      <c r="K97" s="65"/>
      <c r="L97" s="67"/>
      <c r="M97" s="67"/>
      <c r="N97" s="66"/>
      <c r="O97" s="72"/>
    </row>
    <row r="98" spans="2:15" x14ac:dyDescent="0.25">
      <c r="B98" s="74"/>
      <c r="C98" s="70"/>
      <c r="D98" s="65"/>
      <c r="E98" s="66"/>
      <c r="F98" s="66"/>
      <c r="G98" s="66"/>
      <c r="H98" s="68"/>
      <c r="I98" s="67"/>
      <c r="J98" s="67"/>
      <c r="K98" s="65"/>
      <c r="L98" s="67"/>
      <c r="M98" s="67"/>
      <c r="N98" s="66"/>
      <c r="O98" s="72"/>
    </row>
    <row r="99" spans="2:15" x14ac:dyDescent="0.25">
      <c r="B99" s="74"/>
      <c r="C99" s="70"/>
      <c r="D99" s="65"/>
      <c r="E99" s="66"/>
      <c r="F99" s="66"/>
      <c r="G99" s="66"/>
      <c r="H99" s="68"/>
      <c r="I99" s="67"/>
      <c r="J99" s="67"/>
      <c r="K99" s="65"/>
      <c r="L99" s="67"/>
      <c r="M99" s="67"/>
      <c r="N99" s="66"/>
      <c r="O99" s="72"/>
    </row>
    <row r="100" spans="2:15" x14ac:dyDescent="0.25">
      <c r="B100" s="74"/>
      <c r="C100" s="70"/>
      <c r="D100" s="65"/>
      <c r="E100" s="66"/>
      <c r="F100" s="66"/>
      <c r="G100" s="66"/>
      <c r="H100" s="68"/>
      <c r="I100" s="67"/>
      <c r="J100" s="67"/>
      <c r="K100" s="65"/>
      <c r="L100" s="67"/>
      <c r="M100" s="67"/>
      <c r="N100" s="66"/>
      <c r="O100" s="72"/>
    </row>
    <row r="101" spans="2:15" x14ac:dyDescent="0.25">
      <c r="B101" s="74"/>
      <c r="C101" s="70"/>
      <c r="D101" s="65"/>
      <c r="E101" s="66"/>
      <c r="F101" s="66"/>
      <c r="G101" s="66"/>
      <c r="H101" s="68"/>
      <c r="I101" s="67"/>
      <c r="J101" s="67"/>
      <c r="K101" s="65"/>
      <c r="L101" s="67"/>
      <c r="M101" s="67"/>
      <c r="N101" s="66"/>
      <c r="O101" s="72"/>
    </row>
    <row r="102" spans="2:15" x14ac:dyDescent="0.25">
      <c r="B102" s="74"/>
      <c r="C102" s="70"/>
      <c r="D102" s="65"/>
      <c r="E102" s="66"/>
      <c r="F102" s="66"/>
      <c r="G102" s="66"/>
      <c r="H102" s="68"/>
      <c r="I102" s="67"/>
      <c r="J102" s="67"/>
      <c r="K102" s="65"/>
      <c r="L102" s="67"/>
      <c r="M102" s="67"/>
      <c r="N102" s="66"/>
      <c r="O102" s="72"/>
    </row>
    <row r="103" spans="2:15" x14ac:dyDescent="0.25">
      <c r="B103" s="74"/>
      <c r="C103" s="70"/>
      <c r="D103" s="65"/>
      <c r="E103" s="66"/>
      <c r="F103" s="66"/>
      <c r="G103" s="66"/>
      <c r="H103" s="68"/>
      <c r="I103" s="67"/>
      <c r="J103" s="67"/>
      <c r="K103" s="65"/>
      <c r="L103" s="67"/>
      <c r="M103" s="67"/>
      <c r="N103" s="66"/>
      <c r="O103" s="72"/>
    </row>
    <row r="104" spans="2:15" x14ac:dyDescent="0.25">
      <c r="B104" s="74"/>
      <c r="C104" s="70"/>
      <c r="D104" s="65"/>
      <c r="E104" s="66"/>
      <c r="F104" s="66"/>
      <c r="G104" s="66"/>
      <c r="H104" s="68"/>
      <c r="I104" s="67"/>
      <c r="J104" s="67"/>
      <c r="K104" s="65"/>
      <c r="L104" s="67"/>
      <c r="M104" s="67"/>
      <c r="N104" s="66"/>
      <c r="O104" s="72"/>
    </row>
    <row r="105" spans="2:15" x14ac:dyDescent="0.25">
      <c r="B105" s="74"/>
      <c r="C105" s="70"/>
      <c r="D105" s="65"/>
      <c r="E105" s="66"/>
      <c r="F105" s="66"/>
      <c r="G105" s="66"/>
      <c r="H105" s="68"/>
      <c r="I105" s="67"/>
      <c r="J105" s="67"/>
      <c r="K105" s="65"/>
      <c r="L105" s="67"/>
      <c r="M105" s="67"/>
      <c r="N105" s="66"/>
      <c r="O105" s="72"/>
    </row>
    <row r="106" spans="2:15" x14ac:dyDescent="0.25">
      <c r="B106" s="74"/>
      <c r="C106" s="70"/>
      <c r="D106" s="65"/>
      <c r="E106" s="66"/>
      <c r="F106" s="66"/>
      <c r="G106" s="66"/>
      <c r="H106" s="68"/>
      <c r="I106" s="67"/>
      <c r="J106" s="67"/>
      <c r="K106" s="65"/>
      <c r="L106" s="67"/>
      <c r="M106" s="67"/>
      <c r="N106" s="66"/>
      <c r="O106" s="72"/>
    </row>
    <row r="107" spans="2:15" x14ac:dyDescent="0.25">
      <c r="B107" s="74"/>
      <c r="C107" s="70"/>
      <c r="D107" s="65"/>
      <c r="E107" s="66"/>
      <c r="F107" s="66"/>
      <c r="G107" s="66"/>
      <c r="H107" s="68"/>
      <c r="I107" s="67"/>
      <c r="J107" s="67"/>
      <c r="K107" s="65"/>
      <c r="L107" s="67"/>
      <c r="M107" s="67"/>
      <c r="N107" s="66"/>
      <c r="O107" s="72"/>
    </row>
    <row r="108" spans="2:15" x14ac:dyDescent="0.25">
      <c r="B108" s="74"/>
      <c r="C108" s="70"/>
      <c r="D108" s="65"/>
      <c r="E108" s="66"/>
      <c r="F108" s="66"/>
      <c r="G108" s="66"/>
      <c r="H108" s="68"/>
      <c r="I108" s="67"/>
      <c r="J108" s="67"/>
      <c r="K108" s="65"/>
      <c r="L108" s="67"/>
      <c r="M108" s="67"/>
      <c r="N108" s="66"/>
      <c r="O108" s="72"/>
    </row>
    <row r="109" spans="2:15" x14ac:dyDescent="0.25">
      <c r="B109" s="74"/>
      <c r="C109" s="70"/>
      <c r="D109" s="65"/>
      <c r="E109" s="66"/>
      <c r="F109" s="66"/>
      <c r="G109" s="66"/>
      <c r="H109" s="68"/>
      <c r="I109" s="67"/>
      <c r="J109" s="67"/>
      <c r="K109" s="65"/>
      <c r="L109" s="67"/>
      <c r="M109" s="67"/>
      <c r="N109" s="66"/>
      <c r="O109" s="72"/>
    </row>
    <row r="110" spans="2:15" x14ac:dyDescent="0.25">
      <c r="B110" s="74"/>
      <c r="C110" s="70"/>
      <c r="D110" s="65"/>
      <c r="E110" s="66"/>
      <c r="F110" s="66"/>
      <c r="G110" s="66"/>
      <c r="H110" s="68"/>
      <c r="I110" s="67"/>
      <c r="J110" s="67"/>
      <c r="K110" s="65"/>
      <c r="L110" s="67"/>
      <c r="M110" s="67"/>
      <c r="N110" s="66"/>
      <c r="O110" s="72"/>
    </row>
    <row r="111" spans="2:15" x14ac:dyDescent="0.25">
      <c r="B111" s="74"/>
      <c r="C111" s="70"/>
      <c r="D111" s="65"/>
      <c r="E111" s="66"/>
      <c r="F111" s="66"/>
      <c r="G111" s="66"/>
      <c r="H111" s="68"/>
      <c r="I111" s="67"/>
      <c r="J111" s="67"/>
      <c r="K111" s="65"/>
      <c r="L111" s="67"/>
      <c r="M111" s="67"/>
      <c r="N111" s="66"/>
      <c r="O111" s="72"/>
    </row>
    <row r="112" spans="2:15" x14ac:dyDescent="0.25">
      <c r="B112" s="74"/>
      <c r="C112" s="70"/>
      <c r="D112" s="65"/>
      <c r="E112" s="66"/>
      <c r="F112" s="66"/>
      <c r="G112" s="66"/>
      <c r="H112" s="68"/>
      <c r="I112" s="67"/>
      <c r="J112" s="67"/>
      <c r="K112" s="65"/>
      <c r="L112" s="67"/>
      <c r="M112" s="67"/>
      <c r="N112" s="66"/>
      <c r="O112" s="72"/>
    </row>
    <row r="113" spans="2:15" x14ac:dyDescent="0.25">
      <c r="B113" s="74"/>
      <c r="C113" s="70"/>
      <c r="D113" s="65"/>
      <c r="E113" s="66"/>
      <c r="F113" s="66"/>
      <c r="G113" s="66"/>
      <c r="H113" s="68"/>
      <c r="I113" s="67"/>
      <c r="J113" s="67"/>
      <c r="K113" s="65"/>
      <c r="L113" s="67"/>
      <c r="M113" s="67"/>
      <c r="N113" s="66"/>
      <c r="O113" s="72"/>
    </row>
    <row r="114" spans="2:15" x14ac:dyDescent="0.25">
      <c r="B114" s="74"/>
      <c r="C114" s="70"/>
      <c r="D114" s="65"/>
      <c r="E114" s="66"/>
      <c r="F114" s="66"/>
      <c r="G114" s="66"/>
      <c r="H114" s="68"/>
      <c r="I114" s="67"/>
      <c r="J114" s="67"/>
      <c r="K114" s="65"/>
      <c r="L114" s="67"/>
      <c r="M114" s="67"/>
      <c r="N114" s="66"/>
      <c r="O114" s="72"/>
    </row>
    <row r="115" spans="2:15" x14ac:dyDescent="0.25">
      <c r="B115" s="74"/>
      <c r="C115" s="70"/>
      <c r="D115" s="65"/>
      <c r="E115" s="66"/>
      <c r="F115" s="66"/>
      <c r="G115" s="66"/>
      <c r="H115" s="68"/>
      <c r="I115" s="67"/>
      <c r="J115" s="67"/>
      <c r="K115" s="65"/>
      <c r="L115" s="67"/>
      <c r="M115" s="67"/>
      <c r="N115" s="66"/>
      <c r="O115" s="72"/>
    </row>
    <row r="116" spans="2:15" x14ac:dyDescent="0.25">
      <c r="B116" s="74"/>
      <c r="C116" s="70"/>
      <c r="D116" s="65"/>
      <c r="E116" s="66"/>
      <c r="F116" s="66"/>
      <c r="G116" s="66"/>
      <c r="H116" s="68"/>
      <c r="I116" s="67"/>
      <c r="J116" s="67"/>
      <c r="K116" s="65"/>
      <c r="L116" s="67"/>
      <c r="M116" s="67"/>
      <c r="N116" s="66"/>
      <c r="O116" s="72"/>
    </row>
    <row r="117" spans="2:15" x14ac:dyDescent="0.25">
      <c r="B117" s="74"/>
      <c r="C117" s="70"/>
      <c r="D117" s="65"/>
      <c r="E117" s="66"/>
      <c r="F117" s="66"/>
      <c r="G117" s="66"/>
      <c r="H117" s="68"/>
      <c r="I117" s="67"/>
      <c r="J117" s="67"/>
      <c r="K117" s="65"/>
      <c r="L117" s="67"/>
      <c r="M117" s="67"/>
      <c r="N117" s="66"/>
      <c r="O117" s="72"/>
    </row>
    <row r="118" spans="2:15" x14ac:dyDescent="0.25">
      <c r="B118" s="74"/>
      <c r="C118" s="70"/>
      <c r="D118" s="65"/>
      <c r="E118" s="66"/>
      <c r="F118" s="66"/>
      <c r="G118" s="66"/>
      <c r="H118" s="68"/>
      <c r="I118" s="67"/>
      <c r="J118" s="67"/>
      <c r="K118" s="65"/>
      <c r="L118" s="67"/>
      <c r="M118" s="67"/>
      <c r="N118" s="66"/>
      <c r="O118" s="72"/>
    </row>
    <row r="119" spans="2:15" x14ac:dyDescent="0.25">
      <c r="B119" s="74"/>
      <c r="C119" s="70"/>
      <c r="D119" s="65"/>
      <c r="E119" s="66"/>
      <c r="F119" s="66"/>
      <c r="G119" s="66"/>
      <c r="H119" s="68"/>
      <c r="I119" s="67"/>
      <c r="J119" s="67"/>
      <c r="K119" s="65"/>
      <c r="L119" s="67"/>
      <c r="M119" s="67"/>
      <c r="N119" s="66"/>
      <c r="O119" s="72"/>
    </row>
    <row r="120" spans="2:15" x14ac:dyDescent="0.25">
      <c r="B120" s="74"/>
      <c r="C120" s="70"/>
      <c r="D120" s="65"/>
      <c r="E120" s="66"/>
      <c r="F120" s="66"/>
      <c r="G120" s="66"/>
      <c r="H120" s="68"/>
      <c r="I120" s="67"/>
      <c r="J120" s="67"/>
      <c r="K120" s="65"/>
      <c r="L120" s="67"/>
      <c r="M120" s="67"/>
      <c r="N120" s="66"/>
      <c r="O120" s="72"/>
    </row>
    <row r="121" spans="2:15" x14ac:dyDescent="0.25">
      <c r="B121" s="74"/>
      <c r="C121" s="70"/>
      <c r="D121" s="65"/>
      <c r="E121" s="66"/>
      <c r="F121" s="66"/>
      <c r="G121" s="66"/>
      <c r="H121" s="68"/>
      <c r="I121" s="67"/>
      <c r="J121" s="67"/>
      <c r="K121" s="65"/>
      <c r="L121" s="67"/>
      <c r="M121" s="67"/>
      <c r="N121" s="66"/>
      <c r="O121" s="72"/>
    </row>
    <row r="122" spans="2:15" x14ac:dyDescent="0.25">
      <c r="B122" s="74"/>
      <c r="C122" s="70"/>
      <c r="D122" s="65"/>
      <c r="E122" s="66"/>
      <c r="F122" s="66"/>
      <c r="G122" s="66"/>
      <c r="H122" s="68"/>
      <c r="I122" s="67"/>
      <c r="J122" s="67"/>
      <c r="K122" s="65"/>
      <c r="L122" s="67"/>
      <c r="M122" s="67"/>
      <c r="N122" s="66"/>
      <c r="O122" s="72"/>
    </row>
    <row r="123" spans="2:15" x14ac:dyDescent="0.25">
      <c r="B123" s="74"/>
      <c r="C123" s="70"/>
      <c r="D123" s="65"/>
      <c r="E123" s="66"/>
      <c r="F123" s="66"/>
      <c r="G123" s="66"/>
      <c r="H123" s="68"/>
      <c r="I123" s="67"/>
      <c r="J123" s="67"/>
      <c r="K123" s="65"/>
      <c r="L123" s="67"/>
      <c r="M123" s="67"/>
      <c r="N123" s="66"/>
      <c r="O123" s="72"/>
    </row>
    <row r="124" spans="2:15" x14ac:dyDescent="0.25">
      <c r="B124" s="74"/>
      <c r="C124" s="70"/>
      <c r="D124" s="65"/>
      <c r="E124" s="66"/>
      <c r="F124" s="66"/>
      <c r="G124" s="66"/>
      <c r="H124" s="68"/>
      <c r="I124" s="67"/>
      <c r="J124" s="67"/>
      <c r="K124" s="65"/>
      <c r="L124" s="67"/>
      <c r="M124" s="67"/>
      <c r="N124" s="66"/>
      <c r="O124" s="72"/>
    </row>
    <row r="125" spans="2:15" x14ac:dyDescent="0.25">
      <c r="B125" s="74"/>
      <c r="C125" s="70"/>
      <c r="D125" s="65"/>
      <c r="E125" s="66"/>
      <c r="F125" s="66"/>
      <c r="G125" s="66"/>
      <c r="H125" s="68"/>
      <c r="I125" s="67"/>
      <c r="J125" s="67"/>
      <c r="K125" s="65"/>
      <c r="L125" s="67"/>
      <c r="M125" s="67"/>
      <c r="N125" s="66"/>
      <c r="O125" s="72"/>
    </row>
    <row r="126" spans="2:15" x14ac:dyDescent="0.25">
      <c r="B126" s="74"/>
      <c r="C126" s="70"/>
      <c r="D126" s="65"/>
      <c r="E126" s="66"/>
      <c r="F126" s="66"/>
      <c r="G126" s="66"/>
      <c r="H126" s="68"/>
      <c r="I126" s="67"/>
      <c r="J126" s="67"/>
      <c r="K126" s="65"/>
      <c r="L126" s="67"/>
      <c r="M126" s="67"/>
      <c r="N126" s="66"/>
      <c r="O126" s="72"/>
    </row>
    <row r="127" spans="2:15" x14ac:dyDescent="0.25">
      <c r="B127" s="74"/>
      <c r="C127" s="70"/>
      <c r="D127" s="65"/>
      <c r="E127" s="66"/>
      <c r="F127" s="66"/>
      <c r="G127" s="66"/>
      <c r="H127" s="68"/>
      <c r="I127" s="67"/>
      <c r="J127" s="67"/>
      <c r="K127" s="65"/>
      <c r="L127" s="67"/>
      <c r="M127" s="67"/>
      <c r="N127" s="66"/>
      <c r="O127" s="72"/>
    </row>
    <row r="128" spans="2:15" x14ac:dyDescent="0.25">
      <c r="B128" s="74"/>
      <c r="C128" s="70"/>
      <c r="D128" s="65"/>
      <c r="E128" s="66"/>
      <c r="F128" s="66"/>
      <c r="G128" s="66"/>
      <c r="H128" s="68"/>
      <c r="I128" s="67"/>
      <c r="J128" s="67"/>
      <c r="K128" s="65"/>
      <c r="L128" s="67"/>
      <c r="M128" s="67"/>
      <c r="N128" s="66"/>
      <c r="O128" s="72"/>
    </row>
    <row r="129" spans="2:15" x14ac:dyDescent="0.25">
      <c r="B129" s="74"/>
      <c r="C129" s="70"/>
      <c r="D129" s="65"/>
      <c r="E129" s="66"/>
      <c r="F129" s="66"/>
      <c r="G129" s="66"/>
      <c r="H129" s="68"/>
      <c r="I129" s="67"/>
      <c r="J129" s="67"/>
      <c r="K129" s="65"/>
      <c r="L129" s="67"/>
      <c r="M129" s="67"/>
      <c r="N129" s="66"/>
      <c r="O129" s="72"/>
    </row>
    <row r="130" spans="2:15" x14ac:dyDescent="0.25">
      <c r="B130" s="74"/>
      <c r="C130" s="70"/>
      <c r="D130" s="65"/>
      <c r="E130" s="66"/>
      <c r="F130" s="66"/>
      <c r="G130" s="66"/>
      <c r="H130" s="68"/>
      <c r="I130" s="67"/>
      <c r="J130" s="67"/>
      <c r="K130" s="65"/>
      <c r="L130" s="67"/>
      <c r="M130" s="67"/>
      <c r="N130" s="66"/>
      <c r="O130" s="72"/>
    </row>
    <row r="131" spans="2:15" x14ac:dyDescent="0.25">
      <c r="B131" s="74"/>
      <c r="C131" s="70"/>
      <c r="D131" s="65"/>
      <c r="E131" s="66"/>
      <c r="F131" s="66"/>
      <c r="G131" s="66"/>
      <c r="H131" s="68"/>
      <c r="I131" s="67"/>
      <c r="J131" s="67"/>
      <c r="K131" s="65"/>
      <c r="L131" s="67"/>
      <c r="M131" s="67"/>
      <c r="N131" s="66"/>
      <c r="O131" s="72"/>
    </row>
    <row r="132" spans="2:15" x14ac:dyDescent="0.25">
      <c r="B132" s="74"/>
      <c r="C132" s="70"/>
      <c r="D132" s="65"/>
      <c r="E132" s="66"/>
      <c r="F132" s="66"/>
      <c r="G132" s="66"/>
      <c r="H132" s="68"/>
      <c r="I132" s="67"/>
      <c r="J132" s="67"/>
      <c r="K132" s="65"/>
      <c r="L132" s="67"/>
      <c r="M132" s="67"/>
      <c r="N132" s="66"/>
      <c r="O132" s="72"/>
    </row>
    <row r="133" spans="2:15" x14ac:dyDescent="0.25">
      <c r="B133" s="74"/>
      <c r="C133" s="70"/>
      <c r="D133" s="65"/>
      <c r="E133" s="66"/>
      <c r="F133" s="66"/>
      <c r="G133" s="66"/>
      <c r="H133" s="68"/>
      <c r="I133" s="67"/>
      <c r="J133" s="67"/>
      <c r="K133" s="65"/>
      <c r="L133" s="67"/>
      <c r="M133" s="67"/>
      <c r="N133" s="66"/>
      <c r="O133" s="72"/>
    </row>
    <row r="134" spans="2:15" x14ac:dyDescent="0.25">
      <c r="B134" s="74"/>
      <c r="C134" s="70"/>
      <c r="D134" s="65"/>
      <c r="E134" s="66"/>
      <c r="F134" s="66"/>
      <c r="G134" s="66"/>
      <c r="H134" s="68"/>
      <c r="I134" s="67"/>
      <c r="J134" s="67"/>
      <c r="K134" s="65"/>
      <c r="L134" s="67"/>
      <c r="M134" s="67"/>
      <c r="N134" s="66"/>
      <c r="O134" s="72"/>
    </row>
    <row r="135" spans="2:15" x14ac:dyDescent="0.25">
      <c r="B135" s="74"/>
      <c r="C135" s="70"/>
      <c r="D135" s="65"/>
      <c r="E135" s="66"/>
      <c r="F135" s="66"/>
      <c r="G135" s="66"/>
      <c r="H135" s="68"/>
      <c r="I135" s="67"/>
      <c r="J135" s="67"/>
      <c r="K135" s="65"/>
      <c r="L135" s="67"/>
      <c r="M135" s="67"/>
      <c r="N135" s="66"/>
      <c r="O135" s="72"/>
    </row>
    <row r="136" spans="2:15" x14ac:dyDescent="0.25">
      <c r="B136" s="74"/>
      <c r="C136" s="70"/>
      <c r="D136" s="65"/>
      <c r="E136" s="66"/>
      <c r="F136" s="66"/>
      <c r="G136" s="66"/>
      <c r="H136" s="68"/>
      <c r="I136" s="67"/>
      <c r="J136" s="67"/>
      <c r="K136" s="65"/>
      <c r="L136" s="67"/>
      <c r="M136" s="67"/>
      <c r="N136" s="66"/>
      <c r="O136" s="72"/>
    </row>
    <row r="137" spans="2:15" x14ac:dyDescent="0.25">
      <c r="B137" s="74"/>
      <c r="C137" s="70"/>
      <c r="D137" s="65"/>
      <c r="E137" s="66"/>
      <c r="F137" s="66"/>
      <c r="G137" s="66"/>
      <c r="H137" s="68"/>
      <c r="I137" s="67"/>
      <c r="J137" s="67"/>
      <c r="K137" s="65"/>
      <c r="L137" s="67"/>
      <c r="M137" s="67"/>
      <c r="N137" s="66"/>
      <c r="O137" s="72"/>
    </row>
    <row r="138" spans="2:15" x14ac:dyDescent="0.25">
      <c r="B138" s="74"/>
      <c r="C138" s="70"/>
      <c r="D138" s="65"/>
      <c r="E138" s="66"/>
      <c r="F138" s="66"/>
      <c r="G138" s="66"/>
      <c r="H138" s="68"/>
      <c r="I138" s="67"/>
      <c r="J138" s="67"/>
      <c r="K138" s="65"/>
      <c r="L138" s="67"/>
      <c r="M138" s="67"/>
      <c r="N138" s="66"/>
      <c r="O138" s="72"/>
    </row>
    <row r="139" spans="2:15" x14ac:dyDescent="0.25">
      <c r="B139" s="74"/>
      <c r="C139" s="70"/>
      <c r="D139" s="65"/>
      <c r="E139" s="66"/>
      <c r="F139" s="66"/>
      <c r="G139" s="66"/>
      <c r="H139" s="68"/>
      <c r="I139" s="67"/>
      <c r="J139" s="67"/>
      <c r="K139" s="65"/>
      <c r="L139" s="67"/>
      <c r="M139" s="67"/>
      <c r="N139" s="66"/>
      <c r="O139" s="72"/>
    </row>
    <row r="140" spans="2:15" x14ac:dyDescent="0.25">
      <c r="B140" s="74"/>
      <c r="C140" s="70"/>
      <c r="D140" s="65"/>
      <c r="E140" s="66"/>
      <c r="F140" s="66"/>
      <c r="G140" s="66"/>
      <c r="H140" s="68"/>
      <c r="I140" s="67"/>
      <c r="J140" s="67"/>
      <c r="K140" s="65"/>
      <c r="L140" s="67"/>
      <c r="M140" s="67"/>
      <c r="N140" s="66"/>
      <c r="O140" s="72"/>
    </row>
    <row r="141" spans="2:15" x14ac:dyDescent="0.25">
      <c r="B141" s="74"/>
      <c r="C141" s="70"/>
      <c r="D141" s="65"/>
      <c r="E141" s="66"/>
      <c r="F141" s="66"/>
      <c r="G141" s="66"/>
      <c r="H141" s="68"/>
      <c r="I141" s="67"/>
      <c r="J141" s="67"/>
      <c r="K141" s="65"/>
      <c r="L141" s="67"/>
      <c r="M141" s="67"/>
      <c r="N141" s="66"/>
      <c r="O141" s="72"/>
    </row>
    <row r="142" spans="2:15" x14ac:dyDescent="0.25">
      <c r="B142" s="74"/>
      <c r="C142" s="70"/>
      <c r="D142" s="65"/>
      <c r="E142" s="66"/>
      <c r="F142" s="66"/>
      <c r="G142" s="66"/>
      <c r="H142" s="68"/>
      <c r="I142" s="67"/>
      <c r="J142" s="67"/>
      <c r="K142" s="65"/>
      <c r="L142" s="67"/>
      <c r="M142" s="67"/>
      <c r="N142" s="66"/>
      <c r="O142" s="72"/>
    </row>
    <row r="143" spans="2:15" x14ac:dyDescent="0.25">
      <c r="B143" s="74"/>
      <c r="C143" s="70"/>
      <c r="D143" s="65"/>
      <c r="E143" s="66"/>
      <c r="F143" s="66"/>
      <c r="G143" s="66"/>
      <c r="H143" s="68"/>
      <c r="I143" s="67"/>
      <c r="J143" s="67"/>
      <c r="K143" s="65"/>
      <c r="L143" s="67"/>
      <c r="M143" s="67"/>
      <c r="N143" s="66"/>
      <c r="O143" s="72"/>
    </row>
    <row r="144" spans="2:15" x14ac:dyDescent="0.25">
      <c r="B144" s="74"/>
      <c r="C144" s="70"/>
      <c r="D144" s="65"/>
      <c r="E144" s="66"/>
      <c r="F144" s="66"/>
      <c r="G144" s="66"/>
      <c r="H144" s="68"/>
      <c r="I144" s="67"/>
      <c r="J144" s="67"/>
      <c r="K144" s="65"/>
      <c r="L144" s="67"/>
      <c r="M144" s="67"/>
      <c r="N144" s="66"/>
      <c r="O144" s="72"/>
    </row>
    <row r="145" spans="2:15" x14ac:dyDescent="0.25">
      <c r="B145" s="74"/>
      <c r="C145" s="70"/>
      <c r="D145" s="65"/>
      <c r="E145" s="66"/>
      <c r="F145" s="66"/>
      <c r="G145" s="66"/>
      <c r="H145" s="68"/>
      <c r="I145" s="67"/>
      <c r="J145" s="67"/>
      <c r="K145" s="65"/>
      <c r="L145" s="67"/>
      <c r="M145" s="67"/>
      <c r="N145" s="66"/>
      <c r="O145" s="72"/>
    </row>
    <row r="146" spans="2:15" x14ac:dyDescent="0.25">
      <c r="B146" s="74"/>
      <c r="C146" s="70"/>
      <c r="D146" s="65"/>
      <c r="E146" s="66"/>
      <c r="F146" s="66"/>
      <c r="G146" s="66"/>
      <c r="H146" s="68"/>
      <c r="I146" s="67"/>
      <c r="J146" s="67"/>
      <c r="K146" s="65"/>
      <c r="L146" s="67"/>
      <c r="M146" s="67"/>
      <c r="N146" s="66"/>
      <c r="O146" s="72"/>
    </row>
    <row r="147" spans="2:15" x14ac:dyDescent="0.25">
      <c r="B147" s="74"/>
      <c r="C147" s="70"/>
      <c r="D147" s="65"/>
      <c r="E147" s="66"/>
      <c r="F147" s="66"/>
      <c r="G147" s="66"/>
      <c r="H147" s="68"/>
      <c r="I147" s="67"/>
      <c r="J147" s="67"/>
      <c r="K147" s="65"/>
      <c r="L147" s="67"/>
      <c r="M147" s="67"/>
      <c r="N147" s="66"/>
      <c r="O147" s="72"/>
    </row>
    <row r="148" spans="2:15" x14ac:dyDescent="0.25">
      <c r="B148" s="74"/>
      <c r="C148" s="70"/>
      <c r="D148" s="65"/>
      <c r="E148" s="66"/>
      <c r="F148" s="66"/>
      <c r="G148" s="66"/>
      <c r="H148" s="68"/>
      <c r="I148" s="67"/>
      <c r="J148" s="67"/>
      <c r="K148" s="65"/>
      <c r="L148" s="67"/>
      <c r="M148" s="67"/>
      <c r="N148" s="66"/>
      <c r="O148" s="72"/>
    </row>
    <row r="149" spans="2:15" x14ac:dyDescent="0.25">
      <c r="B149" s="74"/>
      <c r="C149" s="70"/>
      <c r="D149" s="65"/>
      <c r="E149" s="66"/>
      <c r="F149" s="66"/>
      <c r="G149" s="66"/>
      <c r="H149" s="68"/>
      <c r="I149" s="67"/>
      <c r="J149" s="67"/>
      <c r="K149" s="65"/>
      <c r="L149" s="67"/>
      <c r="M149" s="67"/>
      <c r="N149" s="66"/>
      <c r="O149" s="72"/>
    </row>
    <row r="150" spans="2:15" x14ac:dyDescent="0.25">
      <c r="B150" s="74"/>
      <c r="C150" s="70"/>
      <c r="D150" s="65"/>
      <c r="E150" s="66"/>
      <c r="F150" s="66"/>
      <c r="G150" s="66"/>
      <c r="H150" s="68"/>
      <c r="I150" s="67"/>
      <c r="J150" s="67"/>
      <c r="K150" s="65"/>
      <c r="L150" s="67"/>
      <c r="M150" s="67"/>
      <c r="N150" s="66"/>
      <c r="O150" s="72"/>
    </row>
    <row r="151" spans="2:15" x14ac:dyDescent="0.25">
      <c r="B151" s="74"/>
      <c r="C151" s="70"/>
      <c r="D151" s="65"/>
      <c r="E151" s="66"/>
      <c r="F151" s="66"/>
      <c r="G151" s="66"/>
      <c r="H151" s="68"/>
      <c r="I151" s="67"/>
      <c r="J151" s="67"/>
      <c r="K151" s="65"/>
      <c r="L151" s="67"/>
      <c r="M151" s="67"/>
      <c r="N151" s="66"/>
      <c r="O151" s="72"/>
    </row>
    <row r="152" spans="2:15" x14ac:dyDescent="0.25">
      <c r="B152" s="74"/>
      <c r="C152" s="70"/>
      <c r="D152" s="65"/>
      <c r="E152" s="66"/>
      <c r="F152" s="66"/>
      <c r="G152" s="66"/>
      <c r="H152" s="68"/>
      <c r="I152" s="67"/>
      <c r="J152" s="67"/>
      <c r="K152" s="65"/>
      <c r="L152" s="67"/>
      <c r="M152" s="67"/>
      <c r="N152" s="66"/>
      <c r="O152" s="72"/>
    </row>
    <row r="153" spans="2:15" x14ac:dyDescent="0.25">
      <c r="B153" s="74"/>
      <c r="C153" s="70"/>
      <c r="D153" s="65"/>
      <c r="E153" s="66"/>
      <c r="F153" s="66"/>
      <c r="G153" s="66"/>
      <c r="H153" s="68"/>
      <c r="I153" s="67"/>
      <c r="J153" s="67"/>
      <c r="K153" s="65"/>
      <c r="L153" s="67"/>
      <c r="M153" s="67"/>
      <c r="N153" s="66"/>
      <c r="O153" s="72"/>
    </row>
    <row r="154" spans="2:15" x14ac:dyDescent="0.25">
      <c r="B154" s="74"/>
      <c r="C154" s="70"/>
      <c r="D154" s="65"/>
      <c r="E154" s="66"/>
      <c r="F154" s="66"/>
      <c r="G154" s="66"/>
      <c r="H154" s="68"/>
      <c r="I154" s="67"/>
      <c r="J154" s="67"/>
      <c r="K154" s="65"/>
      <c r="L154" s="67"/>
      <c r="M154" s="67"/>
      <c r="N154" s="66"/>
      <c r="O154" s="72"/>
    </row>
    <row r="155" spans="2:15" x14ac:dyDescent="0.25">
      <c r="B155" s="74"/>
      <c r="C155" s="70"/>
      <c r="D155" s="65"/>
      <c r="E155" s="66"/>
      <c r="F155" s="66"/>
      <c r="G155" s="66"/>
      <c r="H155" s="68"/>
      <c r="I155" s="67"/>
      <c r="J155" s="67"/>
      <c r="K155" s="65"/>
      <c r="L155" s="67"/>
      <c r="M155" s="67"/>
      <c r="N155" s="66"/>
      <c r="O155" s="72"/>
    </row>
    <row r="156" spans="2:15" x14ac:dyDescent="0.25">
      <c r="B156" s="74"/>
      <c r="C156" s="70"/>
      <c r="D156" s="65"/>
      <c r="E156" s="66"/>
      <c r="F156" s="66"/>
      <c r="G156" s="66"/>
      <c r="H156" s="68"/>
      <c r="I156" s="67"/>
      <c r="J156" s="67"/>
      <c r="K156" s="65"/>
      <c r="L156" s="67"/>
      <c r="M156" s="67"/>
      <c r="N156" s="66"/>
      <c r="O156" s="72"/>
    </row>
    <row r="157" spans="2:15" x14ac:dyDescent="0.25">
      <c r="B157" s="74"/>
      <c r="C157" s="70"/>
      <c r="D157" s="65"/>
      <c r="E157" s="66"/>
      <c r="F157" s="66"/>
      <c r="G157" s="66"/>
      <c r="H157" s="68"/>
      <c r="I157" s="67"/>
      <c r="J157" s="67"/>
      <c r="K157" s="65"/>
      <c r="L157" s="67"/>
      <c r="M157" s="67"/>
      <c r="N157" s="66"/>
      <c r="O157" s="72"/>
    </row>
    <row r="158" spans="2:15" x14ac:dyDescent="0.25">
      <c r="B158" s="74"/>
      <c r="C158" s="70"/>
      <c r="D158" s="65"/>
      <c r="E158" s="66"/>
      <c r="F158" s="66"/>
      <c r="G158" s="66"/>
      <c r="H158" s="68"/>
      <c r="I158" s="67"/>
      <c r="J158" s="67"/>
      <c r="K158" s="65"/>
      <c r="L158" s="67"/>
      <c r="M158" s="67"/>
      <c r="N158" s="66"/>
      <c r="O158" s="72"/>
    </row>
    <row r="159" spans="2:15" x14ac:dyDescent="0.25">
      <c r="B159" s="74"/>
      <c r="C159" s="70"/>
      <c r="D159" s="65"/>
      <c r="E159" s="66"/>
      <c r="F159" s="66"/>
      <c r="G159" s="66"/>
      <c r="H159" s="68"/>
      <c r="I159" s="67"/>
      <c r="J159" s="67"/>
      <c r="K159" s="65"/>
      <c r="L159" s="67"/>
      <c r="M159" s="67"/>
      <c r="N159" s="66"/>
      <c r="O159" s="72"/>
    </row>
    <row r="160" spans="2:15" x14ac:dyDescent="0.25">
      <c r="B160" s="74"/>
      <c r="C160" s="70"/>
      <c r="D160" s="65"/>
      <c r="E160" s="66"/>
      <c r="F160" s="66"/>
      <c r="G160" s="66"/>
      <c r="H160" s="68"/>
      <c r="I160" s="67"/>
      <c r="J160" s="67"/>
      <c r="K160" s="65"/>
      <c r="L160" s="67"/>
      <c r="M160" s="67"/>
      <c r="N160" s="66"/>
      <c r="O160" s="72"/>
    </row>
    <row r="161" spans="2:15" x14ac:dyDescent="0.25">
      <c r="B161" s="74"/>
      <c r="C161" s="70"/>
      <c r="D161" s="65"/>
      <c r="E161" s="66"/>
      <c r="F161" s="66"/>
      <c r="G161" s="66"/>
      <c r="H161" s="68"/>
      <c r="I161" s="67"/>
      <c r="J161" s="67"/>
      <c r="K161" s="65"/>
      <c r="L161" s="67"/>
      <c r="M161" s="67"/>
      <c r="N161" s="66"/>
      <c r="O161" s="72"/>
    </row>
    <row r="162" spans="2:15" x14ac:dyDescent="0.25">
      <c r="B162" s="74"/>
      <c r="C162" s="70"/>
      <c r="D162" s="65"/>
      <c r="E162" s="66"/>
      <c r="F162" s="66"/>
      <c r="G162" s="66"/>
      <c r="H162" s="68"/>
      <c r="I162" s="67"/>
      <c r="J162" s="67"/>
      <c r="K162" s="65"/>
      <c r="L162" s="67"/>
      <c r="M162" s="67"/>
      <c r="N162" s="66"/>
      <c r="O162" s="72"/>
    </row>
    <row r="163" spans="2:15" x14ac:dyDescent="0.25">
      <c r="B163" s="74"/>
      <c r="C163" s="70"/>
      <c r="D163" s="65"/>
      <c r="E163" s="66"/>
      <c r="F163" s="66"/>
      <c r="G163" s="66"/>
      <c r="H163" s="68"/>
      <c r="I163" s="67"/>
      <c r="J163" s="67"/>
      <c r="K163" s="65"/>
      <c r="L163" s="67"/>
      <c r="M163" s="67"/>
      <c r="N163" s="66"/>
      <c r="O163" s="72"/>
    </row>
    <row r="164" spans="2:15" x14ac:dyDescent="0.25">
      <c r="B164" s="74"/>
      <c r="C164" s="70"/>
      <c r="D164" s="65"/>
      <c r="E164" s="66"/>
      <c r="F164" s="66"/>
      <c r="G164" s="66"/>
      <c r="H164" s="68"/>
      <c r="I164" s="67"/>
      <c r="J164" s="67"/>
      <c r="K164" s="65"/>
      <c r="L164" s="67"/>
      <c r="M164" s="67"/>
      <c r="N164" s="66"/>
      <c r="O164" s="72"/>
    </row>
    <row r="165" spans="2:15" x14ac:dyDescent="0.25">
      <c r="B165" s="74"/>
      <c r="C165" s="70"/>
      <c r="D165" s="65"/>
      <c r="E165" s="66"/>
      <c r="F165" s="66"/>
      <c r="G165" s="66"/>
      <c r="H165" s="68"/>
      <c r="I165" s="67"/>
      <c r="J165" s="67"/>
      <c r="K165" s="65"/>
      <c r="L165" s="67"/>
      <c r="M165" s="67"/>
      <c r="N165" s="66"/>
      <c r="O165" s="72"/>
    </row>
    <row r="166" spans="2:15" x14ac:dyDescent="0.25">
      <c r="B166" s="74"/>
      <c r="C166" s="70"/>
      <c r="D166" s="65"/>
      <c r="E166" s="66"/>
      <c r="F166" s="66"/>
      <c r="G166" s="66"/>
      <c r="H166" s="68"/>
      <c r="I166" s="67"/>
      <c r="J166" s="67"/>
      <c r="K166" s="65"/>
      <c r="L166" s="67"/>
      <c r="M166" s="67"/>
      <c r="N166" s="66"/>
      <c r="O166" s="72"/>
    </row>
    <row r="167" spans="2:15" x14ac:dyDescent="0.25">
      <c r="B167" s="74"/>
      <c r="C167" s="70"/>
      <c r="D167" s="65"/>
      <c r="E167" s="66"/>
      <c r="F167" s="66"/>
      <c r="G167" s="66"/>
      <c r="H167" s="68"/>
      <c r="I167" s="67"/>
      <c r="J167" s="67"/>
      <c r="K167" s="65"/>
      <c r="L167" s="67"/>
      <c r="M167" s="67"/>
      <c r="N167" s="66"/>
      <c r="O167" s="72"/>
    </row>
    <row r="168" spans="2:15" x14ac:dyDescent="0.25">
      <c r="B168" s="74"/>
      <c r="C168" s="70"/>
      <c r="D168" s="65"/>
      <c r="E168" s="66"/>
      <c r="F168" s="66"/>
      <c r="G168" s="66"/>
      <c r="H168" s="68"/>
      <c r="I168" s="67"/>
      <c r="J168" s="67"/>
      <c r="K168" s="65"/>
      <c r="L168" s="67"/>
      <c r="M168" s="67"/>
      <c r="N168" s="66"/>
      <c r="O168" s="72"/>
    </row>
    <row r="169" spans="2:15" x14ac:dyDescent="0.25">
      <c r="B169" s="74"/>
      <c r="C169" s="70"/>
      <c r="D169" s="65"/>
      <c r="E169" s="66"/>
      <c r="F169" s="66"/>
      <c r="G169" s="66"/>
      <c r="H169" s="68"/>
      <c r="I169" s="67"/>
      <c r="J169" s="67"/>
      <c r="K169" s="65"/>
      <c r="L169" s="67"/>
      <c r="M169" s="67"/>
      <c r="N169" s="66"/>
      <c r="O169" s="72"/>
    </row>
    <row r="170" spans="2:15" x14ac:dyDescent="0.25">
      <c r="B170" s="74"/>
      <c r="C170" s="70"/>
      <c r="D170" s="65"/>
      <c r="E170" s="66"/>
      <c r="F170" s="66"/>
      <c r="G170" s="66"/>
      <c r="H170" s="68"/>
      <c r="I170" s="67"/>
      <c r="J170" s="67"/>
      <c r="K170" s="65"/>
      <c r="L170" s="67"/>
      <c r="M170" s="67"/>
      <c r="N170" s="66"/>
      <c r="O170" s="72"/>
    </row>
    <row r="171" spans="2:15" x14ac:dyDescent="0.25">
      <c r="B171" s="74"/>
      <c r="C171" s="70"/>
      <c r="D171" s="65"/>
      <c r="E171" s="66"/>
      <c r="F171" s="66"/>
      <c r="G171" s="66"/>
      <c r="H171" s="68"/>
      <c r="I171" s="67"/>
      <c r="J171" s="67"/>
      <c r="K171" s="65"/>
      <c r="L171" s="67"/>
      <c r="M171" s="67"/>
      <c r="N171" s="66"/>
      <c r="O171" s="72"/>
    </row>
    <row r="172" spans="2:15" x14ac:dyDescent="0.25">
      <c r="B172" s="74"/>
      <c r="C172" s="70"/>
      <c r="D172" s="65"/>
      <c r="E172" s="66"/>
      <c r="F172" s="66"/>
      <c r="G172" s="66"/>
      <c r="H172" s="68"/>
      <c r="I172" s="67"/>
      <c r="J172" s="67"/>
      <c r="K172" s="65"/>
      <c r="L172" s="67"/>
      <c r="M172" s="67"/>
      <c r="N172" s="66"/>
      <c r="O172" s="72"/>
    </row>
    <row r="173" spans="2:15" x14ac:dyDescent="0.25">
      <c r="B173" s="74"/>
      <c r="C173" s="70"/>
      <c r="D173" s="65"/>
      <c r="E173" s="66"/>
      <c r="F173" s="66"/>
      <c r="G173" s="66"/>
      <c r="H173" s="68"/>
      <c r="I173" s="67"/>
      <c r="J173" s="67"/>
      <c r="K173" s="65"/>
      <c r="L173" s="67"/>
      <c r="M173" s="67"/>
      <c r="N173" s="66"/>
      <c r="O173" s="72"/>
    </row>
    <row r="174" spans="2:15" x14ac:dyDescent="0.25">
      <c r="B174" s="74"/>
      <c r="C174" s="70"/>
      <c r="D174" s="65"/>
      <c r="E174" s="66"/>
      <c r="F174" s="66"/>
      <c r="G174" s="66"/>
      <c r="H174" s="68"/>
      <c r="I174" s="67"/>
      <c r="J174" s="67"/>
      <c r="K174" s="65"/>
      <c r="L174" s="67"/>
      <c r="M174" s="67"/>
      <c r="N174" s="66"/>
      <c r="O174" s="72"/>
    </row>
    <row r="175" spans="2:15" x14ac:dyDescent="0.25">
      <c r="B175" s="74"/>
      <c r="C175" s="70"/>
      <c r="D175" s="65"/>
      <c r="E175" s="66"/>
      <c r="F175" s="66"/>
      <c r="G175" s="66"/>
      <c r="H175" s="68"/>
      <c r="I175" s="67"/>
      <c r="J175" s="67"/>
      <c r="K175" s="65"/>
      <c r="L175" s="67"/>
      <c r="M175" s="67"/>
      <c r="N175" s="66"/>
      <c r="O175" s="72"/>
    </row>
    <row r="176" spans="2:15" x14ac:dyDescent="0.25">
      <c r="B176" s="74"/>
      <c r="C176" s="70"/>
      <c r="D176" s="65"/>
      <c r="E176" s="66"/>
      <c r="F176" s="66"/>
      <c r="G176" s="66"/>
      <c r="H176" s="68"/>
      <c r="I176" s="67"/>
      <c r="J176" s="67"/>
      <c r="K176" s="65"/>
      <c r="L176" s="67"/>
      <c r="M176" s="67"/>
      <c r="N176" s="66"/>
      <c r="O176" s="72"/>
    </row>
    <row r="177" spans="2:15" x14ac:dyDescent="0.25">
      <c r="B177" s="74"/>
      <c r="C177" s="70"/>
      <c r="D177" s="65"/>
      <c r="E177" s="66"/>
      <c r="F177" s="66"/>
      <c r="G177" s="66"/>
      <c r="H177" s="68"/>
      <c r="I177" s="67"/>
      <c r="J177" s="67"/>
      <c r="K177" s="65"/>
      <c r="L177" s="67"/>
      <c r="M177" s="67"/>
      <c r="N177" s="66"/>
      <c r="O177" s="72"/>
    </row>
    <row r="178" spans="2:15" x14ac:dyDescent="0.25">
      <c r="B178" s="74"/>
      <c r="C178" s="70"/>
      <c r="D178" s="65"/>
      <c r="E178" s="66"/>
      <c r="F178" s="66"/>
      <c r="G178" s="66"/>
      <c r="H178" s="68"/>
      <c r="I178" s="67"/>
      <c r="J178" s="67"/>
      <c r="K178" s="65"/>
      <c r="L178" s="67"/>
      <c r="M178" s="67"/>
      <c r="N178" s="66"/>
      <c r="O178" s="72"/>
    </row>
    <row r="179" spans="2:15" x14ac:dyDescent="0.25">
      <c r="B179" s="74"/>
      <c r="C179" s="70"/>
      <c r="D179" s="65"/>
      <c r="E179" s="66"/>
      <c r="F179" s="66"/>
      <c r="G179" s="66"/>
      <c r="H179" s="68"/>
      <c r="I179" s="67"/>
      <c r="J179" s="67"/>
      <c r="K179" s="65"/>
      <c r="L179" s="67"/>
      <c r="M179" s="67"/>
      <c r="N179" s="66"/>
      <c r="O179" s="72"/>
    </row>
    <row r="180" spans="2:15" x14ac:dyDescent="0.25">
      <c r="B180" s="74"/>
      <c r="C180" s="70"/>
      <c r="D180" s="65"/>
      <c r="E180" s="66"/>
      <c r="F180" s="66"/>
      <c r="G180" s="66"/>
      <c r="H180" s="68"/>
      <c r="I180" s="67"/>
      <c r="J180" s="67"/>
      <c r="K180" s="65"/>
      <c r="L180" s="67"/>
      <c r="M180" s="67"/>
      <c r="N180" s="66"/>
      <c r="O180" s="72"/>
    </row>
    <row r="181" spans="2:15" x14ac:dyDescent="0.25">
      <c r="B181" s="74"/>
      <c r="C181" s="70"/>
      <c r="D181" s="65"/>
      <c r="E181" s="66"/>
      <c r="F181" s="66"/>
      <c r="G181" s="66"/>
      <c r="H181" s="68"/>
      <c r="I181" s="67"/>
      <c r="J181" s="67"/>
      <c r="K181" s="65"/>
      <c r="L181" s="67"/>
      <c r="M181" s="67"/>
      <c r="N181" s="66"/>
      <c r="O181" s="72"/>
    </row>
    <row r="182" spans="2:15" x14ac:dyDescent="0.25">
      <c r="B182" s="74"/>
      <c r="C182" s="70"/>
      <c r="D182" s="65"/>
      <c r="E182" s="66"/>
      <c r="F182" s="66"/>
      <c r="G182" s="66"/>
      <c r="H182" s="68"/>
      <c r="I182" s="67"/>
      <c r="J182" s="67"/>
      <c r="K182" s="65"/>
      <c r="L182" s="67"/>
      <c r="M182" s="67"/>
      <c r="N182" s="66"/>
      <c r="O182" s="72"/>
    </row>
    <row r="183" spans="2:15" x14ac:dyDescent="0.25">
      <c r="B183" s="74"/>
      <c r="C183" s="70"/>
      <c r="D183" s="65"/>
      <c r="E183" s="66"/>
      <c r="F183" s="66"/>
      <c r="G183" s="66"/>
      <c r="H183" s="68"/>
      <c r="I183" s="67"/>
      <c r="J183" s="67"/>
      <c r="K183" s="65"/>
      <c r="L183" s="67"/>
      <c r="M183" s="67"/>
      <c r="N183" s="66"/>
      <c r="O183" s="72"/>
    </row>
    <row r="184" spans="2:15" x14ac:dyDescent="0.25">
      <c r="B184" s="74"/>
      <c r="C184" s="70"/>
      <c r="D184" s="65"/>
      <c r="E184" s="66"/>
      <c r="F184" s="66"/>
      <c r="G184" s="66"/>
      <c r="H184" s="68"/>
      <c r="I184" s="67"/>
      <c r="J184" s="67"/>
      <c r="K184" s="65"/>
      <c r="L184" s="67"/>
      <c r="M184" s="67"/>
      <c r="N184" s="66"/>
      <c r="O184" s="72"/>
    </row>
    <row r="185" spans="2:15" x14ac:dyDescent="0.25">
      <c r="B185" s="74"/>
      <c r="C185" s="70"/>
      <c r="D185" s="65"/>
      <c r="E185" s="66"/>
      <c r="F185" s="66"/>
      <c r="G185" s="66"/>
      <c r="H185" s="68"/>
      <c r="I185" s="67"/>
      <c r="J185" s="67"/>
      <c r="K185" s="65"/>
      <c r="L185" s="67"/>
      <c r="M185" s="67"/>
      <c r="N185" s="66"/>
      <c r="O185" s="72"/>
    </row>
    <row r="186" spans="2:15" x14ac:dyDescent="0.25">
      <c r="B186" s="74"/>
      <c r="C186" s="70"/>
      <c r="D186" s="65"/>
      <c r="E186" s="66"/>
      <c r="F186" s="66"/>
      <c r="G186" s="66"/>
      <c r="H186" s="68"/>
      <c r="I186" s="67"/>
      <c r="J186" s="67"/>
      <c r="K186" s="65"/>
      <c r="L186" s="67"/>
      <c r="M186" s="67"/>
      <c r="N186" s="66"/>
      <c r="O186" s="72"/>
    </row>
    <row r="187" spans="2:15" x14ac:dyDescent="0.25">
      <c r="B187" s="74"/>
      <c r="C187" s="70"/>
      <c r="D187" s="65"/>
      <c r="E187" s="66"/>
      <c r="F187" s="66"/>
      <c r="G187" s="66"/>
      <c r="H187" s="68"/>
      <c r="I187" s="67"/>
      <c r="J187" s="67"/>
      <c r="K187" s="65"/>
      <c r="L187" s="67"/>
      <c r="M187" s="67"/>
      <c r="N187" s="66"/>
      <c r="O187" s="72"/>
    </row>
    <row r="188" spans="2:15" x14ac:dyDescent="0.25">
      <c r="B188" s="74"/>
      <c r="C188" s="70"/>
      <c r="D188" s="65"/>
      <c r="E188" s="66"/>
      <c r="F188" s="66"/>
      <c r="G188" s="66"/>
      <c r="H188" s="68"/>
      <c r="I188" s="67"/>
      <c r="J188" s="67"/>
      <c r="K188" s="65"/>
      <c r="L188" s="67"/>
      <c r="M188" s="67"/>
      <c r="N188" s="66"/>
      <c r="O188" s="72"/>
    </row>
    <row r="189" spans="2:15" x14ac:dyDescent="0.25">
      <c r="B189" s="74"/>
      <c r="C189" s="70"/>
      <c r="D189" s="65"/>
      <c r="E189" s="66"/>
      <c r="F189" s="66"/>
      <c r="G189" s="66"/>
      <c r="H189" s="68"/>
      <c r="I189" s="67"/>
      <c r="J189" s="67"/>
      <c r="K189" s="65"/>
      <c r="L189" s="67"/>
      <c r="M189" s="67"/>
      <c r="N189" s="66"/>
      <c r="O189" s="72"/>
    </row>
    <row r="190" spans="2:15" x14ac:dyDescent="0.25">
      <c r="B190" s="74"/>
      <c r="C190" s="70"/>
      <c r="D190" s="65"/>
      <c r="E190" s="66"/>
      <c r="F190" s="66"/>
      <c r="G190" s="66"/>
      <c r="H190" s="68"/>
      <c r="I190" s="67"/>
      <c r="J190" s="67"/>
      <c r="K190" s="65"/>
      <c r="L190" s="67"/>
      <c r="M190" s="67"/>
      <c r="N190" s="66"/>
      <c r="O190" s="72"/>
    </row>
    <row r="191" spans="2:15" x14ac:dyDescent="0.25">
      <c r="B191" s="74"/>
      <c r="C191" s="70"/>
      <c r="D191" s="65"/>
      <c r="E191" s="66"/>
      <c r="F191" s="66"/>
      <c r="G191" s="66"/>
      <c r="H191" s="68"/>
      <c r="I191" s="67"/>
      <c r="J191" s="67"/>
      <c r="K191" s="65"/>
      <c r="L191" s="67"/>
      <c r="M191" s="67"/>
      <c r="N191" s="66"/>
      <c r="O191" s="72"/>
    </row>
    <row r="192" spans="2:15" x14ac:dyDescent="0.25">
      <c r="B192" s="74"/>
      <c r="C192" s="70"/>
      <c r="D192" s="65"/>
      <c r="E192" s="66"/>
      <c r="F192" s="66"/>
      <c r="G192" s="66"/>
      <c r="H192" s="68"/>
      <c r="I192" s="67"/>
      <c r="J192" s="67"/>
      <c r="K192" s="65"/>
      <c r="L192" s="67"/>
      <c r="M192" s="67"/>
      <c r="N192" s="66"/>
      <c r="O192" s="72"/>
    </row>
    <row r="193" spans="2:15" x14ac:dyDescent="0.25">
      <c r="B193" s="74"/>
      <c r="C193" s="70"/>
      <c r="D193" s="65"/>
      <c r="E193" s="66"/>
      <c r="F193" s="66"/>
      <c r="G193" s="66"/>
      <c r="H193" s="68"/>
      <c r="I193" s="67"/>
      <c r="J193" s="67"/>
      <c r="K193" s="65"/>
      <c r="L193" s="67"/>
      <c r="M193" s="67"/>
      <c r="N193" s="66"/>
      <c r="O193" s="72"/>
    </row>
    <row r="194" spans="2:15" x14ac:dyDescent="0.25">
      <c r="B194" s="74"/>
      <c r="C194" s="70"/>
      <c r="D194" s="65"/>
      <c r="E194" s="66"/>
      <c r="F194" s="66"/>
      <c r="G194" s="66"/>
      <c r="H194" s="68"/>
      <c r="I194" s="67"/>
      <c r="J194" s="67"/>
      <c r="K194" s="65"/>
      <c r="L194" s="67"/>
      <c r="M194" s="67"/>
      <c r="N194" s="66"/>
      <c r="O194" s="72"/>
    </row>
    <row r="195" spans="2:15" x14ac:dyDescent="0.25">
      <c r="B195" s="74"/>
      <c r="C195" s="70"/>
      <c r="D195" s="65"/>
      <c r="E195" s="66"/>
      <c r="F195" s="66"/>
      <c r="G195" s="66"/>
      <c r="H195" s="68"/>
      <c r="I195" s="67"/>
      <c r="J195" s="67"/>
      <c r="K195" s="65"/>
      <c r="L195" s="67"/>
      <c r="M195" s="67"/>
      <c r="N195" s="66"/>
      <c r="O195" s="72"/>
    </row>
    <row r="196" spans="2:15" x14ac:dyDescent="0.25">
      <c r="B196" s="74"/>
      <c r="C196" s="70"/>
      <c r="D196" s="65"/>
      <c r="E196" s="66"/>
      <c r="F196" s="66"/>
      <c r="G196" s="66"/>
      <c r="H196" s="68"/>
      <c r="I196" s="67"/>
      <c r="J196" s="67"/>
      <c r="K196" s="65"/>
      <c r="L196" s="67"/>
      <c r="M196" s="67"/>
      <c r="N196" s="66"/>
      <c r="O196" s="72"/>
    </row>
    <row r="197" spans="2:15" x14ac:dyDescent="0.25">
      <c r="B197" s="74"/>
      <c r="C197" s="70"/>
      <c r="D197" s="65"/>
      <c r="E197" s="66"/>
      <c r="F197" s="66"/>
      <c r="G197" s="66"/>
      <c r="H197" s="68"/>
      <c r="I197" s="67"/>
      <c r="J197" s="67"/>
      <c r="K197" s="65"/>
      <c r="L197" s="67"/>
      <c r="M197" s="67"/>
      <c r="N197" s="66"/>
      <c r="O197" s="72"/>
    </row>
    <row r="198" spans="2:15" x14ac:dyDescent="0.25">
      <c r="B198" s="74"/>
      <c r="C198" s="70"/>
      <c r="D198" s="65"/>
      <c r="E198" s="66"/>
      <c r="F198" s="66"/>
      <c r="G198" s="66"/>
      <c r="H198" s="68"/>
      <c r="I198" s="67"/>
      <c r="J198" s="67"/>
      <c r="K198" s="65"/>
      <c r="L198" s="67"/>
      <c r="M198" s="67"/>
      <c r="N198" s="66"/>
      <c r="O198" s="72"/>
    </row>
    <row r="199" spans="2:15" x14ac:dyDescent="0.25">
      <c r="B199" s="74"/>
      <c r="C199" s="70"/>
      <c r="D199" s="65"/>
      <c r="E199" s="66"/>
      <c r="F199" s="66"/>
      <c r="G199" s="66"/>
      <c r="H199" s="68"/>
      <c r="I199" s="67"/>
      <c r="J199" s="67"/>
      <c r="K199" s="65"/>
      <c r="L199" s="67"/>
      <c r="M199" s="67"/>
      <c r="N199" s="66"/>
      <c r="O199" s="72"/>
    </row>
    <row r="200" spans="2:15" x14ac:dyDescent="0.25">
      <c r="B200" s="74"/>
      <c r="C200" s="70"/>
      <c r="D200" s="65"/>
      <c r="E200" s="66"/>
      <c r="F200" s="66"/>
      <c r="G200" s="66"/>
      <c r="H200" s="68"/>
      <c r="I200" s="67"/>
      <c r="J200" s="67"/>
      <c r="K200" s="65"/>
      <c r="L200" s="67"/>
      <c r="M200" s="67"/>
      <c r="N200" s="66"/>
      <c r="O200" s="72"/>
    </row>
    <row r="201" spans="2:15" x14ac:dyDescent="0.25">
      <c r="B201" s="74"/>
      <c r="C201" s="70"/>
      <c r="D201" s="65"/>
      <c r="E201" s="66"/>
      <c r="F201" s="66"/>
      <c r="G201" s="66"/>
      <c r="H201" s="68"/>
      <c r="I201" s="67"/>
      <c r="J201" s="67"/>
      <c r="K201" s="65"/>
      <c r="L201" s="67"/>
      <c r="M201" s="67"/>
      <c r="N201" s="66"/>
      <c r="O201" s="72"/>
    </row>
    <row r="202" spans="2:15" x14ac:dyDescent="0.25">
      <c r="B202" s="74"/>
      <c r="C202" s="70"/>
      <c r="D202" s="65"/>
      <c r="E202" s="66"/>
      <c r="F202" s="66"/>
      <c r="G202" s="66"/>
      <c r="H202" s="68"/>
      <c r="I202" s="67"/>
      <c r="J202" s="67"/>
      <c r="K202" s="65"/>
      <c r="L202" s="67"/>
      <c r="M202" s="67"/>
      <c r="N202" s="66"/>
      <c r="O202" s="72"/>
    </row>
    <row r="203" spans="2:15" x14ac:dyDescent="0.25">
      <c r="B203" s="74"/>
      <c r="C203" s="70"/>
      <c r="D203" s="65"/>
      <c r="E203" s="66"/>
      <c r="F203" s="66"/>
      <c r="G203" s="66"/>
      <c r="H203" s="68"/>
      <c r="I203" s="67"/>
      <c r="J203" s="67"/>
      <c r="K203" s="65"/>
      <c r="L203" s="67"/>
      <c r="M203" s="67"/>
      <c r="N203" s="66"/>
      <c r="O203" s="72"/>
    </row>
    <row r="204" spans="2:15" x14ac:dyDescent="0.25">
      <c r="B204" s="74"/>
      <c r="C204" s="70"/>
      <c r="D204" s="65"/>
      <c r="E204" s="66"/>
      <c r="F204" s="66"/>
      <c r="G204" s="66"/>
      <c r="H204" s="68"/>
      <c r="I204" s="67"/>
      <c r="J204" s="67"/>
      <c r="K204" s="65"/>
      <c r="L204" s="67"/>
      <c r="M204" s="67"/>
      <c r="N204" s="66"/>
      <c r="O204" s="72"/>
    </row>
    <row r="205" spans="2:15" x14ac:dyDescent="0.25">
      <c r="B205" s="74"/>
      <c r="C205" s="70"/>
      <c r="D205" s="65"/>
      <c r="E205" s="66"/>
      <c r="F205" s="66"/>
      <c r="G205" s="66"/>
      <c r="H205" s="68"/>
      <c r="I205" s="67"/>
      <c r="J205" s="67"/>
      <c r="K205" s="65"/>
      <c r="L205" s="67"/>
      <c r="M205" s="67"/>
      <c r="N205" s="66"/>
      <c r="O205" s="72"/>
    </row>
    <row r="206" spans="2:15" x14ac:dyDescent="0.25">
      <c r="B206" s="74"/>
      <c r="C206" s="70"/>
      <c r="D206" s="65"/>
      <c r="E206" s="66"/>
      <c r="F206" s="66"/>
      <c r="G206" s="66"/>
      <c r="H206" s="68"/>
      <c r="I206" s="67"/>
      <c r="J206" s="67"/>
      <c r="K206" s="65"/>
      <c r="L206" s="67"/>
      <c r="M206" s="67"/>
      <c r="N206" s="66"/>
      <c r="O206" s="72"/>
    </row>
    <row r="207" spans="2:15" x14ac:dyDescent="0.25">
      <c r="B207" s="74"/>
      <c r="C207" s="70"/>
      <c r="D207" s="65"/>
      <c r="E207" s="66"/>
      <c r="F207" s="66"/>
      <c r="G207" s="66"/>
      <c r="H207" s="68"/>
      <c r="I207" s="67"/>
      <c r="J207" s="67"/>
      <c r="K207" s="65"/>
      <c r="L207" s="67"/>
      <c r="M207" s="67"/>
      <c r="N207" s="66"/>
      <c r="O207" s="72"/>
    </row>
    <row r="208" spans="2:15" x14ac:dyDescent="0.25">
      <c r="B208" s="74"/>
      <c r="C208" s="70"/>
      <c r="D208" s="65"/>
      <c r="E208" s="66"/>
      <c r="F208" s="66"/>
      <c r="G208" s="66"/>
      <c r="H208" s="68"/>
      <c r="I208" s="67"/>
      <c r="J208" s="67"/>
      <c r="K208" s="65"/>
      <c r="L208" s="67"/>
      <c r="M208" s="67"/>
      <c r="N208" s="66"/>
      <c r="O208" s="72"/>
    </row>
    <row r="209" spans="2:15" x14ac:dyDescent="0.25">
      <c r="B209" s="74"/>
      <c r="C209" s="70"/>
      <c r="D209" s="65"/>
      <c r="E209" s="66"/>
      <c r="F209" s="66"/>
      <c r="G209" s="66"/>
      <c r="H209" s="68"/>
      <c r="I209" s="67"/>
      <c r="J209" s="67"/>
      <c r="K209" s="65"/>
      <c r="L209" s="67"/>
      <c r="M209" s="67"/>
      <c r="N209" s="66"/>
      <c r="O209" s="72"/>
    </row>
    <row r="210" spans="2:15" x14ac:dyDescent="0.25">
      <c r="B210" s="74"/>
      <c r="C210" s="70"/>
      <c r="D210" s="65"/>
      <c r="E210" s="66"/>
      <c r="F210" s="66"/>
      <c r="G210" s="66"/>
      <c r="H210" s="68"/>
      <c r="I210" s="67"/>
      <c r="J210" s="67"/>
      <c r="K210" s="65"/>
      <c r="L210" s="67"/>
      <c r="M210" s="67"/>
      <c r="N210" s="66"/>
      <c r="O210" s="72"/>
    </row>
    <row r="211" spans="2:15" x14ac:dyDescent="0.25">
      <c r="B211" s="74"/>
      <c r="C211" s="70"/>
      <c r="D211" s="65"/>
      <c r="E211" s="66"/>
      <c r="F211" s="66"/>
      <c r="G211" s="66"/>
      <c r="H211" s="68"/>
      <c r="I211" s="67"/>
      <c r="J211" s="67"/>
      <c r="K211" s="65"/>
      <c r="L211" s="67"/>
      <c r="M211" s="67"/>
      <c r="N211" s="66"/>
      <c r="O211" s="72"/>
    </row>
    <row r="212" spans="2:15" x14ac:dyDescent="0.25">
      <c r="B212" s="74"/>
      <c r="C212" s="70"/>
      <c r="D212" s="65"/>
      <c r="E212" s="66"/>
      <c r="F212" s="66"/>
      <c r="G212" s="66"/>
      <c r="H212" s="68"/>
      <c r="I212" s="67"/>
      <c r="J212" s="67"/>
      <c r="K212" s="65"/>
      <c r="L212" s="67"/>
      <c r="M212" s="67"/>
      <c r="N212" s="66"/>
      <c r="O212" s="72"/>
    </row>
    <row r="213" spans="2:15" x14ac:dyDescent="0.25">
      <c r="B213" s="74"/>
      <c r="C213" s="70"/>
      <c r="D213" s="65"/>
      <c r="E213" s="66"/>
      <c r="F213" s="66"/>
      <c r="G213" s="66"/>
      <c r="H213" s="68"/>
      <c r="I213" s="67"/>
      <c r="J213" s="67"/>
      <c r="K213" s="65"/>
      <c r="L213" s="67"/>
      <c r="M213" s="67"/>
      <c r="N213" s="66"/>
      <c r="O213" s="72"/>
    </row>
    <row r="214" spans="2:15" x14ac:dyDescent="0.25">
      <c r="B214" s="74"/>
      <c r="C214" s="70"/>
      <c r="D214" s="65"/>
      <c r="E214" s="66"/>
      <c r="F214" s="66"/>
      <c r="G214" s="66"/>
      <c r="H214" s="68"/>
      <c r="I214" s="67"/>
      <c r="J214" s="67"/>
      <c r="K214" s="65"/>
      <c r="L214" s="67"/>
      <c r="M214" s="67"/>
      <c r="N214" s="66"/>
      <c r="O214" s="72"/>
    </row>
    <row r="215" spans="2:15" x14ac:dyDescent="0.25">
      <c r="B215" s="74"/>
      <c r="C215" s="70"/>
      <c r="D215" s="65"/>
      <c r="E215" s="66"/>
      <c r="F215" s="66"/>
      <c r="G215" s="66"/>
      <c r="H215" s="68"/>
      <c r="I215" s="67"/>
      <c r="J215" s="67"/>
      <c r="K215" s="65"/>
      <c r="L215" s="67"/>
      <c r="M215" s="67"/>
      <c r="N215" s="66"/>
      <c r="O215" s="72"/>
    </row>
    <row r="216" spans="2:15" x14ac:dyDescent="0.25">
      <c r="B216" s="74"/>
      <c r="C216" s="70"/>
      <c r="D216" s="65"/>
      <c r="E216" s="66"/>
      <c r="F216" s="66"/>
      <c r="G216" s="66"/>
      <c r="H216" s="68"/>
      <c r="I216" s="67"/>
      <c r="J216" s="67"/>
      <c r="K216" s="65"/>
      <c r="L216" s="67"/>
      <c r="M216" s="67"/>
      <c r="N216" s="66"/>
      <c r="O216" s="72"/>
    </row>
    <row r="217" spans="2:15" x14ac:dyDescent="0.25">
      <c r="B217" s="74"/>
      <c r="C217" s="70"/>
      <c r="D217" s="65"/>
      <c r="E217" s="66"/>
      <c r="F217" s="66"/>
      <c r="G217" s="66"/>
      <c r="H217" s="68"/>
      <c r="I217" s="67"/>
      <c r="J217" s="67"/>
      <c r="K217" s="65"/>
      <c r="L217" s="67"/>
      <c r="M217" s="67"/>
      <c r="N217" s="66"/>
      <c r="O217" s="72"/>
    </row>
    <row r="218" spans="2:15" x14ac:dyDescent="0.25">
      <c r="B218" s="74"/>
      <c r="C218" s="70"/>
      <c r="D218" s="65"/>
      <c r="E218" s="66"/>
      <c r="F218" s="66"/>
      <c r="G218" s="66"/>
      <c r="H218" s="68"/>
      <c r="I218" s="67"/>
      <c r="J218" s="67"/>
      <c r="K218" s="65"/>
      <c r="L218" s="67"/>
      <c r="M218" s="67"/>
      <c r="N218" s="66"/>
      <c r="O218" s="72"/>
    </row>
    <row r="219" spans="2:15" x14ac:dyDescent="0.25">
      <c r="B219" s="74"/>
      <c r="C219" s="70"/>
      <c r="D219" s="65"/>
      <c r="E219" s="66"/>
      <c r="F219" s="66"/>
      <c r="G219" s="66"/>
      <c r="H219" s="68"/>
      <c r="I219" s="67"/>
      <c r="J219" s="67"/>
      <c r="K219" s="65"/>
      <c r="L219" s="67"/>
      <c r="M219" s="67"/>
      <c r="N219" s="66"/>
      <c r="O219" s="72"/>
    </row>
    <row r="220" spans="2:15" x14ac:dyDescent="0.25">
      <c r="B220" s="74"/>
      <c r="C220" s="70"/>
      <c r="D220" s="65"/>
      <c r="E220" s="66"/>
      <c r="F220" s="66"/>
      <c r="G220" s="66"/>
      <c r="H220" s="68"/>
      <c r="I220" s="67"/>
      <c r="J220" s="67"/>
      <c r="K220" s="65"/>
      <c r="L220" s="67"/>
      <c r="M220" s="67"/>
      <c r="N220" s="66"/>
      <c r="O220" s="72"/>
    </row>
    <row r="221" spans="2:15" x14ac:dyDescent="0.25">
      <c r="B221" s="74"/>
      <c r="C221" s="70"/>
      <c r="D221" s="65"/>
      <c r="E221" s="66"/>
      <c r="F221" s="66"/>
      <c r="G221" s="66"/>
      <c r="H221" s="68"/>
      <c r="I221" s="67"/>
      <c r="J221" s="67"/>
      <c r="K221" s="65"/>
      <c r="L221" s="67"/>
      <c r="M221" s="67"/>
      <c r="N221" s="66"/>
      <c r="O221" s="72"/>
    </row>
    <row r="222" spans="2:15" x14ac:dyDescent="0.25">
      <c r="B222" s="74"/>
      <c r="C222" s="70"/>
      <c r="D222" s="65"/>
      <c r="E222" s="66"/>
      <c r="F222" s="66"/>
      <c r="G222" s="66"/>
      <c r="H222" s="68"/>
      <c r="I222" s="67"/>
      <c r="J222" s="67"/>
      <c r="K222" s="65"/>
      <c r="L222" s="67"/>
      <c r="M222" s="67"/>
      <c r="N222" s="66"/>
      <c r="O222" s="72"/>
    </row>
    <row r="223" spans="2:15" x14ac:dyDescent="0.25">
      <c r="B223" s="74"/>
      <c r="C223" s="70"/>
      <c r="D223" s="65"/>
      <c r="E223" s="66"/>
      <c r="F223" s="66"/>
      <c r="G223" s="66"/>
      <c r="H223" s="68"/>
      <c r="I223" s="67"/>
      <c r="J223" s="67"/>
      <c r="K223" s="65"/>
      <c r="L223" s="67"/>
      <c r="M223" s="67"/>
      <c r="N223" s="66"/>
      <c r="O223" s="72"/>
    </row>
    <row r="224" spans="2:15" x14ac:dyDescent="0.25">
      <c r="B224" s="74"/>
      <c r="C224" s="70"/>
      <c r="D224" s="65"/>
      <c r="E224" s="66"/>
      <c r="F224" s="66"/>
      <c r="G224" s="66"/>
      <c r="H224" s="68"/>
      <c r="I224" s="67"/>
      <c r="J224" s="67"/>
      <c r="K224" s="65"/>
      <c r="L224" s="67"/>
      <c r="M224" s="67"/>
      <c r="N224" s="66"/>
      <c r="O224" s="72"/>
    </row>
    <row r="225" spans="2:15" x14ac:dyDescent="0.25">
      <c r="B225" s="74"/>
      <c r="C225" s="70"/>
      <c r="D225" s="65"/>
      <c r="E225" s="66"/>
      <c r="F225" s="66"/>
      <c r="G225" s="66"/>
      <c r="H225" s="68"/>
      <c r="I225" s="67"/>
      <c r="J225" s="67"/>
      <c r="K225" s="65"/>
      <c r="L225" s="67"/>
      <c r="M225" s="67"/>
      <c r="N225" s="66"/>
      <c r="O225" s="72"/>
    </row>
    <row r="226" spans="2:15" x14ac:dyDescent="0.25">
      <c r="B226" s="74"/>
      <c r="C226" s="70"/>
      <c r="D226" s="65"/>
      <c r="E226" s="66"/>
      <c r="F226" s="66"/>
      <c r="G226" s="66"/>
      <c r="H226" s="68"/>
      <c r="I226" s="67"/>
      <c r="J226" s="67"/>
      <c r="K226" s="65"/>
      <c r="L226" s="67"/>
      <c r="M226" s="67"/>
      <c r="N226" s="66"/>
      <c r="O226" s="72"/>
    </row>
    <row r="227" spans="2:15" x14ac:dyDescent="0.25">
      <c r="B227" s="74"/>
      <c r="C227" s="70"/>
      <c r="D227" s="65"/>
      <c r="E227" s="66"/>
      <c r="F227" s="66"/>
      <c r="G227" s="66"/>
      <c r="H227" s="68"/>
      <c r="I227" s="67"/>
      <c r="J227" s="67"/>
      <c r="K227" s="65"/>
      <c r="L227" s="67"/>
      <c r="M227" s="67"/>
      <c r="N227" s="66"/>
      <c r="O227" s="72"/>
    </row>
    <row r="228" spans="2:15" x14ac:dyDescent="0.25">
      <c r="B228" s="74"/>
      <c r="C228" s="70"/>
      <c r="D228" s="65"/>
      <c r="E228" s="66"/>
      <c r="F228" s="66"/>
      <c r="G228" s="66"/>
      <c r="H228" s="68"/>
      <c r="I228" s="67"/>
      <c r="J228" s="67"/>
      <c r="K228" s="65"/>
      <c r="L228" s="67"/>
      <c r="M228" s="67"/>
      <c r="N228" s="66"/>
      <c r="O228" s="72"/>
    </row>
    <row r="229" spans="2:15" x14ac:dyDescent="0.25">
      <c r="B229" s="74"/>
      <c r="C229" s="70"/>
      <c r="D229" s="65"/>
      <c r="E229" s="66"/>
      <c r="F229" s="66"/>
      <c r="G229" s="66"/>
      <c r="H229" s="68"/>
      <c r="I229" s="67"/>
      <c r="J229" s="67"/>
      <c r="K229" s="65"/>
      <c r="L229" s="67"/>
      <c r="M229" s="67"/>
      <c r="N229" s="66"/>
      <c r="O229" s="72"/>
    </row>
    <row r="230" spans="2:15" x14ac:dyDescent="0.25">
      <c r="B230" s="74"/>
      <c r="C230" s="70"/>
      <c r="D230" s="65"/>
      <c r="E230" s="66"/>
      <c r="F230" s="66"/>
      <c r="G230" s="66"/>
      <c r="H230" s="68"/>
      <c r="I230" s="67"/>
      <c r="J230" s="67"/>
      <c r="K230" s="65"/>
      <c r="L230" s="67"/>
      <c r="M230" s="67"/>
      <c r="N230" s="66"/>
      <c r="O230" s="72"/>
    </row>
    <row r="231" spans="2:15" x14ac:dyDescent="0.25">
      <c r="B231" s="74"/>
      <c r="C231" s="70"/>
      <c r="D231" s="65"/>
      <c r="E231" s="66"/>
      <c r="F231" s="66"/>
      <c r="G231" s="66"/>
      <c r="H231" s="68"/>
      <c r="I231" s="67"/>
      <c r="J231" s="67"/>
      <c r="K231" s="65"/>
      <c r="L231" s="67"/>
      <c r="M231" s="67"/>
      <c r="N231" s="66"/>
      <c r="O231" s="72"/>
    </row>
    <row r="232" spans="2:15" x14ac:dyDescent="0.25">
      <c r="B232" s="74"/>
      <c r="C232" s="70"/>
      <c r="D232" s="65"/>
      <c r="E232" s="66"/>
      <c r="F232" s="66"/>
      <c r="G232" s="66"/>
      <c r="H232" s="68"/>
      <c r="I232" s="67"/>
      <c r="J232" s="67"/>
      <c r="K232" s="65"/>
      <c r="L232" s="67"/>
      <c r="M232" s="67"/>
      <c r="N232" s="66"/>
      <c r="O232" s="72"/>
    </row>
    <row r="233" spans="2:15" x14ac:dyDescent="0.25">
      <c r="B233" s="74"/>
      <c r="C233" s="70"/>
      <c r="D233" s="65"/>
      <c r="E233" s="66"/>
      <c r="F233" s="66"/>
      <c r="G233" s="66"/>
      <c r="H233" s="68"/>
      <c r="I233" s="67"/>
      <c r="J233" s="67"/>
      <c r="K233" s="65"/>
      <c r="L233" s="67"/>
      <c r="M233" s="67"/>
      <c r="N233" s="66"/>
      <c r="O233" s="72"/>
    </row>
    <row r="234" spans="2:15" x14ac:dyDescent="0.25">
      <c r="B234" s="74"/>
      <c r="C234" s="70"/>
      <c r="D234" s="65"/>
      <c r="E234" s="66"/>
      <c r="F234" s="66"/>
      <c r="G234" s="66"/>
      <c r="H234" s="68"/>
      <c r="I234" s="67"/>
      <c r="J234" s="67"/>
      <c r="K234" s="65"/>
      <c r="L234" s="67"/>
      <c r="M234" s="67"/>
      <c r="N234" s="66"/>
      <c r="O234" s="72"/>
    </row>
    <row r="235" spans="2:15" x14ac:dyDescent="0.25">
      <c r="B235" s="74"/>
      <c r="C235" s="70"/>
      <c r="D235" s="65"/>
      <c r="E235" s="66"/>
      <c r="F235" s="66"/>
      <c r="G235" s="66"/>
      <c r="H235" s="68"/>
      <c r="I235" s="67"/>
      <c r="J235" s="67"/>
      <c r="K235" s="65"/>
      <c r="L235" s="67"/>
      <c r="M235" s="67"/>
      <c r="N235" s="66"/>
      <c r="O235" s="72"/>
    </row>
    <row r="236" spans="2:15" x14ac:dyDescent="0.25">
      <c r="B236" s="74"/>
      <c r="C236" s="70"/>
      <c r="D236" s="65"/>
      <c r="E236" s="66"/>
      <c r="F236" s="66"/>
      <c r="G236" s="66"/>
      <c r="H236" s="68"/>
      <c r="I236" s="67"/>
      <c r="J236" s="67"/>
      <c r="K236" s="65"/>
      <c r="L236" s="67"/>
      <c r="M236" s="67"/>
      <c r="N236" s="66"/>
      <c r="O236" s="72"/>
    </row>
    <row r="237" spans="2:15" x14ac:dyDescent="0.25">
      <c r="B237" s="74"/>
      <c r="C237" s="70"/>
      <c r="D237" s="65"/>
      <c r="E237" s="66"/>
      <c r="F237" s="66"/>
      <c r="G237" s="66"/>
      <c r="H237" s="68"/>
      <c r="I237" s="67"/>
      <c r="J237" s="67"/>
      <c r="K237" s="65"/>
      <c r="L237" s="67"/>
      <c r="M237" s="67"/>
      <c r="N237" s="66"/>
      <c r="O237" s="72"/>
    </row>
    <row r="238" spans="2:15" x14ac:dyDescent="0.25">
      <c r="B238" s="74"/>
      <c r="C238" s="70"/>
      <c r="D238" s="65"/>
      <c r="E238" s="66"/>
      <c r="F238" s="66"/>
      <c r="G238" s="66"/>
      <c r="H238" s="68"/>
      <c r="I238" s="67"/>
      <c r="J238" s="67"/>
      <c r="K238" s="65"/>
      <c r="L238" s="67"/>
      <c r="M238" s="67"/>
      <c r="N238" s="66"/>
      <c r="O238" s="72"/>
    </row>
    <row r="239" spans="2:15" x14ac:dyDescent="0.25">
      <c r="B239" s="74"/>
      <c r="C239" s="70"/>
      <c r="D239" s="65"/>
      <c r="E239" s="66"/>
      <c r="F239" s="66"/>
      <c r="G239" s="66"/>
      <c r="H239" s="68"/>
      <c r="I239" s="67"/>
      <c r="J239" s="67"/>
      <c r="K239" s="65"/>
      <c r="L239" s="67"/>
      <c r="M239" s="67"/>
      <c r="N239" s="66"/>
      <c r="O239" s="72"/>
    </row>
    <row r="240" spans="2:15" x14ac:dyDescent="0.25">
      <c r="B240" s="74"/>
      <c r="C240" s="70"/>
      <c r="D240" s="65"/>
      <c r="E240" s="66"/>
      <c r="F240" s="66"/>
      <c r="G240" s="66"/>
      <c r="H240" s="68"/>
      <c r="I240" s="67"/>
      <c r="J240" s="67"/>
      <c r="K240" s="65"/>
      <c r="L240" s="67"/>
      <c r="M240" s="67"/>
      <c r="N240" s="66"/>
      <c r="O240" s="72"/>
    </row>
    <row r="241" spans="2:15" x14ac:dyDescent="0.25">
      <c r="B241" s="74"/>
      <c r="C241" s="70"/>
      <c r="D241" s="65"/>
      <c r="E241" s="66"/>
      <c r="F241" s="66"/>
      <c r="G241" s="66"/>
      <c r="H241" s="68"/>
      <c r="I241" s="67"/>
      <c r="J241" s="67"/>
      <c r="K241" s="65"/>
      <c r="L241" s="67"/>
      <c r="M241" s="67"/>
      <c r="N241" s="66"/>
      <c r="O241" s="72"/>
    </row>
    <row r="242" spans="2:15" x14ac:dyDescent="0.25">
      <c r="B242" s="74"/>
      <c r="C242" s="70"/>
      <c r="D242" s="65"/>
      <c r="E242" s="66"/>
      <c r="F242" s="66"/>
      <c r="G242" s="66"/>
      <c r="H242" s="68"/>
      <c r="I242" s="67"/>
      <c r="J242" s="67"/>
      <c r="K242" s="65"/>
      <c r="L242" s="67"/>
      <c r="M242" s="67"/>
      <c r="N242" s="66"/>
      <c r="O242" s="72"/>
    </row>
    <row r="243" spans="2:15" x14ac:dyDescent="0.25">
      <c r="B243" s="74"/>
      <c r="C243" s="70"/>
      <c r="D243" s="65"/>
      <c r="E243" s="66"/>
      <c r="F243" s="66"/>
      <c r="G243" s="66"/>
      <c r="H243" s="68"/>
      <c r="I243" s="67"/>
      <c r="J243" s="67"/>
      <c r="K243" s="65"/>
      <c r="L243" s="67"/>
      <c r="M243" s="67"/>
      <c r="N243" s="66"/>
      <c r="O243" s="72"/>
    </row>
    <row r="244" spans="2:15" x14ac:dyDescent="0.25">
      <c r="B244" s="74"/>
      <c r="C244" s="70"/>
      <c r="D244" s="65"/>
      <c r="E244" s="66"/>
      <c r="F244" s="66"/>
      <c r="G244" s="66"/>
      <c r="H244" s="68"/>
      <c r="I244" s="67"/>
      <c r="J244" s="67"/>
      <c r="K244" s="65"/>
      <c r="L244" s="67"/>
      <c r="M244" s="67"/>
      <c r="N244" s="66"/>
      <c r="O244" s="72"/>
    </row>
    <row r="245" spans="2:15" x14ac:dyDescent="0.25">
      <c r="B245" s="74"/>
      <c r="C245" s="70"/>
      <c r="D245" s="65"/>
      <c r="E245" s="66"/>
      <c r="F245" s="66"/>
      <c r="G245" s="66"/>
      <c r="H245" s="68"/>
      <c r="I245" s="67"/>
      <c r="J245" s="67"/>
      <c r="K245" s="65"/>
      <c r="L245" s="67"/>
      <c r="M245" s="67"/>
      <c r="N245" s="66"/>
      <c r="O245" s="72"/>
    </row>
    <row r="246" spans="2:15" x14ac:dyDescent="0.25">
      <c r="B246" s="74"/>
      <c r="C246" s="70"/>
      <c r="D246" s="65"/>
      <c r="E246" s="66"/>
      <c r="F246" s="66"/>
      <c r="G246" s="66"/>
      <c r="H246" s="68"/>
      <c r="I246" s="67"/>
      <c r="J246" s="67"/>
      <c r="K246" s="65"/>
      <c r="L246" s="67"/>
      <c r="M246" s="67"/>
      <c r="N246" s="66"/>
      <c r="O246" s="72"/>
    </row>
    <row r="247" spans="2:15" x14ac:dyDescent="0.25">
      <c r="B247" s="74"/>
      <c r="C247" s="70"/>
      <c r="D247" s="65"/>
      <c r="E247" s="66"/>
      <c r="F247" s="66"/>
      <c r="G247" s="66"/>
      <c r="H247" s="68"/>
      <c r="I247" s="67"/>
      <c r="J247" s="67"/>
      <c r="K247" s="65"/>
      <c r="L247" s="67"/>
      <c r="M247" s="67"/>
      <c r="N247" s="66"/>
      <c r="O247" s="72"/>
    </row>
    <row r="248" spans="2:15" x14ac:dyDescent="0.25">
      <c r="B248" s="74"/>
      <c r="C248" s="70"/>
      <c r="D248" s="65"/>
      <c r="E248" s="66"/>
      <c r="F248" s="66"/>
      <c r="G248" s="66"/>
      <c r="H248" s="68"/>
      <c r="I248" s="67"/>
      <c r="J248" s="67"/>
      <c r="K248" s="65"/>
      <c r="L248" s="67"/>
      <c r="M248" s="67"/>
      <c r="N248" s="66"/>
      <c r="O248" s="72"/>
    </row>
    <row r="249" spans="2:15" x14ac:dyDescent="0.25">
      <c r="B249" s="74"/>
      <c r="C249" s="70"/>
      <c r="D249" s="65"/>
      <c r="E249" s="66"/>
      <c r="F249" s="66"/>
      <c r="G249" s="66"/>
      <c r="H249" s="68"/>
      <c r="I249" s="67"/>
      <c r="J249" s="67"/>
      <c r="K249" s="65"/>
      <c r="L249" s="67"/>
      <c r="M249" s="67"/>
      <c r="N249" s="66"/>
      <c r="O249" s="72"/>
    </row>
    <row r="250" spans="2:15" x14ac:dyDescent="0.25">
      <c r="B250" s="74"/>
      <c r="C250" s="70"/>
      <c r="D250" s="65"/>
      <c r="E250" s="66"/>
      <c r="F250" s="66"/>
      <c r="G250" s="66"/>
      <c r="H250" s="68"/>
      <c r="I250" s="67"/>
      <c r="J250" s="67"/>
      <c r="K250" s="65"/>
      <c r="L250" s="67"/>
      <c r="M250" s="67"/>
      <c r="N250" s="66"/>
      <c r="O250" s="72"/>
    </row>
    <row r="251" spans="2:15" x14ac:dyDescent="0.25">
      <c r="B251" s="74"/>
      <c r="C251" s="70"/>
      <c r="D251" s="65"/>
      <c r="E251" s="66"/>
      <c r="F251" s="66"/>
      <c r="G251" s="66"/>
      <c r="H251" s="68"/>
      <c r="I251" s="67"/>
      <c r="J251" s="67"/>
      <c r="K251" s="65"/>
      <c r="L251" s="67"/>
      <c r="M251" s="67"/>
      <c r="N251" s="66"/>
      <c r="O251" s="72"/>
    </row>
    <row r="252" spans="2:15" x14ac:dyDescent="0.25">
      <c r="B252" s="74"/>
      <c r="C252" s="70"/>
      <c r="D252" s="65"/>
      <c r="E252" s="66"/>
      <c r="F252" s="66"/>
      <c r="G252" s="66"/>
      <c r="H252" s="68"/>
      <c r="I252" s="67"/>
      <c r="J252" s="67"/>
      <c r="K252" s="65"/>
      <c r="L252" s="67"/>
      <c r="M252" s="67"/>
      <c r="N252" s="66"/>
      <c r="O252" s="72"/>
    </row>
    <row r="253" spans="2:15" x14ac:dyDescent="0.25">
      <c r="B253" s="74"/>
      <c r="C253" s="70"/>
      <c r="D253" s="65"/>
      <c r="E253" s="66"/>
      <c r="F253" s="66"/>
      <c r="G253" s="66"/>
      <c r="H253" s="68"/>
      <c r="I253" s="67"/>
      <c r="J253" s="67"/>
      <c r="K253" s="65"/>
      <c r="L253" s="67"/>
      <c r="M253" s="67"/>
      <c r="N253" s="66"/>
      <c r="O253" s="72"/>
    </row>
    <row r="254" spans="2:15" x14ac:dyDescent="0.25">
      <c r="B254" s="74"/>
      <c r="C254" s="70"/>
      <c r="D254" s="65"/>
      <c r="E254" s="66"/>
      <c r="F254" s="66"/>
      <c r="G254" s="66"/>
      <c r="H254" s="68"/>
      <c r="I254" s="67"/>
      <c r="J254" s="67"/>
      <c r="K254" s="65"/>
      <c r="L254" s="67"/>
      <c r="M254" s="67"/>
      <c r="N254" s="66"/>
      <c r="O254" s="72"/>
    </row>
    <row r="255" spans="2:15" x14ac:dyDescent="0.25">
      <c r="B255" s="74"/>
      <c r="C255" s="70"/>
      <c r="D255" s="65"/>
      <c r="E255" s="66"/>
      <c r="F255" s="66"/>
      <c r="G255" s="66"/>
      <c r="H255" s="68"/>
      <c r="I255" s="67"/>
      <c r="J255" s="67"/>
      <c r="K255" s="65"/>
      <c r="L255" s="67"/>
      <c r="M255" s="67"/>
      <c r="N255" s="66"/>
      <c r="O255" s="72"/>
    </row>
    <row r="256" spans="2:15" x14ac:dyDescent="0.25">
      <c r="B256" s="74"/>
      <c r="C256" s="70"/>
      <c r="D256" s="65"/>
      <c r="E256" s="66"/>
      <c r="F256" s="66"/>
      <c r="G256" s="66"/>
      <c r="H256" s="68"/>
      <c r="I256" s="67"/>
      <c r="J256" s="67"/>
      <c r="K256" s="65"/>
      <c r="L256" s="67"/>
      <c r="M256" s="67"/>
      <c r="N256" s="66"/>
      <c r="O256" s="72"/>
    </row>
    <row r="257" spans="2:15" x14ac:dyDescent="0.25">
      <c r="B257" s="74"/>
      <c r="C257" s="70"/>
      <c r="D257" s="65"/>
      <c r="E257" s="66"/>
      <c r="F257" s="66"/>
      <c r="G257" s="66"/>
      <c r="H257" s="68"/>
      <c r="I257" s="67"/>
      <c r="J257" s="67"/>
      <c r="K257" s="65"/>
      <c r="L257" s="67"/>
      <c r="M257" s="67"/>
      <c r="N257" s="66"/>
      <c r="O257" s="72"/>
    </row>
    <row r="258" spans="2:15" x14ac:dyDescent="0.25">
      <c r="B258" s="74"/>
      <c r="C258" s="70"/>
      <c r="D258" s="65"/>
      <c r="E258" s="66"/>
      <c r="F258" s="66"/>
      <c r="G258" s="66"/>
      <c r="H258" s="68"/>
      <c r="I258" s="67"/>
      <c r="J258" s="67"/>
      <c r="K258" s="65"/>
      <c r="L258" s="67"/>
      <c r="M258" s="67"/>
      <c r="N258" s="66"/>
      <c r="O258" s="72"/>
    </row>
    <row r="259" spans="2:15" x14ac:dyDescent="0.25">
      <c r="B259" s="74"/>
      <c r="C259" s="70"/>
      <c r="D259" s="65"/>
      <c r="E259" s="66"/>
      <c r="F259" s="66"/>
      <c r="G259" s="66"/>
      <c r="H259" s="68"/>
      <c r="I259" s="67"/>
      <c r="J259" s="67"/>
      <c r="K259" s="65"/>
      <c r="L259" s="67"/>
      <c r="M259" s="67"/>
      <c r="N259" s="66"/>
      <c r="O259" s="72"/>
    </row>
    <row r="260" spans="2:15" x14ac:dyDescent="0.25">
      <c r="B260" s="74"/>
      <c r="C260" s="70"/>
      <c r="D260" s="65"/>
      <c r="E260" s="66"/>
      <c r="F260" s="66"/>
      <c r="G260" s="66"/>
      <c r="H260" s="68"/>
      <c r="I260" s="67"/>
      <c r="J260" s="67"/>
      <c r="K260" s="65"/>
      <c r="L260" s="67"/>
      <c r="M260" s="67"/>
      <c r="N260" s="66"/>
      <c r="O260" s="72"/>
    </row>
    <row r="261" spans="2:15" x14ac:dyDescent="0.25">
      <c r="B261" s="74"/>
      <c r="C261" s="70"/>
      <c r="D261" s="65"/>
      <c r="E261" s="66"/>
      <c r="F261" s="66"/>
      <c r="G261" s="66"/>
      <c r="H261" s="68"/>
      <c r="I261" s="67"/>
      <c r="J261" s="67"/>
      <c r="K261" s="65"/>
      <c r="L261" s="67"/>
      <c r="M261" s="67"/>
      <c r="N261" s="66"/>
      <c r="O261" s="72"/>
    </row>
    <row r="262" spans="2:15" x14ac:dyDescent="0.25">
      <c r="B262" s="74"/>
      <c r="C262" s="70"/>
      <c r="D262" s="65"/>
      <c r="E262" s="66"/>
      <c r="F262" s="66"/>
      <c r="G262" s="66"/>
      <c r="H262" s="68"/>
      <c r="I262" s="67"/>
      <c r="J262" s="67"/>
      <c r="K262" s="65"/>
      <c r="L262" s="67"/>
      <c r="M262" s="67"/>
      <c r="N262" s="66"/>
      <c r="O262" s="72"/>
    </row>
    <row r="263" spans="2:15" x14ac:dyDescent="0.25">
      <c r="B263" s="74"/>
      <c r="C263" s="70"/>
      <c r="D263" s="65"/>
      <c r="E263" s="66"/>
      <c r="F263" s="66"/>
      <c r="G263" s="66"/>
      <c r="H263" s="68"/>
      <c r="I263" s="67"/>
      <c r="J263" s="67"/>
      <c r="K263" s="65"/>
      <c r="L263" s="67"/>
      <c r="M263" s="67"/>
      <c r="N263" s="66"/>
      <c r="O263" s="72"/>
    </row>
    <row r="264" spans="2:15" x14ac:dyDescent="0.25">
      <c r="B264" s="74"/>
      <c r="C264" s="70"/>
      <c r="D264" s="65"/>
      <c r="E264" s="66"/>
      <c r="F264" s="66"/>
      <c r="G264" s="66"/>
      <c r="H264" s="68"/>
      <c r="I264" s="67"/>
      <c r="J264" s="67"/>
      <c r="K264" s="65"/>
      <c r="L264" s="67"/>
      <c r="M264" s="67"/>
      <c r="N264" s="66"/>
      <c r="O264" s="72"/>
    </row>
    <row r="265" spans="2:15" x14ac:dyDescent="0.25">
      <c r="B265" s="74"/>
      <c r="C265" s="70"/>
      <c r="D265" s="65"/>
      <c r="E265" s="66"/>
      <c r="F265" s="66"/>
      <c r="G265" s="66"/>
      <c r="H265" s="68"/>
      <c r="I265" s="67"/>
      <c r="J265" s="67"/>
      <c r="K265" s="65"/>
      <c r="L265" s="67"/>
      <c r="M265" s="67"/>
      <c r="N265" s="66"/>
      <c r="O265" s="72"/>
    </row>
    <row r="266" spans="2:15" x14ac:dyDescent="0.25">
      <c r="B266" s="74"/>
      <c r="C266" s="70"/>
      <c r="D266" s="65"/>
      <c r="E266" s="66"/>
      <c r="F266" s="66"/>
      <c r="G266" s="66"/>
      <c r="H266" s="68"/>
      <c r="I266" s="67"/>
      <c r="J266" s="67"/>
      <c r="K266" s="65"/>
      <c r="L266" s="67"/>
      <c r="M266" s="67"/>
      <c r="N266" s="66"/>
      <c r="O266" s="72"/>
    </row>
    <row r="267" spans="2:15" x14ac:dyDescent="0.25">
      <c r="B267" s="74"/>
      <c r="C267" s="70"/>
      <c r="D267" s="65"/>
      <c r="E267" s="66"/>
      <c r="F267" s="66"/>
      <c r="G267" s="66"/>
      <c r="H267" s="68"/>
      <c r="I267" s="67"/>
      <c r="J267" s="67"/>
      <c r="K267" s="65"/>
      <c r="L267" s="67"/>
      <c r="M267" s="67"/>
      <c r="N267" s="66"/>
      <c r="O267" s="72"/>
    </row>
    <row r="268" spans="2:15" x14ac:dyDescent="0.25">
      <c r="B268" s="74"/>
      <c r="C268" s="70"/>
      <c r="D268" s="65"/>
      <c r="E268" s="66"/>
      <c r="F268" s="66"/>
      <c r="G268" s="66"/>
      <c r="H268" s="68"/>
      <c r="I268" s="67"/>
      <c r="J268" s="67"/>
      <c r="K268" s="65"/>
      <c r="L268" s="67"/>
      <c r="M268" s="67"/>
      <c r="N268" s="66"/>
      <c r="O268" s="72"/>
    </row>
    <row r="269" spans="2:15" x14ac:dyDescent="0.25">
      <c r="B269" s="74"/>
      <c r="C269" s="70"/>
      <c r="D269" s="65"/>
      <c r="E269" s="66"/>
      <c r="F269" s="66"/>
      <c r="G269" s="66"/>
      <c r="H269" s="68"/>
      <c r="I269" s="67"/>
      <c r="J269" s="67"/>
      <c r="K269" s="65"/>
      <c r="L269" s="67"/>
      <c r="M269" s="67"/>
      <c r="N269" s="66"/>
      <c r="O269" s="72"/>
    </row>
    <row r="270" spans="2:15" x14ac:dyDescent="0.25">
      <c r="B270" s="74"/>
      <c r="C270" s="70"/>
      <c r="D270" s="65"/>
      <c r="E270" s="66"/>
      <c r="F270" s="66"/>
      <c r="G270" s="66"/>
      <c r="H270" s="68"/>
      <c r="I270" s="67"/>
      <c r="J270" s="67"/>
      <c r="K270" s="65"/>
      <c r="L270" s="67"/>
      <c r="M270" s="67"/>
      <c r="N270" s="66"/>
      <c r="O270" s="72"/>
    </row>
    <row r="271" spans="2:15" x14ac:dyDescent="0.25">
      <c r="B271" s="74"/>
      <c r="C271" s="70"/>
      <c r="D271" s="65"/>
      <c r="E271" s="66"/>
      <c r="F271" s="66"/>
      <c r="G271" s="66"/>
      <c r="H271" s="68"/>
      <c r="I271" s="67"/>
      <c r="J271" s="67"/>
      <c r="K271" s="65"/>
      <c r="L271" s="67"/>
      <c r="M271" s="67"/>
      <c r="N271" s="66"/>
      <c r="O271" s="72"/>
    </row>
    <row r="272" spans="2:15" x14ac:dyDescent="0.25">
      <c r="B272" s="74"/>
      <c r="C272" s="70"/>
      <c r="D272" s="65"/>
      <c r="E272" s="66"/>
      <c r="F272" s="66"/>
      <c r="G272" s="66"/>
      <c r="H272" s="68"/>
      <c r="I272" s="67"/>
      <c r="J272" s="67"/>
      <c r="K272" s="65"/>
      <c r="L272" s="67"/>
      <c r="M272" s="67"/>
      <c r="N272" s="66"/>
      <c r="O272" s="72"/>
    </row>
    <row r="273" spans="2:15" x14ac:dyDescent="0.25">
      <c r="B273" s="74"/>
      <c r="C273" s="70"/>
      <c r="D273" s="65"/>
      <c r="E273" s="66"/>
      <c r="F273" s="66"/>
      <c r="G273" s="66"/>
      <c r="H273" s="68"/>
      <c r="I273" s="67"/>
      <c r="J273" s="67"/>
      <c r="K273" s="65"/>
      <c r="L273" s="67"/>
      <c r="M273" s="67"/>
      <c r="N273" s="66"/>
      <c r="O273" s="72"/>
    </row>
    <row r="274" spans="2:15" x14ac:dyDescent="0.25">
      <c r="B274" s="74"/>
      <c r="C274" s="70"/>
      <c r="D274" s="65"/>
      <c r="E274" s="66"/>
      <c r="F274" s="66"/>
      <c r="G274" s="66"/>
      <c r="H274" s="68"/>
      <c r="I274" s="67"/>
      <c r="J274" s="67"/>
      <c r="K274" s="65"/>
      <c r="L274" s="67"/>
      <c r="M274" s="67"/>
      <c r="N274" s="66"/>
      <c r="O274" s="72"/>
    </row>
    <row r="275" spans="2:15" x14ac:dyDescent="0.25">
      <c r="B275" s="74"/>
      <c r="C275" s="70"/>
      <c r="D275" s="65"/>
      <c r="E275" s="66"/>
      <c r="F275" s="66"/>
      <c r="G275" s="66"/>
      <c r="H275" s="68"/>
      <c r="I275" s="67"/>
      <c r="J275" s="67"/>
      <c r="K275" s="65"/>
      <c r="L275" s="67"/>
      <c r="M275" s="67"/>
      <c r="N275" s="66"/>
      <c r="O275" s="72"/>
    </row>
    <row r="276" spans="2:15" x14ac:dyDescent="0.25">
      <c r="B276" s="74"/>
      <c r="C276" s="70"/>
      <c r="D276" s="65"/>
      <c r="E276" s="66"/>
      <c r="F276" s="66"/>
      <c r="G276" s="66"/>
      <c r="H276" s="68"/>
      <c r="I276" s="67"/>
      <c r="J276" s="67"/>
      <c r="K276" s="65"/>
      <c r="L276" s="67"/>
      <c r="M276" s="67"/>
      <c r="N276" s="66"/>
      <c r="O276" s="72"/>
    </row>
    <row r="277" spans="2:15" x14ac:dyDescent="0.25">
      <c r="B277" s="74"/>
      <c r="C277" s="70"/>
      <c r="D277" s="65"/>
      <c r="E277" s="66"/>
      <c r="F277" s="66"/>
      <c r="G277" s="66"/>
      <c r="H277" s="68"/>
      <c r="I277" s="67"/>
      <c r="J277" s="67"/>
      <c r="K277" s="65"/>
      <c r="L277" s="67"/>
      <c r="M277" s="67"/>
      <c r="N277" s="66"/>
      <c r="O277" s="72"/>
    </row>
    <row r="278" spans="2:15" x14ac:dyDescent="0.25">
      <c r="B278" s="74"/>
      <c r="C278" s="70"/>
      <c r="D278" s="65"/>
      <c r="E278" s="66"/>
      <c r="F278" s="66"/>
      <c r="G278" s="66"/>
      <c r="H278" s="68"/>
      <c r="I278" s="67"/>
      <c r="J278" s="67"/>
      <c r="K278" s="65"/>
      <c r="L278" s="67"/>
      <c r="M278" s="67"/>
      <c r="N278" s="66"/>
      <c r="O278" s="72"/>
    </row>
    <row r="279" spans="2:15" x14ac:dyDescent="0.25">
      <c r="B279" s="74"/>
      <c r="C279" s="70"/>
      <c r="D279" s="65"/>
      <c r="E279" s="66"/>
      <c r="F279" s="66"/>
      <c r="G279" s="66"/>
      <c r="H279" s="68"/>
      <c r="I279" s="67"/>
      <c r="J279" s="67"/>
      <c r="K279" s="65"/>
      <c r="L279" s="67"/>
      <c r="M279" s="67"/>
      <c r="N279" s="66"/>
      <c r="O279" s="72"/>
    </row>
    <row r="280" spans="2:15" x14ac:dyDescent="0.25">
      <c r="B280" s="74"/>
      <c r="C280" s="70"/>
      <c r="D280" s="65"/>
      <c r="E280" s="66"/>
      <c r="F280" s="66"/>
      <c r="G280" s="66"/>
      <c r="H280" s="68"/>
      <c r="I280" s="67"/>
      <c r="J280" s="67"/>
      <c r="K280" s="65"/>
      <c r="L280" s="67"/>
      <c r="M280" s="67"/>
      <c r="N280" s="66"/>
      <c r="O280" s="72"/>
    </row>
    <row r="281" spans="2:15" x14ac:dyDescent="0.25">
      <c r="B281" s="74"/>
      <c r="C281" s="70"/>
      <c r="D281" s="65"/>
      <c r="E281" s="66"/>
      <c r="F281" s="66"/>
      <c r="G281" s="66"/>
      <c r="H281" s="68"/>
      <c r="I281" s="67"/>
      <c r="J281" s="67"/>
      <c r="K281" s="65"/>
      <c r="L281" s="67"/>
      <c r="M281" s="67"/>
      <c r="N281" s="66"/>
      <c r="O281" s="72"/>
    </row>
    <row r="282" spans="2:15" x14ac:dyDescent="0.25">
      <c r="B282" s="74"/>
      <c r="C282" s="70"/>
      <c r="D282" s="65"/>
      <c r="E282" s="66"/>
      <c r="F282" s="66"/>
      <c r="G282" s="66"/>
      <c r="H282" s="68"/>
      <c r="I282" s="67"/>
      <c r="J282" s="67"/>
      <c r="K282" s="65"/>
      <c r="L282" s="67"/>
      <c r="M282" s="67"/>
      <c r="N282" s="66"/>
      <c r="O282" s="72"/>
    </row>
    <row r="283" spans="2:15" x14ac:dyDescent="0.25">
      <c r="B283" s="74"/>
      <c r="C283" s="70"/>
      <c r="D283" s="65"/>
      <c r="E283" s="66"/>
      <c r="F283" s="66"/>
      <c r="G283" s="66"/>
      <c r="H283" s="68"/>
      <c r="I283" s="67"/>
      <c r="J283" s="67"/>
      <c r="K283" s="65"/>
      <c r="L283" s="67"/>
      <c r="M283" s="67"/>
      <c r="N283" s="66"/>
      <c r="O283" s="72"/>
    </row>
    <row r="284" spans="2:15" x14ac:dyDescent="0.25">
      <c r="B284" s="74"/>
      <c r="C284" s="70"/>
      <c r="D284" s="65"/>
      <c r="E284" s="66"/>
      <c r="F284" s="66"/>
      <c r="G284" s="66"/>
      <c r="H284" s="68"/>
      <c r="I284" s="67"/>
      <c r="J284" s="67"/>
      <c r="K284" s="65"/>
      <c r="L284" s="67"/>
      <c r="M284" s="67"/>
      <c r="N284" s="66"/>
      <c r="O284" s="72"/>
    </row>
    <row r="285" spans="2:15" x14ac:dyDescent="0.25">
      <c r="B285" s="74"/>
      <c r="C285" s="70"/>
      <c r="D285" s="65"/>
      <c r="E285" s="66"/>
      <c r="F285" s="66"/>
      <c r="G285" s="66"/>
      <c r="H285" s="68"/>
      <c r="I285" s="67"/>
      <c r="J285" s="67"/>
      <c r="K285" s="65"/>
      <c r="L285" s="67"/>
      <c r="M285" s="67"/>
      <c r="N285" s="66"/>
      <c r="O285" s="72"/>
    </row>
    <row r="286" spans="2:15" x14ac:dyDescent="0.25">
      <c r="B286" s="74"/>
      <c r="C286" s="70"/>
      <c r="D286" s="65"/>
      <c r="E286" s="66"/>
      <c r="F286" s="66"/>
      <c r="G286" s="66"/>
      <c r="H286" s="68"/>
      <c r="I286" s="67"/>
      <c r="J286" s="67"/>
      <c r="K286" s="65"/>
      <c r="L286" s="67"/>
      <c r="M286" s="67"/>
      <c r="N286" s="66"/>
      <c r="O286" s="72"/>
    </row>
    <row r="287" spans="2:15" x14ac:dyDescent="0.25">
      <c r="B287" s="74"/>
      <c r="C287" s="70"/>
      <c r="D287" s="65"/>
      <c r="E287" s="66"/>
      <c r="F287" s="66"/>
      <c r="G287" s="66"/>
      <c r="H287" s="68"/>
      <c r="I287" s="67"/>
      <c r="J287" s="67"/>
      <c r="K287" s="65"/>
      <c r="L287" s="67"/>
      <c r="M287" s="67"/>
      <c r="N287" s="66"/>
      <c r="O287" s="72"/>
    </row>
    <row r="288" spans="2:15" x14ac:dyDescent="0.25">
      <c r="B288" s="74"/>
      <c r="C288" s="70"/>
      <c r="D288" s="65"/>
      <c r="E288" s="66"/>
      <c r="F288" s="66"/>
      <c r="G288" s="66"/>
      <c r="H288" s="68"/>
      <c r="I288" s="67"/>
      <c r="J288" s="67"/>
      <c r="K288" s="65"/>
      <c r="L288" s="67"/>
      <c r="M288" s="67"/>
      <c r="N288" s="66"/>
      <c r="O288" s="72"/>
    </row>
    <row r="289" spans="2:15" x14ac:dyDescent="0.25">
      <c r="B289" s="74"/>
      <c r="C289" s="70"/>
      <c r="D289" s="65"/>
      <c r="E289" s="66"/>
      <c r="F289" s="66"/>
      <c r="G289" s="66"/>
      <c r="H289" s="68"/>
      <c r="I289" s="67"/>
      <c r="J289" s="67"/>
      <c r="K289" s="65"/>
      <c r="L289" s="67"/>
      <c r="M289" s="67"/>
      <c r="N289" s="66"/>
      <c r="O289" s="72"/>
    </row>
    <row r="290" spans="2:15" x14ac:dyDescent="0.25">
      <c r="B290" s="74"/>
      <c r="C290" s="70"/>
      <c r="D290" s="65"/>
      <c r="E290" s="66"/>
      <c r="F290" s="66"/>
      <c r="G290" s="66"/>
      <c r="H290" s="68"/>
      <c r="I290" s="67"/>
      <c r="J290" s="67"/>
      <c r="K290" s="65"/>
      <c r="L290" s="67"/>
      <c r="M290" s="67"/>
      <c r="N290" s="66"/>
      <c r="O290" s="72"/>
    </row>
    <row r="291" spans="2:15" x14ac:dyDescent="0.25">
      <c r="B291" s="74"/>
      <c r="C291" s="70"/>
      <c r="D291" s="65"/>
      <c r="E291" s="66"/>
      <c r="F291" s="66"/>
      <c r="G291" s="66"/>
      <c r="H291" s="68"/>
      <c r="I291" s="67"/>
      <c r="J291" s="67"/>
      <c r="K291" s="65"/>
      <c r="L291" s="67"/>
      <c r="M291" s="67"/>
      <c r="N291" s="66"/>
      <c r="O291" s="72"/>
    </row>
    <row r="292" spans="2:15" x14ac:dyDescent="0.25">
      <c r="B292" s="74"/>
      <c r="C292" s="70"/>
      <c r="D292" s="65"/>
      <c r="E292" s="66"/>
      <c r="F292" s="66"/>
      <c r="G292" s="66"/>
      <c r="H292" s="68"/>
      <c r="I292" s="67"/>
      <c r="J292" s="67"/>
      <c r="K292" s="65"/>
      <c r="L292" s="67"/>
      <c r="M292" s="67"/>
      <c r="N292" s="66"/>
      <c r="O292" s="72"/>
    </row>
    <row r="293" spans="2:15" x14ac:dyDescent="0.25">
      <c r="B293" s="74"/>
      <c r="C293" s="70"/>
      <c r="D293" s="65"/>
      <c r="E293" s="66"/>
      <c r="F293" s="66"/>
      <c r="G293" s="66"/>
      <c r="H293" s="68"/>
      <c r="I293" s="67"/>
      <c r="J293" s="67"/>
      <c r="K293" s="65"/>
      <c r="L293" s="67"/>
      <c r="M293" s="67"/>
      <c r="N293" s="66"/>
      <c r="O293" s="72"/>
    </row>
    <row r="294" spans="2:15" x14ac:dyDescent="0.25">
      <c r="B294" s="74"/>
      <c r="C294" s="70"/>
      <c r="D294" s="65"/>
      <c r="E294" s="66"/>
      <c r="F294" s="66"/>
      <c r="G294" s="66"/>
      <c r="H294" s="68"/>
      <c r="I294" s="67"/>
      <c r="J294" s="67"/>
      <c r="K294" s="65"/>
      <c r="L294" s="67"/>
      <c r="M294" s="67"/>
      <c r="N294" s="66"/>
      <c r="O294" s="72"/>
    </row>
    <row r="295" spans="2:15" x14ac:dyDescent="0.25">
      <c r="B295" s="74"/>
      <c r="C295" s="70"/>
      <c r="D295" s="65"/>
      <c r="E295" s="66"/>
      <c r="F295" s="66"/>
      <c r="G295" s="66"/>
      <c r="H295" s="68"/>
      <c r="I295" s="67"/>
      <c r="J295" s="67"/>
      <c r="K295" s="65"/>
      <c r="L295" s="67"/>
      <c r="M295" s="67"/>
      <c r="N295" s="66"/>
      <c r="O295" s="72"/>
    </row>
    <row r="296" spans="2:15" x14ac:dyDescent="0.25">
      <c r="B296" s="74"/>
      <c r="C296" s="70"/>
      <c r="D296" s="65"/>
      <c r="E296" s="66"/>
      <c r="F296" s="66"/>
      <c r="G296" s="66"/>
      <c r="H296" s="68"/>
      <c r="I296" s="67"/>
      <c r="J296" s="67"/>
      <c r="K296" s="65"/>
      <c r="L296" s="67"/>
      <c r="M296" s="67"/>
      <c r="N296" s="66"/>
      <c r="O296" s="72"/>
    </row>
    <row r="297" spans="2:15" x14ac:dyDescent="0.25">
      <c r="B297" s="74"/>
      <c r="C297" s="70"/>
      <c r="D297" s="65"/>
      <c r="E297" s="66"/>
      <c r="F297" s="66"/>
      <c r="G297" s="66"/>
      <c r="H297" s="68"/>
      <c r="I297" s="67"/>
      <c r="J297" s="67"/>
      <c r="K297" s="65"/>
      <c r="L297" s="67"/>
      <c r="M297" s="67"/>
      <c r="N297" s="66"/>
      <c r="O297" s="72"/>
    </row>
    <row r="298" spans="2:15" x14ac:dyDescent="0.25">
      <c r="B298" s="74"/>
      <c r="C298" s="70"/>
      <c r="D298" s="65"/>
      <c r="E298" s="66"/>
      <c r="F298" s="66"/>
      <c r="G298" s="66"/>
      <c r="H298" s="68"/>
      <c r="I298" s="67"/>
      <c r="J298" s="67"/>
      <c r="K298" s="65"/>
      <c r="L298" s="67"/>
      <c r="M298" s="67"/>
      <c r="N298" s="66"/>
      <c r="O298" s="72"/>
    </row>
    <row r="299" spans="2:15" x14ac:dyDescent="0.25">
      <c r="B299" s="74"/>
      <c r="C299" s="70"/>
      <c r="D299" s="65"/>
      <c r="E299" s="66"/>
      <c r="F299" s="66"/>
      <c r="G299" s="66"/>
      <c r="H299" s="68"/>
      <c r="I299" s="67"/>
      <c r="J299" s="67"/>
      <c r="K299" s="65"/>
      <c r="L299" s="67"/>
      <c r="M299" s="67"/>
      <c r="N299" s="66"/>
      <c r="O299" s="72"/>
    </row>
    <row r="300" spans="2:15" x14ac:dyDescent="0.25">
      <c r="B300" s="74"/>
      <c r="C300" s="70"/>
      <c r="D300" s="65"/>
      <c r="E300" s="66"/>
      <c r="F300" s="66"/>
      <c r="G300" s="66"/>
      <c r="H300" s="68"/>
      <c r="I300" s="67"/>
      <c r="J300" s="67"/>
      <c r="K300" s="65"/>
      <c r="L300" s="67"/>
      <c r="M300" s="67"/>
      <c r="N300" s="66"/>
      <c r="O300" s="72"/>
    </row>
    <row r="301" spans="2:15" x14ac:dyDescent="0.25">
      <c r="B301" s="74"/>
      <c r="C301" s="70"/>
      <c r="D301" s="65"/>
      <c r="E301" s="66"/>
      <c r="F301" s="66"/>
      <c r="G301" s="66"/>
      <c r="H301" s="68"/>
      <c r="I301" s="67"/>
      <c r="J301" s="67"/>
      <c r="K301" s="65"/>
      <c r="L301" s="67"/>
      <c r="M301" s="67"/>
      <c r="N301" s="66"/>
      <c r="O301" s="72"/>
    </row>
    <row r="302" spans="2:15" x14ac:dyDescent="0.25">
      <c r="B302" s="74"/>
      <c r="C302" s="70"/>
      <c r="D302" s="65"/>
      <c r="E302" s="66"/>
      <c r="F302" s="66"/>
      <c r="G302" s="66"/>
      <c r="H302" s="68"/>
      <c r="I302" s="67"/>
      <c r="J302" s="67"/>
      <c r="K302" s="65"/>
      <c r="L302" s="67"/>
      <c r="M302" s="67"/>
      <c r="N302" s="66"/>
      <c r="O302" s="72"/>
    </row>
    <row r="303" spans="2:15" x14ac:dyDescent="0.25">
      <c r="B303" s="74"/>
      <c r="C303" s="70"/>
      <c r="D303" s="65"/>
      <c r="E303" s="66"/>
      <c r="F303" s="66"/>
      <c r="G303" s="66"/>
      <c r="H303" s="68"/>
      <c r="I303" s="67"/>
      <c r="J303" s="67"/>
      <c r="K303" s="65"/>
      <c r="L303" s="67"/>
      <c r="M303" s="67"/>
      <c r="N303" s="66"/>
      <c r="O303" s="72"/>
    </row>
    <row r="304" spans="2:15" x14ac:dyDescent="0.25">
      <c r="B304" s="74"/>
      <c r="C304" s="70"/>
      <c r="D304" s="65"/>
      <c r="E304" s="66"/>
      <c r="F304" s="66"/>
      <c r="G304" s="66"/>
      <c r="H304" s="68"/>
      <c r="I304" s="67"/>
      <c r="J304" s="67"/>
      <c r="K304" s="65"/>
      <c r="L304" s="67"/>
      <c r="M304" s="67"/>
      <c r="N304" s="66"/>
      <c r="O304" s="72"/>
    </row>
    <row r="305" spans="2:15" x14ac:dyDescent="0.25">
      <c r="B305" s="74"/>
      <c r="C305" s="70"/>
      <c r="D305" s="65"/>
      <c r="E305" s="66"/>
      <c r="F305" s="66"/>
      <c r="G305" s="66"/>
      <c r="H305" s="68"/>
      <c r="I305" s="67"/>
      <c r="J305" s="67"/>
      <c r="K305" s="65"/>
      <c r="L305" s="67"/>
      <c r="M305" s="67"/>
      <c r="N305" s="66"/>
      <c r="O305" s="72"/>
    </row>
    <row r="306" spans="2:15" x14ac:dyDescent="0.25">
      <c r="B306" s="74"/>
      <c r="C306" s="70"/>
      <c r="D306" s="65"/>
      <c r="E306" s="66"/>
      <c r="F306" s="66"/>
      <c r="G306" s="66"/>
      <c r="H306" s="68"/>
      <c r="I306" s="67"/>
      <c r="J306" s="67"/>
      <c r="K306" s="65"/>
      <c r="L306" s="67"/>
      <c r="M306" s="67"/>
      <c r="N306" s="66"/>
      <c r="O306" s="72"/>
    </row>
    <row r="307" spans="2:15" x14ac:dyDescent="0.25">
      <c r="B307" s="74"/>
      <c r="C307" s="70"/>
      <c r="D307" s="65"/>
      <c r="E307" s="66"/>
      <c r="F307" s="66"/>
      <c r="G307" s="66"/>
      <c r="H307" s="68"/>
      <c r="I307" s="67"/>
      <c r="J307" s="67"/>
      <c r="K307" s="65"/>
      <c r="L307" s="67"/>
      <c r="M307" s="67"/>
      <c r="N307" s="66"/>
      <c r="O307" s="72"/>
    </row>
    <row r="308" spans="2:15" x14ac:dyDescent="0.25">
      <c r="B308" s="74"/>
      <c r="C308" s="70"/>
      <c r="D308" s="65"/>
      <c r="E308" s="66"/>
      <c r="F308" s="66"/>
      <c r="G308" s="66"/>
      <c r="H308" s="68"/>
      <c r="I308" s="67"/>
      <c r="J308" s="67"/>
      <c r="K308" s="65"/>
      <c r="L308" s="67"/>
      <c r="M308" s="67"/>
      <c r="N308" s="66"/>
      <c r="O308" s="72"/>
    </row>
    <row r="309" spans="2:15" x14ac:dyDescent="0.25">
      <c r="B309" s="74"/>
      <c r="C309" s="70"/>
      <c r="D309" s="65"/>
      <c r="E309" s="66"/>
      <c r="F309" s="66"/>
      <c r="G309" s="66"/>
      <c r="H309" s="68"/>
      <c r="I309" s="67"/>
      <c r="J309" s="67"/>
      <c r="K309" s="65"/>
      <c r="L309" s="67"/>
      <c r="M309" s="67"/>
      <c r="N309" s="66"/>
      <c r="O309" s="72"/>
    </row>
    <row r="310" spans="2:15" x14ac:dyDescent="0.25">
      <c r="B310" s="74"/>
      <c r="C310" s="70"/>
      <c r="D310" s="65"/>
      <c r="E310" s="66"/>
      <c r="F310" s="66"/>
      <c r="G310" s="66"/>
      <c r="H310" s="68"/>
      <c r="I310" s="67"/>
      <c r="J310" s="67"/>
      <c r="K310" s="65"/>
      <c r="L310" s="67"/>
      <c r="M310" s="67"/>
      <c r="N310" s="66"/>
      <c r="O310" s="72"/>
    </row>
    <row r="311" spans="2:15" x14ac:dyDescent="0.25">
      <c r="B311" s="74"/>
      <c r="C311" s="70"/>
      <c r="D311" s="65"/>
      <c r="E311" s="66"/>
      <c r="F311" s="66"/>
      <c r="G311" s="66"/>
      <c r="H311" s="68"/>
      <c r="I311" s="67"/>
      <c r="J311" s="67"/>
      <c r="K311" s="65"/>
      <c r="L311" s="67"/>
      <c r="M311" s="67"/>
      <c r="N311" s="66"/>
      <c r="O311" s="72"/>
    </row>
    <row r="312" spans="2:15" x14ac:dyDescent="0.25">
      <c r="B312" s="74"/>
      <c r="C312" s="70"/>
      <c r="D312" s="65"/>
      <c r="E312" s="66"/>
      <c r="F312" s="66"/>
      <c r="G312" s="66"/>
      <c r="H312" s="68"/>
      <c r="I312" s="67"/>
      <c r="J312" s="67"/>
      <c r="K312" s="65"/>
      <c r="L312" s="67"/>
      <c r="M312" s="67"/>
      <c r="N312" s="66"/>
      <c r="O312" s="72"/>
    </row>
    <row r="313" spans="2:15" x14ac:dyDescent="0.25">
      <c r="B313" s="74"/>
      <c r="C313" s="70"/>
      <c r="D313" s="65"/>
      <c r="E313" s="66"/>
      <c r="F313" s="66"/>
      <c r="G313" s="66"/>
      <c r="H313" s="68"/>
      <c r="I313" s="67"/>
      <c r="J313" s="67"/>
      <c r="K313" s="65"/>
      <c r="L313" s="67"/>
      <c r="M313" s="67"/>
      <c r="N313" s="66"/>
      <c r="O313" s="72"/>
    </row>
    <row r="314" spans="2:15" x14ac:dyDescent="0.25">
      <c r="B314" s="74"/>
      <c r="C314" s="70"/>
      <c r="D314" s="65"/>
      <c r="E314" s="66"/>
      <c r="F314" s="66"/>
      <c r="G314" s="66"/>
      <c r="H314" s="68"/>
      <c r="I314" s="67"/>
      <c r="J314" s="67"/>
      <c r="K314" s="65"/>
      <c r="L314" s="67"/>
      <c r="M314" s="67"/>
      <c r="N314" s="66"/>
      <c r="O314" s="72"/>
    </row>
    <row r="315" spans="2:15" x14ac:dyDescent="0.25">
      <c r="B315" s="74"/>
      <c r="C315" s="70"/>
      <c r="D315" s="65"/>
      <c r="E315" s="66"/>
      <c r="F315" s="66"/>
      <c r="G315" s="66"/>
      <c r="H315" s="68"/>
      <c r="I315" s="67"/>
      <c r="J315" s="67"/>
      <c r="K315" s="65"/>
      <c r="L315" s="67"/>
      <c r="M315" s="67"/>
      <c r="N315" s="66"/>
      <c r="O315" s="72"/>
    </row>
    <row r="316" spans="2:15" x14ac:dyDescent="0.25">
      <c r="B316" s="74"/>
      <c r="C316" s="70"/>
      <c r="D316" s="65"/>
      <c r="E316" s="66"/>
      <c r="F316" s="66"/>
      <c r="G316" s="66"/>
      <c r="H316" s="68"/>
      <c r="I316" s="67"/>
      <c r="J316" s="67"/>
      <c r="K316" s="65"/>
      <c r="L316" s="67"/>
      <c r="M316" s="67"/>
      <c r="N316" s="66"/>
      <c r="O316" s="72"/>
    </row>
    <row r="317" spans="2:15" x14ac:dyDescent="0.25">
      <c r="B317" s="74"/>
      <c r="C317" s="70"/>
      <c r="D317" s="65"/>
      <c r="E317" s="66"/>
      <c r="F317" s="66"/>
      <c r="G317" s="66"/>
      <c r="H317" s="68"/>
      <c r="I317" s="67"/>
      <c r="J317" s="67"/>
      <c r="K317" s="65"/>
      <c r="L317" s="67"/>
      <c r="M317" s="67"/>
      <c r="N317" s="66"/>
      <c r="O317" s="72"/>
    </row>
    <row r="318" spans="2:15" x14ac:dyDescent="0.25">
      <c r="B318" s="74"/>
      <c r="C318" s="70"/>
      <c r="D318" s="65"/>
      <c r="E318" s="66"/>
      <c r="F318" s="66"/>
      <c r="G318" s="66"/>
      <c r="H318" s="68"/>
      <c r="I318" s="67"/>
      <c r="J318" s="67"/>
      <c r="K318" s="65"/>
      <c r="L318" s="67"/>
      <c r="M318" s="67"/>
      <c r="N318" s="66"/>
      <c r="O318" s="72"/>
    </row>
    <row r="319" spans="2:15" x14ac:dyDescent="0.25">
      <c r="B319" s="74"/>
      <c r="C319" s="70"/>
      <c r="D319" s="65"/>
      <c r="E319" s="66"/>
      <c r="F319" s="66"/>
      <c r="G319" s="66"/>
      <c r="H319" s="68"/>
      <c r="I319" s="67"/>
      <c r="J319" s="67"/>
      <c r="K319" s="65"/>
      <c r="L319" s="67"/>
      <c r="M319" s="67"/>
      <c r="N319" s="66"/>
      <c r="O319" s="72"/>
    </row>
    <row r="320" spans="2:15" x14ac:dyDescent="0.25">
      <c r="B320" s="74"/>
      <c r="C320" s="70"/>
      <c r="D320" s="65"/>
      <c r="E320" s="66"/>
      <c r="F320" s="66"/>
      <c r="G320" s="66"/>
      <c r="H320" s="68"/>
      <c r="I320" s="67"/>
      <c r="J320" s="67"/>
      <c r="K320" s="65"/>
      <c r="L320" s="67"/>
      <c r="M320" s="67"/>
      <c r="N320" s="66"/>
      <c r="O320" s="72"/>
    </row>
    <row r="321" spans="2:15" x14ac:dyDescent="0.25">
      <c r="B321" s="74"/>
      <c r="C321" s="70"/>
      <c r="D321" s="65"/>
      <c r="E321" s="66"/>
      <c r="F321" s="66"/>
      <c r="G321" s="66"/>
      <c r="H321" s="68"/>
      <c r="I321" s="67"/>
      <c r="J321" s="67"/>
      <c r="K321" s="65"/>
      <c r="L321" s="67"/>
      <c r="M321" s="67"/>
      <c r="N321" s="66"/>
      <c r="O321" s="72"/>
    </row>
    <row r="322" spans="2:15" x14ac:dyDescent="0.25">
      <c r="B322" s="74"/>
      <c r="C322" s="70"/>
      <c r="D322" s="65"/>
      <c r="E322" s="66"/>
      <c r="F322" s="66"/>
      <c r="G322" s="66"/>
      <c r="H322" s="68"/>
      <c r="I322" s="67"/>
      <c r="J322" s="67"/>
      <c r="K322" s="65"/>
      <c r="L322" s="67"/>
      <c r="M322" s="67"/>
      <c r="N322" s="66"/>
      <c r="O322" s="72"/>
    </row>
    <row r="323" spans="2:15" x14ac:dyDescent="0.25">
      <c r="B323" s="74"/>
      <c r="C323" s="70"/>
      <c r="D323" s="65"/>
      <c r="E323" s="66"/>
      <c r="F323" s="66"/>
      <c r="G323" s="66"/>
      <c r="H323" s="68"/>
      <c r="I323" s="67"/>
      <c r="J323" s="67"/>
      <c r="K323" s="65"/>
      <c r="L323" s="67"/>
      <c r="M323" s="67"/>
      <c r="N323" s="66"/>
      <c r="O323" s="72"/>
    </row>
    <row r="324" spans="2:15" x14ac:dyDescent="0.25">
      <c r="B324" s="74"/>
      <c r="C324" s="70"/>
      <c r="D324" s="65"/>
      <c r="E324" s="66"/>
      <c r="F324" s="66"/>
      <c r="G324" s="66"/>
      <c r="H324" s="68"/>
      <c r="I324" s="67"/>
      <c r="J324" s="67"/>
      <c r="K324" s="65"/>
      <c r="L324" s="67"/>
      <c r="M324" s="67"/>
      <c r="N324" s="66"/>
      <c r="O324" s="72"/>
    </row>
    <row r="325" spans="2:15" x14ac:dyDescent="0.25">
      <c r="B325" s="74"/>
      <c r="C325" s="70"/>
      <c r="D325" s="65"/>
      <c r="E325" s="66"/>
      <c r="F325" s="66"/>
      <c r="G325" s="66"/>
      <c r="H325" s="68"/>
      <c r="I325" s="67"/>
      <c r="J325" s="67"/>
      <c r="K325" s="65"/>
      <c r="L325" s="67"/>
      <c r="M325" s="67"/>
      <c r="N325" s="66"/>
      <c r="O325" s="72"/>
    </row>
    <row r="326" spans="2:15" x14ac:dyDescent="0.25">
      <c r="B326" s="74"/>
      <c r="C326" s="70"/>
      <c r="D326" s="65"/>
      <c r="E326" s="66"/>
      <c r="F326" s="66"/>
      <c r="G326" s="66"/>
      <c r="H326" s="68"/>
      <c r="I326" s="67"/>
      <c r="J326" s="67"/>
      <c r="K326" s="65"/>
      <c r="L326" s="67"/>
      <c r="M326" s="67"/>
      <c r="N326" s="66"/>
      <c r="O326" s="72"/>
    </row>
    <row r="327" spans="2:15" x14ac:dyDescent="0.25">
      <c r="B327" s="74"/>
      <c r="C327" s="70"/>
      <c r="D327" s="65"/>
      <c r="E327" s="66"/>
      <c r="F327" s="66"/>
      <c r="G327" s="66"/>
      <c r="H327" s="68"/>
      <c r="I327" s="67"/>
      <c r="J327" s="67"/>
      <c r="K327" s="65"/>
      <c r="L327" s="67"/>
      <c r="M327" s="67"/>
      <c r="N327" s="66"/>
      <c r="O327" s="72"/>
    </row>
    <row r="328" spans="2:15" x14ac:dyDescent="0.25">
      <c r="B328" s="74"/>
      <c r="C328" s="70"/>
      <c r="D328" s="65"/>
      <c r="E328" s="66"/>
      <c r="F328" s="66"/>
      <c r="G328" s="66"/>
      <c r="H328" s="68"/>
      <c r="I328" s="67"/>
      <c r="J328" s="67"/>
      <c r="K328" s="65"/>
      <c r="L328" s="67"/>
      <c r="M328" s="67"/>
      <c r="N328" s="66"/>
      <c r="O328" s="72"/>
    </row>
    <row r="329" spans="2:15" x14ac:dyDescent="0.25">
      <c r="B329" s="74"/>
      <c r="C329" s="70"/>
      <c r="D329" s="65"/>
      <c r="E329" s="66"/>
      <c r="F329" s="66"/>
      <c r="G329" s="66"/>
      <c r="H329" s="68"/>
      <c r="I329" s="67"/>
      <c r="J329" s="67"/>
      <c r="K329" s="65"/>
      <c r="L329" s="67"/>
      <c r="M329" s="67"/>
      <c r="N329" s="66"/>
      <c r="O329" s="72"/>
    </row>
    <row r="330" spans="2:15" x14ac:dyDescent="0.25">
      <c r="B330" s="74"/>
      <c r="C330" s="70"/>
      <c r="D330" s="65"/>
      <c r="E330" s="66"/>
      <c r="F330" s="66"/>
      <c r="G330" s="66"/>
      <c r="H330" s="68"/>
      <c r="I330" s="67"/>
      <c r="J330" s="67"/>
      <c r="K330" s="65"/>
      <c r="L330" s="67"/>
      <c r="M330" s="67"/>
      <c r="N330" s="66"/>
      <c r="O330" s="72"/>
    </row>
    <row r="331" spans="2:15" x14ac:dyDescent="0.25">
      <c r="B331" s="74"/>
      <c r="C331" s="70"/>
      <c r="D331" s="65"/>
      <c r="E331" s="66"/>
      <c r="F331" s="66"/>
      <c r="G331" s="66"/>
      <c r="H331" s="68"/>
      <c r="I331" s="67"/>
      <c r="J331" s="67"/>
      <c r="K331" s="65"/>
      <c r="L331" s="67"/>
      <c r="M331" s="67"/>
      <c r="N331" s="66"/>
      <c r="O331" s="72"/>
    </row>
    <row r="332" spans="2:15" x14ac:dyDescent="0.25">
      <c r="B332" s="74"/>
      <c r="C332" s="70"/>
      <c r="D332" s="65"/>
      <c r="E332" s="66"/>
      <c r="F332" s="66"/>
      <c r="G332" s="66"/>
      <c r="H332" s="68"/>
      <c r="I332" s="67"/>
      <c r="J332" s="67"/>
      <c r="K332" s="65"/>
      <c r="L332" s="67"/>
      <c r="M332" s="67"/>
      <c r="N332" s="66"/>
      <c r="O332" s="72"/>
    </row>
    <row r="333" spans="2:15" x14ac:dyDescent="0.25">
      <c r="B333" s="74"/>
      <c r="C333" s="70"/>
      <c r="D333" s="65"/>
      <c r="E333" s="66"/>
      <c r="F333" s="66"/>
      <c r="G333" s="66"/>
      <c r="H333" s="68"/>
      <c r="I333" s="67"/>
      <c r="J333" s="67"/>
      <c r="K333" s="65"/>
      <c r="L333" s="67"/>
      <c r="M333" s="67"/>
      <c r="N333" s="66"/>
      <c r="O333" s="72"/>
    </row>
    <row r="334" spans="2:15" x14ac:dyDescent="0.25">
      <c r="B334" s="74"/>
      <c r="C334" s="70"/>
      <c r="D334" s="65"/>
      <c r="E334" s="66"/>
      <c r="F334" s="66"/>
      <c r="G334" s="66"/>
      <c r="H334" s="68"/>
      <c r="I334" s="67"/>
      <c r="J334" s="67"/>
      <c r="K334" s="65"/>
      <c r="L334" s="67"/>
      <c r="M334" s="67"/>
      <c r="N334" s="66"/>
      <c r="O334" s="72"/>
    </row>
    <row r="335" spans="2:15" x14ac:dyDescent="0.25">
      <c r="B335" s="74"/>
      <c r="C335" s="70"/>
      <c r="D335" s="65"/>
      <c r="E335" s="66"/>
      <c r="F335" s="66"/>
      <c r="G335" s="66"/>
      <c r="H335" s="68"/>
      <c r="I335" s="67"/>
      <c r="J335" s="67"/>
      <c r="K335" s="65"/>
      <c r="L335" s="67"/>
      <c r="M335" s="67"/>
      <c r="N335" s="66"/>
      <c r="O335" s="72"/>
    </row>
    <row r="336" spans="2:15" x14ac:dyDescent="0.25">
      <c r="B336" s="74"/>
      <c r="C336" s="70"/>
      <c r="D336" s="65"/>
      <c r="E336" s="66"/>
      <c r="F336" s="66"/>
      <c r="G336" s="66"/>
      <c r="H336" s="68"/>
      <c r="I336" s="67"/>
      <c r="J336" s="67"/>
      <c r="K336" s="65"/>
      <c r="L336" s="67"/>
      <c r="M336" s="67"/>
      <c r="N336" s="66"/>
      <c r="O336" s="72"/>
    </row>
    <row r="337" spans="2:15" x14ac:dyDescent="0.25">
      <c r="B337" s="74"/>
      <c r="C337" s="70"/>
      <c r="D337" s="65"/>
      <c r="E337" s="66"/>
      <c r="F337" s="66"/>
      <c r="G337" s="66"/>
      <c r="H337" s="68"/>
      <c r="I337" s="67"/>
      <c r="J337" s="67"/>
      <c r="K337" s="65"/>
      <c r="L337" s="67"/>
      <c r="M337" s="67"/>
      <c r="N337" s="66"/>
      <c r="O337" s="72"/>
    </row>
    <row r="338" spans="2:15" x14ac:dyDescent="0.25">
      <c r="B338" s="74"/>
      <c r="C338" s="70"/>
      <c r="D338" s="65"/>
      <c r="E338" s="66"/>
      <c r="F338" s="66"/>
      <c r="G338" s="66"/>
      <c r="H338" s="68"/>
      <c r="I338" s="67"/>
      <c r="J338" s="67"/>
      <c r="K338" s="65"/>
      <c r="L338" s="67"/>
      <c r="M338" s="67"/>
      <c r="N338" s="66"/>
      <c r="O338" s="72"/>
    </row>
    <row r="339" spans="2:15" x14ac:dyDescent="0.25">
      <c r="B339" s="74"/>
      <c r="C339" s="70"/>
      <c r="D339" s="65"/>
      <c r="E339" s="66"/>
      <c r="F339" s="66"/>
      <c r="G339" s="66"/>
      <c r="H339" s="68"/>
      <c r="I339" s="67"/>
      <c r="J339" s="67"/>
      <c r="K339" s="65"/>
      <c r="L339" s="67"/>
      <c r="M339" s="67"/>
      <c r="N339" s="66"/>
      <c r="O339" s="72"/>
    </row>
    <row r="340" spans="2:15" x14ac:dyDescent="0.25">
      <c r="B340" s="74"/>
      <c r="C340" s="70"/>
      <c r="D340" s="65"/>
      <c r="E340" s="66"/>
      <c r="F340" s="66"/>
      <c r="G340" s="66"/>
      <c r="H340" s="68"/>
      <c r="I340" s="67"/>
      <c r="J340" s="67"/>
      <c r="K340" s="65"/>
      <c r="L340" s="67"/>
      <c r="M340" s="67"/>
      <c r="N340" s="66"/>
      <c r="O340" s="72"/>
    </row>
    <row r="341" spans="2:15" x14ac:dyDescent="0.25">
      <c r="B341" s="74"/>
      <c r="C341" s="70"/>
      <c r="D341" s="65"/>
      <c r="E341" s="66"/>
      <c r="F341" s="66"/>
      <c r="G341" s="66"/>
      <c r="H341" s="68"/>
      <c r="I341" s="67"/>
      <c r="J341" s="67"/>
      <c r="K341" s="65"/>
      <c r="L341" s="67"/>
      <c r="M341" s="67"/>
      <c r="N341" s="66"/>
      <c r="O341" s="72"/>
    </row>
    <row r="342" spans="2:15" x14ac:dyDescent="0.25">
      <c r="B342" s="74"/>
      <c r="C342" s="70"/>
      <c r="D342" s="65"/>
      <c r="E342" s="66"/>
      <c r="F342" s="66"/>
      <c r="G342" s="66"/>
      <c r="H342" s="68"/>
      <c r="I342" s="67"/>
      <c r="J342" s="67"/>
      <c r="K342" s="65"/>
      <c r="L342" s="67"/>
      <c r="M342" s="67"/>
      <c r="N342" s="66"/>
      <c r="O342" s="72"/>
    </row>
    <row r="343" spans="2:15" x14ac:dyDescent="0.25">
      <c r="B343" s="74"/>
      <c r="C343" s="70"/>
      <c r="D343" s="65"/>
      <c r="E343" s="66"/>
      <c r="F343" s="66"/>
      <c r="G343" s="66"/>
      <c r="H343" s="68"/>
      <c r="I343" s="67"/>
      <c r="J343" s="67"/>
      <c r="K343" s="65"/>
      <c r="L343" s="67"/>
      <c r="M343" s="67"/>
      <c r="N343" s="66"/>
      <c r="O343" s="72"/>
    </row>
    <row r="344" spans="2:15" x14ac:dyDescent="0.25">
      <c r="B344" s="74"/>
      <c r="C344" s="70"/>
      <c r="D344" s="65"/>
      <c r="E344" s="66"/>
      <c r="F344" s="66"/>
      <c r="G344" s="66"/>
      <c r="H344" s="68"/>
      <c r="I344" s="67"/>
      <c r="J344" s="67"/>
      <c r="K344" s="65"/>
      <c r="L344" s="67"/>
      <c r="M344" s="67"/>
      <c r="N344" s="66"/>
      <c r="O344" s="72"/>
    </row>
    <row r="345" spans="2:15" x14ac:dyDescent="0.25">
      <c r="B345" s="74"/>
      <c r="C345" s="70"/>
      <c r="D345" s="65"/>
      <c r="E345" s="66"/>
      <c r="F345" s="66"/>
      <c r="G345" s="66"/>
      <c r="H345" s="68"/>
      <c r="I345" s="67"/>
      <c r="J345" s="67"/>
      <c r="K345" s="65"/>
      <c r="L345" s="67"/>
      <c r="M345" s="67"/>
      <c r="N345" s="66"/>
      <c r="O345" s="72"/>
    </row>
    <row r="346" spans="2:15" x14ac:dyDescent="0.25">
      <c r="B346" s="74"/>
      <c r="C346" s="70"/>
      <c r="D346" s="65"/>
      <c r="E346" s="66"/>
      <c r="F346" s="66"/>
      <c r="G346" s="66"/>
      <c r="H346" s="68"/>
      <c r="I346" s="67"/>
      <c r="J346" s="67"/>
      <c r="K346" s="65"/>
      <c r="L346" s="67"/>
      <c r="M346" s="67"/>
      <c r="N346" s="66"/>
      <c r="O346" s="72"/>
    </row>
    <row r="347" spans="2:15" x14ac:dyDescent="0.25">
      <c r="B347" s="74"/>
      <c r="C347" s="70"/>
      <c r="D347" s="65"/>
      <c r="E347" s="66"/>
      <c r="F347" s="66"/>
      <c r="G347" s="66"/>
      <c r="H347" s="68"/>
      <c r="I347" s="67"/>
      <c r="J347" s="67"/>
      <c r="K347" s="65"/>
      <c r="L347" s="67"/>
      <c r="M347" s="67"/>
      <c r="N347" s="66"/>
      <c r="O347" s="72"/>
    </row>
    <row r="348" spans="2:15" x14ac:dyDescent="0.25">
      <c r="B348" s="74"/>
      <c r="C348" s="70"/>
      <c r="D348" s="65"/>
      <c r="E348" s="66"/>
      <c r="F348" s="66"/>
      <c r="G348" s="66"/>
      <c r="H348" s="68"/>
      <c r="I348" s="67"/>
      <c r="J348" s="67"/>
      <c r="K348" s="65"/>
      <c r="L348" s="67"/>
      <c r="M348" s="67"/>
      <c r="N348" s="66"/>
      <c r="O348" s="72"/>
    </row>
    <row r="349" spans="2:15" x14ac:dyDescent="0.25">
      <c r="B349" s="74"/>
      <c r="C349" s="70"/>
      <c r="D349" s="65"/>
      <c r="E349" s="66"/>
      <c r="F349" s="66"/>
      <c r="G349" s="66"/>
      <c r="H349" s="68"/>
      <c r="I349" s="67"/>
      <c r="J349" s="67"/>
      <c r="K349" s="65"/>
      <c r="L349" s="67"/>
      <c r="M349" s="67"/>
      <c r="N349" s="66"/>
      <c r="O349" s="72"/>
    </row>
    <row r="350" spans="2:15" x14ac:dyDescent="0.25">
      <c r="B350" s="74"/>
      <c r="C350" s="70"/>
      <c r="D350" s="65"/>
      <c r="E350" s="66"/>
      <c r="F350" s="66"/>
      <c r="G350" s="66"/>
      <c r="H350" s="68"/>
      <c r="I350" s="67"/>
      <c r="J350" s="67"/>
      <c r="K350" s="65"/>
      <c r="L350" s="67"/>
      <c r="M350" s="67"/>
      <c r="N350" s="66"/>
      <c r="O350" s="72"/>
    </row>
    <row r="351" spans="2:15" x14ac:dyDescent="0.25">
      <c r="B351" s="74"/>
      <c r="C351" s="70"/>
      <c r="D351" s="65"/>
      <c r="E351" s="66"/>
      <c r="F351" s="66"/>
      <c r="G351" s="66"/>
      <c r="H351" s="68"/>
      <c r="I351" s="67"/>
      <c r="J351" s="67"/>
      <c r="K351" s="65"/>
      <c r="L351" s="67"/>
      <c r="M351" s="67"/>
      <c r="N351" s="66"/>
      <c r="O351" s="72"/>
    </row>
    <row r="352" spans="2:15" x14ac:dyDescent="0.25">
      <c r="B352" s="74"/>
      <c r="C352" s="70"/>
      <c r="D352" s="65"/>
      <c r="E352" s="66"/>
      <c r="F352" s="66"/>
      <c r="G352" s="66"/>
      <c r="H352" s="68"/>
      <c r="I352" s="67"/>
      <c r="J352" s="67"/>
      <c r="K352" s="65"/>
      <c r="L352" s="67"/>
      <c r="M352" s="67"/>
      <c r="N352" s="66"/>
      <c r="O352" s="72"/>
    </row>
    <row r="353" spans="2:15" x14ac:dyDescent="0.25">
      <c r="B353" s="74"/>
      <c r="C353" s="70"/>
      <c r="D353" s="65"/>
      <c r="E353" s="66"/>
      <c r="F353" s="66"/>
      <c r="G353" s="66"/>
      <c r="H353" s="68"/>
      <c r="I353" s="67"/>
      <c r="J353" s="67"/>
      <c r="K353" s="65"/>
      <c r="L353" s="67"/>
      <c r="M353" s="67"/>
      <c r="N353" s="66"/>
      <c r="O353" s="72"/>
    </row>
    <row r="354" spans="2:15" x14ac:dyDescent="0.25">
      <c r="B354" s="74"/>
      <c r="C354" s="70"/>
      <c r="D354" s="65"/>
      <c r="E354" s="66"/>
      <c r="F354" s="66"/>
      <c r="G354" s="66"/>
      <c r="H354" s="68"/>
      <c r="I354" s="67"/>
      <c r="J354" s="67"/>
      <c r="K354" s="65"/>
      <c r="L354" s="67"/>
      <c r="M354" s="67"/>
      <c r="N354" s="66"/>
      <c r="O354" s="72"/>
    </row>
    <row r="355" spans="2:15" x14ac:dyDescent="0.25">
      <c r="B355" s="74"/>
      <c r="C355" s="70"/>
      <c r="D355" s="65"/>
      <c r="E355" s="66"/>
      <c r="F355" s="66"/>
      <c r="G355" s="66"/>
      <c r="H355" s="68"/>
      <c r="I355" s="67"/>
      <c r="J355" s="67"/>
      <c r="K355" s="65"/>
      <c r="L355" s="67"/>
      <c r="M355" s="67"/>
      <c r="N355" s="66"/>
      <c r="O355" s="72"/>
    </row>
    <row r="356" spans="2:15" x14ac:dyDescent="0.25">
      <c r="B356" s="74"/>
      <c r="C356" s="70"/>
      <c r="D356" s="65"/>
      <c r="E356" s="66"/>
      <c r="F356" s="66"/>
      <c r="G356" s="66"/>
      <c r="H356" s="68"/>
      <c r="I356" s="67"/>
      <c r="J356" s="67"/>
      <c r="K356" s="65"/>
      <c r="L356" s="67"/>
      <c r="M356" s="67"/>
      <c r="N356" s="66"/>
      <c r="O356" s="72"/>
    </row>
    <row r="357" spans="2:15" x14ac:dyDescent="0.25">
      <c r="B357" s="74"/>
      <c r="C357" s="70"/>
      <c r="D357" s="65"/>
      <c r="E357" s="66"/>
      <c r="F357" s="66"/>
      <c r="G357" s="66"/>
      <c r="H357" s="68"/>
      <c r="I357" s="67"/>
      <c r="J357" s="67"/>
      <c r="K357" s="65"/>
      <c r="L357" s="67"/>
      <c r="M357" s="67"/>
      <c r="N357" s="66"/>
      <c r="O357" s="72"/>
    </row>
    <row r="358" spans="2:15" x14ac:dyDescent="0.25">
      <c r="B358" s="74"/>
      <c r="C358" s="70"/>
      <c r="D358" s="65"/>
      <c r="E358" s="66"/>
      <c r="F358" s="66"/>
      <c r="G358" s="66"/>
      <c r="H358" s="68"/>
      <c r="I358" s="67"/>
      <c r="J358" s="67"/>
      <c r="K358" s="65"/>
      <c r="L358" s="67"/>
      <c r="M358" s="67"/>
      <c r="N358" s="66"/>
      <c r="O358" s="72"/>
    </row>
    <row r="359" spans="2:15" x14ac:dyDescent="0.25">
      <c r="B359" s="74"/>
      <c r="C359" s="70"/>
      <c r="D359" s="65"/>
      <c r="E359" s="66"/>
      <c r="F359" s="66"/>
      <c r="G359" s="66"/>
      <c r="H359" s="68"/>
      <c r="I359" s="67"/>
      <c r="J359" s="67"/>
      <c r="K359" s="65"/>
      <c r="L359" s="67"/>
      <c r="M359" s="67"/>
      <c r="N359" s="66"/>
      <c r="O359" s="72"/>
    </row>
    <row r="360" spans="2:15" x14ac:dyDescent="0.25">
      <c r="B360" s="74"/>
      <c r="C360" s="70"/>
      <c r="D360" s="65"/>
      <c r="E360" s="66"/>
      <c r="F360" s="66"/>
      <c r="G360" s="66"/>
      <c r="H360" s="68"/>
      <c r="I360" s="67"/>
      <c r="J360" s="67"/>
      <c r="K360" s="65"/>
      <c r="L360" s="67"/>
      <c r="M360" s="67"/>
      <c r="N360" s="66"/>
      <c r="O360" s="72"/>
    </row>
    <row r="361" spans="2:15" x14ac:dyDescent="0.25">
      <c r="B361" s="74"/>
      <c r="C361" s="70"/>
      <c r="D361" s="65"/>
      <c r="E361" s="66"/>
      <c r="F361" s="66"/>
      <c r="G361" s="66"/>
      <c r="H361" s="68"/>
      <c r="I361" s="67"/>
      <c r="J361" s="67"/>
      <c r="K361" s="65"/>
      <c r="L361" s="67"/>
      <c r="M361" s="67"/>
      <c r="N361" s="66"/>
      <c r="O361" s="72"/>
    </row>
    <row r="362" spans="2:15" x14ac:dyDescent="0.25">
      <c r="B362" s="74"/>
      <c r="C362" s="70"/>
      <c r="D362" s="65"/>
      <c r="E362" s="66"/>
      <c r="F362" s="66"/>
      <c r="G362" s="66"/>
      <c r="H362" s="68"/>
      <c r="I362" s="67"/>
      <c r="J362" s="67"/>
      <c r="K362" s="65"/>
      <c r="L362" s="67"/>
      <c r="M362" s="67"/>
      <c r="N362" s="66"/>
      <c r="O362" s="72"/>
    </row>
    <row r="363" spans="2:15" x14ac:dyDescent="0.25">
      <c r="B363" s="74"/>
      <c r="C363" s="70"/>
      <c r="D363" s="65"/>
      <c r="E363" s="66"/>
      <c r="F363" s="66"/>
      <c r="G363" s="66"/>
      <c r="H363" s="68"/>
      <c r="I363" s="67"/>
      <c r="J363" s="67"/>
      <c r="K363" s="65"/>
      <c r="L363" s="67"/>
      <c r="M363" s="67"/>
      <c r="N363" s="66"/>
      <c r="O363" s="72"/>
    </row>
    <row r="364" spans="2:15" x14ac:dyDescent="0.25">
      <c r="B364" s="74"/>
      <c r="C364" s="70"/>
      <c r="D364" s="65"/>
      <c r="E364" s="66"/>
      <c r="F364" s="66"/>
      <c r="G364" s="66"/>
      <c r="H364" s="68"/>
      <c r="I364" s="67"/>
      <c r="J364" s="67"/>
      <c r="K364" s="65"/>
      <c r="L364" s="67"/>
      <c r="M364" s="67"/>
      <c r="N364" s="66"/>
      <c r="O364" s="72"/>
    </row>
    <row r="365" spans="2:15" x14ac:dyDescent="0.25">
      <c r="B365" s="74"/>
      <c r="C365" s="70"/>
      <c r="D365" s="65"/>
      <c r="E365" s="66"/>
      <c r="F365" s="66"/>
      <c r="G365" s="66"/>
      <c r="H365" s="68"/>
      <c r="I365" s="67"/>
      <c r="J365" s="67"/>
      <c r="K365" s="65"/>
      <c r="L365" s="67"/>
      <c r="M365" s="67"/>
      <c r="N365" s="66"/>
      <c r="O365" s="72"/>
    </row>
    <row r="366" spans="2:15" x14ac:dyDescent="0.25">
      <c r="B366" s="74"/>
      <c r="C366" s="70"/>
      <c r="D366" s="65"/>
      <c r="E366" s="66"/>
      <c r="F366" s="66"/>
      <c r="G366" s="66"/>
      <c r="H366" s="68"/>
      <c r="I366" s="67"/>
      <c r="J366" s="67"/>
      <c r="K366" s="65"/>
      <c r="L366" s="67"/>
      <c r="M366" s="67"/>
      <c r="N366" s="66"/>
      <c r="O366" s="72"/>
    </row>
    <row r="367" spans="2:15" x14ac:dyDescent="0.25">
      <c r="B367" s="74"/>
      <c r="C367" s="70"/>
      <c r="D367" s="65"/>
      <c r="E367" s="66"/>
      <c r="F367" s="66"/>
      <c r="G367" s="66"/>
      <c r="H367" s="68"/>
      <c r="I367" s="67"/>
      <c r="J367" s="67"/>
      <c r="K367" s="65"/>
      <c r="L367" s="67"/>
      <c r="M367" s="67"/>
      <c r="N367" s="66"/>
      <c r="O367" s="72"/>
    </row>
    <row r="368" spans="2:15" x14ac:dyDescent="0.25">
      <c r="B368" s="74"/>
      <c r="C368" s="70"/>
      <c r="D368" s="65"/>
      <c r="E368" s="66"/>
      <c r="F368" s="66"/>
      <c r="G368" s="66"/>
      <c r="H368" s="68"/>
      <c r="I368" s="67"/>
      <c r="J368" s="67"/>
      <c r="K368" s="65"/>
      <c r="L368" s="67"/>
      <c r="M368" s="67"/>
      <c r="N368" s="66"/>
      <c r="O368" s="72"/>
    </row>
    <row r="369" spans="2:15" x14ac:dyDescent="0.25">
      <c r="B369" s="74"/>
      <c r="C369" s="70"/>
      <c r="D369" s="65"/>
      <c r="E369" s="66"/>
      <c r="F369" s="66"/>
      <c r="G369" s="66"/>
      <c r="H369" s="68"/>
      <c r="I369" s="67"/>
      <c r="J369" s="67"/>
      <c r="K369" s="65"/>
      <c r="L369" s="67"/>
      <c r="M369" s="67"/>
      <c r="N369" s="66"/>
      <c r="O369" s="72"/>
    </row>
    <row r="370" spans="2:15" x14ac:dyDescent="0.25">
      <c r="B370" s="74"/>
      <c r="C370" s="70"/>
      <c r="D370" s="65"/>
      <c r="E370" s="66"/>
      <c r="F370" s="66"/>
      <c r="G370" s="66"/>
      <c r="H370" s="68"/>
      <c r="I370" s="67"/>
      <c r="J370" s="67"/>
      <c r="K370" s="65"/>
      <c r="L370" s="67"/>
      <c r="M370" s="67"/>
      <c r="N370" s="66"/>
      <c r="O370" s="72"/>
    </row>
    <row r="371" spans="2:15" x14ac:dyDescent="0.25">
      <c r="B371" s="74"/>
      <c r="C371" s="70"/>
      <c r="D371" s="65"/>
      <c r="E371" s="66"/>
      <c r="F371" s="66"/>
      <c r="G371" s="66"/>
      <c r="H371" s="68"/>
      <c r="I371" s="67"/>
      <c r="J371" s="67"/>
      <c r="K371" s="65"/>
      <c r="L371" s="67"/>
      <c r="M371" s="67"/>
      <c r="N371" s="66"/>
      <c r="O371" s="72"/>
    </row>
    <row r="372" spans="2:15" x14ac:dyDescent="0.25">
      <c r="B372" s="74"/>
      <c r="C372" s="70"/>
      <c r="D372" s="65"/>
      <c r="E372" s="66"/>
      <c r="F372" s="66"/>
      <c r="G372" s="66"/>
      <c r="H372" s="68"/>
      <c r="I372" s="67"/>
      <c r="J372" s="67"/>
      <c r="K372" s="65"/>
      <c r="L372" s="67"/>
      <c r="M372" s="67"/>
      <c r="N372" s="66"/>
      <c r="O372" s="72"/>
    </row>
    <row r="373" spans="2:15" x14ac:dyDescent="0.25">
      <c r="B373" s="74"/>
      <c r="C373" s="70"/>
      <c r="D373" s="65"/>
      <c r="E373" s="66"/>
      <c r="F373" s="66"/>
      <c r="G373" s="66"/>
      <c r="H373" s="68"/>
      <c r="I373" s="67"/>
      <c r="J373" s="67"/>
      <c r="K373" s="65"/>
      <c r="L373" s="67"/>
      <c r="M373" s="67"/>
      <c r="N373" s="66"/>
      <c r="O373" s="72"/>
    </row>
    <row r="374" spans="2:15" x14ac:dyDescent="0.25">
      <c r="B374" s="74"/>
      <c r="C374" s="70"/>
      <c r="D374" s="65"/>
      <c r="E374" s="66"/>
      <c r="F374" s="66"/>
      <c r="G374" s="66"/>
      <c r="H374" s="68"/>
      <c r="I374" s="67"/>
      <c r="J374" s="67"/>
      <c r="K374" s="65"/>
      <c r="L374" s="67"/>
      <c r="M374" s="67"/>
      <c r="N374" s="66"/>
      <c r="O374" s="72"/>
    </row>
    <row r="375" spans="2:15" x14ac:dyDescent="0.25">
      <c r="B375" s="74"/>
      <c r="C375" s="70"/>
      <c r="D375" s="65"/>
      <c r="E375" s="66"/>
      <c r="F375" s="66"/>
      <c r="G375" s="66"/>
      <c r="H375" s="68"/>
      <c r="I375" s="67"/>
      <c r="J375" s="67"/>
      <c r="K375" s="65"/>
      <c r="L375" s="67"/>
      <c r="M375" s="67"/>
      <c r="N375" s="66"/>
      <c r="O375" s="72"/>
    </row>
    <row r="376" spans="2:15" x14ac:dyDescent="0.25">
      <c r="B376" s="74"/>
      <c r="C376" s="70"/>
      <c r="D376" s="65"/>
      <c r="E376" s="66"/>
      <c r="F376" s="66"/>
      <c r="G376" s="66"/>
      <c r="H376" s="68"/>
      <c r="I376" s="67"/>
      <c r="J376" s="67"/>
      <c r="K376" s="65"/>
      <c r="L376" s="67"/>
      <c r="M376" s="67"/>
      <c r="N376" s="66"/>
      <c r="O376" s="72"/>
    </row>
    <row r="377" spans="2:15" x14ac:dyDescent="0.25">
      <c r="B377" s="74"/>
      <c r="C377" s="70"/>
      <c r="D377" s="65"/>
      <c r="E377" s="66"/>
      <c r="F377" s="66"/>
      <c r="G377" s="66"/>
      <c r="H377" s="68"/>
      <c r="I377" s="67"/>
      <c r="J377" s="67"/>
      <c r="K377" s="65"/>
      <c r="L377" s="67"/>
      <c r="M377" s="67"/>
      <c r="N377" s="66"/>
      <c r="O377" s="72"/>
    </row>
    <row r="378" spans="2:15" x14ac:dyDescent="0.25">
      <c r="B378" s="74"/>
      <c r="C378" s="70"/>
      <c r="D378" s="65"/>
      <c r="E378" s="66"/>
      <c r="F378" s="66"/>
      <c r="G378" s="66"/>
      <c r="H378" s="68"/>
      <c r="I378" s="67"/>
      <c r="J378" s="67"/>
      <c r="K378" s="65"/>
      <c r="L378" s="67"/>
      <c r="M378" s="67"/>
      <c r="N378" s="66"/>
      <c r="O378" s="72"/>
    </row>
    <row r="379" spans="2:15" x14ac:dyDescent="0.25">
      <c r="B379" s="74"/>
      <c r="C379" s="70"/>
      <c r="D379" s="65"/>
      <c r="E379" s="66"/>
      <c r="F379" s="66"/>
      <c r="G379" s="66"/>
      <c r="H379" s="68"/>
      <c r="I379" s="67"/>
      <c r="J379" s="67"/>
      <c r="K379" s="65"/>
      <c r="L379" s="67"/>
      <c r="M379" s="67"/>
      <c r="N379" s="66"/>
      <c r="O379" s="72"/>
    </row>
    <row r="380" spans="2:15" x14ac:dyDescent="0.25">
      <c r="B380" s="74"/>
      <c r="C380" s="70"/>
      <c r="D380" s="65"/>
      <c r="E380" s="66"/>
      <c r="F380" s="66"/>
      <c r="G380" s="66"/>
      <c r="H380" s="68"/>
      <c r="I380" s="67"/>
      <c r="J380" s="67"/>
      <c r="K380" s="65"/>
      <c r="L380" s="67"/>
      <c r="M380" s="67"/>
      <c r="N380" s="66"/>
      <c r="O380" s="72"/>
    </row>
    <row r="381" spans="2:15" x14ac:dyDescent="0.25">
      <c r="B381" s="74"/>
      <c r="C381" s="70"/>
      <c r="D381" s="65"/>
      <c r="E381" s="66"/>
      <c r="F381" s="66"/>
      <c r="G381" s="66"/>
      <c r="H381" s="68"/>
      <c r="I381" s="67"/>
      <c r="J381" s="67"/>
      <c r="K381" s="65"/>
      <c r="L381" s="67"/>
      <c r="M381" s="67"/>
      <c r="N381" s="66"/>
      <c r="O381" s="72"/>
    </row>
    <row r="382" spans="2:15" x14ac:dyDescent="0.25">
      <c r="B382" s="74"/>
      <c r="C382" s="70"/>
      <c r="D382" s="65"/>
      <c r="E382" s="66"/>
      <c r="F382" s="66"/>
      <c r="G382" s="66"/>
      <c r="H382" s="68"/>
      <c r="I382" s="67"/>
      <c r="J382" s="67"/>
      <c r="K382" s="65"/>
      <c r="L382" s="67"/>
      <c r="M382" s="67"/>
      <c r="N382" s="66"/>
      <c r="O382" s="72"/>
    </row>
    <row r="383" spans="2:15" x14ac:dyDescent="0.25">
      <c r="B383" s="74"/>
      <c r="C383" s="70"/>
      <c r="D383" s="65"/>
      <c r="E383" s="66"/>
      <c r="F383" s="66"/>
      <c r="G383" s="66"/>
      <c r="H383" s="68"/>
      <c r="I383" s="67"/>
      <c r="J383" s="67"/>
      <c r="K383" s="65"/>
      <c r="L383" s="67"/>
      <c r="M383" s="67"/>
      <c r="N383" s="66"/>
      <c r="O383" s="72"/>
    </row>
    <row r="384" spans="2:15" x14ac:dyDescent="0.25">
      <c r="B384" s="74"/>
      <c r="C384" s="70"/>
      <c r="D384" s="65"/>
      <c r="E384" s="66"/>
      <c r="F384" s="66"/>
      <c r="G384" s="66"/>
      <c r="H384" s="68"/>
      <c r="I384" s="67"/>
      <c r="J384" s="67"/>
      <c r="K384" s="65"/>
      <c r="L384" s="67"/>
      <c r="M384" s="67"/>
      <c r="N384" s="66"/>
      <c r="O384" s="72"/>
    </row>
    <row r="385" spans="2:15" x14ac:dyDescent="0.25">
      <c r="B385" s="74"/>
      <c r="C385" s="70"/>
      <c r="D385" s="65"/>
      <c r="E385" s="66"/>
      <c r="F385" s="66"/>
      <c r="G385" s="66"/>
      <c r="H385" s="68"/>
      <c r="I385" s="67"/>
      <c r="J385" s="67"/>
      <c r="K385" s="65"/>
      <c r="L385" s="67"/>
      <c r="M385" s="67"/>
      <c r="N385" s="66"/>
      <c r="O385" s="72"/>
    </row>
    <row r="386" spans="2:15" x14ac:dyDescent="0.25">
      <c r="B386" s="74"/>
      <c r="C386" s="70"/>
      <c r="D386" s="65"/>
      <c r="E386" s="66"/>
      <c r="F386" s="66"/>
      <c r="G386" s="66"/>
      <c r="H386" s="68"/>
      <c r="I386" s="67"/>
      <c r="J386" s="67"/>
      <c r="K386" s="65"/>
      <c r="L386" s="67"/>
      <c r="M386" s="67"/>
      <c r="N386" s="66"/>
      <c r="O386" s="72"/>
    </row>
    <row r="387" spans="2:15" x14ac:dyDescent="0.25">
      <c r="B387" s="74"/>
      <c r="C387" s="70"/>
      <c r="D387" s="65"/>
      <c r="E387" s="66"/>
      <c r="F387" s="66"/>
      <c r="G387" s="66"/>
      <c r="H387" s="68"/>
      <c r="I387" s="67"/>
      <c r="J387" s="67"/>
      <c r="K387" s="65"/>
      <c r="L387" s="67"/>
      <c r="M387" s="67"/>
      <c r="N387" s="66"/>
      <c r="O387" s="72"/>
    </row>
    <row r="388" spans="2:15" x14ac:dyDescent="0.25">
      <c r="B388" s="74"/>
      <c r="C388" s="70"/>
      <c r="D388" s="65"/>
      <c r="E388" s="66"/>
      <c r="F388" s="66"/>
      <c r="G388" s="66"/>
      <c r="H388" s="68"/>
      <c r="I388" s="67"/>
      <c r="J388" s="67"/>
      <c r="K388" s="65"/>
      <c r="L388" s="67"/>
      <c r="M388" s="67"/>
      <c r="N388" s="66"/>
      <c r="O388" s="72"/>
    </row>
    <row r="389" spans="2:15" x14ac:dyDescent="0.25">
      <c r="B389" s="74"/>
      <c r="C389" s="70"/>
      <c r="D389" s="65"/>
      <c r="E389" s="66"/>
      <c r="F389" s="66"/>
      <c r="G389" s="66"/>
      <c r="H389" s="68"/>
      <c r="I389" s="67"/>
      <c r="J389" s="67"/>
      <c r="K389" s="65"/>
      <c r="L389" s="67"/>
      <c r="M389" s="67"/>
      <c r="N389" s="66"/>
      <c r="O389" s="72"/>
    </row>
    <row r="390" spans="2:15" x14ac:dyDescent="0.25">
      <c r="B390" s="74"/>
      <c r="C390" s="70"/>
      <c r="D390" s="65"/>
      <c r="E390" s="66"/>
      <c r="F390" s="66"/>
      <c r="G390" s="66"/>
      <c r="H390" s="68"/>
      <c r="I390" s="67"/>
      <c r="J390" s="67"/>
      <c r="K390" s="65"/>
      <c r="L390" s="67"/>
      <c r="M390" s="67"/>
      <c r="N390" s="66"/>
      <c r="O390" s="72"/>
    </row>
    <row r="391" spans="2:15" x14ac:dyDescent="0.25">
      <c r="B391" s="74"/>
      <c r="C391" s="70"/>
      <c r="D391" s="65"/>
      <c r="E391" s="66"/>
      <c r="F391" s="66"/>
      <c r="G391" s="66"/>
      <c r="H391" s="68"/>
      <c r="I391" s="67"/>
      <c r="J391" s="67"/>
      <c r="K391" s="65"/>
      <c r="L391" s="67"/>
      <c r="M391" s="67"/>
      <c r="N391" s="66"/>
      <c r="O391" s="72"/>
    </row>
    <row r="392" spans="2:15" x14ac:dyDescent="0.25">
      <c r="B392" s="74"/>
      <c r="C392" s="70"/>
      <c r="D392" s="65"/>
      <c r="E392" s="66"/>
      <c r="F392" s="66"/>
      <c r="G392" s="66"/>
      <c r="H392" s="68"/>
      <c r="I392" s="67"/>
      <c r="J392" s="67"/>
      <c r="K392" s="65"/>
      <c r="L392" s="67"/>
      <c r="M392" s="67"/>
      <c r="N392" s="66"/>
      <c r="O392" s="72"/>
    </row>
    <row r="393" spans="2:15" x14ac:dyDescent="0.25">
      <c r="B393" s="74"/>
      <c r="C393" s="70"/>
      <c r="D393" s="65"/>
      <c r="E393" s="66"/>
      <c r="F393" s="66"/>
      <c r="G393" s="66"/>
      <c r="H393" s="68"/>
      <c r="I393" s="67"/>
      <c r="J393" s="67"/>
      <c r="K393" s="65"/>
      <c r="L393" s="67"/>
      <c r="M393" s="67"/>
      <c r="N393" s="66"/>
      <c r="O393" s="72"/>
    </row>
    <row r="394" spans="2:15" x14ac:dyDescent="0.25">
      <c r="B394" s="74"/>
      <c r="C394" s="70"/>
      <c r="D394" s="65"/>
      <c r="E394" s="66"/>
      <c r="F394" s="66"/>
      <c r="G394" s="66"/>
      <c r="H394" s="68"/>
      <c r="I394" s="67"/>
      <c r="J394" s="67"/>
      <c r="K394" s="65"/>
      <c r="L394" s="67"/>
      <c r="M394" s="67"/>
      <c r="N394" s="66"/>
      <c r="O394" s="72"/>
    </row>
    <row r="395" spans="2:15" x14ac:dyDescent="0.25">
      <c r="B395" s="74"/>
      <c r="C395" s="70"/>
      <c r="D395" s="65"/>
      <c r="E395" s="66"/>
      <c r="F395" s="66"/>
      <c r="G395" s="66"/>
      <c r="H395" s="68"/>
      <c r="I395" s="67"/>
      <c r="J395" s="67"/>
      <c r="K395" s="65"/>
      <c r="L395" s="67"/>
      <c r="M395" s="67"/>
      <c r="N395" s="66"/>
      <c r="O395" s="72"/>
    </row>
    <row r="396" spans="2:15" x14ac:dyDescent="0.25">
      <c r="B396" s="74"/>
      <c r="C396" s="70"/>
      <c r="D396" s="65"/>
      <c r="E396" s="66"/>
      <c r="F396" s="66"/>
      <c r="G396" s="66"/>
      <c r="H396" s="68"/>
      <c r="I396" s="67"/>
      <c r="J396" s="67"/>
      <c r="K396" s="65"/>
      <c r="L396" s="67"/>
      <c r="M396" s="67"/>
      <c r="N396" s="66"/>
      <c r="O396" s="72"/>
    </row>
    <row r="397" spans="2:15" x14ac:dyDescent="0.25">
      <c r="B397" s="74"/>
      <c r="C397" s="70"/>
      <c r="D397" s="65"/>
      <c r="E397" s="66"/>
      <c r="F397" s="66"/>
      <c r="G397" s="66"/>
      <c r="H397" s="68"/>
      <c r="I397" s="67"/>
      <c r="J397" s="67"/>
      <c r="K397" s="65"/>
      <c r="L397" s="67"/>
      <c r="M397" s="67"/>
      <c r="N397" s="66"/>
      <c r="O397" s="72"/>
    </row>
    <row r="398" spans="2:15" x14ac:dyDescent="0.25">
      <c r="B398" s="74"/>
      <c r="C398" s="70"/>
      <c r="D398" s="65"/>
      <c r="E398" s="66"/>
      <c r="F398" s="66"/>
      <c r="G398" s="66"/>
      <c r="H398" s="68"/>
      <c r="I398" s="67"/>
      <c r="J398" s="67"/>
      <c r="K398" s="65"/>
      <c r="L398" s="67"/>
      <c r="M398" s="67"/>
      <c r="N398" s="66"/>
      <c r="O398" s="72"/>
    </row>
    <row r="399" spans="2:15" x14ac:dyDescent="0.25">
      <c r="B399" s="74"/>
      <c r="C399" s="70"/>
      <c r="D399" s="65"/>
      <c r="E399" s="66"/>
      <c r="F399" s="66"/>
      <c r="G399" s="66"/>
      <c r="H399" s="68"/>
      <c r="I399" s="67"/>
      <c r="J399" s="67"/>
      <c r="K399" s="65"/>
      <c r="L399" s="67"/>
      <c r="M399" s="67"/>
      <c r="N399" s="66"/>
      <c r="O399" s="72"/>
    </row>
    <row r="400" spans="2:15" x14ac:dyDescent="0.25">
      <c r="B400" s="74"/>
      <c r="C400" s="70"/>
      <c r="D400" s="65"/>
      <c r="E400" s="66"/>
      <c r="F400" s="66"/>
      <c r="G400" s="66"/>
      <c r="H400" s="68"/>
      <c r="I400" s="67"/>
      <c r="J400" s="67"/>
      <c r="K400" s="65"/>
      <c r="L400" s="67"/>
      <c r="M400" s="67"/>
      <c r="N400" s="66"/>
      <c r="O400" s="72"/>
    </row>
    <row r="401" spans="2:15" x14ac:dyDescent="0.25">
      <c r="B401" s="74"/>
      <c r="C401" s="70"/>
      <c r="D401" s="65"/>
      <c r="E401" s="66"/>
      <c r="F401" s="66"/>
      <c r="G401" s="66"/>
      <c r="H401" s="68"/>
      <c r="I401" s="67"/>
      <c r="J401" s="67"/>
      <c r="K401" s="65"/>
      <c r="L401" s="67"/>
      <c r="M401" s="67"/>
      <c r="N401" s="66"/>
      <c r="O401" s="72"/>
    </row>
    <row r="402" spans="2:15" x14ac:dyDescent="0.25">
      <c r="B402" s="74"/>
      <c r="C402" s="70"/>
      <c r="D402" s="65"/>
      <c r="E402" s="66"/>
      <c r="F402" s="66"/>
      <c r="G402" s="66"/>
      <c r="H402" s="68"/>
      <c r="I402" s="67"/>
      <c r="J402" s="67"/>
      <c r="K402" s="65"/>
      <c r="L402" s="67"/>
      <c r="M402" s="67"/>
      <c r="N402" s="66"/>
      <c r="O402" s="72"/>
    </row>
    <row r="403" spans="2:15" x14ac:dyDescent="0.25">
      <c r="B403" s="74"/>
      <c r="C403" s="70"/>
      <c r="D403" s="65"/>
      <c r="E403" s="66"/>
      <c r="F403" s="66"/>
      <c r="G403" s="66"/>
      <c r="H403" s="68"/>
      <c r="I403" s="67"/>
      <c r="J403" s="67"/>
      <c r="K403" s="65"/>
      <c r="L403" s="67"/>
      <c r="M403" s="67"/>
      <c r="N403" s="66"/>
      <c r="O403" s="72"/>
    </row>
    <row r="404" spans="2:15" x14ac:dyDescent="0.25">
      <c r="B404" s="74"/>
      <c r="C404" s="70"/>
      <c r="D404" s="65"/>
      <c r="E404" s="66"/>
      <c r="F404" s="66"/>
      <c r="G404" s="66"/>
      <c r="H404" s="68"/>
      <c r="I404" s="67"/>
      <c r="J404" s="67"/>
      <c r="K404" s="65"/>
      <c r="L404" s="67"/>
      <c r="M404" s="67"/>
      <c r="N404" s="66"/>
      <c r="O404" s="72"/>
    </row>
    <row r="405" spans="2:15" x14ac:dyDescent="0.25">
      <c r="B405" s="74"/>
      <c r="C405" s="70"/>
      <c r="D405" s="65"/>
      <c r="E405" s="66"/>
      <c r="F405" s="66"/>
      <c r="G405" s="66"/>
      <c r="H405" s="68"/>
      <c r="I405" s="67"/>
      <c r="J405" s="67"/>
      <c r="K405" s="65"/>
      <c r="L405" s="67"/>
      <c r="M405" s="67"/>
      <c r="N405" s="66"/>
      <c r="O405" s="72"/>
    </row>
    <row r="406" spans="2:15" x14ac:dyDescent="0.25">
      <c r="B406" s="74"/>
      <c r="C406" s="70"/>
      <c r="D406" s="65"/>
      <c r="E406" s="66"/>
      <c r="F406" s="66"/>
      <c r="G406" s="66"/>
      <c r="H406" s="68"/>
      <c r="I406" s="67"/>
      <c r="J406" s="67"/>
      <c r="K406" s="65"/>
      <c r="L406" s="67"/>
      <c r="M406" s="67"/>
      <c r="N406" s="66"/>
      <c r="O406" s="72"/>
    </row>
    <row r="407" spans="2:15" x14ac:dyDescent="0.25">
      <c r="B407" s="74"/>
      <c r="C407" s="70"/>
      <c r="D407" s="65"/>
      <c r="E407" s="66"/>
      <c r="F407" s="66"/>
      <c r="G407" s="66"/>
      <c r="H407" s="68"/>
      <c r="I407" s="67"/>
      <c r="J407" s="67"/>
      <c r="K407" s="65"/>
      <c r="L407" s="67"/>
      <c r="M407" s="67"/>
      <c r="N407" s="66"/>
      <c r="O407" s="72"/>
    </row>
    <row r="408" spans="2:15" x14ac:dyDescent="0.25">
      <c r="B408" s="74"/>
      <c r="C408" s="70"/>
      <c r="D408" s="65"/>
      <c r="E408" s="66"/>
      <c r="F408" s="66"/>
      <c r="G408" s="66"/>
      <c r="H408" s="68"/>
      <c r="I408" s="67"/>
      <c r="J408" s="67"/>
      <c r="K408" s="65"/>
      <c r="L408" s="67"/>
      <c r="M408" s="67"/>
      <c r="N408" s="66"/>
      <c r="O408" s="72"/>
    </row>
    <row r="409" spans="2:15" x14ac:dyDescent="0.25">
      <c r="B409" s="74"/>
      <c r="C409" s="70"/>
      <c r="D409" s="65"/>
      <c r="E409" s="66"/>
      <c r="F409" s="66"/>
      <c r="G409" s="66"/>
      <c r="H409" s="68"/>
      <c r="I409" s="67"/>
      <c r="J409" s="67"/>
      <c r="K409" s="65"/>
      <c r="L409" s="67"/>
      <c r="M409" s="67"/>
      <c r="N409" s="66"/>
      <c r="O409" s="72"/>
    </row>
    <row r="410" spans="2:15" x14ac:dyDescent="0.25">
      <c r="B410" s="74"/>
      <c r="C410" s="70"/>
      <c r="D410" s="65"/>
      <c r="E410" s="66"/>
      <c r="F410" s="66"/>
      <c r="G410" s="66"/>
      <c r="H410" s="68"/>
      <c r="I410" s="67"/>
      <c r="J410" s="67"/>
      <c r="K410" s="65"/>
      <c r="L410" s="67"/>
      <c r="M410" s="67"/>
      <c r="N410" s="66"/>
      <c r="O410" s="72"/>
    </row>
    <row r="411" spans="2:15" x14ac:dyDescent="0.25">
      <c r="B411" s="74"/>
      <c r="C411" s="70"/>
      <c r="D411" s="65"/>
      <c r="E411" s="66"/>
      <c r="F411" s="66"/>
      <c r="G411" s="66"/>
      <c r="H411" s="68"/>
      <c r="I411" s="67"/>
      <c r="J411" s="67"/>
      <c r="K411" s="65"/>
      <c r="L411" s="67"/>
      <c r="M411" s="67"/>
      <c r="N411" s="66"/>
      <c r="O411" s="72"/>
    </row>
    <row r="412" spans="2:15" x14ac:dyDescent="0.25">
      <c r="B412" s="74"/>
      <c r="C412" s="70"/>
      <c r="D412" s="65"/>
      <c r="E412" s="66"/>
      <c r="F412" s="66"/>
      <c r="G412" s="66"/>
      <c r="H412" s="68"/>
      <c r="I412" s="67"/>
      <c r="J412" s="67"/>
      <c r="K412" s="65"/>
      <c r="L412" s="67"/>
      <c r="M412" s="67"/>
      <c r="N412" s="66"/>
      <c r="O412" s="72"/>
    </row>
    <row r="413" spans="2:15" x14ac:dyDescent="0.25">
      <c r="B413" s="74"/>
      <c r="C413" s="70"/>
      <c r="D413" s="65"/>
      <c r="E413" s="66"/>
      <c r="F413" s="66"/>
      <c r="G413" s="66"/>
      <c r="H413" s="68"/>
      <c r="I413" s="67"/>
      <c r="J413" s="67"/>
      <c r="K413" s="65"/>
      <c r="L413" s="67"/>
      <c r="M413" s="67"/>
      <c r="N413" s="66"/>
      <c r="O413" s="72"/>
    </row>
    <row r="414" spans="2:15" x14ac:dyDescent="0.25">
      <c r="B414" s="74"/>
      <c r="C414" s="70"/>
      <c r="D414" s="65"/>
      <c r="E414" s="66"/>
      <c r="F414" s="66"/>
      <c r="G414" s="66"/>
      <c r="H414" s="68"/>
      <c r="I414" s="67"/>
      <c r="J414" s="67"/>
      <c r="K414" s="65"/>
      <c r="L414" s="67"/>
      <c r="M414" s="67"/>
      <c r="N414" s="66"/>
      <c r="O414" s="72"/>
    </row>
    <row r="415" spans="2:15" x14ac:dyDescent="0.25">
      <c r="B415" s="74"/>
      <c r="C415" s="70"/>
      <c r="D415" s="65"/>
      <c r="E415" s="66"/>
      <c r="F415" s="66"/>
      <c r="G415" s="66"/>
      <c r="H415" s="68"/>
      <c r="I415" s="67"/>
      <c r="J415" s="67"/>
      <c r="K415" s="65"/>
      <c r="L415" s="67"/>
      <c r="M415" s="67"/>
      <c r="N415" s="66"/>
      <c r="O415" s="72"/>
    </row>
    <row r="416" spans="2:15" x14ac:dyDescent="0.25">
      <c r="B416" s="74"/>
      <c r="C416" s="70"/>
      <c r="D416" s="65"/>
      <c r="E416" s="66"/>
      <c r="F416" s="66"/>
      <c r="G416" s="66"/>
      <c r="H416" s="68"/>
      <c r="I416" s="67"/>
      <c r="J416" s="67"/>
      <c r="K416" s="65"/>
      <c r="L416" s="67"/>
      <c r="M416" s="67"/>
      <c r="N416" s="66"/>
      <c r="O416" s="72"/>
    </row>
    <row r="417" spans="2:15" x14ac:dyDescent="0.25">
      <c r="B417" s="74"/>
      <c r="C417" s="70"/>
      <c r="D417" s="65"/>
      <c r="E417" s="66"/>
      <c r="F417" s="66"/>
      <c r="G417" s="66"/>
      <c r="H417" s="68"/>
      <c r="I417" s="67"/>
      <c r="J417" s="67"/>
      <c r="K417" s="65"/>
      <c r="L417" s="67"/>
      <c r="M417" s="67"/>
      <c r="N417" s="66"/>
      <c r="O417" s="72"/>
    </row>
    <row r="418" spans="2:15" x14ac:dyDescent="0.25">
      <c r="B418" s="74"/>
      <c r="C418" s="70"/>
      <c r="D418" s="65"/>
      <c r="E418" s="66"/>
      <c r="F418" s="66"/>
      <c r="G418" s="66"/>
      <c r="H418" s="68"/>
      <c r="I418" s="67"/>
      <c r="J418" s="67"/>
      <c r="K418" s="65"/>
      <c r="L418" s="67"/>
      <c r="M418" s="67"/>
      <c r="N418" s="66"/>
      <c r="O418" s="72"/>
    </row>
    <row r="419" spans="2:15" x14ac:dyDescent="0.25">
      <c r="B419" s="74"/>
      <c r="C419" s="70"/>
      <c r="D419" s="65"/>
      <c r="E419" s="66"/>
      <c r="F419" s="66"/>
      <c r="G419" s="66"/>
      <c r="H419" s="68"/>
      <c r="I419" s="67"/>
      <c r="J419" s="67"/>
      <c r="K419" s="65"/>
      <c r="L419" s="67"/>
      <c r="M419" s="67"/>
      <c r="N419" s="66"/>
      <c r="O419" s="72"/>
    </row>
    <row r="420" spans="2:15" x14ac:dyDescent="0.25">
      <c r="B420" s="74"/>
      <c r="C420" s="70"/>
      <c r="D420" s="65"/>
      <c r="E420" s="66"/>
      <c r="F420" s="66"/>
      <c r="G420" s="66"/>
      <c r="H420" s="68"/>
      <c r="I420" s="67"/>
      <c r="J420" s="67"/>
      <c r="K420" s="65"/>
      <c r="L420" s="67"/>
      <c r="M420" s="67"/>
      <c r="N420" s="66"/>
      <c r="O420" s="72"/>
    </row>
    <row r="421" spans="2:15" x14ac:dyDescent="0.25">
      <c r="B421" s="74"/>
      <c r="C421" s="70"/>
      <c r="D421" s="65"/>
      <c r="E421" s="66"/>
      <c r="F421" s="66"/>
      <c r="G421" s="66"/>
      <c r="H421" s="68"/>
      <c r="I421" s="67"/>
      <c r="J421" s="67"/>
      <c r="K421" s="65"/>
      <c r="L421" s="67"/>
      <c r="M421" s="67"/>
      <c r="N421" s="66"/>
      <c r="O421" s="72"/>
    </row>
    <row r="422" spans="2:15" x14ac:dyDescent="0.25">
      <c r="B422" s="74"/>
      <c r="C422" s="70"/>
      <c r="D422" s="65"/>
      <c r="E422" s="66"/>
      <c r="F422" s="66"/>
      <c r="G422" s="66"/>
      <c r="H422" s="68"/>
      <c r="I422" s="67"/>
      <c r="J422" s="67"/>
      <c r="K422" s="65"/>
      <c r="L422" s="67"/>
      <c r="M422" s="67"/>
      <c r="N422" s="66"/>
      <c r="O422" s="72"/>
    </row>
    <row r="423" spans="2:15" x14ac:dyDescent="0.25">
      <c r="B423" s="74"/>
      <c r="C423" s="70"/>
      <c r="D423" s="65"/>
      <c r="E423" s="66"/>
      <c r="F423" s="66"/>
      <c r="G423" s="66"/>
      <c r="H423" s="68"/>
      <c r="I423" s="67"/>
      <c r="J423" s="67"/>
      <c r="K423" s="65"/>
      <c r="L423" s="67"/>
      <c r="M423" s="67"/>
      <c r="N423" s="66"/>
      <c r="O423" s="72"/>
    </row>
    <row r="424" spans="2:15" x14ac:dyDescent="0.25">
      <c r="B424" s="74"/>
      <c r="C424" s="70"/>
      <c r="D424" s="65"/>
      <c r="E424" s="66"/>
      <c r="F424" s="66"/>
      <c r="G424" s="66"/>
      <c r="H424" s="68"/>
      <c r="I424" s="67"/>
      <c r="J424" s="67"/>
      <c r="K424" s="65"/>
      <c r="L424" s="67"/>
      <c r="M424" s="67"/>
      <c r="N424" s="66"/>
      <c r="O424" s="72"/>
    </row>
    <row r="425" spans="2:15" x14ac:dyDescent="0.25">
      <c r="B425" s="74"/>
      <c r="C425" s="70"/>
      <c r="D425" s="65"/>
      <c r="E425" s="66"/>
      <c r="F425" s="66"/>
      <c r="G425" s="66"/>
      <c r="H425" s="68"/>
      <c r="I425" s="67"/>
      <c r="J425" s="67"/>
      <c r="K425" s="65"/>
      <c r="L425" s="67"/>
      <c r="M425" s="67"/>
      <c r="N425" s="66"/>
      <c r="O425" s="72"/>
    </row>
    <row r="426" spans="2:15" x14ac:dyDescent="0.25">
      <c r="B426" s="74"/>
      <c r="C426" s="70"/>
      <c r="D426" s="65"/>
      <c r="E426" s="66"/>
      <c r="F426" s="66"/>
      <c r="G426" s="66"/>
      <c r="H426" s="68"/>
      <c r="I426" s="67"/>
      <c r="J426" s="67"/>
      <c r="K426" s="65"/>
      <c r="L426" s="67"/>
      <c r="M426" s="67"/>
      <c r="N426" s="66"/>
      <c r="O426" s="72"/>
    </row>
    <row r="427" spans="2:15" x14ac:dyDescent="0.25">
      <c r="B427" s="74"/>
      <c r="C427" s="70"/>
      <c r="D427" s="65"/>
      <c r="E427" s="66"/>
      <c r="F427" s="66"/>
      <c r="G427" s="66"/>
      <c r="H427" s="68"/>
      <c r="I427" s="67"/>
      <c r="J427" s="67"/>
      <c r="K427" s="65"/>
      <c r="L427" s="67"/>
      <c r="M427" s="67"/>
      <c r="N427" s="66"/>
      <c r="O427" s="72"/>
    </row>
    <row r="428" spans="2:15" x14ac:dyDescent="0.25">
      <c r="B428" s="74"/>
      <c r="C428" s="70"/>
      <c r="D428" s="65"/>
      <c r="E428" s="66"/>
      <c r="F428" s="66"/>
      <c r="G428" s="66"/>
      <c r="H428" s="68"/>
      <c r="I428" s="67"/>
      <c r="J428" s="67"/>
      <c r="K428" s="65"/>
      <c r="L428" s="67"/>
      <c r="M428" s="67"/>
      <c r="N428" s="66"/>
      <c r="O428" s="72"/>
    </row>
    <row r="429" spans="2:15" x14ac:dyDescent="0.25">
      <c r="B429" s="74"/>
      <c r="C429" s="70"/>
      <c r="D429" s="65"/>
      <c r="E429" s="66"/>
      <c r="F429" s="66"/>
      <c r="G429" s="66"/>
      <c r="H429" s="68"/>
      <c r="I429" s="67"/>
      <c r="J429" s="67"/>
      <c r="K429" s="65"/>
      <c r="L429" s="67"/>
      <c r="M429" s="67"/>
      <c r="N429" s="66"/>
      <c r="O429" s="72"/>
    </row>
    <row r="430" spans="2:15" x14ac:dyDescent="0.25">
      <c r="B430" s="74"/>
      <c r="C430" s="70"/>
      <c r="D430" s="65"/>
      <c r="E430" s="66"/>
      <c r="F430" s="66"/>
      <c r="G430" s="66"/>
      <c r="H430" s="68"/>
      <c r="I430" s="67"/>
      <c r="J430" s="67"/>
      <c r="K430" s="65"/>
      <c r="L430" s="67"/>
      <c r="M430" s="67"/>
      <c r="N430" s="66"/>
      <c r="O430" s="72"/>
    </row>
    <row r="431" spans="2:15" x14ac:dyDescent="0.25">
      <c r="B431" s="74"/>
      <c r="C431" s="70"/>
      <c r="D431" s="65"/>
      <c r="E431" s="66"/>
      <c r="F431" s="66"/>
      <c r="G431" s="66"/>
      <c r="H431" s="68"/>
      <c r="I431" s="67"/>
      <c r="J431" s="67"/>
      <c r="K431" s="65"/>
      <c r="L431" s="67"/>
      <c r="M431" s="67"/>
      <c r="N431" s="66"/>
      <c r="O431" s="72"/>
    </row>
    <row r="432" spans="2:15" x14ac:dyDescent="0.25">
      <c r="B432" s="74"/>
      <c r="C432" s="70"/>
      <c r="D432" s="65"/>
      <c r="E432" s="66"/>
      <c r="F432" s="66"/>
      <c r="G432" s="66"/>
      <c r="H432" s="68"/>
      <c r="I432" s="67"/>
      <c r="J432" s="67"/>
      <c r="K432" s="65"/>
      <c r="L432" s="67"/>
      <c r="M432" s="67"/>
      <c r="N432" s="66"/>
      <c r="O432" s="72"/>
    </row>
    <row r="433" spans="2:15" x14ac:dyDescent="0.25">
      <c r="B433" s="74"/>
      <c r="C433" s="70"/>
      <c r="D433" s="65"/>
      <c r="E433" s="66"/>
      <c r="F433" s="66"/>
      <c r="G433" s="66"/>
      <c r="H433" s="68"/>
      <c r="I433" s="67"/>
      <c r="J433" s="67"/>
      <c r="K433" s="65"/>
      <c r="L433" s="67"/>
      <c r="M433" s="67"/>
      <c r="N433" s="66"/>
      <c r="O433" s="72"/>
    </row>
    <row r="434" spans="2:15" x14ac:dyDescent="0.25">
      <c r="B434" s="74"/>
      <c r="C434" s="70"/>
      <c r="D434" s="65"/>
      <c r="E434" s="66"/>
      <c r="F434" s="66"/>
      <c r="G434" s="66"/>
      <c r="H434" s="68"/>
      <c r="I434" s="67"/>
      <c r="J434" s="67"/>
      <c r="K434" s="65"/>
      <c r="L434" s="67"/>
      <c r="M434" s="67"/>
      <c r="N434" s="66"/>
      <c r="O434" s="72"/>
    </row>
    <row r="435" spans="2:15" x14ac:dyDescent="0.25">
      <c r="B435" s="74"/>
      <c r="C435" s="70"/>
      <c r="D435" s="65"/>
      <c r="E435" s="66"/>
      <c r="F435" s="66"/>
      <c r="G435" s="66"/>
      <c r="H435" s="68"/>
      <c r="I435" s="67"/>
      <c r="J435" s="67"/>
      <c r="K435" s="65"/>
      <c r="L435" s="67"/>
      <c r="M435" s="67"/>
      <c r="N435" s="66"/>
      <c r="O435" s="72"/>
    </row>
    <row r="436" spans="2:15" x14ac:dyDescent="0.25">
      <c r="B436" s="74"/>
      <c r="C436" s="70"/>
      <c r="D436" s="65"/>
      <c r="E436" s="66"/>
      <c r="F436" s="66"/>
      <c r="G436" s="66"/>
      <c r="H436" s="68"/>
      <c r="I436" s="67"/>
      <c r="J436" s="67"/>
      <c r="K436" s="65"/>
      <c r="L436" s="67"/>
      <c r="M436" s="67"/>
      <c r="N436" s="66"/>
      <c r="O436" s="72"/>
    </row>
    <row r="437" spans="2:15" x14ac:dyDescent="0.25">
      <c r="B437" s="74"/>
      <c r="C437" s="70"/>
      <c r="D437" s="65"/>
      <c r="E437" s="66"/>
      <c r="F437" s="66"/>
      <c r="G437" s="66"/>
      <c r="H437" s="68"/>
      <c r="I437" s="67"/>
      <c r="J437" s="67"/>
      <c r="K437" s="65"/>
      <c r="L437" s="67"/>
      <c r="M437" s="67"/>
      <c r="N437" s="66"/>
      <c r="O437" s="72"/>
    </row>
    <row r="438" spans="2:15" x14ac:dyDescent="0.25">
      <c r="B438" s="74"/>
      <c r="C438" s="70"/>
      <c r="D438" s="65"/>
      <c r="E438" s="66"/>
      <c r="F438" s="66"/>
      <c r="G438" s="66"/>
      <c r="H438" s="68"/>
      <c r="I438" s="67"/>
      <c r="J438" s="67"/>
      <c r="K438" s="65"/>
      <c r="L438" s="67"/>
      <c r="M438" s="67"/>
      <c r="N438" s="66"/>
      <c r="O438" s="72"/>
    </row>
    <row r="439" spans="2:15" x14ac:dyDescent="0.25">
      <c r="B439" s="74"/>
      <c r="C439" s="70"/>
      <c r="D439" s="65"/>
      <c r="E439" s="66"/>
      <c r="F439" s="66"/>
      <c r="G439" s="66"/>
      <c r="H439" s="68"/>
      <c r="I439" s="67"/>
      <c r="J439" s="67"/>
      <c r="K439" s="65"/>
      <c r="L439" s="67"/>
      <c r="M439" s="67"/>
      <c r="N439" s="66"/>
      <c r="O439" s="72"/>
    </row>
    <row r="440" spans="2:15" x14ac:dyDescent="0.25">
      <c r="B440" s="74"/>
      <c r="C440" s="70"/>
      <c r="D440" s="65"/>
      <c r="E440" s="66"/>
      <c r="F440" s="66"/>
      <c r="G440" s="66"/>
      <c r="H440" s="68"/>
      <c r="I440" s="67"/>
      <c r="J440" s="67"/>
      <c r="K440" s="65"/>
      <c r="L440" s="67"/>
      <c r="M440" s="67"/>
      <c r="N440" s="66"/>
      <c r="O440" s="72"/>
    </row>
    <row r="441" spans="2:15" x14ac:dyDescent="0.25">
      <c r="B441" s="74"/>
      <c r="C441" s="70"/>
      <c r="D441" s="65"/>
      <c r="E441" s="66"/>
      <c r="F441" s="66"/>
      <c r="G441" s="66"/>
      <c r="H441" s="68"/>
      <c r="I441" s="67"/>
      <c r="J441" s="67"/>
      <c r="K441" s="65"/>
      <c r="L441" s="67"/>
      <c r="M441" s="67"/>
      <c r="N441" s="66"/>
      <c r="O441" s="72"/>
    </row>
    <row r="442" spans="2:15" x14ac:dyDescent="0.25">
      <c r="B442" s="74"/>
      <c r="C442" s="70"/>
      <c r="D442" s="65"/>
      <c r="E442" s="66"/>
      <c r="F442" s="66"/>
      <c r="G442" s="66"/>
      <c r="H442" s="68"/>
      <c r="I442" s="67"/>
      <c r="J442" s="67"/>
      <c r="K442" s="65"/>
      <c r="L442" s="67"/>
      <c r="M442" s="67"/>
      <c r="N442" s="66"/>
      <c r="O442" s="72"/>
    </row>
    <row r="443" spans="2:15" x14ac:dyDescent="0.25">
      <c r="B443" s="74"/>
      <c r="C443" s="70"/>
      <c r="D443" s="65"/>
      <c r="E443" s="66"/>
      <c r="F443" s="66"/>
      <c r="G443" s="66"/>
      <c r="H443" s="68"/>
      <c r="I443" s="67"/>
      <c r="J443" s="67"/>
      <c r="K443" s="65"/>
      <c r="L443" s="67"/>
      <c r="M443" s="67"/>
      <c r="N443" s="66"/>
      <c r="O443" s="72"/>
    </row>
    <row r="444" spans="2:15" x14ac:dyDescent="0.25">
      <c r="B444" s="74"/>
      <c r="C444" s="70"/>
      <c r="D444" s="65"/>
      <c r="E444" s="66"/>
      <c r="F444" s="66"/>
      <c r="G444" s="66"/>
      <c r="H444" s="68"/>
      <c r="I444" s="67"/>
      <c r="J444" s="67"/>
      <c r="K444" s="65"/>
      <c r="L444" s="67"/>
      <c r="M444" s="67"/>
      <c r="N444" s="66"/>
      <c r="O444" s="72"/>
    </row>
    <row r="445" spans="2:15" x14ac:dyDescent="0.25">
      <c r="B445" s="74"/>
      <c r="C445" s="70"/>
      <c r="D445" s="65"/>
      <c r="E445" s="66"/>
      <c r="F445" s="66"/>
      <c r="G445" s="66"/>
      <c r="H445" s="68"/>
      <c r="I445" s="67"/>
      <c r="J445" s="67"/>
      <c r="K445" s="65"/>
      <c r="L445" s="67"/>
      <c r="M445" s="67"/>
      <c r="N445" s="66"/>
      <c r="O445" s="72"/>
    </row>
    <row r="446" spans="2:15" x14ac:dyDescent="0.25">
      <c r="B446" s="74"/>
      <c r="C446" s="70"/>
      <c r="D446" s="65"/>
      <c r="E446" s="66"/>
      <c r="F446" s="66"/>
      <c r="G446" s="66"/>
      <c r="H446" s="68"/>
      <c r="I446" s="67"/>
      <c r="J446" s="67"/>
      <c r="K446" s="65"/>
      <c r="L446" s="67"/>
      <c r="M446" s="67"/>
      <c r="N446" s="66"/>
      <c r="O446" s="72"/>
    </row>
    <row r="447" spans="2:15" x14ac:dyDescent="0.25">
      <c r="B447" s="74"/>
      <c r="C447" s="70"/>
      <c r="D447" s="65"/>
      <c r="E447" s="66"/>
      <c r="F447" s="66"/>
      <c r="G447" s="66"/>
      <c r="H447" s="68"/>
      <c r="I447" s="67"/>
      <c r="J447" s="67"/>
      <c r="K447" s="65"/>
      <c r="L447" s="67"/>
      <c r="M447" s="67"/>
      <c r="N447" s="66"/>
      <c r="O447" s="72"/>
    </row>
    <row r="448" spans="2:15" x14ac:dyDescent="0.25">
      <c r="B448" s="74"/>
      <c r="C448" s="70"/>
      <c r="D448" s="65"/>
      <c r="E448" s="66"/>
      <c r="F448" s="66"/>
      <c r="G448" s="66"/>
      <c r="H448" s="68"/>
      <c r="I448" s="67"/>
      <c r="J448" s="67"/>
      <c r="K448" s="65"/>
      <c r="L448" s="67"/>
      <c r="M448" s="67"/>
      <c r="N448" s="66"/>
      <c r="O448" s="72"/>
    </row>
    <row r="449" spans="2:15" x14ac:dyDescent="0.25">
      <c r="B449" s="74"/>
      <c r="C449" s="70"/>
      <c r="D449" s="65"/>
      <c r="E449" s="66"/>
      <c r="F449" s="66"/>
      <c r="G449" s="66"/>
      <c r="H449" s="68"/>
      <c r="I449" s="67"/>
      <c r="J449" s="67"/>
      <c r="K449" s="65"/>
      <c r="L449" s="67"/>
      <c r="M449" s="67"/>
      <c r="N449" s="66"/>
      <c r="O449" s="72"/>
    </row>
    <row r="450" spans="2:15" x14ac:dyDescent="0.25">
      <c r="B450" s="74"/>
      <c r="C450" s="70"/>
      <c r="D450" s="65"/>
      <c r="E450" s="66"/>
      <c r="F450" s="66"/>
      <c r="G450" s="66"/>
      <c r="H450" s="68"/>
      <c r="I450" s="67"/>
      <c r="J450" s="67"/>
      <c r="K450" s="65"/>
      <c r="L450" s="67"/>
      <c r="M450" s="67"/>
      <c r="N450" s="66"/>
      <c r="O450" s="72"/>
    </row>
    <row r="451" spans="2:15" x14ac:dyDescent="0.25">
      <c r="B451" s="74"/>
      <c r="C451" s="70"/>
      <c r="D451" s="65"/>
      <c r="E451" s="66"/>
      <c r="F451" s="66"/>
      <c r="G451" s="66"/>
      <c r="H451" s="68"/>
      <c r="I451" s="67"/>
      <c r="J451" s="67"/>
      <c r="K451" s="65"/>
      <c r="L451" s="67"/>
      <c r="M451" s="67"/>
      <c r="N451" s="66"/>
      <c r="O451" s="72"/>
    </row>
    <row r="452" spans="2:15" x14ac:dyDescent="0.25">
      <c r="B452" s="74"/>
      <c r="C452" s="70"/>
      <c r="D452" s="65"/>
      <c r="E452" s="66"/>
      <c r="F452" s="66"/>
      <c r="G452" s="66"/>
      <c r="H452" s="68"/>
      <c r="I452" s="67"/>
      <c r="J452" s="67"/>
      <c r="K452" s="65"/>
      <c r="L452" s="67"/>
      <c r="M452" s="67"/>
      <c r="N452" s="66"/>
      <c r="O452" s="72"/>
    </row>
    <row r="453" spans="2:15" x14ac:dyDescent="0.25">
      <c r="B453" s="74"/>
      <c r="C453" s="70"/>
      <c r="D453" s="65"/>
      <c r="E453" s="66"/>
      <c r="F453" s="66"/>
      <c r="G453" s="66"/>
      <c r="H453" s="68"/>
      <c r="I453" s="67"/>
      <c r="J453" s="67"/>
      <c r="K453" s="65"/>
      <c r="L453" s="67"/>
      <c r="M453" s="67"/>
      <c r="N453" s="66"/>
      <c r="O453" s="72"/>
    </row>
    <row r="454" spans="2:15" x14ac:dyDescent="0.25">
      <c r="B454" s="74"/>
      <c r="C454" s="70"/>
      <c r="D454" s="65"/>
      <c r="E454" s="66"/>
      <c r="F454" s="66"/>
      <c r="G454" s="66"/>
      <c r="H454" s="68"/>
      <c r="I454" s="67"/>
      <c r="J454" s="67"/>
      <c r="K454" s="65"/>
      <c r="L454" s="67"/>
      <c r="M454" s="67"/>
      <c r="N454" s="66"/>
      <c r="O454" s="72"/>
    </row>
    <row r="455" spans="2:15" x14ac:dyDescent="0.25">
      <c r="B455" s="74"/>
      <c r="C455" s="70"/>
      <c r="D455" s="65"/>
      <c r="E455" s="66"/>
      <c r="F455" s="66"/>
      <c r="G455" s="66"/>
      <c r="H455" s="68"/>
      <c r="I455" s="67"/>
      <c r="J455" s="67"/>
      <c r="K455" s="65"/>
      <c r="L455" s="67"/>
      <c r="M455" s="67"/>
      <c r="N455" s="66"/>
      <c r="O455" s="72"/>
    </row>
    <row r="456" spans="2:15" x14ac:dyDescent="0.25">
      <c r="B456" s="74"/>
      <c r="C456" s="70"/>
      <c r="D456" s="65"/>
      <c r="E456" s="66"/>
      <c r="F456" s="66"/>
      <c r="G456" s="66"/>
      <c r="H456" s="68"/>
      <c r="I456" s="67"/>
      <c r="J456" s="67"/>
      <c r="K456" s="65"/>
      <c r="L456" s="67"/>
      <c r="M456" s="67"/>
      <c r="N456" s="66"/>
      <c r="O456" s="72"/>
    </row>
    <row r="457" spans="2:15" x14ac:dyDescent="0.25">
      <c r="B457" s="74"/>
      <c r="C457" s="70"/>
      <c r="D457" s="65"/>
      <c r="E457" s="66"/>
      <c r="F457" s="66"/>
      <c r="G457" s="66"/>
      <c r="H457" s="68"/>
      <c r="I457" s="67"/>
      <c r="J457" s="67"/>
      <c r="K457" s="65"/>
      <c r="L457" s="67"/>
      <c r="M457" s="67"/>
      <c r="N457" s="66"/>
      <c r="O457" s="72"/>
    </row>
    <row r="458" spans="2:15" x14ac:dyDescent="0.25">
      <c r="B458" s="74"/>
      <c r="C458" s="70"/>
      <c r="D458" s="65"/>
      <c r="E458" s="66"/>
      <c r="F458" s="66"/>
      <c r="G458" s="66"/>
      <c r="H458" s="68"/>
      <c r="I458" s="67"/>
      <c r="J458" s="67"/>
      <c r="K458" s="65"/>
      <c r="L458" s="67"/>
      <c r="M458" s="67"/>
      <c r="N458" s="66"/>
      <c r="O458" s="72"/>
    </row>
    <row r="459" spans="2:15" x14ac:dyDescent="0.25">
      <c r="B459" s="74"/>
      <c r="C459" s="70"/>
      <c r="D459" s="65"/>
      <c r="E459" s="66"/>
      <c r="F459" s="66"/>
      <c r="G459" s="66"/>
      <c r="H459" s="68"/>
      <c r="I459" s="67"/>
      <c r="J459" s="67"/>
      <c r="K459" s="65"/>
      <c r="L459" s="67"/>
      <c r="M459" s="67"/>
      <c r="N459" s="66"/>
      <c r="O459" s="72"/>
    </row>
    <row r="460" spans="2:15" x14ac:dyDescent="0.25">
      <c r="B460" s="74"/>
      <c r="C460" s="70"/>
      <c r="D460" s="65"/>
      <c r="E460" s="66"/>
      <c r="F460" s="66"/>
      <c r="G460" s="66"/>
      <c r="H460" s="68"/>
      <c r="I460" s="67"/>
      <c r="J460" s="67"/>
      <c r="K460" s="65"/>
      <c r="L460" s="67"/>
      <c r="M460" s="67"/>
      <c r="N460" s="66"/>
      <c r="O460" s="72"/>
    </row>
    <row r="461" spans="2:15" x14ac:dyDescent="0.25">
      <c r="B461" s="74"/>
      <c r="C461" s="70"/>
      <c r="D461" s="65"/>
      <c r="E461" s="66"/>
      <c r="F461" s="66"/>
      <c r="G461" s="66"/>
      <c r="H461" s="68"/>
      <c r="I461" s="67"/>
      <c r="J461" s="67"/>
      <c r="K461" s="65"/>
      <c r="L461" s="67"/>
      <c r="M461" s="67"/>
      <c r="N461" s="66"/>
      <c r="O461" s="72"/>
    </row>
    <row r="462" spans="2:15" x14ac:dyDescent="0.25">
      <c r="B462" s="74"/>
      <c r="C462" s="70"/>
      <c r="D462" s="65"/>
      <c r="E462" s="66"/>
      <c r="F462" s="66"/>
      <c r="G462" s="66"/>
      <c r="H462" s="68"/>
      <c r="I462" s="67"/>
      <c r="J462" s="67"/>
      <c r="K462" s="65"/>
      <c r="L462" s="67"/>
      <c r="M462" s="67"/>
      <c r="N462" s="66"/>
      <c r="O462" s="72"/>
    </row>
    <row r="463" spans="2:15" x14ac:dyDescent="0.25">
      <c r="B463" s="74"/>
      <c r="C463" s="70"/>
      <c r="D463" s="65"/>
      <c r="E463" s="66"/>
      <c r="F463" s="66"/>
      <c r="G463" s="66"/>
      <c r="H463" s="68"/>
      <c r="I463" s="67"/>
      <c r="J463" s="67"/>
      <c r="K463" s="65"/>
      <c r="L463" s="67"/>
      <c r="M463" s="67"/>
      <c r="N463" s="66"/>
      <c r="O463" s="72"/>
    </row>
    <row r="464" spans="2:15" x14ac:dyDescent="0.25">
      <c r="B464" s="74"/>
      <c r="C464" s="70"/>
      <c r="D464" s="65"/>
      <c r="E464" s="66"/>
      <c r="F464" s="66"/>
      <c r="G464" s="66"/>
      <c r="H464" s="68"/>
      <c r="I464" s="67"/>
      <c r="J464" s="67"/>
      <c r="K464" s="65"/>
      <c r="L464" s="67"/>
      <c r="M464" s="67"/>
      <c r="N464" s="66"/>
      <c r="O464" s="72"/>
    </row>
    <row r="465" spans="2:15" x14ac:dyDescent="0.25">
      <c r="B465" s="74"/>
      <c r="C465" s="70"/>
      <c r="D465" s="65"/>
      <c r="E465" s="66"/>
      <c r="F465" s="66"/>
      <c r="G465" s="66"/>
      <c r="H465" s="68"/>
      <c r="I465" s="67"/>
      <c r="J465" s="67"/>
      <c r="K465" s="65"/>
      <c r="L465" s="67"/>
      <c r="M465" s="67"/>
      <c r="N465" s="66"/>
      <c r="O465" s="72"/>
    </row>
    <row r="466" spans="2:15" x14ac:dyDescent="0.25">
      <c r="B466" s="74"/>
      <c r="C466" s="70"/>
      <c r="D466" s="65"/>
      <c r="E466" s="66"/>
      <c r="F466" s="66"/>
      <c r="G466" s="66"/>
      <c r="H466" s="68"/>
      <c r="I466" s="67"/>
      <c r="J466" s="67"/>
      <c r="K466" s="65"/>
      <c r="L466" s="67"/>
      <c r="M466" s="67"/>
      <c r="N466" s="66"/>
      <c r="O466" s="72"/>
    </row>
    <row r="467" spans="2:15" x14ac:dyDescent="0.25">
      <c r="B467" s="74"/>
      <c r="C467" s="70"/>
      <c r="D467" s="65"/>
      <c r="E467" s="66"/>
      <c r="F467" s="66"/>
      <c r="G467" s="66"/>
      <c r="H467" s="68"/>
      <c r="I467" s="67"/>
      <c r="J467" s="67"/>
      <c r="K467" s="65"/>
      <c r="L467" s="67"/>
      <c r="M467" s="67"/>
      <c r="N467" s="66"/>
      <c r="O467" s="72"/>
    </row>
    <row r="468" spans="2:15" x14ac:dyDescent="0.25">
      <c r="B468" s="74"/>
      <c r="C468" s="70"/>
      <c r="D468" s="65"/>
      <c r="E468" s="66"/>
      <c r="F468" s="66"/>
      <c r="G468" s="66"/>
      <c r="H468" s="68"/>
      <c r="I468" s="67"/>
      <c r="J468" s="67"/>
      <c r="K468" s="65"/>
      <c r="L468" s="67"/>
      <c r="M468" s="67"/>
      <c r="N468" s="66"/>
      <c r="O468" s="72"/>
    </row>
    <row r="469" spans="2:15" x14ac:dyDescent="0.25">
      <c r="B469" s="74"/>
      <c r="C469" s="70"/>
      <c r="D469" s="65"/>
      <c r="E469" s="66"/>
      <c r="F469" s="66"/>
      <c r="G469" s="66"/>
      <c r="H469" s="68"/>
      <c r="I469" s="67"/>
      <c r="J469" s="67"/>
      <c r="K469" s="65"/>
      <c r="L469" s="67"/>
      <c r="M469" s="67"/>
      <c r="N469" s="66"/>
      <c r="O469" s="72"/>
    </row>
    <row r="470" spans="2:15" x14ac:dyDescent="0.25">
      <c r="B470" s="74"/>
      <c r="C470" s="70"/>
      <c r="D470" s="65"/>
      <c r="E470" s="66"/>
      <c r="F470" s="66"/>
      <c r="G470" s="66"/>
      <c r="H470" s="68"/>
      <c r="I470" s="67"/>
      <c r="J470" s="67"/>
      <c r="K470" s="65"/>
      <c r="L470" s="67"/>
      <c r="M470" s="67"/>
      <c r="N470" s="66"/>
      <c r="O470" s="72"/>
    </row>
    <row r="471" spans="2:15" x14ac:dyDescent="0.25">
      <c r="B471" s="74"/>
      <c r="C471" s="70"/>
      <c r="D471" s="65"/>
      <c r="E471" s="66"/>
      <c r="F471" s="66"/>
      <c r="G471" s="66"/>
      <c r="H471" s="68"/>
      <c r="I471" s="67"/>
      <c r="J471" s="67"/>
      <c r="K471" s="65"/>
      <c r="L471" s="67"/>
      <c r="M471" s="67"/>
      <c r="N471" s="66"/>
      <c r="O471" s="72"/>
    </row>
    <row r="472" spans="2:15" x14ac:dyDescent="0.25">
      <c r="B472" s="74"/>
      <c r="C472" s="70"/>
      <c r="D472" s="65"/>
      <c r="E472" s="66"/>
      <c r="F472" s="66"/>
      <c r="G472" s="66"/>
      <c r="H472" s="68"/>
      <c r="I472" s="67"/>
      <c r="J472" s="67"/>
      <c r="K472" s="65"/>
      <c r="L472" s="67"/>
      <c r="M472" s="67"/>
      <c r="N472" s="66"/>
      <c r="O472" s="72"/>
    </row>
    <row r="473" spans="2:15" x14ac:dyDescent="0.25">
      <c r="B473" s="74"/>
      <c r="C473" s="70"/>
      <c r="D473" s="65"/>
      <c r="E473" s="66"/>
      <c r="F473" s="66"/>
      <c r="G473" s="66"/>
      <c r="H473" s="68"/>
      <c r="I473" s="67"/>
      <c r="J473" s="67"/>
      <c r="K473" s="65"/>
      <c r="L473" s="67"/>
      <c r="M473" s="67"/>
      <c r="N473" s="66"/>
      <c r="O473" s="72"/>
    </row>
    <row r="474" spans="2:15" x14ac:dyDescent="0.25">
      <c r="B474" s="74"/>
      <c r="C474" s="70"/>
      <c r="D474" s="65"/>
      <c r="E474" s="66"/>
      <c r="F474" s="66"/>
      <c r="G474" s="66"/>
      <c r="H474" s="68"/>
      <c r="I474" s="67"/>
      <c r="J474" s="67"/>
      <c r="K474" s="65"/>
      <c r="L474" s="67"/>
      <c r="M474" s="67"/>
      <c r="N474" s="66"/>
      <c r="O474" s="72"/>
    </row>
    <row r="475" spans="2:15" x14ac:dyDescent="0.25">
      <c r="B475" s="74"/>
      <c r="C475" s="70"/>
      <c r="D475" s="65"/>
      <c r="E475" s="66"/>
      <c r="F475" s="66"/>
      <c r="G475" s="66"/>
      <c r="H475" s="68"/>
      <c r="I475" s="67"/>
      <c r="J475" s="67"/>
      <c r="K475" s="65"/>
      <c r="L475" s="67"/>
      <c r="M475" s="67"/>
      <c r="N475" s="66"/>
      <c r="O475" s="72"/>
    </row>
    <row r="476" spans="2:15" x14ac:dyDescent="0.25">
      <c r="B476" s="74"/>
      <c r="C476" s="70"/>
      <c r="D476" s="65"/>
      <c r="E476" s="66"/>
      <c r="F476" s="66"/>
      <c r="G476" s="66"/>
      <c r="H476" s="68"/>
      <c r="I476" s="67"/>
      <c r="J476" s="67"/>
      <c r="K476" s="65"/>
      <c r="L476" s="67"/>
      <c r="M476" s="67"/>
      <c r="N476" s="66"/>
      <c r="O476" s="72"/>
    </row>
    <row r="477" spans="2:15" x14ac:dyDescent="0.25">
      <c r="B477" s="74"/>
      <c r="C477" s="70"/>
      <c r="D477" s="65"/>
      <c r="E477" s="66"/>
      <c r="F477" s="66"/>
      <c r="G477" s="66"/>
      <c r="H477" s="68"/>
      <c r="I477" s="67"/>
      <c r="J477" s="67"/>
      <c r="K477" s="65"/>
      <c r="L477" s="67"/>
      <c r="M477" s="67"/>
      <c r="N477" s="66"/>
      <c r="O477" s="72"/>
    </row>
    <row r="478" spans="2:15" x14ac:dyDescent="0.25">
      <c r="B478" s="74"/>
      <c r="C478" s="70"/>
      <c r="D478" s="65"/>
      <c r="E478" s="66"/>
      <c r="F478" s="66"/>
      <c r="G478" s="66"/>
      <c r="H478" s="68"/>
      <c r="I478" s="67"/>
      <c r="J478" s="67"/>
      <c r="K478" s="65"/>
      <c r="L478" s="67"/>
      <c r="M478" s="67"/>
      <c r="N478" s="66"/>
      <c r="O478" s="72"/>
    </row>
    <row r="479" spans="2:15" x14ac:dyDescent="0.25">
      <c r="B479" s="74"/>
      <c r="C479" s="70"/>
      <c r="D479" s="65"/>
      <c r="E479" s="66"/>
      <c r="F479" s="66"/>
      <c r="G479" s="66"/>
      <c r="H479" s="68"/>
      <c r="I479" s="67"/>
      <c r="J479" s="67"/>
      <c r="K479" s="65"/>
      <c r="L479" s="67"/>
      <c r="M479" s="67"/>
      <c r="N479" s="66"/>
      <c r="O479" s="72"/>
    </row>
    <row r="480" spans="2:15" x14ac:dyDescent="0.25">
      <c r="B480" s="74"/>
      <c r="C480" s="70"/>
      <c r="D480" s="65"/>
      <c r="E480" s="66"/>
      <c r="F480" s="66"/>
      <c r="G480" s="66"/>
      <c r="H480" s="68"/>
      <c r="I480" s="67"/>
      <c r="J480" s="67"/>
      <c r="K480" s="65"/>
      <c r="L480" s="67"/>
      <c r="M480" s="67"/>
      <c r="N480" s="66"/>
      <c r="O480" s="72"/>
    </row>
    <row r="481" spans="2:15" x14ac:dyDescent="0.25">
      <c r="B481" s="74"/>
      <c r="C481" s="70"/>
      <c r="D481" s="65"/>
      <c r="E481" s="66"/>
      <c r="F481" s="66"/>
      <c r="G481" s="66"/>
      <c r="H481" s="68"/>
      <c r="I481" s="67"/>
      <c r="J481" s="67"/>
      <c r="K481" s="65"/>
      <c r="L481" s="67"/>
      <c r="M481" s="67"/>
      <c r="N481" s="66"/>
      <c r="O481" s="72"/>
    </row>
    <row r="482" spans="2:15" x14ac:dyDescent="0.25">
      <c r="B482" s="74"/>
      <c r="C482" s="70"/>
      <c r="D482" s="65"/>
      <c r="E482" s="66"/>
      <c r="F482" s="66"/>
      <c r="G482" s="66"/>
      <c r="H482" s="68"/>
      <c r="I482" s="67"/>
      <c r="J482" s="67"/>
      <c r="K482" s="65"/>
      <c r="L482" s="67"/>
      <c r="M482" s="67"/>
      <c r="N482" s="66"/>
      <c r="O482" s="72"/>
    </row>
    <row r="483" spans="2:15" x14ac:dyDescent="0.25">
      <c r="B483" s="74"/>
      <c r="C483" s="70"/>
      <c r="D483" s="65"/>
      <c r="E483" s="66"/>
      <c r="F483" s="66"/>
      <c r="G483" s="66"/>
      <c r="H483" s="68"/>
      <c r="I483" s="67"/>
      <c r="J483" s="67"/>
      <c r="K483" s="65"/>
      <c r="L483" s="67"/>
      <c r="M483" s="67"/>
      <c r="N483" s="66"/>
      <c r="O483" s="72"/>
    </row>
    <row r="484" spans="2:15" x14ac:dyDescent="0.25">
      <c r="B484" s="74"/>
      <c r="C484" s="70"/>
      <c r="D484" s="65"/>
      <c r="E484" s="66"/>
      <c r="F484" s="66"/>
      <c r="G484" s="66"/>
      <c r="H484" s="68"/>
      <c r="I484" s="67"/>
      <c r="J484" s="67"/>
      <c r="K484" s="65"/>
      <c r="L484" s="67"/>
      <c r="M484" s="67"/>
      <c r="N484" s="66"/>
      <c r="O484" s="72"/>
    </row>
    <row r="485" spans="2:15" x14ac:dyDescent="0.25">
      <c r="B485" s="74"/>
      <c r="C485" s="70"/>
      <c r="D485" s="65"/>
      <c r="E485" s="66"/>
      <c r="F485" s="66"/>
      <c r="G485" s="66"/>
      <c r="H485" s="68"/>
      <c r="I485" s="67"/>
      <c r="J485" s="67"/>
      <c r="K485" s="65"/>
      <c r="L485" s="67"/>
      <c r="M485" s="67"/>
      <c r="N485" s="66"/>
      <c r="O485" s="72"/>
    </row>
    <row r="486" spans="2:15" x14ac:dyDescent="0.25">
      <c r="B486" s="74"/>
      <c r="C486" s="70"/>
      <c r="D486" s="65"/>
      <c r="E486" s="66"/>
      <c r="F486" s="66"/>
      <c r="G486" s="66"/>
      <c r="H486" s="68"/>
      <c r="I486" s="67"/>
      <c r="J486" s="67"/>
      <c r="K486" s="65"/>
      <c r="L486" s="67"/>
      <c r="M486" s="67"/>
      <c r="N486" s="66"/>
      <c r="O486" s="72"/>
    </row>
    <row r="487" spans="2:15" x14ac:dyDescent="0.25">
      <c r="B487" s="74"/>
      <c r="C487" s="70"/>
      <c r="D487" s="65"/>
      <c r="E487" s="66"/>
      <c r="F487" s="66"/>
      <c r="G487" s="66"/>
      <c r="H487" s="68"/>
      <c r="I487" s="67"/>
      <c r="J487" s="67"/>
      <c r="K487" s="65"/>
      <c r="L487" s="67"/>
      <c r="M487" s="67"/>
      <c r="N487" s="66"/>
      <c r="O487" s="72"/>
    </row>
    <row r="488" spans="2:15" x14ac:dyDescent="0.25">
      <c r="B488" s="74"/>
      <c r="C488" s="70"/>
      <c r="D488" s="65"/>
      <c r="E488" s="66"/>
      <c r="F488" s="66"/>
      <c r="G488" s="66"/>
      <c r="H488" s="68"/>
      <c r="I488" s="67"/>
      <c r="J488" s="67"/>
      <c r="K488" s="65"/>
      <c r="L488" s="67"/>
      <c r="M488" s="67"/>
      <c r="N488" s="66"/>
      <c r="O488" s="72"/>
    </row>
    <row r="489" spans="2:15" x14ac:dyDescent="0.25">
      <c r="B489" s="74"/>
      <c r="C489" s="70"/>
      <c r="D489" s="65"/>
      <c r="E489" s="66"/>
      <c r="F489" s="66"/>
      <c r="G489" s="66"/>
      <c r="H489" s="68"/>
      <c r="I489" s="67"/>
      <c r="J489" s="67"/>
      <c r="K489" s="65"/>
      <c r="L489" s="67"/>
      <c r="M489" s="67"/>
      <c r="N489" s="66"/>
      <c r="O489" s="72"/>
    </row>
    <row r="490" spans="2:15" x14ac:dyDescent="0.25">
      <c r="B490" s="74"/>
      <c r="C490" s="70"/>
      <c r="D490" s="65"/>
      <c r="E490" s="66"/>
      <c r="F490" s="66"/>
      <c r="G490" s="66"/>
      <c r="H490" s="68"/>
      <c r="I490" s="67"/>
      <c r="J490" s="67"/>
      <c r="K490" s="65"/>
      <c r="L490" s="67"/>
      <c r="M490" s="67"/>
      <c r="N490" s="66"/>
      <c r="O490" s="72"/>
    </row>
    <row r="491" spans="2:15" x14ac:dyDescent="0.25">
      <c r="B491" s="74"/>
      <c r="C491" s="70"/>
      <c r="D491" s="65"/>
      <c r="E491" s="66"/>
      <c r="F491" s="66"/>
      <c r="G491" s="66"/>
      <c r="H491" s="68"/>
      <c r="I491" s="67"/>
      <c r="J491" s="67"/>
      <c r="K491" s="65"/>
      <c r="L491" s="67"/>
      <c r="M491" s="67"/>
      <c r="N491" s="66"/>
      <c r="O491" s="72"/>
    </row>
    <row r="492" spans="2:15" x14ac:dyDescent="0.25">
      <c r="B492" s="74"/>
      <c r="C492" s="70"/>
      <c r="D492" s="65"/>
      <c r="E492" s="66"/>
      <c r="F492" s="66"/>
      <c r="G492" s="66"/>
      <c r="H492" s="68"/>
      <c r="I492" s="67"/>
      <c r="J492" s="67"/>
      <c r="K492" s="65"/>
      <c r="L492" s="67"/>
      <c r="M492" s="67"/>
      <c r="N492" s="66"/>
      <c r="O492" s="72"/>
    </row>
    <row r="493" spans="2:15" x14ac:dyDescent="0.25">
      <c r="B493" s="74"/>
      <c r="C493" s="70"/>
      <c r="D493" s="65"/>
      <c r="E493" s="66"/>
      <c r="F493" s="66"/>
      <c r="G493" s="66"/>
      <c r="H493" s="68"/>
      <c r="I493" s="67"/>
      <c r="J493" s="67"/>
      <c r="K493" s="65"/>
      <c r="L493" s="67"/>
      <c r="M493" s="67"/>
      <c r="N493" s="66"/>
      <c r="O493" s="72"/>
    </row>
    <row r="494" spans="2:15" x14ac:dyDescent="0.25">
      <c r="B494" s="74"/>
      <c r="C494" s="70"/>
      <c r="D494" s="65"/>
      <c r="E494" s="66"/>
      <c r="F494" s="66"/>
      <c r="G494" s="66"/>
      <c r="H494" s="68"/>
      <c r="I494" s="67"/>
      <c r="J494" s="67"/>
      <c r="K494" s="65"/>
      <c r="L494" s="67"/>
      <c r="M494" s="67"/>
      <c r="N494" s="66"/>
      <c r="O494" s="72"/>
    </row>
    <row r="495" spans="2:15" x14ac:dyDescent="0.25">
      <c r="B495" s="74"/>
      <c r="C495" s="70"/>
      <c r="D495" s="65"/>
      <c r="E495" s="66"/>
      <c r="F495" s="66"/>
      <c r="G495" s="66"/>
      <c r="H495" s="68"/>
      <c r="I495" s="67"/>
      <c r="J495" s="67"/>
      <c r="K495" s="65"/>
      <c r="L495" s="67"/>
      <c r="M495" s="67"/>
      <c r="N495" s="66"/>
      <c r="O495" s="72"/>
    </row>
    <row r="496" spans="2:15" x14ac:dyDescent="0.25">
      <c r="B496" s="74"/>
      <c r="C496" s="70"/>
      <c r="D496" s="65"/>
      <c r="E496" s="66"/>
      <c r="F496" s="66"/>
      <c r="G496" s="66"/>
      <c r="H496" s="68"/>
      <c r="I496" s="67"/>
      <c r="J496" s="67"/>
      <c r="K496" s="65"/>
      <c r="L496" s="67"/>
      <c r="M496" s="67"/>
      <c r="N496" s="66"/>
      <c r="O496" s="72"/>
    </row>
    <row r="497" spans="2:15" x14ac:dyDescent="0.25">
      <c r="B497" s="74"/>
      <c r="C497" s="70"/>
      <c r="D497" s="65"/>
      <c r="E497" s="66"/>
      <c r="F497" s="66"/>
      <c r="G497" s="66"/>
      <c r="H497" s="68"/>
      <c r="I497" s="67"/>
      <c r="J497" s="67"/>
      <c r="K497" s="65"/>
      <c r="L497" s="67"/>
      <c r="M497" s="67"/>
      <c r="N497" s="66"/>
      <c r="O497" s="72"/>
    </row>
    <row r="498" spans="2:15" x14ac:dyDescent="0.25">
      <c r="B498" s="74"/>
      <c r="C498" s="70"/>
      <c r="D498" s="65"/>
      <c r="E498" s="66"/>
      <c r="F498" s="66"/>
      <c r="G498" s="66"/>
      <c r="H498" s="68"/>
      <c r="I498" s="67"/>
      <c r="J498" s="67"/>
      <c r="K498" s="65"/>
      <c r="L498" s="67"/>
      <c r="M498" s="67"/>
      <c r="N498" s="66"/>
      <c r="O498" s="72"/>
    </row>
    <row r="499" spans="2:15" x14ac:dyDescent="0.25">
      <c r="B499" s="74"/>
      <c r="C499" s="70"/>
      <c r="D499" s="65"/>
      <c r="E499" s="66"/>
      <c r="F499" s="66"/>
      <c r="G499" s="66"/>
      <c r="H499" s="68"/>
      <c r="I499" s="67"/>
      <c r="J499" s="67"/>
      <c r="K499" s="65"/>
      <c r="L499" s="67"/>
      <c r="M499" s="67"/>
      <c r="N499" s="66"/>
      <c r="O499" s="72"/>
    </row>
    <row r="500" spans="2:15" x14ac:dyDescent="0.25">
      <c r="B500" s="74"/>
      <c r="C500" s="70"/>
      <c r="D500" s="65"/>
      <c r="E500" s="66"/>
      <c r="F500" s="66"/>
      <c r="G500" s="66"/>
      <c r="H500" s="68"/>
      <c r="I500" s="67"/>
      <c r="J500" s="67"/>
      <c r="K500" s="65"/>
      <c r="L500" s="67"/>
      <c r="M500" s="67"/>
      <c r="N500" s="66"/>
      <c r="O500" s="72"/>
    </row>
    <row r="501" spans="2:15" x14ac:dyDescent="0.25">
      <c r="B501" s="74"/>
      <c r="C501" s="70"/>
      <c r="D501" s="65"/>
      <c r="E501" s="66"/>
      <c r="F501" s="66"/>
      <c r="G501" s="66"/>
      <c r="H501" s="68"/>
      <c r="I501" s="67"/>
      <c r="J501" s="67"/>
      <c r="K501" s="65"/>
      <c r="L501" s="67"/>
      <c r="M501" s="67"/>
      <c r="N501" s="66"/>
      <c r="O501" s="72"/>
    </row>
    <row r="502" spans="2:15" x14ac:dyDescent="0.25">
      <c r="B502" s="74"/>
      <c r="C502" s="70"/>
      <c r="D502" s="65"/>
      <c r="E502" s="66"/>
      <c r="F502" s="66"/>
      <c r="G502" s="66"/>
      <c r="H502" s="68"/>
      <c r="I502" s="67"/>
      <c r="J502" s="67"/>
      <c r="K502" s="65"/>
      <c r="L502" s="67"/>
      <c r="M502" s="67"/>
      <c r="N502" s="66"/>
      <c r="O502" s="72"/>
    </row>
    <row r="503" spans="2:15" x14ac:dyDescent="0.25">
      <c r="B503" s="74"/>
      <c r="C503" s="70"/>
      <c r="D503" s="65"/>
      <c r="E503" s="66"/>
      <c r="F503" s="66"/>
      <c r="G503" s="66"/>
      <c r="H503" s="68"/>
      <c r="I503" s="67"/>
      <c r="J503" s="67"/>
      <c r="K503" s="65"/>
      <c r="L503" s="67"/>
      <c r="M503" s="67"/>
      <c r="N503" s="66"/>
      <c r="O503" s="72"/>
    </row>
    <row r="504" spans="2:15" x14ac:dyDescent="0.25">
      <c r="B504" s="74"/>
      <c r="C504" s="70"/>
      <c r="D504" s="65"/>
      <c r="E504" s="66"/>
      <c r="F504" s="66"/>
      <c r="G504" s="66"/>
      <c r="H504" s="68"/>
      <c r="I504" s="67"/>
      <c r="J504" s="67"/>
      <c r="K504" s="65"/>
      <c r="L504" s="67"/>
      <c r="M504" s="67"/>
      <c r="N504" s="66"/>
      <c r="O504" s="72"/>
    </row>
    <row r="505" spans="2:15" x14ac:dyDescent="0.25">
      <c r="B505" s="74"/>
      <c r="C505" s="70"/>
      <c r="D505" s="65"/>
      <c r="E505" s="66"/>
      <c r="F505" s="66"/>
      <c r="G505" s="66"/>
      <c r="H505" s="68"/>
      <c r="I505" s="67"/>
      <c r="J505" s="67"/>
      <c r="K505" s="65"/>
      <c r="L505" s="67"/>
      <c r="M505" s="67"/>
      <c r="N505" s="66"/>
      <c r="O505" s="72"/>
    </row>
    <row r="506" spans="2:15" x14ac:dyDescent="0.25">
      <c r="B506" s="74"/>
      <c r="C506" s="70"/>
      <c r="D506" s="65"/>
      <c r="E506" s="66"/>
      <c r="F506" s="66"/>
      <c r="G506" s="66"/>
      <c r="H506" s="68"/>
      <c r="I506" s="67"/>
      <c r="J506" s="67"/>
      <c r="K506" s="65"/>
      <c r="L506" s="67"/>
      <c r="M506" s="67"/>
      <c r="N506" s="66"/>
      <c r="O506" s="72"/>
    </row>
    <row r="507" spans="2:15" x14ac:dyDescent="0.25">
      <c r="B507" s="74"/>
      <c r="C507" s="70"/>
      <c r="D507" s="65"/>
      <c r="E507" s="66"/>
      <c r="F507" s="66"/>
      <c r="G507" s="66"/>
      <c r="H507" s="68"/>
      <c r="I507" s="67"/>
      <c r="J507" s="67"/>
      <c r="K507" s="65"/>
      <c r="L507" s="67"/>
      <c r="M507" s="67"/>
      <c r="N507" s="66"/>
      <c r="O507" s="72"/>
    </row>
  </sheetData>
  <sheetProtection password="930D" sheet="1" objects="1" scenarios="1" formatColumns="0" autoFilter="0"/>
  <mergeCells count="4">
    <mergeCell ref="B5:C5"/>
    <mergeCell ref="B6:E6"/>
    <mergeCell ref="F6:G6"/>
    <mergeCell ref="H6:M6"/>
  </mergeCells>
  <conditionalFormatting sqref="B8:O507">
    <cfRule type="expression" dxfId="57" priority="12">
      <formula>AND($B8&lt;&gt;"",MOD(ROW(),2)=0)</formula>
    </cfRule>
  </conditionalFormatting>
  <conditionalFormatting sqref="C8:C507">
    <cfRule type="expression" dxfId="56" priority="1">
      <formula>$C8="INCONSISTENTE"</formula>
    </cfRule>
    <cfRule type="expression" dxfId="55" priority="2">
      <formula>$C8="AGOTADO"</formula>
    </cfRule>
    <cfRule type="expression" dxfId="54" priority="3">
      <formula>$C8="CRÍTICO"</formula>
    </cfRule>
    <cfRule type="expression" dxfId="53" priority="4">
      <formula>$C8="BAJO"</formula>
    </cfRule>
    <cfRule type="expression" dxfId="52" priority="5">
      <formula>$C8="ÓPTIMO"</formula>
    </cfRule>
    <cfRule type="expression" dxfId="51" priority="6">
      <formula>$C8="SOBRESTOCK"</formula>
    </cfRule>
    <cfRule type="expression" dxfId="50" priority="7">
      <formula>$C8="INACTIVO"</formula>
    </cfRule>
  </conditionalFormatting>
  <conditionalFormatting sqref="F6:G6">
    <cfRule type="expression" dxfId="49" priority="13">
      <formula>kpiNuevosDesdeCalculo=0</formula>
    </cfRule>
    <cfRule type="expression" dxfId="48" priority="14">
      <formula>kpiNuevosDesdeCalculo&gt;0</formula>
    </cfRule>
  </conditionalFormatting>
  <conditionalFormatting sqref="H8:H507">
    <cfRule type="expression" dxfId="47" priority="8">
      <formula>AND(ISNUMBER(H8),H8&lt;&gt;INT(H8))</formula>
    </cfRule>
  </conditionalFormatting>
  <conditionalFormatting sqref="L8:L507">
    <cfRule type="expression" dxfId="46" priority="9">
      <formula>AND(ISNUMBER(L8),L8&lt;&gt;INT(L8))</formula>
    </cfRule>
  </conditionalFormatting>
  <conditionalFormatting sqref="M8:M507">
    <cfRule type="expression" dxfId="45" priority="10">
      <formula>AND(ISNUMBER(M8),M8&lt;&gt;INT(M8))</formula>
    </cfRule>
    <cfRule type="cellIs" dxfId="44" priority="11" operator="greaterThan">
      <formula>0</formula>
    </cfRule>
  </conditionalFormatting>
  <hyperlinks>
    <hyperlink ref="B5" location="'00_PORTADA_BODEGA'!A1" tooltip="Portada de Bodega" display="⌂ Bodega" xr:uid="{00000000-0004-0000-0E00-000000000000}"/>
    <hyperlink ref="D5" location="'00_PORTADA_VENTAS'!A1" tooltip="Portada de Ventas" display="⌂ Ventas" xr:uid="{00000000-0004-0000-0E00-000001000000}"/>
    <hyperlink ref="E5" location="'00_PORTADA_GERENCIA'!A1" tooltip="Portada de Gerencia: indicadores, pedido y actividad" display="◈ Gerencia" xr:uid="{00000000-0004-0000-0E00-000002000000}"/>
    <hyperlink ref="F5" location="'10A_ENTRADAS'!C9" tooltip="Registrar entradas y ajustes (Bodega)" display="⇩ Entradas" xr:uid="{00000000-0004-0000-0E00-000003000000}"/>
    <hyperlink ref="G5" location="'10B_SALIDAS'!E9" tooltip="Registrar salidas (Ventas)" display="⇧ Salidas" xr:uid="{00000000-0004-0000-0E00-000004000000}"/>
    <hyperlink ref="H5" location="'17_CONSULTA'!C9" tooltip="Consultar un producto en su fila" display="⌕ Consulta" xr:uid="{00000000-0004-0000-0E00-000005000000}"/>
    <hyperlink ref="I5" location="'15_STOCK'!A1" tooltip="Stock (instantánea recalculada a demanda)" display="▦ Stock" xr:uid="{00000000-0004-0000-0E00-000006000000}"/>
    <hyperlink ref="J5" location="'18_PEDIDO'!A1" tooltip="Pedido sugerido por proveedor" display="✚ Pedido" xr:uid="{00000000-0004-0000-0E00-000007000000}"/>
    <hyperlink ref="K5" location="'13_CONTEO'!I9" tooltip="Toma física (conteo) colaborativa" display="✓ Conteo" xr:uid="{00000000-0004-0000-0E00-000008000000}"/>
    <hyperlink ref="L5" location="'99_AYUDA'!A1" tooltip="Guía de uso, acceso e instalación" display="? Guía" xr:uid="{00000000-0004-0000-0E00-000009000000}"/>
  </hyperlinks>
  <pageMargins left="0.7" right="0.7" top="0.75" bottom="0.75" header="0.3" footer="0.3"/>
  <pageSetup fitToHeight="0" orientation="landscape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796B"/>
    <pageSetUpPr fitToPage="1"/>
  </sheetPr>
  <dimension ref="B1:S35"/>
  <sheetViews>
    <sheetView showGridLines="0" showRowColHeaders="0" zoomScale="85" zoomScaleNormal="85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C9" sqref="C9"/>
    </sheetView>
  </sheetViews>
  <sheetFormatPr baseColWidth="10" defaultColWidth="0" defaultRowHeight="15" zeroHeight="1" x14ac:dyDescent="0.25"/>
  <cols>
    <col min="1" max="1" width="2.28515625" customWidth="1"/>
    <col min="2" max="2" width="24" customWidth="1"/>
    <col min="3" max="3" width="41.42578125" customWidth="1"/>
    <col min="4" max="4" width="14.85546875" customWidth="1"/>
    <col min="5" max="5" width="18.5703125" customWidth="1"/>
    <col min="6" max="7" width="12.85546875" customWidth="1"/>
    <col min="8" max="8" width="13.7109375" customWidth="1"/>
    <col min="9" max="9" width="30" customWidth="1"/>
    <col min="10" max="10" width="16" customWidth="1"/>
    <col min="11" max="11" width="47.140625" customWidth="1"/>
    <col min="12" max="13" width="16" customWidth="1"/>
    <col min="14" max="14" width="19.140625" customWidth="1"/>
    <col min="15" max="15" width="17.140625" customWidth="1"/>
    <col min="16" max="16" width="31.42578125" hidden="1" customWidth="1"/>
    <col min="17" max="17" width="12" hidden="1" customWidth="1"/>
    <col min="18" max="19" width="15.7109375" hidden="1" customWidth="1"/>
    <col min="20" max="20" width="2.28515625" customWidth="1"/>
    <col min="21" max="21" width="0" hidden="1" customWidth="1"/>
  </cols>
  <sheetData>
    <row r="1" spans="2:19" s="1" customFormat="1" ht="4.5" customHeight="1" x14ac:dyDescent="0.25"/>
    <row r="2" spans="2:19" s="1" customFormat="1" ht="22.5" customHeight="1" x14ac:dyDescent="0.25">
      <c r="B2" s="2" t="s">
        <v>2356</v>
      </c>
    </row>
    <row r="3" spans="2:19" s="1" customFormat="1" ht="14.25" x14ac:dyDescent="0.25">
      <c r="B3" s="3" t="s">
        <v>2357</v>
      </c>
    </row>
    <row r="4" spans="2:19" s="1" customFormat="1" ht="4.5" customHeight="1" x14ac:dyDescent="0.25"/>
    <row r="5" spans="2:19" s="4" customFormat="1" ht="21" customHeight="1" x14ac:dyDescent="0.25">
      <c r="B5" s="6" t="s">
        <v>85</v>
      </c>
      <c r="C5" s="6" t="s">
        <v>86</v>
      </c>
      <c r="D5" s="6" t="s">
        <v>87</v>
      </c>
      <c r="E5" s="6" t="s">
        <v>88</v>
      </c>
      <c r="F5" s="6" t="s">
        <v>89</v>
      </c>
      <c r="G5" s="5" t="s">
        <v>90</v>
      </c>
      <c r="H5" s="6" t="s">
        <v>91</v>
      </c>
      <c r="I5" s="6" t="s">
        <v>92</v>
      </c>
      <c r="J5" s="6" t="s">
        <v>93</v>
      </c>
      <c r="K5" s="6" t="s">
        <v>94</v>
      </c>
    </row>
    <row r="6" spans="2:19" s="7" customFormat="1" ht="22.5" customHeight="1" x14ac:dyDescent="0.25">
      <c r="B6" s="38" t="str">
        <f>"Consultas abiertas: "&amp;COUNTIF(tblConsulta[Producto],"?*")</f>
        <v>Consultas abiertas: 3</v>
      </c>
      <c r="C6" s="127" t="s">
        <v>2358</v>
      </c>
      <c r="D6" s="127"/>
      <c r="E6" s="127"/>
      <c r="F6" s="127"/>
      <c r="G6" s="127"/>
    </row>
    <row r="7" spans="2:19" s="7" customFormat="1" ht="16.5" customHeight="1" x14ac:dyDescent="0.25">
      <c r="B7" s="7" t="s">
        <v>2359</v>
      </c>
    </row>
    <row r="8" spans="2:19" ht="24" customHeight="1" x14ac:dyDescent="0.25">
      <c r="B8" s="17" t="s">
        <v>326</v>
      </c>
      <c r="C8" s="18" t="s">
        <v>161</v>
      </c>
      <c r="D8" s="17" t="s">
        <v>331</v>
      </c>
      <c r="E8" s="17" t="s">
        <v>59</v>
      </c>
      <c r="F8" s="17" t="s">
        <v>2351</v>
      </c>
      <c r="G8" s="17" t="s">
        <v>2352</v>
      </c>
      <c r="H8" s="17" t="s">
        <v>2360</v>
      </c>
      <c r="I8" s="17" t="s">
        <v>119</v>
      </c>
      <c r="J8" s="17" t="s">
        <v>167</v>
      </c>
      <c r="K8" s="17" t="s">
        <v>2361</v>
      </c>
      <c r="L8" s="17" t="s">
        <v>2362</v>
      </c>
      <c r="M8" s="17" t="s">
        <v>2343</v>
      </c>
      <c r="N8" s="17" t="s">
        <v>2344</v>
      </c>
      <c r="O8" s="17" t="s">
        <v>4</v>
      </c>
      <c r="P8" s="17" t="s">
        <v>95</v>
      </c>
      <c r="Q8" s="17" t="s">
        <v>160</v>
      </c>
      <c r="R8" s="17" t="s">
        <v>2363</v>
      </c>
      <c r="S8" s="17" t="s">
        <v>2364</v>
      </c>
    </row>
    <row r="9" spans="2:19" ht="18" customHeight="1" x14ac:dyDescent="0.25">
      <c r="B9" s="49" t="str">
        <f>IFERROR(INDEX(tblUsuarios[Nombre],MATCH(ROW()-ROW(tblConsulta[#Headers]),tblUsuarios[OrdenConsulta],0)),"")</f>
        <v>Administrador M-INV</v>
      </c>
      <c r="C9" s="50"/>
      <c r="D9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9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9" s="56" t="str">
        <f>IF(tblConsulta[[#This Row],[SKU]]="","",IFERROR(N(INDEX(tblProductos[StockMin],MATCH(tblConsulta[[#This Row],[SKU]],tblProductos[SKU],0))),""))</f>
        <v/>
      </c>
      <c r="G9" s="56" t="str">
        <f>IF(tblConsulta[[#This Row],[SKU]]="","",IFERROR(N(INDEX(tblProductos[StockMax],MATCH(tblConsulta[[#This Row],[SKU]],tblProductos[SKU],0))),""))</f>
        <v/>
      </c>
      <c r="H9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9" s="49" t="str">
        <f>IF(tblConsulta[[#This Row],[SKU]]="","",IFERROR(INDEX(tblProductos[Proveedor],MATCH(tblConsulta[[#This Row],[SKU]],tblProductos[SKU],0))&amp;"",""))</f>
        <v/>
      </c>
      <c r="J9" s="42" t="str">
        <f>IF(tblConsulta[[#This Row],[SKU]]="","",IFERROR(INDEX(tblProductos[Ubicación],MATCH(tblConsulta[[#This Row],[SKU]],tblProductos[SKU],0))&amp;"",""))</f>
        <v/>
      </c>
      <c r="K9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9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9" s="56" t="str">
        <f ca="1">IF(tblConsulta[[#This Row],[SKU]]="","",-SUMIFS(tblSalidas[CantidadNeta],tblSalidas[SKU],tblConsulta[[#This Row],[SKU]],tblSalidas[Estado],"✔*",tblSalidas[Fecha],"&gt;="&amp;(TODAY()-29)))</f>
        <v/>
      </c>
      <c r="N9" s="75" t="str">
        <f ca="1">IF(OR(tblConsulta[[#This Row],[SKU]]="",N(tblConsulta[[#This Row],[Salidas30d]])&lt;=0),"",INT(MAX(0,tblConsulta[[#This Row],[Disponible]])/(tblConsulta[[#This Row],[Salidas30d]]/30)))</f>
        <v/>
      </c>
      <c r="O9" s="76" t="str">
        <f>IF(tblConsulta[[#This Row],[SKU]]="","",MAX(0,N(tblConsulta[[#This Row],[Disponible]]))*IFERROR(N(INDEX(tblProductos[CostoUnitario],MATCH(tblConsulta[[#This Row],[SKU]],tblProductos[SKU],0))),0))</f>
        <v/>
      </c>
      <c r="P9" s="49" t="str">
        <f>IFERROR(INDEX(tblUsuarios[Correo],MATCH(ROW()-ROW(tblConsulta[#Headers]),tblUsuarios[OrdenConsulta],0)),"")</f>
        <v>admin@distribuidorademo.example</v>
      </c>
      <c r="Q9" s="42" t="str">
        <f>IF(tblConsulta[[#This Row],[Producto]]="","",TRIM(LEFT(tblConsulta[[#This Row],[Producto]],FIND(" · ",tblConsulta[[#This Row],[Producto]]&amp;" · ")-1)))</f>
        <v/>
      </c>
      <c r="R9" s="56">
        <f>IF(tblConsulta[[#This Row],[SKU]]="",0,IFERROR(_xlfn.AGGREGATE(14,6,tblEntradas[Timestamp]/((tblEntradas[SKU]=tblConsulta[[#This Row],[SKU]])*(LEFT(tblEntradas[Estado],1)="✔")),1),0))</f>
        <v>0</v>
      </c>
      <c r="S9" s="56">
        <f>IF(tblConsulta[[#This Row],[SKU]]="",0,IFERROR(_xlfn.AGGREGATE(14,6,tblSalidas[Timestamp]/((tblSalidas[SKU]=tblConsulta[[#This Row],[SKU]])*(LEFT(tblSalidas[Estado],1)="✔")),1),0))</f>
        <v>0</v>
      </c>
    </row>
    <row r="10" spans="2:19" ht="18" customHeight="1" x14ac:dyDescent="0.25">
      <c r="B10" s="49" t="str">
        <f>IFERROR(INDEX(tblUsuarios[Nombre],MATCH(ROW()-ROW(tblConsulta[#Headers]),tblUsuarios[OrdenConsulta],0)),"")</f>
        <v>Ana Gómez</v>
      </c>
      <c r="C10" s="50" t="s">
        <v>374</v>
      </c>
      <c r="D10" s="53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>356.5</v>
      </c>
      <c r="E10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>ÓPTIMO</v>
      </c>
      <c r="F10" s="56">
        <f>IF(tblConsulta[[#This Row],[SKU]]="","",IFERROR(N(INDEX(tblProductos[StockMin],MATCH(tblConsulta[[#This Row],[SKU]],tblProductos[SKU],0))),""))</f>
        <v>100</v>
      </c>
      <c r="G10" s="56">
        <f>IF(tblConsulta[[#This Row],[SKU]]="","",IFERROR(N(INDEX(tblProductos[StockMax],MATCH(tblConsulta[[#This Row],[SKU]],tblProductos[SKU],0))),""))</f>
        <v>600</v>
      </c>
      <c r="H10" s="56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>0</v>
      </c>
      <c r="I10" s="49" t="str">
        <f>IF(tblConsulta[[#This Row],[SKU]]="","",IFERROR(INDEX(tblProductos[Proveedor],MATCH(tblConsulta[[#This Row],[SKU]],tblProductos[SKU],0))&amp;"",""))</f>
        <v>Ferretería Mayorista del Valle</v>
      </c>
      <c r="J10" s="42" t="str">
        <f>IF(tblConsulta[[#This Row],[SKU]]="","",IFERROR(INDEX(tblProductos[Ubicación],MATCH(tblConsulta[[#This Row],[SKU]],tblProductos[SKU],0))&amp;"",""))</f>
        <v>B-03-01</v>
      </c>
      <c r="K10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>24/09/2026  ·  SALIDA 55,5  ·  Sofía López</v>
      </c>
      <c r="L10" s="56">
        <f ca="1">IF(tblConsulta[[#This Row],[SKU]]="","",SUMIFS(tblEntradas[CantidadNeta],tblEntradas[SKU],tblConsulta[[#This Row],[SKU]],tblEntradas[Estado],"✔*",tblEntradas[Fecha],"&gt;="&amp;(TODAY()-29),tblEntradas[CantidadNeta],"&gt;0"))</f>
        <v>518.5</v>
      </c>
      <c r="M10" s="56">
        <f ca="1">IF(tblConsulta[[#This Row],[SKU]]="","",-SUMIFS(tblSalidas[CantidadNeta],tblSalidas[SKU],tblConsulta[[#This Row],[SKU]],tblSalidas[Estado],"✔*",tblSalidas[Fecha],"&gt;="&amp;(TODAY()-29)))</f>
        <v>700</v>
      </c>
      <c r="N10" s="75">
        <f ca="1">IF(OR(tblConsulta[[#This Row],[SKU]]="",N(tblConsulta[[#This Row],[Salidas30d]])&lt;=0),"",INT(MAX(0,tblConsulta[[#This Row],[Disponible]])/(tblConsulta[[#This Row],[Salidas30d]]/30)))</f>
        <v>15</v>
      </c>
      <c r="O10" s="76">
        <f>IF(tblConsulta[[#This Row],[SKU]]="","",MAX(0,N(tblConsulta[[#This Row],[Disponible]]))*IFERROR(N(INDEX(tblProductos[CostoUnitario],MATCH(tblConsulta[[#This Row],[SKU]],tblProductos[SKU],0))),0))</f>
        <v>819950</v>
      </c>
      <c r="P10" s="49" t="str">
        <f>IFERROR(INDEX(tblUsuarios[Correo],MATCH(ROW()-ROW(tblConsulta[#Headers]),tblUsuarios[OrdenConsulta],0)),"")</f>
        <v>ana.gomez@distribuidorademo.example</v>
      </c>
      <c r="Q10" s="42" t="str">
        <f>IF(tblConsulta[[#This Row],[Producto]]="","",TRIM(LEFT(tblConsulta[[#This Row],[Producto]],FIND(" · ",tblConsulta[[#This Row],[Producto]]&amp;" · ")-1)))</f>
        <v>ELE-007</v>
      </c>
      <c r="R10" s="56">
        <f>IF(tblConsulta[[#This Row],[SKU]]="",0,IFERROR(_xlfn.AGGREGATE(14,6,tblEntradas[Timestamp]/((tblEntradas[SKU]=tblConsulta[[#This Row],[SKU]])*(LEFT(tblEntradas[Estado],1)="✔")),1),0))</f>
        <v>46279.345185185193</v>
      </c>
      <c r="S10" s="56">
        <f>IF(tblConsulta[[#This Row],[SKU]]="",0,IFERROR(_xlfn.AGGREGATE(14,6,tblSalidas[Timestamp]/((tblSalidas[SKU]=tblConsulta[[#This Row],[SKU]])*(LEFT(tblSalidas[Estado],1)="✔")),1),0))</f>
        <v>46289.675462962958</v>
      </c>
    </row>
    <row r="11" spans="2:19" ht="18" customHeight="1" x14ac:dyDescent="0.25">
      <c r="B11" s="49" t="str">
        <f>IFERROR(INDEX(tblUsuarios[Nombre],MATCH(ROW()-ROW(tblConsulta[#Headers]),tblUsuarios[OrdenConsulta],0)),"")</f>
        <v>Laura Méndez</v>
      </c>
      <c r="C11" s="50"/>
      <c r="D11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1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1" s="56" t="str">
        <f>IF(tblConsulta[[#This Row],[SKU]]="","",IFERROR(N(INDEX(tblProductos[StockMin],MATCH(tblConsulta[[#This Row],[SKU]],tblProductos[SKU],0))),""))</f>
        <v/>
      </c>
      <c r="G11" s="56" t="str">
        <f>IF(tblConsulta[[#This Row],[SKU]]="","",IFERROR(N(INDEX(tblProductos[StockMax],MATCH(tblConsulta[[#This Row],[SKU]],tblProductos[SKU],0))),""))</f>
        <v/>
      </c>
      <c r="H11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1" s="49" t="str">
        <f>IF(tblConsulta[[#This Row],[SKU]]="","",IFERROR(INDEX(tblProductos[Proveedor],MATCH(tblConsulta[[#This Row],[SKU]],tblProductos[SKU],0))&amp;"",""))</f>
        <v/>
      </c>
      <c r="J11" s="42" t="str">
        <f>IF(tblConsulta[[#This Row],[SKU]]="","",IFERROR(INDEX(tblProductos[Ubicación],MATCH(tblConsulta[[#This Row],[SKU]],tblProductos[SKU],0))&amp;"",""))</f>
        <v/>
      </c>
      <c r="K11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1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1" s="56" t="str">
        <f ca="1">IF(tblConsulta[[#This Row],[SKU]]="","",-SUMIFS(tblSalidas[CantidadNeta],tblSalidas[SKU],tblConsulta[[#This Row],[SKU]],tblSalidas[Estado],"✔*",tblSalidas[Fecha],"&gt;="&amp;(TODAY()-29)))</f>
        <v/>
      </c>
      <c r="N11" s="75" t="str">
        <f ca="1">IF(OR(tblConsulta[[#This Row],[SKU]]="",N(tblConsulta[[#This Row],[Salidas30d]])&lt;=0),"",INT(MAX(0,tblConsulta[[#This Row],[Disponible]])/(tblConsulta[[#This Row],[Salidas30d]]/30)))</f>
        <v/>
      </c>
      <c r="O11" s="76" t="str">
        <f>IF(tblConsulta[[#This Row],[SKU]]="","",MAX(0,N(tblConsulta[[#This Row],[Disponible]]))*IFERROR(N(INDEX(tblProductos[CostoUnitario],MATCH(tblConsulta[[#This Row],[SKU]],tblProductos[SKU],0))),0))</f>
        <v/>
      </c>
      <c r="P11" s="49" t="str">
        <f>IFERROR(INDEX(tblUsuarios[Correo],MATCH(ROW()-ROW(tblConsulta[#Headers]),tblUsuarios[OrdenConsulta],0)),"")</f>
        <v>laura.mendez@distribuidorademo.example</v>
      </c>
      <c r="Q11" s="42" t="str">
        <f>IF(tblConsulta[[#This Row],[Producto]]="","",TRIM(LEFT(tblConsulta[[#This Row],[Producto]],FIND(" · ",tblConsulta[[#This Row],[Producto]]&amp;" · ")-1)))</f>
        <v/>
      </c>
      <c r="R11" s="56">
        <f>IF(tblConsulta[[#This Row],[SKU]]="",0,IFERROR(_xlfn.AGGREGATE(14,6,tblEntradas[Timestamp]/((tblEntradas[SKU]=tblConsulta[[#This Row],[SKU]])*(LEFT(tblEntradas[Estado],1)="✔")),1),0))</f>
        <v>0</v>
      </c>
      <c r="S11" s="56">
        <f>IF(tblConsulta[[#This Row],[SKU]]="",0,IFERROR(_xlfn.AGGREGATE(14,6,tblSalidas[Timestamp]/((tblSalidas[SKU]=tblConsulta[[#This Row],[SKU]])*(LEFT(tblSalidas[Estado],1)="✔")),1),0))</f>
        <v>0</v>
      </c>
    </row>
    <row r="12" spans="2:19" ht="18" customHeight="1" x14ac:dyDescent="0.25">
      <c r="B12" s="49" t="str">
        <f>IFERROR(INDEX(tblUsuarios[Nombre],MATCH(ROW()-ROW(tblConsulta[#Headers]),tblUsuarios[OrdenConsulta],0)),"")</f>
        <v>Carlos Ruiz</v>
      </c>
      <c r="C12" s="50" t="s">
        <v>351</v>
      </c>
      <c r="D12" s="53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>34</v>
      </c>
      <c r="E12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>ÓPTIMO</v>
      </c>
      <c r="F12" s="56">
        <f>IF(tblConsulta[[#This Row],[SKU]]="","",IFERROR(N(INDEX(tblProductos[StockMin],MATCH(tblConsulta[[#This Row],[SKU]],tblProductos[SKU],0))),""))</f>
        <v>15</v>
      </c>
      <c r="G12" s="56">
        <f>IF(tblConsulta[[#This Row],[SKU]]="","",IFERROR(N(INDEX(tblProductos[StockMax],MATCH(tblConsulta[[#This Row],[SKU]],tblProductos[SKU],0))),""))</f>
        <v>80</v>
      </c>
      <c r="H12" s="56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>0</v>
      </c>
      <c r="I12" s="49" t="str">
        <f>IF(tblConsulta[[#This Row],[SKU]]="","",IFERROR(INDEX(tblProductos[Proveedor],MATCH(tblConsulta[[#This Row],[SKU]],tblProductos[SKU],0))&amp;"",""))</f>
        <v>Ferretería Mayorista del Valle</v>
      </c>
      <c r="J12" s="42" t="str">
        <f>IF(tblConsulta[[#This Row],[SKU]]="","",IFERROR(INDEX(tblProductos[Ubicación],MATCH(tblConsulta[[#This Row],[SKU]],tblProductos[SKU],0))&amp;"",""))</f>
        <v>A-01-02</v>
      </c>
      <c r="K12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>18/09/2026  ·  SALIDA 9  ·  Carlos Ruiz</v>
      </c>
      <c r="L12" s="56">
        <f ca="1">IF(tblConsulta[[#This Row],[SKU]]="","",SUMIFS(tblEntradas[CantidadNeta],tblEntradas[SKU],tblConsulta[[#This Row],[SKU]],tblEntradas[Estado],"✔*",tblEntradas[Fecha],"&gt;="&amp;(TODAY()-29),tblEntradas[CantidadNeta],"&gt;0"))</f>
        <v>0</v>
      </c>
      <c r="M12" s="56">
        <f ca="1">IF(tblConsulta[[#This Row],[SKU]]="","",-SUMIFS(tblSalidas[CantidadNeta],tblSalidas[SKU],tblConsulta[[#This Row],[SKU]],tblSalidas[Estado],"✔*",tblSalidas[Fecha],"&gt;="&amp;(TODAY()-29)))</f>
        <v>21</v>
      </c>
      <c r="N12" s="75">
        <f ca="1">IF(OR(tblConsulta[[#This Row],[SKU]]="",N(tblConsulta[[#This Row],[Salidas30d]])&lt;=0),"",INT(MAX(0,tblConsulta[[#This Row],[Disponible]])/(tblConsulta[[#This Row],[Salidas30d]]/30)))</f>
        <v>48</v>
      </c>
      <c r="O12" s="76">
        <f>IF(tblConsulta[[#This Row],[SKU]]="","",MAX(0,N(tblConsulta[[#This Row],[Disponible]]))*IFERROR(N(INDEX(tblProductos[CostoUnitario],MATCH(tblConsulta[[#This Row],[SKU]],tblProductos[SKU],0))),0))</f>
        <v>221000</v>
      </c>
      <c r="P12" s="49" t="str">
        <f>IFERROR(INDEX(tblUsuarios[Correo],MATCH(ROW()-ROW(tblConsulta[#Headers]),tblUsuarios[OrdenConsulta],0)),"")</f>
        <v>carlos.ruiz@distribuidorademo.example</v>
      </c>
      <c r="Q12" s="42" t="str">
        <f>IF(tblConsulta[[#This Row],[Producto]]="","",TRIM(LEFT(tblConsulta[[#This Row],[Producto]],FIND(" · ",tblConsulta[[#This Row],[Producto]]&amp;" · ")-1)))</f>
        <v>FER-002</v>
      </c>
      <c r="R12" s="56">
        <f>IF(tblConsulta[[#This Row],[SKU]]="",0,IFERROR(_xlfn.AGGREGATE(14,6,tblEntradas[Timestamp]/((tblEntradas[SKU]=tblConsulta[[#This Row],[SKU]])*(LEFT(tblEntradas[Estado],1)="✔")),1),0))</f>
        <v>46223.574687499997</v>
      </c>
      <c r="S12" s="56">
        <f>IF(tblConsulta[[#This Row],[SKU]]="",0,IFERROR(_xlfn.AGGREGATE(14,6,tblSalidas[Timestamp]/((tblSalidas[SKU]=tblConsulta[[#This Row],[SKU]])*(LEFT(tblSalidas[Estado],1)="✔")),1),0))</f>
        <v>46283.63521990741</v>
      </c>
    </row>
    <row r="13" spans="2:19" ht="18" customHeight="1" x14ac:dyDescent="0.25">
      <c r="B13" s="49" t="str">
        <f>IFERROR(INDEX(tblUsuarios[Nombre],MATCH(ROW()-ROW(tblConsulta[#Headers]),tblUsuarios[OrdenConsulta],0)),"")</f>
        <v>Sofía López</v>
      </c>
      <c r="C13" s="50" t="s">
        <v>335</v>
      </c>
      <c r="D13" s="53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>0</v>
      </c>
      <c r="E13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>AGOTADO</v>
      </c>
      <c r="F13" s="56">
        <f>IF(tblConsulta[[#This Row],[SKU]]="","",IFERROR(N(INDEX(tblProductos[StockMin],MATCH(tblConsulta[[#This Row],[SKU]],tblProductos[SKU],0))),""))</f>
        <v>4</v>
      </c>
      <c r="G13" s="56">
        <f>IF(tblConsulta[[#This Row],[SKU]]="","",IFERROR(N(INDEX(tblProductos[StockMax],MATCH(tblConsulta[[#This Row],[SKU]],tblProductos[SKU],0))),""))</f>
        <v>20</v>
      </c>
      <c r="H13" s="56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>20</v>
      </c>
      <c r="I13" s="49" t="str">
        <f>IF(tblConsulta[[#This Row],[SKU]]="","",IFERROR(INDEX(tblProductos[Proveedor],MATCH(tblConsulta[[#This Row],[SKU]],tblProductos[SKU],0))&amp;"",""))</f>
        <v>Electro Suministros S.A.S.</v>
      </c>
      <c r="J13" s="42" t="str">
        <f>IF(tblConsulta[[#This Row],[SKU]]="","",IFERROR(INDEX(tblProductos[Ubicación],MATCH(tblConsulta[[#This Row],[SKU]],tblProductos[SKU],0))&amp;"",""))</f>
        <v>B-01-01</v>
      </c>
      <c r="K13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>25/09/2026  ·  SALIDA 9  ·  Sofía López</v>
      </c>
      <c r="L13" s="56">
        <f ca="1">IF(tblConsulta[[#This Row],[SKU]]="","",SUMIFS(tblEntradas[CantidadNeta],tblEntradas[SKU],tblConsulta[[#This Row],[SKU]],tblEntradas[Estado],"✔*",tblEntradas[Fecha],"&gt;="&amp;(TODAY()-29),tblEntradas[CantidadNeta],"&gt;0"))</f>
        <v>0</v>
      </c>
      <c r="M13" s="56">
        <f ca="1">IF(tblConsulta[[#This Row],[SKU]]="","",-SUMIFS(tblSalidas[CantidadNeta],tblSalidas[SKU],tblConsulta[[#This Row],[SKU]],tblSalidas[Estado],"✔*",tblSalidas[Fecha],"&gt;="&amp;(TODAY()-29)))</f>
        <v>11</v>
      </c>
      <c r="N13" s="75">
        <f ca="1">IF(OR(tblConsulta[[#This Row],[SKU]]="",N(tblConsulta[[#This Row],[Salidas30d]])&lt;=0),"",INT(MAX(0,tblConsulta[[#This Row],[Disponible]])/(tblConsulta[[#This Row],[Salidas30d]]/30)))</f>
        <v>0</v>
      </c>
      <c r="O13" s="76">
        <f>IF(tblConsulta[[#This Row],[SKU]]="","",MAX(0,N(tblConsulta[[#This Row],[Disponible]]))*IFERROR(N(INDEX(tblProductos[CostoUnitario],MATCH(tblConsulta[[#This Row],[SKU]],tblProductos[SKU],0))),0))</f>
        <v>0</v>
      </c>
      <c r="P13" s="49" t="str">
        <f>IFERROR(INDEX(tblUsuarios[Correo],MATCH(ROW()-ROW(tblConsulta[#Headers]),tblUsuarios[OrdenConsulta],0)),"")</f>
        <v>sofia.lopez@distribuidorademo.example</v>
      </c>
      <c r="Q13" s="42" t="str">
        <f>IF(tblConsulta[[#This Row],[Producto]]="","",TRIM(LEFT(tblConsulta[[#This Row],[Producto]],FIND(" · ",tblConsulta[[#This Row],[Producto]]&amp;" · ")-1)))</f>
        <v>ELE-001</v>
      </c>
      <c r="R13" s="56">
        <f>IF(tblConsulta[[#This Row],[SKU]]="",0,IFERROR(_xlfn.AGGREGATE(14,6,tblEntradas[Timestamp]/((tblEntradas[SKU]=tblConsulta[[#This Row],[SKU]])*(LEFT(tblEntradas[Estado],1)="✔")),1),0))</f>
        <v>46267.63784722222</v>
      </c>
      <c r="S13" s="56">
        <f>IF(tblConsulta[[#This Row],[SKU]]="",0,IFERROR(_xlfn.AGGREGATE(14,6,tblSalidas[Timestamp]/((tblSalidas[SKU]=tblConsulta[[#This Row],[SKU]])*(LEFT(tblSalidas[Estado],1)="✔")),1),0))</f>
        <v>46290.435011574067</v>
      </c>
    </row>
    <row r="14" spans="2:19" ht="18" customHeight="1" x14ac:dyDescent="0.25">
      <c r="B14" s="49" t="str">
        <f>IFERROR(INDEX(tblUsuarios[Nombre],MATCH(ROW()-ROW(tblConsulta[#Headers]),tblUsuarios[OrdenConsulta],0)),"")</f>
        <v/>
      </c>
      <c r="C14" s="50"/>
      <c r="D14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4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4" s="56" t="str">
        <f>IF(tblConsulta[[#This Row],[SKU]]="","",IFERROR(N(INDEX(tblProductos[StockMin],MATCH(tblConsulta[[#This Row],[SKU]],tblProductos[SKU],0))),""))</f>
        <v/>
      </c>
      <c r="G14" s="56" t="str">
        <f>IF(tblConsulta[[#This Row],[SKU]]="","",IFERROR(N(INDEX(tblProductos[StockMax],MATCH(tblConsulta[[#This Row],[SKU]],tblProductos[SKU],0))),""))</f>
        <v/>
      </c>
      <c r="H14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4" s="49" t="str">
        <f>IF(tblConsulta[[#This Row],[SKU]]="","",IFERROR(INDEX(tblProductos[Proveedor],MATCH(tblConsulta[[#This Row],[SKU]],tblProductos[SKU],0))&amp;"",""))</f>
        <v/>
      </c>
      <c r="J14" s="42" t="str">
        <f>IF(tblConsulta[[#This Row],[SKU]]="","",IFERROR(INDEX(tblProductos[Ubicación],MATCH(tblConsulta[[#This Row],[SKU]],tblProductos[SKU],0))&amp;"",""))</f>
        <v/>
      </c>
      <c r="K14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4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4" s="56" t="str">
        <f ca="1">IF(tblConsulta[[#This Row],[SKU]]="","",-SUMIFS(tblSalidas[CantidadNeta],tblSalidas[SKU],tblConsulta[[#This Row],[SKU]],tblSalidas[Estado],"✔*",tblSalidas[Fecha],"&gt;="&amp;(TODAY()-29)))</f>
        <v/>
      </c>
      <c r="N14" s="75" t="str">
        <f ca="1">IF(OR(tblConsulta[[#This Row],[SKU]]="",N(tblConsulta[[#This Row],[Salidas30d]])&lt;=0),"",INT(MAX(0,tblConsulta[[#This Row],[Disponible]])/(tblConsulta[[#This Row],[Salidas30d]]/30)))</f>
        <v/>
      </c>
      <c r="O14" s="76" t="str">
        <f>IF(tblConsulta[[#This Row],[SKU]]="","",MAX(0,N(tblConsulta[[#This Row],[Disponible]]))*IFERROR(N(INDEX(tblProductos[CostoUnitario],MATCH(tblConsulta[[#This Row],[SKU]],tblProductos[SKU],0))),0))</f>
        <v/>
      </c>
      <c r="P14" s="49" t="str">
        <f>IFERROR(INDEX(tblUsuarios[Correo],MATCH(ROW()-ROW(tblConsulta[#Headers]),tblUsuarios[OrdenConsulta],0)),"")</f>
        <v/>
      </c>
      <c r="Q14" s="42" t="str">
        <f>IF(tblConsulta[[#This Row],[Producto]]="","",TRIM(LEFT(tblConsulta[[#This Row],[Producto]],FIND(" · ",tblConsulta[[#This Row],[Producto]]&amp;" · ")-1)))</f>
        <v/>
      </c>
      <c r="R14" s="56">
        <f>IF(tblConsulta[[#This Row],[SKU]]="",0,IFERROR(_xlfn.AGGREGATE(14,6,tblEntradas[Timestamp]/((tblEntradas[SKU]=tblConsulta[[#This Row],[SKU]])*(LEFT(tblEntradas[Estado],1)="✔")),1),0))</f>
        <v>0</v>
      </c>
      <c r="S14" s="56">
        <f>IF(tblConsulta[[#This Row],[SKU]]="",0,IFERROR(_xlfn.AGGREGATE(14,6,tblSalidas[Timestamp]/((tblSalidas[SKU]=tblConsulta[[#This Row],[SKU]])*(LEFT(tblSalidas[Estado],1)="✔")),1),0))</f>
        <v>0</v>
      </c>
    </row>
    <row r="15" spans="2:19" ht="18" customHeight="1" x14ac:dyDescent="0.25">
      <c r="B15" s="49" t="str">
        <f>IFERROR(INDEX(tblUsuarios[Nombre],MATCH(ROW()-ROW(tblConsulta[#Headers]),tblUsuarios[OrdenConsulta],0)),"")</f>
        <v/>
      </c>
      <c r="C15" s="50"/>
      <c r="D15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5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5" s="56" t="str">
        <f>IF(tblConsulta[[#This Row],[SKU]]="","",IFERROR(N(INDEX(tblProductos[StockMin],MATCH(tblConsulta[[#This Row],[SKU]],tblProductos[SKU],0))),""))</f>
        <v/>
      </c>
      <c r="G15" s="56" t="str">
        <f>IF(tblConsulta[[#This Row],[SKU]]="","",IFERROR(N(INDEX(tblProductos[StockMax],MATCH(tblConsulta[[#This Row],[SKU]],tblProductos[SKU],0))),""))</f>
        <v/>
      </c>
      <c r="H15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5" s="49" t="str">
        <f>IF(tblConsulta[[#This Row],[SKU]]="","",IFERROR(INDEX(tblProductos[Proveedor],MATCH(tblConsulta[[#This Row],[SKU]],tblProductos[SKU],0))&amp;"",""))</f>
        <v/>
      </c>
      <c r="J15" s="42" t="str">
        <f>IF(tblConsulta[[#This Row],[SKU]]="","",IFERROR(INDEX(tblProductos[Ubicación],MATCH(tblConsulta[[#This Row],[SKU]],tblProductos[SKU],0))&amp;"",""))</f>
        <v/>
      </c>
      <c r="K15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5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5" s="56" t="str">
        <f ca="1">IF(tblConsulta[[#This Row],[SKU]]="","",-SUMIFS(tblSalidas[CantidadNeta],tblSalidas[SKU],tblConsulta[[#This Row],[SKU]],tblSalidas[Estado],"✔*",tblSalidas[Fecha],"&gt;="&amp;(TODAY()-29)))</f>
        <v/>
      </c>
      <c r="N15" s="75" t="str">
        <f ca="1">IF(OR(tblConsulta[[#This Row],[SKU]]="",N(tblConsulta[[#This Row],[Salidas30d]])&lt;=0),"",INT(MAX(0,tblConsulta[[#This Row],[Disponible]])/(tblConsulta[[#This Row],[Salidas30d]]/30)))</f>
        <v/>
      </c>
      <c r="O15" s="76" t="str">
        <f>IF(tblConsulta[[#This Row],[SKU]]="","",MAX(0,N(tblConsulta[[#This Row],[Disponible]]))*IFERROR(N(INDEX(tblProductos[CostoUnitario],MATCH(tblConsulta[[#This Row],[SKU]],tblProductos[SKU],0))),0))</f>
        <v/>
      </c>
      <c r="P15" s="49" t="str">
        <f>IFERROR(INDEX(tblUsuarios[Correo],MATCH(ROW()-ROW(tblConsulta[#Headers]),tblUsuarios[OrdenConsulta],0)),"")</f>
        <v/>
      </c>
      <c r="Q15" s="42" t="str">
        <f>IF(tblConsulta[[#This Row],[Producto]]="","",TRIM(LEFT(tblConsulta[[#This Row],[Producto]],FIND(" · ",tblConsulta[[#This Row],[Producto]]&amp;" · ")-1)))</f>
        <v/>
      </c>
      <c r="R15" s="56">
        <f>IF(tblConsulta[[#This Row],[SKU]]="",0,IFERROR(_xlfn.AGGREGATE(14,6,tblEntradas[Timestamp]/((tblEntradas[SKU]=tblConsulta[[#This Row],[SKU]])*(LEFT(tblEntradas[Estado],1)="✔")),1),0))</f>
        <v>0</v>
      </c>
      <c r="S15" s="56">
        <f>IF(tblConsulta[[#This Row],[SKU]]="",0,IFERROR(_xlfn.AGGREGATE(14,6,tblSalidas[Timestamp]/((tblSalidas[SKU]=tblConsulta[[#This Row],[SKU]])*(LEFT(tblSalidas[Estado],1)="✔")),1),0))</f>
        <v>0</v>
      </c>
    </row>
    <row r="16" spans="2:19" ht="18" customHeight="1" x14ac:dyDescent="0.25">
      <c r="B16" s="49" t="str">
        <f>IFERROR(INDEX(tblUsuarios[Nombre],MATCH(ROW()-ROW(tblConsulta[#Headers]),tblUsuarios[OrdenConsulta],0)),"")</f>
        <v/>
      </c>
      <c r="C16" s="50"/>
      <c r="D16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6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6" s="56" t="str">
        <f>IF(tblConsulta[[#This Row],[SKU]]="","",IFERROR(N(INDEX(tblProductos[StockMin],MATCH(tblConsulta[[#This Row],[SKU]],tblProductos[SKU],0))),""))</f>
        <v/>
      </c>
      <c r="G16" s="56" t="str">
        <f>IF(tblConsulta[[#This Row],[SKU]]="","",IFERROR(N(INDEX(tblProductos[StockMax],MATCH(tblConsulta[[#This Row],[SKU]],tblProductos[SKU],0))),""))</f>
        <v/>
      </c>
      <c r="H16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6" s="49" t="str">
        <f>IF(tblConsulta[[#This Row],[SKU]]="","",IFERROR(INDEX(tblProductos[Proveedor],MATCH(tblConsulta[[#This Row],[SKU]],tblProductos[SKU],0))&amp;"",""))</f>
        <v/>
      </c>
      <c r="J16" s="42" t="str">
        <f>IF(tblConsulta[[#This Row],[SKU]]="","",IFERROR(INDEX(tblProductos[Ubicación],MATCH(tblConsulta[[#This Row],[SKU]],tblProductos[SKU],0))&amp;"",""))</f>
        <v/>
      </c>
      <c r="K16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6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6" s="56" t="str">
        <f ca="1">IF(tblConsulta[[#This Row],[SKU]]="","",-SUMIFS(tblSalidas[CantidadNeta],tblSalidas[SKU],tblConsulta[[#This Row],[SKU]],tblSalidas[Estado],"✔*",tblSalidas[Fecha],"&gt;="&amp;(TODAY()-29)))</f>
        <v/>
      </c>
      <c r="N16" s="75" t="str">
        <f ca="1">IF(OR(tblConsulta[[#This Row],[SKU]]="",N(tblConsulta[[#This Row],[Salidas30d]])&lt;=0),"",INT(MAX(0,tblConsulta[[#This Row],[Disponible]])/(tblConsulta[[#This Row],[Salidas30d]]/30)))</f>
        <v/>
      </c>
      <c r="O16" s="76" t="str">
        <f>IF(tblConsulta[[#This Row],[SKU]]="","",MAX(0,N(tblConsulta[[#This Row],[Disponible]]))*IFERROR(N(INDEX(tblProductos[CostoUnitario],MATCH(tblConsulta[[#This Row],[SKU]],tblProductos[SKU],0))),0))</f>
        <v/>
      </c>
      <c r="P16" s="49" t="str">
        <f>IFERROR(INDEX(tblUsuarios[Correo],MATCH(ROW()-ROW(tblConsulta[#Headers]),tblUsuarios[OrdenConsulta],0)),"")</f>
        <v/>
      </c>
      <c r="Q16" s="42" t="str">
        <f>IF(tblConsulta[[#This Row],[Producto]]="","",TRIM(LEFT(tblConsulta[[#This Row],[Producto]],FIND(" · ",tblConsulta[[#This Row],[Producto]]&amp;" · ")-1)))</f>
        <v/>
      </c>
      <c r="R16" s="56">
        <f>IF(tblConsulta[[#This Row],[SKU]]="",0,IFERROR(_xlfn.AGGREGATE(14,6,tblEntradas[Timestamp]/((tblEntradas[SKU]=tblConsulta[[#This Row],[SKU]])*(LEFT(tblEntradas[Estado],1)="✔")),1),0))</f>
        <v>0</v>
      </c>
      <c r="S16" s="56">
        <f>IF(tblConsulta[[#This Row],[SKU]]="",0,IFERROR(_xlfn.AGGREGATE(14,6,tblSalidas[Timestamp]/((tblSalidas[SKU]=tblConsulta[[#This Row],[SKU]])*(LEFT(tblSalidas[Estado],1)="✔")),1),0))</f>
        <v>0</v>
      </c>
    </row>
    <row r="17" spans="2:19" ht="18" customHeight="1" x14ac:dyDescent="0.25">
      <c r="B17" s="49" t="str">
        <f>IFERROR(INDEX(tblUsuarios[Nombre],MATCH(ROW()-ROW(tblConsulta[#Headers]),tblUsuarios[OrdenConsulta],0)),"")</f>
        <v/>
      </c>
      <c r="C17" s="50"/>
      <c r="D17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7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7" s="56" t="str">
        <f>IF(tblConsulta[[#This Row],[SKU]]="","",IFERROR(N(INDEX(tblProductos[StockMin],MATCH(tblConsulta[[#This Row],[SKU]],tblProductos[SKU],0))),""))</f>
        <v/>
      </c>
      <c r="G17" s="56" t="str">
        <f>IF(tblConsulta[[#This Row],[SKU]]="","",IFERROR(N(INDEX(tblProductos[StockMax],MATCH(tblConsulta[[#This Row],[SKU]],tblProductos[SKU],0))),""))</f>
        <v/>
      </c>
      <c r="H17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7" s="49" t="str">
        <f>IF(tblConsulta[[#This Row],[SKU]]="","",IFERROR(INDEX(tblProductos[Proveedor],MATCH(tblConsulta[[#This Row],[SKU]],tblProductos[SKU],0))&amp;"",""))</f>
        <v/>
      </c>
      <c r="J17" s="42" t="str">
        <f>IF(tblConsulta[[#This Row],[SKU]]="","",IFERROR(INDEX(tblProductos[Ubicación],MATCH(tblConsulta[[#This Row],[SKU]],tblProductos[SKU],0))&amp;"",""))</f>
        <v/>
      </c>
      <c r="K17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7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7" s="56" t="str">
        <f ca="1">IF(tblConsulta[[#This Row],[SKU]]="","",-SUMIFS(tblSalidas[CantidadNeta],tblSalidas[SKU],tblConsulta[[#This Row],[SKU]],tblSalidas[Estado],"✔*",tblSalidas[Fecha],"&gt;="&amp;(TODAY()-29)))</f>
        <v/>
      </c>
      <c r="N17" s="75" t="str">
        <f ca="1">IF(OR(tblConsulta[[#This Row],[SKU]]="",N(tblConsulta[[#This Row],[Salidas30d]])&lt;=0),"",INT(MAX(0,tblConsulta[[#This Row],[Disponible]])/(tblConsulta[[#This Row],[Salidas30d]]/30)))</f>
        <v/>
      </c>
      <c r="O17" s="76" t="str">
        <f>IF(tblConsulta[[#This Row],[SKU]]="","",MAX(0,N(tblConsulta[[#This Row],[Disponible]]))*IFERROR(N(INDEX(tblProductos[CostoUnitario],MATCH(tblConsulta[[#This Row],[SKU]],tblProductos[SKU],0))),0))</f>
        <v/>
      </c>
      <c r="P17" s="49" t="str">
        <f>IFERROR(INDEX(tblUsuarios[Correo],MATCH(ROW()-ROW(tblConsulta[#Headers]),tblUsuarios[OrdenConsulta],0)),"")</f>
        <v/>
      </c>
      <c r="Q17" s="42" t="str">
        <f>IF(tblConsulta[[#This Row],[Producto]]="","",TRIM(LEFT(tblConsulta[[#This Row],[Producto]],FIND(" · ",tblConsulta[[#This Row],[Producto]]&amp;" · ")-1)))</f>
        <v/>
      </c>
      <c r="R17" s="56">
        <f>IF(tblConsulta[[#This Row],[SKU]]="",0,IFERROR(_xlfn.AGGREGATE(14,6,tblEntradas[Timestamp]/((tblEntradas[SKU]=tblConsulta[[#This Row],[SKU]])*(LEFT(tblEntradas[Estado],1)="✔")),1),0))</f>
        <v>0</v>
      </c>
      <c r="S17" s="56">
        <f>IF(tblConsulta[[#This Row],[SKU]]="",0,IFERROR(_xlfn.AGGREGATE(14,6,tblSalidas[Timestamp]/((tblSalidas[SKU]=tblConsulta[[#This Row],[SKU]])*(LEFT(tblSalidas[Estado],1)="✔")),1),0))</f>
        <v>0</v>
      </c>
    </row>
    <row r="18" spans="2:19" ht="18" customHeight="1" x14ac:dyDescent="0.25">
      <c r="B18" s="49" t="str">
        <f>IFERROR(INDEX(tblUsuarios[Nombre],MATCH(ROW()-ROW(tblConsulta[#Headers]),tblUsuarios[OrdenConsulta],0)),"")</f>
        <v/>
      </c>
      <c r="C18" s="50"/>
      <c r="D18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8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8" s="56" t="str">
        <f>IF(tblConsulta[[#This Row],[SKU]]="","",IFERROR(N(INDEX(tblProductos[StockMin],MATCH(tblConsulta[[#This Row],[SKU]],tblProductos[SKU],0))),""))</f>
        <v/>
      </c>
      <c r="G18" s="56" t="str">
        <f>IF(tblConsulta[[#This Row],[SKU]]="","",IFERROR(N(INDEX(tblProductos[StockMax],MATCH(tblConsulta[[#This Row],[SKU]],tblProductos[SKU],0))),""))</f>
        <v/>
      </c>
      <c r="H18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8" s="49" t="str">
        <f>IF(tblConsulta[[#This Row],[SKU]]="","",IFERROR(INDEX(tblProductos[Proveedor],MATCH(tblConsulta[[#This Row],[SKU]],tblProductos[SKU],0))&amp;"",""))</f>
        <v/>
      </c>
      <c r="J18" s="42" t="str">
        <f>IF(tblConsulta[[#This Row],[SKU]]="","",IFERROR(INDEX(tblProductos[Ubicación],MATCH(tblConsulta[[#This Row],[SKU]],tblProductos[SKU],0))&amp;"",""))</f>
        <v/>
      </c>
      <c r="K18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8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8" s="56" t="str">
        <f ca="1">IF(tblConsulta[[#This Row],[SKU]]="","",-SUMIFS(tblSalidas[CantidadNeta],tblSalidas[SKU],tblConsulta[[#This Row],[SKU]],tblSalidas[Estado],"✔*",tblSalidas[Fecha],"&gt;="&amp;(TODAY()-29)))</f>
        <v/>
      </c>
      <c r="N18" s="75" t="str">
        <f ca="1">IF(OR(tblConsulta[[#This Row],[SKU]]="",N(tblConsulta[[#This Row],[Salidas30d]])&lt;=0),"",INT(MAX(0,tblConsulta[[#This Row],[Disponible]])/(tblConsulta[[#This Row],[Salidas30d]]/30)))</f>
        <v/>
      </c>
      <c r="O18" s="76" t="str">
        <f>IF(tblConsulta[[#This Row],[SKU]]="","",MAX(0,N(tblConsulta[[#This Row],[Disponible]]))*IFERROR(N(INDEX(tblProductos[CostoUnitario],MATCH(tblConsulta[[#This Row],[SKU]],tblProductos[SKU],0))),0))</f>
        <v/>
      </c>
      <c r="P18" s="49" t="str">
        <f>IFERROR(INDEX(tblUsuarios[Correo],MATCH(ROW()-ROW(tblConsulta[#Headers]),tblUsuarios[OrdenConsulta],0)),"")</f>
        <v/>
      </c>
      <c r="Q18" s="42" t="str">
        <f>IF(tblConsulta[[#This Row],[Producto]]="","",TRIM(LEFT(tblConsulta[[#This Row],[Producto]],FIND(" · ",tblConsulta[[#This Row],[Producto]]&amp;" · ")-1)))</f>
        <v/>
      </c>
      <c r="R18" s="56">
        <f>IF(tblConsulta[[#This Row],[SKU]]="",0,IFERROR(_xlfn.AGGREGATE(14,6,tblEntradas[Timestamp]/((tblEntradas[SKU]=tblConsulta[[#This Row],[SKU]])*(LEFT(tblEntradas[Estado],1)="✔")),1),0))</f>
        <v>0</v>
      </c>
      <c r="S18" s="56">
        <f>IF(tblConsulta[[#This Row],[SKU]]="",0,IFERROR(_xlfn.AGGREGATE(14,6,tblSalidas[Timestamp]/((tblSalidas[SKU]=tblConsulta[[#This Row],[SKU]])*(LEFT(tblSalidas[Estado],1)="✔")),1),0))</f>
        <v>0</v>
      </c>
    </row>
    <row r="19" spans="2:19" ht="18" customHeight="1" x14ac:dyDescent="0.25">
      <c r="B19" s="49" t="str">
        <f>IFERROR(INDEX(tblUsuarios[Nombre],MATCH(ROW()-ROW(tblConsulta[#Headers]),tblUsuarios[OrdenConsulta],0)),"")</f>
        <v/>
      </c>
      <c r="C19" s="50"/>
      <c r="D19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9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9" s="56" t="str">
        <f>IF(tblConsulta[[#This Row],[SKU]]="","",IFERROR(N(INDEX(tblProductos[StockMin],MATCH(tblConsulta[[#This Row],[SKU]],tblProductos[SKU],0))),""))</f>
        <v/>
      </c>
      <c r="G19" s="56" t="str">
        <f>IF(tblConsulta[[#This Row],[SKU]]="","",IFERROR(N(INDEX(tblProductos[StockMax],MATCH(tblConsulta[[#This Row],[SKU]],tblProductos[SKU],0))),""))</f>
        <v/>
      </c>
      <c r="H19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9" s="49" t="str">
        <f>IF(tblConsulta[[#This Row],[SKU]]="","",IFERROR(INDEX(tblProductos[Proveedor],MATCH(tblConsulta[[#This Row],[SKU]],tblProductos[SKU],0))&amp;"",""))</f>
        <v/>
      </c>
      <c r="J19" s="42" t="str">
        <f>IF(tblConsulta[[#This Row],[SKU]]="","",IFERROR(INDEX(tblProductos[Ubicación],MATCH(tblConsulta[[#This Row],[SKU]],tblProductos[SKU],0))&amp;"",""))</f>
        <v/>
      </c>
      <c r="K19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9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9" s="56" t="str">
        <f ca="1">IF(tblConsulta[[#This Row],[SKU]]="","",-SUMIFS(tblSalidas[CantidadNeta],tblSalidas[SKU],tblConsulta[[#This Row],[SKU]],tblSalidas[Estado],"✔*",tblSalidas[Fecha],"&gt;="&amp;(TODAY()-29)))</f>
        <v/>
      </c>
      <c r="N19" s="75" t="str">
        <f ca="1">IF(OR(tblConsulta[[#This Row],[SKU]]="",N(tblConsulta[[#This Row],[Salidas30d]])&lt;=0),"",INT(MAX(0,tblConsulta[[#This Row],[Disponible]])/(tblConsulta[[#This Row],[Salidas30d]]/30)))</f>
        <v/>
      </c>
      <c r="O19" s="76" t="str">
        <f>IF(tblConsulta[[#This Row],[SKU]]="","",MAX(0,N(tblConsulta[[#This Row],[Disponible]]))*IFERROR(N(INDEX(tblProductos[CostoUnitario],MATCH(tblConsulta[[#This Row],[SKU]],tblProductos[SKU],0))),0))</f>
        <v/>
      </c>
      <c r="P19" s="49" t="str">
        <f>IFERROR(INDEX(tblUsuarios[Correo],MATCH(ROW()-ROW(tblConsulta[#Headers]),tblUsuarios[OrdenConsulta],0)),"")</f>
        <v/>
      </c>
      <c r="Q19" s="42" t="str">
        <f>IF(tblConsulta[[#This Row],[Producto]]="","",TRIM(LEFT(tblConsulta[[#This Row],[Producto]],FIND(" · ",tblConsulta[[#This Row],[Producto]]&amp;" · ")-1)))</f>
        <v/>
      </c>
      <c r="R19" s="56">
        <f>IF(tblConsulta[[#This Row],[SKU]]="",0,IFERROR(_xlfn.AGGREGATE(14,6,tblEntradas[Timestamp]/((tblEntradas[SKU]=tblConsulta[[#This Row],[SKU]])*(LEFT(tblEntradas[Estado],1)="✔")),1),0))</f>
        <v>0</v>
      </c>
      <c r="S19" s="56">
        <f>IF(tblConsulta[[#This Row],[SKU]]="",0,IFERROR(_xlfn.AGGREGATE(14,6,tblSalidas[Timestamp]/((tblSalidas[SKU]=tblConsulta[[#This Row],[SKU]])*(LEFT(tblSalidas[Estado],1)="✔")),1),0))</f>
        <v>0</v>
      </c>
    </row>
    <row r="20" spans="2:19" ht="18" customHeight="1" x14ac:dyDescent="0.25">
      <c r="B20" s="49" t="str">
        <f>IFERROR(INDEX(tblUsuarios[Nombre],MATCH(ROW()-ROW(tblConsulta[#Headers]),tblUsuarios[OrdenConsulta],0)),"")</f>
        <v/>
      </c>
      <c r="C20" s="50"/>
      <c r="D20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0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0" s="56" t="str">
        <f>IF(tblConsulta[[#This Row],[SKU]]="","",IFERROR(N(INDEX(tblProductos[StockMin],MATCH(tblConsulta[[#This Row],[SKU]],tblProductos[SKU],0))),""))</f>
        <v/>
      </c>
      <c r="G20" s="56" t="str">
        <f>IF(tblConsulta[[#This Row],[SKU]]="","",IFERROR(N(INDEX(tblProductos[StockMax],MATCH(tblConsulta[[#This Row],[SKU]],tblProductos[SKU],0))),""))</f>
        <v/>
      </c>
      <c r="H20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0" s="49" t="str">
        <f>IF(tblConsulta[[#This Row],[SKU]]="","",IFERROR(INDEX(tblProductos[Proveedor],MATCH(tblConsulta[[#This Row],[SKU]],tblProductos[SKU],0))&amp;"",""))</f>
        <v/>
      </c>
      <c r="J20" s="42" t="str">
        <f>IF(tblConsulta[[#This Row],[SKU]]="","",IFERROR(INDEX(tblProductos[Ubicación],MATCH(tblConsulta[[#This Row],[SKU]],tblProductos[SKU],0))&amp;"",""))</f>
        <v/>
      </c>
      <c r="K20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0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0" s="56" t="str">
        <f ca="1">IF(tblConsulta[[#This Row],[SKU]]="","",-SUMIFS(tblSalidas[CantidadNeta],tblSalidas[SKU],tblConsulta[[#This Row],[SKU]],tblSalidas[Estado],"✔*",tblSalidas[Fecha],"&gt;="&amp;(TODAY()-29)))</f>
        <v/>
      </c>
      <c r="N20" s="75" t="str">
        <f ca="1">IF(OR(tblConsulta[[#This Row],[SKU]]="",N(tblConsulta[[#This Row],[Salidas30d]])&lt;=0),"",INT(MAX(0,tblConsulta[[#This Row],[Disponible]])/(tblConsulta[[#This Row],[Salidas30d]]/30)))</f>
        <v/>
      </c>
      <c r="O20" s="76" t="str">
        <f>IF(tblConsulta[[#This Row],[SKU]]="","",MAX(0,N(tblConsulta[[#This Row],[Disponible]]))*IFERROR(N(INDEX(tblProductos[CostoUnitario],MATCH(tblConsulta[[#This Row],[SKU]],tblProductos[SKU],0))),0))</f>
        <v/>
      </c>
      <c r="P20" s="49" t="str">
        <f>IFERROR(INDEX(tblUsuarios[Correo],MATCH(ROW()-ROW(tblConsulta[#Headers]),tblUsuarios[OrdenConsulta],0)),"")</f>
        <v/>
      </c>
      <c r="Q20" s="42" t="str">
        <f>IF(tblConsulta[[#This Row],[Producto]]="","",TRIM(LEFT(tblConsulta[[#This Row],[Producto]],FIND(" · ",tblConsulta[[#This Row],[Producto]]&amp;" · ")-1)))</f>
        <v/>
      </c>
      <c r="R20" s="56">
        <f>IF(tblConsulta[[#This Row],[SKU]]="",0,IFERROR(_xlfn.AGGREGATE(14,6,tblEntradas[Timestamp]/((tblEntradas[SKU]=tblConsulta[[#This Row],[SKU]])*(LEFT(tblEntradas[Estado],1)="✔")),1),0))</f>
        <v>0</v>
      </c>
      <c r="S20" s="56">
        <f>IF(tblConsulta[[#This Row],[SKU]]="",0,IFERROR(_xlfn.AGGREGATE(14,6,tblSalidas[Timestamp]/((tblSalidas[SKU]=tblConsulta[[#This Row],[SKU]])*(LEFT(tblSalidas[Estado],1)="✔")),1),0))</f>
        <v>0</v>
      </c>
    </row>
    <row r="21" spans="2:19" ht="18" customHeight="1" x14ac:dyDescent="0.25">
      <c r="B21" s="49" t="str">
        <f>IFERROR(INDEX(tblUsuarios[Nombre],MATCH(ROW()-ROW(tblConsulta[#Headers]),tblUsuarios[OrdenConsulta],0)),"")</f>
        <v/>
      </c>
      <c r="C21" s="50"/>
      <c r="D21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1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1" s="56" t="str">
        <f>IF(tblConsulta[[#This Row],[SKU]]="","",IFERROR(N(INDEX(tblProductos[StockMin],MATCH(tblConsulta[[#This Row],[SKU]],tblProductos[SKU],0))),""))</f>
        <v/>
      </c>
      <c r="G21" s="56" t="str">
        <f>IF(tblConsulta[[#This Row],[SKU]]="","",IFERROR(N(INDEX(tblProductos[StockMax],MATCH(tblConsulta[[#This Row],[SKU]],tblProductos[SKU],0))),""))</f>
        <v/>
      </c>
      <c r="H21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1" s="49" t="str">
        <f>IF(tblConsulta[[#This Row],[SKU]]="","",IFERROR(INDEX(tblProductos[Proveedor],MATCH(tblConsulta[[#This Row],[SKU]],tblProductos[SKU],0))&amp;"",""))</f>
        <v/>
      </c>
      <c r="J21" s="42" t="str">
        <f>IF(tblConsulta[[#This Row],[SKU]]="","",IFERROR(INDEX(tblProductos[Ubicación],MATCH(tblConsulta[[#This Row],[SKU]],tblProductos[SKU],0))&amp;"",""))</f>
        <v/>
      </c>
      <c r="K21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1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1" s="56" t="str">
        <f ca="1">IF(tblConsulta[[#This Row],[SKU]]="","",-SUMIFS(tblSalidas[CantidadNeta],tblSalidas[SKU],tblConsulta[[#This Row],[SKU]],tblSalidas[Estado],"✔*",tblSalidas[Fecha],"&gt;="&amp;(TODAY()-29)))</f>
        <v/>
      </c>
      <c r="N21" s="75" t="str">
        <f ca="1">IF(OR(tblConsulta[[#This Row],[SKU]]="",N(tblConsulta[[#This Row],[Salidas30d]])&lt;=0),"",INT(MAX(0,tblConsulta[[#This Row],[Disponible]])/(tblConsulta[[#This Row],[Salidas30d]]/30)))</f>
        <v/>
      </c>
      <c r="O21" s="76" t="str">
        <f>IF(tblConsulta[[#This Row],[SKU]]="","",MAX(0,N(tblConsulta[[#This Row],[Disponible]]))*IFERROR(N(INDEX(tblProductos[CostoUnitario],MATCH(tblConsulta[[#This Row],[SKU]],tblProductos[SKU],0))),0))</f>
        <v/>
      </c>
      <c r="P21" s="49" t="str">
        <f>IFERROR(INDEX(tblUsuarios[Correo],MATCH(ROW()-ROW(tblConsulta[#Headers]),tblUsuarios[OrdenConsulta],0)),"")</f>
        <v/>
      </c>
      <c r="Q21" s="42" t="str">
        <f>IF(tblConsulta[[#This Row],[Producto]]="","",TRIM(LEFT(tblConsulta[[#This Row],[Producto]],FIND(" · ",tblConsulta[[#This Row],[Producto]]&amp;" · ")-1)))</f>
        <v/>
      </c>
      <c r="R21" s="56">
        <f>IF(tblConsulta[[#This Row],[SKU]]="",0,IFERROR(_xlfn.AGGREGATE(14,6,tblEntradas[Timestamp]/((tblEntradas[SKU]=tblConsulta[[#This Row],[SKU]])*(LEFT(tblEntradas[Estado],1)="✔")),1),0))</f>
        <v>0</v>
      </c>
      <c r="S21" s="56">
        <f>IF(tblConsulta[[#This Row],[SKU]]="",0,IFERROR(_xlfn.AGGREGATE(14,6,tblSalidas[Timestamp]/((tblSalidas[SKU]=tblConsulta[[#This Row],[SKU]])*(LEFT(tblSalidas[Estado],1)="✔")),1),0))</f>
        <v>0</v>
      </c>
    </row>
    <row r="22" spans="2:19" ht="18" customHeight="1" x14ac:dyDescent="0.25">
      <c r="B22" s="49" t="str">
        <f>IFERROR(INDEX(tblUsuarios[Nombre],MATCH(ROW()-ROW(tblConsulta[#Headers]),tblUsuarios[OrdenConsulta],0)),"")</f>
        <v/>
      </c>
      <c r="C22" s="50"/>
      <c r="D22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2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2" s="56" t="str">
        <f>IF(tblConsulta[[#This Row],[SKU]]="","",IFERROR(N(INDEX(tblProductos[StockMin],MATCH(tblConsulta[[#This Row],[SKU]],tblProductos[SKU],0))),""))</f>
        <v/>
      </c>
      <c r="G22" s="56" t="str">
        <f>IF(tblConsulta[[#This Row],[SKU]]="","",IFERROR(N(INDEX(tblProductos[StockMax],MATCH(tblConsulta[[#This Row],[SKU]],tblProductos[SKU],0))),""))</f>
        <v/>
      </c>
      <c r="H22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2" s="49" t="str">
        <f>IF(tblConsulta[[#This Row],[SKU]]="","",IFERROR(INDEX(tblProductos[Proveedor],MATCH(tblConsulta[[#This Row],[SKU]],tblProductos[SKU],0))&amp;"",""))</f>
        <v/>
      </c>
      <c r="J22" s="42" t="str">
        <f>IF(tblConsulta[[#This Row],[SKU]]="","",IFERROR(INDEX(tblProductos[Ubicación],MATCH(tblConsulta[[#This Row],[SKU]],tblProductos[SKU],0))&amp;"",""))</f>
        <v/>
      </c>
      <c r="K22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2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2" s="56" t="str">
        <f ca="1">IF(tblConsulta[[#This Row],[SKU]]="","",-SUMIFS(tblSalidas[CantidadNeta],tblSalidas[SKU],tblConsulta[[#This Row],[SKU]],tblSalidas[Estado],"✔*",tblSalidas[Fecha],"&gt;="&amp;(TODAY()-29)))</f>
        <v/>
      </c>
      <c r="N22" s="75" t="str">
        <f ca="1">IF(OR(tblConsulta[[#This Row],[SKU]]="",N(tblConsulta[[#This Row],[Salidas30d]])&lt;=0),"",INT(MAX(0,tblConsulta[[#This Row],[Disponible]])/(tblConsulta[[#This Row],[Salidas30d]]/30)))</f>
        <v/>
      </c>
      <c r="O22" s="76" t="str">
        <f>IF(tblConsulta[[#This Row],[SKU]]="","",MAX(0,N(tblConsulta[[#This Row],[Disponible]]))*IFERROR(N(INDEX(tblProductos[CostoUnitario],MATCH(tblConsulta[[#This Row],[SKU]],tblProductos[SKU],0))),0))</f>
        <v/>
      </c>
      <c r="P22" s="49" t="str">
        <f>IFERROR(INDEX(tblUsuarios[Correo],MATCH(ROW()-ROW(tblConsulta[#Headers]),tblUsuarios[OrdenConsulta],0)),"")</f>
        <v/>
      </c>
      <c r="Q22" s="42" t="str">
        <f>IF(tblConsulta[[#This Row],[Producto]]="","",TRIM(LEFT(tblConsulta[[#This Row],[Producto]],FIND(" · ",tblConsulta[[#This Row],[Producto]]&amp;" · ")-1)))</f>
        <v/>
      </c>
      <c r="R22" s="56">
        <f>IF(tblConsulta[[#This Row],[SKU]]="",0,IFERROR(_xlfn.AGGREGATE(14,6,tblEntradas[Timestamp]/((tblEntradas[SKU]=tblConsulta[[#This Row],[SKU]])*(LEFT(tblEntradas[Estado],1)="✔")),1),0))</f>
        <v>0</v>
      </c>
      <c r="S22" s="56">
        <f>IF(tblConsulta[[#This Row],[SKU]]="",0,IFERROR(_xlfn.AGGREGATE(14,6,tblSalidas[Timestamp]/((tblSalidas[SKU]=tblConsulta[[#This Row],[SKU]])*(LEFT(tblSalidas[Estado],1)="✔")),1),0))</f>
        <v>0</v>
      </c>
    </row>
    <row r="23" spans="2:19" ht="18" customHeight="1" x14ac:dyDescent="0.25">
      <c r="B23" s="49" t="str">
        <f>IFERROR(INDEX(tblUsuarios[Nombre],MATCH(ROW()-ROW(tblConsulta[#Headers]),tblUsuarios[OrdenConsulta],0)),"")</f>
        <v/>
      </c>
      <c r="C23" s="50"/>
      <c r="D23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3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3" s="56" t="str">
        <f>IF(tblConsulta[[#This Row],[SKU]]="","",IFERROR(N(INDEX(tblProductos[StockMin],MATCH(tblConsulta[[#This Row],[SKU]],tblProductos[SKU],0))),""))</f>
        <v/>
      </c>
      <c r="G23" s="56" t="str">
        <f>IF(tblConsulta[[#This Row],[SKU]]="","",IFERROR(N(INDEX(tblProductos[StockMax],MATCH(tblConsulta[[#This Row],[SKU]],tblProductos[SKU],0))),""))</f>
        <v/>
      </c>
      <c r="H23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3" s="49" t="str">
        <f>IF(tblConsulta[[#This Row],[SKU]]="","",IFERROR(INDEX(tblProductos[Proveedor],MATCH(tblConsulta[[#This Row],[SKU]],tblProductos[SKU],0))&amp;"",""))</f>
        <v/>
      </c>
      <c r="J23" s="42" t="str">
        <f>IF(tblConsulta[[#This Row],[SKU]]="","",IFERROR(INDEX(tblProductos[Ubicación],MATCH(tblConsulta[[#This Row],[SKU]],tblProductos[SKU],0))&amp;"",""))</f>
        <v/>
      </c>
      <c r="K23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3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3" s="56" t="str">
        <f ca="1">IF(tblConsulta[[#This Row],[SKU]]="","",-SUMIFS(tblSalidas[CantidadNeta],tblSalidas[SKU],tblConsulta[[#This Row],[SKU]],tblSalidas[Estado],"✔*",tblSalidas[Fecha],"&gt;="&amp;(TODAY()-29)))</f>
        <v/>
      </c>
      <c r="N23" s="75" t="str">
        <f ca="1">IF(OR(tblConsulta[[#This Row],[SKU]]="",N(tblConsulta[[#This Row],[Salidas30d]])&lt;=0),"",INT(MAX(0,tblConsulta[[#This Row],[Disponible]])/(tblConsulta[[#This Row],[Salidas30d]]/30)))</f>
        <v/>
      </c>
      <c r="O23" s="76" t="str">
        <f>IF(tblConsulta[[#This Row],[SKU]]="","",MAX(0,N(tblConsulta[[#This Row],[Disponible]]))*IFERROR(N(INDEX(tblProductos[CostoUnitario],MATCH(tblConsulta[[#This Row],[SKU]],tblProductos[SKU],0))),0))</f>
        <v/>
      </c>
      <c r="P23" s="49" t="str">
        <f>IFERROR(INDEX(tblUsuarios[Correo],MATCH(ROW()-ROW(tblConsulta[#Headers]),tblUsuarios[OrdenConsulta],0)),"")</f>
        <v/>
      </c>
      <c r="Q23" s="42" t="str">
        <f>IF(tblConsulta[[#This Row],[Producto]]="","",TRIM(LEFT(tblConsulta[[#This Row],[Producto]],FIND(" · ",tblConsulta[[#This Row],[Producto]]&amp;" · ")-1)))</f>
        <v/>
      </c>
      <c r="R23" s="56">
        <f>IF(tblConsulta[[#This Row],[SKU]]="",0,IFERROR(_xlfn.AGGREGATE(14,6,tblEntradas[Timestamp]/((tblEntradas[SKU]=tblConsulta[[#This Row],[SKU]])*(LEFT(tblEntradas[Estado],1)="✔")),1),0))</f>
        <v>0</v>
      </c>
      <c r="S23" s="56">
        <f>IF(tblConsulta[[#This Row],[SKU]]="",0,IFERROR(_xlfn.AGGREGATE(14,6,tblSalidas[Timestamp]/((tblSalidas[SKU]=tblConsulta[[#This Row],[SKU]])*(LEFT(tblSalidas[Estado],1)="✔")),1),0))</f>
        <v>0</v>
      </c>
    </row>
    <row r="24" spans="2:19" ht="18" customHeight="1" x14ac:dyDescent="0.25">
      <c r="B24" s="49" t="str">
        <f>IFERROR(INDEX(tblUsuarios[Nombre],MATCH(ROW()-ROW(tblConsulta[#Headers]),tblUsuarios[OrdenConsulta],0)),"")</f>
        <v/>
      </c>
      <c r="C24" s="50"/>
      <c r="D24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4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4" s="56" t="str">
        <f>IF(tblConsulta[[#This Row],[SKU]]="","",IFERROR(N(INDEX(tblProductos[StockMin],MATCH(tblConsulta[[#This Row],[SKU]],tblProductos[SKU],0))),""))</f>
        <v/>
      </c>
      <c r="G24" s="56" t="str">
        <f>IF(tblConsulta[[#This Row],[SKU]]="","",IFERROR(N(INDEX(tblProductos[StockMax],MATCH(tblConsulta[[#This Row],[SKU]],tblProductos[SKU],0))),""))</f>
        <v/>
      </c>
      <c r="H24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4" s="49" t="str">
        <f>IF(tblConsulta[[#This Row],[SKU]]="","",IFERROR(INDEX(tblProductos[Proveedor],MATCH(tblConsulta[[#This Row],[SKU]],tblProductos[SKU],0))&amp;"",""))</f>
        <v/>
      </c>
      <c r="J24" s="42" t="str">
        <f>IF(tblConsulta[[#This Row],[SKU]]="","",IFERROR(INDEX(tblProductos[Ubicación],MATCH(tblConsulta[[#This Row],[SKU]],tblProductos[SKU],0))&amp;"",""))</f>
        <v/>
      </c>
      <c r="K24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4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4" s="56" t="str">
        <f ca="1">IF(tblConsulta[[#This Row],[SKU]]="","",-SUMIFS(tblSalidas[CantidadNeta],tblSalidas[SKU],tblConsulta[[#This Row],[SKU]],tblSalidas[Estado],"✔*",tblSalidas[Fecha],"&gt;="&amp;(TODAY()-29)))</f>
        <v/>
      </c>
      <c r="N24" s="75" t="str">
        <f ca="1">IF(OR(tblConsulta[[#This Row],[SKU]]="",N(tblConsulta[[#This Row],[Salidas30d]])&lt;=0),"",INT(MAX(0,tblConsulta[[#This Row],[Disponible]])/(tblConsulta[[#This Row],[Salidas30d]]/30)))</f>
        <v/>
      </c>
      <c r="O24" s="76" t="str">
        <f>IF(tblConsulta[[#This Row],[SKU]]="","",MAX(0,N(tblConsulta[[#This Row],[Disponible]]))*IFERROR(N(INDEX(tblProductos[CostoUnitario],MATCH(tblConsulta[[#This Row],[SKU]],tblProductos[SKU],0))),0))</f>
        <v/>
      </c>
      <c r="P24" s="49" t="str">
        <f>IFERROR(INDEX(tblUsuarios[Correo],MATCH(ROW()-ROW(tblConsulta[#Headers]),tblUsuarios[OrdenConsulta],0)),"")</f>
        <v/>
      </c>
      <c r="Q24" s="42" t="str">
        <f>IF(tblConsulta[[#This Row],[Producto]]="","",TRIM(LEFT(tblConsulta[[#This Row],[Producto]],FIND(" · ",tblConsulta[[#This Row],[Producto]]&amp;" · ")-1)))</f>
        <v/>
      </c>
      <c r="R24" s="56">
        <f>IF(tblConsulta[[#This Row],[SKU]]="",0,IFERROR(_xlfn.AGGREGATE(14,6,tblEntradas[Timestamp]/((tblEntradas[SKU]=tblConsulta[[#This Row],[SKU]])*(LEFT(tblEntradas[Estado],1)="✔")),1),0))</f>
        <v>0</v>
      </c>
      <c r="S24" s="56">
        <f>IF(tblConsulta[[#This Row],[SKU]]="",0,IFERROR(_xlfn.AGGREGATE(14,6,tblSalidas[Timestamp]/((tblSalidas[SKU]=tblConsulta[[#This Row],[SKU]])*(LEFT(tblSalidas[Estado],1)="✔")),1),0))</f>
        <v>0</v>
      </c>
    </row>
    <row r="25" spans="2:19" ht="18" customHeight="1" x14ac:dyDescent="0.25">
      <c r="B25" s="49" t="str">
        <f>IFERROR(INDEX(tblUsuarios[Nombre],MATCH(ROW()-ROW(tblConsulta[#Headers]),tblUsuarios[OrdenConsulta],0)),"")</f>
        <v/>
      </c>
      <c r="C25" s="50"/>
      <c r="D25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5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5" s="56" t="str">
        <f>IF(tblConsulta[[#This Row],[SKU]]="","",IFERROR(N(INDEX(tblProductos[StockMin],MATCH(tblConsulta[[#This Row],[SKU]],tblProductos[SKU],0))),""))</f>
        <v/>
      </c>
      <c r="G25" s="56" t="str">
        <f>IF(tblConsulta[[#This Row],[SKU]]="","",IFERROR(N(INDEX(tblProductos[StockMax],MATCH(tblConsulta[[#This Row],[SKU]],tblProductos[SKU],0))),""))</f>
        <v/>
      </c>
      <c r="H25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5" s="49" t="str">
        <f>IF(tblConsulta[[#This Row],[SKU]]="","",IFERROR(INDEX(tblProductos[Proveedor],MATCH(tblConsulta[[#This Row],[SKU]],tblProductos[SKU],0))&amp;"",""))</f>
        <v/>
      </c>
      <c r="J25" s="42" t="str">
        <f>IF(tblConsulta[[#This Row],[SKU]]="","",IFERROR(INDEX(tblProductos[Ubicación],MATCH(tblConsulta[[#This Row],[SKU]],tblProductos[SKU],0))&amp;"",""))</f>
        <v/>
      </c>
      <c r="K25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5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5" s="56" t="str">
        <f ca="1">IF(tblConsulta[[#This Row],[SKU]]="","",-SUMIFS(tblSalidas[CantidadNeta],tblSalidas[SKU],tblConsulta[[#This Row],[SKU]],tblSalidas[Estado],"✔*",tblSalidas[Fecha],"&gt;="&amp;(TODAY()-29)))</f>
        <v/>
      </c>
      <c r="N25" s="75" t="str">
        <f ca="1">IF(OR(tblConsulta[[#This Row],[SKU]]="",N(tblConsulta[[#This Row],[Salidas30d]])&lt;=0),"",INT(MAX(0,tblConsulta[[#This Row],[Disponible]])/(tblConsulta[[#This Row],[Salidas30d]]/30)))</f>
        <v/>
      </c>
      <c r="O25" s="76" t="str">
        <f>IF(tblConsulta[[#This Row],[SKU]]="","",MAX(0,N(tblConsulta[[#This Row],[Disponible]]))*IFERROR(N(INDEX(tblProductos[CostoUnitario],MATCH(tblConsulta[[#This Row],[SKU]],tblProductos[SKU],0))),0))</f>
        <v/>
      </c>
      <c r="P25" s="49" t="str">
        <f>IFERROR(INDEX(tblUsuarios[Correo],MATCH(ROW()-ROW(tblConsulta[#Headers]),tblUsuarios[OrdenConsulta],0)),"")</f>
        <v/>
      </c>
      <c r="Q25" s="42" t="str">
        <f>IF(tblConsulta[[#This Row],[Producto]]="","",TRIM(LEFT(tblConsulta[[#This Row],[Producto]],FIND(" · ",tblConsulta[[#This Row],[Producto]]&amp;" · ")-1)))</f>
        <v/>
      </c>
      <c r="R25" s="56">
        <f>IF(tblConsulta[[#This Row],[SKU]]="",0,IFERROR(_xlfn.AGGREGATE(14,6,tblEntradas[Timestamp]/((tblEntradas[SKU]=tblConsulta[[#This Row],[SKU]])*(LEFT(tblEntradas[Estado],1)="✔")),1),0))</f>
        <v>0</v>
      </c>
      <c r="S25" s="56">
        <f>IF(tblConsulta[[#This Row],[SKU]]="",0,IFERROR(_xlfn.AGGREGATE(14,6,tblSalidas[Timestamp]/((tblSalidas[SKU]=tblConsulta[[#This Row],[SKU]])*(LEFT(tblSalidas[Estado],1)="✔")),1),0))</f>
        <v>0</v>
      </c>
    </row>
    <row r="26" spans="2:19" ht="18" customHeight="1" x14ac:dyDescent="0.25">
      <c r="B26" s="49" t="str">
        <f>IFERROR(INDEX(tblUsuarios[Nombre],MATCH(ROW()-ROW(tblConsulta[#Headers]),tblUsuarios[OrdenConsulta],0)),"")</f>
        <v/>
      </c>
      <c r="C26" s="50"/>
      <c r="D26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6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6" s="56" t="str">
        <f>IF(tblConsulta[[#This Row],[SKU]]="","",IFERROR(N(INDEX(tblProductos[StockMin],MATCH(tblConsulta[[#This Row],[SKU]],tblProductos[SKU],0))),""))</f>
        <v/>
      </c>
      <c r="G26" s="56" t="str">
        <f>IF(tblConsulta[[#This Row],[SKU]]="","",IFERROR(N(INDEX(tblProductos[StockMax],MATCH(tblConsulta[[#This Row],[SKU]],tblProductos[SKU],0))),""))</f>
        <v/>
      </c>
      <c r="H26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6" s="49" t="str">
        <f>IF(tblConsulta[[#This Row],[SKU]]="","",IFERROR(INDEX(tblProductos[Proveedor],MATCH(tblConsulta[[#This Row],[SKU]],tblProductos[SKU],0))&amp;"",""))</f>
        <v/>
      </c>
      <c r="J26" s="42" t="str">
        <f>IF(tblConsulta[[#This Row],[SKU]]="","",IFERROR(INDEX(tblProductos[Ubicación],MATCH(tblConsulta[[#This Row],[SKU]],tblProductos[SKU],0))&amp;"",""))</f>
        <v/>
      </c>
      <c r="K26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6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6" s="56" t="str">
        <f ca="1">IF(tblConsulta[[#This Row],[SKU]]="","",-SUMIFS(tblSalidas[CantidadNeta],tblSalidas[SKU],tblConsulta[[#This Row],[SKU]],tblSalidas[Estado],"✔*",tblSalidas[Fecha],"&gt;="&amp;(TODAY()-29)))</f>
        <v/>
      </c>
      <c r="N26" s="75" t="str">
        <f ca="1">IF(OR(tblConsulta[[#This Row],[SKU]]="",N(tblConsulta[[#This Row],[Salidas30d]])&lt;=0),"",INT(MAX(0,tblConsulta[[#This Row],[Disponible]])/(tblConsulta[[#This Row],[Salidas30d]]/30)))</f>
        <v/>
      </c>
      <c r="O26" s="76" t="str">
        <f>IF(tblConsulta[[#This Row],[SKU]]="","",MAX(0,N(tblConsulta[[#This Row],[Disponible]]))*IFERROR(N(INDEX(tblProductos[CostoUnitario],MATCH(tblConsulta[[#This Row],[SKU]],tblProductos[SKU],0))),0))</f>
        <v/>
      </c>
      <c r="P26" s="49" t="str">
        <f>IFERROR(INDEX(tblUsuarios[Correo],MATCH(ROW()-ROW(tblConsulta[#Headers]),tblUsuarios[OrdenConsulta],0)),"")</f>
        <v/>
      </c>
      <c r="Q26" s="42" t="str">
        <f>IF(tblConsulta[[#This Row],[Producto]]="","",TRIM(LEFT(tblConsulta[[#This Row],[Producto]],FIND(" · ",tblConsulta[[#This Row],[Producto]]&amp;" · ")-1)))</f>
        <v/>
      </c>
      <c r="R26" s="56">
        <f>IF(tblConsulta[[#This Row],[SKU]]="",0,IFERROR(_xlfn.AGGREGATE(14,6,tblEntradas[Timestamp]/((tblEntradas[SKU]=tblConsulta[[#This Row],[SKU]])*(LEFT(tblEntradas[Estado],1)="✔")),1),0))</f>
        <v>0</v>
      </c>
      <c r="S26" s="56">
        <f>IF(tblConsulta[[#This Row],[SKU]]="",0,IFERROR(_xlfn.AGGREGATE(14,6,tblSalidas[Timestamp]/((tblSalidas[SKU]=tblConsulta[[#This Row],[SKU]])*(LEFT(tblSalidas[Estado],1)="✔")),1),0))</f>
        <v>0</v>
      </c>
    </row>
    <row r="27" spans="2:19" ht="18" customHeight="1" x14ac:dyDescent="0.25">
      <c r="B27" s="49" t="str">
        <f>IFERROR(INDEX(tblUsuarios[Nombre],MATCH(ROW()-ROW(tblConsulta[#Headers]),tblUsuarios[OrdenConsulta],0)),"")</f>
        <v/>
      </c>
      <c r="C27" s="50"/>
      <c r="D27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7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7" s="56" t="str">
        <f>IF(tblConsulta[[#This Row],[SKU]]="","",IFERROR(N(INDEX(tblProductos[StockMin],MATCH(tblConsulta[[#This Row],[SKU]],tblProductos[SKU],0))),""))</f>
        <v/>
      </c>
      <c r="G27" s="56" t="str">
        <f>IF(tblConsulta[[#This Row],[SKU]]="","",IFERROR(N(INDEX(tblProductos[StockMax],MATCH(tblConsulta[[#This Row],[SKU]],tblProductos[SKU],0))),""))</f>
        <v/>
      </c>
      <c r="H27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7" s="49" t="str">
        <f>IF(tblConsulta[[#This Row],[SKU]]="","",IFERROR(INDEX(tblProductos[Proveedor],MATCH(tblConsulta[[#This Row],[SKU]],tblProductos[SKU],0))&amp;"",""))</f>
        <v/>
      </c>
      <c r="J27" s="42" t="str">
        <f>IF(tblConsulta[[#This Row],[SKU]]="","",IFERROR(INDEX(tblProductos[Ubicación],MATCH(tblConsulta[[#This Row],[SKU]],tblProductos[SKU],0))&amp;"",""))</f>
        <v/>
      </c>
      <c r="K27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7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7" s="56" t="str">
        <f ca="1">IF(tblConsulta[[#This Row],[SKU]]="","",-SUMIFS(tblSalidas[CantidadNeta],tblSalidas[SKU],tblConsulta[[#This Row],[SKU]],tblSalidas[Estado],"✔*",tblSalidas[Fecha],"&gt;="&amp;(TODAY()-29)))</f>
        <v/>
      </c>
      <c r="N27" s="75" t="str">
        <f ca="1">IF(OR(tblConsulta[[#This Row],[SKU]]="",N(tblConsulta[[#This Row],[Salidas30d]])&lt;=0),"",INT(MAX(0,tblConsulta[[#This Row],[Disponible]])/(tblConsulta[[#This Row],[Salidas30d]]/30)))</f>
        <v/>
      </c>
      <c r="O27" s="76" t="str">
        <f>IF(tblConsulta[[#This Row],[SKU]]="","",MAX(0,N(tblConsulta[[#This Row],[Disponible]]))*IFERROR(N(INDEX(tblProductos[CostoUnitario],MATCH(tblConsulta[[#This Row],[SKU]],tblProductos[SKU],0))),0))</f>
        <v/>
      </c>
      <c r="P27" s="49" t="str">
        <f>IFERROR(INDEX(tblUsuarios[Correo],MATCH(ROW()-ROW(tblConsulta[#Headers]),tblUsuarios[OrdenConsulta],0)),"")</f>
        <v/>
      </c>
      <c r="Q27" s="42" t="str">
        <f>IF(tblConsulta[[#This Row],[Producto]]="","",TRIM(LEFT(tblConsulta[[#This Row],[Producto]],FIND(" · ",tblConsulta[[#This Row],[Producto]]&amp;" · ")-1)))</f>
        <v/>
      </c>
      <c r="R27" s="56">
        <f>IF(tblConsulta[[#This Row],[SKU]]="",0,IFERROR(_xlfn.AGGREGATE(14,6,tblEntradas[Timestamp]/((tblEntradas[SKU]=tblConsulta[[#This Row],[SKU]])*(LEFT(tblEntradas[Estado],1)="✔")),1),0))</f>
        <v>0</v>
      </c>
      <c r="S27" s="56">
        <f>IF(tblConsulta[[#This Row],[SKU]]="",0,IFERROR(_xlfn.AGGREGATE(14,6,tblSalidas[Timestamp]/((tblSalidas[SKU]=tblConsulta[[#This Row],[SKU]])*(LEFT(tblSalidas[Estado],1)="✔")),1),0))</f>
        <v>0</v>
      </c>
    </row>
    <row r="28" spans="2:19" ht="18" customHeight="1" x14ac:dyDescent="0.25">
      <c r="B28" s="49" t="str">
        <f>IFERROR(INDEX(tblUsuarios[Nombre],MATCH(ROW()-ROW(tblConsulta[#Headers]),tblUsuarios[OrdenConsulta],0)),"")</f>
        <v/>
      </c>
      <c r="C28" s="50"/>
      <c r="D28" s="53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8" s="43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8" s="56" t="str">
        <f>IF(tblConsulta[[#This Row],[SKU]]="","",IFERROR(N(INDEX(tblProductos[StockMin],MATCH(tblConsulta[[#This Row],[SKU]],tblProductos[SKU],0))),""))</f>
        <v/>
      </c>
      <c r="G28" s="56" t="str">
        <f>IF(tblConsulta[[#This Row],[SKU]]="","",IFERROR(N(INDEX(tblProductos[StockMax],MATCH(tblConsulta[[#This Row],[SKU]],tblProductos[SKU],0))),""))</f>
        <v/>
      </c>
      <c r="H28" s="56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8" s="49" t="str">
        <f>IF(tblConsulta[[#This Row],[SKU]]="","",IFERROR(INDEX(tblProductos[Proveedor],MATCH(tblConsulta[[#This Row],[SKU]],tblProductos[SKU],0))&amp;"",""))</f>
        <v/>
      </c>
      <c r="J28" s="42" t="str">
        <f>IF(tblConsulta[[#This Row],[SKU]]="","",IFERROR(INDEX(tblProductos[Ubicación],MATCH(tblConsulta[[#This Row],[SKU]],tblProductos[SKU],0))&amp;"",""))</f>
        <v/>
      </c>
      <c r="K28" s="49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8" s="56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8" s="56" t="str">
        <f ca="1">IF(tblConsulta[[#This Row],[SKU]]="","",-SUMIFS(tblSalidas[CantidadNeta],tblSalidas[SKU],tblConsulta[[#This Row],[SKU]],tblSalidas[Estado],"✔*",tblSalidas[Fecha],"&gt;="&amp;(TODAY()-29)))</f>
        <v/>
      </c>
      <c r="N28" s="75" t="str">
        <f ca="1">IF(OR(tblConsulta[[#This Row],[SKU]]="",N(tblConsulta[[#This Row],[Salidas30d]])&lt;=0),"",INT(MAX(0,tblConsulta[[#This Row],[Disponible]])/(tblConsulta[[#This Row],[Salidas30d]]/30)))</f>
        <v/>
      </c>
      <c r="O28" s="76" t="str">
        <f>IF(tblConsulta[[#This Row],[SKU]]="","",MAX(0,N(tblConsulta[[#This Row],[Disponible]]))*IFERROR(N(INDEX(tblProductos[CostoUnitario],MATCH(tblConsulta[[#This Row],[SKU]],tblProductos[SKU],0))),0))</f>
        <v/>
      </c>
      <c r="P28" s="49" t="str">
        <f>IFERROR(INDEX(tblUsuarios[Correo],MATCH(ROW()-ROW(tblConsulta[#Headers]),tblUsuarios[OrdenConsulta],0)),"")</f>
        <v/>
      </c>
      <c r="Q28" s="42" t="str">
        <f>IF(tblConsulta[[#This Row],[Producto]]="","",TRIM(LEFT(tblConsulta[[#This Row],[Producto]],FIND(" · ",tblConsulta[[#This Row],[Producto]]&amp;" · ")-1)))</f>
        <v/>
      </c>
      <c r="R28" s="56">
        <f>IF(tblConsulta[[#This Row],[SKU]]="",0,IFERROR(_xlfn.AGGREGATE(14,6,tblEntradas[Timestamp]/((tblEntradas[SKU]=tblConsulta[[#This Row],[SKU]])*(LEFT(tblEntradas[Estado],1)="✔")),1),0))</f>
        <v>0</v>
      </c>
      <c r="S28" s="56">
        <f>IF(tblConsulta[[#This Row],[SKU]]="",0,IFERROR(_xlfn.AGGREGATE(14,6,tblSalidas[Timestamp]/((tblSalidas[SKU]=tblConsulta[[#This Row],[SKU]])*(LEFT(tblSalidas[Estado],1)="✔")),1),0))</f>
        <v>0</v>
      </c>
    </row>
    <row r="30" spans="2:19" s="7" customFormat="1" ht="10.5" customHeight="1" x14ac:dyDescent="0.25"/>
    <row r="31" spans="2:19" s="7" customFormat="1" ht="16.5" customHeight="1" x14ac:dyDescent="0.25">
      <c r="B31" s="7" t="s">
        <v>2365</v>
      </c>
    </row>
    <row r="32" spans="2:19" ht="16.5" customHeight="1" x14ac:dyDescent="0.25">
      <c r="B32" s="130" t="s">
        <v>2366</v>
      </c>
      <c r="C32" s="130"/>
      <c r="D32" s="130"/>
      <c r="E32" s="130"/>
      <c r="F32" s="130"/>
      <c r="G32" s="130"/>
    </row>
    <row r="33" spans="2:7" ht="16.5" customHeight="1" x14ac:dyDescent="0.25">
      <c r="B33" s="130" t="s">
        <v>2367</v>
      </c>
      <c r="C33" s="130"/>
      <c r="D33" s="130"/>
      <c r="E33" s="130"/>
      <c r="F33" s="130"/>
      <c r="G33" s="130"/>
    </row>
    <row r="34" spans="2:7" ht="16.5" customHeight="1" x14ac:dyDescent="0.25">
      <c r="B34" s="130" t="s">
        <v>2368</v>
      </c>
      <c r="C34" s="130"/>
      <c r="D34" s="130"/>
      <c r="E34" s="130"/>
      <c r="F34" s="130"/>
      <c r="G34" s="130"/>
    </row>
    <row r="35" spans="2:7" ht="16.5" customHeight="1" x14ac:dyDescent="0.25">
      <c r="B35" s="130" t="s">
        <v>2369</v>
      </c>
      <c r="C35" s="130"/>
      <c r="D35" s="130"/>
      <c r="E35" s="130"/>
      <c r="F35" s="130"/>
      <c r="G35" s="130"/>
    </row>
  </sheetData>
  <sheetProtection password="930D" sheet="1" objects="1" scenarios="1" formatColumns="0" autoFilter="0"/>
  <protectedRanges>
    <protectedRange sqref="C9:C28" name="Consulta"/>
  </protectedRanges>
  <mergeCells count="5">
    <mergeCell ref="C6:G6"/>
    <mergeCell ref="B32:G32"/>
    <mergeCell ref="B33:G33"/>
    <mergeCell ref="B34:G34"/>
    <mergeCell ref="B35:G35"/>
  </mergeCells>
  <conditionalFormatting sqref="B9:B28">
    <cfRule type="expression" dxfId="43" priority="11">
      <formula>$P9=""</formula>
    </cfRule>
    <cfRule type="expression" dxfId="42" priority="12">
      <formula>$P9&lt;&gt;""</formula>
    </cfRule>
  </conditionalFormatting>
  <conditionalFormatting sqref="B9:O28">
    <cfRule type="expression" dxfId="41" priority="10">
      <formula>$P9=""</formula>
    </cfRule>
  </conditionalFormatting>
  <conditionalFormatting sqref="D9:D28">
    <cfRule type="expression" dxfId="40" priority="13">
      <formula>AND(ISNUMBER(D9),D9&lt;&gt;INT(D9))</formula>
    </cfRule>
  </conditionalFormatting>
  <conditionalFormatting sqref="E9:E28">
    <cfRule type="expression" dxfId="39" priority="1">
      <formula>$E9="INCONSISTENTE"</formula>
    </cfRule>
    <cfRule type="expression" dxfId="38" priority="2">
      <formula>$E9="AGOTADO"</formula>
    </cfRule>
    <cfRule type="expression" dxfId="37" priority="3">
      <formula>$E9="CRÍTICO"</formula>
    </cfRule>
    <cfRule type="expression" dxfId="36" priority="4">
      <formula>$E9="BAJO"</formula>
    </cfRule>
    <cfRule type="expression" dxfId="35" priority="5">
      <formula>$E9="ÓPTIMO"</formula>
    </cfRule>
    <cfRule type="expression" dxfId="34" priority="6">
      <formula>$E9="SOBRESTOCK"</formula>
    </cfRule>
    <cfRule type="expression" dxfId="33" priority="7">
      <formula>$E9="INACTIVO"</formula>
    </cfRule>
  </conditionalFormatting>
  <conditionalFormatting sqref="F9:F28">
    <cfRule type="expression" dxfId="32" priority="14">
      <formula>AND(ISNUMBER(F9),F9&lt;&gt;INT(F9))</formula>
    </cfRule>
  </conditionalFormatting>
  <conditionalFormatting sqref="G9:G28">
    <cfRule type="expression" dxfId="31" priority="15">
      <formula>AND(ISNUMBER(G9),G9&lt;&gt;INT(G9))</formula>
    </cfRule>
  </conditionalFormatting>
  <conditionalFormatting sqref="H9:H28">
    <cfRule type="expression" dxfId="30" priority="16">
      <formula>AND(ISNUMBER(H9),H9&lt;&gt;INT(H9))</formula>
    </cfRule>
  </conditionalFormatting>
  <conditionalFormatting sqref="L9:L28">
    <cfRule type="expression" dxfId="29" priority="17">
      <formula>AND(ISNUMBER(L9),L9&lt;&gt;INT(L9))</formula>
    </cfRule>
  </conditionalFormatting>
  <conditionalFormatting sqref="M9:M28">
    <cfRule type="expression" dxfId="28" priority="18">
      <formula>AND(ISNUMBER(M9),M9&lt;&gt;INT(M9))</formula>
    </cfRule>
  </conditionalFormatting>
  <conditionalFormatting sqref="N9:N28">
    <cfRule type="expression" dxfId="27" priority="8" stopIfTrue="1">
      <formula>AND(ISNUMBER($N9),$N9&lt;3)</formula>
    </cfRule>
    <cfRule type="expression" dxfId="26" priority="9" stopIfTrue="1">
      <formula>AND(ISNUMBER($N9),$N9&lt;7)</formula>
    </cfRule>
  </conditionalFormatting>
  <dataValidations count="19">
    <dataValidation allowBlank="1" showInputMessage="1" showErrorMessage="1" promptTitle="ƒx Usuario" prompt="Persona dueña de esta fila (según 02_USUARIOS). Use solo SU fila." sqref="B8" xr:uid="{00000000-0002-0000-0F00-000000000000}"/>
    <dataValidation allowBlank="1" showInputMessage="1" showErrorMessage="1" promptTitle="✎ Producto" prompt="Elija un producto de la lista (escriba parte del nombre o del SKU para filtrarla). La ficha se calcula al instante." sqref="C8" xr:uid="{00000000-0002-0000-0F00-000001000000}"/>
    <dataValidation allowBlank="1" showInputMessage="1" showErrorMessage="1" promptTitle="ƒx Disponible" prompt="Stock exacto ahora: suma de las dos bitácoras oficiales." sqref="D8" xr:uid="{00000000-0002-0000-0F00-000002000000}"/>
    <dataValidation allowBlank="1" showInputMessage="1" showErrorMessage="1" promptTitle="ƒx Estado" prompt="Semáforo con el disponible exacto (mismas reglas de 15_STOCK)." sqref="E8" xr:uid="{00000000-0002-0000-0F00-000003000000}"/>
    <dataValidation allowBlank="1" showInputMessage="1" showErrorMessage="1" promptTitle="ƒx Mínimo" prompt="Stock mínimo del catálogo." sqref="F8" xr:uid="{00000000-0002-0000-0F00-000004000000}"/>
    <dataValidation allowBlank="1" showInputMessage="1" showErrorMessage="1" promptTitle="ƒx Máximo" prompt="Stock máximo del catálogo (0 = sin máximo)." sqref="G8" xr:uid="{00000000-0002-0000-0F00-000005000000}"/>
    <dataValidation allowBlank="1" showInputMessage="1" showErrorMessage="1" promptTitle="ƒx Sugerido" prompt="Cantidad a pedir para volver al máximo (o a 2 × mínimo) si está agotado, crítico o bajo; 0 si no requiere reposición (misma regla de 18_PEDIDO)." sqref="H8" xr:uid="{00000000-0002-0000-0F00-000006000000}"/>
    <dataValidation allowBlank="1" showInputMessage="1" showErrorMessage="1" promptTitle="ƒx Proveedor" prompt="Proveedor habitual del producto." sqref="I8" xr:uid="{00000000-0002-0000-0F00-000007000000}"/>
    <dataValidation allowBlank="1" showInputMessage="1" showErrorMessage="1" promptTitle="ƒx Ubicación" prompt="Ubicación en bodega." sqref="J8" xr:uid="{00000000-0002-0000-0F00-000008000000}"/>
    <dataValidation allowBlank="1" showInputMessage="1" showErrorMessage="1" promptTitle="ƒx UltimoMovimiento" prompt="Fecha, tipo, cantidad y quién hizo el último movimiento consolidado." sqref="K8" xr:uid="{00000000-0002-0000-0F00-000009000000}"/>
    <dataValidation allowBlank="1" showInputMessage="1" showErrorMessage="1" promptTitle="ƒx Entradas30d" prompt="Unidades que entraron en los últimos 30 días." sqref="L8" xr:uid="{00000000-0002-0000-0F00-00000A000000}"/>
    <dataValidation allowBlank="1" showInputMessage="1" showErrorMessage="1" promptTitle="ƒx Salidas30d" prompt="Unidades vendidas o despachadas en los últimos 30 días." sqref="M8" xr:uid="{00000000-0002-0000-0F00-00000B000000}"/>
    <dataValidation allowBlank="1" showInputMessage="1" showErrorMessage="1" promptTitle="ƒx CoberturaDias" prompt="Días que alcanza el stock al ritmo de salidas de los últimos 30 días." sqref="N8" xr:uid="{00000000-0002-0000-0F00-00000C000000}"/>
    <dataValidation allowBlank="1" showInputMessage="1" showErrorMessage="1" promptTitle="ƒx Valor" prompt="Disponible × costo unitario del catálogo." sqref="O8" xr:uid="{00000000-0002-0000-0F00-00000D000000}"/>
    <dataValidation allowBlank="1" showInputMessage="1" showErrorMessage="1" promptTitle="ƒx Correo" prompt="Técnica (oculta): correo del dueño de la fila." sqref="P8" xr:uid="{00000000-0002-0000-0F00-00000E000000}"/>
    <dataValidation allowBlank="1" showInputMessage="1" showErrorMessage="1" promptTitle="ƒx SKU" prompt="Técnica (oculta): código del producto." sqref="Q8" xr:uid="{00000000-0002-0000-0F00-00000F000000}"/>
    <dataValidation allowBlank="1" showInputMessage="1" showErrorMessage="1" promptTitle="ƒx TsE" prompt="Técnica (oculta): último registro en 10A." sqref="R8" xr:uid="{00000000-0002-0000-0F00-000010000000}"/>
    <dataValidation allowBlank="1" showInputMessage="1" showErrorMessage="1" promptTitle="ƒx TsS" prompt="Técnica (oculta): último registro en 10B." sqref="S8" xr:uid="{00000000-0002-0000-0F00-000011000000}"/>
    <dataValidation type="list" allowBlank="1" showInputMessage="1" showErrorMessage="1" errorTitle="Producto no válido" error="Elija un producto de la lista del catálogo." promptTitle="Producto a consultar" prompt="Elija de la lista. Escriba parte del nombre o del SKU para filtrarla." sqref="C9:C28" xr:uid="{00000000-0002-0000-0F00-000012000000}">
      <formula1>lstProductos</formula1>
    </dataValidation>
  </dataValidations>
  <hyperlinks>
    <hyperlink ref="B5" location="'00_PORTADA_BODEGA'!A1" tooltip="Portada de Bodega" display="⌂ Bodega" xr:uid="{00000000-0004-0000-0F00-000000000000}"/>
    <hyperlink ref="C5" location="'00_PORTADA_VENTAS'!A1" tooltip="Portada de Ventas" display="⌂ Ventas" xr:uid="{00000000-0004-0000-0F00-000001000000}"/>
    <hyperlink ref="D5" location="'00_PORTADA_GERENCIA'!A1" tooltip="Portada de Gerencia: indicadores, pedido y actividad" display="◈ Gerencia" xr:uid="{00000000-0004-0000-0F00-000002000000}"/>
    <hyperlink ref="E5" location="'10A_ENTRADAS'!C9" tooltip="Registrar entradas y ajustes (Bodega)" display="⇩ Entradas" xr:uid="{00000000-0004-0000-0F00-000003000000}"/>
    <hyperlink ref="F5" location="'10B_SALIDAS'!E9" tooltip="Registrar salidas (Ventas)" display="⇧ Salidas" xr:uid="{00000000-0004-0000-0F00-000004000000}"/>
    <hyperlink ref="G5" location="'17_CONSULTA'!C9" tooltip="Consultar un producto en su fila" display="⌕ Consulta" xr:uid="{00000000-0004-0000-0F00-000005000000}"/>
    <hyperlink ref="H5" location="'15_STOCK'!A1" tooltip="Stock (instantánea recalculada a demanda)" display="▦ Stock" xr:uid="{00000000-0004-0000-0F00-000006000000}"/>
    <hyperlink ref="I5" location="'18_PEDIDO'!A1" tooltip="Pedido sugerido por proveedor" display="✚ Pedido" xr:uid="{00000000-0004-0000-0F00-000007000000}"/>
    <hyperlink ref="J5" location="'13_CONTEO'!I9" tooltip="Toma física (conteo) colaborativa" display="✓ Conteo" xr:uid="{00000000-0004-0000-0F00-000008000000}"/>
    <hyperlink ref="K5" location="'99_AYUDA'!A1" tooltip="Guía de uso, acceso e instalación" display="? Guía" xr:uid="{00000000-0004-0000-0F00-000009000000}"/>
  </hyperlinks>
  <pageMargins left="0.7" right="0.7" top="0.75" bottom="0.75" header="0.3" footer="0.3"/>
  <pageSetup fitToHeight="0" orientation="landscape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BF360C"/>
    <pageSetUpPr fitToPage="1"/>
  </sheetPr>
  <dimension ref="B1:Q507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31.42578125" customWidth="1"/>
    <col min="3" max="3" width="12" customWidth="1"/>
    <col min="4" max="4" width="38.5703125" customWidth="1"/>
    <col min="5" max="5" width="12" customWidth="1"/>
    <col min="6" max="6" width="17.7109375" customWidth="1"/>
    <col min="7" max="7" width="12" customWidth="1"/>
    <col min="8" max="9" width="13.7109375" customWidth="1"/>
    <col min="10" max="10" width="14.28515625" customWidth="1"/>
    <col min="11" max="11" width="18.5703125" customWidth="1"/>
    <col min="12" max="12" width="17.7109375" customWidth="1"/>
    <col min="13" max="13" width="17.140625" customWidth="1"/>
    <col min="14" max="14" width="20.85546875" customWidth="1"/>
    <col min="15" max="15" width="24.28515625" customWidth="1"/>
    <col min="16" max="16" width="17.140625" customWidth="1"/>
    <col min="17" max="17" width="34.28515625" customWidth="1"/>
    <col min="18" max="18" width="2.28515625" customWidth="1"/>
    <col min="19" max="19" width="0" hidden="1" customWidth="1"/>
  </cols>
  <sheetData>
    <row r="1" spans="2:17" s="1" customFormat="1" ht="4.5" customHeight="1" x14ac:dyDescent="0.25"/>
    <row r="2" spans="2:17" s="1" customFormat="1" ht="22.5" customHeight="1" x14ac:dyDescent="0.25">
      <c r="B2" s="2" t="s">
        <v>2370</v>
      </c>
    </row>
    <row r="3" spans="2:17" s="1" customFormat="1" ht="14.25" x14ac:dyDescent="0.25">
      <c r="B3" s="3" t="s">
        <v>2371</v>
      </c>
    </row>
    <row r="4" spans="2:17" s="1" customFormat="1" ht="4.5" customHeight="1" x14ac:dyDescent="0.25"/>
    <row r="5" spans="2:17" s="4" customFormat="1" ht="21" customHeight="1" x14ac:dyDescent="0.25">
      <c r="B5" s="6" t="s">
        <v>85</v>
      </c>
      <c r="C5" s="6" t="s">
        <v>86</v>
      </c>
      <c r="D5" s="6" t="s">
        <v>87</v>
      </c>
      <c r="E5" s="6" t="s">
        <v>88</v>
      </c>
      <c r="F5" s="6" t="s">
        <v>89</v>
      </c>
      <c r="G5" s="6" t="s">
        <v>90</v>
      </c>
      <c r="H5" s="6" t="s">
        <v>91</v>
      </c>
      <c r="I5" s="5" t="s">
        <v>92</v>
      </c>
      <c r="J5" s="6" t="s">
        <v>93</v>
      </c>
      <c r="K5" s="6" t="s">
        <v>94</v>
      </c>
    </row>
    <row r="6" spans="2:17" s="7" customFormat="1" ht="27" customHeight="1" x14ac:dyDescent="0.25">
      <c r="B6" s="38" t="str">
        <f>"Líneas: "&amp;kpiPedidoLineas</f>
        <v>Líneas: 10</v>
      </c>
      <c r="C6" s="131" t="str">
        <f>"Proveedores: "&amp;kpiPedidoProv&amp;"   ·   Total estimado: $ "&amp;FIXED(kpiPedidoTotal,0)</f>
        <v>Proveedores: 5   ·   Total estimado: $ 15.285.000</v>
      </c>
      <c r="D6" s="131"/>
      <c r="E6" s="126" t="str">
        <f>txtFrescuraCorta</f>
        <v>⚠ 3 mov. nuevo(s): recalcule</v>
      </c>
      <c r="F6" s="126"/>
      <c r="G6" s="126"/>
      <c r="I6" s="93" t="s">
        <v>2346</v>
      </c>
      <c r="J6" s="93"/>
      <c r="K6" s="93"/>
      <c r="L6" s="93"/>
      <c r="M6" s="93"/>
    </row>
    <row r="7" spans="2:17" ht="24" customHeight="1" x14ac:dyDescent="0.25">
      <c r="B7" s="17" t="s">
        <v>119</v>
      </c>
      <c r="C7" s="17" t="s">
        <v>160</v>
      </c>
      <c r="D7" s="17" t="s">
        <v>161</v>
      </c>
      <c r="E7" s="17" t="s">
        <v>163</v>
      </c>
      <c r="F7" s="17" t="s">
        <v>59</v>
      </c>
      <c r="G7" s="17" t="s">
        <v>2350</v>
      </c>
      <c r="H7" s="17" t="s">
        <v>2351</v>
      </c>
      <c r="I7" s="17" t="s">
        <v>2352</v>
      </c>
      <c r="J7" s="17" t="s">
        <v>2372</v>
      </c>
      <c r="K7" s="17" t="s">
        <v>166</v>
      </c>
      <c r="L7" s="17" t="s">
        <v>2373</v>
      </c>
      <c r="M7" s="17" t="s">
        <v>123</v>
      </c>
      <c r="N7" s="17" t="s">
        <v>2374</v>
      </c>
      <c r="O7" s="17" t="s">
        <v>121</v>
      </c>
      <c r="P7" s="17" t="s">
        <v>122</v>
      </c>
      <c r="Q7" s="17" t="s">
        <v>95</v>
      </c>
    </row>
    <row r="8" spans="2:17" x14ac:dyDescent="0.25">
      <c r="B8" s="66" t="s">
        <v>128</v>
      </c>
      <c r="C8" s="65" t="s">
        <v>186</v>
      </c>
      <c r="D8" s="66" t="s">
        <v>187</v>
      </c>
      <c r="E8" s="65" t="s">
        <v>181</v>
      </c>
      <c r="F8" s="70" t="s">
        <v>69</v>
      </c>
      <c r="G8" s="68">
        <v>14</v>
      </c>
      <c r="H8" s="67">
        <v>25</v>
      </c>
      <c r="I8" s="67">
        <v>150</v>
      </c>
      <c r="J8" s="68">
        <v>136</v>
      </c>
      <c r="K8" s="71">
        <v>3900</v>
      </c>
      <c r="L8" s="71">
        <v>530400</v>
      </c>
      <c r="M8" s="73">
        <v>5</v>
      </c>
      <c r="N8" s="72">
        <v>46295</v>
      </c>
      <c r="O8" s="66" t="s">
        <v>130</v>
      </c>
      <c r="P8" s="65" t="s">
        <v>131</v>
      </c>
      <c r="Q8" s="66" t="s">
        <v>132</v>
      </c>
    </row>
    <row r="9" spans="2:17" x14ac:dyDescent="0.25">
      <c r="B9" s="66" t="s">
        <v>128</v>
      </c>
      <c r="C9" s="65" t="s">
        <v>170</v>
      </c>
      <c r="D9" s="66" t="s">
        <v>171</v>
      </c>
      <c r="E9" s="65" t="s">
        <v>173</v>
      </c>
      <c r="F9" s="70" t="s">
        <v>72</v>
      </c>
      <c r="G9" s="68">
        <v>22</v>
      </c>
      <c r="H9" s="67">
        <v>20</v>
      </c>
      <c r="I9" s="67">
        <v>120</v>
      </c>
      <c r="J9" s="68">
        <v>98</v>
      </c>
      <c r="K9" s="71">
        <v>9800</v>
      </c>
      <c r="L9" s="71">
        <v>960400</v>
      </c>
      <c r="M9" s="73">
        <v>5</v>
      </c>
      <c r="N9" s="72">
        <v>46295</v>
      </c>
      <c r="O9" s="66" t="s">
        <v>130</v>
      </c>
      <c r="P9" s="65" t="s">
        <v>131</v>
      </c>
      <c r="Q9" s="66" t="s">
        <v>132</v>
      </c>
    </row>
    <row r="10" spans="2:17" x14ac:dyDescent="0.25">
      <c r="B10" s="66" t="s">
        <v>133</v>
      </c>
      <c r="C10" s="65" t="s">
        <v>196</v>
      </c>
      <c r="D10" s="66" t="s">
        <v>197</v>
      </c>
      <c r="E10" s="65" t="s">
        <v>199</v>
      </c>
      <c r="F10" s="70" t="s">
        <v>66</v>
      </c>
      <c r="G10" s="68">
        <v>0</v>
      </c>
      <c r="H10" s="67">
        <v>4</v>
      </c>
      <c r="I10" s="67">
        <v>20</v>
      </c>
      <c r="J10" s="68">
        <v>20</v>
      </c>
      <c r="K10" s="71">
        <v>185000</v>
      </c>
      <c r="L10" s="71">
        <v>3700000</v>
      </c>
      <c r="M10" s="73">
        <v>3</v>
      </c>
      <c r="N10" s="72">
        <v>46293</v>
      </c>
      <c r="O10" s="66" t="s">
        <v>135</v>
      </c>
      <c r="P10" s="65" t="s">
        <v>136</v>
      </c>
      <c r="Q10" s="66" t="s">
        <v>137</v>
      </c>
    </row>
    <row r="11" spans="2:17" x14ac:dyDescent="0.25">
      <c r="B11" s="66" t="s">
        <v>133</v>
      </c>
      <c r="C11" s="65" t="s">
        <v>207</v>
      </c>
      <c r="D11" s="66" t="s">
        <v>208</v>
      </c>
      <c r="E11" s="65" t="s">
        <v>181</v>
      </c>
      <c r="F11" s="70" t="s">
        <v>72</v>
      </c>
      <c r="G11" s="68">
        <v>11</v>
      </c>
      <c r="H11" s="67">
        <v>10</v>
      </c>
      <c r="I11" s="67">
        <v>60</v>
      </c>
      <c r="J11" s="68">
        <v>49</v>
      </c>
      <c r="K11" s="71">
        <v>16500</v>
      </c>
      <c r="L11" s="71">
        <v>808500</v>
      </c>
      <c r="M11" s="73">
        <v>3</v>
      </c>
      <c r="N11" s="72">
        <v>46293</v>
      </c>
      <c r="O11" s="66" t="s">
        <v>135</v>
      </c>
      <c r="P11" s="65" t="s">
        <v>136</v>
      </c>
      <c r="Q11" s="66" t="s">
        <v>137</v>
      </c>
    </row>
    <row r="12" spans="2:17" x14ac:dyDescent="0.25">
      <c r="B12" s="66" t="s">
        <v>138</v>
      </c>
      <c r="C12" s="65" t="s">
        <v>227</v>
      </c>
      <c r="D12" s="66" t="s">
        <v>228</v>
      </c>
      <c r="E12" s="65" t="s">
        <v>181</v>
      </c>
      <c r="F12" s="70" t="s">
        <v>69</v>
      </c>
      <c r="G12" s="68">
        <v>3</v>
      </c>
      <c r="H12" s="67">
        <v>8</v>
      </c>
      <c r="I12" s="67">
        <v>40</v>
      </c>
      <c r="J12" s="68">
        <v>37</v>
      </c>
      <c r="K12" s="71">
        <v>24000</v>
      </c>
      <c r="L12" s="71">
        <v>888000</v>
      </c>
      <c r="M12" s="73">
        <v>4</v>
      </c>
      <c r="N12" s="72">
        <v>46294</v>
      </c>
      <c r="O12" s="66" t="s">
        <v>140</v>
      </c>
      <c r="P12" s="65" t="s">
        <v>141</v>
      </c>
      <c r="Q12" s="66" t="s">
        <v>142</v>
      </c>
    </row>
    <row r="13" spans="2:17" x14ac:dyDescent="0.25">
      <c r="B13" s="66" t="s">
        <v>143</v>
      </c>
      <c r="C13" s="65" t="s">
        <v>241</v>
      </c>
      <c r="D13" s="66" t="s">
        <v>242</v>
      </c>
      <c r="E13" s="65" t="s">
        <v>239</v>
      </c>
      <c r="F13" s="70" t="s">
        <v>66</v>
      </c>
      <c r="G13" s="68">
        <v>0</v>
      </c>
      <c r="H13" s="67">
        <v>6</v>
      </c>
      <c r="I13" s="67">
        <v>30</v>
      </c>
      <c r="J13" s="68">
        <v>30</v>
      </c>
      <c r="K13" s="71">
        <v>74000</v>
      </c>
      <c r="L13" s="71">
        <v>2220000</v>
      </c>
      <c r="M13" s="73">
        <v>7</v>
      </c>
      <c r="N13" s="72">
        <v>46297</v>
      </c>
      <c r="O13" s="66" t="s">
        <v>145</v>
      </c>
      <c r="P13" s="65" t="s">
        <v>146</v>
      </c>
      <c r="Q13" s="66" t="s">
        <v>147</v>
      </c>
    </row>
    <row r="14" spans="2:17" x14ac:dyDescent="0.25">
      <c r="B14" s="66" t="s">
        <v>143</v>
      </c>
      <c r="C14" s="65" t="s">
        <v>247</v>
      </c>
      <c r="D14" s="66" t="s">
        <v>248</v>
      </c>
      <c r="E14" s="65" t="s">
        <v>181</v>
      </c>
      <c r="F14" s="70" t="s">
        <v>72</v>
      </c>
      <c r="G14" s="68">
        <v>11</v>
      </c>
      <c r="H14" s="67">
        <v>10</v>
      </c>
      <c r="I14" s="67">
        <v>60</v>
      </c>
      <c r="J14" s="68">
        <v>49</v>
      </c>
      <c r="K14" s="71">
        <v>12500</v>
      </c>
      <c r="L14" s="71">
        <v>612500</v>
      </c>
      <c r="M14" s="73">
        <v>7</v>
      </c>
      <c r="N14" s="72">
        <v>46297</v>
      </c>
      <c r="O14" s="66" t="s">
        <v>145</v>
      </c>
      <c r="P14" s="65" t="s">
        <v>146</v>
      </c>
      <c r="Q14" s="66" t="s">
        <v>147</v>
      </c>
    </row>
    <row r="15" spans="2:17" x14ac:dyDescent="0.25">
      <c r="B15" s="66" t="s">
        <v>148</v>
      </c>
      <c r="C15" s="65" t="s">
        <v>264</v>
      </c>
      <c r="D15" s="66" t="s">
        <v>265</v>
      </c>
      <c r="E15" s="65" t="s">
        <v>256</v>
      </c>
      <c r="F15" s="70" t="s">
        <v>66</v>
      </c>
      <c r="G15" s="68">
        <v>0</v>
      </c>
      <c r="H15" s="67">
        <v>4</v>
      </c>
      <c r="I15" s="67">
        <v>24</v>
      </c>
      <c r="J15" s="68">
        <v>24</v>
      </c>
      <c r="K15" s="71">
        <v>118000</v>
      </c>
      <c r="L15" s="71">
        <v>2832000</v>
      </c>
      <c r="M15" s="73">
        <v>6</v>
      </c>
      <c r="N15" s="72">
        <v>46296</v>
      </c>
      <c r="O15" s="66" t="s">
        <v>150</v>
      </c>
      <c r="P15" s="65" t="s">
        <v>151</v>
      </c>
      <c r="Q15" s="66" t="s">
        <v>152</v>
      </c>
    </row>
    <row r="16" spans="2:17" x14ac:dyDescent="0.25">
      <c r="B16" s="66" t="s">
        <v>148</v>
      </c>
      <c r="C16" s="65" t="s">
        <v>267</v>
      </c>
      <c r="D16" s="66" t="s">
        <v>268</v>
      </c>
      <c r="E16" s="65" t="s">
        <v>173</v>
      </c>
      <c r="F16" s="70" t="s">
        <v>69</v>
      </c>
      <c r="G16" s="68">
        <v>1</v>
      </c>
      <c r="H16" s="67">
        <v>8</v>
      </c>
      <c r="I16" s="67">
        <v>50</v>
      </c>
      <c r="J16" s="68">
        <v>49</v>
      </c>
      <c r="K16" s="71">
        <v>38000</v>
      </c>
      <c r="L16" s="71">
        <v>1862000</v>
      </c>
      <c r="M16" s="73">
        <v>6</v>
      </c>
      <c r="N16" s="72">
        <v>46296</v>
      </c>
      <c r="O16" s="66" t="s">
        <v>150</v>
      </c>
      <c r="P16" s="65" t="s">
        <v>151</v>
      </c>
      <c r="Q16" s="66" t="s">
        <v>152</v>
      </c>
    </row>
    <row r="17" spans="2:17" x14ac:dyDescent="0.25">
      <c r="B17" s="66" t="s">
        <v>148</v>
      </c>
      <c r="C17" s="65" t="s">
        <v>278</v>
      </c>
      <c r="D17" s="66" t="s">
        <v>279</v>
      </c>
      <c r="E17" s="65" t="s">
        <v>177</v>
      </c>
      <c r="F17" s="70" t="s">
        <v>72</v>
      </c>
      <c r="G17" s="68">
        <v>29</v>
      </c>
      <c r="H17" s="67">
        <v>25</v>
      </c>
      <c r="I17" s="67">
        <v>150</v>
      </c>
      <c r="J17" s="68">
        <v>121</v>
      </c>
      <c r="K17" s="71">
        <v>7200</v>
      </c>
      <c r="L17" s="71">
        <v>871200</v>
      </c>
      <c r="M17" s="73">
        <v>6</v>
      </c>
      <c r="N17" s="72">
        <v>46296</v>
      </c>
      <c r="O17" s="66" t="s">
        <v>150</v>
      </c>
      <c r="P17" s="65" t="s">
        <v>151</v>
      </c>
      <c r="Q17" s="66" t="s">
        <v>152</v>
      </c>
    </row>
    <row r="18" spans="2:17" x14ac:dyDescent="0.25">
      <c r="B18" s="66"/>
      <c r="C18" s="65"/>
      <c r="D18" s="66"/>
      <c r="E18" s="65"/>
      <c r="F18" s="70"/>
      <c r="G18" s="68"/>
      <c r="H18" s="67"/>
      <c r="I18" s="67"/>
      <c r="J18" s="68"/>
      <c r="K18" s="71"/>
      <c r="L18" s="71"/>
      <c r="M18" s="73"/>
      <c r="N18" s="72"/>
      <c r="O18" s="66"/>
      <c r="P18" s="65"/>
      <c r="Q18" s="66"/>
    </row>
    <row r="19" spans="2:17" x14ac:dyDescent="0.25">
      <c r="B19" s="66"/>
      <c r="C19" s="65"/>
      <c r="D19" s="66"/>
      <c r="E19" s="65"/>
      <c r="F19" s="70"/>
      <c r="G19" s="68"/>
      <c r="H19" s="67"/>
      <c r="I19" s="67"/>
      <c r="J19" s="68"/>
      <c r="K19" s="71"/>
      <c r="L19" s="71"/>
      <c r="M19" s="73"/>
      <c r="N19" s="72"/>
      <c r="O19" s="66"/>
      <c r="P19" s="65"/>
      <c r="Q19" s="66"/>
    </row>
    <row r="20" spans="2:17" x14ac:dyDescent="0.25">
      <c r="B20" s="66"/>
      <c r="C20" s="65"/>
      <c r="D20" s="66"/>
      <c r="E20" s="65"/>
      <c r="F20" s="70"/>
      <c r="G20" s="68"/>
      <c r="H20" s="67"/>
      <c r="I20" s="67"/>
      <c r="J20" s="68"/>
      <c r="K20" s="71"/>
      <c r="L20" s="71"/>
      <c r="M20" s="73"/>
      <c r="N20" s="72"/>
      <c r="O20" s="66"/>
      <c r="P20" s="65"/>
      <c r="Q20" s="66"/>
    </row>
    <row r="21" spans="2:17" x14ac:dyDescent="0.25">
      <c r="B21" s="66"/>
      <c r="C21" s="65"/>
      <c r="D21" s="66"/>
      <c r="E21" s="65"/>
      <c r="F21" s="70"/>
      <c r="G21" s="68"/>
      <c r="H21" s="67"/>
      <c r="I21" s="67"/>
      <c r="J21" s="68"/>
      <c r="K21" s="71"/>
      <c r="L21" s="71"/>
      <c r="M21" s="73"/>
      <c r="N21" s="72"/>
      <c r="O21" s="66"/>
      <c r="P21" s="65"/>
      <c r="Q21" s="66"/>
    </row>
    <row r="22" spans="2:17" x14ac:dyDescent="0.25">
      <c r="B22" s="66"/>
      <c r="C22" s="65"/>
      <c r="D22" s="66"/>
      <c r="E22" s="65"/>
      <c r="F22" s="70"/>
      <c r="G22" s="68"/>
      <c r="H22" s="67"/>
      <c r="I22" s="67"/>
      <c r="J22" s="68"/>
      <c r="K22" s="71"/>
      <c r="L22" s="71"/>
      <c r="M22" s="73"/>
      <c r="N22" s="72"/>
      <c r="O22" s="66"/>
      <c r="P22" s="65"/>
      <c r="Q22" s="66"/>
    </row>
    <row r="23" spans="2:17" x14ac:dyDescent="0.25">
      <c r="B23" s="66"/>
      <c r="C23" s="65"/>
      <c r="D23" s="66"/>
      <c r="E23" s="65"/>
      <c r="F23" s="70"/>
      <c r="G23" s="68"/>
      <c r="H23" s="67"/>
      <c r="I23" s="67"/>
      <c r="J23" s="68"/>
      <c r="K23" s="71"/>
      <c r="L23" s="71"/>
      <c r="M23" s="73"/>
      <c r="N23" s="72"/>
      <c r="O23" s="66"/>
      <c r="P23" s="65"/>
      <c r="Q23" s="66"/>
    </row>
    <row r="24" spans="2:17" x14ac:dyDescent="0.25">
      <c r="B24" s="66"/>
      <c r="C24" s="65"/>
      <c r="D24" s="66"/>
      <c r="E24" s="65"/>
      <c r="F24" s="70"/>
      <c r="G24" s="68"/>
      <c r="H24" s="67"/>
      <c r="I24" s="67"/>
      <c r="J24" s="68"/>
      <c r="K24" s="71"/>
      <c r="L24" s="71"/>
      <c r="M24" s="73"/>
      <c r="N24" s="72"/>
      <c r="O24" s="66"/>
      <c r="P24" s="65"/>
      <c r="Q24" s="66"/>
    </row>
    <row r="25" spans="2:17" x14ac:dyDescent="0.25">
      <c r="B25" s="66"/>
      <c r="C25" s="65"/>
      <c r="D25" s="66"/>
      <c r="E25" s="65"/>
      <c r="F25" s="70"/>
      <c r="G25" s="68"/>
      <c r="H25" s="67"/>
      <c r="I25" s="67"/>
      <c r="J25" s="68"/>
      <c r="K25" s="71"/>
      <c r="L25" s="71"/>
      <c r="M25" s="73"/>
      <c r="N25" s="72"/>
      <c r="O25" s="66"/>
      <c r="P25" s="65"/>
      <c r="Q25" s="66"/>
    </row>
    <row r="26" spans="2:17" x14ac:dyDescent="0.25">
      <c r="B26" s="66"/>
      <c r="C26" s="65"/>
      <c r="D26" s="66"/>
      <c r="E26" s="65"/>
      <c r="F26" s="70"/>
      <c r="G26" s="68"/>
      <c r="H26" s="67"/>
      <c r="I26" s="67"/>
      <c r="J26" s="68"/>
      <c r="K26" s="71"/>
      <c r="L26" s="71"/>
      <c r="M26" s="73"/>
      <c r="N26" s="72"/>
      <c r="O26" s="66"/>
      <c r="P26" s="65"/>
      <c r="Q26" s="66"/>
    </row>
    <row r="27" spans="2:17" x14ac:dyDescent="0.25">
      <c r="B27" s="66"/>
      <c r="C27" s="65"/>
      <c r="D27" s="66"/>
      <c r="E27" s="65"/>
      <c r="F27" s="70"/>
      <c r="G27" s="68"/>
      <c r="H27" s="67"/>
      <c r="I27" s="67"/>
      <c r="J27" s="68"/>
      <c r="K27" s="71"/>
      <c r="L27" s="71"/>
      <c r="M27" s="73"/>
      <c r="N27" s="72"/>
      <c r="O27" s="66"/>
      <c r="P27" s="65"/>
      <c r="Q27" s="66"/>
    </row>
    <row r="28" spans="2:17" x14ac:dyDescent="0.25">
      <c r="B28" s="66"/>
      <c r="C28" s="65"/>
      <c r="D28" s="66"/>
      <c r="E28" s="65"/>
      <c r="F28" s="70"/>
      <c r="G28" s="68"/>
      <c r="H28" s="67"/>
      <c r="I28" s="67"/>
      <c r="J28" s="68"/>
      <c r="K28" s="71"/>
      <c r="L28" s="71"/>
      <c r="M28" s="73"/>
      <c r="N28" s="72"/>
      <c r="O28" s="66"/>
      <c r="P28" s="65"/>
      <c r="Q28" s="66"/>
    </row>
    <row r="29" spans="2:17" x14ac:dyDescent="0.25">
      <c r="B29" s="66"/>
      <c r="C29" s="65"/>
      <c r="D29" s="66"/>
      <c r="E29" s="65"/>
      <c r="F29" s="70"/>
      <c r="G29" s="68"/>
      <c r="H29" s="67"/>
      <c r="I29" s="67"/>
      <c r="J29" s="68"/>
      <c r="K29" s="71"/>
      <c r="L29" s="71"/>
      <c r="M29" s="73"/>
      <c r="N29" s="72"/>
      <c r="O29" s="66"/>
      <c r="P29" s="65"/>
      <c r="Q29" s="66"/>
    </row>
    <row r="30" spans="2:17" x14ac:dyDescent="0.25">
      <c r="B30" s="66"/>
      <c r="C30" s="65"/>
      <c r="D30" s="66"/>
      <c r="E30" s="65"/>
      <c r="F30" s="70"/>
      <c r="G30" s="68"/>
      <c r="H30" s="67"/>
      <c r="I30" s="67"/>
      <c r="J30" s="68"/>
      <c r="K30" s="71"/>
      <c r="L30" s="71"/>
      <c r="M30" s="73"/>
      <c r="N30" s="72"/>
      <c r="O30" s="66"/>
      <c r="P30" s="65"/>
      <c r="Q30" s="66"/>
    </row>
    <row r="31" spans="2:17" x14ac:dyDescent="0.25">
      <c r="B31" s="66"/>
      <c r="C31" s="65"/>
      <c r="D31" s="66"/>
      <c r="E31" s="65"/>
      <c r="F31" s="70"/>
      <c r="G31" s="68"/>
      <c r="H31" s="67"/>
      <c r="I31" s="67"/>
      <c r="J31" s="68"/>
      <c r="K31" s="71"/>
      <c r="L31" s="71"/>
      <c r="M31" s="73"/>
      <c r="N31" s="72"/>
      <c r="O31" s="66"/>
      <c r="P31" s="65"/>
      <c r="Q31" s="66"/>
    </row>
    <row r="32" spans="2:17" x14ac:dyDescent="0.25">
      <c r="B32" s="66"/>
      <c r="C32" s="65"/>
      <c r="D32" s="66"/>
      <c r="E32" s="65"/>
      <c r="F32" s="70"/>
      <c r="G32" s="68"/>
      <c r="H32" s="67"/>
      <c r="I32" s="67"/>
      <c r="J32" s="68"/>
      <c r="K32" s="71"/>
      <c r="L32" s="71"/>
      <c r="M32" s="73"/>
      <c r="N32" s="72"/>
      <c r="O32" s="66"/>
      <c r="P32" s="65"/>
      <c r="Q32" s="66"/>
    </row>
    <row r="33" spans="2:17" x14ac:dyDescent="0.25">
      <c r="B33" s="66"/>
      <c r="C33" s="65"/>
      <c r="D33" s="66"/>
      <c r="E33" s="65"/>
      <c r="F33" s="70"/>
      <c r="G33" s="68"/>
      <c r="H33" s="67"/>
      <c r="I33" s="67"/>
      <c r="J33" s="68"/>
      <c r="K33" s="71"/>
      <c r="L33" s="71"/>
      <c r="M33" s="73"/>
      <c r="N33" s="72"/>
      <c r="O33" s="66"/>
      <c r="P33" s="65"/>
      <c r="Q33" s="66"/>
    </row>
    <row r="34" spans="2:17" x14ac:dyDescent="0.25">
      <c r="B34" s="66"/>
      <c r="C34" s="65"/>
      <c r="D34" s="66"/>
      <c r="E34" s="65"/>
      <c r="F34" s="70"/>
      <c r="G34" s="68"/>
      <c r="H34" s="67"/>
      <c r="I34" s="67"/>
      <c r="J34" s="68"/>
      <c r="K34" s="71"/>
      <c r="L34" s="71"/>
      <c r="M34" s="73"/>
      <c r="N34" s="72"/>
      <c r="O34" s="66"/>
      <c r="P34" s="65"/>
      <c r="Q34" s="66"/>
    </row>
    <row r="35" spans="2:17" x14ac:dyDescent="0.25">
      <c r="B35" s="66"/>
      <c r="C35" s="65"/>
      <c r="D35" s="66"/>
      <c r="E35" s="65"/>
      <c r="F35" s="70"/>
      <c r="G35" s="68"/>
      <c r="H35" s="67"/>
      <c r="I35" s="67"/>
      <c r="J35" s="68"/>
      <c r="K35" s="71"/>
      <c r="L35" s="71"/>
      <c r="M35" s="73"/>
      <c r="N35" s="72"/>
      <c r="O35" s="66"/>
      <c r="P35" s="65"/>
      <c r="Q35" s="66"/>
    </row>
    <row r="36" spans="2:17" x14ac:dyDescent="0.25">
      <c r="B36" s="66"/>
      <c r="C36" s="65"/>
      <c r="D36" s="66"/>
      <c r="E36" s="65"/>
      <c r="F36" s="70"/>
      <c r="G36" s="68"/>
      <c r="H36" s="67"/>
      <c r="I36" s="67"/>
      <c r="J36" s="68"/>
      <c r="K36" s="71"/>
      <c r="L36" s="71"/>
      <c r="M36" s="73"/>
      <c r="N36" s="72"/>
      <c r="O36" s="66"/>
      <c r="P36" s="65"/>
      <c r="Q36" s="66"/>
    </row>
    <row r="37" spans="2:17" x14ac:dyDescent="0.25">
      <c r="B37" s="66"/>
      <c r="C37" s="65"/>
      <c r="D37" s="66"/>
      <c r="E37" s="65"/>
      <c r="F37" s="70"/>
      <c r="G37" s="68"/>
      <c r="H37" s="67"/>
      <c r="I37" s="67"/>
      <c r="J37" s="68"/>
      <c r="K37" s="71"/>
      <c r="L37" s="71"/>
      <c r="M37" s="73"/>
      <c r="N37" s="72"/>
      <c r="O37" s="66"/>
      <c r="P37" s="65"/>
      <c r="Q37" s="66"/>
    </row>
    <row r="38" spans="2:17" x14ac:dyDescent="0.25">
      <c r="B38" s="66"/>
      <c r="C38" s="65"/>
      <c r="D38" s="66"/>
      <c r="E38" s="65"/>
      <c r="F38" s="70"/>
      <c r="G38" s="68"/>
      <c r="H38" s="67"/>
      <c r="I38" s="67"/>
      <c r="J38" s="68"/>
      <c r="K38" s="71"/>
      <c r="L38" s="71"/>
      <c r="M38" s="73"/>
      <c r="N38" s="72"/>
      <c r="O38" s="66"/>
      <c r="P38" s="65"/>
      <c r="Q38" s="66"/>
    </row>
    <row r="39" spans="2:17" x14ac:dyDescent="0.25">
      <c r="B39" s="66"/>
      <c r="C39" s="65"/>
      <c r="D39" s="66"/>
      <c r="E39" s="65"/>
      <c r="F39" s="70"/>
      <c r="G39" s="68"/>
      <c r="H39" s="67"/>
      <c r="I39" s="67"/>
      <c r="J39" s="68"/>
      <c r="K39" s="71"/>
      <c r="L39" s="71"/>
      <c r="M39" s="73"/>
      <c r="N39" s="72"/>
      <c r="O39" s="66"/>
      <c r="P39" s="65"/>
      <c r="Q39" s="66"/>
    </row>
    <row r="40" spans="2:17" x14ac:dyDescent="0.25">
      <c r="B40" s="66"/>
      <c r="C40" s="65"/>
      <c r="D40" s="66"/>
      <c r="E40" s="65"/>
      <c r="F40" s="70"/>
      <c r="G40" s="68"/>
      <c r="H40" s="67"/>
      <c r="I40" s="67"/>
      <c r="J40" s="68"/>
      <c r="K40" s="71"/>
      <c r="L40" s="71"/>
      <c r="M40" s="73"/>
      <c r="N40" s="72"/>
      <c r="O40" s="66"/>
      <c r="P40" s="65"/>
      <c r="Q40" s="66"/>
    </row>
    <row r="41" spans="2:17" x14ac:dyDescent="0.25">
      <c r="B41" s="66"/>
      <c r="C41" s="65"/>
      <c r="D41" s="66"/>
      <c r="E41" s="65"/>
      <c r="F41" s="70"/>
      <c r="G41" s="68"/>
      <c r="H41" s="67"/>
      <c r="I41" s="67"/>
      <c r="J41" s="68"/>
      <c r="K41" s="71"/>
      <c r="L41" s="71"/>
      <c r="M41" s="73"/>
      <c r="N41" s="72"/>
      <c r="O41" s="66"/>
      <c r="P41" s="65"/>
      <c r="Q41" s="66"/>
    </row>
    <row r="42" spans="2:17" x14ac:dyDescent="0.25">
      <c r="B42" s="66"/>
      <c r="C42" s="65"/>
      <c r="D42" s="66"/>
      <c r="E42" s="65"/>
      <c r="F42" s="70"/>
      <c r="G42" s="68"/>
      <c r="H42" s="67"/>
      <c r="I42" s="67"/>
      <c r="J42" s="68"/>
      <c r="K42" s="71"/>
      <c r="L42" s="71"/>
      <c r="M42" s="73"/>
      <c r="N42" s="72"/>
      <c r="O42" s="66"/>
      <c r="P42" s="65"/>
      <c r="Q42" s="66"/>
    </row>
    <row r="43" spans="2:17" x14ac:dyDescent="0.25">
      <c r="B43" s="66"/>
      <c r="C43" s="65"/>
      <c r="D43" s="66"/>
      <c r="E43" s="65"/>
      <c r="F43" s="70"/>
      <c r="G43" s="68"/>
      <c r="H43" s="67"/>
      <c r="I43" s="67"/>
      <c r="J43" s="68"/>
      <c r="K43" s="71"/>
      <c r="L43" s="71"/>
      <c r="M43" s="73"/>
      <c r="N43" s="72"/>
      <c r="O43" s="66"/>
      <c r="P43" s="65"/>
      <c r="Q43" s="66"/>
    </row>
    <row r="44" spans="2:17" x14ac:dyDescent="0.25">
      <c r="B44" s="66"/>
      <c r="C44" s="65"/>
      <c r="D44" s="66"/>
      <c r="E44" s="65"/>
      <c r="F44" s="70"/>
      <c r="G44" s="68"/>
      <c r="H44" s="67"/>
      <c r="I44" s="67"/>
      <c r="J44" s="68"/>
      <c r="K44" s="71"/>
      <c r="L44" s="71"/>
      <c r="M44" s="73"/>
      <c r="N44" s="72"/>
      <c r="O44" s="66"/>
      <c r="P44" s="65"/>
      <c r="Q44" s="66"/>
    </row>
    <row r="45" spans="2:17" x14ac:dyDescent="0.25">
      <c r="B45" s="66"/>
      <c r="C45" s="65"/>
      <c r="D45" s="66"/>
      <c r="E45" s="65"/>
      <c r="F45" s="70"/>
      <c r="G45" s="68"/>
      <c r="H45" s="67"/>
      <c r="I45" s="67"/>
      <c r="J45" s="68"/>
      <c r="K45" s="71"/>
      <c r="L45" s="71"/>
      <c r="M45" s="73"/>
      <c r="N45" s="72"/>
      <c r="O45" s="66"/>
      <c r="P45" s="65"/>
      <c r="Q45" s="66"/>
    </row>
    <row r="46" spans="2:17" x14ac:dyDescent="0.25">
      <c r="B46" s="66"/>
      <c r="C46" s="65"/>
      <c r="D46" s="66"/>
      <c r="E46" s="65"/>
      <c r="F46" s="70"/>
      <c r="G46" s="68"/>
      <c r="H46" s="67"/>
      <c r="I46" s="67"/>
      <c r="J46" s="68"/>
      <c r="K46" s="71"/>
      <c r="L46" s="71"/>
      <c r="M46" s="73"/>
      <c r="N46" s="72"/>
      <c r="O46" s="66"/>
      <c r="P46" s="65"/>
      <c r="Q46" s="66"/>
    </row>
    <row r="47" spans="2:17" x14ac:dyDescent="0.25">
      <c r="B47" s="66"/>
      <c r="C47" s="65"/>
      <c r="D47" s="66"/>
      <c r="E47" s="65"/>
      <c r="F47" s="70"/>
      <c r="G47" s="68"/>
      <c r="H47" s="67"/>
      <c r="I47" s="67"/>
      <c r="J47" s="68"/>
      <c r="K47" s="71"/>
      <c r="L47" s="71"/>
      <c r="M47" s="73"/>
      <c r="N47" s="72"/>
      <c r="O47" s="66"/>
      <c r="P47" s="65"/>
      <c r="Q47" s="66"/>
    </row>
    <row r="48" spans="2:17" x14ac:dyDescent="0.25">
      <c r="B48" s="66"/>
      <c r="C48" s="65"/>
      <c r="D48" s="66"/>
      <c r="E48" s="65"/>
      <c r="F48" s="70"/>
      <c r="G48" s="68"/>
      <c r="H48" s="67"/>
      <c r="I48" s="67"/>
      <c r="J48" s="68"/>
      <c r="K48" s="71"/>
      <c r="L48" s="71"/>
      <c r="M48" s="73"/>
      <c r="N48" s="72"/>
      <c r="O48" s="66"/>
      <c r="P48" s="65"/>
      <c r="Q48" s="66"/>
    </row>
    <row r="49" spans="2:17" x14ac:dyDescent="0.25">
      <c r="B49" s="66"/>
      <c r="C49" s="65"/>
      <c r="D49" s="66"/>
      <c r="E49" s="65"/>
      <c r="F49" s="70"/>
      <c r="G49" s="68"/>
      <c r="H49" s="67"/>
      <c r="I49" s="67"/>
      <c r="J49" s="68"/>
      <c r="K49" s="71"/>
      <c r="L49" s="71"/>
      <c r="M49" s="73"/>
      <c r="N49" s="72"/>
      <c r="O49" s="66"/>
      <c r="P49" s="65"/>
      <c r="Q49" s="66"/>
    </row>
    <row r="50" spans="2:17" x14ac:dyDescent="0.25">
      <c r="B50" s="66"/>
      <c r="C50" s="65"/>
      <c r="D50" s="66"/>
      <c r="E50" s="65"/>
      <c r="F50" s="70"/>
      <c r="G50" s="68"/>
      <c r="H50" s="67"/>
      <c r="I50" s="67"/>
      <c r="J50" s="68"/>
      <c r="K50" s="71"/>
      <c r="L50" s="71"/>
      <c r="M50" s="73"/>
      <c r="N50" s="72"/>
      <c r="O50" s="66"/>
      <c r="P50" s="65"/>
      <c r="Q50" s="66"/>
    </row>
    <row r="51" spans="2:17" x14ac:dyDescent="0.25">
      <c r="B51" s="66"/>
      <c r="C51" s="65"/>
      <c r="D51" s="66"/>
      <c r="E51" s="65"/>
      <c r="F51" s="70"/>
      <c r="G51" s="68"/>
      <c r="H51" s="67"/>
      <c r="I51" s="67"/>
      <c r="J51" s="68"/>
      <c r="K51" s="71"/>
      <c r="L51" s="71"/>
      <c r="M51" s="73"/>
      <c r="N51" s="72"/>
      <c r="O51" s="66"/>
      <c r="P51" s="65"/>
      <c r="Q51" s="66"/>
    </row>
    <row r="52" spans="2:17" x14ac:dyDescent="0.25">
      <c r="B52" s="66"/>
      <c r="C52" s="65"/>
      <c r="D52" s="66"/>
      <c r="E52" s="65"/>
      <c r="F52" s="70"/>
      <c r="G52" s="68"/>
      <c r="H52" s="67"/>
      <c r="I52" s="67"/>
      <c r="J52" s="68"/>
      <c r="K52" s="71"/>
      <c r="L52" s="71"/>
      <c r="M52" s="73"/>
      <c r="N52" s="72"/>
      <c r="O52" s="66"/>
      <c r="P52" s="65"/>
      <c r="Q52" s="66"/>
    </row>
    <row r="53" spans="2:17" x14ac:dyDescent="0.25">
      <c r="B53" s="66"/>
      <c r="C53" s="65"/>
      <c r="D53" s="66"/>
      <c r="E53" s="65"/>
      <c r="F53" s="70"/>
      <c r="G53" s="68"/>
      <c r="H53" s="67"/>
      <c r="I53" s="67"/>
      <c r="J53" s="68"/>
      <c r="K53" s="71"/>
      <c r="L53" s="71"/>
      <c r="M53" s="73"/>
      <c r="N53" s="72"/>
      <c r="O53" s="66"/>
      <c r="P53" s="65"/>
      <c r="Q53" s="66"/>
    </row>
    <row r="54" spans="2:17" x14ac:dyDescent="0.25">
      <c r="B54" s="66"/>
      <c r="C54" s="65"/>
      <c r="D54" s="66"/>
      <c r="E54" s="65"/>
      <c r="F54" s="70"/>
      <c r="G54" s="68"/>
      <c r="H54" s="67"/>
      <c r="I54" s="67"/>
      <c r="J54" s="68"/>
      <c r="K54" s="71"/>
      <c r="L54" s="71"/>
      <c r="M54" s="73"/>
      <c r="N54" s="72"/>
      <c r="O54" s="66"/>
      <c r="P54" s="65"/>
      <c r="Q54" s="66"/>
    </row>
    <row r="55" spans="2:17" x14ac:dyDescent="0.25">
      <c r="B55" s="66"/>
      <c r="C55" s="65"/>
      <c r="D55" s="66"/>
      <c r="E55" s="65"/>
      <c r="F55" s="70"/>
      <c r="G55" s="68"/>
      <c r="H55" s="67"/>
      <c r="I55" s="67"/>
      <c r="J55" s="68"/>
      <c r="K55" s="71"/>
      <c r="L55" s="71"/>
      <c r="M55" s="73"/>
      <c r="N55" s="72"/>
      <c r="O55" s="66"/>
      <c r="P55" s="65"/>
      <c r="Q55" s="66"/>
    </row>
    <row r="56" spans="2:17" x14ac:dyDescent="0.25">
      <c r="B56" s="66"/>
      <c r="C56" s="65"/>
      <c r="D56" s="66"/>
      <c r="E56" s="65"/>
      <c r="F56" s="70"/>
      <c r="G56" s="68"/>
      <c r="H56" s="67"/>
      <c r="I56" s="67"/>
      <c r="J56" s="68"/>
      <c r="K56" s="71"/>
      <c r="L56" s="71"/>
      <c r="M56" s="73"/>
      <c r="N56" s="72"/>
      <c r="O56" s="66"/>
      <c r="P56" s="65"/>
      <c r="Q56" s="66"/>
    </row>
    <row r="57" spans="2:17" x14ac:dyDescent="0.25">
      <c r="B57" s="66"/>
      <c r="C57" s="65"/>
      <c r="D57" s="66"/>
      <c r="E57" s="65"/>
      <c r="F57" s="70"/>
      <c r="G57" s="68"/>
      <c r="H57" s="67"/>
      <c r="I57" s="67"/>
      <c r="J57" s="68"/>
      <c r="K57" s="71"/>
      <c r="L57" s="71"/>
      <c r="M57" s="73"/>
      <c r="N57" s="72"/>
      <c r="O57" s="66"/>
      <c r="P57" s="65"/>
      <c r="Q57" s="66"/>
    </row>
    <row r="58" spans="2:17" x14ac:dyDescent="0.25">
      <c r="B58" s="66"/>
      <c r="C58" s="65"/>
      <c r="D58" s="66"/>
      <c r="E58" s="65"/>
      <c r="F58" s="70"/>
      <c r="G58" s="68"/>
      <c r="H58" s="67"/>
      <c r="I58" s="67"/>
      <c r="J58" s="68"/>
      <c r="K58" s="71"/>
      <c r="L58" s="71"/>
      <c r="M58" s="73"/>
      <c r="N58" s="72"/>
      <c r="O58" s="66"/>
      <c r="P58" s="65"/>
      <c r="Q58" s="66"/>
    </row>
    <row r="59" spans="2:17" x14ac:dyDescent="0.25">
      <c r="B59" s="66"/>
      <c r="C59" s="65"/>
      <c r="D59" s="66"/>
      <c r="E59" s="65"/>
      <c r="F59" s="70"/>
      <c r="G59" s="68"/>
      <c r="H59" s="67"/>
      <c r="I59" s="67"/>
      <c r="J59" s="68"/>
      <c r="K59" s="71"/>
      <c r="L59" s="71"/>
      <c r="M59" s="73"/>
      <c r="N59" s="72"/>
      <c r="O59" s="66"/>
      <c r="P59" s="65"/>
      <c r="Q59" s="66"/>
    </row>
    <row r="60" spans="2:17" x14ac:dyDescent="0.25">
      <c r="B60" s="66"/>
      <c r="C60" s="65"/>
      <c r="D60" s="66"/>
      <c r="E60" s="65"/>
      <c r="F60" s="70"/>
      <c r="G60" s="68"/>
      <c r="H60" s="67"/>
      <c r="I60" s="67"/>
      <c r="J60" s="68"/>
      <c r="K60" s="71"/>
      <c r="L60" s="71"/>
      <c r="M60" s="73"/>
      <c r="N60" s="72"/>
      <c r="O60" s="66"/>
      <c r="P60" s="65"/>
      <c r="Q60" s="66"/>
    </row>
    <row r="61" spans="2:17" x14ac:dyDescent="0.25">
      <c r="B61" s="66"/>
      <c r="C61" s="65"/>
      <c r="D61" s="66"/>
      <c r="E61" s="65"/>
      <c r="F61" s="70"/>
      <c r="G61" s="68"/>
      <c r="H61" s="67"/>
      <c r="I61" s="67"/>
      <c r="J61" s="68"/>
      <c r="K61" s="71"/>
      <c r="L61" s="71"/>
      <c r="M61" s="73"/>
      <c r="N61" s="72"/>
      <c r="O61" s="66"/>
      <c r="P61" s="65"/>
      <c r="Q61" s="66"/>
    </row>
    <row r="62" spans="2:17" x14ac:dyDescent="0.25">
      <c r="B62" s="66"/>
      <c r="C62" s="65"/>
      <c r="D62" s="66"/>
      <c r="E62" s="65"/>
      <c r="F62" s="70"/>
      <c r="G62" s="68"/>
      <c r="H62" s="67"/>
      <c r="I62" s="67"/>
      <c r="J62" s="68"/>
      <c r="K62" s="71"/>
      <c r="L62" s="71"/>
      <c r="M62" s="73"/>
      <c r="N62" s="72"/>
      <c r="O62" s="66"/>
      <c r="P62" s="65"/>
      <c r="Q62" s="66"/>
    </row>
    <row r="63" spans="2:17" x14ac:dyDescent="0.25">
      <c r="B63" s="66"/>
      <c r="C63" s="65"/>
      <c r="D63" s="66"/>
      <c r="E63" s="65"/>
      <c r="F63" s="70"/>
      <c r="G63" s="68"/>
      <c r="H63" s="67"/>
      <c r="I63" s="67"/>
      <c r="J63" s="68"/>
      <c r="K63" s="71"/>
      <c r="L63" s="71"/>
      <c r="M63" s="73"/>
      <c r="N63" s="72"/>
      <c r="O63" s="66"/>
      <c r="P63" s="65"/>
      <c r="Q63" s="66"/>
    </row>
    <row r="64" spans="2:17" x14ac:dyDescent="0.25">
      <c r="B64" s="66"/>
      <c r="C64" s="65"/>
      <c r="D64" s="66"/>
      <c r="E64" s="65"/>
      <c r="F64" s="70"/>
      <c r="G64" s="68"/>
      <c r="H64" s="67"/>
      <c r="I64" s="67"/>
      <c r="J64" s="68"/>
      <c r="K64" s="71"/>
      <c r="L64" s="71"/>
      <c r="M64" s="73"/>
      <c r="N64" s="72"/>
      <c r="O64" s="66"/>
      <c r="P64" s="65"/>
      <c r="Q64" s="66"/>
    </row>
    <row r="65" spans="2:17" x14ac:dyDescent="0.25">
      <c r="B65" s="66"/>
      <c r="C65" s="65"/>
      <c r="D65" s="66"/>
      <c r="E65" s="65"/>
      <c r="F65" s="70"/>
      <c r="G65" s="68"/>
      <c r="H65" s="67"/>
      <c r="I65" s="67"/>
      <c r="J65" s="68"/>
      <c r="K65" s="71"/>
      <c r="L65" s="71"/>
      <c r="M65" s="73"/>
      <c r="N65" s="72"/>
      <c r="O65" s="66"/>
      <c r="P65" s="65"/>
      <c r="Q65" s="66"/>
    </row>
    <row r="66" spans="2:17" x14ac:dyDescent="0.25">
      <c r="B66" s="66"/>
      <c r="C66" s="65"/>
      <c r="D66" s="66"/>
      <c r="E66" s="65"/>
      <c r="F66" s="70"/>
      <c r="G66" s="68"/>
      <c r="H66" s="67"/>
      <c r="I66" s="67"/>
      <c r="J66" s="68"/>
      <c r="K66" s="71"/>
      <c r="L66" s="71"/>
      <c r="M66" s="73"/>
      <c r="N66" s="72"/>
      <c r="O66" s="66"/>
      <c r="P66" s="65"/>
      <c r="Q66" s="66"/>
    </row>
    <row r="67" spans="2:17" x14ac:dyDescent="0.25">
      <c r="B67" s="66"/>
      <c r="C67" s="65"/>
      <c r="D67" s="66"/>
      <c r="E67" s="65"/>
      <c r="F67" s="70"/>
      <c r="G67" s="68"/>
      <c r="H67" s="67"/>
      <c r="I67" s="67"/>
      <c r="J67" s="68"/>
      <c r="K67" s="71"/>
      <c r="L67" s="71"/>
      <c r="M67" s="73"/>
      <c r="N67" s="72"/>
      <c r="O67" s="66"/>
      <c r="P67" s="65"/>
      <c r="Q67" s="66"/>
    </row>
    <row r="68" spans="2:17" x14ac:dyDescent="0.25">
      <c r="B68" s="66"/>
      <c r="C68" s="65"/>
      <c r="D68" s="66"/>
      <c r="E68" s="65"/>
      <c r="F68" s="70"/>
      <c r="G68" s="68"/>
      <c r="H68" s="67"/>
      <c r="I68" s="67"/>
      <c r="J68" s="68"/>
      <c r="K68" s="71"/>
      <c r="L68" s="71"/>
      <c r="M68" s="73"/>
      <c r="N68" s="72"/>
      <c r="O68" s="66"/>
      <c r="P68" s="65"/>
      <c r="Q68" s="66"/>
    </row>
    <row r="69" spans="2:17" x14ac:dyDescent="0.25">
      <c r="B69" s="66"/>
      <c r="C69" s="65"/>
      <c r="D69" s="66"/>
      <c r="E69" s="65"/>
      <c r="F69" s="70"/>
      <c r="G69" s="68"/>
      <c r="H69" s="67"/>
      <c r="I69" s="67"/>
      <c r="J69" s="68"/>
      <c r="K69" s="71"/>
      <c r="L69" s="71"/>
      <c r="M69" s="73"/>
      <c r="N69" s="72"/>
      <c r="O69" s="66"/>
      <c r="P69" s="65"/>
      <c r="Q69" s="66"/>
    </row>
    <row r="70" spans="2:17" x14ac:dyDescent="0.25">
      <c r="B70" s="66"/>
      <c r="C70" s="65"/>
      <c r="D70" s="66"/>
      <c r="E70" s="65"/>
      <c r="F70" s="70"/>
      <c r="G70" s="68"/>
      <c r="H70" s="67"/>
      <c r="I70" s="67"/>
      <c r="J70" s="68"/>
      <c r="K70" s="71"/>
      <c r="L70" s="71"/>
      <c r="M70" s="73"/>
      <c r="N70" s="72"/>
      <c r="O70" s="66"/>
      <c r="P70" s="65"/>
      <c r="Q70" s="66"/>
    </row>
    <row r="71" spans="2:17" x14ac:dyDescent="0.25">
      <c r="B71" s="66"/>
      <c r="C71" s="65"/>
      <c r="D71" s="66"/>
      <c r="E71" s="65"/>
      <c r="F71" s="70"/>
      <c r="G71" s="68"/>
      <c r="H71" s="67"/>
      <c r="I71" s="67"/>
      <c r="J71" s="68"/>
      <c r="K71" s="71"/>
      <c r="L71" s="71"/>
      <c r="M71" s="73"/>
      <c r="N71" s="72"/>
      <c r="O71" s="66"/>
      <c r="P71" s="65"/>
      <c r="Q71" s="66"/>
    </row>
    <row r="72" spans="2:17" x14ac:dyDescent="0.25">
      <c r="B72" s="66"/>
      <c r="C72" s="65"/>
      <c r="D72" s="66"/>
      <c r="E72" s="65"/>
      <c r="F72" s="70"/>
      <c r="G72" s="68"/>
      <c r="H72" s="67"/>
      <c r="I72" s="67"/>
      <c r="J72" s="68"/>
      <c r="K72" s="71"/>
      <c r="L72" s="71"/>
      <c r="M72" s="73"/>
      <c r="N72" s="72"/>
      <c r="O72" s="66"/>
      <c r="P72" s="65"/>
      <c r="Q72" s="66"/>
    </row>
    <row r="73" spans="2:17" x14ac:dyDescent="0.25">
      <c r="B73" s="66"/>
      <c r="C73" s="65"/>
      <c r="D73" s="66"/>
      <c r="E73" s="65"/>
      <c r="F73" s="70"/>
      <c r="G73" s="68"/>
      <c r="H73" s="67"/>
      <c r="I73" s="67"/>
      <c r="J73" s="68"/>
      <c r="K73" s="71"/>
      <c r="L73" s="71"/>
      <c r="M73" s="73"/>
      <c r="N73" s="72"/>
      <c r="O73" s="66"/>
      <c r="P73" s="65"/>
      <c r="Q73" s="66"/>
    </row>
    <row r="74" spans="2:17" x14ac:dyDescent="0.25">
      <c r="B74" s="66"/>
      <c r="C74" s="65"/>
      <c r="D74" s="66"/>
      <c r="E74" s="65"/>
      <c r="F74" s="70"/>
      <c r="G74" s="68"/>
      <c r="H74" s="67"/>
      <c r="I74" s="67"/>
      <c r="J74" s="68"/>
      <c r="K74" s="71"/>
      <c r="L74" s="71"/>
      <c r="M74" s="73"/>
      <c r="N74" s="72"/>
      <c r="O74" s="66"/>
      <c r="P74" s="65"/>
      <c r="Q74" s="66"/>
    </row>
    <row r="75" spans="2:17" x14ac:dyDescent="0.25">
      <c r="B75" s="66"/>
      <c r="C75" s="65"/>
      <c r="D75" s="66"/>
      <c r="E75" s="65"/>
      <c r="F75" s="70"/>
      <c r="G75" s="68"/>
      <c r="H75" s="67"/>
      <c r="I75" s="67"/>
      <c r="J75" s="68"/>
      <c r="K75" s="71"/>
      <c r="L75" s="71"/>
      <c r="M75" s="73"/>
      <c r="N75" s="72"/>
      <c r="O75" s="66"/>
      <c r="P75" s="65"/>
      <c r="Q75" s="66"/>
    </row>
    <row r="76" spans="2:17" x14ac:dyDescent="0.25">
      <c r="B76" s="66"/>
      <c r="C76" s="65"/>
      <c r="D76" s="66"/>
      <c r="E76" s="65"/>
      <c r="F76" s="70"/>
      <c r="G76" s="68"/>
      <c r="H76" s="67"/>
      <c r="I76" s="67"/>
      <c r="J76" s="68"/>
      <c r="K76" s="71"/>
      <c r="L76" s="71"/>
      <c r="M76" s="73"/>
      <c r="N76" s="72"/>
      <c r="O76" s="66"/>
      <c r="P76" s="65"/>
      <c r="Q76" s="66"/>
    </row>
    <row r="77" spans="2:17" x14ac:dyDescent="0.25">
      <c r="B77" s="66"/>
      <c r="C77" s="65"/>
      <c r="D77" s="66"/>
      <c r="E77" s="65"/>
      <c r="F77" s="70"/>
      <c r="G77" s="68"/>
      <c r="H77" s="67"/>
      <c r="I77" s="67"/>
      <c r="J77" s="68"/>
      <c r="K77" s="71"/>
      <c r="L77" s="71"/>
      <c r="M77" s="73"/>
      <c r="N77" s="72"/>
      <c r="O77" s="66"/>
      <c r="P77" s="65"/>
      <c r="Q77" s="66"/>
    </row>
    <row r="78" spans="2:17" x14ac:dyDescent="0.25">
      <c r="B78" s="66"/>
      <c r="C78" s="65"/>
      <c r="D78" s="66"/>
      <c r="E78" s="65"/>
      <c r="F78" s="70"/>
      <c r="G78" s="68"/>
      <c r="H78" s="67"/>
      <c r="I78" s="67"/>
      <c r="J78" s="68"/>
      <c r="K78" s="71"/>
      <c r="L78" s="71"/>
      <c r="M78" s="73"/>
      <c r="N78" s="72"/>
      <c r="O78" s="66"/>
      <c r="P78" s="65"/>
      <c r="Q78" s="66"/>
    </row>
    <row r="79" spans="2:17" x14ac:dyDescent="0.25">
      <c r="B79" s="66"/>
      <c r="C79" s="65"/>
      <c r="D79" s="66"/>
      <c r="E79" s="65"/>
      <c r="F79" s="70"/>
      <c r="G79" s="68"/>
      <c r="H79" s="67"/>
      <c r="I79" s="67"/>
      <c r="J79" s="68"/>
      <c r="K79" s="71"/>
      <c r="L79" s="71"/>
      <c r="M79" s="73"/>
      <c r="N79" s="72"/>
      <c r="O79" s="66"/>
      <c r="P79" s="65"/>
      <c r="Q79" s="66"/>
    </row>
    <row r="80" spans="2:17" x14ac:dyDescent="0.25">
      <c r="B80" s="66"/>
      <c r="C80" s="65"/>
      <c r="D80" s="66"/>
      <c r="E80" s="65"/>
      <c r="F80" s="70"/>
      <c r="G80" s="68"/>
      <c r="H80" s="67"/>
      <c r="I80" s="67"/>
      <c r="J80" s="68"/>
      <c r="K80" s="71"/>
      <c r="L80" s="71"/>
      <c r="M80" s="73"/>
      <c r="N80" s="72"/>
      <c r="O80" s="66"/>
      <c r="P80" s="65"/>
      <c r="Q80" s="66"/>
    </row>
    <row r="81" spans="2:17" x14ac:dyDescent="0.25">
      <c r="B81" s="66"/>
      <c r="C81" s="65"/>
      <c r="D81" s="66"/>
      <c r="E81" s="65"/>
      <c r="F81" s="70"/>
      <c r="G81" s="68"/>
      <c r="H81" s="67"/>
      <c r="I81" s="67"/>
      <c r="J81" s="68"/>
      <c r="K81" s="71"/>
      <c r="L81" s="71"/>
      <c r="M81" s="73"/>
      <c r="N81" s="72"/>
      <c r="O81" s="66"/>
      <c r="P81" s="65"/>
      <c r="Q81" s="66"/>
    </row>
    <row r="82" spans="2:17" x14ac:dyDescent="0.25">
      <c r="B82" s="66"/>
      <c r="C82" s="65"/>
      <c r="D82" s="66"/>
      <c r="E82" s="65"/>
      <c r="F82" s="70"/>
      <c r="G82" s="68"/>
      <c r="H82" s="67"/>
      <c r="I82" s="67"/>
      <c r="J82" s="68"/>
      <c r="K82" s="71"/>
      <c r="L82" s="71"/>
      <c r="M82" s="73"/>
      <c r="N82" s="72"/>
      <c r="O82" s="66"/>
      <c r="P82" s="65"/>
      <c r="Q82" s="66"/>
    </row>
    <row r="83" spans="2:17" x14ac:dyDescent="0.25">
      <c r="B83" s="66"/>
      <c r="C83" s="65"/>
      <c r="D83" s="66"/>
      <c r="E83" s="65"/>
      <c r="F83" s="70"/>
      <c r="G83" s="68"/>
      <c r="H83" s="67"/>
      <c r="I83" s="67"/>
      <c r="J83" s="68"/>
      <c r="K83" s="71"/>
      <c r="L83" s="71"/>
      <c r="M83" s="73"/>
      <c r="N83" s="72"/>
      <c r="O83" s="66"/>
      <c r="P83" s="65"/>
      <c r="Q83" s="66"/>
    </row>
    <row r="84" spans="2:17" x14ac:dyDescent="0.25">
      <c r="B84" s="66"/>
      <c r="C84" s="65"/>
      <c r="D84" s="66"/>
      <c r="E84" s="65"/>
      <c r="F84" s="70"/>
      <c r="G84" s="68"/>
      <c r="H84" s="67"/>
      <c r="I84" s="67"/>
      <c r="J84" s="68"/>
      <c r="K84" s="71"/>
      <c r="L84" s="71"/>
      <c r="M84" s="73"/>
      <c r="N84" s="72"/>
      <c r="O84" s="66"/>
      <c r="P84" s="65"/>
      <c r="Q84" s="66"/>
    </row>
    <row r="85" spans="2:17" x14ac:dyDescent="0.25">
      <c r="B85" s="66"/>
      <c r="C85" s="65"/>
      <c r="D85" s="66"/>
      <c r="E85" s="65"/>
      <c r="F85" s="70"/>
      <c r="G85" s="68"/>
      <c r="H85" s="67"/>
      <c r="I85" s="67"/>
      <c r="J85" s="68"/>
      <c r="K85" s="71"/>
      <c r="L85" s="71"/>
      <c r="M85" s="73"/>
      <c r="N85" s="72"/>
      <c r="O85" s="66"/>
      <c r="P85" s="65"/>
      <c r="Q85" s="66"/>
    </row>
    <row r="86" spans="2:17" x14ac:dyDescent="0.25">
      <c r="B86" s="66"/>
      <c r="C86" s="65"/>
      <c r="D86" s="66"/>
      <c r="E86" s="65"/>
      <c r="F86" s="70"/>
      <c r="G86" s="68"/>
      <c r="H86" s="67"/>
      <c r="I86" s="67"/>
      <c r="J86" s="68"/>
      <c r="K86" s="71"/>
      <c r="L86" s="71"/>
      <c r="M86" s="73"/>
      <c r="N86" s="72"/>
      <c r="O86" s="66"/>
      <c r="P86" s="65"/>
      <c r="Q86" s="66"/>
    </row>
    <row r="87" spans="2:17" x14ac:dyDescent="0.25">
      <c r="B87" s="66"/>
      <c r="C87" s="65"/>
      <c r="D87" s="66"/>
      <c r="E87" s="65"/>
      <c r="F87" s="70"/>
      <c r="G87" s="68"/>
      <c r="H87" s="67"/>
      <c r="I87" s="67"/>
      <c r="J87" s="68"/>
      <c r="K87" s="71"/>
      <c r="L87" s="71"/>
      <c r="M87" s="73"/>
      <c r="N87" s="72"/>
      <c r="O87" s="66"/>
      <c r="P87" s="65"/>
      <c r="Q87" s="66"/>
    </row>
    <row r="88" spans="2:17" x14ac:dyDescent="0.25">
      <c r="B88" s="66"/>
      <c r="C88" s="65"/>
      <c r="D88" s="66"/>
      <c r="E88" s="65"/>
      <c r="F88" s="70"/>
      <c r="G88" s="68"/>
      <c r="H88" s="67"/>
      <c r="I88" s="67"/>
      <c r="J88" s="68"/>
      <c r="K88" s="71"/>
      <c r="L88" s="71"/>
      <c r="M88" s="73"/>
      <c r="N88" s="72"/>
      <c r="O88" s="66"/>
      <c r="P88" s="65"/>
      <c r="Q88" s="66"/>
    </row>
    <row r="89" spans="2:17" x14ac:dyDescent="0.25">
      <c r="B89" s="66"/>
      <c r="C89" s="65"/>
      <c r="D89" s="66"/>
      <c r="E89" s="65"/>
      <c r="F89" s="70"/>
      <c r="G89" s="68"/>
      <c r="H89" s="67"/>
      <c r="I89" s="67"/>
      <c r="J89" s="68"/>
      <c r="K89" s="71"/>
      <c r="L89" s="71"/>
      <c r="M89" s="73"/>
      <c r="N89" s="72"/>
      <c r="O89" s="66"/>
      <c r="P89" s="65"/>
      <c r="Q89" s="66"/>
    </row>
    <row r="90" spans="2:17" x14ac:dyDescent="0.25">
      <c r="B90" s="66"/>
      <c r="C90" s="65"/>
      <c r="D90" s="66"/>
      <c r="E90" s="65"/>
      <c r="F90" s="70"/>
      <c r="G90" s="68"/>
      <c r="H90" s="67"/>
      <c r="I90" s="67"/>
      <c r="J90" s="68"/>
      <c r="K90" s="71"/>
      <c r="L90" s="71"/>
      <c r="M90" s="73"/>
      <c r="N90" s="72"/>
      <c r="O90" s="66"/>
      <c r="P90" s="65"/>
      <c r="Q90" s="66"/>
    </row>
    <row r="91" spans="2:17" x14ac:dyDescent="0.25">
      <c r="B91" s="66"/>
      <c r="C91" s="65"/>
      <c r="D91" s="66"/>
      <c r="E91" s="65"/>
      <c r="F91" s="70"/>
      <c r="G91" s="68"/>
      <c r="H91" s="67"/>
      <c r="I91" s="67"/>
      <c r="J91" s="68"/>
      <c r="K91" s="71"/>
      <c r="L91" s="71"/>
      <c r="M91" s="73"/>
      <c r="N91" s="72"/>
      <c r="O91" s="66"/>
      <c r="P91" s="65"/>
      <c r="Q91" s="66"/>
    </row>
    <row r="92" spans="2:17" x14ac:dyDescent="0.25">
      <c r="B92" s="66"/>
      <c r="C92" s="65"/>
      <c r="D92" s="66"/>
      <c r="E92" s="65"/>
      <c r="F92" s="70"/>
      <c r="G92" s="68"/>
      <c r="H92" s="67"/>
      <c r="I92" s="67"/>
      <c r="J92" s="68"/>
      <c r="K92" s="71"/>
      <c r="L92" s="71"/>
      <c r="M92" s="73"/>
      <c r="N92" s="72"/>
      <c r="O92" s="66"/>
      <c r="P92" s="65"/>
      <c r="Q92" s="66"/>
    </row>
    <row r="93" spans="2:17" x14ac:dyDescent="0.25">
      <c r="B93" s="66"/>
      <c r="C93" s="65"/>
      <c r="D93" s="66"/>
      <c r="E93" s="65"/>
      <c r="F93" s="70"/>
      <c r="G93" s="68"/>
      <c r="H93" s="67"/>
      <c r="I93" s="67"/>
      <c r="J93" s="68"/>
      <c r="K93" s="71"/>
      <c r="L93" s="71"/>
      <c r="M93" s="73"/>
      <c r="N93" s="72"/>
      <c r="O93" s="66"/>
      <c r="P93" s="65"/>
      <c r="Q93" s="66"/>
    </row>
    <row r="94" spans="2:17" x14ac:dyDescent="0.25">
      <c r="B94" s="66"/>
      <c r="C94" s="65"/>
      <c r="D94" s="66"/>
      <c r="E94" s="65"/>
      <c r="F94" s="70"/>
      <c r="G94" s="68"/>
      <c r="H94" s="67"/>
      <c r="I94" s="67"/>
      <c r="J94" s="68"/>
      <c r="K94" s="71"/>
      <c r="L94" s="71"/>
      <c r="M94" s="73"/>
      <c r="N94" s="72"/>
      <c r="O94" s="66"/>
      <c r="P94" s="65"/>
      <c r="Q94" s="66"/>
    </row>
    <row r="95" spans="2:17" x14ac:dyDescent="0.25">
      <c r="B95" s="66"/>
      <c r="C95" s="65"/>
      <c r="D95" s="66"/>
      <c r="E95" s="65"/>
      <c r="F95" s="70"/>
      <c r="G95" s="68"/>
      <c r="H95" s="67"/>
      <c r="I95" s="67"/>
      <c r="J95" s="68"/>
      <c r="K95" s="71"/>
      <c r="L95" s="71"/>
      <c r="M95" s="73"/>
      <c r="N95" s="72"/>
      <c r="O95" s="66"/>
      <c r="P95" s="65"/>
      <c r="Q95" s="66"/>
    </row>
    <row r="96" spans="2:17" x14ac:dyDescent="0.25">
      <c r="B96" s="66"/>
      <c r="C96" s="65"/>
      <c r="D96" s="66"/>
      <c r="E96" s="65"/>
      <c r="F96" s="70"/>
      <c r="G96" s="68"/>
      <c r="H96" s="67"/>
      <c r="I96" s="67"/>
      <c r="J96" s="68"/>
      <c r="K96" s="71"/>
      <c r="L96" s="71"/>
      <c r="M96" s="73"/>
      <c r="N96" s="72"/>
      <c r="O96" s="66"/>
      <c r="P96" s="65"/>
      <c r="Q96" s="66"/>
    </row>
    <row r="97" spans="2:17" x14ac:dyDescent="0.25">
      <c r="B97" s="66"/>
      <c r="C97" s="65"/>
      <c r="D97" s="66"/>
      <c r="E97" s="65"/>
      <c r="F97" s="70"/>
      <c r="G97" s="68"/>
      <c r="H97" s="67"/>
      <c r="I97" s="67"/>
      <c r="J97" s="68"/>
      <c r="K97" s="71"/>
      <c r="L97" s="71"/>
      <c r="M97" s="73"/>
      <c r="N97" s="72"/>
      <c r="O97" s="66"/>
      <c r="P97" s="65"/>
      <c r="Q97" s="66"/>
    </row>
    <row r="98" spans="2:17" x14ac:dyDescent="0.25">
      <c r="B98" s="66"/>
      <c r="C98" s="65"/>
      <c r="D98" s="66"/>
      <c r="E98" s="65"/>
      <c r="F98" s="70"/>
      <c r="G98" s="68"/>
      <c r="H98" s="67"/>
      <c r="I98" s="67"/>
      <c r="J98" s="68"/>
      <c r="K98" s="71"/>
      <c r="L98" s="71"/>
      <c r="M98" s="73"/>
      <c r="N98" s="72"/>
      <c r="O98" s="66"/>
      <c r="P98" s="65"/>
      <c r="Q98" s="66"/>
    </row>
    <row r="99" spans="2:17" x14ac:dyDescent="0.25">
      <c r="B99" s="66"/>
      <c r="C99" s="65"/>
      <c r="D99" s="66"/>
      <c r="E99" s="65"/>
      <c r="F99" s="70"/>
      <c r="G99" s="68"/>
      <c r="H99" s="67"/>
      <c r="I99" s="67"/>
      <c r="J99" s="68"/>
      <c r="K99" s="71"/>
      <c r="L99" s="71"/>
      <c r="M99" s="73"/>
      <c r="N99" s="72"/>
      <c r="O99" s="66"/>
      <c r="P99" s="65"/>
      <c r="Q99" s="66"/>
    </row>
    <row r="100" spans="2:17" x14ac:dyDescent="0.25">
      <c r="B100" s="66"/>
      <c r="C100" s="65"/>
      <c r="D100" s="66"/>
      <c r="E100" s="65"/>
      <c r="F100" s="70"/>
      <c r="G100" s="68"/>
      <c r="H100" s="67"/>
      <c r="I100" s="67"/>
      <c r="J100" s="68"/>
      <c r="K100" s="71"/>
      <c r="L100" s="71"/>
      <c r="M100" s="73"/>
      <c r="N100" s="72"/>
      <c r="O100" s="66"/>
      <c r="P100" s="65"/>
      <c r="Q100" s="66"/>
    </row>
    <row r="101" spans="2:17" x14ac:dyDescent="0.25">
      <c r="B101" s="66"/>
      <c r="C101" s="65"/>
      <c r="D101" s="66"/>
      <c r="E101" s="65"/>
      <c r="F101" s="70"/>
      <c r="G101" s="68"/>
      <c r="H101" s="67"/>
      <c r="I101" s="67"/>
      <c r="J101" s="68"/>
      <c r="K101" s="71"/>
      <c r="L101" s="71"/>
      <c r="M101" s="73"/>
      <c r="N101" s="72"/>
      <c r="O101" s="66"/>
      <c r="P101" s="65"/>
      <c r="Q101" s="66"/>
    </row>
    <row r="102" spans="2:17" x14ac:dyDescent="0.25">
      <c r="B102" s="66"/>
      <c r="C102" s="65"/>
      <c r="D102" s="66"/>
      <c r="E102" s="65"/>
      <c r="F102" s="70"/>
      <c r="G102" s="68"/>
      <c r="H102" s="67"/>
      <c r="I102" s="67"/>
      <c r="J102" s="68"/>
      <c r="K102" s="71"/>
      <c r="L102" s="71"/>
      <c r="M102" s="73"/>
      <c r="N102" s="72"/>
      <c r="O102" s="66"/>
      <c r="P102" s="65"/>
      <c r="Q102" s="66"/>
    </row>
    <row r="103" spans="2:17" x14ac:dyDescent="0.25">
      <c r="B103" s="66"/>
      <c r="C103" s="65"/>
      <c r="D103" s="66"/>
      <c r="E103" s="65"/>
      <c r="F103" s="70"/>
      <c r="G103" s="68"/>
      <c r="H103" s="67"/>
      <c r="I103" s="67"/>
      <c r="J103" s="68"/>
      <c r="K103" s="71"/>
      <c r="L103" s="71"/>
      <c r="M103" s="73"/>
      <c r="N103" s="72"/>
      <c r="O103" s="66"/>
      <c r="P103" s="65"/>
      <c r="Q103" s="66"/>
    </row>
    <row r="104" spans="2:17" x14ac:dyDescent="0.25">
      <c r="B104" s="66"/>
      <c r="C104" s="65"/>
      <c r="D104" s="66"/>
      <c r="E104" s="65"/>
      <c r="F104" s="70"/>
      <c r="G104" s="68"/>
      <c r="H104" s="67"/>
      <c r="I104" s="67"/>
      <c r="J104" s="68"/>
      <c r="K104" s="71"/>
      <c r="L104" s="71"/>
      <c r="M104" s="73"/>
      <c r="N104" s="72"/>
      <c r="O104" s="66"/>
      <c r="P104" s="65"/>
      <c r="Q104" s="66"/>
    </row>
    <row r="105" spans="2:17" x14ac:dyDescent="0.25">
      <c r="B105" s="66"/>
      <c r="C105" s="65"/>
      <c r="D105" s="66"/>
      <c r="E105" s="65"/>
      <c r="F105" s="70"/>
      <c r="G105" s="68"/>
      <c r="H105" s="67"/>
      <c r="I105" s="67"/>
      <c r="J105" s="68"/>
      <c r="K105" s="71"/>
      <c r="L105" s="71"/>
      <c r="M105" s="73"/>
      <c r="N105" s="72"/>
      <c r="O105" s="66"/>
      <c r="P105" s="65"/>
      <c r="Q105" s="66"/>
    </row>
    <row r="106" spans="2:17" x14ac:dyDescent="0.25">
      <c r="B106" s="66"/>
      <c r="C106" s="65"/>
      <c r="D106" s="66"/>
      <c r="E106" s="65"/>
      <c r="F106" s="70"/>
      <c r="G106" s="68"/>
      <c r="H106" s="67"/>
      <c r="I106" s="67"/>
      <c r="J106" s="68"/>
      <c r="K106" s="71"/>
      <c r="L106" s="71"/>
      <c r="M106" s="73"/>
      <c r="N106" s="72"/>
      <c r="O106" s="66"/>
      <c r="P106" s="65"/>
      <c r="Q106" s="66"/>
    </row>
    <row r="107" spans="2:17" x14ac:dyDescent="0.25">
      <c r="B107" s="66"/>
      <c r="C107" s="65"/>
      <c r="D107" s="66"/>
      <c r="E107" s="65"/>
      <c r="F107" s="70"/>
      <c r="G107" s="68"/>
      <c r="H107" s="67"/>
      <c r="I107" s="67"/>
      <c r="J107" s="68"/>
      <c r="K107" s="71"/>
      <c r="L107" s="71"/>
      <c r="M107" s="73"/>
      <c r="N107" s="72"/>
      <c r="O107" s="66"/>
      <c r="P107" s="65"/>
      <c r="Q107" s="66"/>
    </row>
    <row r="108" spans="2:17" x14ac:dyDescent="0.25">
      <c r="B108" s="66"/>
      <c r="C108" s="65"/>
      <c r="D108" s="66"/>
      <c r="E108" s="65"/>
      <c r="F108" s="70"/>
      <c r="G108" s="68"/>
      <c r="H108" s="67"/>
      <c r="I108" s="67"/>
      <c r="J108" s="68"/>
      <c r="K108" s="71"/>
      <c r="L108" s="71"/>
      <c r="M108" s="73"/>
      <c r="N108" s="72"/>
      <c r="O108" s="66"/>
      <c r="P108" s="65"/>
      <c r="Q108" s="66"/>
    </row>
    <row r="109" spans="2:17" x14ac:dyDescent="0.25">
      <c r="B109" s="66"/>
      <c r="C109" s="65"/>
      <c r="D109" s="66"/>
      <c r="E109" s="65"/>
      <c r="F109" s="70"/>
      <c r="G109" s="68"/>
      <c r="H109" s="67"/>
      <c r="I109" s="67"/>
      <c r="J109" s="68"/>
      <c r="K109" s="71"/>
      <c r="L109" s="71"/>
      <c r="M109" s="73"/>
      <c r="N109" s="72"/>
      <c r="O109" s="66"/>
      <c r="P109" s="65"/>
      <c r="Q109" s="66"/>
    </row>
    <row r="110" spans="2:17" x14ac:dyDescent="0.25">
      <c r="B110" s="66"/>
      <c r="C110" s="65"/>
      <c r="D110" s="66"/>
      <c r="E110" s="65"/>
      <c r="F110" s="70"/>
      <c r="G110" s="68"/>
      <c r="H110" s="67"/>
      <c r="I110" s="67"/>
      <c r="J110" s="68"/>
      <c r="K110" s="71"/>
      <c r="L110" s="71"/>
      <c r="M110" s="73"/>
      <c r="N110" s="72"/>
      <c r="O110" s="66"/>
      <c r="P110" s="65"/>
      <c r="Q110" s="66"/>
    </row>
    <row r="111" spans="2:17" x14ac:dyDescent="0.25">
      <c r="B111" s="66"/>
      <c r="C111" s="65"/>
      <c r="D111" s="66"/>
      <c r="E111" s="65"/>
      <c r="F111" s="70"/>
      <c r="G111" s="68"/>
      <c r="H111" s="67"/>
      <c r="I111" s="67"/>
      <c r="J111" s="68"/>
      <c r="K111" s="71"/>
      <c r="L111" s="71"/>
      <c r="M111" s="73"/>
      <c r="N111" s="72"/>
      <c r="O111" s="66"/>
      <c r="P111" s="65"/>
      <c r="Q111" s="66"/>
    </row>
    <row r="112" spans="2:17" x14ac:dyDescent="0.25">
      <c r="B112" s="66"/>
      <c r="C112" s="65"/>
      <c r="D112" s="66"/>
      <c r="E112" s="65"/>
      <c r="F112" s="70"/>
      <c r="G112" s="68"/>
      <c r="H112" s="67"/>
      <c r="I112" s="67"/>
      <c r="J112" s="68"/>
      <c r="K112" s="71"/>
      <c r="L112" s="71"/>
      <c r="M112" s="73"/>
      <c r="N112" s="72"/>
      <c r="O112" s="66"/>
      <c r="P112" s="65"/>
      <c r="Q112" s="66"/>
    </row>
    <row r="113" spans="2:17" x14ac:dyDescent="0.25">
      <c r="B113" s="66"/>
      <c r="C113" s="65"/>
      <c r="D113" s="66"/>
      <c r="E113" s="65"/>
      <c r="F113" s="70"/>
      <c r="G113" s="68"/>
      <c r="H113" s="67"/>
      <c r="I113" s="67"/>
      <c r="J113" s="68"/>
      <c r="K113" s="71"/>
      <c r="L113" s="71"/>
      <c r="M113" s="73"/>
      <c r="N113" s="72"/>
      <c r="O113" s="66"/>
      <c r="P113" s="65"/>
      <c r="Q113" s="66"/>
    </row>
    <row r="114" spans="2:17" x14ac:dyDescent="0.25">
      <c r="B114" s="66"/>
      <c r="C114" s="65"/>
      <c r="D114" s="66"/>
      <c r="E114" s="65"/>
      <c r="F114" s="70"/>
      <c r="G114" s="68"/>
      <c r="H114" s="67"/>
      <c r="I114" s="67"/>
      <c r="J114" s="68"/>
      <c r="K114" s="71"/>
      <c r="L114" s="71"/>
      <c r="M114" s="73"/>
      <c r="N114" s="72"/>
      <c r="O114" s="66"/>
      <c r="P114" s="65"/>
      <c r="Q114" s="66"/>
    </row>
    <row r="115" spans="2:17" x14ac:dyDescent="0.25">
      <c r="B115" s="66"/>
      <c r="C115" s="65"/>
      <c r="D115" s="66"/>
      <c r="E115" s="65"/>
      <c r="F115" s="70"/>
      <c r="G115" s="68"/>
      <c r="H115" s="67"/>
      <c r="I115" s="67"/>
      <c r="J115" s="68"/>
      <c r="K115" s="71"/>
      <c r="L115" s="71"/>
      <c r="M115" s="73"/>
      <c r="N115" s="72"/>
      <c r="O115" s="66"/>
      <c r="P115" s="65"/>
      <c r="Q115" s="66"/>
    </row>
    <row r="116" spans="2:17" x14ac:dyDescent="0.25">
      <c r="B116" s="66"/>
      <c r="C116" s="65"/>
      <c r="D116" s="66"/>
      <c r="E116" s="65"/>
      <c r="F116" s="70"/>
      <c r="G116" s="68"/>
      <c r="H116" s="67"/>
      <c r="I116" s="67"/>
      <c r="J116" s="68"/>
      <c r="K116" s="71"/>
      <c r="L116" s="71"/>
      <c r="M116" s="73"/>
      <c r="N116" s="72"/>
      <c r="O116" s="66"/>
      <c r="P116" s="65"/>
      <c r="Q116" s="66"/>
    </row>
    <row r="117" spans="2:17" x14ac:dyDescent="0.25">
      <c r="B117" s="66"/>
      <c r="C117" s="65"/>
      <c r="D117" s="66"/>
      <c r="E117" s="65"/>
      <c r="F117" s="70"/>
      <c r="G117" s="68"/>
      <c r="H117" s="67"/>
      <c r="I117" s="67"/>
      <c r="J117" s="68"/>
      <c r="K117" s="71"/>
      <c r="L117" s="71"/>
      <c r="M117" s="73"/>
      <c r="N117" s="72"/>
      <c r="O117" s="66"/>
      <c r="P117" s="65"/>
      <c r="Q117" s="66"/>
    </row>
    <row r="118" spans="2:17" x14ac:dyDescent="0.25">
      <c r="B118" s="66"/>
      <c r="C118" s="65"/>
      <c r="D118" s="66"/>
      <c r="E118" s="65"/>
      <c r="F118" s="70"/>
      <c r="G118" s="68"/>
      <c r="H118" s="67"/>
      <c r="I118" s="67"/>
      <c r="J118" s="68"/>
      <c r="K118" s="71"/>
      <c r="L118" s="71"/>
      <c r="M118" s="73"/>
      <c r="N118" s="72"/>
      <c r="O118" s="66"/>
      <c r="P118" s="65"/>
      <c r="Q118" s="66"/>
    </row>
    <row r="119" spans="2:17" x14ac:dyDescent="0.25">
      <c r="B119" s="66"/>
      <c r="C119" s="65"/>
      <c r="D119" s="66"/>
      <c r="E119" s="65"/>
      <c r="F119" s="70"/>
      <c r="G119" s="68"/>
      <c r="H119" s="67"/>
      <c r="I119" s="67"/>
      <c r="J119" s="68"/>
      <c r="K119" s="71"/>
      <c r="L119" s="71"/>
      <c r="M119" s="73"/>
      <c r="N119" s="72"/>
      <c r="O119" s="66"/>
      <c r="P119" s="65"/>
      <c r="Q119" s="66"/>
    </row>
    <row r="120" spans="2:17" x14ac:dyDescent="0.25">
      <c r="B120" s="66"/>
      <c r="C120" s="65"/>
      <c r="D120" s="66"/>
      <c r="E120" s="65"/>
      <c r="F120" s="70"/>
      <c r="G120" s="68"/>
      <c r="H120" s="67"/>
      <c r="I120" s="67"/>
      <c r="J120" s="68"/>
      <c r="K120" s="71"/>
      <c r="L120" s="71"/>
      <c r="M120" s="73"/>
      <c r="N120" s="72"/>
      <c r="O120" s="66"/>
      <c r="P120" s="65"/>
      <c r="Q120" s="66"/>
    </row>
    <row r="121" spans="2:17" x14ac:dyDescent="0.25">
      <c r="B121" s="66"/>
      <c r="C121" s="65"/>
      <c r="D121" s="66"/>
      <c r="E121" s="65"/>
      <c r="F121" s="70"/>
      <c r="G121" s="68"/>
      <c r="H121" s="67"/>
      <c r="I121" s="67"/>
      <c r="J121" s="68"/>
      <c r="K121" s="71"/>
      <c r="L121" s="71"/>
      <c r="M121" s="73"/>
      <c r="N121" s="72"/>
      <c r="O121" s="66"/>
      <c r="P121" s="65"/>
      <c r="Q121" s="66"/>
    </row>
    <row r="122" spans="2:17" x14ac:dyDescent="0.25">
      <c r="B122" s="66"/>
      <c r="C122" s="65"/>
      <c r="D122" s="66"/>
      <c r="E122" s="65"/>
      <c r="F122" s="70"/>
      <c r="G122" s="68"/>
      <c r="H122" s="67"/>
      <c r="I122" s="67"/>
      <c r="J122" s="68"/>
      <c r="K122" s="71"/>
      <c r="L122" s="71"/>
      <c r="M122" s="73"/>
      <c r="N122" s="72"/>
      <c r="O122" s="66"/>
      <c r="P122" s="65"/>
      <c r="Q122" s="66"/>
    </row>
    <row r="123" spans="2:17" x14ac:dyDescent="0.25">
      <c r="B123" s="66"/>
      <c r="C123" s="65"/>
      <c r="D123" s="66"/>
      <c r="E123" s="65"/>
      <c r="F123" s="70"/>
      <c r="G123" s="68"/>
      <c r="H123" s="67"/>
      <c r="I123" s="67"/>
      <c r="J123" s="68"/>
      <c r="K123" s="71"/>
      <c r="L123" s="71"/>
      <c r="M123" s="73"/>
      <c r="N123" s="72"/>
      <c r="O123" s="66"/>
      <c r="P123" s="65"/>
      <c r="Q123" s="66"/>
    </row>
    <row r="124" spans="2:17" x14ac:dyDescent="0.25">
      <c r="B124" s="66"/>
      <c r="C124" s="65"/>
      <c r="D124" s="66"/>
      <c r="E124" s="65"/>
      <c r="F124" s="70"/>
      <c r="G124" s="68"/>
      <c r="H124" s="67"/>
      <c r="I124" s="67"/>
      <c r="J124" s="68"/>
      <c r="K124" s="71"/>
      <c r="L124" s="71"/>
      <c r="M124" s="73"/>
      <c r="N124" s="72"/>
      <c r="O124" s="66"/>
      <c r="P124" s="65"/>
      <c r="Q124" s="66"/>
    </row>
    <row r="125" spans="2:17" x14ac:dyDescent="0.25">
      <c r="B125" s="66"/>
      <c r="C125" s="65"/>
      <c r="D125" s="66"/>
      <c r="E125" s="65"/>
      <c r="F125" s="70"/>
      <c r="G125" s="68"/>
      <c r="H125" s="67"/>
      <c r="I125" s="67"/>
      <c r="J125" s="68"/>
      <c r="K125" s="71"/>
      <c r="L125" s="71"/>
      <c r="M125" s="73"/>
      <c r="N125" s="72"/>
      <c r="O125" s="66"/>
      <c r="P125" s="65"/>
      <c r="Q125" s="66"/>
    </row>
    <row r="126" spans="2:17" x14ac:dyDescent="0.25">
      <c r="B126" s="66"/>
      <c r="C126" s="65"/>
      <c r="D126" s="66"/>
      <c r="E126" s="65"/>
      <c r="F126" s="70"/>
      <c r="G126" s="68"/>
      <c r="H126" s="67"/>
      <c r="I126" s="67"/>
      <c r="J126" s="68"/>
      <c r="K126" s="71"/>
      <c r="L126" s="71"/>
      <c r="M126" s="73"/>
      <c r="N126" s="72"/>
      <c r="O126" s="66"/>
      <c r="P126" s="65"/>
      <c r="Q126" s="66"/>
    </row>
    <row r="127" spans="2:17" x14ac:dyDescent="0.25">
      <c r="B127" s="66"/>
      <c r="C127" s="65"/>
      <c r="D127" s="66"/>
      <c r="E127" s="65"/>
      <c r="F127" s="70"/>
      <c r="G127" s="68"/>
      <c r="H127" s="67"/>
      <c r="I127" s="67"/>
      <c r="J127" s="68"/>
      <c r="K127" s="71"/>
      <c r="L127" s="71"/>
      <c r="M127" s="73"/>
      <c r="N127" s="72"/>
      <c r="O127" s="66"/>
      <c r="P127" s="65"/>
      <c r="Q127" s="66"/>
    </row>
    <row r="128" spans="2:17" x14ac:dyDescent="0.25">
      <c r="B128" s="66"/>
      <c r="C128" s="65"/>
      <c r="D128" s="66"/>
      <c r="E128" s="65"/>
      <c r="F128" s="70"/>
      <c r="G128" s="68"/>
      <c r="H128" s="67"/>
      <c r="I128" s="67"/>
      <c r="J128" s="68"/>
      <c r="K128" s="71"/>
      <c r="L128" s="71"/>
      <c r="M128" s="73"/>
      <c r="N128" s="72"/>
      <c r="O128" s="66"/>
      <c r="P128" s="65"/>
      <c r="Q128" s="66"/>
    </row>
    <row r="129" spans="2:17" x14ac:dyDescent="0.25">
      <c r="B129" s="66"/>
      <c r="C129" s="65"/>
      <c r="D129" s="66"/>
      <c r="E129" s="65"/>
      <c r="F129" s="70"/>
      <c r="G129" s="68"/>
      <c r="H129" s="67"/>
      <c r="I129" s="67"/>
      <c r="J129" s="68"/>
      <c r="K129" s="71"/>
      <c r="L129" s="71"/>
      <c r="M129" s="73"/>
      <c r="N129" s="72"/>
      <c r="O129" s="66"/>
      <c r="P129" s="65"/>
      <c r="Q129" s="66"/>
    </row>
    <row r="130" spans="2:17" x14ac:dyDescent="0.25">
      <c r="B130" s="66"/>
      <c r="C130" s="65"/>
      <c r="D130" s="66"/>
      <c r="E130" s="65"/>
      <c r="F130" s="70"/>
      <c r="G130" s="68"/>
      <c r="H130" s="67"/>
      <c r="I130" s="67"/>
      <c r="J130" s="68"/>
      <c r="K130" s="71"/>
      <c r="L130" s="71"/>
      <c r="M130" s="73"/>
      <c r="N130" s="72"/>
      <c r="O130" s="66"/>
      <c r="P130" s="65"/>
      <c r="Q130" s="66"/>
    </row>
    <row r="131" spans="2:17" x14ac:dyDescent="0.25">
      <c r="B131" s="66"/>
      <c r="C131" s="65"/>
      <c r="D131" s="66"/>
      <c r="E131" s="65"/>
      <c r="F131" s="70"/>
      <c r="G131" s="68"/>
      <c r="H131" s="67"/>
      <c r="I131" s="67"/>
      <c r="J131" s="68"/>
      <c r="K131" s="71"/>
      <c r="L131" s="71"/>
      <c r="M131" s="73"/>
      <c r="N131" s="72"/>
      <c r="O131" s="66"/>
      <c r="P131" s="65"/>
      <c r="Q131" s="66"/>
    </row>
    <row r="132" spans="2:17" x14ac:dyDescent="0.25">
      <c r="B132" s="66"/>
      <c r="C132" s="65"/>
      <c r="D132" s="66"/>
      <c r="E132" s="65"/>
      <c r="F132" s="70"/>
      <c r="G132" s="68"/>
      <c r="H132" s="67"/>
      <c r="I132" s="67"/>
      <c r="J132" s="68"/>
      <c r="K132" s="71"/>
      <c r="L132" s="71"/>
      <c r="M132" s="73"/>
      <c r="N132" s="72"/>
      <c r="O132" s="66"/>
      <c r="P132" s="65"/>
      <c r="Q132" s="66"/>
    </row>
    <row r="133" spans="2:17" x14ac:dyDescent="0.25">
      <c r="B133" s="66"/>
      <c r="C133" s="65"/>
      <c r="D133" s="66"/>
      <c r="E133" s="65"/>
      <c r="F133" s="70"/>
      <c r="G133" s="68"/>
      <c r="H133" s="67"/>
      <c r="I133" s="67"/>
      <c r="J133" s="68"/>
      <c r="K133" s="71"/>
      <c r="L133" s="71"/>
      <c r="M133" s="73"/>
      <c r="N133" s="72"/>
      <c r="O133" s="66"/>
      <c r="P133" s="65"/>
      <c r="Q133" s="66"/>
    </row>
    <row r="134" spans="2:17" x14ac:dyDescent="0.25">
      <c r="B134" s="66"/>
      <c r="C134" s="65"/>
      <c r="D134" s="66"/>
      <c r="E134" s="65"/>
      <c r="F134" s="70"/>
      <c r="G134" s="68"/>
      <c r="H134" s="67"/>
      <c r="I134" s="67"/>
      <c r="J134" s="68"/>
      <c r="K134" s="71"/>
      <c r="L134" s="71"/>
      <c r="M134" s="73"/>
      <c r="N134" s="72"/>
      <c r="O134" s="66"/>
      <c r="P134" s="65"/>
      <c r="Q134" s="66"/>
    </row>
    <row r="135" spans="2:17" x14ac:dyDescent="0.25">
      <c r="B135" s="66"/>
      <c r="C135" s="65"/>
      <c r="D135" s="66"/>
      <c r="E135" s="65"/>
      <c r="F135" s="70"/>
      <c r="G135" s="68"/>
      <c r="H135" s="67"/>
      <c r="I135" s="67"/>
      <c r="J135" s="68"/>
      <c r="K135" s="71"/>
      <c r="L135" s="71"/>
      <c r="M135" s="73"/>
      <c r="N135" s="72"/>
      <c r="O135" s="66"/>
      <c r="P135" s="65"/>
      <c r="Q135" s="66"/>
    </row>
    <row r="136" spans="2:17" x14ac:dyDescent="0.25">
      <c r="B136" s="66"/>
      <c r="C136" s="65"/>
      <c r="D136" s="66"/>
      <c r="E136" s="65"/>
      <c r="F136" s="70"/>
      <c r="G136" s="68"/>
      <c r="H136" s="67"/>
      <c r="I136" s="67"/>
      <c r="J136" s="68"/>
      <c r="K136" s="71"/>
      <c r="L136" s="71"/>
      <c r="M136" s="73"/>
      <c r="N136" s="72"/>
      <c r="O136" s="66"/>
      <c r="P136" s="65"/>
      <c r="Q136" s="66"/>
    </row>
    <row r="137" spans="2:17" x14ac:dyDescent="0.25">
      <c r="B137" s="66"/>
      <c r="C137" s="65"/>
      <c r="D137" s="66"/>
      <c r="E137" s="65"/>
      <c r="F137" s="70"/>
      <c r="G137" s="68"/>
      <c r="H137" s="67"/>
      <c r="I137" s="67"/>
      <c r="J137" s="68"/>
      <c r="K137" s="71"/>
      <c r="L137" s="71"/>
      <c r="M137" s="73"/>
      <c r="N137" s="72"/>
      <c r="O137" s="66"/>
      <c r="P137" s="65"/>
      <c r="Q137" s="66"/>
    </row>
    <row r="138" spans="2:17" x14ac:dyDescent="0.25">
      <c r="B138" s="66"/>
      <c r="C138" s="65"/>
      <c r="D138" s="66"/>
      <c r="E138" s="65"/>
      <c r="F138" s="70"/>
      <c r="G138" s="68"/>
      <c r="H138" s="67"/>
      <c r="I138" s="67"/>
      <c r="J138" s="68"/>
      <c r="K138" s="71"/>
      <c r="L138" s="71"/>
      <c r="M138" s="73"/>
      <c r="N138" s="72"/>
      <c r="O138" s="66"/>
      <c r="P138" s="65"/>
      <c r="Q138" s="66"/>
    </row>
    <row r="139" spans="2:17" x14ac:dyDescent="0.25">
      <c r="B139" s="66"/>
      <c r="C139" s="65"/>
      <c r="D139" s="66"/>
      <c r="E139" s="65"/>
      <c r="F139" s="70"/>
      <c r="G139" s="68"/>
      <c r="H139" s="67"/>
      <c r="I139" s="67"/>
      <c r="J139" s="68"/>
      <c r="K139" s="71"/>
      <c r="L139" s="71"/>
      <c r="M139" s="73"/>
      <c r="N139" s="72"/>
      <c r="O139" s="66"/>
      <c r="P139" s="65"/>
      <c r="Q139" s="66"/>
    </row>
    <row r="140" spans="2:17" x14ac:dyDescent="0.25">
      <c r="B140" s="66"/>
      <c r="C140" s="65"/>
      <c r="D140" s="66"/>
      <c r="E140" s="65"/>
      <c r="F140" s="70"/>
      <c r="G140" s="68"/>
      <c r="H140" s="67"/>
      <c r="I140" s="67"/>
      <c r="J140" s="68"/>
      <c r="K140" s="71"/>
      <c r="L140" s="71"/>
      <c r="M140" s="73"/>
      <c r="N140" s="72"/>
      <c r="O140" s="66"/>
      <c r="P140" s="65"/>
      <c r="Q140" s="66"/>
    </row>
    <row r="141" spans="2:17" x14ac:dyDescent="0.25">
      <c r="B141" s="66"/>
      <c r="C141" s="65"/>
      <c r="D141" s="66"/>
      <c r="E141" s="65"/>
      <c r="F141" s="70"/>
      <c r="G141" s="68"/>
      <c r="H141" s="67"/>
      <c r="I141" s="67"/>
      <c r="J141" s="68"/>
      <c r="K141" s="71"/>
      <c r="L141" s="71"/>
      <c r="M141" s="73"/>
      <c r="N141" s="72"/>
      <c r="O141" s="66"/>
      <c r="P141" s="65"/>
      <c r="Q141" s="66"/>
    </row>
    <row r="142" spans="2:17" x14ac:dyDescent="0.25">
      <c r="B142" s="66"/>
      <c r="C142" s="65"/>
      <c r="D142" s="66"/>
      <c r="E142" s="65"/>
      <c r="F142" s="70"/>
      <c r="G142" s="68"/>
      <c r="H142" s="67"/>
      <c r="I142" s="67"/>
      <c r="J142" s="68"/>
      <c r="K142" s="71"/>
      <c r="L142" s="71"/>
      <c r="M142" s="73"/>
      <c r="N142" s="72"/>
      <c r="O142" s="66"/>
      <c r="P142" s="65"/>
      <c r="Q142" s="66"/>
    </row>
    <row r="143" spans="2:17" x14ac:dyDescent="0.25">
      <c r="B143" s="66"/>
      <c r="C143" s="65"/>
      <c r="D143" s="66"/>
      <c r="E143" s="65"/>
      <c r="F143" s="70"/>
      <c r="G143" s="68"/>
      <c r="H143" s="67"/>
      <c r="I143" s="67"/>
      <c r="J143" s="68"/>
      <c r="K143" s="71"/>
      <c r="L143" s="71"/>
      <c r="M143" s="73"/>
      <c r="N143" s="72"/>
      <c r="O143" s="66"/>
      <c r="P143" s="65"/>
      <c r="Q143" s="66"/>
    </row>
    <row r="144" spans="2:17" x14ac:dyDescent="0.25">
      <c r="B144" s="66"/>
      <c r="C144" s="65"/>
      <c r="D144" s="66"/>
      <c r="E144" s="65"/>
      <c r="F144" s="70"/>
      <c r="G144" s="68"/>
      <c r="H144" s="67"/>
      <c r="I144" s="67"/>
      <c r="J144" s="68"/>
      <c r="K144" s="71"/>
      <c r="L144" s="71"/>
      <c r="M144" s="73"/>
      <c r="N144" s="72"/>
      <c r="O144" s="66"/>
      <c r="P144" s="65"/>
      <c r="Q144" s="66"/>
    </row>
    <row r="145" spans="2:17" x14ac:dyDescent="0.25">
      <c r="B145" s="66"/>
      <c r="C145" s="65"/>
      <c r="D145" s="66"/>
      <c r="E145" s="65"/>
      <c r="F145" s="70"/>
      <c r="G145" s="68"/>
      <c r="H145" s="67"/>
      <c r="I145" s="67"/>
      <c r="J145" s="68"/>
      <c r="K145" s="71"/>
      <c r="L145" s="71"/>
      <c r="M145" s="73"/>
      <c r="N145" s="72"/>
      <c r="O145" s="66"/>
      <c r="P145" s="65"/>
      <c r="Q145" s="66"/>
    </row>
    <row r="146" spans="2:17" x14ac:dyDescent="0.25">
      <c r="B146" s="66"/>
      <c r="C146" s="65"/>
      <c r="D146" s="66"/>
      <c r="E146" s="65"/>
      <c r="F146" s="70"/>
      <c r="G146" s="68"/>
      <c r="H146" s="67"/>
      <c r="I146" s="67"/>
      <c r="J146" s="68"/>
      <c r="K146" s="71"/>
      <c r="L146" s="71"/>
      <c r="M146" s="73"/>
      <c r="N146" s="72"/>
      <c r="O146" s="66"/>
      <c r="P146" s="65"/>
      <c r="Q146" s="66"/>
    </row>
    <row r="147" spans="2:17" x14ac:dyDescent="0.25">
      <c r="B147" s="66"/>
      <c r="C147" s="65"/>
      <c r="D147" s="66"/>
      <c r="E147" s="65"/>
      <c r="F147" s="70"/>
      <c r="G147" s="68"/>
      <c r="H147" s="67"/>
      <c r="I147" s="67"/>
      <c r="J147" s="68"/>
      <c r="K147" s="71"/>
      <c r="L147" s="71"/>
      <c r="M147" s="73"/>
      <c r="N147" s="72"/>
      <c r="O147" s="66"/>
      <c r="P147" s="65"/>
      <c r="Q147" s="66"/>
    </row>
    <row r="148" spans="2:17" x14ac:dyDescent="0.25">
      <c r="B148" s="66"/>
      <c r="C148" s="65"/>
      <c r="D148" s="66"/>
      <c r="E148" s="65"/>
      <c r="F148" s="70"/>
      <c r="G148" s="68"/>
      <c r="H148" s="67"/>
      <c r="I148" s="67"/>
      <c r="J148" s="68"/>
      <c r="K148" s="71"/>
      <c r="L148" s="71"/>
      <c r="M148" s="73"/>
      <c r="N148" s="72"/>
      <c r="O148" s="66"/>
      <c r="P148" s="65"/>
      <c r="Q148" s="66"/>
    </row>
    <row r="149" spans="2:17" x14ac:dyDescent="0.25">
      <c r="B149" s="66"/>
      <c r="C149" s="65"/>
      <c r="D149" s="66"/>
      <c r="E149" s="65"/>
      <c r="F149" s="70"/>
      <c r="G149" s="68"/>
      <c r="H149" s="67"/>
      <c r="I149" s="67"/>
      <c r="J149" s="68"/>
      <c r="K149" s="71"/>
      <c r="L149" s="71"/>
      <c r="M149" s="73"/>
      <c r="N149" s="72"/>
      <c r="O149" s="66"/>
      <c r="P149" s="65"/>
      <c r="Q149" s="66"/>
    </row>
    <row r="150" spans="2:17" x14ac:dyDescent="0.25">
      <c r="B150" s="66"/>
      <c r="C150" s="65"/>
      <c r="D150" s="66"/>
      <c r="E150" s="65"/>
      <c r="F150" s="70"/>
      <c r="G150" s="68"/>
      <c r="H150" s="67"/>
      <c r="I150" s="67"/>
      <c r="J150" s="68"/>
      <c r="K150" s="71"/>
      <c r="L150" s="71"/>
      <c r="M150" s="73"/>
      <c r="N150" s="72"/>
      <c r="O150" s="66"/>
      <c r="P150" s="65"/>
      <c r="Q150" s="66"/>
    </row>
    <row r="151" spans="2:17" x14ac:dyDescent="0.25">
      <c r="B151" s="66"/>
      <c r="C151" s="65"/>
      <c r="D151" s="66"/>
      <c r="E151" s="65"/>
      <c r="F151" s="70"/>
      <c r="G151" s="68"/>
      <c r="H151" s="67"/>
      <c r="I151" s="67"/>
      <c r="J151" s="68"/>
      <c r="K151" s="71"/>
      <c r="L151" s="71"/>
      <c r="M151" s="73"/>
      <c r="N151" s="72"/>
      <c r="O151" s="66"/>
      <c r="P151" s="65"/>
      <c r="Q151" s="66"/>
    </row>
    <row r="152" spans="2:17" x14ac:dyDescent="0.25">
      <c r="B152" s="66"/>
      <c r="C152" s="65"/>
      <c r="D152" s="66"/>
      <c r="E152" s="65"/>
      <c r="F152" s="70"/>
      <c r="G152" s="68"/>
      <c r="H152" s="67"/>
      <c r="I152" s="67"/>
      <c r="J152" s="68"/>
      <c r="K152" s="71"/>
      <c r="L152" s="71"/>
      <c r="M152" s="73"/>
      <c r="N152" s="72"/>
      <c r="O152" s="66"/>
      <c r="P152" s="65"/>
      <c r="Q152" s="66"/>
    </row>
    <row r="153" spans="2:17" x14ac:dyDescent="0.25">
      <c r="B153" s="66"/>
      <c r="C153" s="65"/>
      <c r="D153" s="66"/>
      <c r="E153" s="65"/>
      <c r="F153" s="70"/>
      <c r="G153" s="68"/>
      <c r="H153" s="67"/>
      <c r="I153" s="67"/>
      <c r="J153" s="68"/>
      <c r="K153" s="71"/>
      <c r="L153" s="71"/>
      <c r="M153" s="73"/>
      <c r="N153" s="72"/>
      <c r="O153" s="66"/>
      <c r="P153" s="65"/>
      <c r="Q153" s="66"/>
    </row>
    <row r="154" spans="2:17" x14ac:dyDescent="0.25">
      <c r="B154" s="66"/>
      <c r="C154" s="65"/>
      <c r="D154" s="66"/>
      <c r="E154" s="65"/>
      <c r="F154" s="70"/>
      <c r="G154" s="68"/>
      <c r="H154" s="67"/>
      <c r="I154" s="67"/>
      <c r="J154" s="68"/>
      <c r="K154" s="71"/>
      <c r="L154" s="71"/>
      <c r="M154" s="73"/>
      <c r="N154" s="72"/>
      <c r="O154" s="66"/>
      <c r="P154" s="65"/>
      <c r="Q154" s="66"/>
    </row>
    <row r="155" spans="2:17" x14ac:dyDescent="0.25">
      <c r="B155" s="66"/>
      <c r="C155" s="65"/>
      <c r="D155" s="66"/>
      <c r="E155" s="65"/>
      <c r="F155" s="70"/>
      <c r="G155" s="68"/>
      <c r="H155" s="67"/>
      <c r="I155" s="67"/>
      <c r="J155" s="68"/>
      <c r="K155" s="71"/>
      <c r="L155" s="71"/>
      <c r="M155" s="73"/>
      <c r="N155" s="72"/>
      <c r="O155" s="66"/>
      <c r="P155" s="65"/>
      <c r="Q155" s="66"/>
    </row>
    <row r="156" spans="2:17" x14ac:dyDescent="0.25">
      <c r="B156" s="66"/>
      <c r="C156" s="65"/>
      <c r="D156" s="66"/>
      <c r="E156" s="65"/>
      <c r="F156" s="70"/>
      <c r="G156" s="68"/>
      <c r="H156" s="67"/>
      <c r="I156" s="67"/>
      <c r="J156" s="68"/>
      <c r="K156" s="71"/>
      <c r="L156" s="71"/>
      <c r="M156" s="73"/>
      <c r="N156" s="72"/>
      <c r="O156" s="66"/>
      <c r="P156" s="65"/>
      <c r="Q156" s="66"/>
    </row>
    <row r="157" spans="2:17" x14ac:dyDescent="0.25">
      <c r="B157" s="66"/>
      <c r="C157" s="65"/>
      <c r="D157" s="66"/>
      <c r="E157" s="65"/>
      <c r="F157" s="70"/>
      <c r="G157" s="68"/>
      <c r="H157" s="67"/>
      <c r="I157" s="67"/>
      <c r="J157" s="68"/>
      <c r="K157" s="71"/>
      <c r="L157" s="71"/>
      <c r="M157" s="73"/>
      <c r="N157" s="72"/>
      <c r="O157" s="66"/>
      <c r="P157" s="65"/>
      <c r="Q157" s="66"/>
    </row>
    <row r="158" spans="2:17" x14ac:dyDescent="0.25">
      <c r="B158" s="66"/>
      <c r="C158" s="65"/>
      <c r="D158" s="66"/>
      <c r="E158" s="65"/>
      <c r="F158" s="70"/>
      <c r="G158" s="68"/>
      <c r="H158" s="67"/>
      <c r="I158" s="67"/>
      <c r="J158" s="68"/>
      <c r="K158" s="71"/>
      <c r="L158" s="71"/>
      <c r="M158" s="73"/>
      <c r="N158" s="72"/>
      <c r="O158" s="66"/>
      <c r="P158" s="65"/>
      <c r="Q158" s="66"/>
    </row>
    <row r="159" spans="2:17" x14ac:dyDescent="0.25">
      <c r="B159" s="66"/>
      <c r="C159" s="65"/>
      <c r="D159" s="66"/>
      <c r="E159" s="65"/>
      <c r="F159" s="70"/>
      <c r="G159" s="68"/>
      <c r="H159" s="67"/>
      <c r="I159" s="67"/>
      <c r="J159" s="68"/>
      <c r="K159" s="71"/>
      <c r="L159" s="71"/>
      <c r="M159" s="73"/>
      <c r="N159" s="72"/>
      <c r="O159" s="66"/>
      <c r="P159" s="65"/>
      <c r="Q159" s="66"/>
    </row>
    <row r="160" spans="2:17" x14ac:dyDescent="0.25">
      <c r="B160" s="66"/>
      <c r="C160" s="65"/>
      <c r="D160" s="66"/>
      <c r="E160" s="65"/>
      <c r="F160" s="70"/>
      <c r="G160" s="68"/>
      <c r="H160" s="67"/>
      <c r="I160" s="67"/>
      <c r="J160" s="68"/>
      <c r="K160" s="71"/>
      <c r="L160" s="71"/>
      <c r="M160" s="73"/>
      <c r="N160" s="72"/>
      <c r="O160" s="66"/>
      <c r="P160" s="65"/>
      <c r="Q160" s="66"/>
    </row>
    <row r="161" spans="2:17" x14ac:dyDescent="0.25">
      <c r="B161" s="66"/>
      <c r="C161" s="65"/>
      <c r="D161" s="66"/>
      <c r="E161" s="65"/>
      <c r="F161" s="70"/>
      <c r="G161" s="68"/>
      <c r="H161" s="67"/>
      <c r="I161" s="67"/>
      <c r="J161" s="68"/>
      <c r="K161" s="71"/>
      <c r="L161" s="71"/>
      <c r="M161" s="73"/>
      <c r="N161" s="72"/>
      <c r="O161" s="66"/>
      <c r="P161" s="65"/>
      <c r="Q161" s="66"/>
    </row>
    <row r="162" spans="2:17" x14ac:dyDescent="0.25">
      <c r="B162" s="66"/>
      <c r="C162" s="65"/>
      <c r="D162" s="66"/>
      <c r="E162" s="65"/>
      <c r="F162" s="70"/>
      <c r="G162" s="68"/>
      <c r="H162" s="67"/>
      <c r="I162" s="67"/>
      <c r="J162" s="68"/>
      <c r="K162" s="71"/>
      <c r="L162" s="71"/>
      <c r="M162" s="73"/>
      <c r="N162" s="72"/>
      <c r="O162" s="66"/>
      <c r="P162" s="65"/>
      <c r="Q162" s="66"/>
    </row>
    <row r="163" spans="2:17" x14ac:dyDescent="0.25">
      <c r="B163" s="66"/>
      <c r="C163" s="65"/>
      <c r="D163" s="66"/>
      <c r="E163" s="65"/>
      <c r="F163" s="70"/>
      <c r="G163" s="68"/>
      <c r="H163" s="67"/>
      <c r="I163" s="67"/>
      <c r="J163" s="68"/>
      <c r="K163" s="71"/>
      <c r="L163" s="71"/>
      <c r="M163" s="73"/>
      <c r="N163" s="72"/>
      <c r="O163" s="66"/>
      <c r="P163" s="65"/>
      <c r="Q163" s="66"/>
    </row>
    <row r="164" spans="2:17" x14ac:dyDescent="0.25">
      <c r="B164" s="66"/>
      <c r="C164" s="65"/>
      <c r="D164" s="66"/>
      <c r="E164" s="65"/>
      <c r="F164" s="70"/>
      <c r="G164" s="68"/>
      <c r="H164" s="67"/>
      <c r="I164" s="67"/>
      <c r="J164" s="68"/>
      <c r="K164" s="71"/>
      <c r="L164" s="71"/>
      <c r="M164" s="73"/>
      <c r="N164" s="72"/>
      <c r="O164" s="66"/>
      <c r="P164" s="65"/>
      <c r="Q164" s="66"/>
    </row>
    <row r="165" spans="2:17" x14ac:dyDescent="0.25">
      <c r="B165" s="66"/>
      <c r="C165" s="65"/>
      <c r="D165" s="66"/>
      <c r="E165" s="65"/>
      <c r="F165" s="70"/>
      <c r="G165" s="68"/>
      <c r="H165" s="67"/>
      <c r="I165" s="67"/>
      <c r="J165" s="68"/>
      <c r="K165" s="71"/>
      <c r="L165" s="71"/>
      <c r="M165" s="73"/>
      <c r="N165" s="72"/>
      <c r="O165" s="66"/>
      <c r="P165" s="65"/>
      <c r="Q165" s="66"/>
    </row>
    <row r="166" spans="2:17" x14ac:dyDescent="0.25">
      <c r="B166" s="66"/>
      <c r="C166" s="65"/>
      <c r="D166" s="66"/>
      <c r="E166" s="65"/>
      <c r="F166" s="70"/>
      <c r="G166" s="68"/>
      <c r="H166" s="67"/>
      <c r="I166" s="67"/>
      <c r="J166" s="68"/>
      <c r="K166" s="71"/>
      <c r="L166" s="71"/>
      <c r="M166" s="73"/>
      <c r="N166" s="72"/>
      <c r="O166" s="66"/>
      <c r="P166" s="65"/>
      <c r="Q166" s="66"/>
    </row>
    <row r="167" spans="2:17" x14ac:dyDescent="0.25">
      <c r="B167" s="66"/>
      <c r="C167" s="65"/>
      <c r="D167" s="66"/>
      <c r="E167" s="65"/>
      <c r="F167" s="70"/>
      <c r="G167" s="68"/>
      <c r="H167" s="67"/>
      <c r="I167" s="67"/>
      <c r="J167" s="68"/>
      <c r="K167" s="71"/>
      <c r="L167" s="71"/>
      <c r="M167" s="73"/>
      <c r="N167" s="72"/>
      <c r="O167" s="66"/>
      <c r="P167" s="65"/>
      <c r="Q167" s="66"/>
    </row>
    <row r="168" spans="2:17" x14ac:dyDescent="0.25">
      <c r="B168" s="66"/>
      <c r="C168" s="65"/>
      <c r="D168" s="66"/>
      <c r="E168" s="65"/>
      <c r="F168" s="70"/>
      <c r="G168" s="68"/>
      <c r="H168" s="67"/>
      <c r="I168" s="67"/>
      <c r="J168" s="68"/>
      <c r="K168" s="71"/>
      <c r="L168" s="71"/>
      <c r="M168" s="73"/>
      <c r="N168" s="72"/>
      <c r="O168" s="66"/>
      <c r="P168" s="65"/>
      <c r="Q168" s="66"/>
    </row>
    <row r="169" spans="2:17" x14ac:dyDescent="0.25">
      <c r="B169" s="66"/>
      <c r="C169" s="65"/>
      <c r="D169" s="66"/>
      <c r="E169" s="65"/>
      <c r="F169" s="70"/>
      <c r="G169" s="68"/>
      <c r="H169" s="67"/>
      <c r="I169" s="67"/>
      <c r="J169" s="68"/>
      <c r="K169" s="71"/>
      <c r="L169" s="71"/>
      <c r="M169" s="73"/>
      <c r="N169" s="72"/>
      <c r="O169" s="66"/>
      <c r="P169" s="65"/>
      <c r="Q169" s="66"/>
    </row>
    <row r="170" spans="2:17" x14ac:dyDescent="0.25">
      <c r="B170" s="66"/>
      <c r="C170" s="65"/>
      <c r="D170" s="66"/>
      <c r="E170" s="65"/>
      <c r="F170" s="70"/>
      <c r="G170" s="68"/>
      <c r="H170" s="67"/>
      <c r="I170" s="67"/>
      <c r="J170" s="68"/>
      <c r="K170" s="71"/>
      <c r="L170" s="71"/>
      <c r="M170" s="73"/>
      <c r="N170" s="72"/>
      <c r="O170" s="66"/>
      <c r="P170" s="65"/>
      <c r="Q170" s="66"/>
    </row>
    <row r="171" spans="2:17" x14ac:dyDescent="0.25">
      <c r="B171" s="66"/>
      <c r="C171" s="65"/>
      <c r="D171" s="66"/>
      <c r="E171" s="65"/>
      <c r="F171" s="70"/>
      <c r="G171" s="68"/>
      <c r="H171" s="67"/>
      <c r="I171" s="67"/>
      <c r="J171" s="68"/>
      <c r="K171" s="71"/>
      <c r="L171" s="71"/>
      <c r="M171" s="73"/>
      <c r="N171" s="72"/>
      <c r="O171" s="66"/>
      <c r="P171" s="65"/>
      <c r="Q171" s="66"/>
    </row>
    <row r="172" spans="2:17" x14ac:dyDescent="0.25">
      <c r="B172" s="66"/>
      <c r="C172" s="65"/>
      <c r="D172" s="66"/>
      <c r="E172" s="65"/>
      <c r="F172" s="70"/>
      <c r="G172" s="68"/>
      <c r="H172" s="67"/>
      <c r="I172" s="67"/>
      <c r="J172" s="68"/>
      <c r="K172" s="71"/>
      <c r="L172" s="71"/>
      <c r="M172" s="73"/>
      <c r="N172" s="72"/>
      <c r="O172" s="66"/>
      <c r="P172" s="65"/>
      <c r="Q172" s="66"/>
    </row>
    <row r="173" spans="2:17" x14ac:dyDescent="0.25">
      <c r="B173" s="66"/>
      <c r="C173" s="65"/>
      <c r="D173" s="66"/>
      <c r="E173" s="65"/>
      <c r="F173" s="70"/>
      <c r="G173" s="68"/>
      <c r="H173" s="67"/>
      <c r="I173" s="67"/>
      <c r="J173" s="68"/>
      <c r="K173" s="71"/>
      <c r="L173" s="71"/>
      <c r="M173" s="73"/>
      <c r="N173" s="72"/>
      <c r="O173" s="66"/>
      <c r="P173" s="65"/>
      <c r="Q173" s="66"/>
    </row>
    <row r="174" spans="2:17" x14ac:dyDescent="0.25">
      <c r="B174" s="66"/>
      <c r="C174" s="65"/>
      <c r="D174" s="66"/>
      <c r="E174" s="65"/>
      <c r="F174" s="70"/>
      <c r="G174" s="68"/>
      <c r="H174" s="67"/>
      <c r="I174" s="67"/>
      <c r="J174" s="68"/>
      <c r="K174" s="71"/>
      <c r="L174" s="71"/>
      <c r="M174" s="73"/>
      <c r="N174" s="72"/>
      <c r="O174" s="66"/>
      <c r="P174" s="65"/>
      <c r="Q174" s="66"/>
    </row>
    <row r="175" spans="2:17" x14ac:dyDescent="0.25">
      <c r="B175" s="66"/>
      <c r="C175" s="65"/>
      <c r="D175" s="66"/>
      <c r="E175" s="65"/>
      <c r="F175" s="70"/>
      <c r="G175" s="68"/>
      <c r="H175" s="67"/>
      <c r="I175" s="67"/>
      <c r="J175" s="68"/>
      <c r="K175" s="71"/>
      <c r="L175" s="71"/>
      <c r="M175" s="73"/>
      <c r="N175" s="72"/>
      <c r="O175" s="66"/>
      <c r="P175" s="65"/>
      <c r="Q175" s="66"/>
    </row>
    <row r="176" spans="2:17" x14ac:dyDescent="0.25">
      <c r="B176" s="66"/>
      <c r="C176" s="65"/>
      <c r="D176" s="66"/>
      <c r="E176" s="65"/>
      <c r="F176" s="70"/>
      <c r="G176" s="68"/>
      <c r="H176" s="67"/>
      <c r="I176" s="67"/>
      <c r="J176" s="68"/>
      <c r="K176" s="71"/>
      <c r="L176" s="71"/>
      <c r="M176" s="73"/>
      <c r="N176" s="72"/>
      <c r="O176" s="66"/>
      <c r="P176" s="65"/>
      <c r="Q176" s="66"/>
    </row>
    <row r="177" spans="2:17" x14ac:dyDescent="0.25">
      <c r="B177" s="66"/>
      <c r="C177" s="65"/>
      <c r="D177" s="66"/>
      <c r="E177" s="65"/>
      <c r="F177" s="70"/>
      <c r="G177" s="68"/>
      <c r="H177" s="67"/>
      <c r="I177" s="67"/>
      <c r="J177" s="68"/>
      <c r="K177" s="71"/>
      <c r="L177" s="71"/>
      <c r="M177" s="73"/>
      <c r="N177" s="72"/>
      <c r="O177" s="66"/>
      <c r="P177" s="65"/>
      <c r="Q177" s="66"/>
    </row>
    <row r="178" spans="2:17" x14ac:dyDescent="0.25">
      <c r="B178" s="66"/>
      <c r="C178" s="65"/>
      <c r="D178" s="66"/>
      <c r="E178" s="65"/>
      <c r="F178" s="70"/>
      <c r="G178" s="68"/>
      <c r="H178" s="67"/>
      <c r="I178" s="67"/>
      <c r="J178" s="68"/>
      <c r="K178" s="71"/>
      <c r="L178" s="71"/>
      <c r="M178" s="73"/>
      <c r="N178" s="72"/>
      <c r="O178" s="66"/>
      <c r="P178" s="65"/>
      <c r="Q178" s="66"/>
    </row>
    <row r="179" spans="2:17" x14ac:dyDescent="0.25">
      <c r="B179" s="66"/>
      <c r="C179" s="65"/>
      <c r="D179" s="66"/>
      <c r="E179" s="65"/>
      <c r="F179" s="70"/>
      <c r="G179" s="68"/>
      <c r="H179" s="67"/>
      <c r="I179" s="67"/>
      <c r="J179" s="68"/>
      <c r="K179" s="71"/>
      <c r="L179" s="71"/>
      <c r="M179" s="73"/>
      <c r="N179" s="72"/>
      <c r="O179" s="66"/>
      <c r="P179" s="65"/>
      <c r="Q179" s="66"/>
    </row>
    <row r="180" spans="2:17" x14ac:dyDescent="0.25">
      <c r="B180" s="66"/>
      <c r="C180" s="65"/>
      <c r="D180" s="66"/>
      <c r="E180" s="65"/>
      <c r="F180" s="70"/>
      <c r="G180" s="68"/>
      <c r="H180" s="67"/>
      <c r="I180" s="67"/>
      <c r="J180" s="68"/>
      <c r="K180" s="71"/>
      <c r="L180" s="71"/>
      <c r="M180" s="73"/>
      <c r="N180" s="72"/>
      <c r="O180" s="66"/>
      <c r="P180" s="65"/>
      <c r="Q180" s="66"/>
    </row>
    <row r="181" spans="2:17" x14ac:dyDescent="0.25">
      <c r="B181" s="66"/>
      <c r="C181" s="65"/>
      <c r="D181" s="66"/>
      <c r="E181" s="65"/>
      <c r="F181" s="70"/>
      <c r="G181" s="68"/>
      <c r="H181" s="67"/>
      <c r="I181" s="67"/>
      <c r="J181" s="68"/>
      <c r="K181" s="71"/>
      <c r="L181" s="71"/>
      <c r="M181" s="73"/>
      <c r="N181" s="72"/>
      <c r="O181" s="66"/>
      <c r="P181" s="65"/>
      <c r="Q181" s="66"/>
    </row>
    <row r="182" spans="2:17" x14ac:dyDescent="0.25">
      <c r="B182" s="66"/>
      <c r="C182" s="65"/>
      <c r="D182" s="66"/>
      <c r="E182" s="65"/>
      <c r="F182" s="70"/>
      <c r="G182" s="68"/>
      <c r="H182" s="67"/>
      <c r="I182" s="67"/>
      <c r="J182" s="68"/>
      <c r="K182" s="71"/>
      <c r="L182" s="71"/>
      <c r="M182" s="73"/>
      <c r="N182" s="72"/>
      <c r="O182" s="66"/>
      <c r="P182" s="65"/>
      <c r="Q182" s="66"/>
    </row>
    <row r="183" spans="2:17" x14ac:dyDescent="0.25">
      <c r="B183" s="66"/>
      <c r="C183" s="65"/>
      <c r="D183" s="66"/>
      <c r="E183" s="65"/>
      <c r="F183" s="70"/>
      <c r="G183" s="68"/>
      <c r="H183" s="67"/>
      <c r="I183" s="67"/>
      <c r="J183" s="68"/>
      <c r="K183" s="71"/>
      <c r="L183" s="71"/>
      <c r="M183" s="73"/>
      <c r="N183" s="72"/>
      <c r="O183" s="66"/>
      <c r="P183" s="65"/>
      <c r="Q183" s="66"/>
    </row>
    <row r="184" spans="2:17" x14ac:dyDescent="0.25">
      <c r="B184" s="66"/>
      <c r="C184" s="65"/>
      <c r="D184" s="66"/>
      <c r="E184" s="65"/>
      <c r="F184" s="70"/>
      <c r="G184" s="68"/>
      <c r="H184" s="67"/>
      <c r="I184" s="67"/>
      <c r="J184" s="68"/>
      <c r="K184" s="71"/>
      <c r="L184" s="71"/>
      <c r="M184" s="73"/>
      <c r="N184" s="72"/>
      <c r="O184" s="66"/>
      <c r="P184" s="65"/>
      <c r="Q184" s="66"/>
    </row>
    <row r="185" spans="2:17" x14ac:dyDescent="0.25">
      <c r="B185" s="66"/>
      <c r="C185" s="65"/>
      <c r="D185" s="66"/>
      <c r="E185" s="65"/>
      <c r="F185" s="70"/>
      <c r="G185" s="68"/>
      <c r="H185" s="67"/>
      <c r="I185" s="67"/>
      <c r="J185" s="68"/>
      <c r="K185" s="71"/>
      <c r="L185" s="71"/>
      <c r="M185" s="73"/>
      <c r="N185" s="72"/>
      <c r="O185" s="66"/>
      <c r="P185" s="65"/>
      <c r="Q185" s="66"/>
    </row>
    <row r="186" spans="2:17" x14ac:dyDescent="0.25">
      <c r="B186" s="66"/>
      <c r="C186" s="65"/>
      <c r="D186" s="66"/>
      <c r="E186" s="65"/>
      <c r="F186" s="70"/>
      <c r="G186" s="68"/>
      <c r="H186" s="67"/>
      <c r="I186" s="67"/>
      <c r="J186" s="68"/>
      <c r="K186" s="71"/>
      <c r="L186" s="71"/>
      <c r="M186" s="73"/>
      <c r="N186" s="72"/>
      <c r="O186" s="66"/>
      <c r="P186" s="65"/>
      <c r="Q186" s="66"/>
    </row>
    <row r="187" spans="2:17" x14ac:dyDescent="0.25">
      <c r="B187" s="66"/>
      <c r="C187" s="65"/>
      <c r="D187" s="66"/>
      <c r="E187" s="65"/>
      <c r="F187" s="70"/>
      <c r="G187" s="68"/>
      <c r="H187" s="67"/>
      <c r="I187" s="67"/>
      <c r="J187" s="68"/>
      <c r="K187" s="71"/>
      <c r="L187" s="71"/>
      <c r="M187" s="73"/>
      <c r="N187" s="72"/>
      <c r="O187" s="66"/>
      <c r="P187" s="65"/>
      <c r="Q187" s="66"/>
    </row>
    <row r="188" spans="2:17" x14ac:dyDescent="0.25">
      <c r="B188" s="66"/>
      <c r="C188" s="65"/>
      <c r="D188" s="66"/>
      <c r="E188" s="65"/>
      <c r="F188" s="70"/>
      <c r="G188" s="68"/>
      <c r="H188" s="67"/>
      <c r="I188" s="67"/>
      <c r="J188" s="68"/>
      <c r="K188" s="71"/>
      <c r="L188" s="71"/>
      <c r="M188" s="73"/>
      <c r="N188" s="72"/>
      <c r="O188" s="66"/>
      <c r="P188" s="65"/>
      <c r="Q188" s="66"/>
    </row>
    <row r="189" spans="2:17" x14ac:dyDescent="0.25">
      <c r="B189" s="66"/>
      <c r="C189" s="65"/>
      <c r="D189" s="66"/>
      <c r="E189" s="65"/>
      <c r="F189" s="70"/>
      <c r="G189" s="68"/>
      <c r="H189" s="67"/>
      <c r="I189" s="67"/>
      <c r="J189" s="68"/>
      <c r="K189" s="71"/>
      <c r="L189" s="71"/>
      <c r="M189" s="73"/>
      <c r="N189" s="72"/>
      <c r="O189" s="66"/>
      <c r="P189" s="65"/>
      <c r="Q189" s="66"/>
    </row>
    <row r="190" spans="2:17" x14ac:dyDescent="0.25">
      <c r="B190" s="66"/>
      <c r="C190" s="65"/>
      <c r="D190" s="66"/>
      <c r="E190" s="65"/>
      <c r="F190" s="70"/>
      <c r="G190" s="68"/>
      <c r="H190" s="67"/>
      <c r="I190" s="67"/>
      <c r="J190" s="68"/>
      <c r="K190" s="71"/>
      <c r="L190" s="71"/>
      <c r="M190" s="73"/>
      <c r="N190" s="72"/>
      <c r="O190" s="66"/>
      <c r="P190" s="65"/>
      <c r="Q190" s="66"/>
    </row>
    <row r="191" spans="2:17" x14ac:dyDescent="0.25">
      <c r="B191" s="66"/>
      <c r="C191" s="65"/>
      <c r="D191" s="66"/>
      <c r="E191" s="65"/>
      <c r="F191" s="70"/>
      <c r="G191" s="68"/>
      <c r="H191" s="67"/>
      <c r="I191" s="67"/>
      <c r="J191" s="68"/>
      <c r="K191" s="71"/>
      <c r="L191" s="71"/>
      <c r="M191" s="73"/>
      <c r="N191" s="72"/>
      <c r="O191" s="66"/>
      <c r="P191" s="65"/>
      <c r="Q191" s="66"/>
    </row>
    <row r="192" spans="2:17" x14ac:dyDescent="0.25">
      <c r="B192" s="66"/>
      <c r="C192" s="65"/>
      <c r="D192" s="66"/>
      <c r="E192" s="65"/>
      <c r="F192" s="70"/>
      <c r="G192" s="68"/>
      <c r="H192" s="67"/>
      <c r="I192" s="67"/>
      <c r="J192" s="68"/>
      <c r="K192" s="71"/>
      <c r="L192" s="71"/>
      <c r="M192" s="73"/>
      <c r="N192" s="72"/>
      <c r="O192" s="66"/>
      <c r="P192" s="65"/>
      <c r="Q192" s="66"/>
    </row>
    <row r="193" spans="2:17" x14ac:dyDescent="0.25">
      <c r="B193" s="66"/>
      <c r="C193" s="65"/>
      <c r="D193" s="66"/>
      <c r="E193" s="65"/>
      <c r="F193" s="70"/>
      <c r="G193" s="68"/>
      <c r="H193" s="67"/>
      <c r="I193" s="67"/>
      <c r="J193" s="68"/>
      <c r="K193" s="71"/>
      <c r="L193" s="71"/>
      <c r="M193" s="73"/>
      <c r="N193" s="72"/>
      <c r="O193" s="66"/>
      <c r="P193" s="65"/>
      <c r="Q193" s="66"/>
    </row>
    <row r="194" spans="2:17" x14ac:dyDescent="0.25">
      <c r="B194" s="66"/>
      <c r="C194" s="65"/>
      <c r="D194" s="66"/>
      <c r="E194" s="65"/>
      <c r="F194" s="70"/>
      <c r="G194" s="68"/>
      <c r="H194" s="67"/>
      <c r="I194" s="67"/>
      <c r="J194" s="68"/>
      <c r="K194" s="71"/>
      <c r="L194" s="71"/>
      <c r="M194" s="73"/>
      <c r="N194" s="72"/>
      <c r="O194" s="66"/>
      <c r="P194" s="65"/>
      <c r="Q194" s="66"/>
    </row>
    <row r="195" spans="2:17" x14ac:dyDescent="0.25">
      <c r="B195" s="66"/>
      <c r="C195" s="65"/>
      <c r="D195" s="66"/>
      <c r="E195" s="65"/>
      <c r="F195" s="70"/>
      <c r="G195" s="68"/>
      <c r="H195" s="67"/>
      <c r="I195" s="67"/>
      <c r="J195" s="68"/>
      <c r="K195" s="71"/>
      <c r="L195" s="71"/>
      <c r="M195" s="73"/>
      <c r="N195" s="72"/>
      <c r="O195" s="66"/>
      <c r="P195" s="65"/>
      <c r="Q195" s="66"/>
    </row>
    <row r="196" spans="2:17" x14ac:dyDescent="0.25">
      <c r="B196" s="66"/>
      <c r="C196" s="65"/>
      <c r="D196" s="66"/>
      <c r="E196" s="65"/>
      <c r="F196" s="70"/>
      <c r="G196" s="68"/>
      <c r="H196" s="67"/>
      <c r="I196" s="67"/>
      <c r="J196" s="68"/>
      <c r="K196" s="71"/>
      <c r="L196" s="71"/>
      <c r="M196" s="73"/>
      <c r="N196" s="72"/>
      <c r="O196" s="66"/>
      <c r="P196" s="65"/>
      <c r="Q196" s="66"/>
    </row>
    <row r="197" spans="2:17" x14ac:dyDescent="0.25">
      <c r="B197" s="66"/>
      <c r="C197" s="65"/>
      <c r="D197" s="66"/>
      <c r="E197" s="65"/>
      <c r="F197" s="70"/>
      <c r="G197" s="68"/>
      <c r="H197" s="67"/>
      <c r="I197" s="67"/>
      <c r="J197" s="68"/>
      <c r="K197" s="71"/>
      <c r="L197" s="71"/>
      <c r="M197" s="73"/>
      <c r="N197" s="72"/>
      <c r="O197" s="66"/>
      <c r="P197" s="65"/>
      <c r="Q197" s="66"/>
    </row>
    <row r="198" spans="2:17" x14ac:dyDescent="0.25">
      <c r="B198" s="66"/>
      <c r="C198" s="65"/>
      <c r="D198" s="66"/>
      <c r="E198" s="65"/>
      <c r="F198" s="70"/>
      <c r="G198" s="68"/>
      <c r="H198" s="67"/>
      <c r="I198" s="67"/>
      <c r="J198" s="68"/>
      <c r="K198" s="71"/>
      <c r="L198" s="71"/>
      <c r="M198" s="73"/>
      <c r="N198" s="72"/>
      <c r="O198" s="66"/>
      <c r="P198" s="65"/>
      <c r="Q198" s="66"/>
    </row>
    <row r="199" spans="2:17" x14ac:dyDescent="0.25">
      <c r="B199" s="66"/>
      <c r="C199" s="65"/>
      <c r="D199" s="66"/>
      <c r="E199" s="65"/>
      <c r="F199" s="70"/>
      <c r="G199" s="68"/>
      <c r="H199" s="67"/>
      <c r="I199" s="67"/>
      <c r="J199" s="68"/>
      <c r="K199" s="71"/>
      <c r="L199" s="71"/>
      <c r="M199" s="73"/>
      <c r="N199" s="72"/>
      <c r="O199" s="66"/>
      <c r="P199" s="65"/>
      <c r="Q199" s="66"/>
    </row>
    <row r="200" spans="2:17" x14ac:dyDescent="0.25">
      <c r="B200" s="66"/>
      <c r="C200" s="65"/>
      <c r="D200" s="66"/>
      <c r="E200" s="65"/>
      <c r="F200" s="70"/>
      <c r="G200" s="68"/>
      <c r="H200" s="67"/>
      <c r="I200" s="67"/>
      <c r="J200" s="68"/>
      <c r="K200" s="71"/>
      <c r="L200" s="71"/>
      <c r="M200" s="73"/>
      <c r="N200" s="72"/>
      <c r="O200" s="66"/>
      <c r="P200" s="65"/>
      <c r="Q200" s="66"/>
    </row>
    <row r="201" spans="2:17" x14ac:dyDescent="0.25">
      <c r="B201" s="66"/>
      <c r="C201" s="65"/>
      <c r="D201" s="66"/>
      <c r="E201" s="65"/>
      <c r="F201" s="70"/>
      <c r="G201" s="68"/>
      <c r="H201" s="67"/>
      <c r="I201" s="67"/>
      <c r="J201" s="68"/>
      <c r="K201" s="71"/>
      <c r="L201" s="71"/>
      <c r="M201" s="73"/>
      <c r="N201" s="72"/>
      <c r="O201" s="66"/>
      <c r="P201" s="65"/>
      <c r="Q201" s="66"/>
    </row>
    <row r="202" spans="2:17" x14ac:dyDescent="0.25">
      <c r="B202" s="66"/>
      <c r="C202" s="65"/>
      <c r="D202" s="66"/>
      <c r="E202" s="65"/>
      <c r="F202" s="70"/>
      <c r="G202" s="68"/>
      <c r="H202" s="67"/>
      <c r="I202" s="67"/>
      <c r="J202" s="68"/>
      <c r="K202" s="71"/>
      <c r="L202" s="71"/>
      <c r="M202" s="73"/>
      <c r="N202" s="72"/>
      <c r="O202" s="66"/>
      <c r="P202" s="65"/>
      <c r="Q202" s="66"/>
    </row>
    <row r="203" spans="2:17" x14ac:dyDescent="0.25">
      <c r="B203" s="66"/>
      <c r="C203" s="65"/>
      <c r="D203" s="66"/>
      <c r="E203" s="65"/>
      <c r="F203" s="70"/>
      <c r="G203" s="68"/>
      <c r="H203" s="67"/>
      <c r="I203" s="67"/>
      <c r="J203" s="68"/>
      <c r="K203" s="71"/>
      <c r="L203" s="71"/>
      <c r="M203" s="73"/>
      <c r="N203" s="72"/>
      <c r="O203" s="66"/>
      <c r="P203" s="65"/>
      <c r="Q203" s="66"/>
    </row>
    <row r="204" spans="2:17" x14ac:dyDescent="0.25">
      <c r="B204" s="66"/>
      <c r="C204" s="65"/>
      <c r="D204" s="66"/>
      <c r="E204" s="65"/>
      <c r="F204" s="70"/>
      <c r="G204" s="68"/>
      <c r="H204" s="67"/>
      <c r="I204" s="67"/>
      <c r="J204" s="68"/>
      <c r="K204" s="71"/>
      <c r="L204" s="71"/>
      <c r="M204" s="73"/>
      <c r="N204" s="72"/>
      <c r="O204" s="66"/>
      <c r="P204" s="65"/>
      <c r="Q204" s="66"/>
    </row>
    <row r="205" spans="2:17" x14ac:dyDescent="0.25">
      <c r="B205" s="66"/>
      <c r="C205" s="65"/>
      <c r="D205" s="66"/>
      <c r="E205" s="65"/>
      <c r="F205" s="70"/>
      <c r="G205" s="68"/>
      <c r="H205" s="67"/>
      <c r="I205" s="67"/>
      <c r="J205" s="68"/>
      <c r="K205" s="71"/>
      <c r="L205" s="71"/>
      <c r="M205" s="73"/>
      <c r="N205" s="72"/>
      <c r="O205" s="66"/>
      <c r="P205" s="65"/>
      <c r="Q205" s="66"/>
    </row>
    <row r="206" spans="2:17" x14ac:dyDescent="0.25">
      <c r="B206" s="66"/>
      <c r="C206" s="65"/>
      <c r="D206" s="66"/>
      <c r="E206" s="65"/>
      <c r="F206" s="70"/>
      <c r="G206" s="68"/>
      <c r="H206" s="67"/>
      <c r="I206" s="67"/>
      <c r="J206" s="68"/>
      <c r="K206" s="71"/>
      <c r="L206" s="71"/>
      <c r="M206" s="73"/>
      <c r="N206" s="72"/>
      <c r="O206" s="66"/>
      <c r="P206" s="65"/>
      <c r="Q206" s="66"/>
    </row>
    <row r="207" spans="2:17" x14ac:dyDescent="0.25">
      <c r="B207" s="66"/>
      <c r="C207" s="65"/>
      <c r="D207" s="66"/>
      <c r="E207" s="65"/>
      <c r="F207" s="70"/>
      <c r="G207" s="68"/>
      <c r="H207" s="67"/>
      <c r="I207" s="67"/>
      <c r="J207" s="68"/>
      <c r="K207" s="71"/>
      <c r="L207" s="71"/>
      <c r="M207" s="73"/>
      <c r="N207" s="72"/>
      <c r="O207" s="66"/>
      <c r="P207" s="65"/>
      <c r="Q207" s="66"/>
    </row>
    <row r="208" spans="2:17" x14ac:dyDescent="0.25">
      <c r="B208" s="66"/>
      <c r="C208" s="65"/>
      <c r="D208" s="66"/>
      <c r="E208" s="65"/>
      <c r="F208" s="70"/>
      <c r="G208" s="68"/>
      <c r="H208" s="67"/>
      <c r="I208" s="67"/>
      <c r="J208" s="68"/>
      <c r="K208" s="71"/>
      <c r="L208" s="71"/>
      <c r="M208" s="73"/>
      <c r="N208" s="72"/>
      <c r="O208" s="66"/>
      <c r="P208" s="65"/>
      <c r="Q208" s="66"/>
    </row>
    <row r="209" spans="2:17" x14ac:dyDescent="0.25">
      <c r="B209" s="66"/>
      <c r="C209" s="65"/>
      <c r="D209" s="66"/>
      <c r="E209" s="65"/>
      <c r="F209" s="70"/>
      <c r="G209" s="68"/>
      <c r="H209" s="67"/>
      <c r="I209" s="67"/>
      <c r="J209" s="68"/>
      <c r="K209" s="71"/>
      <c r="L209" s="71"/>
      <c r="M209" s="73"/>
      <c r="N209" s="72"/>
      <c r="O209" s="66"/>
      <c r="P209" s="65"/>
      <c r="Q209" s="66"/>
    </row>
    <row r="210" spans="2:17" x14ac:dyDescent="0.25">
      <c r="B210" s="66"/>
      <c r="C210" s="65"/>
      <c r="D210" s="66"/>
      <c r="E210" s="65"/>
      <c r="F210" s="70"/>
      <c r="G210" s="68"/>
      <c r="H210" s="67"/>
      <c r="I210" s="67"/>
      <c r="J210" s="68"/>
      <c r="K210" s="71"/>
      <c r="L210" s="71"/>
      <c r="M210" s="73"/>
      <c r="N210" s="72"/>
      <c r="O210" s="66"/>
      <c r="P210" s="65"/>
      <c r="Q210" s="66"/>
    </row>
    <row r="211" spans="2:17" x14ac:dyDescent="0.25">
      <c r="B211" s="66"/>
      <c r="C211" s="65"/>
      <c r="D211" s="66"/>
      <c r="E211" s="65"/>
      <c r="F211" s="70"/>
      <c r="G211" s="68"/>
      <c r="H211" s="67"/>
      <c r="I211" s="67"/>
      <c r="J211" s="68"/>
      <c r="K211" s="71"/>
      <c r="L211" s="71"/>
      <c r="M211" s="73"/>
      <c r="N211" s="72"/>
      <c r="O211" s="66"/>
      <c r="P211" s="65"/>
      <c r="Q211" s="66"/>
    </row>
    <row r="212" spans="2:17" x14ac:dyDescent="0.25">
      <c r="B212" s="66"/>
      <c r="C212" s="65"/>
      <c r="D212" s="66"/>
      <c r="E212" s="65"/>
      <c r="F212" s="70"/>
      <c r="G212" s="68"/>
      <c r="H212" s="67"/>
      <c r="I212" s="67"/>
      <c r="J212" s="68"/>
      <c r="K212" s="71"/>
      <c r="L212" s="71"/>
      <c r="M212" s="73"/>
      <c r="N212" s="72"/>
      <c r="O212" s="66"/>
      <c r="P212" s="65"/>
      <c r="Q212" s="66"/>
    </row>
    <row r="213" spans="2:17" x14ac:dyDescent="0.25">
      <c r="B213" s="66"/>
      <c r="C213" s="65"/>
      <c r="D213" s="66"/>
      <c r="E213" s="65"/>
      <c r="F213" s="70"/>
      <c r="G213" s="68"/>
      <c r="H213" s="67"/>
      <c r="I213" s="67"/>
      <c r="J213" s="68"/>
      <c r="K213" s="71"/>
      <c r="L213" s="71"/>
      <c r="M213" s="73"/>
      <c r="N213" s="72"/>
      <c r="O213" s="66"/>
      <c r="P213" s="65"/>
      <c r="Q213" s="66"/>
    </row>
    <row r="214" spans="2:17" x14ac:dyDescent="0.25">
      <c r="B214" s="66"/>
      <c r="C214" s="65"/>
      <c r="D214" s="66"/>
      <c r="E214" s="65"/>
      <c r="F214" s="70"/>
      <c r="G214" s="68"/>
      <c r="H214" s="67"/>
      <c r="I214" s="67"/>
      <c r="J214" s="68"/>
      <c r="K214" s="71"/>
      <c r="L214" s="71"/>
      <c r="M214" s="73"/>
      <c r="N214" s="72"/>
      <c r="O214" s="66"/>
      <c r="P214" s="65"/>
      <c r="Q214" s="66"/>
    </row>
    <row r="215" spans="2:17" x14ac:dyDescent="0.25">
      <c r="B215" s="66"/>
      <c r="C215" s="65"/>
      <c r="D215" s="66"/>
      <c r="E215" s="65"/>
      <c r="F215" s="70"/>
      <c r="G215" s="68"/>
      <c r="H215" s="67"/>
      <c r="I215" s="67"/>
      <c r="J215" s="68"/>
      <c r="K215" s="71"/>
      <c r="L215" s="71"/>
      <c r="M215" s="73"/>
      <c r="N215" s="72"/>
      <c r="O215" s="66"/>
      <c r="P215" s="65"/>
      <c r="Q215" s="66"/>
    </row>
    <row r="216" spans="2:17" x14ac:dyDescent="0.25">
      <c r="B216" s="66"/>
      <c r="C216" s="65"/>
      <c r="D216" s="66"/>
      <c r="E216" s="65"/>
      <c r="F216" s="70"/>
      <c r="G216" s="68"/>
      <c r="H216" s="67"/>
      <c r="I216" s="67"/>
      <c r="J216" s="68"/>
      <c r="K216" s="71"/>
      <c r="L216" s="71"/>
      <c r="M216" s="73"/>
      <c r="N216" s="72"/>
      <c r="O216" s="66"/>
      <c r="P216" s="65"/>
      <c r="Q216" s="66"/>
    </row>
    <row r="217" spans="2:17" x14ac:dyDescent="0.25">
      <c r="B217" s="66"/>
      <c r="C217" s="65"/>
      <c r="D217" s="66"/>
      <c r="E217" s="65"/>
      <c r="F217" s="70"/>
      <c r="G217" s="68"/>
      <c r="H217" s="67"/>
      <c r="I217" s="67"/>
      <c r="J217" s="68"/>
      <c r="K217" s="71"/>
      <c r="L217" s="71"/>
      <c r="M217" s="73"/>
      <c r="N217" s="72"/>
      <c r="O217" s="66"/>
      <c r="P217" s="65"/>
      <c r="Q217" s="66"/>
    </row>
    <row r="218" spans="2:17" x14ac:dyDescent="0.25">
      <c r="B218" s="66"/>
      <c r="C218" s="65"/>
      <c r="D218" s="66"/>
      <c r="E218" s="65"/>
      <c r="F218" s="70"/>
      <c r="G218" s="68"/>
      <c r="H218" s="67"/>
      <c r="I218" s="67"/>
      <c r="J218" s="68"/>
      <c r="K218" s="71"/>
      <c r="L218" s="71"/>
      <c r="M218" s="73"/>
      <c r="N218" s="72"/>
      <c r="O218" s="66"/>
      <c r="P218" s="65"/>
      <c r="Q218" s="66"/>
    </row>
    <row r="219" spans="2:17" x14ac:dyDescent="0.25">
      <c r="B219" s="66"/>
      <c r="C219" s="65"/>
      <c r="D219" s="66"/>
      <c r="E219" s="65"/>
      <c r="F219" s="70"/>
      <c r="G219" s="68"/>
      <c r="H219" s="67"/>
      <c r="I219" s="67"/>
      <c r="J219" s="68"/>
      <c r="K219" s="71"/>
      <c r="L219" s="71"/>
      <c r="M219" s="73"/>
      <c r="N219" s="72"/>
      <c r="O219" s="66"/>
      <c r="P219" s="65"/>
      <c r="Q219" s="66"/>
    </row>
    <row r="220" spans="2:17" x14ac:dyDescent="0.25">
      <c r="B220" s="66"/>
      <c r="C220" s="65"/>
      <c r="D220" s="66"/>
      <c r="E220" s="65"/>
      <c r="F220" s="70"/>
      <c r="G220" s="68"/>
      <c r="H220" s="67"/>
      <c r="I220" s="67"/>
      <c r="J220" s="68"/>
      <c r="K220" s="71"/>
      <c r="L220" s="71"/>
      <c r="M220" s="73"/>
      <c r="N220" s="72"/>
      <c r="O220" s="66"/>
      <c r="P220" s="65"/>
      <c r="Q220" s="66"/>
    </row>
    <row r="221" spans="2:17" x14ac:dyDescent="0.25">
      <c r="B221" s="66"/>
      <c r="C221" s="65"/>
      <c r="D221" s="66"/>
      <c r="E221" s="65"/>
      <c r="F221" s="70"/>
      <c r="G221" s="68"/>
      <c r="H221" s="67"/>
      <c r="I221" s="67"/>
      <c r="J221" s="68"/>
      <c r="K221" s="71"/>
      <c r="L221" s="71"/>
      <c r="M221" s="73"/>
      <c r="N221" s="72"/>
      <c r="O221" s="66"/>
      <c r="P221" s="65"/>
      <c r="Q221" s="66"/>
    </row>
    <row r="222" spans="2:17" x14ac:dyDescent="0.25">
      <c r="B222" s="66"/>
      <c r="C222" s="65"/>
      <c r="D222" s="66"/>
      <c r="E222" s="65"/>
      <c r="F222" s="70"/>
      <c r="G222" s="68"/>
      <c r="H222" s="67"/>
      <c r="I222" s="67"/>
      <c r="J222" s="68"/>
      <c r="K222" s="71"/>
      <c r="L222" s="71"/>
      <c r="M222" s="73"/>
      <c r="N222" s="72"/>
      <c r="O222" s="66"/>
      <c r="P222" s="65"/>
      <c r="Q222" s="66"/>
    </row>
    <row r="223" spans="2:17" x14ac:dyDescent="0.25">
      <c r="B223" s="66"/>
      <c r="C223" s="65"/>
      <c r="D223" s="66"/>
      <c r="E223" s="65"/>
      <c r="F223" s="70"/>
      <c r="G223" s="68"/>
      <c r="H223" s="67"/>
      <c r="I223" s="67"/>
      <c r="J223" s="68"/>
      <c r="K223" s="71"/>
      <c r="L223" s="71"/>
      <c r="M223" s="73"/>
      <c r="N223" s="72"/>
      <c r="O223" s="66"/>
      <c r="P223" s="65"/>
      <c r="Q223" s="66"/>
    </row>
    <row r="224" spans="2:17" x14ac:dyDescent="0.25">
      <c r="B224" s="66"/>
      <c r="C224" s="65"/>
      <c r="D224" s="66"/>
      <c r="E224" s="65"/>
      <c r="F224" s="70"/>
      <c r="G224" s="68"/>
      <c r="H224" s="67"/>
      <c r="I224" s="67"/>
      <c r="J224" s="68"/>
      <c r="K224" s="71"/>
      <c r="L224" s="71"/>
      <c r="M224" s="73"/>
      <c r="N224" s="72"/>
      <c r="O224" s="66"/>
      <c r="P224" s="65"/>
      <c r="Q224" s="66"/>
    </row>
    <row r="225" spans="2:17" x14ac:dyDescent="0.25">
      <c r="B225" s="66"/>
      <c r="C225" s="65"/>
      <c r="D225" s="66"/>
      <c r="E225" s="65"/>
      <c r="F225" s="70"/>
      <c r="G225" s="68"/>
      <c r="H225" s="67"/>
      <c r="I225" s="67"/>
      <c r="J225" s="68"/>
      <c r="K225" s="71"/>
      <c r="L225" s="71"/>
      <c r="M225" s="73"/>
      <c r="N225" s="72"/>
      <c r="O225" s="66"/>
      <c r="P225" s="65"/>
      <c r="Q225" s="66"/>
    </row>
    <row r="226" spans="2:17" x14ac:dyDescent="0.25">
      <c r="B226" s="66"/>
      <c r="C226" s="65"/>
      <c r="D226" s="66"/>
      <c r="E226" s="65"/>
      <c r="F226" s="70"/>
      <c r="G226" s="68"/>
      <c r="H226" s="67"/>
      <c r="I226" s="67"/>
      <c r="J226" s="68"/>
      <c r="K226" s="71"/>
      <c r="L226" s="71"/>
      <c r="M226" s="73"/>
      <c r="N226" s="72"/>
      <c r="O226" s="66"/>
      <c r="P226" s="65"/>
      <c r="Q226" s="66"/>
    </row>
    <row r="227" spans="2:17" x14ac:dyDescent="0.25">
      <c r="B227" s="66"/>
      <c r="C227" s="65"/>
      <c r="D227" s="66"/>
      <c r="E227" s="65"/>
      <c r="F227" s="70"/>
      <c r="G227" s="68"/>
      <c r="H227" s="67"/>
      <c r="I227" s="67"/>
      <c r="J227" s="68"/>
      <c r="K227" s="71"/>
      <c r="L227" s="71"/>
      <c r="M227" s="73"/>
      <c r="N227" s="72"/>
      <c r="O227" s="66"/>
      <c r="P227" s="65"/>
      <c r="Q227" s="66"/>
    </row>
    <row r="228" spans="2:17" x14ac:dyDescent="0.25">
      <c r="B228" s="66"/>
      <c r="C228" s="65"/>
      <c r="D228" s="66"/>
      <c r="E228" s="65"/>
      <c r="F228" s="70"/>
      <c r="G228" s="68"/>
      <c r="H228" s="67"/>
      <c r="I228" s="67"/>
      <c r="J228" s="68"/>
      <c r="K228" s="71"/>
      <c r="L228" s="71"/>
      <c r="M228" s="73"/>
      <c r="N228" s="72"/>
      <c r="O228" s="66"/>
      <c r="P228" s="65"/>
      <c r="Q228" s="66"/>
    </row>
    <row r="229" spans="2:17" x14ac:dyDescent="0.25">
      <c r="B229" s="66"/>
      <c r="C229" s="65"/>
      <c r="D229" s="66"/>
      <c r="E229" s="65"/>
      <c r="F229" s="70"/>
      <c r="G229" s="68"/>
      <c r="H229" s="67"/>
      <c r="I229" s="67"/>
      <c r="J229" s="68"/>
      <c r="K229" s="71"/>
      <c r="L229" s="71"/>
      <c r="M229" s="73"/>
      <c r="N229" s="72"/>
      <c r="O229" s="66"/>
      <c r="P229" s="65"/>
      <c r="Q229" s="66"/>
    </row>
    <row r="230" spans="2:17" x14ac:dyDescent="0.25">
      <c r="B230" s="66"/>
      <c r="C230" s="65"/>
      <c r="D230" s="66"/>
      <c r="E230" s="65"/>
      <c r="F230" s="70"/>
      <c r="G230" s="68"/>
      <c r="H230" s="67"/>
      <c r="I230" s="67"/>
      <c r="J230" s="68"/>
      <c r="K230" s="71"/>
      <c r="L230" s="71"/>
      <c r="M230" s="73"/>
      <c r="N230" s="72"/>
      <c r="O230" s="66"/>
      <c r="P230" s="65"/>
      <c r="Q230" s="66"/>
    </row>
    <row r="231" spans="2:17" x14ac:dyDescent="0.25">
      <c r="B231" s="66"/>
      <c r="C231" s="65"/>
      <c r="D231" s="66"/>
      <c r="E231" s="65"/>
      <c r="F231" s="70"/>
      <c r="G231" s="68"/>
      <c r="H231" s="67"/>
      <c r="I231" s="67"/>
      <c r="J231" s="68"/>
      <c r="K231" s="71"/>
      <c r="L231" s="71"/>
      <c r="M231" s="73"/>
      <c r="N231" s="72"/>
      <c r="O231" s="66"/>
      <c r="P231" s="65"/>
      <c r="Q231" s="66"/>
    </row>
    <row r="232" spans="2:17" x14ac:dyDescent="0.25">
      <c r="B232" s="66"/>
      <c r="C232" s="65"/>
      <c r="D232" s="66"/>
      <c r="E232" s="65"/>
      <c r="F232" s="70"/>
      <c r="G232" s="68"/>
      <c r="H232" s="67"/>
      <c r="I232" s="67"/>
      <c r="J232" s="68"/>
      <c r="K232" s="71"/>
      <c r="L232" s="71"/>
      <c r="M232" s="73"/>
      <c r="N232" s="72"/>
      <c r="O232" s="66"/>
      <c r="P232" s="65"/>
      <c r="Q232" s="66"/>
    </row>
    <row r="233" spans="2:17" x14ac:dyDescent="0.25">
      <c r="B233" s="66"/>
      <c r="C233" s="65"/>
      <c r="D233" s="66"/>
      <c r="E233" s="65"/>
      <c r="F233" s="70"/>
      <c r="G233" s="68"/>
      <c r="H233" s="67"/>
      <c r="I233" s="67"/>
      <c r="J233" s="68"/>
      <c r="K233" s="71"/>
      <c r="L233" s="71"/>
      <c r="M233" s="73"/>
      <c r="N233" s="72"/>
      <c r="O233" s="66"/>
      <c r="P233" s="65"/>
      <c r="Q233" s="66"/>
    </row>
    <row r="234" spans="2:17" x14ac:dyDescent="0.25">
      <c r="B234" s="66"/>
      <c r="C234" s="65"/>
      <c r="D234" s="66"/>
      <c r="E234" s="65"/>
      <c r="F234" s="70"/>
      <c r="G234" s="68"/>
      <c r="H234" s="67"/>
      <c r="I234" s="67"/>
      <c r="J234" s="68"/>
      <c r="K234" s="71"/>
      <c r="L234" s="71"/>
      <c r="M234" s="73"/>
      <c r="N234" s="72"/>
      <c r="O234" s="66"/>
      <c r="P234" s="65"/>
      <c r="Q234" s="66"/>
    </row>
    <row r="235" spans="2:17" x14ac:dyDescent="0.25">
      <c r="B235" s="66"/>
      <c r="C235" s="65"/>
      <c r="D235" s="66"/>
      <c r="E235" s="65"/>
      <c r="F235" s="70"/>
      <c r="G235" s="68"/>
      <c r="H235" s="67"/>
      <c r="I235" s="67"/>
      <c r="J235" s="68"/>
      <c r="K235" s="71"/>
      <c r="L235" s="71"/>
      <c r="M235" s="73"/>
      <c r="N235" s="72"/>
      <c r="O235" s="66"/>
      <c r="P235" s="65"/>
      <c r="Q235" s="66"/>
    </row>
    <row r="236" spans="2:17" x14ac:dyDescent="0.25">
      <c r="B236" s="66"/>
      <c r="C236" s="65"/>
      <c r="D236" s="66"/>
      <c r="E236" s="65"/>
      <c r="F236" s="70"/>
      <c r="G236" s="68"/>
      <c r="H236" s="67"/>
      <c r="I236" s="67"/>
      <c r="J236" s="68"/>
      <c r="K236" s="71"/>
      <c r="L236" s="71"/>
      <c r="M236" s="73"/>
      <c r="N236" s="72"/>
      <c r="O236" s="66"/>
      <c r="P236" s="65"/>
      <c r="Q236" s="66"/>
    </row>
    <row r="237" spans="2:17" x14ac:dyDescent="0.25">
      <c r="B237" s="66"/>
      <c r="C237" s="65"/>
      <c r="D237" s="66"/>
      <c r="E237" s="65"/>
      <c r="F237" s="70"/>
      <c r="G237" s="68"/>
      <c r="H237" s="67"/>
      <c r="I237" s="67"/>
      <c r="J237" s="68"/>
      <c r="K237" s="71"/>
      <c r="L237" s="71"/>
      <c r="M237" s="73"/>
      <c r="N237" s="72"/>
      <c r="O237" s="66"/>
      <c r="P237" s="65"/>
      <c r="Q237" s="66"/>
    </row>
    <row r="238" spans="2:17" x14ac:dyDescent="0.25">
      <c r="B238" s="66"/>
      <c r="C238" s="65"/>
      <c r="D238" s="66"/>
      <c r="E238" s="65"/>
      <c r="F238" s="70"/>
      <c r="G238" s="68"/>
      <c r="H238" s="67"/>
      <c r="I238" s="67"/>
      <c r="J238" s="68"/>
      <c r="K238" s="71"/>
      <c r="L238" s="71"/>
      <c r="M238" s="73"/>
      <c r="N238" s="72"/>
      <c r="O238" s="66"/>
      <c r="P238" s="65"/>
      <c r="Q238" s="66"/>
    </row>
    <row r="239" spans="2:17" x14ac:dyDescent="0.25">
      <c r="B239" s="66"/>
      <c r="C239" s="65"/>
      <c r="D239" s="66"/>
      <c r="E239" s="65"/>
      <c r="F239" s="70"/>
      <c r="G239" s="68"/>
      <c r="H239" s="67"/>
      <c r="I239" s="67"/>
      <c r="J239" s="68"/>
      <c r="K239" s="71"/>
      <c r="L239" s="71"/>
      <c r="M239" s="73"/>
      <c r="N239" s="72"/>
      <c r="O239" s="66"/>
      <c r="P239" s="65"/>
      <c r="Q239" s="66"/>
    </row>
    <row r="240" spans="2:17" x14ac:dyDescent="0.25">
      <c r="B240" s="66"/>
      <c r="C240" s="65"/>
      <c r="D240" s="66"/>
      <c r="E240" s="65"/>
      <c r="F240" s="70"/>
      <c r="G240" s="68"/>
      <c r="H240" s="67"/>
      <c r="I240" s="67"/>
      <c r="J240" s="68"/>
      <c r="K240" s="71"/>
      <c r="L240" s="71"/>
      <c r="M240" s="73"/>
      <c r="N240" s="72"/>
      <c r="O240" s="66"/>
      <c r="P240" s="65"/>
      <c r="Q240" s="66"/>
    </row>
    <row r="241" spans="2:17" x14ac:dyDescent="0.25">
      <c r="B241" s="66"/>
      <c r="C241" s="65"/>
      <c r="D241" s="66"/>
      <c r="E241" s="65"/>
      <c r="F241" s="70"/>
      <c r="G241" s="68"/>
      <c r="H241" s="67"/>
      <c r="I241" s="67"/>
      <c r="J241" s="68"/>
      <c r="K241" s="71"/>
      <c r="L241" s="71"/>
      <c r="M241" s="73"/>
      <c r="N241" s="72"/>
      <c r="O241" s="66"/>
      <c r="P241" s="65"/>
      <c r="Q241" s="66"/>
    </row>
    <row r="242" spans="2:17" x14ac:dyDescent="0.25">
      <c r="B242" s="66"/>
      <c r="C242" s="65"/>
      <c r="D242" s="66"/>
      <c r="E242" s="65"/>
      <c r="F242" s="70"/>
      <c r="G242" s="68"/>
      <c r="H242" s="67"/>
      <c r="I242" s="67"/>
      <c r="J242" s="68"/>
      <c r="K242" s="71"/>
      <c r="L242" s="71"/>
      <c r="M242" s="73"/>
      <c r="N242" s="72"/>
      <c r="O242" s="66"/>
      <c r="P242" s="65"/>
      <c r="Q242" s="66"/>
    </row>
    <row r="243" spans="2:17" x14ac:dyDescent="0.25">
      <c r="B243" s="66"/>
      <c r="C243" s="65"/>
      <c r="D243" s="66"/>
      <c r="E243" s="65"/>
      <c r="F243" s="70"/>
      <c r="G243" s="68"/>
      <c r="H243" s="67"/>
      <c r="I243" s="67"/>
      <c r="J243" s="68"/>
      <c r="K243" s="71"/>
      <c r="L243" s="71"/>
      <c r="M243" s="73"/>
      <c r="N243" s="72"/>
      <c r="O243" s="66"/>
      <c r="P243" s="65"/>
      <c r="Q243" s="66"/>
    </row>
    <row r="244" spans="2:17" x14ac:dyDescent="0.25">
      <c r="B244" s="66"/>
      <c r="C244" s="65"/>
      <c r="D244" s="66"/>
      <c r="E244" s="65"/>
      <c r="F244" s="70"/>
      <c r="G244" s="68"/>
      <c r="H244" s="67"/>
      <c r="I244" s="67"/>
      <c r="J244" s="68"/>
      <c r="K244" s="71"/>
      <c r="L244" s="71"/>
      <c r="M244" s="73"/>
      <c r="N244" s="72"/>
      <c r="O244" s="66"/>
      <c r="P244" s="65"/>
      <c r="Q244" s="66"/>
    </row>
    <row r="245" spans="2:17" x14ac:dyDescent="0.25">
      <c r="B245" s="66"/>
      <c r="C245" s="65"/>
      <c r="D245" s="66"/>
      <c r="E245" s="65"/>
      <c r="F245" s="70"/>
      <c r="G245" s="68"/>
      <c r="H245" s="67"/>
      <c r="I245" s="67"/>
      <c r="J245" s="68"/>
      <c r="K245" s="71"/>
      <c r="L245" s="71"/>
      <c r="M245" s="73"/>
      <c r="N245" s="72"/>
      <c r="O245" s="66"/>
      <c r="P245" s="65"/>
      <c r="Q245" s="66"/>
    </row>
    <row r="246" spans="2:17" x14ac:dyDescent="0.25">
      <c r="B246" s="66"/>
      <c r="C246" s="65"/>
      <c r="D246" s="66"/>
      <c r="E246" s="65"/>
      <c r="F246" s="70"/>
      <c r="G246" s="68"/>
      <c r="H246" s="67"/>
      <c r="I246" s="67"/>
      <c r="J246" s="68"/>
      <c r="K246" s="71"/>
      <c r="L246" s="71"/>
      <c r="M246" s="73"/>
      <c r="N246" s="72"/>
      <c r="O246" s="66"/>
      <c r="P246" s="65"/>
      <c r="Q246" s="66"/>
    </row>
    <row r="247" spans="2:17" x14ac:dyDescent="0.25">
      <c r="B247" s="66"/>
      <c r="C247" s="65"/>
      <c r="D247" s="66"/>
      <c r="E247" s="65"/>
      <c r="F247" s="70"/>
      <c r="G247" s="68"/>
      <c r="H247" s="67"/>
      <c r="I247" s="67"/>
      <c r="J247" s="68"/>
      <c r="K247" s="71"/>
      <c r="L247" s="71"/>
      <c r="M247" s="73"/>
      <c r="N247" s="72"/>
      <c r="O247" s="66"/>
      <c r="P247" s="65"/>
      <c r="Q247" s="66"/>
    </row>
    <row r="248" spans="2:17" x14ac:dyDescent="0.25">
      <c r="B248" s="66"/>
      <c r="C248" s="65"/>
      <c r="D248" s="66"/>
      <c r="E248" s="65"/>
      <c r="F248" s="70"/>
      <c r="G248" s="68"/>
      <c r="H248" s="67"/>
      <c r="I248" s="67"/>
      <c r="J248" s="68"/>
      <c r="K248" s="71"/>
      <c r="L248" s="71"/>
      <c r="M248" s="73"/>
      <c r="N248" s="72"/>
      <c r="O248" s="66"/>
      <c r="P248" s="65"/>
      <c r="Q248" s="66"/>
    </row>
    <row r="249" spans="2:17" x14ac:dyDescent="0.25">
      <c r="B249" s="66"/>
      <c r="C249" s="65"/>
      <c r="D249" s="66"/>
      <c r="E249" s="65"/>
      <c r="F249" s="70"/>
      <c r="G249" s="68"/>
      <c r="H249" s="67"/>
      <c r="I249" s="67"/>
      <c r="J249" s="68"/>
      <c r="K249" s="71"/>
      <c r="L249" s="71"/>
      <c r="M249" s="73"/>
      <c r="N249" s="72"/>
      <c r="O249" s="66"/>
      <c r="P249" s="65"/>
      <c r="Q249" s="66"/>
    </row>
    <row r="250" spans="2:17" x14ac:dyDescent="0.25">
      <c r="B250" s="66"/>
      <c r="C250" s="65"/>
      <c r="D250" s="66"/>
      <c r="E250" s="65"/>
      <c r="F250" s="70"/>
      <c r="G250" s="68"/>
      <c r="H250" s="67"/>
      <c r="I250" s="67"/>
      <c r="J250" s="68"/>
      <c r="K250" s="71"/>
      <c r="L250" s="71"/>
      <c r="M250" s="73"/>
      <c r="N250" s="72"/>
      <c r="O250" s="66"/>
      <c r="P250" s="65"/>
      <c r="Q250" s="66"/>
    </row>
    <row r="251" spans="2:17" x14ac:dyDescent="0.25">
      <c r="B251" s="66"/>
      <c r="C251" s="65"/>
      <c r="D251" s="66"/>
      <c r="E251" s="65"/>
      <c r="F251" s="70"/>
      <c r="G251" s="68"/>
      <c r="H251" s="67"/>
      <c r="I251" s="67"/>
      <c r="J251" s="68"/>
      <c r="K251" s="71"/>
      <c r="L251" s="71"/>
      <c r="M251" s="73"/>
      <c r="N251" s="72"/>
      <c r="O251" s="66"/>
      <c r="P251" s="65"/>
      <c r="Q251" s="66"/>
    </row>
    <row r="252" spans="2:17" x14ac:dyDescent="0.25">
      <c r="B252" s="66"/>
      <c r="C252" s="65"/>
      <c r="D252" s="66"/>
      <c r="E252" s="65"/>
      <c r="F252" s="70"/>
      <c r="G252" s="68"/>
      <c r="H252" s="67"/>
      <c r="I252" s="67"/>
      <c r="J252" s="68"/>
      <c r="K252" s="71"/>
      <c r="L252" s="71"/>
      <c r="M252" s="73"/>
      <c r="N252" s="72"/>
      <c r="O252" s="66"/>
      <c r="P252" s="65"/>
      <c r="Q252" s="66"/>
    </row>
    <row r="253" spans="2:17" x14ac:dyDescent="0.25">
      <c r="B253" s="66"/>
      <c r="C253" s="65"/>
      <c r="D253" s="66"/>
      <c r="E253" s="65"/>
      <c r="F253" s="70"/>
      <c r="G253" s="68"/>
      <c r="H253" s="67"/>
      <c r="I253" s="67"/>
      <c r="J253" s="68"/>
      <c r="K253" s="71"/>
      <c r="L253" s="71"/>
      <c r="M253" s="73"/>
      <c r="N253" s="72"/>
      <c r="O253" s="66"/>
      <c r="P253" s="65"/>
      <c r="Q253" s="66"/>
    </row>
    <row r="254" spans="2:17" x14ac:dyDescent="0.25">
      <c r="B254" s="66"/>
      <c r="C254" s="65"/>
      <c r="D254" s="66"/>
      <c r="E254" s="65"/>
      <c r="F254" s="70"/>
      <c r="G254" s="68"/>
      <c r="H254" s="67"/>
      <c r="I254" s="67"/>
      <c r="J254" s="68"/>
      <c r="K254" s="71"/>
      <c r="L254" s="71"/>
      <c r="M254" s="73"/>
      <c r="N254" s="72"/>
      <c r="O254" s="66"/>
      <c r="P254" s="65"/>
      <c r="Q254" s="66"/>
    </row>
    <row r="255" spans="2:17" x14ac:dyDescent="0.25">
      <c r="B255" s="66"/>
      <c r="C255" s="65"/>
      <c r="D255" s="66"/>
      <c r="E255" s="65"/>
      <c r="F255" s="70"/>
      <c r="G255" s="68"/>
      <c r="H255" s="67"/>
      <c r="I255" s="67"/>
      <c r="J255" s="68"/>
      <c r="K255" s="71"/>
      <c r="L255" s="71"/>
      <c r="M255" s="73"/>
      <c r="N255" s="72"/>
      <c r="O255" s="66"/>
      <c r="P255" s="65"/>
      <c r="Q255" s="66"/>
    </row>
    <row r="256" spans="2:17" x14ac:dyDescent="0.25">
      <c r="B256" s="66"/>
      <c r="C256" s="65"/>
      <c r="D256" s="66"/>
      <c r="E256" s="65"/>
      <c r="F256" s="70"/>
      <c r="G256" s="68"/>
      <c r="H256" s="67"/>
      <c r="I256" s="67"/>
      <c r="J256" s="68"/>
      <c r="K256" s="71"/>
      <c r="L256" s="71"/>
      <c r="M256" s="73"/>
      <c r="N256" s="72"/>
      <c r="O256" s="66"/>
      <c r="P256" s="65"/>
      <c r="Q256" s="66"/>
    </row>
    <row r="257" spans="2:17" x14ac:dyDescent="0.25">
      <c r="B257" s="66"/>
      <c r="C257" s="65"/>
      <c r="D257" s="66"/>
      <c r="E257" s="65"/>
      <c r="F257" s="70"/>
      <c r="G257" s="68"/>
      <c r="H257" s="67"/>
      <c r="I257" s="67"/>
      <c r="J257" s="68"/>
      <c r="K257" s="71"/>
      <c r="L257" s="71"/>
      <c r="M257" s="73"/>
      <c r="N257" s="72"/>
      <c r="O257" s="66"/>
      <c r="P257" s="65"/>
      <c r="Q257" s="66"/>
    </row>
    <row r="258" spans="2:17" x14ac:dyDescent="0.25">
      <c r="B258" s="66"/>
      <c r="C258" s="65"/>
      <c r="D258" s="66"/>
      <c r="E258" s="65"/>
      <c r="F258" s="70"/>
      <c r="G258" s="68"/>
      <c r="H258" s="67"/>
      <c r="I258" s="67"/>
      <c r="J258" s="68"/>
      <c r="K258" s="71"/>
      <c r="L258" s="71"/>
      <c r="M258" s="73"/>
      <c r="N258" s="72"/>
      <c r="O258" s="66"/>
      <c r="P258" s="65"/>
      <c r="Q258" s="66"/>
    </row>
    <row r="259" spans="2:17" x14ac:dyDescent="0.25">
      <c r="B259" s="66"/>
      <c r="C259" s="65"/>
      <c r="D259" s="66"/>
      <c r="E259" s="65"/>
      <c r="F259" s="70"/>
      <c r="G259" s="68"/>
      <c r="H259" s="67"/>
      <c r="I259" s="67"/>
      <c r="J259" s="68"/>
      <c r="K259" s="71"/>
      <c r="L259" s="71"/>
      <c r="M259" s="73"/>
      <c r="N259" s="72"/>
      <c r="O259" s="66"/>
      <c r="P259" s="65"/>
      <c r="Q259" s="66"/>
    </row>
    <row r="260" spans="2:17" x14ac:dyDescent="0.25">
      <c r="B260" s="66"/>
      <c r="C260" s="65"/>
      <c r="D260" s="66"/>
      <c r="E260" s="65"/>
      <c r="F260" s="70"/>
      <c r="G260" s="68"/>
      <c r="H260" s="67"/>
      <c r="I260" s="67"/>
      <c r="J260" s="68"/>
      <c r="K260" s="71"/>
      <c r="L260" s="71"/>
      <c r="M260" s="73"/>
      <c r="N260" s="72"/>
      <c r="O260" s="66"/>
      <c r="P260" s="65"/>
      <c r="Q260" s="66"/>
    </row>
    <row r="261" spans="2:17" x14ac:dyDescent="0.25">
      <c r="B261" s="66"/>
      <c r="C261" s="65"/>
      <c r="D261" s="66"/>
      <c r="E261" s="65"/>
      <c r="F261" s="70"/>
      <c r="G261" s="68"/>
      <c r="H261" s="67"/>
      <c r="I261" s="67"/>
      <c r="J261" s="68"/>
      <c r="K261" s="71"/>
      <c r="L261" s="71"/>
      <c r="M261" s="73"/>
      <c r="N261" s="72"/>
      <c r="O261" s="66"/>
      <c r="P261" s="65"/>
      <c r="Q261" s="66"/>
    </row>
    <row r="262" spans="2:17" x14ac:dyDescent="0.25">
      <c r="B262" s="66"/>
      <c r="C262" s="65"/>
      <c r="D262" s="66"/>
      <c r="E262" s="65"/>
      <c r="F262" s="70"/>
      <c r="G262" s="68"/>
      <c r="H262" s="67"/>
      <c r="I262" s="67"/>
      <c r="J262" s="68"/>
      <c r="K262" s="71"/>
      <c r="L262" s="71"/>
      <c r="M262" s="73"/>
      <c r="N262" s="72"/>
      <c r="O262" s="66"/>
      <c r="P262" s="65"/>
      <c r="Q262" s="66"/>
    </row>
    <row r="263" spans="2:17" x14ac:dyDescent="0.25">
      <c r="B263" s="66"/>
      <c r="C263" s="65"/>
      <c r="D263" s="66"/>
      <c r="E263" s="65"/>
      <c r="F263" s="70"/>
      <c r="G263" s="68"/>
      <c r="H263" s="67"/>
      <c r="I263" s="67"/>
      <c r="J263" s="68"/>
      <c r="K263" s="71"/>
      <c r="L263" s="71"/>
      <c r="M263" s="73"/>
      <c r="N263" s="72"/>
      <c r="O263" s="66"/>
      <c r="P263" s="65"/>
      <c r="Q263" s="66"/>
    </row>
    <row r="264" spans="2:17" x14ac:dyDescent="0.25">
      <c r="B264" s="66"/>
      <c r="C264" s="65"/>
      <c r="D264" s="66"/>
      <c r="E264" s="65"/>
      <c r="F264" s="70"/>
      <c r="G264" s="68"/>
      <c r="H264" s="67"/>
      <c r="I264" s="67"/>
      <c r="J264" s="68"/>
      <c r="K264" s="71"/>
      <c r="L264" s="71"/>
      <c r="M264" s="73"/>
      <c r="N264" s="72"/>
      <c r="O264" s="66"/>
      <c r="P264" s="65"/>
      <c r="Q264" s="66"/>
    </row>
    <row r="265" spans="2:17" x14ac:dyDescent="0.25">
      <c r="B265" s="66"/>
      <c r="C265" s="65"/>
      <c r="D265" s="66"/>
      <c r="E265" s="65"/>
      <c r="F265" s="70"/>
      <c r="G265" s="68"/>
      <c r="H265" s="67"/>
      <c r="I265" s="67"/>
      <c r="J265" s="68"/>
      <c r="K265" s="71"/>
      <c r="L265" s="71"/>
      <c r="M265" s="73"/>
      <c r="N265" s="72"/>
      <c r="O265" s="66"/>
      <c r="P265" s="65"/>
      <c r="Q265" s="66"/>
    </row>
    <row r="266" spans="2:17" x14ac:dyDescent="0.25">
      <c r="B266" s="66"/>
      <c r="C266" s="65"/>
      <c r="D266" s="66"/>
      <c r="E266" s="65"/>
      <c r="F266" s="70"/>
      <c r="G266" s="68"/>
      <c r="H266" s="67"/>
      <c r="I266" s="67"/>
      <c r="J266" s="68"/>
      <c r="K266" s="71"/>
      <c r="L266" s="71"/>
      <c r="M266" s="73"/>
      <c r="N266" s="72"/>
      <c r="O266" s="66"/>
      <c r="P266" s="65"/>
      <c r="Q266" s="66"/>
    </row>
    <row r="267" spans="2:17" x14ac:dyDescent="0.25">
      <c r="B267" s="66"/>
      <c r="C267" s="65"/>
      <c r="D267" s="66"/>
      <c r="E267" s="65"/>
      <c r="F267" s="70"/>
      <c r="G267" s="68"/>
      <c r="H267" s="67"/>
      <c r="I267" s="67"/>
      <c r="J267" s="68"/>
      <c r="K267" s="71"/>
      <c r="L267" s="71"/>
      <c r="M267" s="73"/>
      <c r="N267" s="72"/>
      <c r="O267" s="66"/>
      <c r="P267" s="65"/>
      <c r="Q267" s="66"/>
    </row>
    <row r="268" spans="2:17" x14ac:dyDescent="0.25">
      <c r="B268" s="66"/>
      <c r="C268" s="65"/>
      <c r="D268" s="66"/>
      <c r="E268" s="65"/>
      <c r="F268" s="70"/>
      <c r="G268" s="68"/>
      <c r="H268" s="67"/>
      <c r="I268" s="67"/>
      <c r="J268" s="68"/>
      <c r="K268" s="71"/>
      <c r="L268" s="71"/>
      <c r="M268" s="73"/>
      <c r="N268" s="72"/>
      <c r="O268" s="66"/>
      <c r="P268" s="65"/>
      <c r="Q268" s="66"/>
    </row>
    <row r="269" spans="2:17" x14ac:dyDescent="0.25">
      <c r="B269" s="66"/>
      <c r="C269" s="65"/>
      <c r="D269" s="66"/>
      <c r="E269" s="65"/>
      <c r="F269" s="70"/>
      <c r="G269" s="68"/>
      <c r="H269" s="67"/>
      <c r="I269" s="67"/>
      <c r="J269" s="68"/>
      <c r="K269" s="71"/>
      <c r="L269" s="71"/>
      <c r="M269" s="73"/>
      <c r="N269" s="72"/>
      <c r="O269" s="66"/>
      <c r="P269" s="65"/>
      <c r="Q269" s="66"/>
    </row>
    <row r="270" spans="2:17" x14ac:dyDescent="0.25">
      <c r="B270" s="66"/>
      <c r="C270" s="65"/>
      <c r="D270" s="66"/>
      <c r="E270" s="65"/>
      <c r="F270" s="70"/>
      <c r="G270" s="68"/>
      <c r="H270" s="67"/>
      <c r="I270" s="67"/>
      <c r="J270" s="68"/>
      <c r="K270" s="71"/>
      <c r="L270" s="71"/>
      <c r="M270" s="73"/>
      <c r="N270" s="72"/>
      <c r="O270" s="66"/>
      <c r="P270" s="65"/>
      <c r="Q270" s="66"/>
    </row>
    <row r="271" spans="2:17" x14ac:dyDescent="0.25">
      <c r="B271" s="66"/>
      <c r="C271" s="65"/>
      <c r="D271" s="66"/>
      <c r="E271" s="65"/>
      <c r="F271" s="70"/>
      <c r="G271" s="68"/>
      <c r="H271" s="67"/>
      <c r="I271" s="67"/>
      <c r="J271" s="68"/>
      <c r="K271" s="71"/>
      <c r="L271" s="71"/>
      <c r="M271" s="73"/>
      <c r="N271" s="72"/>
      <c r="O271" s="66"/>
      <c r="P271" s="65"/>
      <c r="Q271" s="66"/>
    </row>
    <row r="272" spans="2:17" x14ac:dyDescent="0.25">
      <c r="B272" s="66"/>
      <c r="C272" s="65"/>
      <c r="D272" s="66"/>
      <c r="E272" s="65"/>
      <c r="F272" s="70"/>
      <c r="G272" s="68"/>
      <c r="H272" s="67"/>
      <c r="I272" s="67"/>
      <c r="J272" s="68"/>
      <c r="K272" s="71"/>
      <c r="L272" s="71"/>
      <c r="M272" s="73"/>
      <c r="N272" s="72"/>
      <c r="O272" s="66"/>
      <c r="P272" s="65"/>
      <c r="Q272" s="66"/>
    </row>
    <row r="273" spans="2:17" x14ac:dyDescent="0.25">
      <c r="B273" s="66"/>
      <c r="C273" s="65"/>
      <c r="D273" s="66"/>
      <c r="E273" s="65"/>
      <c r="F273" s="70"/>
      <c r="G273" s="68"/>
      <c r="H273" s="67"/>
      <c r="I273" s="67"/>
      <c r="J273" s="68"/>
      <c r="K273" s="71"/>
      <c r="L273" s="71"/>
      <c r="M273" s="73"/>
      <c r="N273" s="72"/>
      <c r="O273" s="66"/>
      <c r="P273" s="65"/>
      <c r="Q273" s="66"/>
    </row>
    <row r="274" spans="2:17" x14ac:dyDescent="0.25">
      <c r="B274" s="66"/>
      <c r="C274" s="65"/>
      <c r="D274" s="66"/>
      <c r="E274" s="65"/>
      <c r="F274" s="70"/>
      <c r="G274" s="68"/>
      <c r="H274" s="67"/>
      <c r="I274" s="67"/>
      <c r="J274" s="68"/>
      <c r="K274" s="71"/>
      <c r="L274" s="71"/>
      <c r="M274" s="73"/>
      <c r="N274" s="72"/>
      <c r="O274" s="66"/>
      <c r="P274" s="65"/>
      <c r="Q274" s="66"/>
    </row>
    <row r="275" spans="2:17" x14ac:dyDescent="0.25">
      <c r="B275" s="66"/>
      <c r="C275" s="65"/>
      <c r="D275" s="66"/>
      <c r="E275" s="65"/>
      <c r="F275" s="70"/>
      <c r="G275" s="68"/>
      <c r="H275" s="67"/>
      <c r="I275" s="67"/>
      <c r="J275" s="68"/>
      <c r="K275" s="71"/>
      <c r="L275" s="71"/>
      <c r="M275" s="73"/>
      <c r="N275" s="72"/>
      <c r="O275" s="66"/>
      <c r="P275" s="65"/>
      <c r="Q275" s="66"/>
    </row>
    <row r="276" spans="2:17" x14ac:dyDescent="0.25">
      <c r="B276" s="66"/>
      <c r="C276" s="65"/>
      <c r="D276" s="66"/>
      <c r="E276" s="65"/>
      <c r="F276" s="70"/>
      <c r="G276" s="68"/>
      <c r="H276" s="67"/>
      <c r="I276" s="67"/>
      <c r="J276" s="68"/>
      <c r="K276" s="71"/>
      <c r="L276" s="71"/>
      <c r="M276" s="73"/>
      <c r="N276" s="72"/>
      <c r="O276" s="66"/>
      <c r="P276" s="65"/>
      <c r="Q276" s="66"/>
    </row>
    <row r="277" spans="2:17" x14ac:dyDescent="0.25">
      <c r="B277" s="66"/>
      <c r="C277" s="65"/>
      <c r="D277" s="66"/>
      <c r="E277" s="65"/>
      <c r="F277" s="70"/>
      <c r="G277" s="68"/>
      <c r="H277" s="67"/>
      <c r="I277" s="67"/>
      <c r="J277" s="68"/>
      <c r="K277" s="71"/>
      <c r="L277" s="71"/>
      <c r="M277" s="73"/>
      <c r="N277" s="72"/>
      <c r="O277" s="66"/>
      <c r="P277" s="65"/>
      <c r="Q277" s="66"/>
    </row>
    <row r="278" spans="2:17" x14ac:dyDescent="0.25">
      <c r="B278" s="66"/>
      <c r="C278" s="65"/>
      <c r="D278" s="66"/>
      <c r="E278" s="65"/>
      <c r="F278" s="70"/>
      <c r="G278" s="68"/>
      <c r="H278" s="67"/>
      <c r="I278" s="67"/>
      <c r="J278" s="68"/>
      <c r="K278" s="71"/>
      <c r="L278" s="71"/>
      <c r="M278" s="73"/>
      <c r="N278" s="72"/>
      <c r="O278" s="66"/>
      <c r="P278" s="65"/>
      <c r="Q278" s="66"/>
    </row>
    <row r="279" spans="2:17" x14ac:dyDescent="0.25">
      <c r="B279" s="66"/>
      <c r="C279" s="65"/>
      <c r="D279" s="66"/>
      <c r="E279" s="65"/>
      <c r="F279" s="70"/>
      <c r="G279" s="68"/>
      <c r="H279" s="67"/>
      <c r="I279" s="67"/>
      <c r="J279" s="68"/>
      <c r="K279" s="71"/>
      <c r="L279" s="71"/>
      <c r="M279" s="73"/>
      <c r="N279" s="72"/>
      <c r="O279" s="66"/>
      <c r="P279" s="65"/>
      <c r="Q279" s="66"/>
    </row>
    <row r="280" spans="2:17" x14ac:dyDescent="0.25">
      <c r="B280" s="66"/>
      <c r="C280" s="65"/>
      <c r="D280" s="66"/>
      <c r="E280" s="65"/>
      <c r="F280" s="70"/>
      <c r="G280" s="68"/>
      <c r="H280" s="67"/>
      <c r="I280" s="67"/>
      <c r="J280" s="68"/>
      <c r="K280" s="71"/>
      <c r="L280" s="71"/>
      <c r="M280" s="73"/>
      <c r="N280" s="72"/>
      <c r="O280" s="66"/>
      <c r="P280" s="65"/>
      <c r="Q280" s="66"/>
    </row>
    <row r="281" spans="2:17" x14ac:dyDescent="0.25">
      <c r="B281" s="66"/>
      <c r="C281" s="65"/>
      <c r="D281" s="66"/>
      <c r="E281" s="65"/>
      <c r="F281" s="70"/>
      <c r="G281" s="68"/>
      <c r="H281" s="67"/>
      <c r="I281" s="67"/>
      <c r="J281" s="68"/>
      <c r="K281" s="71"/>
      <c r="L281" s="71"/>
      <c r="M281" s="73"/>
      <c r="N281" s="72"/>
      <c r="O281" s="66"/>
      <c r="P281" s="65"/>
      <c r="Q281" s="66"/>
    </row>
    <row r="282" spans="2:17" x14ac:dyDescent="0.25">
      <c r="B282" s="66"/>
      <c r="C282" s="65"/>
      <c r="D282" s="66"/>
      <c r="E282" s="65"/>
      <c r="F282" s="70"/>
      <c r="G282" s="68"/>
      <c r="H282" s="67"/>
      <c r="I282" s="67"/>
      <c r="J282" s="68"/>
      <c r="K282" s="71"/>
      <c r="L282" s="71"/>
      <c r="M282" s="73"/>
      <c r="N282" s="72"/>
      <c r="O282" s="66"/>
      <c r="P282" s="65"/>
      <c r="Q282" s="66"/>
    </row>
    <row r="283" spans="2:17" x14ac:dyDescent="0.25">
      <c r="B283" s="66"/>
      <c r="C283" s="65"/>
      <c r="D283" s="66"/>
      <c r="E283" s="65"/>
      <c r="F283" s="70"/>
      <c r="G283" s="68"/>
      <c r="H283" s="67"/>
      <c r="I283" s="67"/>
      <c r="J283" s="68"/>
      <c r="K283" s="71"/>
      <c r="L283" s="71"/>
      <c r="M283" s="73"/>
      <c r="N283" s="72"/>
      <c r="O283" s="66"/>
      <c r="P283" s="65"/>
      <c r="Q283" s="66"/>
    </row>
    <row r="284" spans="2:17" x14ac:dyDescent="0.25">
      <c r="B284" s="66"/>
      <c r="C284" s="65"/>
      <c r="D284" s="66"/>
      <c r="E284" s="65"/>
      <c r="F284" s="70"/>
      <c r="G284" s="68"/>
      <c r="H284" s="67"/>
      <c r="I284" s="67"/>
      <c r="J284" s="68"/>
      <c r="K284" s="71"/>
      <c r="L284" s="71"/>
      <c r="M284" s="73"/>
      <c r="N284" s="72"/>
      <c r="O284" s="66"/>
      <c r="P284" s="65"/>
      <c r="Q284" s="66"/>
    </row>
    <row r="285" spans="2:17" x14ac:dyDescent="0.25">
      <c r="B285" s="66"/>
      <c r="C285" s="65"/>
      <c r="D285" s="66"/>
      <c r="E285" s="65"/>
      <c r="F285" s="70"/>
      <c r="G285" s="68"/>
      <c r="H285" s="67"/>
      <c r="I285" s="67"/>
      <c r="J285" s="68"/>
      <c r="K285" s="71"/>
      <c r="L285" s="71"/>
      <c r="M285" s="73"/>
      <c r="N285" s="72"/>
      <c r="O285" s="66"/>
      <c r="P285" s="65"/>
      <c r="Q285" s="66"/>
    </row>
    <row r="286" spans="2:17" x14ac:dyDescent="0.25">
      <c r="B286" s="66"/>
      <c r="C286" s="65"/>
      <c r="D286" s="66"/>
      <c r="E286" s="65"/>
      <c r="F286" s="70"/>
      <c r="G286" s="68"/>
      <c r="H286" s="67"/>
      <c r="I286" s="67"/>
      <c r="J286" s="68"/>
      <c r="K286" s="71"/>
      <c r="L286" s="71"/>
      <c r="M286" s="73"/>
      <c r="N286" s="72"/>
      <c r="O286" s="66"/>
      <c r="P286" s="65"/>
      <c r="Q286" s="66"/>
    </row>
    <row r="287" spans="2:17" x14ac:dyDescent="0.25">
      <c r="B287" s="66"/>
      <c r="C287" s="65"/>
      <c r="D287" s="66"/>
      <c r="E287" s="65"/>
      <c r="F287" s="70"/>
      <c r="G287" s="68"/>
      <c r="H287" s="67"/>
      <c r="I287" s="67"/>
      <c r="J287" s="68"/>
      <c r="K287" s="71"/>
      <c r="L287" s="71"/>
      <c r="M287" s="73"/>
      <c r="N287" s="72"/>
      <c r="O287" s="66"/>
      <c r="P287" s="65"/>
      <c r="Q287" s="66"/>
    </row>
    <row r="288" spans="2:17" x14ac:dyDescent="0.25">
      <c r="B288" s="66"/>
      <c r="C288" s="65"/>
      <c r="D288" s="66"/>
      <c r="E288" s="65"/>
      <c r="F288" s="70"/>
      <c r="G288" s="68"/>
      <c r="H288" s="67"/>
      <c r="I288" s="67"/>
      <c r="J288" s="68"/>
      <c r="K288" s="71"/>
      <c r="L288" s="71"/>
      <c r="M288" s="73"/>
      <c r="N288" s="72"/>
      <c r="O288" s="66"/>
      <c r="P288" s="65"/>
      <c r="Q288" s="66"/>
    </row>
    <row r="289" spans="2:17" x14ac:dyDescent="0.25">
      <c r="B289" s="66"/>
      <c r="C289" s="65"/>
      <c r="D289" s="66"/>
      <c r="E289" s="65"/>
      <c r="F289" s="70"/>
      <c r="G289" s="68"/>
      <c r="H289" s="67"/>
      <c r="I289" s="67"/>
      <c r="J289" s="68"/>
      <c r="K289" s="71"/>
      <c r="L289" s="71"/>
      <c r="M289" s="73"/>
      <c r="N289" s="72"/>
      <c r="O289" s="66"/>
      <c r="P289" s="65"/>
      <c r="Q289" s="66"/>
    </row>
    <row r="290" spans="2:17" x14ac:dyDescent="0.25">
      <c r="B290" s="66"/>
      <c r="C290" s="65"/>
      <c r="D290" s="66"/>
      <c r="E290" s="65"/>
      <c r="F290" s="70"/>
      <c r="G290" s="68"/>
      <c r="H290" s="67"/>
      <c r="I290" s="67"/>
      <c r="J290" s="68"/>
      <c r="K290" s="71"/>
      <c r="L290" s="71"/>
      <c r="M290" s="73"/>
      <c r="N290" s="72"/>
      <c r="O290" s="66"/>
      <c r="P290" s="65"/>
      <c r="Q290" s="66"/>
    </row>
    <row r="291" spans="2:17" x14ac:dyDescent="0.25">
      <c r="B291" s="66"/>
      <c r="C291" s="65"/>
      <c r="D291" s="66"/>
      <c r="E291" s="65"/>
      <c r="F291" s="70"/>
      <c r="G291" s="68"/>
      <c r="H291" s="67"/>
      <c r="I291" s="67"/>
      <c r="J291" s="68"/>
      <c r="K291" s="71"/>
      <c r="L291" s="71"/>
      <c r="M291" s="73"/>
      <c r="N291" s="72"/>
      <c r="O291" s="66"/>
      <c r="P291" s="65"/>
      <c r="Q291" s="66"/>
    </row>
    <row r="292" spans="2:17" x14ac:dyDescent="0.25">
      <c r="B292" s="66"/>
      <c r="C292" s="65"/>
      <c r="D292" s="66"/>
      <c r="E292" s="65"/>
      <c r="F292" s="70"/>
      <c r="G292" s="68"/>
      <c r="H292" s="67"/>
      <c r="I292" s="67"/>
      <c r="J292" s="68"/>
      <c r="K292" s="71"/>
      <c r="L292" s="71"/>
      <c r="M292" s="73"/>
      <c r="N292" s="72"/>
      <c r="O292" s="66"/>
      <c r="P292" s="65"/>
      <c r="Q292" s="66"/>
    </row>
    <row r="293" spans="2:17" x14ac:dyDescent="0.25">
      <c r="B293" s="66"/>
      <c r="C293" s="65"/>
      <c r="D293" s="66"/>
      <c r="E293" s="65"/>
      <c r="F293" s="70"/>
      <c r="G293" s="68"/>
      <c r="H293" s="67"/>
      <c r="I293" s="67"/>
      <c r="J293" s="68"/>
      <c r="K293" s="71"/>
      <c r="L293" s="71"/>
      <c r="M293" s="73"/>
      <c r="N293" s="72"/>
      <c r="O293" s="66"/>
      <c r="P293" s="65"/>
      <c r="Q293" s="66"/>
    </row>
    <row r="294" spans="2:17" x14ac:dyDescent="0.25">
      <c r="B294" s="66"/>
      <c r="C294" s="65"/>
      <c r="D294" s="66"/>
      <c r="E294" s="65"/>
      <c r="F294" s="70"/>
      <c r="G294" s="68"/>
      <c r="H294" s="67"/>
      <c r="I294" s="67"/>
      <c r="J294" s="68"/>
      <c r="K294" s="71"/>
      <c r="L294" s="71"/>
      <c r="M294" s="73"/>
      <c r="N294" s="72"/>
      <c r="O294" s="66"/>
      <c r="P294" s="65"/>
      <c r="Q294" s="66"/>
    </row>
    <row r="295" spans="2:17" x14ac:dyDescent="0.25">
      <c r="B295" s="66"/>
      <c r="C295" s="65"/>
      <c r="D295" s="66"/>
      <c r="E295" s="65"/>
      <c r="F295" s="70"/>
      <c r="G295" s="68"/>
      <c r="H295" s="67"/>
      <c r="I295" s="67"/>
      <c r="J295" s="68"/>
      <c r="K295" s="71"/>
      <c r="L295" s="71"/>
      <c r="M295" s="73"/>
      <c r="N295" s="72"/>
      <c r="O295" s="66"/>
      <c r="P295" s="65"/>
      <c r="Q295" s="66"/>
    </row>
    <row r="296" spans="2:17" x14ac:dyDescent="0.25">
      <c r="B296" s="66"/>
      <c r="C296" s="65"/>
      <c r="D296" s="66"/>
      <c r="E296" s="65"/>
      <c r="F296" s="70"/>
      <c r="G296" s="68"/>
      <c r="H296" s="67"/>
      <c r="I296" s="67"/>
      <c r="J296" s="68"/>
      <c r="K296" s="71"/>
      <c r="L296" s="71"/>
      <c r="M296" s="73"/>
      <c r="N296" s="72"/>
      <c r="O296" s="66"/>
      <c r="P296" s="65"/>
      <c r="Q296" s="66"/>
    </row>
    <row r="297" spans="2:17" x14ac:dyDescent="0.25">
      <c r="B297" s="66"/>
      <c r="C297" s="65"/>
      <c r="D297" s="66"/>
      <c r="E297" s="65"/>
      <c r="F297" s="70"/>
      <c r="G297" s="68"/>
      <c r="H297" s="67"/>
      <c r="I297" s="67"/>
      <c r="J297" s="68"/>
      <c r="K297" s="71"/>
      <c r="L297" s="71"/>
      <c r="M297" s="73"/>
      <c r="N297" s="72"/>
      <c r="O297" s="66"/>
      <c r="P297" s="65"/>
      <c r="Q297" s="66"/>
    </row>
    <row r="298" spans="2:17" x14ac:dyDescent="0.25">
      <c r="B298" s="66"/>
      <c r="C298" s="65"/>
      <c r="D298" s="66"/>
      <c r="E298" s="65"/>
      <c r="F298" s="70"/>
      <c r="G298" s="68"/>
      <c r="H298" s="67"/>
      <c r="I298" s="67"/>
      <c r="J298" s="68"/>
      <c r="K298" s="71"/>
      <c r="L298" s="71"/>
      <c r="M298" s="73"/>
      <c r="N298" s="72"/>
      <c r="O298" s="66"/>
      <c r="P298" s="65"/>
      <c r="Q298" s="66"/>
    </row>
    <row r="299" spans="2:17" x14ac:dyDescent="0.25">
      <c r="B299" s="66"/>
      <c r="C299" s="65"/>
      <c r="D299" s="66"/>
      <c r="E299" s="65"/>
      <c r="F299" s="70"/>
      <c r="G299" s="68"/>
      <c r="H299" s="67"/>
      <c r="I299" s="67"/>
      <c r="J299" s="68"/>
      <c r="K299" s="71"/>
      <c r="L299" s="71"/>
      <c r="M299" s="73"/>
      <c r="N299" s="72"/>
      <c r="O299" s="66"/>
      <c r="P299" s="65"/>
      <c r="Q299" s="66"/>
    </row>
    <row r="300" spans="2:17" x14ac:dyDescent="0.25">
      <c r="B300" s="66"/>
      <c r="C300" s="65"/>
      <c r="D300" s="66"/>
      <c r="E300" s="65"/>
      <c r="F300" s="70"/>
      <c r="G300" s="68"/>
      <c r="H300" s="67"/>
      <c r="I300" s="67"/>
      <c r="J300" s="68"/>
      <c r="K300" s="71"/>
      <c r="L300" s="71"/>
      <c r="M300" s="73"/>
      <c r="N300" s="72"/>
      <c r="O300" s="66"/>
      <c r="P300" s="65"/>
      <c r="Q300" s="66"/>
    </row>
    <row r="301" spans="2:17" x14ac:dyDescent="0.25">
      <c r="B301" s="66"/>
      <c r="C301" s="65"/>
      <c r="D301" s="66"/>
      <c r="E301" s="65"/>
      <c r="F301" s="70"/>
      <c r="G301" s="68"/>
      <c r="H301" s="67"/>
      <c r="I301" s="67"/>
      <c r="J301" s="68"/>
      <c r="K301" s="71"/>
      <c r="L301" s="71"/>
      <c r="M301" s="73"/>
      <c r="N301" s="72"/>
      <c r="O301" s="66"/>
      <c r="P301" s="65"/>
      <c r="Q301" s="66"/>
    </row>
    <row r="302" spans="2:17" x14ac:dyDescent="0.25">
      <c r="B302" s="66"/>
      <c r="C302" s="65"/>
      <c r="D302" s="66"/>
      <c r="E302" s="65"/>
      <c r="F302" s="70"/>
      <c r="G302" s="68"/>
      <c r="H302" s="67"/>
      <c r="I302" s="67"/>
      <c r="J302" s="68"/>
      <c r="K302" s="71"/>
      <c r="L302" s="71"/>
      <c r="M302" s="73"/>
      <c r="N302" s="72"/>
      <c r="O302" s="66"/>
      <c r="P302" s="65"/>
      <c r="Q302" s="66"/>
    </row>
    <row r="303" spans="2:17" x14ac:dyDescent="0.25">
      <c r="B303" s="66"/>
      <c r="C303" s="65"/>
      <c r="D303" s="66"/>
      <c r="E303" s="65"/>
      <c r="F303" s="70"/>
      <c r="G303" s="68"/>
      <c r="H303" s="67"/>
      <c r="I303" s="67"/>
      <c r="J303" s="68"/>
      <c r="K303" s="71"/>
      <c r="L303" s="71"/>
      <c r="M303" s="73"/>
      <c r="N303" s="72"/>
      <c r="O303" s="66"/>
      <c r="P303" s="65"/>
      <c r="Q303" s="66"/>
    </row>
    <row r="304" spans="2:17" x14ac:dyDescent="0.25">
      <c r="B304" s="66"/>
      <c r="C304" s="65"/>
      <c r="D304" s="66"/>
      <c r="E304" s="65"/>
      <c r="F304" s="70"/>
      <c r="G304" s="68"/>
      <c r="H304" s="67"/>
      <c r="I304" s="67"/>
      <c r="J304" s="68"/>
      <c r="K304" s="71"/>
      <c r="L304" s="71"/>
      <c r="M304" s="73"/>
      <c r="N304" s="72"/>
      <c r="O304" s="66"/>
      <c r="P304" s="65"/>
      <c r="Q304" s="66"/>
    </row>
    <row r="305" spans="2:17" x14ac:dyDescent="0.25">
      <c r="B305" s="66"/>
      <c r="C305" s="65"/>
      <c r="D305" s="66"/>
      <c r="E305" s="65"/>
      <c r="F305" s="70"/>
      <c r="G305" s="68"/>
      <c r="H305" s="67"/>
      <c r="I305" s="67"/>
      <c r="J305" s="68"/>
      <c r="K305" s="71"/>
      <c r="L305" s="71"/>
      <c r="M305" s="73"/>
      <c r="N305" s="72"/>
      <c r="O305" s="66"/>
      <c r="P305" s="65"/>
      <c r="Q305" s="66"/>
    </row>
    <row r="306" spans="2:17" x14ac:dyDescent="0.25">
      <c r="B306" s="66"/>
      <c r="C306" s="65"/>
      <c r="D306" s="66"/>
      <c r="E306" s="65"/>
      <c r="F306" s="70"/>
      <c r="G306" s="68"/>
      <c r="H306" s="67"/>
      <c r="I306" s="67"/>
      <c r="J306" s="68"/>
      <c r="K306" s="71"/>
      <c r="L306" s="71"/>
      <c r="M306" s="73"/>
      <c r="N306" s="72"/>
      <c r="O306" s="66"/>
      <c r="P306" s="65"/>
      <c r="Q306" s="66"/>
    </row>
    <row r="307" spans="2:17" x14ac:dyDescent="0.25">
      <c r="B307" s="66"/>
      <c r="C307" s="65"/>
      <c r="D307" s="66"/>
      <c r="E307" s="65"/>
      <c r="F307" s="70"/>
      <c r="G307" s="68"/>
      <c r="H307" s="67"/>
      <c r="I307" s="67"/>
      <c r="J307" s="68"/>
      <c r="K307" s="71"/>
      <c r="L307" s="71"/>
      <c r="M307" s="73"/>
      <c r="N307" s="72"/>
      <c r="O307" s="66"/>
      <c r="P307" s="65"/>
      <c r="Q307" s="66"/>
    </row>
    <row r="308" spans="2:17" x14ac:dyDescent="0.25">
      <c r="B308" s="66"/>
      <c r="C308" s="65"/>
      <c r="D308" s="66"/>
      <c r="E308" s="65"/>
      <c r="F308" s="70"/>
      <c r="G308" s="68"/>
      <c r="H308" s="67"/>
      <c r="I308" s="67"/>
      <c r="J308" s="68"/>
      <c r="K308" s="71"/>
      <c r="L308" s="71"/>
      <c r="M308" s="73"/>
      <c r="N308" s="72"/>
      <c r="O308" s="66"/>
      <c r="P308" s="65"/>
      <c r="Q308" s="66"/>
    </row>
    <row r="309" spans="2:17" x14ac:dyDescent="0.25">
      <c r="B309" s="66"/>
      <c r="C309" s="65"/>
      <c r="D309" s="66"/>
      <c r="E309" s="65"/>
      <c r="F309" s="70"/>
      <c r="G309" s="68"/>
      <c r="H309" s="67"/>
      <c r="I309" s="67"/>
      <c r="J309" s="68"/>
      <c r="K309" s="71"/>
      <c r="L309" s="71"/>
      <c r="M309" s="73"/>
      <c r="N309" s="72"/>
      <c r="O309" s="66"/>
      <c r="P309" s="65"/>
      <c r="Q309" s="66"/>
    </row>
    <row r="310" spans="2:17" x14ac:dyDescent="0.25">
      <c r="B310" s="66"/>
      <c r="C310" s="65"/>
      <c r="D310" s="66"/>
      <c r="E310" s="65"/>
      <c r="F310" s="70"/>
      <c r="G310" s="68"/>
      <c r="H310" s="67"/>
      <c r="I310" s="67"/>
      <c r="J310" s="68"/>
      <c r="K310" s="71"/>
      <c r="L310" s="71"/>
      <c r="M310" s="73"/>
      <c r="N310" s="72"/>
      <c r="O310" s="66"/>
      <c r="P310" s="65"/>
      <c r="Q310" s="66"/>
    </row>
    <row r="311" spans="2:17" x14ac:dyDescent="0.25">
      <c r="B311" s="66"/>
      <c r="C311" s="65"/>
      <c r="D311" s="66"/>
      <c r="E311" s="65"/>
      <c r="F311" s="70"/>
      <c r="G311" s="68"/>
      <c r="H311" s="67"/>
      <c r="I311" s="67"/>
      <c r="J311" s="68"/>
      <c r="K311" s="71"/>
      <c r="L311" s="71"/>
      <c r="M311" s="73"/>
      <c r="N311" s="72"/>
      <c r="O311" s="66"/>
      <c r="P311" s="65"/>
      <c r="Q311" s="66"/>
    </row>
    <row r="312" spans="2:17" x14ac:dyDescent="0.25">
      <c r="B312" s="66"/>
      <c r="C312" s="65"/>
      <c r="D312" s="66"/>
      <c r="E312" s="65"/>
      <c r="F312" s="70"/>
      <c r="G312" s="68"/>
      <c r="H312" s="67"/>
      <c r="I312" s="67"/>
      <c r="J312" s="68"/>
      <c r="K312" s="71"/>
      <c r="L312" s="71"/>
      <c r="M312" s="73"/>
      <c r="N312" s="72"/>
      <c r="O312" s="66"/>
      <c r="P312" s="65"/>
      <c r="Q312" s="66"/>
    </row>
    <row r="313" spans="2:17" x14ac:dyDescent="0.25">
      <c r="B313" s="66"/>
      <c r="C313" s="65"/>
      <c r="D313" s="66"/>
      <c r="E313" s="65"/>
      <c r="F313" s="70"/>
      <c r="G313" s="68"/>
      <c r="H313" s="67"/>
      <c r="I313" s="67"/>
      <c r="J313" s="68"/>
      <c r="K313" s="71"/>
      <c r="L313" s="71"/>
      <c r="M313" s="73"/>
      <c r="N313" s="72"/>
      <c r="O313" s="66"/>
      <c r="P313" s="65"/>
      <c r="Q313" s="66"/>
    </row>
    <row r="314" spans="2:17" x14ac:dyDescent="0.25">
      <c r="B314" s="66"/>
      <c r="C314" s="65"/>
      <c r="D314" s="66"/>
      <c r="E314" s="65"/>
      <c r="F314" s="70"/>
      <c r="G314" s="68"/>
      <c r="H314" s="67"/>
      <c r="I314" s="67"/>
      <c r="J314" s="68"/>
      <c r="K314" s="71"/>
      <c r="L314" s="71"/>
      <c r="M314" s="73"/>
      <c r="N314" s="72"/>
      <c r="O314" s="66"/>
      <c r="P314" s="65"/>
      <c r="Q314" s="66"/>
    </row>
    <row r="315" spans="2:17" x14ac:dyDescent="0.25">
      <c r="B315" s="66"/>
      <c r="C315" s="65"/>
      <c r="D315" s="66"/>
      <c r="E315" s="65"/>
      <c r="F315" s="70"/>
      <c r="G315" s="68"/>
      <c r="H315" s="67"/>
      <c r="I315" s="67"/>
      <c r="J315" s="68"/>
      <c r="K315" s="71"/>
      <c r="L315" s="71"/>
      <c r="M315" s="73"/>
      <c r="N315" s="72"/>
      <c r="O315" s="66"/>
      <c r="P315" s="65"/>
      <c r="Q315" s="66"/>
    </row>
    <row r="316" spans="2:17" x14ac:dyDescent="0.25">
      <c r="B316" s="66"/>
      <c r="C316" s="65"/>
      <c r="D316" s="66"/>
      <c r="E316" s="65"/>
      <c r="F316" s="70"/>
      <c r="G316" s="68"/>
      <c r="H316" s="67"/>
      <c r="I316" s="67"/>
      <c r="J316" s="68"/>
      <c r="K316" s="71"/>
      <c r="L316" s="71"/>
      <c r="M316" s="73"/>
      <c r="N316" s="72"/>
      <c r="O316" s="66"/>
      <c r="P316" s="65"/>
      <c r="Q316" s="66"/>
    </row>
    <row r="317" spans="2:17" x14ac:dyDescent="0.25">
      <c r="B317" s="66"/>
      <c r="C317" s="65"/>
      <c r="D317" s="66"/>
      <c r="E317" s="65"/>
      <c r="F317" s="70"/>
      <c r="G317" s="68"/>
      <c r="H317" s="67"/>
      <c r="I317" s="67"/>
      <c r="J317" s="68"/>
      <c r="K317" s="71"/>
      <c r="L317" s="71"/>
      <c r="M317" s="73"/>
      <c r="N317" s="72"/>
      <c r="O317" s="66"/>
      <c r="P317" s="65"/>
      <c r="Q317" s="66"/>
    </row>
    <row r="318" spans="2:17" x14ac:dyDescent="0.25">
      <c r="B318" s="66"/>
      <c r="C318" s="65"/>
      <c r="D318" s="66"/>
      <c r="E318" s="65"/>
      <c r="F318" s="70"/>
      <c r="G318" s="68"/>
      <c r="H318" s="67"/>
      <c r="I318" s="67"/>
      <c r="J318" s="68"/>
      <c r="K318" s="71"/>
      <c r="L318" s="71"/>
      <c r="M318" s="73"/>
      <c r="N318" s="72"/>
      <c r="O318" s="66"/>
      <c r="P318" s="65"/>
      <c r="Q318" s="66"/>
    </row>
    <row r="319" spans="2:17" x14ac:dyDescent="0.25">
      <c r="B319" s="66"/>
      <c r="C319" s="65"/>
      <c r="D319" s="66"/>
      <c r="E319" s="65"/>
      <c r="F319" s="70"/>
      <c r="G319" s="68"/>
      <c r="H319" s="67"/>
      <c r="I319" s="67"/>
      <c r="J319" s="68"/>
      <c r="K319" s="71"/>
      <c r="L319" s="71"/>
      <c r="M319" s="73"/>
      <c r="N319" s="72"/>
      <c r="O319" s="66"/>
      <c r="P319" s="65"/>
      <c r="Q319" s="66"/>
    </row>
    <row r="320" spans="2:17" x14ac:dyDescent="0.25">
      <c r="B320" s="66"/>
      <c r="C320" s="65"/>
      <c r="D320" s="66"/>
      <c r="E320" s="65"/>
      <c r="F320" s="70"/>
      <c r="G320" s="68"/>
      <c r="H320" s="67"/>
      <c r="I320" s="67"/>
      <c r="J320" s="68"/>
      <c r="K320" s="71"/>
      <c r="L320" s="71"/>
      <c r="M320" s="73"/>
      <c r="N320" s="72"/>
      <c r="O320" s="66"/>
      <c r="P320" s="65"/>
      <c r="Q320" s="66"/>
    </row>
    <row r="321" spans="2:17" x14ac:dyDescent="0.25">
      <c r="B321" s="66"/>
      <c r="C321" s="65"/>
      <c r="D321" s="66"/>
      <c r="E321" s="65"/>
      <c r="F321" s="70"/>
      <c r="G321" s="68"/>
      <c r="H321" s="67"/>
      <c r="I321" s="67"/>
      <c r="J321" s="68"/>
      <c r="K321" s="71"/>
      <c r="L321" s="71"/>
      <c r="M321" s="73"/>
      <c r="N321" s="72"/>
      <c r="O321" s="66"/>
      <c r="P321" s="65"/>
      <c r="Q321" s="66"/>
    </row>
    <row r="322" spans="2:17" x14ac:dyDescent="0.25">
      <c r="B322" s="66"/>
      <c r="C322" s="65"/>
      <c r="D322" s="66"/>
      <c r="E322" s="65"/>
      <c r="F322" s="70"/>
      <c r="G322" s="68"/>
      <c r="H322" s="67"/>
      <c r="I322" s="67"/>
      <c r="J322" s="68"/>
      <c r="K322" s="71"/>
      <c r="L322" s="71"/>
      <c r="M322" s="73"/>
      <c r="N322" s="72"/>
      <c r="O322" s="66"/>
      <c r="P322" s="65"/>
      <c r="Q322" s="66"/>
    </row>
    <row r="323" spans="2:17" x14ac:dyDescent="0.25">
      <c r="B323" s="66"/>
      <c r="C323" s="65"/>
      <c r="D323" s="66"/>
      <c r="E323" s="65"/>
      <c r="F323" s="70"/>
      <c r="G323" s="68"/>
      <c r="H323" s="67"/>
      <c r="I323" s="67"/>
      <c r="J323" s="68"/>
      <c r="K323" s="71"/>
      <c r="L323" s="71"/>
      <c r="M323" s="73"/>
      <c r="N323" s="72"/>
      <c r="O323" s="66"/>
      <c r="P323" s="65"/>
      <c r="Q323" s="66"/>
    </row>
    <row r="324" spans="2:17" x14ac:dyDescent="0.25">
      <c r="B324" s="66"/>
      <c r="C324" s="65"/>
      <c r="D324" s="66"/>
      <c r="E324" s="65"/>
      <c r="F324" s="70"/>
      <c r="G324" s="68"/>
      <c r="H324" s="67"/>
      <c r="I324" s="67"/>
      <c r="J324" s="68"/>
      <c r="K324" s="71"/>
      <c r="L324" s="71"/>
      <c r="M324" s="73"/>
      <c r="N324" s="72"/>
      <c r="O324" s="66"/>
      <c r="P324" s="65"/>
      <c r="Q324" s="66"/>
    </row>
    <row r="325" spans="2:17" x14ac:dyDescent="0.25">
      <c r="B325" s="66"/>
      <c r="C325" s="65"/>
      <c r="D325" s="66"/>
      <c r="E325" s="65"/>
      <c r="F325" s="70"/>
      <c r="G325" s="68"/>
      <c r="H325" s="67"/>
      <c r="I325" s="67"/>
      <c r="J325" s="68"/>
      <c r="K325" s="71"/>
      <c r="L325" s="71"/>
      <c r="M325" s="73"/>
      <c r="N325" s="72"/>
      <c r="O325" s="66"/>
      <c r="P325" s="65"/>
      <c r="Q325" s="66"/>
    </row>
    <row r="326" spans="2:17" x14ac:dyDescent="0.25">
      <c r="B326" s="66"/>
      <c r="C326" s="65"/>
      <c r="D326" s="66"/>
      <c r="E326" s="65"/>
      <c r="F326" s="70"/>
      <c r="G326" s="68"/>
      <c r="H326" s="67"/>
      <c r="I326" s="67"/>
      <c r="J326" s="68"/>
      <c r="K326" s="71"/>
      <c r="L326" s="71"/>
      <c r="M326" s="73"/>
      <c r="N326" s="72"/>
      <c r="O326" s="66"/>
      <c r="P326" s="65"/>
      <c r="Q326" s="66"/>
    </row>
    <row r="327" spans="2:17" x14ac:dyDescent="0.25">
      <c r="B327" s="66"/>
      <c r="C327" s="65"/>
      <c r="D327" s="66"/>
      <c r="E327" s="65"/>
      <c r="F327" s="70"/>
      <c r="G327" s="68"/>
      <c r="H327" s="67"/>
      <c r="I327" s="67"/>
      <c r="J327" s="68"/>
      <c r="K327" s="71"/>
      <c r="L327" s="71"/>
      <c r="M327" s="73"/>
      <c r="N327" s="72"/>
      <c r="O327" s="66"/>
      <c r="P327" s="65"/>
      <c r="Q327" s="66"/>
    </row>
    <row r="328" spans="2:17" x14ac:dyDescent="0.25">
      <c r="B328" s="66"/>
      <c r="C328" s="65"/>
      <c r="D328" s="66"/>
      <c r="E328" s="65"/>
      <c r="F328" s="70"/>
      <c r="G328" s="68"/>
      <c r="H328" s="67"/>
      <c r="I328" s="67"/>
      <c r="J328" s="68"/>
      <c r="K328" s="71"/>
      <c r="L328" s="71"/>
      <c r="M328" s="73"/>
      <c r="N328" s="72"/>
      <c r="O328" s="66"/>
      <c r="P328" s="65"/>
      <c r="Q328" s="66"/>
    </row>
    <row r="329" spans="2:17" x14ac:dyDescent="0.25">
      <c r="B329" s="66"/>
      <c r="C329" s="65"/>
      <c r="D329" s="66"/>
      <c r="E329" s="65"/>
      <c r="F329" s="70"/>
      <c r="G329" s="68"/>
      <c r="H329" s="67"/>
      <c r="I329" s="67"/>
      <c r="J329" s="68"/>
      <c r="K329" s="71"/>
      <c r="L329" s="71"/>
      <c r="M329" s="73"/>
      <c r="N329" s="72"/>
      <c r="O329" s="66"/>
      <c r="P329" s="65"/>
      <c r="Q329" s="66"/>
    </row>
    <row r="330" spans="2:17" x14ac:dyDescent="0.25">
      <c r="B330" s="66"/>
      <c r="C330" s="65"/>
      <c r="D330" s="66"/>
      <c r="E330" s="65"/>
      <c r="F330" s="70"/>
      <c r="G330" s="68"/>
      <c r="H330" s="67"/>
      <c r="I330" s="67"/>
      <c r="J330" s="68"/>
      <c r="K330" s="71"/>
      <c r="L330" s="71"/>
      <c r="M330" s="73"/>
      <c r="N330" s="72"/>
      <c r="O330" s="66"/>
      <c r="P330" s="65"/>
      <c r="Q330" s="66"/>
    </row>
    <row r="331" spans="2:17" x14ac:dyDescent="0.25">
      <c r="B331" s="66"/>
      <c r="C331" s="65"/>
      <c r="D331" s="66"/>
      <c r="E331" s="65"/>
      <c r="F331" s="70"/>
      <c r="G331" s="68"/>
      <c r="H331" s="67"/>
      <c r="I331" s="67"/>
      <c r="J331" s="68"/>
      <c r="K331" s="71"/>
      <c r="L331" s="71"/>
      <c r="M331" s="73"/>
      <c r="N331" s="72"/>
      <c r="O331" s="66"/>
      <c r="P331" s="65"/>
      <c r="Q331" s="66"/>
    </row>
    <row r="332" spans="2:17" x14ac:dyDescent="0.25">
      <c r="B332" s="66"/>
      <c r="C332" s="65"/>
      <c r="D332" s="66"/>
      <c r="E332" s="65"/>
      <c r="F332" s="70"/>
      <c r="G332" s="68"/>
      <c r="H332" s="67"/>
      <c r="I332" s="67"/>
      <c r="J332" s="68"/>
      <c r="K332" s="71"/>
      <c r="L332" s="71"/>
      <c r="M332" s="73"/>
      <c r="N332" s="72"/>
      <c r="O332" s="66"/>
      <c r="P332" s="65"/>
      <c r="Q332" s="66"/>
    </row>
    <row r="333" spans="2:17" x14ac:dyDescent="0.25">
      <c r="B333" s="66"/>
      <c r="C333" s="65"/>
      <c r="D333" s="66"/>
      <c r="E333" s="65"/>
      <c r="F333" s="70"/>
      <c r="G333" s="68"/>
      <c r="H333" s="67"/>
      <c r="I333" s="67"/>
      <c r="J333" s="68"/>
      <c r="K333" s="71"/>
      <c r="L333" s="71"/>
      <c r="M333" s="73"/>
      <c r="N333" s="72"/>
      <c r="O333" s="66"/>
      <c r="P333" s="65"/>
      <c r="Q333" s="66"/>
    </row>
    <row r="334" spans="2:17" x14ac:dyDescent="0.25">
      <c r="B334" s="66"/>
      <c r="C334" s="65"/>
      <c r="D334" s="66"/>
      <c r="E334" s="65"/>
      <c r="F334" s="70"/>
      <c r="G334" s="68"/>
      <c r="H334" s="67"/>
      <c r="I334" s="67"/>
      <c r="J334" s="68"/>
      <c r="K334" s="71"/>
      <c r="L334" s="71"/>
      <c r="M334" s="73"/>
      <c r="N334" s="72"/>
      <c r="O334" s="66"/>
      <c r="P334" s="65"/>
      <c r="Q334" s="66"/>
    </row>
    <row r="335" spans="2:17" x14ac:dyDescent="0.25">
      <c r="B335" s="66"/>
      <c r="C335" s="65"/>
      <c r="D335" s="66"/>
      <c r="E335" s="65"/>
      <c r="F335" s="70"/>
      <c r="G335" s="68"/>
      <c r="H335" s="67"/>
      <c r="I335" s="67"/>
      <c r="J335" s="68"/>
      <c r="K335" s="71"/>
      <c r="L335" s="71"/>
      <c r="M335" s="73"/>
      <c r="N335" s="72"/>
      <c r="O335" s="66"/>
      <c r="P335" s="65"/>
      <c r="Q335" s="66"/>
    </row>
    <row r="336" spans="2:17" x14ac:dyDescent="0.25">
      <c r="B336" s="66"/>
      <c r="C336" s="65"/>
      <c r="D336" s="66"/>
      <c r="E336" s="65"/>
      <c r="F336" s="70"/>
      <c r="G336" s="68"/>
      <c r="H336" s="67"/>
      <c r="I336" s="67"/>
      <c r="J336" s="68"/>
      <c r="K336" s="71"/>
      <c r="L336" s="71"/>
      <c r="M336" s="73"/>
      <c r="N336" s="72"/>
      <c r="O336" s="66"/>
      <c r="P336" s="65"/>
      <c r="Q336" s="66"/>
    </row>
    <row r="337" spans="2:17" x14ac:dyDescent="0.25">
      <c r="B337" s="66"/>
      <c r="C337" s="65"/>
      <c r="D337" s="66"/>
      <c r="E337" s="65"/>
      <c r="F337" s="70"/>
      <c r="G337" s="68"/>
      <c r="H337" s="67"/>
      <c r="I337" s="67"/>
      <c r="J337" s="68"/>
      <c r="K337" s="71"/>
      <c r="L337" s="71"/>
      <c r="M337" s="73"/>
      <c r="N337" s="72"/>
      <c r="O337" s="66"/>
      <c r="P337" s="65"/>
      <c r="Q337" s="66"/>
    </row>
    <row r="338" spans="2:17" x14ac:dyDescent="0.25">
      <c r="B338" s="66"/>
      <c r="C338" s="65"/>
      <c r="D338" s="66"/>
      <c r="E338" s="65"/>
      <c r="F338" s="70"/>
      <c r="G338" s="68"/>
      <c r="H338" s="67"/>
      <c r="I338" s="67"/>
      <c r="J338" s="68"/>
      <c r="K338" s="71"/>
      <c r="L338" s="71"/>
      <c r="M338" s="73"/>
      <c r="N338" s="72"/>
      <c r="O338" s="66"/>
      <c r="P338" s="65"/>
      <c r="Q338" s="66"/>
    </row>
    <row r="339" spans="2:17" x14ac:dyDescent="0.25">
      <c r="B339" s="66"/>
      <c r="C339" s="65"/>
      <c r="D339" s="66"/>
      <c r="E339" s="65"/>
      <c r="F339" s="70"/>
      <c r="G339" s="68"/>
      <c r="H339" s="67"/>
      <c r="I339" s="67"/>
      <c r="J339" s="68"/>
      <c r="K339" s="71"/>
      <c r="L339" s="71"/>
      <c r="M339" s="73"/>
      <c r="N339" s="72"/>
      <c r="O339" s="66"/>
      <c r="P339" s="65"/>
      <c r="Q339" s="66"/>
    </row>
    <row r="340" spans="2:17" x14ac:dyDescent="0.25">
      <c r="B340" s="66"/>
      <c r="C340" s="65"/>
      <c r="D340" s="66"/>
      <c r="E340" s="65"/>
      <c r="F340" s="70"/>
      <c r="G340" s="68"/>
      <c r="H340" s="67"/>
      <c r="I340" s="67"/>
      <c r="J340" s="68"/>
      <c r="K340" s="71"/>
      <c r="L340" s="71"/>
      <c r="M340" s="73"/>
      <c r="N340" s="72"/>
      <c r="O340" s="66"/>
      <c r="P340" s="65"/>
      <c r="Q340" s="66"/>
    </row>
    <row r="341" spans="2:17" x14ac:dyDescent="0.25">
      <c r="B341" s="66"/>
      <c r="C341" s="65"/>
      <c r="D341" s="66"/>
      <c r="E341" s="65"/>
      <c r="F341" s="70"/>
      <c r="G341" s="68"/>
      <c r="H341" s="67"/>
      <c r="I341" s="67"/>
      <c r="J341" s="68"/>
      <c r="K341" s="71"/>
      <c r="L341" s="71"/>
      <c r="M341" s="73"/>
      <c r="N341" s="72"/>
      <c r="O341" s="66"/>
      <c r="P341" s="65"/>
      <c r="Q341" s="66"/>
    </row>
    <row r="342" spans="2:17" x14ac:dyDescent="0.25">
      <c r="B342" s="66"/>
      <c r="C342" s="65"/>
      <c r="D342" s="66"/>
      <c r="E342" s="65"/>
      <c r="F342" s="70"/>
      <c r="G342" s="68"/>
      <c r="H342" s="67"/>
      <c r="I342" s="67"/>
      <c r="J342" s="68"/>
      <c r="K342" s="71"/>
      <c r="L342" s="71"/>
      <c r="M342" s="73"/>
      <c r="N342" s="72"/>
      <c r="O342" s="66"/>
      <c r="P342" s="65"/>
      <c r="Q342" s="66"/>
    </row>
    <row r="343" spans="2:17" x14ac:dyDescent="0.25">
      <c r="B343" s="66"/>
      <c r="C343" s="65"/>
      <c r="D343" s="66"/>
      <c r="E343" s="65"/>
      <c r="F343" s="70"/>
      <c r="G343" s="68"/>
      <c r="H343" s="67"/>
      <c r="I343" s="67"/>
      <c r="J343" s="68"/>
      <c r="K343" s="71"/>
      <c r="L343" s="71"/>
      <c r="M343" s="73"/>
      <c r="N343" s="72"/>
      <c r="O343" s="66"/>
      <c r="P343" s="65"/>
      <c r="Q343" s="66"/>
    </row>
    <row r="344" spans="2:17" x14ac:dyDescent="0.25">
      <c r="B344" s="66"/>
      <c r="C344" s="65"/>
      <c r="D344" s="66"/>
      <c r="E344" s="65"/>
      <c r="F344" s="70"/>
      <c r="G344" s="68"/>
      <c r="H344" s="67"/>
      <c r="I344" s="67"/>
      <c r="J344" s="68"/>
      <c r="K344" s="71"/>
      <c r="L344" s="71"/>
      <c r="M344" s="73"/>
      <c r="N344" s="72"/>
      <c r="O344" s="66"/>
      <c r="P344" s="65"/>
      <c r="Q344" s="66"/>
    </row>
    <row r="345" spans="2:17" x14ac:dyDescent="0.25">
      <c r="B345" s="66"/>
      <c r="C345" s="65"/>
      <c r="D345" s="66"/>
      <c r="E345" s="65"/>
      <c r="F345" s="70"/>
      <c r="G345" s="68"/>
      <c r="H345" s="67"/>
      <c r="I345" s="67"/>
      <c r="J345" s="68"/>
      <c r="K345" s="71"/>
      <c r="L345" s="71"/>
      <c r="M345" s="73"/>
      <c r="N345" s="72"/>
      <c r="O345" s="66"/>
      <c r="P345" s="65"/>
      <c r="Q345" s="66"/>
    </row>
    <row r="346" spans="2:17" x14ac:dyDescent="0.25">
      <c r="B346" s="66"/>
      <c r="C346" s="65"/>
      <c r="D346" s="66"/>
      <c r="E346" s="65"/>
      <c r="F346" s="70"/>
      <c r="G346" s="68"/>
      <c r="H346" s="67"/>
      <c r="I346" s="67"/>
      <c r="J346" s="68"/>
      <c r="K346" s="71"/>
      <c r="L346" s="71"/>
      <c r="M346" s="73"/>
      <c r="N346" s="72"/>
      <c r="O346" s="66"/>
      <c r="P346" s="65"/>
      <c r="Q346" s="66"/>
    </row>
    <row r="347" spans="2:17" x14ac:dyDescent="0.25">
      <c r="B347" s="66"/>
      <c r="C347" s="65"/>
      <c r="D347" s="66"/>
      <c r="E347" s="65"/>
      <c r="F347" s="70"/>
      <c r="G347" s="68"/>
      <c r="H347" s="67"/>
      <c r="I347" s="67"/>
      <c r="J347" s="68"/>
      <c r="K347" s="71"/>
      <c r="L347" s="71"/>
      <c r="M347" s="73"/>
      <c r="N347" s="72"/>
      <c r="O347" s="66"/>
      <c r="P347" s="65"/>
      <c r="Q347" s="66"/>
    </row>
    <row r="348" spans="2:17" x14ac:dyDescent="0.25">
      <c r="B348" s="66"/>
      <c r="C348" s="65"/>
      <c r="D348" s="66"/>
      <c r="E348" s="65"/>
      <c r="F348" s="70"/>
      <c r="G348" s="68"/>
      <c r="H348" s="67"/>
      <c r="I348" s="67"/>
      <c r="J348" s="68"/>
      <c r="K348" s="71"/>
      <c r="L348" s="71"/>
      <c r="M348" s="73"/>
      <c r="N348" s="72"/>
      <c r="O348" s="66"/>
      <c r="P348" s="65"/>
      <c r="Q348" s="66"/>
    </row>
    <row r="349" spans="2:17" x14ac:dyDescent="0.25">
      <c r="B349" s="66"/>
      <c r="C349" s="65"/>
      <c r="D349" s="66"/>
      <c r="E349" s="65"/>
      <c r="F349" s="70"/>
      <c r="G349" s="68"/>
      <c r="H349" s="67"/>
      <c r="I349" s="67"/>
      <c r="J349" s="68"/>
      <c r="K349" s="71"/>
      <c r="L349" s="71"/>
      <c r="M349" s="73"/>
      <c r="N349" s="72"/>
      <c r="O349" s="66"/>
      <c r="P349" s="65"/>
      <c r="Q349" s="66"/>
    </row>
    <row r="350" spans="2:17" x14ac:dyDescent="0.25">
      <c r="B350" s="66"/>
      <c r="C350" s="65"/>
      <c r="D350" s="66"/>
      <c r="E350" s="65"/>
      <c r="F350" s="70"/>
      <c r="G350" s="68"/>
      <c r="H350" s="67"/>
      <c r="I350" s="67"/>
      <c r="J350" s="68"/>
      <c r="K350" s="71"/>
      <c r="L350" s="71"/>
      <c r="M350" s="73"/>
      <c r="N350" s="72"/>
      <c r="O350" s="66"/>
      <c r="P350" s="65"/>
      <c r="Q350" s="66"/>
    </row>
    <row r="351" spans="2:17" x14ac:dyDescent="0.25">
      <c r="B351" s="66"/>
      <c r="C351" s="65"/>
      <c r="D351" s="66"/>
      <c r="E351" s="65"/>
      <c r="F351" s="70"/>
      <c r="G351" s="68"/>
      <c r="H351" s="67"/>
      <c r="I351" s="67"/>
      <c r="J351" s="68"/>
      <c r="K351" s="71"/>
      <c r="L351" s="71"/>
      <c r="M351" s="73"/>
      <c r="N351" s="72"/>
      <c r="O351" s="66"/>
      <c r="P351" s="65"/>
      <c r="Q351" s="66"/>
    </row>
    <row r="352" spans="2:17" x14ac:dyDescent="0.25">
      <c r="B352" s="66"/>
      <c r="C352" s="65"/>
      <c r="D352" s="66"/>
      <c r="E352" s="65"/>
      <c r="F352" s="70"/>
      <c r="G352" s="68"/>
      <c r="H352" s="67"/>
      <c r="I352" s="67"/>
      <c r="J352" s="68"/>
      <c r="K352" s="71"/>
      <c r="L352" s="71"/>
      <c r="M352" s="73"/>
      <c r="N352" s="72"/>
      <c r="O352" s="66"/>
      <c r="P352" s="65"/>
      <c r="Q352" s="66"/>
    </row>
    <row r="353" spans="2:17" x14ac:dyDescent="0.25">
      <c r="B353" s="66"/>
      <c r="C353" s="65"/>
      <c r="D353" s="66"/>
      <c r="E353" s="65"/>
      <c r="F353" s="70"/>
      <c r="G353" s="68"/>
      <c r="H353" s="67"/>
      <c r="I353" s="67"/>
      <c r="J353" s="68"/>
      <c r="K353" s="71"/>
      <c r="L353" s="71"/>
      <c r="M353" s="73"/>
      <c r="N353" s="72"/>
      <c r="O353" s="66"/>
      <c r="P353" s="65"/>
      <c r="Q353" s="66"/>
    </row>
    <row r="354" spans="2:17" x14ac:dyDescent="0.25">
      <c r="B354" s="66"/>
      <c r="C354" s="65"/>
      <c r="D354" s="66"/>
      <c r="E354" s="65"/>
      <c r="F354" s="70"/>
      <c r="G354" s="68"/>
      <c r="H354" s="67"/>
      <c r="I354" s="67"/>
      <c r="J354" s="68"/>
      <c r="K354" s="71"/>
      <c r="L354" s="71"/>
      <c r="M354" s="73"/>
      <c r="N354" s="72"/>
      <c r="O354" s="66"/>
      <c r="P354" s="65"/>
      <c r="Q354" s="66"/>
    </row>
    <row r="355" spans="2:17" x14ac:dyDescent="0.25">
      <c r="B355" s="66"/>
      <c r="C355" s="65"/>
      <c r="D355" s="66"/>
      <c r="E355" s="65"/>
      <c r="F355" s="70"/>
      <c r="G355" s="68"/>
      <c r="H355" s="67"/>
      <c r="I355" s="67"/>
      <c r="J355" s="68"/>
      <c r="K355" s="71"/>
      <c r="L355" s="71"/>
      <c r="M355" s="73"/>
      <c r="N355" s="72"/>
      <c r="O355" s="66"/>
      <c r="P355" s="65"/>
      <c r="Q355" s="66"/>
    </row>
    <row r="356" spans="2:17" x14ac:dyDescent="0.25">
      <c r="B356" s="66"/>
      <c r="C356" s="65"/>
      <c r="D356" s="66"/>
      <c r="E356" s="65"/>
      <c r="F356" s="70"/>
      <c r="G356" s="68"/>
      <c r="H356" s="67"/>
      <c r="I356" s="67"/>
      <c r="J356" s="68"/>
      <c r="K356" s="71"/>
      <c r="L356" s="71"/>
      <c r="M356" s="73"/>
      <c r="N356" s="72"/>
      <c r="O356" s="66"/>
      <c r="P356" s="65"/>
      <c r="Q356" s="66"/>
    </row>
    <row r="357" spans="2:17" x14ac:dyDescent="0.25">
      <c r="B357" s="66"/>
      <c r="C357" s="65"/>
      <c r="D357" s="66"/>
      <c r="E357" s="65"/>
      <c r="F357" s="70"/>
      <c r="G357" s="68"/>
      <c r="H357" s="67"/>
      <c r="I357" s="67"/>
      <c r="J357" s="68"/>
      <c r="K357" s="71"/>
      <c r="L357" s="71"/>
      <c r="M357" s="73"/>
      <c r="N357" s="72"/>
      <c r="O357" s="66"/>
      <c r="P357" s="65"/>
      <c r="Q357" s="66"/>
    </row>
    <row r="358" spans="2:17" x14ac:dyDescent="0.25">
      <c r="B358" s="66"/>
      <c r="C358" s="65"/>
      <c r="D358" s="66"/>
      <c r="E358" s="65"/>
      <c r="F358" s="70"/>
      <c r="G358" s="68"/>
      <c r="H358" s="67"/>
      <c r="I358" s="67"/>
      <c r="J358" s="68"/>
      <c r="K358" s="71"/>
      <c r="L358" s="71"/>
      <c r="M358" s="73"/>
      <c r="N358" s="72"/>
      <c r="O358" s="66"/>
      <c r="P358" s="65"/>
      <c r="Q358" s="66"/>
    </row>
    <row r="359" spans="2:17" x14ac:dyDescent="0.25">
      <c r="B359" s="66"/>
      <c r="C359" s="65"/>
      <c r="D359" s="66"/>
      <c r="E359" s="65"/>
      <c r="F359" s="70"/>
      <c r="G359" s="68"/>
      <c r="H359" s="67"/>
      <c r="I359" s="67"/>
      <c r="J359" s="68"/>
      <c r="K359" s="71"/>
      <c r="L359" s="71"/>
      <c r="M359" s="73"/>
      <c r="N359" s="72"/>
      <c r="O359" s="66"/>
      <c r="P359" s="65"/>
      <c r="Q359" s="66"/>
    </row>
    <row r="360" spans="2:17" x14ac:dyDescent="0.25">
      <c r="B360" s="66"/>
      <c r="C360" s="65"/>
      <c r="D360" s="66"/>
      <c r="E360" s="65"/>
      <c r="F360" s="70"/>
      <c r="G360" s="68"/>
      <c r="H360" s="67"/>
      <c r="I360" s="67"/>
      <c r="J360" s="68"/>
      <c r="K360" s="71"/>
      <c r="L360" s="71"/>
      <c r="M360" s="73"/>
      <c r="N360" s="72"/>
      <c r="O360" s="66"/>
      <c r="P360" s="65"/>
      <c r="Q360" s="66"/>
    </row>
    <row r="361" spans="2:17" x14ac:dyDescent="0.25">
      <c r="B361" s="66"/>
      <c r="C361" s="65"/>
      <c r="D361" s="66"/>
      <c r="E361" s="65"/>
      <c r="F361" s="70"/>
      <c r="G361" s="68"/>
      <c r="H361" s="67"/>
      <c r="I361" s="67"/>
      <c r="J361" s="68"/>
      <c r="K361" s="71"/>
      <c r="L361" s="71"/>
      <c r="M361" s="73"/>
      <c r="N361" s="72"/>
      <c r="O361" s="66"/>
      <c r="P361" s="65"/>
      <c r="Q361" s="66"/>
    </row>
    <row r="362" spans="2:17" x14ac:dyDescent="0.25">
      <c r="B362" s="66"/>
      <c r="C362" s="65"/>
      <c r="D362" s="66"/>
      <c r="E362" s="65"/>
      <c r="F362" s="70"/>
      <c r="G362" s="68"/>
      <c r="H362" s="67"/>
      <c r="I362" s="67"/>
      <c r="J362" s="68"/>
      <c r="K362" s="71"/>
      <c r="L362" s="71"/>
      <c r="M362" s="73"/>
      <c r="N362" s="72"/>
      <c r="O362" s="66"/>
      <c r="P362" s="65"/>
      <c r="Q362" s="66"/>
    </row>
    <row r="363" spans="2:17" x14ac:dyDescent="0.25">
      <c r="B363" s="66"/>
      <c r="C363" s="65"/>
      <c r="D363" s="66"/>
      <c r="E363" s="65"/>
      <c r="F363" s="70"/>
      <c r="G363" s="68"/>
      <c r="H363" s="67"/>
      <c r="I363" s="67"/>
      <c r="J363" s="68"/>
      <c r="K363" s="71"/>
      <c r="L363" s="71"/>
      <c r="M363" s="73"/>
      <c r="N363" s="72"/>
      <c r="O363" s="66"/>
      <c r="P363" s="65"/>
      <c r="Q363" s="66"/>
    </row>
    <row r="364" spans="2:17" x14ac:dyDescent="0.25">
      <c r="B364" s="66"/>
      <c r="C364" s="65"/>
      <c r="D364" s="66"/>
      <c r="E364" s="65"/>
      <c r="F364" s="70"/>
      <c r="G364" s="68"/>
      <c r="H364" s="67"/>
      <c r="I364" s="67"/>
      <c r="J364" s="68"/>
      <c r="K364" s="71"/>
      <c r="L364" s="71"/>
      <c r="M364" s="73"/>
      <c r="N364" s="72"/>
      <c r="O364" s="66"/>
      <c r="P364" s="65"/>
      <c r="Q364" s="66"/>
    </row>
    <row r="365" spans="2:17" x14ac:dyDescent="0.25">
      <c r="B365" s="66"/>
      <c r="C365" s="65"/>
      <c r="D365" s="66"/>
      <c r="E365" s="65"/>
      <c r="F365" s="70"/>
      <c r="G365" s="68"/>
      <c r="H365" s="67"/>
      <c r="I365" s="67"/>
      <c r="J365" s="68"/>
      <c r="K365" s="71"/>
      <c r="L365" s="71"/>
      <c r="M365" s="73"/>
      <c r="N365" s="72"/>
      <c r="O365" s="66"/>
      <c r="P365" s="65"/>
      <c r="Q365" s="66"/>
    </row>
    <row r="366" spans="2:17" x14ac:dyDescent="0.25">
      <c r="B366" s="66"/>
      <c r="C366" s="65"/>
      <c r="D366" s="66"/>
      <c r="E366" s="65"/>
      <c r="F366" s="70"/>
      <c r="G366" s="68"/>
      <c r="H366" s="67"/>
      <c r="I366" s="67"/>
      <c r="J366" s="68"/>
      <c r="K366" s="71"/>
      <c r="L366" s="71"/>
      <c r="M366" s="73"/>
      <c r="N366" s="72"/>
      <c r="O366" s="66"/>
      <c r="P366" s="65"/>
      <c r="Q366" s="66"/>
    </row>
    <row r="367" spans="2:17" x14ac:dyDescent="0.25">
      <c r="B367" s="66"/>
      <c r="C367" s="65"/>
      <c r="D367" s="66"/>
      <c r="E367" s="65"/>
      <c r="F367" s="70"/>
      <c r="G367" s="68"/>
      <c r="H367" s="67"/>
      <c r="I367" s="67"/>
      <c r="J367" s="68"/>
      <c r="K367" s="71"/>
      <c r="L367" s="71"/>
      <c r="M367" s="73"/>
      <c r="N367" s="72"/>
      <c r="O367" s="66"/>
      <c r="P367" s="65"/>
      <c r="Q367" s="66"/>
    </row>
    <row r="368" spans="2:17" x14ac:dyDescent="0.25">
      <c r="B368" s="66"/>
      <c r="C368" s="65"/>
      <c r="D368" s="66"/>
      <c r="E368" s="65"/>
      <c r="F368" s="70"/>
      <c r="G368" s="68"/>
      <c r="H368" s="67"/>
      <c r="I368" s="67"/>
      <c r="J368" s="68"/>
      <c r="K368" s="71"/>
      <c r="L368" s="71"/>
      <c r="M368" s="73"/>
      <c r="N368" s="72"/>
      <c r="O368" s="66"/>
      <c r="P368" s="65"/>
      <c r="Q368" s="66"/>
    </row>
    <row r="369" spans="2:17" x14ac:dyDescent="0.25">
      <c r="B369" s="66"/>
      <c r="C369" s="65"/>
      <c r="D369" s="66"/>
      <c r="E369" s="65"/>
      <c r="F369" s="70"/>
      <c r="G369" s="68"/>
      <c r="H369" s="67"/>
      <c r="I369" s="67"/>
      <c r="J369" s="68"/>
      <c r="K369" s="71"/>
      <c r="L369" s="71"/>
      <c r="M369" s="73"/>
      <c r="N369" s="72"/>
      <c r="O369" s="66"/>
      <c r="P369" s="65"/>
      <c r="Q369" s="66"/>
    </row>
    <row r="370" spans="2:17" x14ac:dyDescent="0.25">
      <c r="B370" s="66"/>
      <c r="C370" s="65"/>
      <c r="D370" s="66"/>
      <c r="E370" s="65"/>
      <c r="F370" s="70"/>
      <c r="G370" s="68"/>
      <c r="H370" s="67"/>
      <c r="I370" s="67"/>
      <c r="J370" s="68"/>
      <c r="K370" s="71"/>
      <c r="L370" s="71"/>
      <c r="M370" s="73"/>
      <c r="N370" s="72"/>
      <c r="O370" s="66"/>
      <c r="P370" s="65"/>
      <c r="Q370" s="66"/>
    </row>
    <row r="371" spans="2:17" x14ac:dyDescent="0.25">
      <c r="B371" s="66"/>
      <c r="C371" s="65"/>
      <c r="D371" s="66"/>
      <c r="E371" s="65"/>
      <c r="F371" s="70"/>
      <c r="G371" s="68"/>
      <c r="H371" s="67"/>
      <c r="I371" s="67"/>
      <c r="J371" s="68"/>
      <c r="K371" s="71"/>
      <c r="L371" s="71"/>
      <c r="M371" s="73"/>
      <c r="N371" s="72"/>
      <c r="O371" s="66"/>
      <c r="P371" s="65"/>
      <c r="Q371" s="66"/>
    </row>
    <row r="372" spans="2:17" x14ac:dyDescent="0.25">
      <c r="B372" s="66"/>
      <c r="C372" s="65"/>
      <c r="D372" s="66"/>
      <c r="E372" s="65"/>
      <c r="F372" s="70"/>
      <c r="G372" s="68"/>
      <c r="H372" s="67"/>
      <c r="I372" s="67"/>
      <c r="J372" s="68"/>
      <c r="K372" s="71"/>
      <c r="L372" s="71"/>
      <c r="M372" s="73"/>
      <c r="N372" s="72"/>
      <c r="O372" s="66"/>
      <c r="P372" s="65"/>
      <c r="Q372" s="66"/>
    </row>
    <row r="373" spans="2:17" x14ac:dyDescent="0.25">
      <c r="B373" s="66"/>
      <c r="C373" s="65"/>
      <c r="D373" s="66"/>
      <c r="E373" s="65"/>
      <c r="F373" s="70"/>
      <c r="G373" s="68"/>
      <c r="H373" s="67"/>
      <c r="I373" s="67"/>
      <c r="J373" s="68"/>
      <c r="K373" s="71"/>
      <c r="L373" s="71"/>
      <c r="M373" s="73"/>
      <c r="N373" s="72"/>
      <c r="O373" s="66"/>
      <c r="P373" s="65"/>
      <c r="Q373" s="66"/>
    </row>
    <row r="374" spans="2:17" x14ac:dyDescent="0.25">
      <c r="B374" s="66"/>
      <c r="C374" s="65"/>
      <c r="D374" s="66"/>
      <c r="E374" s="65"/>
      <c r="F374" s="70"/>
      <c r="G374" s="68"/>
      <c r="H374" s="67"/>
      <c r="I374" s="67"/>
      <c r="J374" s="68"/>
      <c r="K374" s="71"/>
      <c r="L374" s="71"/>
      <c r="M374" s="73"/>
      <c r="N374" s="72"/>
      <c r="O374" s="66"/>
      <c r="P374" s="65"/>
      <c r="Q374" s="66"/>
    </row>
    <row r="375" spans="2:17" x14ac:dyDescent="0.25">
      <c r="B375" s="66"/>
      <c r="C375" s="65"/>
      <c r="D375" s="66"/>
      <c r="E375" s="65"/>
      <c r="F375" s="70"/>
      <c r="G375" s="68"/>
      <c r="H375" s="67"/>
      <c r="I375" s="67"/>
      <c r="J375" s="68"/>
      <c r="K375" s="71"/>
      <c r="L375" s="71"/>
      <c r="M375" s="73"/>
      <c r="N375" s="72"/>
      <c r="O375" s="66"/>
      <c r="P375" s="65"/>
      <c r="Q375" s="66"/>
    </row>
    <row r="376" spans="2:17" x14ac:dyDescent="0.25">
      <c r="B376" s="66"/>
      <c r="C376" s="65"/>
      <c r="D376" s="66"/>
      <c r="E376" s="65"/>
      <c r="F376" s="70"/>
      <c r="G376" s="68"/>
      <c r="H376" s="67"/>
      <c r="I376" s="67"/>
      <c r="J376" s="68"/>
      <c r="K376" s="71"/>
      <c r="L376" s="71"/>
      <c r="M376" s="73"/>
      <c r="N376" s="72"/>
      <c r="O376" s="66"/>
      <c r="P376" s="65"/>
      <c r="Q376" s="66"/>
    </row>
    <row r="377" spans="2:17" x14ac:dyDescent="0.25">
      <c r="B377" s="66"/>
      <c r="C377" s="65"/>
      <c r="D377" s="66"/>
      <c r="E377" s="65"/>
      <c r="F377" s="70"/>
      <c r="G377" s="68"/>
      <c r="H377" s="67"/>
      <c r="I377" s="67"/>
      <c r="J377" s="68"/>
      <c r="K377" s="71"/>
      <c r="L377" s="71"/>
      <c r="M377" s="73"/>
      <c r="N377" s="72"/>
      <c r="O377" s="66"/>
      <c r="P377" s="65"/>
      <c r="Q377" s="66"/>
    </row>
    <row r="378" spans="2:17" x14ac:dyDescent="0.25">
      <c r="B378" s="66"/>
      <c r="C378" s="65"/>
      <c r="D378" s="66"/>
      <c r="E378" s="65"/>
      <c r="F378" s="70"/>
      <c r="G378" s="68"/>
      <c r="H378" s="67"/>
      <c r="I378" s="67"/>
      <c r="J378" s="68"/>
      <c r="K378" s="71"/>
      <c r="L378" s="71"/>
      <c r="M378" s="73"/>
      <c r="N378" s="72"/>
      <c r="O378" s="66"/>
      <c r="P378" s="65"/>
      <c r="Q378" s="66"/>
    </row>
    <row r="379" spans="2:17" x14ac:dyDescent="0.25">
      <c r="B379" s="66"/>
      <c r="C379" s="65"/>
      <c r="D379" s="66"/>
      <c r="E379" s="65"/>
      <c r="F379" s="70"/>
      <c r="G379" s="68"/>
      <c r="H379" s="67"/>
      <c r="I379" s="67"/>
      <c r="J379" s="68"/>
      <c r="K379" s="71"/>
      <c r="L379" s="71"/>
      <c r="M379" s="73"/>
      <c r="N379" s="72"/>
      <c r="O379" s="66"/>
      <c r="P379" s="65"/>
      <c r="Q379" s="66"/>
    </row>
    <row r="380" spans="2:17" x14ac:dyDescent="0.25">
      <c r="B380" s="66"/>
      <c r="C380" s="65"/>
      <c r="D380" s="66"/>
      <c r="E380" s="65"/>
      <c r="F380" s="70"/>
      <c r="G380" s="68"/>
      <c r="H380" s="67"/>
      <c r="I380" s="67"/>
      <c r="J380" s="68"/>
      <c r="K380" s="71"/>
      <c r="L380" s="71"/>
      <c r="M380" s="73"/>
      <c r="N380" s="72"/>
      <c r="O380" s="66"/>
      <c r="P380" s="65"/>
      <c r="Q380" s="66"/>
    </row>
    <row r="381" spans="2:17" x14ac:dyDescent="0.25">
      <c r="B381" s="66"/>
      <c r="C381" s="65"/>
      <c r="D381" s="66"/>
      <c r="E381" s="65"/>
      <c r="F381" s="70"/>
      <c r="G381" s="68"/>
      <c r="H381" s="67"/>
      <c r="I381" s="67"/>
      <c r="J381" s="68"/>
      <c r="K381" s="71"/>
      <c r="L381" s="71"/>
      <c r="M381" s="73"/>
      <c r="N381" s="72"/>
      <c r="O381" s="66"/>
      <c r="P381" s="65"/>
      <c r="Q381" s="66"/>
    </row>
    <row r="382" spans="2:17" x14ac:dyDescent="0.25">
      <c r="B382" s="66"/>
      <c r="C382" s="65"/>
      <c r="D382" s="66"/>
      <c r="E382" s="65"/>
      <c r="F382" s="70"/>
      <c r="G382" s="68"/>
      <c r="H382" s="67"/>
      <c r="I382" s="67"/>
      <c r="J382" s="68"/>
      <c r="K382" s="71"/>
      <c r="L382" s="71"/>
      <c r="M382" s="73"/>
      <c r="N382" s="72"/>
      <c r="O382" s="66"/>
      <c r="P382" s="65"/>
      <c r="Q382" s="66"/>
    </row>
    <row r="383" spans="2:17" x14ac:dyDescent="0.25">
      <c r="B383" s="66"/>
      <c r="C383" s="65"/>
      <c r="D383" s="66"/>
      <c r="E383" s="65"/>
      <c r="F383" s="70"/>
      <c r="G383" s="68"/>
      <c r="H383" s="67"/>
      <c r="I383" s="67"/>
      <c r="J383" s="68"/>
      <c r="K383" s="71"/>
      <c r="L383" s="71"/>
      <c r="M383" s="73"/>
      <c r="N383" s="72"/>
      <c r="O383" s="66"/>
      <c r="P383" s="65"/>
      <c r="Q383" s="66"/>
    </row>
    <row r="384" spans="2:17" x14ac:dyDescent="0.25">
      <c r="B384" s="66"/>
      <c r="C384" s="65"/>
      <c r="D384" s="66"/>
      <c r="E384" s="65"/>
      <c r="F384" s="70"/>
      <c r="G384" s="68"/>
      <c r="H384" s="67"/>
      <c r="I384" s="67"/>
      <c r="J384" s="68"/>
      <c r="K384" s="71"/>
      <c r="L384" s="71"/>
      <c r="M384" s="73"/>
      <c r="N384" s="72"/>
      <c r="O384" s="66"/>
      <c r="P384" s="65"/>
      <c r="Q384" s="66"/>
    </row>
    <row r="385" spans="2:17" x14ac:dyDescent="0.25">
      <c r="B385" s="66"/>
      <c r="C385" s="65"/>
      <c r="D385" s="66"/>
      <c r="E385" s="65"/>
      <c r="F385" s="70"/>
      <c r="G385" s="68"/>
      <c r="H385" s="67"/>
      <c r="I385" s="67"/>
      <c r="J385" s="68"/>
      <c r="K385" s="71"/>
      <c r="L385" s="71"/>
      <c r="M385" s="73"/>
      <c r="N385" s="72"/>
      <c r="O385" s="66"/>
      <c r="P385" s="65"/>
      <c r="Q385" s="66"/>
    </row>
    <row r="386" spans="2:17" x14ac:dyDescent="0.25">
      <c r="B386" s="66"/>
      <c r="C386" s="65"/>
      <c r="D386" s="66"/>
      <c r="E386" s="65"/>
      <c r="F386" s="70"/>
      <c r="G386" s="68"/>
      <c r="H386" s="67"/>
      <c r="I386" s="67"/>
      <c r="J386" s="68"/>
      <c r="K386" s="71"/>
      <c r="L386" s="71"/>
      <c r="M386" s="73"/>
      <c r="N386" s="72"/>
      <c r="O386" s="66"/>
      <c r="P386" s="65"/>
      <c r="Q386" s="66"/>
    </row>
    <row r="387" spans="2:17" x14ac:dyDescent="0.25">
      <c r="B387" s="66"/>
      <c r="C387" s="65"/>
      <c r="D387" s="66"/>
      <c r="E387" s="65"/>
      <c r="F387" s="70"/>
      <c r="G387" s="68"/>
      <c r="H387" s="67"/>
      <c r="I387" s="67"/>
      <c r="J387" s="68"/>
      <c r="K387" s="71"/>
      <c r="L387" s="71"/>
      <c r="M387" s="73"/>
      <c r="N387" s="72"/>
      <c r="O387" s="66"/>
      <c r="P387" s="65"/>
      <c r="Q387" s="66"/>
    </row>
    <row r="388" spans="2:17" x14ac:dyDescent="0.25">
      <c r="B388" s="66"/>
      <c r="C388" s="65"/>
      <c r="D388" s="66"/>
      <c r="E388" s="65"/>
      <c r="F388" s="70"/>
      <c r="G388" s="68"/>
      <c r="H388" s="67"/>
      <c r="I388" s="67"/>
      <c r="J388" s="68"/>
      <c r="K388" s="71"/>
      <c r="L388" s="71"/>
      <c r="M388" s="73"/>
      <c r="N388" s="72"/>
      <c r="O388" s="66"/>
      <c r="P388" s="65"/>
      <c r="Q388" s="66"/>
    </row>
    <row r="389" spans="2:17" x14ac:dyDescent="0.25">
      <c r="B389" s="66"/>
      <c r="C389" s="65"/>
      <c r="D389" s="66"/>
      <c r="E389" s="65"/>
      <c r="F389" s="70"/>
      <c r="G389" s="68"/>
      <c r="H389" s="67"/>
      <c r="I389" s="67"/>
      <c r="J389" s="68"/>
      <c r="K389" s="71"/>
      <c r="L389" s="71"/>
      <c r="M389" s="73"/>
      <c r="N389" s="72"/>
      <c r="O389" s="66"/>
      <c r="P389" s="65"/>
      <c r="Q389" s="66"/>
    </row>
    <row r="390" spans="2:17" x14ac:dyDescent="0.25">
      <c r="B390" s="66"/>
      <c r="C390" s="65"/>
      <c r="D390" s="66"/>
      <c r="E390" s="65"/>
      <c r="F390" s="70"/>
      <c r="G390" s="68"/>
      <c r="H390" s="67"/>
      <c r="I390" s="67"/>
      <c r="J390" s="68"/>
      <c r="K390" s="71"/>
      <c r="L390" s="71"/>
      <c r="M390" s="73"/>
      <c r="N390" s="72"/>
      <c r="O390" s="66"/>
      <c r="P390" s="65"/>
      <c r="Q390" s="66"/>
    </row>
    <row r="391" spans="2:17" x14ac:dyDescent="0.25">
      <c r="B391" s="66"/>
      <c r="C391" s="65"/>
      <c r="D391" s="66"/>
      <c r="E391" s="65"/>
      <c r="F391" s="70"/>
      <c r="G391" s="68"/>
      <c r="H391" s="67"/>
      <c r="I391" s="67"/>
      <c r="J391" s="68"/>
      <c r="K391" s="71"/>
      <c r="L391" s="71"/>
      <c r="M391" s="73"/>
      <c r="N391" s="72"/>
      <c r="O391" s="66"/>
      <c r="P391" s="65"/>
      <c r="Q391" s="66"/>
    </row>
    <row r="392" spans="2:17" x14ac:dyDescent="0.25">
      <c r="B392" s="66"/>
      <c r="C392" s="65"/>
      <c r="D392" s="66"/>
      <c r="E392" s="65"/>
      <c r="F392" s="70"/>
      <c r="G392" s="68"/>
      <c r="H392" s="67"/>
      <c r="I392" s="67"/>
      <c r="J392" s="68"/>
      <c r="K392" s="71"/>
      <c r="L392" s="71"/>
      <c r="M392" s="73"/>
      <c r="N392" s="72"/>
      <c r="O392" s="66"/>
      <c r="P392" s="65"/>
      <c r="Q392" s="66"/>
    </row>
    <row r="393" spans="2:17" x14ac:dyDescent="0.25">
      <c r="B393" s="66"/>
      <c r="C393" s="65"/>
      <c r="D393" s="66"/>
      <c r="E393" s="65"/>
      <c r="F393" s="70"/>
      <c r="G393" s="68"/>
      <c r="H393" s="67"/>
      <c r="I393" s="67"/>
      <c r="J393" s="68"/>
      <c r="K393" s="71"/>
      <c r="L393" s="71"/>
      <c r="M393" s="73"/>
      <c r="N393" s="72"/>
      <c r="O393" s="66"/>
      <c r="P393" s="65"/>
      <c r="Q393" s="66"/>
    </row>
    <row r="394" spans="2:17" x14ac:dyDescent="0.25">
      <c r="B394" s="66"/>
      <c r="C394" s="65"/>
      <c r="D394" s="66"/>
      <c r="E394" s="65"/>
      <c r="F394" s="70"/>
      <c r="G394" s="68"/>
      <c r="H394" s="67"/>
      <c r="I394" s="67"/>
      <c r="J394" s="68"/>
      <c r="K394" s="71"/>
      <c r="L394" s="71"/>
      <c r="M394" s="73"/>
      <c r="N394" s="72"/>
      <c r="O394" s="66"/>
      <c r="P394" s="65"/>
      <c r="Q394" s="66"/>
    </row>
    <row r="395" spans="2:17" x14ac:dyDescent="0.25">
      <c r="B395" s="66"/>
      <c r="C395" s="65"/>
      <c r="D395" s="66"/>
      <c r="E395" s="65"/>
      <c r="F395" s="70"/>
      <c r="G395" s="68"/>
      <c r="H395" s="67"/>
      <c r="I395" s="67"/>
      <c r="J395" s="68"/>
      <c r="K395" s="71"/>
      <c r="L395" s="71"/>
      <c r="M395" s="73"/>
      <c r="N395" s="72"/>
      <c r="O395" s="66"/>
      <c r="P395" s="65"/>
      <c r="Q395" s="66"/>
    </row>
    <row r="396" spans="2:17" x14ac:dyDescent="0.25">
      <c r="B396" s="66"/>
      <c r="C396" s="65"/>
      <c r="D396" s="66"/>
      <c r="E396" s="65"/>
      <c r="F396" s="70"/>
      <c r="G396" s="68"/>
      <c r="H396" s="67"/>
      <c r="I396" s="67"/>
      <c r="J396" s="68"/>
      <c r="K396" s="71"/>
      <c r="L396" s="71"/>
      <c r="M396" s="73"/>
      <c r="N396" s="72"/>
      <c r="O396" s="66"/>
      <c r="P396" s="65"/>
      <c r="Q396" s="66"/>
    </row>
    <row r="397" spans="2:17" x14ac:dyDescent="0.25">
      <c r="B397" s="66"/>
      <c r="C397" s="65"/>
      <c r="D397" s="66"/>
      <c r="E397" s="65"/>
      <c r="F397" s="70"/>
      <c r="G397" s="68"/>
      <c r="H397" s="67"/>
      <c r="I397" s="67"/>
      <c r="J397" s="68"/>
      <c r="K397" s="71"/>
      <c r="L397" s="71"/>
      <c r="M397" s="73"/>
      <c r="N397" s="72"/>
      <c r="O397" s="66"/>
      <c r="P397" s="65"/>
      <c r="Q397" s="66"/>
    </row>
    <row r="398" spans="2:17" x14ac:dyDescent="0.25">
      <c r="B398" s="66"/>
      <c r="C398" s="65"/>
      <c r="D398" s="66"/>
      <c r="E398" s="65"/>
      <c r="F398" s="70"/>
      <c r="G398" s="68"/>
      <c r="H398" s="67"/>
      <c r="I398" s="67"/>
      <c r="J398" s="68"/>
      <c r="K398" s="71"/>
      <c r="L398" s="71"/>
      <c r="M398" s="73"/>
      <c r="N398" s="72"/>
      <c r="O398" s="66"/>
      <c r="P398" s="65"/>
      <c r="Q398" s="66"/>
    </row>
    <row r="399" spans="2:17" x14ac:dyDescent="0.25">
      <c r="B399" s="66"/>
      <c r="C399" s="65"/>
      <c r="D399" s="66"/>
      <c r="E399" s="65"/>
      <c r="F399" s="70"/>
      <c r="G399" s="68"/>
      <c r="H399" s="67"/>
      <c r="I399" s="67"/>
      <c r="J399" s="68"/>
      <c r="K399" s="71"/>
      <c r="L399" s="71"/>
      <c r="M399" s="73"/>
      <c r="N399" s="72"/>
      <c r="O399" s="66"/>
      <c r="P399" s="65"/>
      <c r="Q399" s="66"/>
    </row>
    <row r="400" spans="2:17" x14ac:dyDescent="0.25">
      <c r="B400" s="66"/>
      <c r="C400" s="65"/>
      <c r="D400" s="66"/>
      <c r="E400" s="65"/>
      <c r="F400" s="70"/>
      <c r="G400" s="68"/>
      <c r="H400" s="67"/>
      <c r="I400" s="67"/>
      <c r="J400" s="68"/>
      <c r="K400" s="71"/>
      <c r="L400" s="71"/>
      <c r="M400" s="73"/>
      <c r="N400" s="72"/>
      <c r="O400" s="66"/>
      <c r="P400" s="65"/>
      <c r="Q400" s="66"/>
    </row>
    <row r="401" spans="2:17" x14ac:dyDescent="0.25">
      <c r="B401" s="66"/>
      <c r="C401" s="65"/>
      <c r="D401" s="66"/>
      <c r="E401" s="65"/>
      <c r="F401" s="70"/>
      <c r="G401" s="68"/>
      <c r="H401" s="67"/>
      <c r="I401" s="67"/>
      <c r="J401" s="68"/>
      <c r="K401" s="71"/>
      <c r="L401" s="71"/>
      <c r="M401" s="73"/>
      <c r="N401" s="72"/>
      <c r="O401" s="66"/>
      <c r="P401" s="65"/>
      <c r="Q401" s="66"/>
    </row>
    <row r="402" spans="2:17" x14ac:dyDescent="0.25">
      <c r="B402" s="66"/>
      <c r="C402" s="65"/>
      <c r="D402" s="66"/>
      <c r="E402" s="65"/>
      <c r="F402" s="70"/>
      <c r="G402" s="68"/>
      <c r="H402" s="67"/>
      <c r="I402" s="67"/>
      <c r="J402" s="68"/>
      <c r="K402" s="71"/>
      <c r="L402" s="71"/>
      <c r="M402" s="73"/>
      <c r="N402" s="72"/>
      <c r="O402" s="66"/>
      <c r="P402" s="65"/>
      <c r="Q402" s="66"/>
    </row>
    <row r="403" spans="2:17" x14ac:dyDescent="0.25">
      <c r="B403" s="66"/>
      <c r="C403" s="65"/>
      <c r="D403" s="66"/>
      <c r="E403" s="65"/>
      <c r="F403" s="70"/>
      <c r="G403" s="68"/>
      <c r="H403" s="67"/>
      <c r="I403" s="67"/>
      <c r="J403" s="68"/>
      <c r="K403" s="71"/>
      <c r="L403" s="71"/>
      <c r="M403" s="73"/>
      <c r="N403" s="72"/>
      <c r="O403" s="66"/>
      <c r="P403" s="65"/>
      <c r="Q403" s="66"/>
    </row>
    <row r="404" spans="2:17" x14ac:dyDescent="0.25">
      <c r="B404" s="66"/>
      <c r="C404" s="65"/>
      <c r="D404" s="66"/>
      <c r="E404" s="65"/>
      <c r="F404" s="70"/>
      <c r="G404" s="68"/>
      <c r="H404" s="67"/>
      <c r="I404" s="67"/>
      <c r="J404" s="68"/>
      <c r="K404" s="71"/>
      <c r="L404" s="71"/>
      <c r="M404" s="73"/>
      <c r="N404" s="72"/>
      <c r="O404" s="66"/>
      <c r="P404" s="65"/>
      <c r="Q404" s="66"/>
    </row>
    <row r="405" spans="2:17" x14ac:dyDescent="0.25">
      <c r="B405" s="66"/>
      <c r="C405" s="65"/>
      <c r="D405" s="66"/>
      <c r="E405" s="65"/>
      <c r="F405" s="70"/>
      <c r="G405" s="68"/>
      <c r="H405" s="67"/>
      <c r="I405" s="67"/>
      <c r="J405" s="68"/>
      <c r="K405" s="71"/>
      <c r="L405" s="71"/>
      <c r="M405" s="73"/>
      <c r="N405" s="72"/>
      <c r="O405" s="66"/>
      <c r="P405" s="65"/>
      <c r="Q405" s="66"/>
    </row>
    <row r="406" spans="2:17" x14ac:dyDescent="0.25">
      <c r="B406" s="66"/>
      <c r="C406" s="65"/>
      <c r="D406" s="66"/>
      <c r="E406" s="65"/>
      <c r="F406" s="70"/>
      <c r="G406" s="68"/>
      <c r="H406" s="67"/>
      <c r="I406" s="67"/>
      <c r="J406" s="68"/>
      <c r="K406" s="71"/>
      <c r="L406" s="71"/>
      <c r="M406" s="73"/>
      <c r="N406" s="72"/>
      <c r="O406" s="66"/>
      <c r="P406" s="65"/>
      <c r="Q406" s="66"/>
    </row>
    <row r="407" spans="2:17" x14ac:dyDescent="0.25">
      <c r="B407" s="66"/>
      <c r="C407" s="65"/>
      <c r="D407" s="66"/>
      <c r="E407" s="65"/>
      <c r="F407" s="70"/>
      <c r="G407" s="68"/>
      <c r="H407" s="67"/>
      <c r="I407" s="67"/>
      <c r="J407" s="68"/>
      <c r="K407" s="71"/>
      <c r="L407" s="71"/>
      <c r="M407" s="73"/>
      <c r="N407" s="72"/>
      <c r="O407" s="66"/>
      <c r="P407" s="65"/>
      <c r="Q407" s="66"/>
    </row>
    <row r="408" spans="2:17" x14ac:dyDescent="0.25">
      <c r="B408" s="66"/>
      <c r="C408" s="65"/>
      <c r="D408" s="66"/>
      <c r="E408" s="65"/>
      <c r="F408" s="70"/>
      <c r="G408" s="68"/>
      <c r="H408" s="67"/>
      <c r="I408" s="67"/>
      <c r="J408" s="68"/>
      <c r="K408" s="71"/>
      <c r="L408" s="71"/>
      <c r="M408" s="73"/>
      <c r="N408" s="72"/>
      <c r="O408" s="66"/>
      <c r="P408" s="65"/>
      <c r="Q408" s="66"/>
    </row>
    <row r="409" spans="2:17" x14ac:dyDescent="0.25">
      <c r="B409" s="66"/>
      <c r="C409" s="65"/>
      <c r="D409" s="66"/>
      <c r="E409" s="65"/>
      <c r="F409" s="70"/>
      <c r="G409" s="68"/>
      <c r="H409" s="67"/>
      <c r="I409" s="67"/>
      <c r="J409" s="68"/>
      <c r="K409" s="71"/>
      <c r="L409" s="71"/>
      <c r="M409" s="73"/>
      <c r="N409" s="72"/>
      <c r="O409" s="66"/>
      <c r="P409" s="65"/>
      <c r="Q409" s="66"/>
    </row>
    <row r="410" spans="2:17" x14ac:dyDescent="0.25">
      <c r="B410" s="66"/>
      <c r="C410" s="65"/>
      <c r="D410" s="66"/>
      <c r="E410" s="65"/>
      <c r="F410" s="70"/>
      <c r="G410" s="68"/>
      <c r="H410" s="67"/>
      <c r="I410" s="67"/>
      <c r="J410" s="68"/>
      <c r="K410" s="71"/>
      <c r="L410" s="71"/>
      <c r="M410" s="73"/>
      <c r="N410" s="72"/>
      <c r="O410" s="66"/>
      <c r="P410" s="65"/>
      <c r="Q410" s="66"/>
    </row>
    <row r="411" spans="2:17" x14ac:dyDescent="0.25">
      <c r="B411" s="66"/>
      <c r="C411" s="65"/>
      <c r="D411" s="66"/>
      <c r="E411" s="65"/>
      <c r="F411" s="70"/>
      <c r="G411" s="68"/>
      <c r="H411" s="67"/>
      <c r="I411" s="67"/>
      <c r="J411" s="68"/>
      <c r="K411" s="71"/>
      <c r="L411" s="71"/>
      <c r="M411" s="73"/>
      <c r="N411" s="72"/>
      <c r="O411" s="66"/>
      <c r="P411" s="65"/>
      <c r="Q411" s="66"/>
    </row>
    <row r="412" spans="2:17" x14ac:dyDescent="0.25">
      <c r="B412" s="66"/>
      <c r="C412" s="65"/>
      <c r="D412" s="66"/>
      <c r="E412" s="65"/>
      <c r="F412" s="70"/>
      <c r="G412" s="68"/>
      <c r="H412" s="67"/>
      <c r="I412" s="67"/>
      <c r="J412" s="68"/>
      <c r="K412" s="71"/>
      <c r="L412" s="71"/>
      <c r="M412" s="73"/>
      <c r="N412" s="72"/>
      <c r="O412" s="66"/>
      <c r="P412" s="65"/>
      <c r="Q412" s="66"/>
    </row>
    <row r="413" spans="2:17" x14ac:dyDescent="0.25">
      <c r="B413" s="66"/>
      <c r="C413" s="65"/>
      <c r="D413" s="66"/>
      <c r="E413" s="65"/>
      <c r="F413" s="70"/>
      <c r="G413" s="68"/>
      <c r="H413" s="67"/>
      <c r="I413" s="67"/>
      <c r="J413" s="68"/>
      <c r="K413" s="71"/>
      <c r="L413" s="71"/>
      <c r="M413" s="73"/>
      <c r="N413" s="72"/>
      <c r="O413" s="66"/>
      <c r="P413" s="65"/>
      <c r="Q413" s="66"/>
    </row>
    <row r="414" spans="2:17" x14ac:dyDescent="0.25">
      <c r="B414" s="66"/>
      <c r="C414" s="65"/>
      <c r="D414" s="66"/>
      <c r="E414" s="65"/>
      <c r="F414" s="70"/>
      <c r="G414" s="68"/>
      <c r="H414" s="67"/>
      <c r="I414" s="67"/>
      <c r="J414" s="68"/>
      <c r="K414" s="71"/>
      <c r="L414" s="71"/>
      <c r="M414" s="73"/>
      <c r="N414" s="72"/>
      <c r="O414" s="66"/>
      <c r="P414" s="65"/>
      <c r="Q414" s="66"/>
    </row>
    <row r="415" spans="2:17" x14ac:dyDescent="0.25">
      <c r="B415" s="66"/>
      <c r="C415" s="65"/>
      <c r="D415" s="66"/>
      <c r="E415" s="65"/>
      <c r="F415" s="70"/>
      <c r="G415" s="68"/>
      <c r="H415" s="67"/>
      <c r="I415" s="67"/>
      <c r="J415" s="68"/>
      <c r="K415" s="71"/>
      <c r="L415" s="71"/>
      <c r="M415" s="73"/>
      <c r="N415" s="72"/>
      <c r="O415" s="66"/>
      <c r="P415" s="65"/>
      <c r="Q415" s="66"/>
    </row>
    <row r="416" spans="2:17" x14ac:dyDescent="0.25">
      <c r="B416" s="66"/>
      <c r="C416" s="65"/>
      <c r="D416" s="66"/>
      <c r="E416" s="65"/>
      <c r="F416" s="70"/>
      <c r="G416" s="68"/>
      <c r="H416" s="67"/>
      <c r="I416" s="67"/>
      <c r="J416" s="68"/>
      <c r="K416" s="71"/>
      <c r="L416" s="71"/>
      <c r="M416" s="73"/>
      <c r="N416" s="72"/>
      <c r="O416" s="66"/>
      <c r="P416" s="65"/>
      <c r="Q416" s="66"/>
    </row>
    <row r="417" spans="2:17" x14ac:dyDescent="0.25">
      <c r="B417" s="66"/>
      <c r="C417" s="65"/>
      <c r="D417" s="66"/>
      <c r="E417" s="65"/>
      <c r="F417" s="70"/>
      <c r="G417" s="68"/>
      <c r="H417" s="67"/>
      <c r="I417" s="67"/>
      <c r="J417" s="68"/>
      <c r="K417" s="71"/>
      <c r="L417" s="71"/>
      <c r="M417" s="73"/>
      <c r="N417" s="72"/>
      <c r="O417" s="66"/>
      <c r="P417" s="65"/>
      <c r="Q417" s="66"/>
    </row>
    <row r="418" spans="2:17" x14ac:dyDescent="0.25">
      <c r="B418" s="66"/>
      <c r="C418" s="65"/>
      <c r="D418" s="66"/>
      <c r="E418" s="65"/>
      <c r="F418" s="70"/>
      <c r="G418" s="68"/>
      <c r="H418" s="67"/>
      <c r="I418" s="67"/>
      <c r="J418" s="68"/>
      <c r="K418" s="71"/>
      <c r="L418" s="71"/>
      <c r="M418" s="73"/>
      <c r="N418" s="72"/>
      <c r="O418" s="66"/>
      <c r="P418" s="65"/>
      <c r="Q418" s="66"/>
    </row>
    <row r="419" spans="2:17" x14ac:dyDescent="0.25">
      <c r="B419" s="66"/>
      <c r="C419" s="65"/>
      <c r="D419" s="66"/>
      <c r="E419" s="65"/>
      <c r="F419" s="70"/>
      <c r="G419" s="68"/>
      <c r="H419" s="67"/>
      <c r="I419" s="67"/>
      <c r="J419" s="68"/>
      <c r="K419" s="71"/>
      <c r="L419" s="71"/>
      <c r="M419" s="73"/>
      <c r="N419" s="72"/>
      <c r="O419" s="66"/>
      <c r="P419" s="65"/>
      <c r="Q419" s="66"/>
    </row>
    <row r="420" spans="2:17" x14ac:dyDescent="0.25">
      <c r="B420" s="66"/>
      <c r="C420" s="65"/>
      <c r="D420" s="66"/>
      <c r="E420" s="65"/>
      <c r="F420" s="70"/>
      <c r="G420" s="68"/>
      <c r="H420" s="67"/>
      <c r="I420" s="67"/>
      <c r="J420" s="68"/>
      <c r="K420" s="71"/>
      <c r="L420" s="71"/>
      <c r="M420" s="73"/>
      <c r="N420" s="72"/>
      <c r="O420" s="66"/>
      <c r="P420" s="65"/>
      <c r="Q420" s="66"/>
    </row>
    <row r="421" spans="2:17" x14ac:dyDescent="0.25">
      <c r="B421" s="66"/>
      <c r="C421" s="65"/>
      <c r="D421" s="66"/>
      <c r="E421" s="65"/>
      <c r="F421" s="70"/>
      <c r="G421" s="68"/>
      <c r="H421" s="67"/>
      <c r="I421" s="67"/>
      <c r="J421" s="68"/>
      <c r="K421" s="71"/>
      <c r="L421" s="71"/>
      <c r="M421" s="73"/>
      <c r="N421" s="72"/>
      <c r="O421" s="66"/>
      <c r="P421" s="65"/>
      <c r="Q421" s="66"/>
    </row>
    <row r="422" spans="2:17" x14ac:dyDescent="0.25">
      <c r="B422" s="66"/>
      <c r="C422" s="65"/>
      <c r="D422" s="66"/>
      <c r="E422" s="65"/>
      <c r="F422" s="70"/>
      <c r="G422" s="68"/>
      <c r="H422" s="67"/>
      <c r="I422" s="67"/>
      <c r="J422" s="68"/>
      <c r="K422" s="71"/>
      <c r="L422" s="71"/>
      <c r="M422" s="73"/>
      <c r="N422" s="72"/>
      <c r="O422" s="66"/>
      <c r="P422" s="65"/>
      <c r="Q422" s="66"/>
    </row>
    <row r="423" spans="2:17" x14ac:dyDescent="0.25">
      <c r="B423" s="66"/>
      <c r="C423" s="65"/>
      <c r="D423" s="66"/>
      <c r="E423" s="65"/>
      <c r="F423" s="70"/>
      <c r="G423" s="68"/>
      <c r="H423" s="67"/>
      <c r="I423" s="67"/>
      <c r="J423" s="68"/>
      <c r="K423" s="71"/>
      <c r="L423" s="71"/>
      <c r="M423" s="73"/>
      <c r="N423" s="72"/>
      <c r="O423" s="66"/>
      <c r="P423" s="65"/>
      <c r="Q423" s="66"/>
    </row>
    <row r="424" spans="2:17" x14ac:dyDescent="0.25">
      <c r="B424" s="66"/>
      <c r="C424" s="65"/>
      <c r="D424" s="66"/>
      <c r="E424" s="65"/>
      <c r="F424" s="70"/>
      <c r="G424" s="68"/>
      <c r="H424" s="67"/>
      <c r="I424" s="67"/>
      <c r="J424" s="68"/>
      <c r="K424" s="71"/>
      <c r="L424" s="71"/>
      <c r="M424" s="73"/>
      <c r="N424" s="72"/>
      <c r="O424" s="66"/>
      <c r="P424" s="65"/>
      <c r="Q424" s="66"/>
    </row>
    <row r="425" spans="2:17" x14ac:dyDescent="0.25">
      <c r="B425" s="66"/>
      <c r="C425" s="65"/>
      <c r="D425" s="66"/>
      <c r="E425" s="65"/>
      <c r="F425" s="70"/>
      <c r="G425" s="68"/>
      <c r="H425" s="67"/>
      <c r="I425" s="67"/>
      <c r="J425" s="68"/>
      <c r="K425" s="71"/>
      <c r="L425" s="71"/>
      <c r="M425" s="73"/>
      <c r="N425" s="72"/>
      <c r="O425" s="66"/>
      <c r="P425" s="65"/>
      <c r="Q425" s="66"/>
    </row>
    <row r="426" spans="2:17" x14ac:dyDescent="0.25">
      <c r="B426" s="66"/>
      <c r="C426" s="65"/>
      <c r="D426" s="66"/>
      <c r="E426" s="65"/>
      <c r="F426" s="70"/>
      <c r="G426" s="68"/>
      <c r="H426" s="67"/>
      <c r="I426" s="67"/>
      <c r="J426" s="68"/>
      <c r="K426" s="71"/>
      <c r="L426" s="71"/>
      <c r="M426" s="73"/>
      <c r="N426" s="72"/>
      <c r="O426" s="66"/>
      <c r="P426" s="65"/>
      <c r="Q426" s="66"/>
    </row>
    <row r="427" spans="2:17" x14ac:dyDescent="0.25">
      <c r="B427" s="66"/>
      <c r="C427" s="65"/>
      <c r="D427" s="66"/>
      <c r="E427" s="65"/>
      <c r="F427" s="70"/>
      <c r="G427" s="68"/>
      <c r="H427" s="67"/>
      <c r="I427" s="67"/>
      <c r="J427" s="68"/>
      <c r="K427" s="71"/>
      <c r="L427" s="71"/>
      <c r="M427" s="73"/>
      <c r="N427" s="72"/>
      <c r="O427" s="66"/>
      <c r="P427" s="65"/>
      <c r="Q427" s="66"/>
    </row>
    <row r="428" spans="2:17" x14ac:dyDescent="0.25">
      <c r="B428" s="66"/>
      <c r="C428" s="65"/>
      <c r="D428" s="66"/>
      <c r="E428" s="65"/>
      <c r="F428" s="70"/>
      <c r="G428" s="68"/>
      <c r="H428" s="67"/>
      <c r="I428" s="67"/>
      <c r="J428" s="68"/>
      <c r="K428" s="71"/>
      <c r="L428" s="71"/>
      <c r="M428" s="73"/>
      <c r="N428" s="72"/>
      <c r="O428" s="66"/>
      <c r="P428" s="65"/>
      <c r="Q428" s="66"/>
    </row>
    <row r="429" spans="2:17" x14ac:dyDescent="0.25">
      <c r="B429" s="66"/>
      <c r="C429" s="65"/>
      <c r="D429" s="66"/>
      <c r="E429" s="65"/>
      <c r="F429" s="70"/>
      <c r="G429" s="68"/>
      <c r="H429" s="67"/>
      <c r="I429" s="67"/>
      <c r="J429" s="68"/>
      <c r="K429" s="71"/>
      <c r="L429" s="71"/>
      <c r="M429" s="73"/>
      <c r="N429" s="72"/>
      <c r="O429" s="66"/>
      <c r="P429" s="65"/>
      <c r="Q429" s="66"/>
    </row>
    <row r="430" spans="2:17" x14ac:dyDescent="0.25">
      <c r="B430" s="66"/>
      <c r="C430" s="65"/>
      <c r="D430" s="66"/>
      <c r="E430" s="65"/>
      <c r="F430" s="70"/>
      <c r="G430" s="68"/>
      <c r="H430" s="67"/>
      <c r="I430" s="67"/>
      <c r="J430" s="68"/>
      <c r="K430" s="71"/>
      <c r="L430" s="71"/>
      <c r="M430" s="73"/>
      <c r="N430" s="72"/>
      <c r="O430" s="66"/>
      <c r="P430" s="65"/>
      <c r="Q430" s="66"/>
    </row>
    <row r="431" spans="2:17" x14ac:dyDescent="0.25">
      <c r="B431" s="66"/>
      <c r="C431" s="65"/>
      <c r="D431" s="66"/>
      <c r="E431" s="65"/>
      <c r="F431" s="70"/>
      <c r="G431" s="68"/>
      <c r="H431" s="67"/>
      <c r="I431" s="67"/>
      <c r="J431" s="68"/>
      <c r="K431" s="71"/>
      <c r="L431" s="71"/>
      <c r="M431" s="73"/>
      <c r="N431" s="72"/>
      <c r="O431" s="66"/>
      <c r="P431" s="65"/>
      <c r="Q431" s="66"/>
    </row>
    <row r="432" spans="2:17" x14ac:dyDescent="0.25">
      <c r="B432" s="66"/>
      <c r="C432" s="65"/>
      <c r="D432" s="66"/>
      <c r="E432" s="65"/>
      <c r="F432" s="70"/>
      <c r="G432" s="68"/>
      <c r="H432" s="67"/>
      <c r="I432" s="67"/>
      <c r="J432" s="68"/>
      <c r="K432" s="71"/>
      <c r="L432" s="71"/>
      <c r="M432" s="73"/>
      <c r="N432" s="72"/>
      <c r="O432" s="66"/>
      <c r="P432" s="65"/>
      <c r="Q432" s="66"/>
    </row>
    <row r="433" spans="2:17" x14ac:dyDescent="0.25">
      <c r="B433" s="66"/>
      <c r="C433" s="65"/>
      <c r="D433" s="66"/>
      <c r="E433" s="65"/>
      <c r="F433" s="70"/>
      <c r="G433" s="68"/>
      <c r="H433" s="67"/>
      <c r="I433" s="67"/>
      <c r="J433" s="68"/>
      <c r="K433" s="71"/>
      <c r="L433" s="71"/>
      <c r="M433" s="73"/>
      <c r="N433" s="72"/>
      <c r="O433" s="66"/>
      <c r="P433" s="65"/>
      <c r="Q433" s="66"/>
    </row>
    <row r="434" spans="2:17" x14ac:dyDescent="0.25">
      <c r="B434" s="66"/>
      <c r="C434" s="65"/>
      <c r="D434" s="66"/>
      <c r="E434" s="65"/>
      <c r="F434" s="70"/>
      <c r="G434" s="68"/>
      <c r="H434" s="67"/>
      <c r="I434" s="67"/>
      <c r="J434" s="68"/>
      <c r="K434" s="71"/>
      <c r="L434" s="71"/>
      <c r="M434" s="73"/>
      <c r="N434" s="72"/>
      <c r="O434" s="66"/>
      <c r="P434" s="65"/>
      <c r="Q434" s="66"/>
    </row>
    <row r="435" spans="2:17" x14ac:dyDescent="0.25">
      <c r="B435" s="66"/>
      <c r="C435" s="65"/>
      <c r="D435" s="66"/>
      <c r="E435" s="65"/>
      <c r="F435" s="70"/>
      <c r="G435" s="68"/>
      <c r="H435" s="67"/>
      <c r="I435" s="67"/>
      <c r="J435" s="68"/>
      <c r="K435" s="71"/>
      <c r="L435" s="71"/>
      <c r="M435" s="73"/>
      <c r="N435" s="72"/>
      <c r="O435" s="66"/>
      <c r="P435" s="65"/>
      <c r="Q435" s="66"/>
    </row>
    <row r="436" spans="2:17" x14ac:dyDescent="0.25">
      <c r="B436" s="66"/>
      <c r="C436" s="65"/>
      <c r="D436" s="66"/>
      <c r="E436" s="65"/>
      <c r="F436" s="70"/>
      <c r="G436" s="68"/>
      <c r="H436" s="67"/>
      <c r="I436" s="67"/>
      <c r="J436" s="68"/>
      <c r="K436" s="71"/>
      <c r="L436" s="71"/>
      <c r="M436" s="73"/>
      <c r="N436" s="72"/>
      <c r="O436" s="66"/>
      <c r="P436" s="65"/>
      <c r="Q436" s="66"/>
    </row>
    <row r="437" spans="2:17" x14ac:dyDescent="0.25">
      <c r="B437" s="66"/>
      <c r="C437" s="65"/>
      <c r="D437" s="66"/>
      <c r="E437" s="65"/>
      <c r="F437" s="70"/>
      <c r="G437" s="68"/>
      <c r="H437" s="67"/>
      <c r="I437" s="67"/>
      <c r="J437" s="68"/>
      <c r="K437" s="71"/>
      <c r="L437" s="71"/>
      <c r="M437" s="73"/>
      <c r="N437" s="72"/>
      <c r="O437" s="66"/>
      <c r="P437" s="65"/>
      <c r="Q437" s="66"/>
    </row>
    <row r="438" spans="2:17" x14ac:dyDescent="0.25">
      <c r="B438" s="66"/>
      <c r="C438" s="65"/>
      <c r="D438" s="66"/>
      <c r="E438" s="65"/>
      <c r="F438" s="70"/>
      <c r="G438" s="68"/>
      <c r="H438" s="67"/>
      <c r="I438" s="67"/>
      <c r="J438" s="68"/>
      <c r="K438" s="71"/>
      <c r="L438" s="71"/>
      <c r="M438" s="73"/>
      <c r="N438" s="72"/>
      <c r="O438" s="66"/>
      <c r="P438" s="65"/>
      <c r="Q438" s="66"/>
    </row>
    <row r="439" spans="2:17" x14ac:dyDescent="0.25">
      <c r="B439" s="66"/>
      <c r="C439" s="65"/>
      <c r="D439" s="66"/>
      <c r="E439" s="65"/>
      <c r="F439" s="70"/>
      <c r="G439" s="68"/>
      <c r="H439" s="67"/>
      <c r="I439" s="67"/>
      <c r="J439" s="68"/>
      <c r="K439" s="71"/>
      <c r="L439" s="71"/>
      <c r="M439" s="73"/>
      <c r="N439" s="72"/>
      <c r="O439" s="66"/>
      <c r="P439" s="65"/>
      <c r="Q439" s="66"/>
    </row>
    <row r="440" spans="2:17" x14ac:dyDescent="0.25">
      <c r="B440" s="66"/>
      <c r="C440" s="65"/>
      <c r="D440" s="66"/>
      <c r="E440" s="65"/>
      <c r="F440" s="70"/>
      <c r="G440" s="68"/>
      <c r="H440" s="67"/>
      <c r="I440" s="67"/>
      <c r="J440" s="68"/>
      <c r="K440" s="71"/>
      <c r="L440" s="71"/>
      <c r="M440" s="73"/>
      <c r="N440" s="72"/>
      <c r="O440" s="66"/>
      <c r="P440" s="65"/>
      <c r="Q440" s="66"/>
    </row>
    <row r="441" spans="2:17" x14ac:dyDescent="0.25">
      <c r="B441" s="66"/>
      <c r="C441" s="65"/>
      <c r="D441" s="66"/>
      <c r="E441" s="65"/>
      <c r="F441" s="70"/>
      <c r="G441" s="68"/>
      <c r="H441" s="67"/>
      <c r="I441" s="67"/>
      <c r="J441" s="68"/>
      <c r="K441" s="71"/>
      <c r="L441" s="71"/>
      <c r="M441" s="73"/>
      <c r="N441" s="72"/>
      <c r="O441" s="66"/>
      <c r="P441" s="65"/>
      <c r="Q441" s="66"/>
    </row>
    <row r="442" spans="2:17" x14ac:dyDescent="0.25">
      <c r="B442" s="66"/>
      <c r="C442" s="65"/>
      <c r="D442" s="66"/>
      <c r="E442" s="65"/>
      <c r="F442" s="70"/>
      <c r="G442" s="68"/>
      <c r="H442" s="67"/>
      <c r="I442" s="67"/>
      <c r="J442" s="68"/>
      <c r="K442" s="71"/>
      <c r="L442" s="71"/>
      <c r="M442" s="73"/>
      <c r="N442" s="72"/>
      <c r="O442" s="66"/>
      <c r="P442" s="65"/>
      <c r="Q442" s="66"/>
    </row>
    <row r="443" spans="2:17" x14ac:dyDescent="0.25">
      <c r="B443" s="66"/>
      <c r="C443" s="65"/>
      <c r="D443" s="66"/>
      <c r="E443" s="65"/>
      <c r="F443" s="70"/>
      <c r="G443" s="68"/>
      <c r="H443" s="67"/>
      <c r="I443" s="67"/>
      <c r="J443" s="68"/>
      <c r="K443" s="71"/>
      <c r="L443" s="71"/>
      <c r="M443" s="73"/>
      <c r="N443" s="72"/>
      <c r="O443" s="66"/>
      <c r="P443" s="65"/>
      <c r="Q443" s="66"/>
    </row>
    <row r="444" spans="2:17" x14ac:dyDescent="0.25">
      <c r="B444" s="66"/>
      <c r="C444" s="65"/>
      <c r="D444" s="66"/>
      <c r="E444" s="65"/>
      <c r="F444" s="70"/>
      <c r="G444" s="68"/>
      <c r="H444" s="67"/>
      <c r="I444" s="67"/>
      <c r="J444" s="68"/>
      <c r="K444" s="71"/>
      <c r="L444" s="71"/>
      <c r="M444" s="73"/>
      <c r="N444" s="72"/>
      <c r="O444" s="66"/>
      <c r="P444" s="65"/>
      <c r="Q444" s="66"/>
    </row>
    <row r="445" spans="2:17" x14ac:dyDescent="0.25">
      <c r="B445" s="66"/>
      <c r="C445" s="65"/>
      <c r="D445" s="66"/>
      <c r="E445" s="65"/>
      <c r="F445" s="70"/>
      <c r="G445" s="68"/>
      <c r="H445" s="67"/>
      <c r="I445" s="67"/>
      <c r="J445" s="68"/>
      <c r="K445" s="71"/>
      <c r="L445" s="71"/>
      <c r="M445" s="73"/>
      <c r="N445" s="72"/>
      <c r="O445" s="66"/>
      <c r="P445" s="65"/>
      <c r="Q445" s="66"/>
    </row>
    <row r="446" spans="2:17" x14ac:dyDescent="0.25">
      <c r="B446" s="66"/>
      <c r="C446" s="65"/>
      <c r="D446" s="66"/>
      <c r="E446" s="65"/>
      <c r="F446" s="70"/>
      <c r="G446" s="68"/>
      <c r="H446" s="67"/>
      <c r="I446" s="67"/>
      <c r="J446" s="68"/>
      <c r="K446" s="71"/>
      <c r="L446" s="71"/>
      <c r="M446" s="73"/>
      <c r="N446" s="72"/>
      <c r="O446" s="66"/>
      <c r="P446" s="65"/>
      <c r="Q446" s="66"/>
    </row>
    <row r="447" spans="2:17" x14ac:dyDescent="0.25">
      <c r="B447" s="66"/>
      <c r="C447" s="65"/>
      <c r="D447" s="66"/>
      <c r="E447" s="65"/>
      <c r="F447" s="70"/>
      <c r="G447" s="68"/>
      <c r="H447" s="67"/>
      <c r="I447" s="67"/>
      <c r="J447" s="68"/>
      <c r="K447" s="71"/>
      <c r="L447" s="71"/>
      <c r="M447" s="73"/>
      <c r="N447" s="72"/>
      <c r="O447" s="66"/>
      <c r="P447" s="65"/>
      <c r="Q447" s="66"/>
    </row>
    <row r="448" spans="2:17" x14ac:dyDescent="0.25">
      <c r="B448" s="66"/>
      <c r="C448" s="65"/>
      <c r="D448" s="66"/>
      <c r="E448" s="65"/>
      <c r="F448" s="70"/>
      <c r="G448" s="68"/>
      <c r="H448" s="67"/>
      <c r="I448" s="67"/>
      <c r="J448" s="68"/>
      <c r="K448" s="71"/>
      <c r="L448" s="71"/>
      <c r="M448" s="73"/>
      <c r="N448" s="72"/>
      <c r="O448" s="66"/>
      <c r="P448" s="65"/>
      <c r="Q448" s="66"/>
    </row>
    <row r="449" spans="2:17" x14ac:dyDescent="0.25">
      <c r="B449" s="66"/>
      <c r="C449" s="65"/>
      <c r="D449" s="66"/>
      <c r="E449" s="65"/>
      <c r="F449" s="70"/>
      <c r="G449" s="68"/>
      <c r="H449" s="67"/>
      <c r="I449" s="67"/>
      <c r="J449" s="68"/>
      <c r="K449" s="71"/>
      <c r="L449" s="71"/>
      <c r="M449" s="73"/>
      <c r="N449" s="72"/>
      <c r="O449" s="66"/>
      <c r="P449" s="65"/>
      <c r="Q449" s="66"/>
    </row>
    <row r="450" spans="2:17" x14ac:dyDescent="0.25">
      <c r="B450" s="66"/>
      <c r="C450" s="65"/>
      <c r="D450" s="66"/>
      <c r="E450" s="65"/>
      <c r="F450" s="70"/>
      <c r="G450" s="68"/>
      <c r="H450" s="67"/>
      <c r="I450" s="67"/>
      <c r="J450" s="68"/>
      <c r="K450" s="71"/>
      <c r="L450" s="71"/>
      <c r="M450" s="73"/>
      <c r="N450" s="72"/>
      <c r="O450" s="66"/>
      <c r="P450" s="65"/>
      <c r="Q450" s="66"/>
    </row>
    <row r="451" spans="2:17" x14ac:dyDescent="0.25">
      <c r="B451" s="66"/>
      <c r="C451" s="65"/>
      <c r="D451" s="66"/>
      <c r="E451" s="65"/>
      <c r="F451" s="70"/>
      <c r="G451" s="68"/>
      <c r="H451" s="67"/>
      <c r="I451" s="67"/>
      <c r="J451" s="68"/>
      <c r="K451" s="71"/>
      <c r="L451" s="71"/>
      <c r="M451" s="73"/>
      <c r="N451" s="72"/>
      <c r="O451" s="66"/>
      <c r="P451" s="65"/>
      <c r="Q451" s="66"/>
    </row>
    <row r="452" spans="2:17" x14ac:dyDescent="0.25">
      <c r="B452" s="66"/>
      <c r="C452" s="65"/>
      <c r="D452" s="66"/>
      <c r="E452" s="65"/>
      <c r="F452" s="70"/>
      <c r="G452" s="68"/>
      <c r="H452" s="67"/>
      <c r="I452" s="67"/>
      <c r="J452" s="68"/>
      <c r="K452" s="71"/>
      <c r="L452" s="71"/>
      <c r="M452" s="73"/>
      <c r="N452" s="72"/>
      <c r="O452" s="66"/>
      <c r="P452" s="65"/>
      <c r="Q452" s="66"/>
    </row>
    <row r="453" spans="2:17" x14ac:dyDescent="0.25">
      <c r="B453" s="66"/>
      <c r="C453" s="65"/>
      <c r="D453" s="66"/>
      <c r="E453" s="65"/>
      <c r="F453" s="70"/>
      <c r="G453" s="68"/>
      <c r="H453" s="67"/>
      <c r="I453" s="67"/>
      <c r="J453" s="68"/>
      <c r="K453" s="71"/>
      <c r="L453" s="71"/>
      <c r="M453" s="73"/>
      <c r="N453" s="72"/>
      <c r="O453" s="66"/>
      <c r="P453" s="65"/>
      <c r="Q453" s="66"/>
    </row>
    <row r="454" spans="2:17" x14ac:dyDescent="0.25">
      <c r="B454" s="66"/>
      <c r="C454" s="65"/>
      <c r="D454" s="66"/>
      <c r="E454" s="65"/>
      <c r="F454" s="70"/>
      <c r="G454" s="68"/>
      <c r="H454" s="67"/>
      <c r="I454" s="67"/>
      <c r="J454" s="68"/>
      <c r="K454" s="71"/>
      <c r="L454" s="71"/>
      <c r="M454" s="73"/>
      <c r="N454" s="72"/>
      <c r="O454" s="66"/>
      <c r="P454" s="65"/>
      <c r="Q454" s="66"/>
    </row>
    <row r="455" spans="2:17" x14ac:dyDescent="0.25">
      <c r="B455" s="66"/>
      <c r="C455" s="65"/>
      <c r="D455" s="66"/>
      <c r="E455" s="65"/>
      <c r="F455" s="70"/>
      <c r="G455" s="68"/>
      <c r="H455" s="67"/>
      <c r="I455" s="67"/>
      <c r="J455" s="68"/>
      <c r="K455" s="71"/>
      <c r="L455" s="71"/>
      <c r="M455" s="73"/>
      <c r="N455" s="72"/>
      <c r="O455" s="66"/>
      <c r="P455" s="65"/>
      <c r="Q455" s="66"/>
    </row>
    <row r="456" spans="2:17" x14ac:dyDescent="0.25">
      <c r="B456" s="66"/>
      <c r="C456" s="65"/>
      <c r="D456" s="66"/>
      <c r="E456" s="65"/>
      <c r="F456" s="70"/>
      <c r="G456" s="68"/>
      <c r="H456" s="67"/>
      <c r="I456" s="67"/>
      <c r="J456" s="68"/>
      <c r="K456" s="71"/>
      <c r="L456" s="71"/>
      <c r="M456" s="73"/>
      <c r="N456" s="72"/>
      <c r="O456" s="66"/>
      <c r="P456" s="65"/>
      <c r="Q456" s="66"/>
    </row>
    <row r="457" spans="2:17" x14ac:dyDescent="0.25">
      <c r="B457" s="66"/>
      <c r="C457" s="65"/>
      <c r="D457" s="66"/>
      <c r="E457" s="65"/>
      <c r="F457" s="70"/>
      <c r="G457" s="68"/>
      <c r="H457" s="67"/>
      <c r="I457" s="67"/>
      <c r="J457" s="68"/>
      <c r="K457" s="71"/>
      <c r="L457" s="71"/>
      <c r="M457" s="73"/>
      <c r="N457" s="72"/>
      <c r="O457" s="66"/>
      <c r="P457" s="65"/>
      <c r="Q457" s="66"/>
    </row>
    <row r="458" spans="2:17" x14ac:dyDescent="0.25">
      <c r="B458" s="66"/>
      <c r="C458" s="65"/>
      <c r="D458" s="66"/>
      <c r="E458" s="65"/>
      <c r="F458" s="70"/>
      <c r="G458" s="68"/>
      <c r="H458" s="67"/>
      <c r="I458" s="67"/>
      <c r="J458" s="68"/>
      <c r="K458" s="71"/>
      <c r="L458" s="71"/>
      <c r="M458" s="73"/>
      <c r="N458" s="72"/>
      <c r="O458" s="66"/>
      <c r="P458" s="65"/>
      <c r="Q458" s="66"/>
    </row>
    <row r="459" spans="2:17" x14ac:dyDescent="0.25">
      <c r="B459" s="66"/>
      <c r="C459" s="65"/>
      <c r="D459" s="66"/>
      <c r="E459" s="65"/>
      <c r="F459" s="70"/>
      <c r="G459" s="68"/>
      <c r="H459" s="67"/>
      <c r="I459" s="67"/>
      <c r="J459" s="68"/>
      <c r="K459" s="71"/>
      <c r="L459" s="71"/>
      <c r="M459" s="73"/>
      <c r="N459" s="72"/>
      <c r="O459" s="66"/>
      <c r="P459" s="65"/>
      <c r="Q459" s="66"/>
    </row>
    <row r="460" spans="2:17" x14ac:dyDescent="0.25">
      <c r="B460" s="66"/>
      <c r="C460" s="65"/>
      <c r="D460" s="66"/>
      <c r="E460" s="65"/>
      <c r="F460" s="70"/>
      <c r="G460" s="68"/>
      <c r="H460" s="67"/>
      <c r="I460" s="67"/>
      <c r="J460" s="68"/>
      <c r="K460" s="71"/>
      <c r="L460" s="71"/>
      <c r="M460" s="73"/>
      <c r="N460" s="72"/>
      <c r="O460" s="66"/>
      <c r="P460" s="65"/>
      <c r="Q460" s="66"/>
    </row>
    <row r="461" spans="2:17" x14ac:dyDescent="0.25">
      <c r="B461" s="66"/>
      <c r="C461" s="65"/>
      <c r="D461" s="66"/>
      <c r="E461" s="65"/>
      <c r="F461" s="70"/>
      <c r="G461" s="68"/>
      <c r="H461" s="67"/>
      <c r="I461" s="67"/>
      <c r="J461" s="68"/>
      <c r="K461" s="71"/>
      <c r="L461" s="71"/>
      <c r="M461" s="73"/>
      <c r="N461" s="72"/>
      <c r="O461" s="66"/>
      <c r="P461" s="65"/>
      <c r="Q461" s="66"/>
    </row>
    <row r="462" spans="2:17" x14ac:dyDescent="0.25">
      <c r="B462" s="66"/>
      <c r="C462" s="65"/>
      <c r="D462" s="66"/>
      <c r="E462" s="65"/>
      <c r="F462" s="70"/>
      <c r="G462" s="68"/>
      <c r="H462" s="67"/>
      <c r="I462" s="67"/>
      <c r="J462" s="68"/>
      <c r="K462" s="71"/>
      <c r="L462" s="71"/>
      <c r="M462" s="73"/>
      <c r="N462" s="72"/>
      <c r="O462" s="66"/>
      <c r="P462" s="65"/>
      <c r="Q462" s="66"/>
    </row>
    <row r="463" spans="2:17" x14ac:dyDescent="0.25">
      <c r="B463" s="66"/>
      <c r="C463" s="65"/>
      <c r="D463" s="66"/>
      <c r="E463" s="65"/>
      <c r="F463" s="70"/>
      <c r="G463" s="68"/>
      <c r="H463" s="67"/>
      <c r="I463" s="67"/>
      <c r="J463" s="68"/>
      <c r="K463" s="71"/>
      <c r="L463" s="71"/>
      <c r="M463" s="73"/>
      <c r="N463" s="72"/>
      <c r="O463" s="66"/>
      <c r="P463" s="65"/>
      <c r="Q463" s="66"/>
    </row>
    <row r="464" spans="2:17" x14ac:dyDescent="0.25">
      <c r="B464" s="66"/>
      <c r="C464" s="65"/>
      <c r="D464" s="66"/>
      <c r="E464" s="65"/>
      <c r="F464" s="70"/>
      <c r="G464" s="68"/>
      <c r="H464" s="67"/>
      <c r="I464" s="67"/>
      <c r="J464" s="68"/>
      <c r="K464" s="71"/>
      <c r="L464" s="71"/>
      <c r="M464" s="73"/>
      <c r="N464" s="72"/>
      <c r="O464" s="66"/>
      <c r="P464" s="65"/>
      <c r="Q464" s="66"/>
    </row>
    <row r="465" spans="2:17" x14ac:dyDescent="0.25">
      <c r="B465" s="66"/>
      <c r="C465" s="65"/>
      <c r="D465" s="66"/>
      <c r="E465" s="65"/>
      <c r="F465" s="70"/>
      <c r="G465" s="68"/>
      <c r="H465" s="67"/>
      <c r="I465" s="67"/>
      <c r="J465" s="68"/>
      <c r="K465" s="71"/>
      <c r="L465" s="71"/>
      <c r="M465" s="73"/>
      <c r="N465" s="72"/>
      <c r="O465" s="66"/>
      <c r="P465" s="65"/>
      <c r="Q465" s="66"/>
    </row>
    <row r="466" spans="2:17" x14ac:dyDescent="0.25">
      <c r="B466" s="66"/>
      <c r="C466" s="65"/>
      <c r="D466" s="66"/>
      <c r="E466" s="65"/>
      <c r="F466" s="70"/>
      <c r="G466" s="68"/>
      <c r="H466" s="67"/>
      <c r="I466" s="67"/>
      <c r="J466" s="68"/>
      <c r="K466" s="71"/>
      <c r="L466" s="71"/>
      <c r="M466" s="73"/>
      <c r="N466" s="72"/>
      <c r="O466" s="66"/>
      <c r="P466" s="65"/>
      <c r="Q466" s="66"/>
    </row>
    <row r="467" spans="2:17" x14ac:dyDescent="0.25">
      <c r="B467" s="66"/>
      <c r="C467" s="65"/>
      <c r="D467" s="66"/>
      <c r="E467" s="65"/>
      <c r="F467" s="70"/>
      <c r="G467" s="68"/>
      <c r="H467" s="67"/>
      <c r="I467" s="67"/>
      <c r="J467" s="68"/>
      <c r="K467" s="71"/>
      <c r="L467" s="71"/>
      <c r="M467" s="73"/>
      <c r="N467" s="72"/>
      <c r="O467" s="66"/>
      <c r="P467" s="65"/>
      <c r="Q467" s="66"/>
    </row>
    <row r="468" spans="2:17" x14ac:dyDescent="0.25">
      <c r="B468" s="66"/>
      <c r="C468" s="65"/>
      <c r="D468" s="66"/>
      <c r="E468" s="65"/>
      <c r="F468" s="70"/>
      <c r="G468" s="68"/>
      <c r="H468" s="67"/>
      <c r="I468" s="67"/>
      <c r="J468" s="68"/>
      <c r="K468" s="71"/>
      <c r="L468" s="71"/>
      <c r="M468" s="73"/>
      <c r="N468" s="72"/>
      <c r="O468" s="66"/>
      <c r="P468" s="65"/>
      <c r="Q468" s="66"/>
    </row>
    <row r="469" spans="2:17" x14ac:dyDescent="0.25">
      <c r="B469" s="66"/>
      <c r="C469" s="65"/>
      <c r="D469" s="66"/>
      <c r="E469" s="65"/>
      <c r="F469" s="70"/>
      <c r="G469" s="68"/>
      <c r="H469" s="67"/>
      <c r="I469" s="67"/>
      <c r="J469" s="68"/>
      <c r="K469" s="71"/>
      <c r="L469" s="71"/>
      <c r="M469" s="73"/>
      <c r="N469" s="72"/>
      <c r="O469" s="66"/>
      <c r="P469" s="65"/>
      <c r="Q469" s="66"/>
    </row>
    <row r="470" spans="2:17" x14ac:dyDescent="0.25">
      <c r="B470" s="66"/>
      <c r="C470" s="65"/>
      <c r="D470" s="66"/>
      <c r="E470" s="65"/>
      <c r="F470" s="70"/>
      <c r="G470" s="68"/>
      <c r="H470" s="67"/>
      <c r="I470" s="67"/>
      <c r="J470" s="68"/>
      <c r="K470" s="71"/>
      <c r="L470" s="71"/>
      <c r="M470" s="73"/>
      <c r="N470" s="72"/>
      <c r="O470" s="66"/>
      <c r="P470" s="65"/>
      <c r="Q470" s="66"/>
    </row>
    <row r="471" spans="2:17" x14ac:dyDescent="0.25">
      <c r="B471" s="66"/>
      <c r="C471" s="65"/>
      <c r="D471" s="66"/>
      <c r="E471" s="65"/>
      <c r="F471" s="70"/>
      <c r="G471" s="68"/>
      <c r="H471" s="67"/>
      <c r="I471" s="67"/>
      <c r="J471" s="68"/>
      <c r="K471" s="71"/>
      <c r="L471" s="71"/>
      <c r="M471" s="73"/>
      <c r="N471" s="72"/>
      <c r="O471" s="66"/>
      <c r="P471" s="65"/>
      <c r="Q471" s="66"/>
    </row>
    <row r="472" spans="2:17" x14ac:dyDescent="0.25">
      <c r="B472" s="66"/>
      <c r="C472" s="65"/>
      <c r="D472" s="66"/>
      <c r="E472" s="65"/>
      <c r="F472" s="70"/>
      <c r="G472" s="68"/>
      <c r="H472" s="67"/>
      <c r="I472" s="67"/>
      <c r="J472" s="68"/>
      <c r="K472" s="71"/>
      <c r="L472" s="71"/>
      <c r="M472" s="73"/>
      <c r="N472" s="72"/>
      <c r="O472" s="66"/>
      <c r="P472" s="65"/>
      <c r="Q472" s="66"/>
    </row>
    <row r="473" spans="2:17" x14ac:dyDescent="0.25">
      <c r="B473" s="66"/>
      <c r="C473" s="65"/>
      <c r="D473" s="66"/>
      <c r="E473" s="65"/>
      <c r="F473" s="70"/>
      <c r="G473" s="68"/>
      <c r="H473" s="67"/>
      <c r="I473" s="67"/>
      <c r="J473" s="68"/>
      <c r="K473" s="71"/>
      <c r="L473" s="71"/>
      <c r="M473" s="73"/>
      <c r="N473" s="72"/>
      <c r="O473" s="66"/>
      <c r="P473" s="65"/>
      <c r="Q473" s="66"/>
    </row>
    <row r="474" spans="2:17" x14ac:dyDescent="0.25">
      <c r="B474" s="66"/>
      <c r="C474" s="65"/>
      <c r="D474" s="66"/>
      <c r="E474" s="65"/>
      <c r="F474" s="70"/>
      <c r="G474" s="68"/>
      <c r="H474" s="67"/>
      <c r="I474" s="67"/>
      <c r="J474" s="68"/>
      <c r="K474" s="71"/>
      <c r="L474" s="71"/>
      <c r="M474" s="73"/>
      <c r="N474" s="72"/>
      <c r="O474" s="66"/>
      <c r="P474" s="65"/>
      <c r="Q474" s="66"/>
    </row>
    <row r="475" spans="2:17" x14ac:dyDescent="0.25">
      <c r="B475" s="66"/>
      <c r="C475" s="65"/>
      <c r="D475" s="66"/>
      <c r="E475" s="65"/>
      <c r="F475" s="70"/>
      <c r="G475" s="68"/>
      <c r="H475" s="67"/>
      <c r="I475" s="67"/>
      <c r="J475" s="68"/>
      <c r="K475" s="71"/>
      <c r="L475" s="71"/>
      <c r="M475" s="73"/>
      <c r="N475" s="72"/>
      <c r="O475" s="66"/>
      <c r="P475" s="65"/>
      <c r="Q475" s="66"/>
    </row>
    <row r="476" spans="2:17" x14ac:dyDescent="0.25">
      <c r="B476" s="66"/>
      <c r="C476" s="65"/>
      <c r="D476" s="66"/>
      <c r="E476" s="65"/>
      <c r="F476" s="70"/>
      <c r="G476" s="68"/>
      <c r="H476" s="67"/>
      <c r="I476" s="67"/>
      <c r="J476" s="68"/>
      <c r="K476" s="71"/>
      <c r="L476" s="71"/>
      <c r="M476" s="73"/>
      <c r="N476" s="72"/>
      <c r="O476" s="66"/>
      <c r="P476" s="65"/>
      <c r="Q476" s="66"/>
    </row>
    <row r="477" spans="2:17" x14ac:dyDescent="0.25">
      <c r="B477" s="66"/>
      <c r="C477" s="65"/>
      <c r="D477" s="66"/>
      <c r="E477" s="65"/>
      <c r="F477" s="70"/>
      <c r="G477" s="68"/>
      <c r="H477" s="67"/>
      <c r="I477" s="67"/>
      <c r="J477" s="68"/>
      <c r="K477" s="71"/>
      <c r="L477" s="71"/>
      <c r="M477" s="73"/>
      <c r="N477" s="72"/>
      <c r="O477" s="66"/>
      <c r="P477" s="65"/>
      <c r="Q477" s="66"/>
    </row>
    <row r="478" spans="2:17" x14ac:dyDescent="0.25">
      <c r="B478" s="66"/>
      <c r="C478" s="65"/>
      <c r="D478" s="66"/>
      <c r="E478" s="65"/>
      <c r="F478" s="70"/>
      <c r="G478" s="68"/>
      <c r="H478" s="67"/>
      <c r="I478" s="67"/>
      <c r="J478" s="68"/>
      <c r="K478" s="71"/>
      <c r="L478" s="71"/>
      <c r="M478" s="73"/>
      <c r="N478" s="72"/>
      <c r="O478" s="66"/>
      <c r="P478" s="65"/>
      <c r="Q478" s="66"/>
    </row>
    <row r="479" spans="2:17" x14ac:dyDescent="0.25">
      <c r="B479" s="66"/>
      <c r="C479" s="65"/>
      <c r="D479" s="66"/>
      <c r="E479" s="65"/>
      <c r="F479" s="70"/>
      <c r="G479" s="68"/>
      <c r="H479" s="67"/>
      <c r="I479" s="67"/>
      <c r="J479" s="68"/>
      <c r="K479" s="71"/>
      <c r="L479" s="71"/>
      <c r="M479" s="73"/>
      <c r="N479" s="72"/>
      <c r="O479" s="66"/>
      <c r="P479" s="65"/>
      <c r="Q479" s="66"/>
    </row>
    <row r="480" spans="2:17" x14ac:dyDescent="0.25">
      <c r="B480" s="66"/>
      <c r="C480" s="65"/>
      <c r="D480" s="66"/>
      <c r="E480" s="65"/>
      <c r="F480" s="70"/>
      <c r="G480" s="68"/>
      <c r="H480" s="67"/>
      <c r="I480" s="67"/>
      <c r="J480" s="68"/>
      <c r="K480" s="71"/>
      <c r="L480" s="71"/>
      <c r="M480" s="73"/>
      <c r="N480" s="72"/>
      <c r="O480" s="66"/>
      <c r="P480" s="65"/>
      <c r="Q480" s="66"/>
    </row>
    <row r="481" spans="2:17" x14ac:dyDescent="0.25">
      <c r="B481" s="66"/>
      <c r="C481" s="65"/>
      <c r="D481" s="66"/>
      <c r="E481" s="65"/>
      <c r="F481" s="70"/>
      <c r="G481" s="68"/>
      <c r="H481" s="67"/>
      <c r="I481" s="67"/>
      <c r="J481" s="68"/>
      <c r="K481" s="71"/>
      <c r="L481" s="71"/>
      <c r="M481" s="73"/>
      <c r="N481" s="72"/>
      <c r="O481" s="66"/>
      <c r="P481" s="65"/>
      <c r="Q481" s="66"/>
    </row>
    <row r="482" spans="2:17" x14ac:dyDescent="0.25">
      <c r="B482" s="66"/>
      <c r="C482" s="65"/>
      <c r="D482" s="66"/>
      <c r="E482" s="65"/>
      <c r="F482" s="70"/>
      <c r="G482" s="68"/>
      <c r="H482" s="67"/>
      <c r="I482" s="67"/>
      <c r="J482" s="68"/>
      <c r="K482" s="71"/>
      <c r="L482" s="71"/>
      <c r="M482" s="73"/>
      <c r="N482" s="72"/>
      <c r="O482" s="66"/>
      <c r="P482" s="65"/>
      <c r="Q482" s="66"/>
    </row>
    <row r="483" spans="2:17" x14ac:dyDescent="0.25">
      <c r="B483" s="66"/>
      <c r="C483" s="65"/>
      <c r="D483" s="66"/>
      <c r="E483" s="65"/>
      <c r="F483" s="70"/>
      <c r="G483" s="68"/>
      <c r="H483" s="67"/>
      <c r="I483" s="67"/>
      <c r="J483" s="68"/>
      <c r="K483" s="71"/>
      <c r="L483" s="71"/>
      <c r="M483" s="73"/>
      <c r="N483" s="72"/>
      <c r="O483" s="66"/>
      <c r="P483" s="65"/>
      <c r="Q483" s="66"/>
    </row>
    <row r="484" spans="2:17" x14ac:dyDescent="0.25">
      <c r="B484" s="66"/>
      <c r="C484" s="65"/>
      <c r="D484" s="66"/>
      <c r="E484" s="65"/>
      <c r="F484" s="70"/>
      <c r="G484" s="68"/>
      <c r="H484" s="67"/>
      <c r="I484" s="67"/>
      <c r="J484" s="68"/>
      <c r="K484" s="71"/>
      <c r="L484" s="71"/>
      <c r="M484" s="73"/>
      <c r="N484" s="72"/>
      <c r="O484" s="66"/>
      <c r="P484" s="65"/>
      <c r="Q484" s="66"/>
    </row>
    <row r="485" spans="2:17" x14ac:dyDescent="0.25">
      <c r="B485" s="66"/>
      <c r="C485" s="65"/>
      <c r="D485" s="66"/>
      <c r="E485" s="65"/>
      <c r="F485" s="70"/>
      <c r="G485" s="68"/>
      <c r="H485" s="67"/>
      <c r="I485" s="67"/>
      <c r="J485" s="68"/>
      <c r="K485" s="71"/>
      <c r="L485" s="71"/>
      <c r="M485" s="73"/>
      <c r="N485" s="72"/>
      <c r="O485" s="66"/>
      <c r="P485" s="65"/>
      <c r="Q485" s="66"/>
    </row>
    <row r="486" spans="2:17" x14ac:dyDescent="0.25">
      <c r="B486" s="66"/>
      <c r="C486" s="65"/>
      <c r="D486" s="66"/>
      <c r="E486" s="65"/>
      <c r="F486" s="70"/>
      <c r="G486" s="68"/>
      <c r="H486" s="67"/>
      <c r="I486" s="67"/>
      <c r="J486" s="68"/>
      <c r="K486" s="71"/>
      <c r="L486" s="71"/>
      <c r="M486" s="73"/>
      <c r="N486" s="72"/>
      <c r="O486" s="66"/>
      <c r="P486" s="65"/>
      <c r="Q486" s="66"/>
    </row>
    <row r="487" spans="2:17" x14ac:dyDescent="0.25">
      <c r="B487" s="66"/>
      <c r="C487" s="65"/>
      <c r="D487" s="66"/>
      <c r="E487" s="65"/>
      <c r="F487" s="70"/>
      <c r="G487" s="68"/>
      <c r="H487" s="67"/>
      <c r="I487" s="67"/>
      <c r="J487" s="68"/>
      <c r="K487" s="71"/>
      <c r="L487" s="71"/>
      <c r="M487" s="73"/>
      <c r="N487" s="72"/>
      <c r="O487" s="66"/>
      <c r="P487" s="65"/>
      <c r="Q487" s="66"/>
    </row>
    <row r="488" spans="2:17" x14ac:dyDescent="0.25">
      <c r="B488" s="66"/>
      <c r="C488" s="65"/>
      <c r="D488" s="66"/>
      <c r="E488" s="65"/>
      <c r="F488" s="70"/>
      <c r="G488" s="68"/>
      <c r="H488" s="67"/>
      <c r="I488" s="67"/>
      <c r="J488" s="68"/>
      <c r="K488" s="71"/>
      <c r="L488" s="71"/>
      <c r="M488" s="73"/>
      <c r="N488" s="72"/>
      <c r="O488" s="66"/>
      <c r="P488" s="65"/>
      <c r="Q488" s="66"/>
    </row>
    <row r="489" spans="2:17" x14ac:dyDescent="0.25">
      <c r="B489" s="66"/>
      <c r="C489" s="65"/>
      <c r="D489" s="66"/>
      <c r="E489" s="65"/>
      <c r="F489" s="70"/>
      <c r="G489" s="68"/>
      <c r="H489" s="67"/>
      <c r="I489" s="67"/>
      <c r="J489" s="68"/>
      <c r="K489" s="71"/>
      <c r="L489" s="71"/>
      <c r="M489" s="73"/>
      <c r="N489" s="72"/>
      <c r="O489" s="66"/>
      <c r="P489" s="65"/>
      <c r="Q489" s="66"/>
    </row>
    <row r="490" spans="2:17" x14ac:dyDescent="0.25">
      <c r="B490" s="66"/>
      <c r="C490" s="65"/>
      <c r="D490" s="66"/>
      <c r="E490" s="65"/>
      <c r="F490" s="70"/>
      <c r="G490" s="68"/>
      <c r="H490" s="67"/>
      <c r="I490" s="67"/>
      <c r="J490" s="68"/>
      <c r="K490" s="71"/>
      <c r="L490" s="71"/>
      <c r="M490" s="73"/>
      <c r="N490" s="72"/>
      <c r="O490" s="66"/>
      <c r="P490" s="65"/>
      <c r="Q490" s="66"/>
    </row>
    <row r="491" spans="2:17" x14ac:dyDescent="0.25">
      <c r="B491" s="66"/>
      <c r="C491" s="65"/>
      <c r="D491" s="66"/>
      <c r="E491" s="65"/>
      <c r="F491" s="70"/>
      <c r="G491" s="68"/>
      <c r="H491" s="67"/>
      <c r="I491" s="67"/>
      <c r="J491" s="68"/>
      <c r="K491" s="71"/>
      <c r="L491" s="71"/>
      <c r="M491" s="73"/>
      <c r="N491" s="72"/>
      <c r="O491" s="66"/>
      <c r="P491" s="65"/>
      <c r="Q491" s="66"/>
    </row>
    <row r="492" spans="2:17" x14ac:dyDescent="0.25">
      <c r="B492" s="66"/>
      <c r="C492" s="65"/>
      <c r="D492" s="66"/>
      <c r="E492" s="65"/>
      <c r="F492" s="70"/>
      <c r="G492" s="68"/>
      <c r="H492" s="67"/>
      <c r="I492" s="67"/>
      <c r="J492" s="68"/>
      <c r="K492" s="71"/>
      <c r="L492" s="71"/>
      <c r="M492" s="73"/>
      <c r="N492" s="72"/>
      <c r="O492" s="66"/>
      <c r="P492" s="65"/>
      <c r="Q492" s="66"/>
    </row>
    <row r="493" spans="2:17" x14ac:dyDescent="0.25">
      <c r="B493" s="66"/>
      <c r="C493" s="65"/>
      <c r="D493" s="66"/>
      <c r="E493" s="65"/>
      <c r="F493" s="70"/>
      <c r="G493" s="68"/>
      <c r="H493" s="67"/>
      <c r="I493" s="67"/>
      <c r="J493" s="68"/>
      <c r="K493" s="71"/>
      <c r="L493" s="71"/>
      <c r="M493" s="73"/>
      <c r="N493" s="72"/>
      <c r="O493" s="66"/>
      <c r="P493" s="65"/>
      <c r="Q493" s="66"/>
    </row>
    <row r="494" spans="2:17" x14ac:dyDescent="0.25">
      <c r="B494" s="66"/>
      <c r="C494" s="65"/>
      <c r="D494" s="66"/>
      <c r="E494" s="65"/>
      <c r="F494" s="70"/>
      <c r="G494" s="68"/>
      <c r="H494" s="67"/>
      <c r="I494" s="67"/>
      <c r="J494" s="68"/>
      <c r="K494" s="71"/>
      <c r="L494" s="71"/>
      <c r="M494" s="73"/>
      <c r="N494" s="72"/>
      <c r="O494" s="66"/>
      <c r="P494" s="65"/>
      <c r="Q494" s="66"/>
    </row>
    <row r="495" spans="2:17" x14ac:dyDescent="0.25">
      <c r="B495" s="66"/>
      <c r="C495" s="65"/>
      <c r="D495" s="66"/>
      <c r="E495" s="65"/>
      <c r="F495" s="70"/>
      <c r="G495" s="68"/>
      <c r="H495" s="67"/>
      <c r="I495" s="67"/>
      <c r="J495" s="68"/>
      <c r="K495" s="71"/>
      <c r="L495" s="71"/>
      <c r="M495" s="73"/>
      <c r="N495" s="72"/>
      <c r="O495" s="66"/>
      <c r="P495" s="65"/>
      <c r="Q495" s="66"/>
    </row>
    <row r="496" spans="2:17" x14ac:dyDescent="0.25">
      <c r="B496" s="66"/>
      <c r="C496" s="65"/>
      <c r="D496" s="66"/>
      <c r="E496" s="65"/>
      <c r="F496" s="70"/>
      <c r="G496" s="68"/>
      <c r="H496" s="67"/>
      <c r="I496" s="67"/>
      <c r="J496" s="68"/>
      <c r="K496" s="71"/>
      <c r="L496" s="71"/>
      <c r="M496" s="73"/>
      <c r="N496" s="72"/>
      <c r="O496" s="66"/>
      <c r="P496" s="65"/>
      <c r="Q496" s="66"/>
    </row>
    <row r="497" spans="2:17" x14ac:dyDescent="0.25">
      <c r="B497" s="66"/>
      <c r="C497" s="65"/>
      <c r="D497" s="66"/>
      <c r="E497" s="65"/>
      <c r="F497" s="70"/>
      <c r="G497" s="68"/>
      <c r="H497" s="67"/>
      <c r="I497" s="67"/>
      <c r="J497" s="68"/>
      <c r="K497" s="71"/>
      <c r="L497" s="71"/>
      <c r="M497" s="73"/>
      <c r="N497" s="72"/>
      <c r="O497" s="66"/>
      <c r="P497" s="65"/>
      <c r="Q497" s="66"/>
    </row>
    <row r="498" spans="2:17" x14ac:dyDescent="0.25">
      <c r="B498" s="66"/>
      <c r="C498" s="65"/>
      <c r="D498" s="66"/>
      <c r="E498" s="65"/>
      <c r="F498" s="70"/>
      <c r="G498" s="68"/>
      <c r="H498" s="67"/>
      <c r="I498" s="67"/>
      <c r="J498" s="68"/>
      <c r="K498" s="71"/>
      <c r="L498" s="71"/>
      <c r="M498" s="73"/>
      <c r="N498" s="72"/>
      <c r="O498" s="66"/>
      <c r="P498" s="65"/>
      <c r="Q498" s="66"/>
    </row>
    <row r="499" spans="2:17" x14ac:dyDescent="0.25">
      <c r="B499" s="66"/>
      <c r="C499" s="65"/>
      <c r="D499" s="66"/>
      <c r="E499" s="65"/>
      <c r="F499" s="70"/>
      <c r="G499" s="68"/>
      <c r="H499" s="67"/>
      <c r="I499" s="67"/>
      <c r="J499" s="68"/>
      <c r="K499" s="71"/>
      <c r="L499" s="71"/>
      <c r="M499" s="73"/>
      <c r="N499" s="72"/>
      <c r="O499" s="66"/>
      <c r="P499" s="65"/>
      <c r="Q499" s="66"/>
    </row>
    <row r="500" spans="2:17" x14ac:dyDescent="0.25">
      <c r="B500" s="66"/>
      <c r="C500" s="65"/>
      <c r="D500" s="66"/>
      <c r="E500" s="65"/>
      <c r="F500" s="70"/>
      <c r="G500" s="68"/>
      <c r="H500" s="67"/>
      <c r="I500" s="67"/>
      <c r="J500" s="68"/>
      <c r="K500" s="71"/>
      <c r="L500" s="71"/>
      <c r="M500" s="73"/>
      <c r="N500" s="72"/>
      <c r="O500" s="66"/>
      <c r="P500" s="65"/>
      <c r="Q500" s="66"/>
    </row>
    <row r="501" spans="2:17" x14ac:dyDescent="0.25">
      <c r="B501" s="66"/>
      <c r="C501" s="65"/>
      <c r="D501" s="66"/>
      <c r="E501" s="65"/>
      <c r="F501" s="70"/>
      <c r="G501" s="68"/>
      <c r="H501" s="67"/>
      <c r="I501" s="67"/>
      <c r="J501" s="68"/>
      <c r="K501" s="71"/>
      <c r="L501" s="71"/>
      <c r="M501" s="73"/>
      <c r="N501" s="72"/>
      <c r="O501" s="66"/>
      <c r="P501" s="65"/>
      <c r="Q501" s="66"/>
    </row>
    <row r="502" spans="2:17" x14ac:dyDescent="0.25">
      <c r="B502" s="66"/>
      <c r="C502" s="65"/>
      <c r="D502" s="66"/>
      <c r="E502" s="65"/>
      <c r="F502" s="70"/>
      <c r="G502" s="68"/>
      <c r="H502" s="67"/>
      <c r="I502" s="67"/>
      <c r="J502" s="68"/>
      <c r="K502" s="71"/>
      <c r="L502" s="71"/>
      <c r="M502" s="73"/>
      <c r="N502" s="72"/>
      <c r="O502" s="66"/>
      <c r="P502" s="65"/>
      <c r="Q502" s="66"/>
    </row>
    <row r="503" spans="2:17" x14ac:dyDescent="0.25">
      <c r="B503" s="66"/>
      <c r="C503" s="65"/>
      <c r="D503" s="66"/>
      <c r="E503" s="65"/>
      <c r="F503" s="70"/>
      <c r="G503" s="68"/>
      <c r="H503" s="67"/>
      <c r="I503" s="67"/>
      <c r="J503" s="68"/>
      <c r="K503" s="71"/>
      <c r="L503" s="71"/>
      <c r="M503" s="73"/>
      <c r="N503" s="72"/>
      <c r="O503" s="66"/>
      <c r="P503" s="65"/>
      <c r="Q503" s="66"/>
    </row>
    <row r="504" spans="2:17" x14ac:dyDescent="0.25">
      <c r="B504" s="66"/>
      <c r="C504" s="65"/>
      <c r="D504" s="66"/>
      <c r="E504" s="65"/>
      <c r="F504" s="70"/>
      <c r="G504" s="68"/>
      <c r="H504" s="67"/>
      <c r="I504" s="67"/>
      <c r="J504" s="68"/>
      <c r="K504" s="71"/>
      <c r="L504" s="71"/>
      <c r="M504" s="73"/>
      <c r="N504" s="72"/>
      <c r="O504" s="66"/>
      <c r="P504" s="65"/>
      <c r="Q504" s="66"/>
    </row>
    <row r="505" spans="2:17" x14ac:dyDescent="0.25">
      <c r="B505" s="66"/>
      <c r="C505" s="65"/>
      <c r="D505" s="66"/>
      <c r="E505" s="65"/>
      <c r="F505" s="70"/>
      <c r="G505" s="68"/>
      <c r="H505" s="67"/>
      <c r="I505" s="67"/>
      <c r="J505" s="68"/>
      <c r="K505" s="71"/>
      <c r="L505" s="71"/>
      <c r="M505" s="73"/>
      <c r="N505" s="72"/>
      <c r="O505" s="66"/>
      <c r="P505" s="65"/>
      <c r="Q505" s="66"/>
    </row>
    <row r="506" spans="2:17" x14ac:dyDescent="0.25">
      <c r="B506" s="66"/>
      <c r="C506" s="65"/>
      <c r="D506" s="66"/>
      <c r="E506" s="65"/>
      <c r="F506" s="70"/>
      <c r="G506" s="68"/>
      <c r="H506" s="67"/>
      <c r="I506" s="67"/>
      <c r="J506" s="68"/>
      <c r="K506" s="71"/>
      <c r="L506" s="71"/>
      <c r="M506" s="73"/>
      <c r="N506" s="72"/>
      <c r="O506" s="66"/>
      <c r="P506" s="65"/>
      <c r="Q506" s="66"/>
    </row>
    <row r="507" spans="2:17" x14ac:dyDescent="0.25">
      <c r="B507" s="66"/>
      <c r="C507" s="65"/>
      <c r="D507" s="66"/>
      <c r="E507" s="65"/>
      <c r="F507" s="70"/>
      <c r="G507" s="68"/>
      <c r="H507" s="67"/>
      <c r="I507" s="67"/>
      <c r="J507" s="68"/>
      <c r="K507" s="71"/>
      <c r="L507" s="71"/>
      <c r="M507" s="73"/>
      <c r="N507" s="72"/>
      <c r="O507" s="66"/>
      <c r="P507" s="65"/>
      <c r="Q507" s="66"/>
    </row>
  </sheetData>
  <sheetProtection password="930D" sheet="1" objects="1" scenarios="1" formatColumns="0" autoFilter="0"/>
  <mergeCells count="3">
    <mergeCell ref="C6:D6"/>
    <mergeCell ref="E6:G6"/>
    <mergeCell ref="I6:M6"/>
  </mergeCells>
  <conditionalFormatting sqref="B8:B507">
    <cfRule type="expression" dxfId="25" priority="13">
      <formula>AND($B8&lt;&gt;"",$B8&lt;&gt;$B7)</formula>
    </cfRule>
  </conditionalFormatting>
  <conditionalFormatting sqref="B8:Q507">
    <cfRule type="expression" dxfId="24" priority="12">
      <formula>AND($B8&lt;&gt;"",$B8&lt;&gt;$B7)</formula>
    </cfRule>
    <cfRule type="expression" dxfId="23" priority="14">
      <formula>AND($B8&lt;&gt;"",MOD(ROW(),2)=0)</formula>
    </cfRule>
  </conditionalFormatting>
  <conditionalFormatting sqref="F8:F507">
    <cfRule type="expression" dxfId="22" priority="1">
      <formula>$F8="INCONSISTENTE"</formula>
    </cfRule>
    <cfRule type="expression" dxfId="21" priority="2">
      <formula>$F8="AGOTADO"</formula>
    </cfRule>
    <cfRule type="expression" dxfId="20" priority="3">
      <formula>$F8="CRÍTICO"</formula>
    </cfRule>
    <cfRule type="expression" dxfId="19" priority="4">
      <formula>$F8="BAJO"</formula>
    </cfRule>
    <cfRule type="expression" dxfId="18" priority="5">
      <formula>$F8="ÓPTIMO"</formula>
    </cfRule>
    <cfRule type="expression" dxfId="17" priority="6">
      <formula>$F8="SOBRESTOCK"</formula>
    </cfRule>
    <cfRule type="expression" dxfId="16" priority="7">
      <formula>$F8="INACTIVO"</formula>
    </cfRule>
  </conditionalFormatting>
  <conditionalFormatting sqref="G8:G507">
    <cfRule type="expression" dxfId="15" priority="8">
      <formula>AND(ISNUMBER(G8),G8&lt;&gt;INT(G8))</formula>
    </cfRule>
  </conditionalFormatting>
  <conditionalFormatting sqref="H8:H507">
    <cfRule type="expression" dxfId="14" priority="9">
      <formula>AND(ISNUMBER(H8),H8&lt;&gt;INT(H8))</formula>
    </cfRule>
  </conditionalFormatting>
  <conditionalFormatting sqref="I8:I507">
    <cfRule type="expression" dxfId="13" priority="10">
      <formula>AND(ISNUMBER(I8),I8&lt;&gt;INT(I8))</formula>
    </cfRule>
  </conditionalFormatting>
  <conditionalFormatting sqref="J8:J507">
    <cfRule type="expression" dxfId="12" priority="11">
      <formula>AND(ISNUMBER(J8),J8&lt;&gt;INT(J8))</formula>
    </cfRule>
  </conditionalFormatting>
  <hyperlinks>
    <hyperlink ref="B5" location="'00_PORTADA_BODEGA'!A1" tooltip="Portada de Bodega" display="⌂ Bodega" xr:uid="{00000000-0004-0000-1000-000000000000}"/>
    <hyperlink ref="C5" location="'00_PORTADA_VENTAS'!A1" tooltip="Portada de Ventas" display="⌂ Ventas" xr:uid="{00000000-0004-0000-1000-000001000000}"/>
    <hyperlink ref="D5" location="'00_PORTADA_GERENCIA'!A1" tooltip="Portada de Gerencia: indicadores, pedido y actividad" display="◈ Gerencia" xr:uid="{00000000-0004-0000-1000-000002000000}"/>
    <hyperlink ref="E5" location="'10A_ENTRADAS'!C9" tooltip="Registrar entradas y ajustes (Bodega)" display="⇩ Entradas" xr:uid="{00000000-0004-0000-1000-000003000000}"/>
    <hyperlink ref="F5" location="'10B_SALIDAS'!E9" tooltip="Registrar salidas (Ventas)" display="⇧ Salidas" xr:uid="{00000000-0004-0000-1000-000004000000}"/>
    <hyperlink ref="G5" location="'17_CONSULTA'!C9" tooltip="Consultar un producto en su fila" display="⌕ Consulta" xr:uid="{00000000-0004-0000-1000-000005000000}"/>
    <hyperlink ref="H5" location="'15_STOCK'!A1" tooltip="Stock (instantánea recalculada a demanda)" display="▦ Stock" xr:uid="{00000000-0004-0000-1000-000006000000}"/>
    <hyperlink ref="I5" location="'18_PEDIDO'!A1" tooltip="Pedido sugerido por proveedor" display="✚ Pedido" xr:uid="{00000000-0004-0000-1000-000007000000}"/>
    <hyperlink ref="J5" location="'13_CONTEO'!I9" tooltip="Toma física (conteo) colaborativa" display="✓ Conteo" xr:uid="{00000000-0004-0000-1000-000008000000}"/>
    <hyperlink ref="K5" location="'99_AYUDA'!A1" tooltip="Guía de uso, acceso e instalación" display="? Guía" xr:uid="{00000000-0004-0000-1000-000009000000}"/>
  </hyperlinks>
  <pageMargins left="0.7" right="0.7" top="0.75" bottom="0.75" header="0.3" footer="0.3"/>
  <pageSetup fitToHeight="0" orientation="landscape"/>
  <headerFooter>
    <oddHeader>&amp;L&amp;"Segoe UI,Bold"&amp;9Pedido sugerido · M-INV&amp;R&amp;"Segoe UI,Regular"&amp;8&amp;D</oddHeader>
  </headerFooter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4A3B8"/>
  </sheetPr>
  <dimension ref="B1:M23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21.42578125" customWidth="1"/>
    <col min="3" max="3" width="3.42578125" customWidth="1"/>
    <col min="4" max="4" width="17.140625" customWidth="1"/>
    <col min="5" max="5" width="3.42578125" customWidth="1"/>
    <col min="6" max="6" width="18.5703125" customWidth="1"/>
    <col min="7" max="7" width="12.85546875" customWidth="1"/>
    <col min="9" max="9" width="15.7109375" customWidth="1"/>
    <col min="10" max="10" width="14.28515625" customWidth="1"/>
    <col min="12" max="12" width="27.140625" customWidth="1"/>
    <col min="13" max="13" width="17.140625" customWidth="1"/>
  </cols>
  <sheetData>
    <row r="1" spans="2:13" s="1" customFormat="1" ht="6" customHeight="1" x14ac:dyDescent="0.25"/>
    <row r="2" spans="2:13" s="1" customFormat="1" ht="24" customHeight="1" x14ac:dyDescent="0.25">
      <c r="B2" s="2" t="s">
        <v>2375</v>
      </c>
    </row>
    <row r="3" spans="2:13" s="1" customFormat="1" ht="14.25" x14ac:dyDescent="0.25">
      <c r="B3" s="3" t="s">
        <v>2376</v>
      </c>
    </row>
    <row r="4" spans="2:13" s="1" customFormat="1" ht="7.5" customHeight="1" x14ac:dyDescent="0.25"/>
    <row r="5" spans="2:13" s="7" customFormat="1" ht="18" customHeight="1" x14ac:dyDescent="0.25"/>
    <row r="6" spans="2:13" s="7" customFormat="1" ht="12" customHeight="1" x14ac:dyDescent="0.25"/>
    <row r="7" spans="2:13" x14ac:dyDescent="0.25">
      <c r="B7" s="17" t="s">
        <v>2377</v>
      </c>
      <c r="D7" s="17" t="s">
        <v>2378</v>
      </c>
      <c r="F7" s="17" t="s">
        <v>59</v>
      </c>
      <c r="G7" s="17" t="s">
        <v>124</v>
      </c>
      <c r="I7" s="17" t="s">
        <v>2381</v>
      </c>
      <c r="J7" s="17" t="s">
        <v>2380</v>
      </c>
      <c r="L7" s="17" t="s">
        <v>162</v>
      </c>
      <c r="M7" s="17" t="s">
        <v>4</v>
      </c>
    </row>
    <row r="8" spans="2:13" x14ac:dyDescent="0.25">
      <c r="B8" s="44" t="s">
        <v>49</v>
      </c>
      <c r="D8" s="44" t="s">
        <v>103</v>
      </c>
      <c r="F8" s="44" t="s">
        <v>63</v>
      </c>
      <c r="G8" s="77">
        <f>COUNTIF(tblStock[Estado],F8)</f>
        <v>0</v>
      </c>
      <c r="I8" s="78">
        <f ca="1">EDATE(DATE(YEAR(TODAY()),MONTH(TODAY()),1),-5)</f>
        <v>46113</v>
      </c>
      <c r="J8" s="77">
        <f ca="1">-SUMIFS(tblSalidas[CantidadNeta],tblSalidas[Fecha],"&gt;="&amp;I8,tblSalidas[Fecha],"&lt;"&amp;EDATE(I8,1),tblSalidas[Estado],"✔*")</f>
        <v>1592.5</v>
      </c>
      <c r="L8" s="77" t="str">
        <f>IFERROR(INDEX(tblCategorias[Categoría],1)&amp;"","")</f>
        <v>FERRETERÍA</v>
      </c>
      <c r="M8" s="79">
        <f>IF(L8="",0,SUMIF(tblStock[Categoría],L8,tblStock[ValorInventario]))</f>
        <v>2014200</v>
      </c>
    </row>
    <row r="9" spans="2:13" x14ac:dyDescent="0.25">
      <c r="B9" s="44" t="s">
        <v>46</v>
      </c>
      <c r="D9" s="44" t="s">
        <v>47</v>
      </c>
      <c r="F9" s="44" t="s">
        <v>66</v>
      </c>
      <c r="G9" s="77">
        <f>COUNTIF(tblStock[Estado],F9)</f>
        <v>3</v>
      </c>
      <c r="I9" s="78">
        <f ca="1">EDATE(DATE(YEAR(TODAY()),MONTH(TODAY()),1),-4)</f>
        <v>46143</v>
      </c>
      <c r="J9" s="77">
        <f ca="1">-SUMIFS(tblSalidas[CantidadNeta],tblSalidas[Fecha],"&gt;="&amp;I9,tblSalidas[Fecha],"&lt;"&amp;EDATE(I9,1),tblSalidas[Estado],"✔*")</f>
        <v>1962</v>
      </c>
      <c r="L9" s="77" t="str">
        <f>IFERROR(INDEX(tblCategorias[Categoría],2)&amp;"","")</f>
        <v>ELÉCTRICOS</v>
      </c>
      <c r="M9" s="79">
        <f>IF(L9="",0,SUMIF(tblStock[Categoría],L9,tblStock[ValorInventario]))</f>
        <v>3363150</v>
      </c>
    </row>
    <row r="10" spans="2:13" x14ac:dyDescent="0.25">
      <c r="B10" s="44" t="s">
        <v>51</v>
      </c>
      <c r="D10" s="44" t="s">
        <v>56</v>
      </c>
      <c r="F10" s="44" t="s">
        <v>69</v>
      </c>
      <c r="G10" s="77">
        <f>COUNTIF(tblStock[Estado],F10)</f>
        <v>3</v>
      </c>
      <c r="I10" s="78">
        <f ca="1">EDATE(DATE(YEAR(TODAY()),MONTH(TODAY()),1),-3)</f>
        <v>46174</v>
      </c>
      <c r="J10" s="77">
        <f ca="1">-SUMIFS(tblSalidas[CantidadNeta],tblSalidas[Fecha],"&gt;="&amp;I10,tblSalidas[Fecha],"&lt;"&amp;EDATE(I10,1),tblSalidas[Estado],"✔*")</f>
        <v>1772</v>
      </c>
      <c r="L10" s="77" t="str">
        <f>IFERROR(INDEX(tblCategorias[Categoría],3)&amp;"","")</f>
        <v>PLOMERÍA</v>
      </c>
      <c r="M10" s="79">
        <f>IF(L10="",0,SUMIF(tblStock[Categoría],L10,tblStock[ValorInventario]))</f>
        <v>2104500</v>
      </c>
    </row>
    <row r="11" spans="2:13" x14ac:dyDescent="0.25">
      <c r="B11" s="44" t="s">
        <v>53</v>
      </c>
      <c r="D11" s="44" t="s">
        <v>115</v>
      </c>
      <c r="F11" s="44" t="s">
        <v>72</v>
      </c>
      <c r="G11" s="77">
        <f>COUNTIF(tblStock[Estado],F11)</f>
        <v>4</v>
      </c>
      <c r="I11" s="78">
        <f ca="1">EDATE(DATE(YEAR(TODAY()),MONTH(TODAY()),1),-2)</f>
        <v>46204</v>
      </c>
      <c r="J11" s="77">
        <f ca="1">-SUMIFS(tblSalidas[CantidadNeta],tblSalidas[Fecha],"&gt;="&amp;I11,tblSalidas[Fecha],"&lt;"&amp;EDATE(I11,1),tblSalidas[Estado],"✔*")</f>
        <v>1651.5</v>
      </c>
      <c r="L11" s="77" t="str">
        <f>IFERROR(INDEX(tblCategorias[Categoría],4)&amp;"","")</f>
        <v>PINTURAS</v>
      </c>
      <c r="M11" s="79">
        <f>IF(L11="",0,SUMIF(tblStock[Categoría],L11,tblStock[ValorInventario]))</f>
        <v>4547300</v>
      </c>
    </row>
    <row r="12" spans="2:13" x14ac:dyDescent="0.25">
      <c r="F12" s="44" t="s">
        <v>75</v>
      </c>
      <c r="G12" s="77">
        <f>COUNTIF(tblStock[Estado],F12)</f>
        <v>22</v>
      </c>
      <c r="I12" s="78">
        <f ca="1">EDATE(DATE(YEAR(TODAY()),MONTH(TODAY()),1),-1)</f>
        <v>46235</v>
      </c>
      <c r="J12" s="77">
        <f ca="1">-SUMIFS(tblSalidas[CantidadNeta],tblSalidas[Fecha],"&gt;="&amp;I12,tblSalidas[Fecha],"&lt;"&amp;EDATE(I12,1),tblSalidas[Estado],"✔*")</f>
        <v>1764.5</v>
      </c>
      <c r="L12" s="77" t="str">
        <f>IFERROR(INDEX(tblCategorias[Categoría],5)&amp;"","")</f>
        <v>SEGURIDAD INDUSTRIAL</v>
      </c>
      <c r="M12" s="79">
        <f>IF(L12="",0,SUMIF(tblStock[Categoría],L12,tblStock[ValorInventario]))</f>
        <v>1313500</v>
      </c>
    </row>
    <row r="13" spans="2:13" x14ac:dyDescent="0.25">
      <c r="F13" s="44" t="s">
        <v>78</v>
      </c>
      <c r="G13" s="77">
        <f>COUNTIF(tblStock[Estado],F13)</f>
        <v>1</v>
      </c>
      <c r="I13" s="78">
        <f ca="1">EDATE(DATE(YEAR(TODAY()),MONTH(TODAY()),1),0)</f>
        <v>46266</v>
      </c>
      <c r="J13" s="77">
        <f ca="1">-SUMIFS(tblSalidas[CantidadNeta],tblSalidas[Fecha],"&gt;="&amp;I13,tblSalidas[Fecha],"&lt;"&amp;EDATE(I13,1),tblSalidas[Estado],"✔*")</f>
        <v>1582</v>
      </c>
      <c r="L13" s="77" t="str">
        <f>IFERROR(INDEX(tblCategorias[Categoría],6)&amp;"","")</f>
        <v>ASEO Y LIMPIEZA</v>
      </c>
      <c r="M13" s="79">
        <f>IF(L13="",0,SUMIF(tblStock[Categoría],L13,tblStock[ValorInventario]))</f>
        <v>1651600</v>
      </c>
    </row>
    <row r="16" spans="2:13" x14ac:dyDescent="0.25">
      <c r="F16" s="17" t="s">
        <v>2379</v>
      </c>
      <c r="G16" s="17" t="s">
        <v>2380</v>
      </c>
    </row>
    <row r="17" spans="6:7" x14ac:dyDescent="0.25">
      <c r="F17" s="80">
        <f ca="1">TODAY()-6</f>
        <v>46284</v>
      </c>
      <c r="G17" s="77">
        <f ca="1">-SUMIFS(tblSalidas[CantidadNeta],tblSalidas[Fecha],F17,tblSalidas[Estado],"✔*")</f>
        <v>45</v>
      </c>
    </row>
    <row r="18" spans="6:7" x14ac:dyDescent="0.25">
      <c r="F18" s="80">
        <f ca="1">TODAY()-5</f>
        <v>46285</v>
      </c>
      <c r="G18" s="77">
        <f ca="1">-SUMIFS(tblSalidas[CantidadNeta],tblSalidas[Fecha],F18,tblSalidas[Estado],"✔*")</f>
        <v>0</v>
      </c>
    </row>
    <row r="19" spans="6:7" x14ac:dyDescent="0.25">
      <c r="F19" s="80">
        <f ca="1">TODAY()-4</f>
        <v>46286</v>
      </c>
      <c r="G19" s="77">
        <f ca="1">-SUMIFS(tblSalidas[CantidadNeta],tblSalidas[Fecha],F19,tblSalidas[Estado],"✔*")</f>
        <v>27.5</v>
      </c>
    </row>
    <row r="20" spans="6:7" x14ac:dyDescent="0.25">
      <c r="F20" s="80">
        <f ca="1">TODAY()-3</f>
        <v>46287</v>
      </c>
      <c r="G20" s="77">
        <f ca="1">-SUMIFS(tblSalidas[CantidadNeta],tblSalidas[Fecha],F20,tblSalidas[Estado],"✔*")</f>
        <v>99.5</v>
      </c>
    </row>
    <row r="21" spans="6:7" x14ac:dyDescent="0.25">
      <c r="F21" s="80">
        <f ca="1">TODAY()-2</f>
        <v>46288</v>
      </c>
      <c r="G21" s="77">
        <f ca="1">-SUMIFS(tblSalidas[CantidadNeta],tblSalidas[Fecha],F21,tblSalidas[Estado],"✔*")</f>
        <v>61</v>
      </c>
    </row>
    <row r="22" spans="6:7" x14ac:dyDescent="0.25">
      <c r="F22" s="80">
        <f ca="1">TODAY()-1</f>
        <v>46289</v>
      </c>
      <c r="G22" s="77">
        <f ca="1">-SUMIFS(tblSalidas[CantidadNeta],tblSalidas[Fecha],F22,tblSalidas[Estado],"✔*")</f>
        <v>140.5</v>
      </c>
    </row>
    <row r="23" spans="6:7" x14ac:dyDescent="0.25">
      <c r="F23" s="80">
        <f ca="1">TODAY()-0</f>
        <v>46290</v>
      </c>
      <c r="G23" s="77">
        <f ca="1">-SUMIFS(tblSalidas[CantidadNeta],tblSalidas[Fecha],F23,tblSalidas[Estado],"✔*")</f>
        <v>262</v>
      </c>
    </row>
  </sheetData>
  <sheetProtection password="930D" sheet="1" objects="1" scenario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4A3B8"/>
  </sheetPr>
  <dimension ref="B1:D62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45.7109375" customWidth="1"/>
    <col min="3" max="3" width="21.42578125" customWidth="1"/>
    <col min="4" max="4" width="15.7109375" customWidth="1"/>
    <col min="5" max="5" width="3.42578125" customWidth="1"/>
  </cols>
  <sheetData>
    <row r="1" spans="2:4" s="1" customFormat="1" ht="6" customHeight="1" x14ac:dyDescent="0.25"/>
    <row r="2" spans="2:4" s="1" customFormat="1" ht="24" customHeight="1" x14ac:dyDescent="0.25">
      <c r="B2" s="2" t="s">
        <v>2382</v>
      </c>
    </row>
    <row r="3" spans="2:4" s="1" customFormat="1" ht="14.25" x14ac:dyDescent="0.25">
      <c r="B3" s="3" t="s">
        <v>2383</v>
      </c>
    </row>
    <row r="4" spans="2:4" s="1" customFormat="1" ht="7.5" customHeight="1" x14ac:dyDescent="0.25"/>
    <row r="5" spans="2:4" s="7" customFormat="1" ht="18" customHeight="1" x14ac:dyDescent="0.25"/>
    <row r="6" spans="2:4" s="7" customFormat="1" ht="12" customHeight="1" x14ac:dyDescent="0.25"/>
    <row r="7" spans="2:4" x14ac:dyDescent="0.25">
      <c r="B7" s="17" t="s">
        <v>2384</v>
      </c>
      <c r="C7" s="17" t="s">
        <v>4</v>
      </c>
      <c r="D7" s="17" t="s">
        <v>2385</v>
      </c>
    </row>
    <row r="8" spans="2:4" x14ac:dyDescent="0.25">
      <c r="B8" s="44" t="s">
        <v>2386</v>
      </c>
      <c r="C8" s="81">
        <f>COUNTIF(tblProductos[SKU],"?*")</f>
        <v>34</v>
      </c>
      <c r="D8" s="44" t="s">
        <v>2387</v>
      </c>
    </row>
    <row r="9" spans="2:4" x14ac:dyDescent="0.25">
      <c r="B9" s="44" t="s">
        <v>2388</v>
      </c>
      <c r="C9" s="81">
        <f>COUNTIFS(tblProductos[SKU],"?*",tblProductos[Activo],"&lt;&gt;NO")</f>
        <v>33</v>
      </c>
      <c r="D9" s="44" t="s">
        <v>2387</v>
      </c>
    </row>
    <row r="10" spans="2:4" x14ac:dyDescent="0.25">
      <c r="B10" s="44" t="s">
        <v>2389</v>
      </c>
      <c r="C10" s="81">
        <f>COUNTIF(tblProveedores[Proveedor],"?*")</f>
        <v>6</v>
      </c>
      <c r="D10" s="44" t="s">
        <v>2387</v>
      </c>
    </row>
    <row r="11" spans="2:4" x14ac:dyDescent="0.25">
      <c r="B11" s="44" t="s">
        <v>2390</v>
      </c>
      <c r="C11" s="81">
        <f>COUNTIFS(tblUsuarios[Correo],"?*",tblUsuarios[Activo],"&lt;&gt;NO")</f>
        <v>6</v>
      </c>
      <c r="D11" s="44" t="s">
        <v>2387</v>
      </c>
    </row>
    <row r="12" spans="2:4" x14ac:dyDescent="0.25">
      <c r="B12" s="44" t="s">
        <v>2391</v>
      </c>
      <c r="C12" s="81">
        <f>COUNTIFS(tblUsuarios[Correo],"?*",tblUsuarios[Activo],"&lt;&gt;NO",tblUsuarios[Rol],"ADMIN")</f>
        <v>1</v>
      </c>
      <c r="D12" s="44" t="s">
        <v>2387</v>
      </c>
    </row>
    <row r="13" spans="2:4" x14ac:dyDescent="0.25">
      <c r="B13" s="44" t="s">
        <v>2392</v>
      </c>
      <c r="C13" s="82">
        <f>IFERROR(LOOKUP(2,1/(tblProductos[SKU]&lt;&gt;""),ROW(tblProductos[SKU])-ROW(tblProductos[#Headers])),0)</f>
        <v>34</v>
      </c>
      <c r="D13" s="44" t="s">
        <v>2393</v>
      </c>
    </row>
    <row r="14" spans="2:4" x14ac:dyDescent="0.25">
      <c r="B14" s="44" t="s">
        <v>2394</v>
      </c>
      <c r="C14" s="82">
        <f>IFERROR(LOOKUP(2,1/(tblProveedores[Proveedor]&lt;&gt;""),ROW(tblProveedores[Proveedor])-ROW(tblProveedores[#Headers])),0)</f>
        <v>6</v>
      </c>
      <c r="D14" s="44" t="s">
        <v>2393</v>
      </c>
    </row>
    <row r="15" spans="2:4" x14ac:dyDescent="0.25">
      <c r="B15" s="44" t="s">
        <v>2395</v>
      </c>
      <c r="C15" s="81">
        <f>COUNTIF(tblStock[Estado],"INCONSISTENTE")</f>
        <v>0</v>
      </c>
      <c r="D15" s="44" t="s">
        <v>2387</v>
      </c>
    </row>
    <row r="16" spans="2:4" x14ac:dyDescent="0.25">
      <c r="B16" s="44" t="s">
        <v>2396</v>
      </c>
      <c r="C16" s="81">
        <f>COUNTIF(tblStock[Estado],"AGOTADO")</f>
        <v>3</v>
      </c>
      <c r="D16" s="44" t="s">
        <v>2387</v>
      </c>
    </row>
    <row r="17" spans="2:4" x14ac:dyDescent="0.25">
      <c r="B17" s="44" t="s">
        <v>2397</v>
      </c>
      <c r="C17" s="81">
        <f>COUNTIF(tblStock[Estado],"CRÍTICO")</f>
        <v>3</v>
      </c>
      <c r="D17" s="44" t="s">
        <v>2387</v>
      </c>
    </row>
    <row r="18" spans="2:4" x14ac:dyDescent="0.25">
      <c r="B18" s="44" t="s">
        <v>2398</v>
      </c>
      <c r="C18" s="81">
        <f>COUNTIF(tblStock[Estado],"BAJO")</f>
        <v>4</v>
      </c>
      <c r="D18" s="44" t="s">
        <v>2387</v>
      </c>
    </row>
    <row r="19" spans="2:4" x14ac:dyDescent="0.25">
      <c r="B19" s="44" t="s">
        <v>2399</v>
      </c>
      <c r="C19" s="81">
        <f>COUNTIF(tblStock[Estado],"ÓPTIMO")</f>
        <v>22</v>
      </c>
      <c r="D19" s="44" t="s">
        <v>2387</v>
      </c>
    </row>
    <row r="20" spans="2:4" x14ac:dyDescent="0.25">
      <c r="B20" s="44" t="s">
        <v>2400</v>
      </c>
      <c r="C20" s="81">
        <f>COUNTIF(tblStock[Estado],"SOBRESTOCK")</f>
        <v>1</v>
      </c>
      <c r="D20" s="44" t="s">
        <v>2387</v>
      </c>
    </row>
    <row r="21" spans="2:4" x14ac:dyDescent="0.25">
      <c r="B21" s="44" t="s">
        <v>2401</v>
      </c>
      <c r="C21" s="81">
        <f>COUNTIF(tblStock[Estado],"INACTIVO")</f>
        <v>1</v>
      </c>
      <c r="D21" s="44" t="s">
        <v>2387</v>
      </c>
    </row>
    <row r="22" spans="2:4" x14ac:dyDescent="0.25">
      <c r="B22" s="44" t="s">
        <v>2402</v>
      </c>
      <c r="C22" s="81">
        <f>kpiInconsistentes+kpiAgotados+kpiCriticos+kpiBajos</f>
        <v>10</v>
      </c>
      <c r="D22" s="44" t="s">
        <v>2387</v>
      </c>
    </row>
    <row r="23" spans="2:4" x14ac:dyDescent="0.25">
      <c r="B23" s="44" t="s">
        <v>2403</v>
      </c>
      <c r="C23" s="83">
        <f>SUM(tblStock[ValorInventario])</f>
        <v>14994250</v>
      </c>
      <c r="D23" s="44" t="s">
        <v>2404</v>
      </c>
    </row>
    <row r="24" spans="2:4" x14ac:dyDescent="0.25">
      <c r="B24" s="44" t="s">
        <v>2405</v>
      </c>
      <c r="C24" s="81">
        <f>COUNTIFS(tblStock[StockActual],"&gt;0",tblStock[Activo],"SI")</f>
        <v>30</v>
      </c>
      <c r="D24" s="44" t="s">
        <v>2387</v>
      </c>
    </row>
    <row r="25" spans="2:4" x14ac:dyDescent="0.25">
      <c r="B25" s="44" t="s">
        <v>2406</v>
      </c>
      <c r="C25" s="81">
        <f>COUNTIFS(tblStock[DiasSinMov],"&gt;"&amp;cfgDiasSinRotacion,tblStock[StockActual],"&gt;0",tblStock[Activo],"SI")</f>
        <v>3</v>
      </c>
      <c r="D25" s="44" t="s">
        <v>2387</v>
      </c>
    </row>
    <row r="26" spans="2:4" x14ac:dyDescent="0.25">
      <c r="B26" s="44" t="s">
        <v>2407</v>
      </c>
      <c r="C26" s="81">
        <f>COUNTIF(tblEntradas[Estado],"✔*")</f>
        <v>90</v>
      </c>
      <c r="D26" s="44" t="s">
        <v>2387</v>
      </c>
    </row>
    <row r="27" spans="2:4" x14ac:dyDescent="0.25">
      <c r="B27" s="44" t="s">
        <v>2408</v>
      </c>
      <c r="C27" s="81">
        <f>COUNTIF(tblSalidas[Estado],"✔*")</f>
        <v>383</v>
      </c>
      <c r="D27" s="44" t="s">
        <v>2387</v>
      </c>
    </row>
    <row r="28" spans="2:4" x14ac:dyDescent="0.25">
      <c r="B28" s="44" t="s">
        <v>2409</v>
      </c>
      <c r="C28" s="81">
        <f>COUNTIF(tblEntradas[Estado],"✖*")</f>
        <v>0</v>
      </c>
      <c r="D28" s="44" t="s">
        <v>2387</v>
      </c>
    </row>
    <row r="29" spans="2:4" x14ac:dyDescent="0.25">
      <c r="B29" s="44" t="s">
        <v>2410</v>
      </c>
      <c r="C29" s="81">
        <f>COUNTIF(tblSalidas[Estado],"✖*")</f>
        <v>0</v>
      </c>
      <c r="D29" s="44" t="s">
        <v>2387</v>
      </c>
    </row>
    <row r="30" spans="2:4" x14ac:dyDescent="0.25">
      <c r="B30" s="44" t="s">
        <v>2411</v>
      </c>
      <c r="C30" s="81">
        <f ca="1">COUNTIF(tblCapturaEntradas[Validación],"?*")</f>
        <v>1</v>
      </c>
      <c r="D30" s="44" t="s">
        <v>2387</v>
      </c>
    </row>
    <row r="31" spans="2:4" x14ac:dyDescent="0.25">
      <c r="B31" s="44" t="s">
        <v>2412</v>
      </c>
      <c r="C31" s="81">
        <f ca="1">COUNTIF(tblCapturaSalidas[Validación],"?*")</f>
        <v>2</v>
      </c>
      <c r="D31" s="44" t="s">
        <v>2387</v>
      </c>
    </row>
    <row r="32" spans="2:4" x14ac:dyDescent="0.25">
      <c r="B32" s="44" t="s">
        <v>2413</v>
      </c>
      <c r="C32" s="81">
        <f ca="1">COUNTIFS(tblEntradas[Fecha],TODAY(),tblEntradas[Tipo],"ENTRADA",tblEntradas[Estado],"✔*")</f>
        <v>4</v>
      </c>
      <c r="D32" s="44" t="s">
        <v>2387</v>
      </c>
    </row>
    <row r="33" spans="2:4" x14ac:dyDescent="0.25">
      <c r="B33" s="44" t="s">
        <v>2414</v>
      </c>
      <c r="C33" s="81">
        <f ca="1">COUNTIFS(tblEntradas[Fecha],"&gt;="&amp;DATE(YEAR(TODAY()),MONTH(TODAY()),1),tblEntradas[Tipo],"AJUSTE*",tblEntradas[Estado],"✔*")</f>
        <v>2</v>
      </c>
      <c r="D33" s="44" t="s">
        <v>2387</v>
      </c>
    </row>
    <row r="34" spans="2:4" x14ac:dyDescent="0.25">
      <c r="B34" s="44" t="s">
        <v>2415</v>
      </c>
      <c r="C34" s="81">
        <f>COUNTIFS(tblEntradas[Tipo],"SALDO INICIAL",tblEntradas[Estado],"✔*")</f>
        <v>34</v>
      </c>
      <c r="D34" s="44" t="s">
        <v>2387</v>
      </c>
    </row>
    <row r="35" spans="2:4" x14ac:dyDescent="0.25">
      <c r="B35" s="44" t="s">
        <v>2416</v>
      </c>
      <c r="C35" s="81">
        <f ca="1">COUNTIFS(tblSalidas[Fecha],TODAY(),tblSalidas[Estado],"✔*")</f>
        <v>9</v>
      </c>
      <c r="D35" s="44" t="s">
        <v>2387</v>
      </c>
    </row>
    <row r="36" spans="2:4" x14ac:dyDescent="0.25">
      <c r="B36" s="44" t="s">
        <v>2417</v>
      </c>
      <c r="C36" s="84">
        <f ca="1">-SUMIFS(tblSalidas[CantidadNeta],tblSalidas[Fecha],TODAY(),tblSalidas[Estado],"✔*")</f>
        <v>262</v>
      </c>
      <c r="D36" s="44" t="s">
        <v>2418</v>
      </c>
    </row>
    <row r="37" spans="2:4" x14ac:dyDescent="0.25">
      <c r="B37" s="44" t="s">
        <v>2419</v>
      </c>
      <c r="C37" s="81">
        <f ca="1">COUNTIFS(tblSalidas[Fecha],"&gt;="&amp;DATE(YEAR(TODAY()),MONTH(TODAY()),1),tblSalidas[Estado],"✔*")</f>
        <v>61</v>
      </c>
      <c r="D37" s="44" t="s">
        <v>2387</v>
      </c>
    </row>
    <row r="38" spans="2:4" x14ac:dyDescent="0.25">
      <c r="B38" s="44" t="s">
        <v>2420</v>
      </c>
      <c r="C38" s="81">
        <f>COUNTIF(tblEntradas[Timestamp],"&gt;"&amp;N(stkActualizado))+COUNTIF(tblSalidas[Timestamp],"&gt;"&amp;N(stkActualizado))</f>
        <v>3</v>
      </c>
      <c r="D38" s="44" t="s">
        <v>2387</v>
      </c>
    </row>
    <row r="39" spans="2:4" x14ac:dyDescent="0.25">
      <c r="B39" s="44" t="s">
        <v>2421</v>
      </c>
      <c r="C39" s="81">
        <f>kpiRechEnt+kpiRechSal</f>
        <v>0</v>
      </c>
      <c r="D39" s="44" t="s">
        <v>2387</v>
      </c>
    </row>
    <row r="40" spans="2:4" x14ac:dyDescent="0.25">
      <c r="B40" s="44" t="s">
        <v>2422</v>
      </c>
      <c r="C40" s="81">
        <f ca="1">COUNTIFS(tblEntradas[Fecha],"&gt;="&amp;DATE(YEAR(TODAY()),MONTH(TODAY()),1),tblEntradas[Estado],"✔*")+COUNTIFS(tblSalidas[Fecha],"&gt;="&amp;DATE(YEAR(TODAY()),MONTH(TODAY()),1),tblSalidas[Estado],"✔*")</f>
        <v>71</v>
      </c>
      <c r="D40" s="44" t="s">
        <v>2387</v>
      </c>
    </row>
    <row r="41" spans="2:4" x14ac:dyDescent="0.25">
      <c r="B41" s="44" t="s">
        <v>2423</v>
      </c>
      <c r="C41" s="84">
        <f>SUM(tblStock[Salidas30d])</f>
        <v>1879.5</v>
      </c>
      <c r="D41" s="44" t="s">
        <v>2418</v>
      </c>
    </row>
    <row r="42" spans="2:4" x14ac:dyDescent="0.25">
      <c r="B42" s="44" t="s">
        <v>2424</v>
      </c>
      <c r="C42" s="82">
        <f>IFERROR(MEDIAN(tblStock[CoberturaDias]),"")</f>
        <v>37</v>
      </c>
      <c r="D42" s="44" t="s">
        <v>2393</v>
      </c>
    </row>
    <row r="43" spans="2:4" x14ac:dyDescent="0.25">
      <c r="B43" s="44" t="s">
        <v>2425</v>
      </c>
      <c r="C43" s="81">
        <f>COUNT(tblPedido[APedir])</f>
        <v>10</v>
      </c>
      <c r="D43" s="44" t="s">
        <v>2387</v>
      </c>
    </row>
    <row r="44" spans="2:4" x14ac:dyDescent="0.25">
      <c r="B44" s="44" t="s">
        <v>2426</v>
      </c>
      <c r="C44" s="83">
        <f>SUM(tblPedido[Subtotal])</f>
        <v>15285000</v>
      </c>
      <c r="D44" s="44" t="s">
        <v>2404</v>
      </c>
    </row>
    <row r="45" spans="2:4" x14ac:dyDescent="0.25">
      <c r="B45" s="44" t="s">
        <v>2427</v>
      </c>
      <c r="C45" s="81">
        <f>SUMPRODUCT((tblPedido[Proveedor]&lt;&gt;"")/COUNTIF(tblPedido[Proveedor],tblPedido[Proveedor]&amp;""))</f>
        <v>4.9999999999999991</v>
      </c>
      <c r="D45" s="44" t="s">
        <v>2387</v>
      </c>
    </row>
    <row r="46" spans="2:4" x14ac:dyDescent="0.25">
      <c r="B46" s="44" t="s">
        <v>2428</v>
      </c>
      <c r="C46" s="81">
        <f>COUNT(tblConteo[Conteo])</f>
        <v>2</v>
      </c>
      <c r="D46" s="44" t="s">
        <v>2387</v>
      </c>
    </row>
    <row r="47" spans="2:4" x14ac:dyDescent="0.25">
      <c r="B47" s="44" t="s">
        <v>2429</v>
      </c>
      <c r="C47" s="81">
        <f>COUNTIF(tblConteo[Diferencia],"&gt;0")+COUNTIF(tblConteo[Diferencia],"&lt;0")</f>
        <v>2</v>
      </c>
      <c r="D47" s="44" t="s">
        <v>2387</v>
      </c>
    </row>
    <row r="48" spans="2:4" x14ac:dyDescent="0.25">
      <c r="B48" s="44" t="s">
        <v>2430</v>
      </c>
      <c r="C48" s="83">
        <f>SUM(tblConteo[ValorDiferencia])</f>
        <v>41500</v>
      </c>
      <c r="D48" s="44" t="s">
        <v>2404</v>
      </c>
    </row>
    <row r="49" spans="2:4" x14ac:dyDescent="0.25">
      <c r="B49" s="44" t="s">
        <v>2431</v>
      </c>
      <c r="C49" s="81">
        <f>COUNTIF(tblActividad[ID],"?*")</f>
        <v>478</v>
      </c>
      <c r="D49" s="44" t="s">
        <v>2387</v>
      </c>
    </row>
    <row r="50" spans="2:4" x14ac:dyDescent="0.25">
      <c r="B50" s="44" t="s">
        <v>2432</v>
      </c>
      <c r="C50" s="81">
        <f ca="1">COUNTIFS(tblActividad[Resultado],"✖*",tblActividad[Timestamp],"&gt;="&amp;DATE(YEAR(TODAY()),MONTH(TODAY()),1))</f>
        <v>4</v>
      </c>
      <c r="D50" s="44" t="s">
        <v>2387</v>
      </c>
    </row>
    <row r="51" spans="2:4" x14ac:dyDescent="0.25">
      <c r="B51" s="44" t="s">
        <v>2433</v>
      </c>
      <c r="C51" s="85" t="str">
        <f ca="1">"Hoy · "&amp;RIGHT("0"&amp;DAY(TODAY()),2)&amp;"/"&amp;RIGHT("0"&amp;MONTH(TODAY()),2)&amp;"/"&amp;YEAR(TODAY())</f>
        <v>Hoy · 25/09/2026</v>
      </c>
      <c r="D51" s="44" t="s">
        <v>2434</v>
      </c>
    </row>
    <row r="52" spans="2:4" x14ac:dyDescent="0.25">
      <c r="B52" s="44" t="s">
        <v>2435</v>
      </c>
      <c r="C52" s="85" t="str">
        <f>cfgEmpresa&amp;"   ·   "&amp;cfgBodega</f>
        <v>Distribuidora Demo S.A.S.   ·   Bodega Principal</v>
      </c>
      <c r="D52" s="44" t="s">
        <v>2434</v>
      </c>
    </row>
    <row r="53" spans="2:4" x14ac:dyDescent="0.25">
      <c r="B53" s="44" t="s">
        <v>2436</v>
      </c>
      <c r="C53" s="85" t="str">
        <f>IF(N(stkActualizado)=0,"Stock aún no calculado","Calculado el "&amp;RIGHT("0"&amp;DAY(stkActualizado),2)&amp;"/"&amp;RIGHT("0"&amp;MONTH(stkActualizado),2)&amp;"/"&amp;YEAR(stkActualizado)&amp;" "&amp;RIGHT("0"&amp;HOUR(stkActualizado),2)&amp;":"&amp;RIGHT("0"&amp;MINUTE(stkActualizado),2)&amp;" · "&amp;IF(stkActualizadoNombre="",stkActualizadoPor,stkActualizadoNombre))</f>
        <v>Calculado el 25/09/2026 14:40 · Administrador M-INV</v>
      </c>
      <c r="D53" s="44" t="s">
        <v>2434</v>
      </c>
    </row>
    <row r="54" spans="2:4" x14ac:dyDescent="0.25">
      <c r="B54" s="44" t="s">
        <v>2437</v>
      </c>
      <c r="C54" s="85" t="str">
        <f>IF(N(stkActualizado)=0,"⚠ Pulse «Recalcular stock» para calcular el stock",IF(kpiNuevosDesdeCalculo&gt;0,"⚠ "&amp;kpiNuevosDesdeCalculo&amp;" movimiento(s) nuevo(s) desde el cálculo: recalcule","✔ Stock al día con las bitácoras"))</f>
        <v>⚠ 3 movimiento(s) nuevo(s) desde el cálculo: recalcule</v>
      </c>
      <c r="D54" s="44" t="s">
        <v>2434</v>
      </c>
    </row>
    <row r="55" spans="2:4" x14ac:dyDescent="0.25">
      <c r="B55" s="44" t="s">
        <v>2438</v>
      </c>
      <c r="C55" s="85" t="str">
        <f>IF(N(stkActualizado)=0,"⚠ Sin calcular",IF(kpiNuevosDesdeCalculo&gt;0,"⚠ "&amp;kpiNuevosDesdeCalculo&amp;" mov. nuevo(s): recalcule","✔ Al día con las bitácoras"))</f>
        <v>⚠ 3 mov. nuevo(s): recalcule</v>
      </c>
      <c r="D55" s="44" t="s">
        <v>2434</v>
      </c>
    </row>
    <row r="56" spans="2:4" x14ac:dyDescent="0.25">
      <c r="B56" s="44" t="s">
        <v>2439</v>
      </c>
      <c r="C56" s="85" t="str">
        <f>"✚  PEDIDO SUGERIDO  ·  $ "&amp;FIXED(kpiPedidoTotal,0)</f>
        <v>✚  PEDIDO SUGERIDO  ·  $ 15.285.000</v>
      </c>
      <c r="D56" s="44" t="s">
        <v>2434</v>
      </c>
    </row>
    <row r="57" spans="2:4" x14ac:dyDescent="0.25">
      <c r="B57" s="44" t="s">
        <v>2440</v>
      </c>
      <c r="C57" s="85" t="str">
        <f>IF(kpiEjecuciones=0,"Sin ejecuciones registradas","Última: "&amp;RIGHT("0"&amp;DAY(LOOKUP(2,1/(tblActividad[ID]&lt;&gt;""),tblActividad[Timestamp])),2)&amp;"/"&amp;RIGHT("0"&amp;MONTH(LOOKUP(2,1/(tblActividad[ID]&lt;&gt;""),tblActividad[Timestamp])),2)&amp;"/"&amp;YEAR(LOOKUP(2,1/(tblActividad[ID]&lt;&gt;""),tblActividad[Timestamp]))&amp;" "&amp;RIGHT("0"&amp;HOUR(LOOKUP(2,1/(tblActividad[ID]&lt;&gt;""),tblActividad[Timestamp])),2)&amp;":"&amp;RIGHT("0"&amp;MINUTE(LOOKUP(2,1/(tblActividad[ID]&lt;&gt;""),tblActividad[Timestamp])),2)&amp;" · "&amp;LOOKUP(2,1/(tblActividad[ID]&lt;&gt;""),tblActividad[Script])&amp;" · "&amp;LOOKUP(2,1/(tblActividad[ID]&lt;&gt;""),tblActividad[Nombre]))</f>
        <v>Última: 25/09/2026 16:37 · RegistrarEntrada · Ana Gómez</v>
      </c>
      <c r="D57" s="44" t="s">
        <v>2434</v>
      </c>
    </row>
    <row r="58" spans="2:4" x14ac:dyDescent="0.25">
      <c r="B58" s="44" t="s">
        <v>2441</v>
      </c>
      <c r="C58" s="85" t="str">
        <f>IF(N(stkActualizado)=0,"⚠ Pulse «Recalcular stock» para calcular la instantánea",IF(kpiRechEnt+kpiRechSal&gt;0,"✖ "&amp;(kpiRechEnt+kpiRechSal)&amp;" registro(s) rechazado(s) en las bitácoras: revise 10A/10B y 14_ACTIVIDAD",IF(kpiEnAlerta&gt;0,"● "&amp;kpiEnAlerta&amp;" producto(s) requieren acción · pedido sugerido $ "&amp;FIXED(kpiPedidoTotal,0)&amp;" en "&amp;kpiPedidoLineas&amp;" línea(s)","✔ Inventario saludable · valor $ "&amp;FIXED(kpiValor,0))))</f>
        <v>● 10 producto(s) requieren acción · pedido sugerido $ 15.285.000 en 10 línea(s)</v>
      </c>
      <c r="D58" s="44" t="s">
        <v>2434</v>
      </c>
    </row>
    <row r="59" spans="2:4" x14ac:dyDescent="0.25">
      <c r="B59" s="44" t="s">
        <v>2442</v>
      </c>
      <c r="C59" s="85" t="str">
        <f>"⚠  ALERTAS DE STOCK CRÍTICO ("&amp;kpiEnAlerta&amp;")"</f>
        <v>⚠  ALERTAS DE STOCK CRÍTICO (10)</v>
      </c>
      <c r="D59" s="44" t="s">
        <v>2434</v>
      </c>
    </row>
    <row r="60" spans="2:4" x14ac:dyDescent="0.25">
      <c r="B60" s="44" t="s">
        <v>2443</v>
      </c>
      <c r="C60" s="85" t="str">
        <f>IF(kpiUsuarios=0,"① El administrador debe registrar los usuarios en 02_USUARIOS",IF(kpiCatalogo=0,"② Registre los productos en el catálogo (05_PRODUCTOS)",IF(kpiSaldosIni=0,"③ Cargue el SALDO INICIAL de cada producto en 10A_ENTRADAS",IF(kpiRechEnt&gt;0,"✖ Hay "&amp;kpiRechEnt&amp;" registro(s) rechazados en 10A: revíselos",IF(kpiConteoContados&gt;0,"✓ Conteo en curso: "&amp;kpiConteoContados&amp;" producto(s) contados · escriba SI en Confirmar y pulse Generar ajustes",IF(kpiAgotados+kpiCriticos&gt;0,"● "&amp;(kpiAgotados+kpiCriticos)&amp;" producto(s) agotados o críticos: gestione la reposición y registre las entradas al recibir","✔ Inventario saludable"))))))</f>
        <v>✓ Conteo en curso: 2 producto(s) contados · escriba SI en Confirmar y pulse Generar ajustes</v>
      </c>
      <c r="D60" s="44" t="s">
        <v>2434</v>
      </c>
    </row>
    <row r="61" spans="2:4" x14ac:dyDescent="0.25">
      <c r="B61" s="44" t="s">
        <v>2444</v>
      </c>
      <c r="C61" s="85" t="str">
        <f>IF(kpiUsuarios=0,"El administrador debe registrar los usuarios en 02_USUARIOS",IF(kpiRechSal&gt;0,"✖ Hay "&amp;kpiRechSal&amp;" salida(s) rechazadas en 10B: revíselas",IF(kpiAgotados&gt;0,"● "&amp;kpiAgotados&amp;" producto(s) agotado(s): no los ofrezca sin confirmar con Bodega","✔ Todos los productos activos tienen stock")))</f>
        <v>● 3 producto(s) agotado(s): no los ofrezca sin confirmar con Bodega</v>
      </c>
      <c r="D61" s="44" t="s">
        <v>2434</v>
      </c>
    </row>
    <row r="62" spans="2:4" x14ac:dyDescent="0.25">
      <c r="B62" s="44" t="s">
        <v>2445</v>
      </c>
      <c r="C62" s="85" t="str">
        <f>"Bitácoras oficiales: "&amp;FIXED(kpiRegEnt,0)&amp;" entradas/ajustes · "&amp;FIXED(kpiRegSal,0)&amp;" salidas"</f>
        <v>Bitácoras oficiales: 90 entradas/ajustes · 383 salidas</v>
      </c>
      <c r="D62" s="44" t="s">
        <v>2434</v>
      </c>
    </row>
  </sheetData>
  <sheetProtection password="930D" sheet="1" objects="1" scenario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4A3B8"/>
  </sheetPr>
  <dimension ref="A1"/>
  <sheetViews>
    <sheetView workbookViewId="0"/>
  </sheetViews>
  <sheetFormatPr baseColWidth="10" defaultColWidth="9.140625" defaultRowHeight="15" x14ac:dyDescent="0.25"/>
  <cols>
    <col min="1" max="1" width="128.5703125" customWidth="1"/>
  </cols>
  <sheetData>
    <row r="1" spans="1:1" ht="30" customHeight="1" x14ac:dyDescent="0.25">
      <c r="A1" s="86" t="s">
        <v>2446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455A64"/>
  </sheetPr>
  <dimension ref="B1:K103"/>
  <sheetViews>
    <sheetView showGridLines="0" showRowColHeaders="0" workbookViewId="0">
      <selection activeCell="B7" sqref="B7"/>
    </sheetView>
  </sheetViews>
  <sheetFormatPr baseColWidth="10" defaultColWidth="0" defaultRowHeight="15" zeroHeight="1" x14ac:dyDescent="0.25"/>
  <cols>
    <col min="1" max="1" width="3.42578125" customWidth="1"/>
    <col min="2" max="2" width="21.42578125" customWidth="1"/>
    <col min="3" max="11" width="15.7109375" customWidth="1"/>
    <col min="12" max="12" width="3.42578125" customWidth="1"/>
    <col min="13" max="13" width="0" hidden="1" customWidth="1"/>
  </cols>
  <sheetData>
    <row r="1" spans="2:11" s="1" customFormat="1" ht="4.5" customHeight="1" x14ac:dyDescent="0.25"/>
    <row r="2" spans="2:11" s="1" customFormat="1" ht="22.5" customHeight="1" x14ac:dyDescent="0.25">
      <c r="B2" s="2" t="s">
        <v>2491</v>
      </c>
    </row>
    <row r="3" spans="2:11" s="1" customFormat="1" ht="14.25" x14ac:dyDescent="0.25">
      <c r="B3" s="3" t="s">
        <v>2492</v>
      </c>
    </row>
    <row r="4" spans="2:11" s="1" customFormat="1" ht="4.5" customHeight="1" x14ac:dyDescent="0.25"/>
    <row r="5" spans="2:11" s="4" customFormat="1" ht="21" customHeight="1" x14ac:dyDescent="0.25">
      <c r="B5" s="6" t="s">
        <v>85</v>
      </c>
      <c r="C5" s="6" t="s">
        <v>86</v>
      </c>
      <c r="D5" s="6" t="s">
        <v>87</v>
      </c>
      <c r="E5" s="6" t="s">
        <v>88</v>
      </c>
      <c r="F5" s="6" t="s">
        <v>89</v>
      </c>
      <c r="G5" s="6" t="s">
        <v>90</v>
      </c>
      <c r="H5" s="6" t="s">
        <v>91</v>
      </c>
      <c r="I5" s="6" t="s">
        <v>92</v>
      </c>
      <c r="J5" s="6" t="s">
        <v>93</v>
      </c>
      <c r="K5" s="5" t="s">
        <v>94</v>
      </c>
    </row>
    <row r="6" spans="2:11" s="7" customFormat="1" ht="9" customHeight="1" x14ac:dyDescent="0.25"/>
    <row r="7" spans="2:11" s="7" customFormat="1" ht="19.5" customHeight="1" x14ac:dyDescent="0.25">
      <c r="B7" s="132" t="s">
        <v>2493</v>
      </c>
      <c r="C7" s="132"/>
      <c r="D7" s="132"/>
      <c r="E7" s="132"/>
      <c r="F7" s="132"/>
      <c r="G7" s="132"/>
      <c r="H7" s="132"/>
      <c r="I7" s="132"/>
      <c r="J7" s="132"/>
      <c r="K7" s="132"/>
    </row>
    <row r="8" spans="2:11" ht="18" customHeight="1" x14ac:dyDescent="0.25">
      <c r="B8" s="87" t="str">
        <f>IF(AND(kpiUsuarios&gt;0,kpiAdmins&gt;0),"✔","○")</f>
        <v>✔</v>
      </c>
      <c r="C8" s="133" t="str">
        <f>"Usuarios registrados en 02_USUARIOS (al menos un ADMIN)  ·  "&amp;"Usuarios activos: "&amp;kpiUsuarios</f>
        <v>Usuarios registrados en 02_USUARIOS (al menos un ADMIN)  ·  Usuarios activos: 6</v>
      </c>
      <c r="D8" s="133"/>
      <c r="E8" s="133"/>
      <c r="F8" s="133"/>
      <c r="G8" s="133"/>
      <c r="H8" s="133"/>
      <c r="I8" s="133"/>
      <c r="J8" s="133"/>
      <c r="K8" s="133"/>
    </row>
    <row r="9" spans="2:11" ht="18" customHeight="1" x14ac:dyDescent="0.25">
      <c r="B9" s="87" t="str">
        <f>IF(kpiCatalogo&gt;0,"✔","○")</f>
        <v>✔</v>
      </c>
      <c r="C9" s="133" t="str">
        <f>"Productos en el catálogo (05_PRODUCTOS)  ·  "&amp;"Productos: "&amp;kpiCatalogo</f>
        <v>Productos en el catálogo (05_PRODUCTOS)  ·  Productos: 34</v>
      </c>
      <c r="D9" s="133"/>
      <c r="E9" s="133"/>
      <c r="F9" s="133"/>
      <c r="G9" s="133"/>
      <c r="H9" s="133"/>
      <c r="I9" s="133"/>
      <c r="J9" s="133"/>
      <c r="K9" s="133"/>
    </row>
    <row r="10" spans="2:11" ht="18" customHeight="1" x14ac:dyDescent="0.25">
      <c r="B10" s="87" t="str">
        <f>IF(kpiProveedores&gt;0,"✔","○")</f>
        <v>✔</v>
      </c>
      <c r="C10" s="133" t="str">
        <f>"Proveedores registrados (agrupan las alertas y el pedido)  ·  "&amp;"Proveedores: "&amp;kpiProveedores</f>
        <v>Proveedores registrados (agrupan las alertas y el pedido)  ·  Proveedores: 6</v>
      </c>
      <c r="D10" s="133"/>
      <c r="E10" s="133"/>
      <c r="F10" s="133"/>
      <c r="G10" s="133"/>
      <c r="H10" s="133"/>
      <c r="I10" s="133"/>
      <c r="J10" s="133"/>
      <c r="K10" s="133"/>
    </row>
    <row r="11" spans="2:11" ht="18" customHeight="1" x14ac:dyDescent="0.25">
      <c r="B11" s="87" t="str">
        <f>IF(kpiEjecuciones&gt;0,"✔","○")</f>
        <v>✔</v>
      </c>
      <c r="C11" s="133" t="str">
        <f>"Scripts instalados y ejecutados (14_ACTIVIDAD registra cada ejecución)  ·  "&amp;txtUltimaEjecucion</f>
        <v>Scripts instalados y ejecutados (14_ACTIVIDAD registra cada ejecución)  ·  Última: 25/09/2026 16:37 · RegistrarEntrada · Ana Gómez</v>
      </c>
      <c r="D11" s="133"/>
      <c r="E11" s="133"/>
      <c r="F11" s="133"/>
      <c r="G11" s="133"/>
      <c r="H11" s="133"/>
      <c r="I11" s="133"/>
      <c r="J11" s="133"/>
      <c r="K11" s="133"/>
    </row>
    <row r="12" spans="2:11" ht="18" customHeight="1" x14ac:dyDescent="0.25">
      <c r="B12" s="87" t="str">
        <f>IF(N(stkActualizado)&gt;0,"✔","○")</f>
        <v>✔</v>
      </c>
      <c r="C12" s="133" t="str">
        <f>"Stock calculado al menos una vez (Recalcular stock)  ·  "&amp;txtStockActualizado</f>
        <v>Stock calculado al menos una vez (Recalcular stock)  ·  Calculado el 25/09/2026 14:40 · Administrador M-INV</v>
      </c>
      <c r="D12" s="133"/>
      <c r="E12" s="133"/>
      <c r="F12" s="133"/>
      <c r="G12" s="133"/>
      <c r="H12" s="133"/>
      <c r="I12" s="133"/>
      <c r="J12" s="133"/>
      <c r="K12" s="133"/>
    </row>
    <row r="13" spans="2:11" ht="18" customHeight="1" x14ac:dyDescent="0.25">
      <c r="B13" s="87" t="str">
        <f>IF(AND(kpiActivos&gt;0,kpiSaldosIni&gt;=kpiActivos),"✔","○")</f>
        <v>✔</v>
      </c>
      <c r="C13" s="133" t="str">
        <f>"SALDO INICIAL cargado para todos los productos activos (10A o toma física)  ·  "&amp;"Con saldo inicial: "&amp;kpiSaldosIni&amp;" de "&amp;kpiActivos</f>
        <v>SALDO INICIAL cargado para todos los productos activos (10A o toma física)  ·  Con saldo inicial: 34 de 33</v>
      </c>
      <c r="D13" s="133"/>
      <c r="E13" s="133"/>
      <c r="F13" s="133"/>
      <c r="G13" s="133"/>
      <c r="H13" s="133"/>
      <c r="I13" s="133"/>
      <c r="J13" s="133"/>
      <c r="K13" s="133"/>
    </row>
    <row r="14" spans="2:11" s="7" customFormat="1" ht="10.5" customHeight="1" x14ac:dyDescent="0.25"/>
    <row r="15" spans="2:11" s="7" customFormat="1" ht="19.5" customHeight="1" x14ac:dyDescent="0.25">
      <c r="B15" s="132" t="s">
        <v>2494</v>
      </c>
      <c r="C15" s="132"/>
      <c r="D15" s="132"/>
      <c r="E15" s="132"/>
      <c r="F15" s="132"/>
      <c r="G15" s="132"/>
      <c r="H15" s="132"/>
      <c r="I15" s="132"/>
      <c r="J15" s="132"/>
      <c r="K15" s="132"/>
    </row>
    <row r="16" spans="2:11" ht="31.5" customHeight="1" x14ac:dyDescent="0.25">
      <c r="B16" s="18" t="s">
        <v>2495</v>
      </c>
      <c r="C16" s="134" t="s">
        <v>2496</v>
      </c>
      <c r="D16" s="134"/>
      <c r="E16" s="134"/>
      <c r="F16" s="134"/>
      <c r="G16" s="134"/>
      <c r="H16" s="134"/>
      <c r="I16" s="134"/>
      <c r="J16" s="134"/>
      <c r="K16" s="134"/>
    </row>
    <row r="17" spans="2:11" ht="31.5" customHeight="1" x14ac:dyDescent="0.25">
      <c r="B17" s="18" t="s">
        <v>2497</v>
      </c>
      <c r="C17" s="134" t="s">
        <v>2498</v>
      </c>
      <c r="D17" s="134"/>
      <c r="E17" s="134"/>
      <c r="F17" s="134"/>
      <c r="G17" s="134"/>
      <c r="H17" s="134"/>
      <c r="I17" s="134"/>
      <c r="J17" s="134"/>
      <c r="K17" s="134"/>
    </row>
    <row r="18" spans="2:11" ht="19.5" customHeight="1" x14ac:dyDescent="0.25">
      <c r="B18" s="18" t="s">
        <v>2499</v>
      </c>
      <c r="C18" s="134" t="s">
        <v>2500</v>
      </c>
      <c r="D18" s="134"/>
      <c r="E18" s="134"/>
      <c r="F18" s="134"/>
      <c r="G18" s="134"/>
      <c r="H18" s="134"/>
      <c r="I18" s="134"/>
      <c r="J18" s="134"/>
      <c r="K18" s="134"/>
    </row>
    <row r="19" spans="2:11" ht="19.5" customHeight="1" x14ac:dyDescent="0.25">
      <c r="B19" s="18" t="s">
        <v>2501</v>
      </c>
      <c r="C19" s="134" t="s">
        <v>2502</v>
      </c>
      <c r="D19" s="134"/>
      <c r="E19" s="134"/>
      <c r="F19" s="134"/>
      <c r="G19" s="134"/>
      <c r="H19" s="134"/>
      <c r="I19" s="134"/>
      <c r="J19" s="134"/>
      <c r="K19" s="134"/>
    </row>
    <row r="20" spans="2:11" ht="19.5" customHeight="1" x14ac:dyDescent="0.25">
      <c r="B20" s="18" t="s">
        <v>2503</v>
      </c>
      <c r="C20" s="134" t="s">
        <v>2504</v>
      </c>
      <c r="D20" s="134"/>
      <c r="E20" s="134"/>
      <c r="F20" s="134"/>
      <c r="G20" s="134"/>
      <c r="H20" s="134"/>
      <c r="I20" s="134"/>
      <c r="J20" s="134"/>
      <c r="K20" s="134"/>
    </row>
    <row r="21" spans="2:11" ht="19.5" customHeight="1" x14ac:dyDescent="0.25">
      <c r="B21" s="18" t="s">
        <v>2505</v>
      </c>
      <c r="C21" s="134" t="s">
        <v>2506</v>
      </c>
      <c r="D21" s="134"/>
      <c r="E21" s="134"/>
      <c r="F21" s="134"/>
      <c r="G21" s="134"/>
      <c r="H21" s="134"/>
      <c r="I21" s="134"/>
      <c r="J21" s="134"/>
      <c r="K21" s="134"/>
    </row>
    <row r="22" spans="2:11" s="7" customFormat="1" ht="10.5" customHeight="1" x14ac:dyDescent="0.25"/>
    <row r="23" spans="2:11" s="7" customFormat="1" ht="19.5" customHeight="1" x14ac:dyDescent="0.25">
      <c r="B23" s="132" t="s">
        <v>2507</v>
      </c>
      <c r="C23" s="132"/>
      <c r="D23" s="132"/>
      <c r="E23" s="132"/>
      <c r="F23" s="132"/>
      <c r="G23" s="132"/>
      <c r="H23" s="132"/>
      <c r="I23" s="132"/>
      <c r="J23" s="132"/>
      <c r="K23" s="132"/>
    </row>
    <row r="24" spans="2:11" ht="31.5" customHeight="1" x14ac:dyDescent="0.25">
      <c r="B24" s="18" t="s">
        <v>2508</v>
      </c>
      <c r="C24" s="134" t="s">
        <v>2509</v>
      </c>
      <c r="D24" s="134"/>
      <c r="E24" s="134"/>
      <c r="F24" s="134"/>
      <c r="G24" s="134"/>
      <c r="H24" s="134"/>
      <c r="I24" s="134"/>
      <c r="J24" s="134"/>
      <c r="K24" s="134"/>
    </row>
    <row r="25" spans="2:11" ht="31.5" customHeight="1" x14ac:dyDescent="0.25">
      <c r="B25" s="18" t="s">
        <v>2510</v>
      </c>
      <c r="C25" s="134" t="s">
        <v>2511</v>
      </c>
      <c r="D25" s="134"/>
      <c r="E25" s="134"/>
      <c r="F25" s="134"/>
      <c r="G25" s="134"/>
      <c r="H25" s="134"/>
      <c r="I25" s="134"/>
      <c r="J25" s="134"/>
      <c r="K25" s="134"/>
    </row>
    <row r="26" spans="2:11" ht="31.5" customHeight="1" x14ac:dyDescent="0.25">
      <c r="B26" s="18" t="s">
        <v>2512</v>
      </c>
      <c r="C26" s="134" t="s">
        <v>2513</v>
      </c>
      <c r="D26" s="134"/>
      <c r="E26" s="134"/>
      <c r="F26" s="134"/>
      <c r="G26" s="134"/>
      <c r="H26" s="134"/>
      <c r="I26" s="134"/>
      <c r="J26" s="134"/>
      <c r="K26" s="134"/>
    </row>
    <row r="27" spans="2:11" ht="31.5" customHeight="1" x14ac:dyDescent="0.25">
      <c r="B27" s="18" t="s">
        <v>2514</v>
      </c>
      <c r="C27" s="134" t="s">
        <v>2515</v>
      </c>
      <c r="D27" s="134"/>
      <c r="E27" s="134"/>
      <c r="F27" s="134"/>
      <c r="G27" s="134"/>
      <c r="H27" s="134"/>
      <c r="I27" s="134"/>
      <c r="J27" s="134"/>
      <c r="K27" s="134"/>
    </row>
    <row r="28" spans="2:11" s="7" customFormat="1" ht="10.5" customHeight="1" x14ac:dyDescent="0.25"/>
    <row r="29" spans="2:11" s="7" customFormat="1" ht="19.5" customHeight="1" x14ac:dyDescent="0.25">
      <c r="B29" s="132" t="s">
        <v>2516</v>
      </c>
      <c r="C29" s="132"/>
      <c r="D29" s="132"/>
      <c r="E29" s="132"/>
      <c r="F29" s="132"/>
      <c r="G29" s="132"/>
      <c r="H29" s="132"/>
      <c r="I29" s="132"/>
      <c r="J29" s="132"/>
      <c r="K29" s="132"/>
    </row>
    <row r="30" spans="2:11" ht="31.5" customHeight="1" x14ac:dyDescent="0.25">
      <c r="B30" s="18" t="s">
        <v>47</v>
      </c>
      <c r="C30" s="134" t="s">
        <v>2517</v>
      </c>
      <c r="D30" s="134"/>
      <c r="E30" s="134"/>
      <c r="F30" s="134"/>
      <c r="G30" s="134"/>
      <c r="H30" s="134"/>
      <c r="I30" s="134"/>
      <c r="J30" s="134"/>
      <c r="K30" s="134"/>
    </row>
    <row r="31" spans="2:11" ht="31.5" customHeight="1" x14ac:dyDescent="0.25">
      <c r="B31" s="18" t="s">
        <v>56</v>
      </c>
      <c r="C31" s="134" t="s">
        <v>2518</v>
      </c>
      <c r="D31" s="134"/>
      <c r="E31" s="134"/>
      <c r="F31" s="134"/>
      <c r="G31" s="134"/>
      <c r="H31" s="134"/>
      <c r="I31" s="134"/>
      <c r="J31" s="134"/>
      <c r="K31" s="134"/>
    </row>
    <row r="32" spans="2:11" ht="31.5" customHeight="1" x14ac:dyDescent="0.25">
      <c r="B32" s="18" t="s">
        <v>103</v>
      </c>
      <c r="C32" s="134" t="s">
        <v>2519</v>
      </c>
      <c r="D32" s="134"/>
      <c r="E32" s="134"/>
      <c r="F32" s="134"/>
      <c r="G32" s="134"/>
      <c r="H32" s="134"/>
      <c r="I32" s="134"/>
      <c r="J32" s="134"/>
      <c r="K32" s="134"/>
    </row>
    <row r="33" spans="2:11" ht="19.5" customHeight="1" x14ac:dyDescent="0.25">
      <c r="B33" s="18" t="s">
        <v>115</v>
      </c>
      <c r="C33" s="134" t="s">
        <v>2520</v>
      </c>
      <c r="D33" s="134"/>
      <c r="E33" s="134"/>
      <c r="F33" s="134"/>
      <c r="G33" s="134"/>
      <c r="H33" s="134"/>
      <c r="I33" s="134"/>
      <c r="J33" s="134"/>
      <c r="K33" s="134"/>
    </row>
    <row r="34" spans="2:11" s="7" customFormat="1" ht="10.5" customHeight="1" x14ac:dyDescent="0.25"/>
    <row r="35" spans="2:11" s="7" customFormat="1" ht="19.5" customHeight="1" x14ac:dyDescent="0.25">
      <c r="B35" s="132" t="s">
        <v>2521</v>
      </c>
      <c r="C35" s="132"/>
      <c r="D35" s="132"/>
      <c r="E35" s="132"/>
      <c r="F35" s="132"/>
      <c r="G35" s="132"/>
      <c r="H35" s="132"/>
      <c r="I35" s="132"/>
      <c r="J35" s="132"/>
      <c r="K35" s="132"/>
    </row>
    <row r="36" spans="2:11" ht="19.5" customHeight="1" x14ac:dyDescent="0.25">
      <c r="B36" s="18" t="s">
        <v>2495</v>
      </c>
      <c r="C36" s="134" t="s">
        <v>2522</v>
      </c>
      <c r="D36" s="134"/>
      <c r="E36" s="134"/>
      <c r="F36" s="134"/>
      <c r="G36" s="134"/>
      <c r="H36" s="134"/>
      <c r="I36" s="134"/>
      <c r="J36" s="134"/>
      <c r="K36" s="134"/>
    </row>
    <row r="37" spans="2:11" ht="19.5" customHeight="1" x14ac:dyDescent="0.25">
      <c r="B37" s="18" t="s">
        <v>2497</v>
      </c>
      <c r="C37" s="134" t="s">
        <v>2523</v>
      </c>
      <c r="D37" s="134"/>
      <c r="E37" s="134"/>
      <c r="F37" s="134"/>
      <c r="G37" s="134"/>
      <c r="H37" s="134"/>
      <c r="I37" s="134"/>
      <c r="J37" s="134"/>
      <c r="K37" s="134"/>
    </row>
    <row r="38" spans="2:11" ht="31.5" customHeight="1" x14ac:dyDescent="0.25">
      <c r="B38" s="18" t="s">
        <v>2499</v>
      </c>
      <c r="C38" s="134" t="s">
        <v>2524</v>
      </c>
      <c r="D38" s="134"/>
      <c r="E38" s="134"/>
      <c r="F38" s="134"/>
      <c r="G38" s="134"/>
      <c r="H38" s="134"/>
      <c r="I38" s="134"/>
      <c r="J38" s="134"/>
      <c r="K38" s="134"/>
    </row>
    <row r="39" spans="2:11" ht="19.5" customHeight="1" x14ac:dyDescent="0.25">
      <c r="B39" s="18" t="s">
        <v>2501</v>
      </c>
      <c r="C39" s="134" t="s">
        <v>2525</v>
      </c>
      <c r="D39" s="134"/>
      <c r="E39" s="134"/>
      <c r="F39" s="134"/>
      <c r="G39" s="134"/>
      <c r="H39" s="134"/>
      <c r="I39" s="134"/>
      <c r="J39" s="134"/>
      <c r="K39" s="134"/>
    </row>
    <row r="40" spans="2:11" ht="19.5" customHeight="1" x14ac:dyDescent="0.25">
      <c r="B40" s="18" t="s">
        <v>2503</v>
      </c>
      <c r="C40" s="134" t="s">
        <v>2526</v>
      </c>
      <c r="D40" s="134"/>
      <c r="E40" s="134"/>
      <c r="F40" s="134"/>
      <c r="G40" s="134"/>
      <c r="H40" s="134"/>
      <c r="I40" s="134"/>
      <c r="J40" s="134"/>
      <c r="K40" s="134"/>
    </row>
    <row r="41" spans="2:11" ht="31.5" customHeight="1" x14ac:dyDescent="0.25">
      <c r="B41" s="18" t="s">
        <v>2505</v>
      </c>
      <c r="C41" s="134" t="s">
        <v>2527</v>
      </c>
      <c r="D41" s="134"/>
      <c r="E41" s="134"/>
      <c r="F41" s="134"/>
      <c r="G41" s="134"/>
      <c r="H41" s="134"/>
      <c r="I41" s="134"/>
      <c r="J41" s="134"/>
      <c r="K41" s="134"/>
    </row>
    <row r="42" spans="2:11" s="7" customFormat="1" ht="10.5" customHeight="1" x14ac:dyDescent="0.25"/>
    <row r="43" spans="2:11" s="7" customFormat="1" ht="19.5" customHeight="1" x14ac:dyDescent="0.25">
      <c r="B43" s="132" t="s">
        <v>2528</v>
      </c>
      <c r="C43" s="132"/>
      <c r="D43" s="132"/>
      <c r="E43" s="132"/>
      <c r="F43" s="132"/>
      <c r="G43" s="132"/>
      <c r="H43" s="132"/>
      <c r="I43" s="132"/>
      <c r="J43" s="132"/>
      <c r="K43" s="132"/>
    </row>
    <row r="44" spans="2:11" ht="31.5" customHeight="1" x14ac:dyDescent="0.25">
      <c r="B44" s="18" t="s">
        <v>2529</v>
      </c>
      <c r="C44" s="134" t="s">
        <v>2530</v>
      </c>
      <c r="D44" s="134"/>
      <c r="E44" s="134"/>
      <c r="F44" s="134"/>
      <c r="G44" s="134"/>
      <c r="H44" s="134"/>
      <c r="I44" s="134"/>
      <c r="J44" s="134"/>
      <c r="K44" s="134"/>
    </row>
    <row r="45" spans="2:11" ht="31.5" customHeight="1" x14ac:dyDescent="0.25">
      <c r="B45" s="18" t="s">
        <v>2531</v>
      </c>
      <c r="C45" s="134" t="s">
        <v>2532</v>
      </c>
      <c r="D45" s="134"/>
      <c r="E45" s="134"/>
      <c r="F45" s="134"/>
      <c r="G45" s="134"/>
      <c r="H45" s="134"/>
      <c r="I45" s="134"/>
      <c r="J45" s="134"/>
      <c r="K45" s="134"/>
    </row>
    <row r="46" spans="2:11" ht="19.5" customHeight="1" x14ac:dyDescent="0.25">
      <c r="B46" s="18" t="s">
        <v>2533</v>
      </c>
      <c r="C46" s="134" t="s">
        <v>2534</v>
      </c>
      <c r="D46" s="134"/>
      <c r="E46" s="134"/>
      <c r="F46" s="134"/>
      <c r="G46" s="134"/>
      <c r="H46" s="134"/>
      <c r="I46" s="134"/>
      <c r="J46" s="134"/>
      <c r="K46" s="134"/>
    </row>
    <row r="47" spans="2:11" s="7" customFormat="1" ht="10.5" customHeight="1" x14ac:dyDescent="0.25"/>
    <row r="48" spans="2:11" s="7" customFormat="1" ht="19.5" customHeight="1" x14ac:dyDescent="0.25">
      <c r="B48" s="132" t="s">
        <v>2535</v>
      </c>
      <c r="C48" s="132"/>
      <c r="D48" s="132"/>
      <c r="E48" s="132"/>
      <c r="F48" s="132"/>
      <c r="G48" s="132"/>
      <c r="H48" s="132"/>
      <c r="I48" s="132"/>
      <c r="J48" s="132"/>
      <c r="K48" s="132"/>
    </row>
    <row r="49" spans="2:11" ht="19.5" customHeight="1" x14ac:dyDescent="0.25">
      <c r="B49" s="18" t="s">
        <v>2495</v>
      </c>
      <c r="C49" s="134" t="s">
        <v>2536</v>
      </c>
      <c r="D49" s="134"/>
      <c r="E49" s="134"/>
      <c r="F49" s="134"/>
      <c r="G49" s="134"/>
      <c r="H49" s="134"/>
      <c r="I49" s="134"/>
      <c r="J49" s="134"/>
      <c r="K49" s="134"/>
    </row>
    <row r="50" spans="2:11" ht="31.5" customHeight="1" x14ac:dyDescent="0.25">
      <c r="B50" s="18" t="s">
        <v>2497</v>
      </c>
      <c r="C50" s="134" t="s">
        <v>2537</v>
      </c>
      <c r="D50" s="134"/>
      <c r="E50" s="134"/>
      <c r="F50" s="134"/>
      <c r="G50" s="134"/>
      <c r="H50" s="134"/>
      <c r="I50" s="134"/>
      <c r="J50" s="134"/>
      <c r="K50" s="134"/>
    </row>
    <row r="51" spans="2:11" ht="31.5" customHeight="1" x14ac:dyDescent="0.25">
      <c r="B51" s="18" t="s">
        <v>2499</v>
      </c>
      <c r="C51" s="134" t="s">
        <v>2538</v>
      </c>
      <c r="D51" s="134"/>
      <c r="E51" s="134"/>
      <c r="F51" s="134"/>
      <c r="G51" s="134"/>
      <c r="H51" s="134"/>
      <c r="I51" s="134"/>
      <c r="J51" s="134"/>
      <c r="K51" s="134"/>
    </row>
    <row r="52" spans="2:11" ht="19.5" customHeight="1" x14ac:dyDescent="0.25">
      <c r="B52" s="18" t="s">
        <v>2501</v>
      </c>
      <c r="C52" s="134" t="s">
        <v>2539</v>
      </c>
      <c r="D52" s="134"/>
      <c r="E52" s="134"/>
      <c r="F52" s="134"/>
      <c r="G52" s="134"/>
      <c r="H52" s="134"/>
      <c r="I52" s="134"/>
      <c r="J52" s="134"/>
      <c r="K52" s="134"/>
    </row>
    <row r="53" spans="2:11" ht="31.5" customHeight="1" x14ac:dyDescent="0.25">
      <c r="B53" s="18" t="s">
        <v>2503</v>
      </c>
      <c r="C53" s="134" t="s">
        <v>2540</v>
      </c>
      <c r="D53" s="134"/>
      <c r="E53" s="134"/>
      <c r="F53" s="134"/>
      <c r="G53" s="134"/>
      <c r="H53" s="134"/>
      <c r="I53" s="134"/>
      <c r="J53" s="134"/>
      <c r="K53" s="134"/>
    </row>
    <row r="54" spans="2:11" ht="31.5" customHeight="1" x14ac:dyDescent="0.25">
      <c r="B54" s="18" t="s">
        <v>2505</v>
      </c>
      <c r="C54" s="134" t="s">
        <v>2541</v>
      </c>
      <c r="D54" s="134"/>
      <c r="E54" s="134"/>
      <c r="F54" s="134"/>
      <c r="G54" s="134"/>
      <c r="H54" s="134"/>
      <c r="I54" s="134"/>
      <c r="J54" s="134"/>
      <c r="K54" s="134"/>
    </row>
    <row r="55" spans="2:11" s="7" customFormat="1" ht="10.5" customHeight="1" x14ac:dyDescent="0.25"/>
    <row r="56" spans="2:11" s="7" customFormat="1" ht="19.5" customHeight="1" x14ac:dyDescent="0.25">
      <c r="B56" s="132" t="s">
        <v>2542</v>
      </c>
      <c r="C56" s="132"/>
      <c r="D56" s="132"/>
      <c r="E56" s="132"/>
      <c r="F56" s="132"/>
      <c r="G56" s="132"/>
      <c r="H56" s="132"/>
      <c r="I56" s="132"/>
      <c r="J56" s="132"/>
      <c r="K56" s="132"/>
    </row>
    <row r="57" spans="2:11" ht="31.5" customHeight="1" x14ac:dyDescent="0.25">
      <c r="B57" s="18" t="s">
        <v>2543</v>
      </c>
      <c r="C57" s="134" t="s">
        <v>2544</v>
      </c>
      <c r="D57" s="134"/>
      <c r="E57" s="134"/>
      <c r="F57" s="134"/>
      <c r="G57" s="134"/>
      <c r="H57" s="134"/>
      <c r="I57" s="134"/>
      <c r="J57" s="134"/>
      <c r="K57" s="134"/>
    </row>
    <row r="58" spans="2:11" ht="31.5" customHeight="1" x14ac:dyDescent="0.25">
      <c r="B58" s="18" t="s">
        <v>2545</v>
      </c>
      <c r="C58" s="134" t="s">
        <v>2546</v>
      </c>
      <c r="D58" s="134"/>
      <c r="E58" s="134"/>
      <c r="F58" s="134"/>
      <c r="G58" s="134"/>
      <c r="H58" s="134"/>
      <c r="I58" s="134"/>
      <c r="J58" s="134"/>
      <c r="K58" s="134"/>
    </row>
    <row r="59" spans="2:11" s="7" customFormat="1" ht="10.5" customHeight="1" x14ac:dyDescent="0.25"/>
    <row r="60" spans="2:11" s="7" customFormat="1" ht="19.5" customHeight="1" x14ac:dyDescent="0.25">
      <c r="B60" s="132" t="s">
        <v>2547</v>
      </c>
      <c r="C60" s="132"/>
      <c r="D60" s="132"/>
      <c r="E60" s="132"/>
      <c r="F60" s="132"/>
      <c r="G60" s="132"/>
      <c r="H60" s="132"/>
      <c r="I60" s="132"/>
      <c r="J60" s="132"/>
      <c r="K60" s="132"/>
    </row>
    <row r="61" spans="2:11" ht="31.5" customHeight="1" x14ac:dyDescent="0.25">
      <c r="B61" s="18" t="s">
        <v>2548</v>
      </c>
      <c r="C61" s="134" t="s">
        <v>2549</v>
      </c>
      <c r="D61" s="134"/>
      <c r="E61" s="134"/>
      <c r="F61" s="134"/>
      <c r="G61" s="134"/>
      <c r="H61" s="134"/>
      <c r="I61" s="134"/>
      <c r="J61" s="134"/>
      <c r="K61" s="134"/>
    </row>
    <row r="62" spans="2:11" ht="31.5" customHeight="1" x14ac:dyDescent="0.25">
      <c r="B62" s="18" t="s">
        <v>2550</v>
      </c>
      <c r="C62" s="134" t="s">
        <v>2551</v>
      </c>
      <c r="D62" s="134"/>
      <c r="E62" s="134"/>
      <c r="F62" s="134"/>
      <c r="G62" s="134"/>
      <c r="H62" s="134"/>
      <c r="I62" s="134"/>
      <c r="J62" s="134"/>
      <c r="K62" s="134"/>
    </row>
    <row r="63" spans="2:11" s="7" customFormat="1" ht="10.5" customHeight="1" x14ac:dyDescent="0.25"/>
    <row r="64" spans="2:11" s="7" customFormat="1" ht="19.5" customHeight="1" x14ac:dyDescent="0.25">
      <c r="B64" s="132" t="s">
        <v>2552</v>
      </c>
      <c r="C64" s="132"/>
      <c r="D64" s="132"/>
      <c r="E64" s="132"/>
      <c r="F64" s="132"/>
      <c r="G64" s="132"/>
      <c r="H64" s="132"/>
      <c r="I64" s="132"/>
      <c r="J64" s="132"/>
      <c r="K64" s="132"/>
    </row>
    <row r="65" spans="2:11" ht="31.5" customHeight="1" x14ac:dyDescent="0.25">
      <c r="B65" s="18" t="s">
        <v>2553</v>
      </c>
      <c r="C65" s="134" t="s">
        <v>2554</v>
      </c>
      <c r="D65" s="134"/>
      <c r="E65" s="134"/>
      <c r="F65" s="134"/>
      <c r="G65" s="134"/>
      <c r="H65" s="134"/>
      <c r="I65" s="134"/>
      <c r="J65" s="134"/>
      <c r="K65" s="134"/>
    </row>
    <row r="66" spans="2:11" ht="31.5" customHeight="1" x14ac:dyDescent="0.25">
      <c r="B66" s="18" t="s">
        <v>2555</v>
      </c>
      <c r="C66" s="134" t="s">
        <v>2556</v>
      </c>
      <c r="D66" s="134"/>
      <c r="E66" s="134"/>
      <c r="F66" s="134"/>
      <c r="G66" s="134"/>
      <c r="H66" s="134"/>
      <c r="I66" s="134"/>
      <c r="J66" s="134"/>
      <c r="K66" s="134"/>
    </row>
    <row r="67" spans="2:11" s="7" customFormat="1" ht="10.5" customHeight="1" x14ac:dyDescent="0.25"/>
    <row r="68" spans="2:11" s="7" customFormat="1" ht="19.5" customHeight="1" x14ac:dyDescent="0.25">
      <c r="B68" s="132" t="s">
        <v>2557</v>
      </c>
      <c r="C68" s="132"/>
      <c r="D68" s="132"/>
      <c r="E68" s="132"/>
      <c r="F68" s="132"/>
      <c r="G68" s="132"/>
      <c r="H68" s="132"/>
      <c r="I68" s="132"/>
      <c r="J68" s="132"/>
      <c r="K68" s="132"/>
    </row>
    <row r="69" spans="2:11" ht="31.5" customHeight="1" x14ac:dyDescent="0.25">
      <c r="B69" s="18" t="s">
        <v>2558</v>
      </c>
      <c r="C69" s="134" t="s">
        <v>2559</v>
      </c>
      <c r="D69" s="134"/>
      <c r="E69" s="134"/>
      <c r="F69" s="134"/>
      <c r="G69" s="134"/>
      <c r="H69" s="134"/>
      <c r="I69" s="134"/>
      <c r="J69" s="134"/>
      <c r="K69" s="134"/>
    </row>
    <row r="70" spans="2:11" ht="31.5" customHeight="1" x14ac:dyDescent="0.25">
      <c r="B70" s="18" t="s">
        <v>2560</v>
      </c>
      <c r="C70" s="134" t="s">
        <v>2561</v>
      </c>
      <c r="D70" s="134"/>
      <c r="E70" s="134"/>
      <c r="F70" s="134"/>
      <c r="G70" s="134"/>
      <c r="H70" s="134"/>
      <c r="I70" s="134"/>
      <c r="J70" s="134"/>
      <c r="K70" s="134"/>
    </row>
    <row r="71" spans="2:11" s="7" customFormat="1" ht="10.5" customHeight="1" x14ac:dyDescent="0.25"/>
    <row r="72" spans="2:11" s="7" customFormat="1" ht="19.5" customHeight="1" x14ac:dyDescent="0.25">
      <c r="B72" s="132" t="s">
        <v>2562</v>
      </c>
      <c r="C72" s="132"/>
      <c r="D72" s="132"/>
      <c r="E72" s="132"/>
      <c r="F72" s="132"/>
      <c r="G72" s="132"/>
      <c r="H72" s="132"/>
      <c r="I72" s="132"/>
      <c r="J72" s="132"/>
      <c r="K72" s="132"/>
    </row>
    <row r="73" spans="2:11" ht="31.5" customHeight="1" x14ac:dyDescent="0.25">
      <c r="B73" s="18" t="s">
        <v>2563</v>
      </c>
      <c r="C73" s="134" t="s">
        <v>2564</v>
      </c>
      <c r="D73" s="134"/>
      <c r="E73" s="134"/>
      <c r="F73" s="134"/>
      <c r="G73" s="134"/>
      <c r="H73" s="134"/>
      <c r="I73" s="134"/>
      <c r="J73" s="134"/>
      <c r="K73" s="134"/>
    </row>
    <row r="74" spans="2:11" ht="31.5" customHeight="1" x14ac:dyDescent="0.25">
      <c r="B74" s="18" t="s">
        <v>2565</v>
      </c>
      <c r="C74" s="134" t="s">
        <v>2566</v>
      </c>
      <c r="D74" s="134"/>
      <c r="E74" s="134"/>
      <c r="F74" s="134"/>
      <c r="G74" s="134"/>
      <c r="H74" s="134"/>
      <c r="I74" s="134"/>
      <c r="J74" s="134"/>
      <c r="K74" s="134"/>
    </row>
    <row r="75" spans="2:11" s="7" customFormat="1" ht="10.5" customHeight="1" x14ac:dyDescent="0.25"/>
    <row r="76" spans="2:11" s="7" customFormat="1" ht="19.5" customHeight="1" x14ac:dyDescent="0.25">
      <c r="B76" s="132" t="s">
        <v>2567</v>
      </c>
      <c r="C76" s="132"/>
      <c r="D76" s="132"/>
      <c r="E76" s="132"/>
      <c r="F76" s="132"/>
      <c r="G76" s="132"/>
      <c r="H76" s="132"/>
      <c r="I76" s="132"/>
      <c r="J76" s="132"/>
      <c r="K76" s="132"/>
    </row>
    <row r="77" spans="2:11" ht="31.5" customHeight="1" x14ac:dyDescent="0.25">
      <c r="B77" s="18" t="s">
        <v>2568</v>
      </c>
      <c r="C77" s="134" t="s">
        <v>2569</v>
      </c>
      <c r="D77" s="134"/>
      <c r="E77" s="134"/>
      <c r="F77" s="134"/>
      <c r="G77" s="134"/>
      <c r="H77" s="134"/>
      <c r="I77" s="134"/>
      <c r="J77" s="134"/>
      <c r="K77" s="134"/>
    </row>
    <row r="78" spans="2:11" ht="31.5" customHeight="1" x14ac:dyDescent="0.25">
      <c r="B78" s="18" t="s">
        <v>2570</v>
      </c>
      <c r="C78" s="134" t="s">
        <v>2571</v>
      </c>
      <c r="D78" s="134"/>
      <c r="E78" s="134"/>
      <c r="F78" s="134"/>
      <c r="G78" s="134"/>
      <c r="H78" s="134"/>
      <c r="I78" s="134"/>
      <c r="J78" s="134"/>
      <c r="K78" s="134"/>
    </row>
    <row r="79" spans="2:11" ht="31.5" customHeight="1" x14ac:dyDescent="0.25">
      <c r="B79" s="18" t="s">
        <v>2572</v>
      </c>
      <c r="C79" s="134" t="s">
        <v>2573</v>
      </c>
      <c r="D79" s="134"/>
      <c r="E79" s="134"/>
      <c r="F79" s="134"/>
      <c r="G79" s="134"/>
      <c r="H79" s="134"/>
      <c r="I79" s="134"/>
      <c r="J79" s="134"/>
      <c r="K79" s="134"/>
    </row>
    <row r="80" spans="2:11" s="7" customFormat="1" ht="10.5" customHeight="1" x14ac:dyDescent="0.25"/>
    <row r="81" spans="2:11" s="7" customFormat="1" ht="19.5" customHeight="1" x14ac:dyDescent="0.25">
      <c r="B81" s="132" t="s">
        <v>2574</v>
      </c>
      <c r="C81" s="132"/>
      <c r="D81" s="132"/>
      <c r="E81" s="132"/>
      <c r="F81" s="132"/>
      <c r="G81" s="132"/>
      <c r="H81" s="132"/>
      <c r="I81" s="132"/>
      <c r="J81" s="132"/>
      <c r="K81" s="132"/>
    </row>
    <row r="82" spans="2:11" ht="31.5" customHeight="1" x14ac:dyDescent="0.25">
      <c r="B82" s="18" t="s">
        <v>2575</v>
      </c>
      <c r="C82" s="134" t="s">
        <v>2576</v>
      </c>
      <c r="D82" s="134"/>
      <c r="E82" s="134"/>
      <c r="F82" s="134"/>
      <c r="G82" s="134"/>
      <c r="H82" s="134"/>
      <c r="I82" s="134"/>
      <c r="J82" s="134"/>
      <c r="K82" s="134"/>
    </row>
    <row r="83" spans="2:11" s="7" customFormat="1" ht="10.5" customHeight="1" x14ac:dyDescent="0.25"/>
    <row r="84" spans="2:11" s="7" customFormat="1" ht="19.5" customHeight="1" x14ac:dyDescent="0.25">
      <c r="B84" s="132" t="s">
        <v>2577</v>
      </c>
      <c r="C84" s="132"/>
      <c r="D84" s="132"/>
      <c r="E84" s="132"/>
      <c r="F84" s="132"/>
      <c r="G84" s="132"/>
      <c r="H84" s="132"/>
      <c r="I84" s="132"/>
      <c r="J84" s="132"/>
      <c r="K84" s="132"/>
    </row>
    <row r="85" spans="2:11" ht="31.5" customHeight="1" x14ac:dyDescent="0.25">
      <c r="B85" s="18" t="s">
        <v>2578</v>
      </c>
      <c r="C85" s="134" t="s">
        <v>2579</v>
      </c>
      <c r="D85" s="134"/>
      <c r="E85" s="134"/>
      <c r="F85" s="134"/>
      <c r="G85" s="134"/>
      <c r="H85" s="134"/>
      <c r="I85" s="134"/>
      <c r="J85" s="134"/>
      <c r="K85" s="134"/>
    </row>
    <row r="86" spans="2:11" ht="31.5" customHeight="1" x14ac:dyDescent="0.25">
      <c r="B86" s="18" t="s">
        <v>2580</v>
      </c>
      <c r="C86" s="134" t="s">
        <v>2581</v>
      </c>
      <c r="D86" s="134"/>
      <c r="E86" s="134"/>
      <c r="F86" s="134"/>
      <c r="G86" s="134"/>
      <c r="H86" s="134"/>
      <c r="I86" s="134"/>
      <c r="J86" s="134"/>
      <c r="K86" s="134"/>
    </row>
    <row r="87" spans="2:11" s="7" customFormat="1" ht="10.5" customHeight="1" x14ac:dyDescent="0.25"/>
    <row r="88" spans="2:11" s="7" customFormat="1" ht="19.5" customHeight="1" x14ac:dyDescent="0.25">
      <c r="B88" s="132" t="s">
        <v>2582</v>
      </c>
      <c r="C88" s="132"/>
      <c r="D88" s="132"/>
      <c r="E88" s="132"/>
      <c r="F88" s="132"/>
      <c r="G88" s="132"/>
      <c r="H88" s="132"/>
      <c r="I88" s="132"/>
      <c r="J88" s="132"/>
      <c r="K88" s="132"/>
    </row>
    <row r="89" spans="2:11" ht="31.5" customHeight="1" x14ac:dyDescent="0.25">
      <c r="B89" s="18" t="s">
        <v>2495</v>
      </c>
      <c r="C89" s="134" t="s">
        <v>2583</v>
      </c>
      <c r="D89" s="134"/>
      <c r="E89" s="134"/>
      <c r="F89" s="134"/>
      <c r="G89" s="134"/>
      <c r="H89" s="134"/>
      <c r="I89" s="134"/>
      <c r="J89" s="134"/>
      <c r="K89" s="134"/>
    </row>
    <row r="90" spans="2:11" ht="19.5" customHeight="1" x14ac:dyDescent="0.25">
      <c r="B90" s="18" t="s">
        <v>2497</v>
      </c>
      <c r="C90" s="134" t="s">
        <v>2584</v>
      </c>
      <c r="D90" s="134"/>
      <c r="E90" s="134"/>
      <c r="F90" s="134"/>
      <c r="G90" s="134"/>
      <c r="H90" s="134"/>
      <c r="I90" s="134"/>
      <c r="J90" s="134"/>
      <c r="K90" s="134"/>
    </row>
    <row r="91" spans="2:11" ht="31.5" customHeight="1" x14ac:dyDescent="0.25">
      <c r="B91" s="18" t="s">
        <v>2499</v>
      </c>
      <c r="C91" s="134" t="s">
        <v>2585</v>
      </c>
      <c r="D91" s="134"/>
      <c r="E91" s="134"/>
      <c r="F91" s="134"/>
      <c r="G91" s="134"/>
      <c r="H91" s="134"/>
      <c r="I91" s="134"/>
      <c r="J91" s="134"/>
      <c r="K91" s="134"/>
    </row>
    <row r="92" spans="2:11" ht="19.5" customHeight="1" x14ac:dyDescent="0.25">
      <c r="B92" s="18" t="s">
        <v>2501</v>
      </c>
      <c r="C92" s="134" t="s">
        <v>2586</v>
      </c>
      <c r="D92" s="134"/>
      <c r="E92" s="134"/>
      <c r="F92" s="134"/>
      <c r="G92" s="134"/>
      <c r="H92" s="134"/>
      <c r="I92" s="134"/>
      <c r="J92" s="134"/>
      <c r="K92" s="134"/>
    </row>
    <row r="93" spans="2:11" ht="31.5" customHeight="1" x14ac:dyDescent="0.25">
      <c r="B93" s="18" t="s">
        <v>2503</v>
      </c>
      <c r="C93" s="134" t="s">
        <v>2587</v>
      </c>
      <c r="D93" s="134"/>
      <c r="E93" s="134"/>
      <c r="F93" s="134"/>
      <c r="G93" s="134"/>
      <c r="H93" s="134"/>
      <c r="I93" s="134"/>
      <c r="J93" s="134"/>
      <c r="K93" s="134"/>
    </row>
    <row r="94" spans="2:11" ht="31.5" customHeight="1" x14ac:dyDescent="0.25">
      <c r="B94" s="18" t="s">
        <v>2505</v>
      </c>
      <c r="C94" s="134" t="s">
        <v>2588</v>
      </c>
      <c r="D94" s="134"/>
      <c r="E94" s="134"/>
      <c r="F94" s="134"/>
      <c r="G94" s="134"/>
      <c r="H94" s="134"/>
      <c r="I94" s="134"/>
      <c r="J94" s="134"/>
      <c r="K94" s="134"/>
    </row>
    <row r="95" spans="2:11" s="7" customFormat="1" ht="10.5" customHeight="1" x14ac:dyDescent="0.25"/>
    <row r="96" spans="2:11" s="7" customFormat="1" ht="19.5" customHeight="1" x14ac:dyDescent="0.25">
      <c r="B96" s="132" t="s">
        <v>2589</v>
      </c>
      <c r="C96" s="132"/>
      <c r="D96" s="132"/>
      <c r="E96" s="132"/>
      <c r="F96" s="132"/>
      <c r="G96" s="132"/>
      <c r="H96" s="132"/>
      <c r="I96" s="132"/>
      <c r="J96" s="132"/>
      <c r="K96" s="132"/>
    </row>
    <row r="97" spans="2:11" ht="19.5" customHeight="1" x14ac:dyDescent="0.25">
      <c r="B97" s="18" t="s">
        <v>2590</v>
      </c>
      <c r="C97" s="134" t="s">
        <v>2591</v>
      </c>
      <c r="D97" s="134"/>
      <c r="E97" s="134"/>
      <c r="F97" s="134"/>
      <c r="G97" s="134"/>
      <c r="H97" s="134"/>
      <c r="I97" s="134"/>
      <c r="J97" s="134"/>
      <c r="K97" s="134"/>
    </row>
    <row r="98" spans="2:11" ht="19.5" customHeight="1" x14ac:dyDescent="0.25">
      <c r="B98" s="18" t="s">
        <v>2592</v>
      </c>
      <c r="C98" s="134" t="s">
        <v>2593</v>
      </c>
      <c r="D98" s="134"/>
      <c r="E98" s="134"/>
      <c r="F98" s="134"/>
      <c r="G98" s="134"/>
      <c r="H98" s="134"/>
      <c r="I98" s="134"/>
      <c r="J98" s="134"/>
      <c r="K98" s="134"/>
    </row>
    <row r="99" spans="2:11" ht="19.5" customHeight="1" x14ac:dyDescent="0.25">
      <c r="B99" s="18" t="s">
        <v>2594</v>
      </c>
      <c r="C99" s="134" t="s">
        <v>2595</v>
      </c>
      <c r="D99" s="134"/>
      <c r="E99" s="134"/>
      <c r="F99" s="134"/>
      <c r="G99" s="134"/>
      <c r="H99" s="134"/>
      <c r="I99" s="134"/>
      <c r="J99" s="134"/>
      <c r="K99" s="134"/>
    </row>
    <row r="100" spans="2:11" ht="31.5" customHeight="1" x14ac:dyDescent="0.25">
      <c r="B100" s="18" t="s">
        <v>2596</v>
      </c>
      <c r="C100" s="134" t="s">
        <v>2597</v>
      </c>
      <c r="D100" s="134"/>
      <c r="E100" s="134"/>
      <c r="F100" s="134"/>
      <c r="G100" s="134"/>
      <c r="H100" s="134"/>
      <c r="I100" s="134"/>
      <c r="J100" s="134"/>
      <c r="K100" s="134"/>
    </row>
    <row r="101" spans="2:11" ht="19.5" customHeight="1" x14ac:dyDescent="0.25">
      <c r="B101" s="18" t="s">
        <v>2598</v>
      </c>
      <c r="C101" s="134" t="s">
        <v>2599</v>
      </c>
      <c r="D101" s="134"/>
      <c r="E101" s="134"/>
      <c r="F101" s="134"/>
      <c r="G101" s="134"/>
      <c r="H101" s="134"/>
      <c r="I101" s="134"/>
      <c r="J101" s="134"/>
      <c r="K101" s="134"/>
    </row>
    <row r="102" spans="2:11" s="7" customFormat="1" ht="14.25" x14ac:dyDescent="0.25"/>
    <row r="103" spans="2:11" s="7" customFormat="1" ht="14.25" x14ac:dyDescent="0.25">
      <c r="B103" s="88" t="s">
        <v>2600</v>
      </c>
    </row>
  </sheetData>
  <sheetProtection password="930D" sheet="1" objects="1" scenarios="1"/>
  <mergeCells count="79">
    <mergeCell ref="C98:K98"/>
    <mergeCell ref="C99:K99"/>
    <mergeCell ref="C100:K100"/>
    <mergeCell ref="C101:K101"/>
    <mergeCell ref="C92:K92"/>
    <mergeCell ref="C93:K93"/>
    <mergeCell ref="C94:K94"/>
    <mergeCell ref="B96:K96"/>
    <mergeCell ref="C97:K97"/>
    <mergeCell ref="C86:K86"/>
    <mergeCell ref="B88:K88"/>
    <mergeCell ref="C89:K89"/>
    <mergeCell ref="C90:K90"/>
    <mergeCell ref="C91:K91"/>
    <mergeCell ref="C79:K79"/>
    <mergeCell ref="B81:K81"/>
    <mergeCell ref="C82:K82"/>
    <mergeCell ref="B84:K84"/>
    <mergeCell ref="C85:K85"/>
    <mergeCell ref="C73:K73"/>
    <mergeCell ref="C74:K74"/>
    <mergeCell ref="B76:K76"/>
    <mergeCell ref="C77:K77"/>
    <mergeCell ref="C78:K78"/>
    <mergeCell ref="C66:K66"/>
    <mergeCell ref="B68:K68"/>
    <mergeCell ref="C69:K69"/>
    <mergeCell ref="C70:K70"/>
    <mergeCell ref="B72:K72"/>
    <mergeCell ref="B60:K60"/>
    <mergeCell ref="C61:K61"/>
    <mergeCell ref="C62:K62"/>
    <mergeCell ref="B64:K64"/>
    <mergeCell ref="C65:K65"/>
    <mergeCell ref="C53:K53"/>
    <mergeCell ref="C54:K54"/>
    <mergeCell ref="B56:K56"/>
    <mergeCell ref="C57:K57"/>
    <mergeCell ref="C58:K58"/>
    <mergeCell ref="B48:K48"/>
    <mergeCell ref="C49:K49"/>
    <mergeCell ref="C50:K50"/>
    <mergeCell ref="C51:K51"/>
    <mergeCell ref="C52:K52"/>
    <mergeCell ref="C41:K41"/>
    <mergeCell ref="B43:K43"/>
    <mergeCell ref="C44:K44"/>
    <mergeCell ref="C45:K45"/>
    <mergeCell ref="C46:K46"/>
    <mergeCell ref="C36:K36"/>
    <mergeCell ref="C37:K37"/>
    <mergeCell ref="C38:K38"/>
    <mergeCell ref="C39:K39"/>
    <mergeCell ref="C40:K40"/>
    <mergeCell ref="C30:K30"/>
    <mergeCell ref="C31:K31"/>
    <mergeCell ref="C32:K32"/>
    <mergeCell ref="C33:K33"/>
    <mergeCell ref="B35:K35"/>
    <mergeCell ref="C24:K24"/>
    <mergeCell ref="C25:K25"/>
    <mergeCell ref="C26:K26"/>
    <mergeCell ref="C27:K27"/>
    <mergeCell ref="B29:K29"/>
    <mergeCell ref="C18:K18"/>
    <mergeCell ref="C19:K19"/>
    <mergeCell ref="C20:K20"/>
    <mergeCell ref="C21:K21"/>
    <mergeCell ref="B23:K23"/>
    <mergeCell ref="C12:K12"/>
    <mergeCell ref="C13:K13"/>
    <mergeCell ref="B15:K15"/>
    <mergeCell ref="C16:K16"/>
    <mergeCell ref="C17:K17"/>
    <mergeCell ref="B7:K7"/>
    <mergeCell ref="C8:K8"/>
    <mergeCell ref="C9:K9"/>
    <mergeCell ref="C10:K10"/>
    <mergeCell ref="C11:K11"/>
  </mergeCells>
  <conditionalFormatting sqref="B8">
    <cfRule type="expression" dxfId="11" priority="1">
      <formula>AND(kpiUsuarios&gt;0,kpiAdmins&gt;0)</formula>
    </cfRule>
    <cfRule type="expression" dxfId="10" priority="2">
      <formula>NOT(AND(kpiUsuarios&gt;0,kpiAdmins&gt;0))</formula>
    </cfRule>
  </conditionalFormatting>
  <conditionalFormatting sqref="B9">
    <cfRule type="expression" dxfId="9" priority="3">
      <formula>kpiCatalogo&gt;0</formula>
    </cfRule>
    <cfRule type="expression" dxfId="8" priority="4">
      <formula>NOT(kpiCatalogo&gt;0)</formula>
    </cfRule>
  </conditionalFormatting>
  <conditionalFormatting sqref="B10">
    <cfRule type="expression" dxfId="7" priority="5">
      <formula>kpiProveedores&gt;0</formula>
    </cfRule>
    <cfRule type="expression" dxfId="6" priority="6">
      <formula>NOT(kpiProveedores&gt;0)</formula>
    </cfRule>
  </conditionalFormatting>
  <conditionalFormatting sqref="B11">
    <cfRule type="expression" dxfId="5" priority="7">
      <formula>kpiEjecuciones&gt;0</formula>
    </cfRule>
    <cfRule type="expression" dxfId="4" priority="8">
      <formula>NOT(kpiEjecuciones&gt;0)</formula>
    </cfRule>
  </conditionalFormatting>
  <conditionalFormatting sqref="B12">
    <cfRule type="expression" dxfId="3" priority="9">
      <formula>N(stkActualizado)&gt;0</formula>
    </cfRule>
    <cfRule type="expression" dxfId="2" priority="10">
      <formula>NOT(N(stkActualizado)&gt;0)</formula>
    </cfRule>
  </conditionalFormatting>
  <conditionalFormatting sqref="B13">
    <cfRule type="expression" dxfId="1" priority="11">
      <formula>AND(kpiActivos&gt;0,kpiSaldosIni&gt;=kpiActivos)</formula>
    </cfRule>
    <cfRule type="expression" dxfId="0" priority="12">
      <formula>NOT(AND(kpiActivos&gt;0,kpiSaldosIni&gt;=kpiActivos))</formula>
    </cfRule>
  </conditionalFormatting>
  <hyperlinks>
    <hyperlink ref="B5" location="'00_PORTADA_BODEGA'!A1" tooltip="Portada de Bodega" display="⌂ Bodega" xr:uid="{00000000-0004-0000-1400-000000000000}"/>
    <hyperlink ref="C5" location="'00_PORTADA_VENTAS'!A1" tooltip="Portada de Ventas" display="⌂ Ventas" xr:uid="{00000000-0004-0000-1400-000001000000}"/>
    <hyperlink ref="D5" location="'00_PORTADA_GERENCIA'!A1" tooltip="Portada de Gerencia: indicadores, pedido y actividad" display="◈ Gerencia" xr:uid="{00000000-0004-0000-1400-000002000000}"/>
    <hyperlink ref="E5" location="'10A_ENTRADAS'!C9" tooltip="Registrar entradas y ajustes (Bodega)" display="⇩ Entradas" xr:uid="{00000000-0004-0000-1400-000003000000}"/>
    <hyperlink ref="F5" location="'10B_SALIDAS'!E9" tooltip="Registrar salidas (Ventas)" display="⇧ Salidas" xr:uid="{00000000-0004-0000-1400-000004000000}"/>
    <hyperlink ref="G5" location="'17_CONSULTA'!C9" tooltip="Consultar un producto en su fila" display="⌕ Consulta" xr:uid="{00000000-0004-0000-1400-000005000000}"/>
    <hyperlink ref="H5" location="'15_STOCK'!A1" tooltip="Stock (instantánea recalculada a demanda)" display="▦ Stock" xr:uid="{00000000-0004-0000-1400-000006000000}"/>
    <hyperlink ref="I5" location="'18_PEDIDO'!A1" tooltip="Pedido sugerido por proveedor" display="✚ Pedido" xr:uid="{00000000-0004-0000-1400-000007000000}"/>
    <hyperlink ref="J5" location="'13_CONTEO'!I9" tooltip="Toma física (conteo) colaborativa" display="✓ Conteo" xr:uid="{00000000-0004-0000-1400-000008000000}"/>
    <hyperlink ref="K5" location="'99_AYUDA'!A1" tooltip="Guía de uso, acceso e instalación" display="? Guía" xr:uid="{00000000-0004-0000-1400-000009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21</vt:i4>
      </vt:variant>
      <vt:variant>
        <vt:lpstr>Rangos con nombre</vt:lpstr>
      </vt:variant>
      <vt:variant>
        <vt:i4>85</vt:i4>
      </vt:variant>
    </vt:vector>
  </HeadingPairs>
  <TitlesOfParts>
    <vt:vector size="106" baseType="lpstr">
      <vt:lpstr>00_PORTADA_BODEGA</vt:lpstr>
      <vt:lpstr>00_PORTADA_VENTAS</vt:lpstr>
      <vt:lpstr>00_PORTADA_GERENCIA</vt:lpstr>
      <vt:lpstr>01_CONFIG</vt:lpstr>
      <vt:lpstr>02_USUARIOS</vt:lpstr>
      <vt:lpstr>03_CATEGORIAS</vt:lpstr>
      <vt:lpstr>04_PROVEEDORES</vt:lpstr>
      <vt:lpstr>05_PRODUCTOS</vt:lpstr>
      <vt:lpstr>06_UNIDADES</vt:lpstr>
      <vt:lpstr>10A_ENTRADAS</vt:lpstr>
      <vt:lpstr>10B_SALIDAS</vt:lpstr>
      <vt:lpstr>13_CONTEO</vt:lpstr>
      <vt:lpstr>14_ACTIVIDAD</vt:lpstr>
      <vt:lpstr>15_STOCK</vt:lpstr>
      <vt:lpstr>16_ALERTAS</vt:lpstr>
      <vt:lpstr>17_CONSULTA</vt:lpstr>
      <vt:lpstr>18_PEDIDO</vt:lpstr>
      <vt:lpstr>90_LISTAS</vt:lpstr>
      <vt:lpstr>91_KPIS</vt:lpstr>
      <vt:lpstr>92_SESION</vt:lpstr>
      <vt:lpstr>99_AYUDA</vt:lpstr>
      <vt:lpstr>cfgBodega</vt:lpstr>
      <vt:lpstr>cfgDiasSinRotacion</vt:lpstr>
      <vt:lpstr>cfgEdicion</vt:lpstr>
      <vt:lpstr>cfgEmpresa</vt:lpstr>
      <vt:lpstr>cfgFechaBuild</vt:lpstr>
      <vt:lpstr>cfgFechaMin</vt:lpstr>
      <vt:lpstr>cfgMargenAlerta</vt:lpstr>
      <vt:lpstr>cfgMoneda</vt:lpstr>
      <vt:lpstr>cfgNIT</vt:lpstr>
      <vt:lpstr>cfgProveedor</vt:lpstr>
      <vt:lpstr>cfgVersion</vt:lpstr>
      <vt:lpstr>ctConfirmar</vt:lpstr>
      <vt:lpstr>ctFecha</vt:lpstr>
      <vt:lpstr>ctResultado</vt:lpstr>
      <vt:lpstr>kpiActivos</vt:lpstr>
      <vt:lpstr>kpiAdmins</vt:lpstr>
      <vt:lpstr>kpiAgotados</vt:lpstr>
      <vt:lpstr>kpiAjustesMes</vt:lpstr>
      <vt:lpstr>kpiBajos</vt:lpstr>
      <vt:lpstr>kpiBloqMes</vt:lpstr>
      <vt:lpstr>kpiCatalogo</vt:lpstr>
      <vt:lpstr>kpiCobMed</vt:lpstr>
      <vt:lpstr>kpiConteoContados</vt:lpstr>
      <vt:lpstr>kpiConteoDif</vt:lpstr>
      <vt:lpstr>kpiConteoValor</vt:lpstr>
      <vt:lpstr>kpiCriticos</vt:lpstr>
      <vt:lpstr>kpiDisponibles</vt:lpstr>
      <vt:lpstr>kpiEjecuciones</vt:lpstr>
      <vt:lpstr>kpiEnAlerta</vt:lpstr>
      <vt:lpstr>kpiEntradasHoy</vt:lpstr>
      <vt:lpstr>kpiInactivos</vt:lpstr>
      <vt:lpstr>kpiInconsistentes</vt:lpstr>
      <vt:lpstr>kpiMovMes</vt:lpstr>
      <vt:lpstr>kpiNuevosDesdeCalculo</vt:lpstr>
      <vt:lpstr>kpiOptimos</vt:lpstr>
      <vt:lpstr>kpiPedidoLineas</vt:lpstr>
      <vt:lpstr>kpiPedidoProv</vt:lpstr>
      <vt:lpstr>kpiPedidoTotal</vt:lpstr>
      <vt:lpstr>kpiPendEnt</vt:lpstr>
      <vt:lpstr>kpiPendSal</vt:lpstr>
      <vt:lpstr>kpiProveedores</vt:lpstr>
      <vt:lpstr>kpiRechazos</vt:lpstr>
      <vt:lpstr>kpiRechEnt</vt:lpstr>
      <vt:lpstr>kpiRechSal</vt:lpstr>
      <vt:lpstr>kpiRegEnt</vt:lpstr>
      <vt:lpstr>kpiRegSal</vt:lpstr>
      <vt:lpstr>kpiSaldosIni</vt:lpstr>
      <vt:lpstr>kpiSalidasHoy</vt:lpstr>
      <vt:lpstr>kpiSalidasMes</vt:lpstr>
      <vt:lpstr>kpiSinRotacion</vt:lpstr>
      <vt:lpstr>kpiSobrestock</vt:lpstr>
      <vt:lpstr>kpiUltProd</vt:lpstr>
      <vt:lpstr>kpiUltProv</vt:lpstr>
      <vt:lpstr>kpiUnid30</vt:lpstr>
      <vt:lpstr>kpiUnidadesHoy</vt:lpstr>
      <vt:lpstr>kpiUsuarios</vt:lpstr>
      <vt:lpstr>kpiValor</vt:lpstr>
      <vt:lpstr>lstCategorias</vt:lpstr>
      <vt:lpstr>lstRoles</vt:lpstr>
      <vt:lpstr>lstTiposBodega</vt:lpstr>
      <vt:lpstr>lstUniCod</vt:lpstr>
      <vt:lpstr>lstUniDec</vt:lpstr>
      <vt:lpstr>stkActualizado</vt:lpstr>
      <vt:lpstr>stkActualizadoNombre</vt:lpstr>
      <vt:lpstr>stkActualizadoPor</vt:lpstr>
      <vt:lpstr>stkMovimientos</vt:lpstr>
      <vt:lpstr>'04_PROVEEDORES'!Títulos_a_imprimir</vt:lpstr>
      <vt:lpstr>'05_PRODUCTOS'!Títulos_a_imprimir</vt:lpstr>
      <vt:lpstr>'13_CONTEO'!Títulos_a_imprimir</vt:lpstr>
      <vt:lpstr>'14_ACTIVIDAD'!Títulos_a_imprimir</vt:lpstr>
      <vt:lpstr>'15_STOCK'!Títulos_a_imprimir</vt:lpstr>
      <vt:lpstr>'16_ALERTAS'!Títulos_a_imprimir</vt:lpstr>
      <vt:lpstr>'18_PEDIDO'!Títulos_a_imprimir</vt:lpstr>
      <vt:lpstr>txtAlertasBtn</vt:lpstr>
      <vt:lpstr>txtBitacoras</vt:lpstr>
      <vt:lpstr>txtEmpresa</vt:lpstr>
      <vt:lpstr>txtFrescura</vt:lpstr>
      <vt:lpstr>txtFrescuraCorta</vt:lpstr>
      <vt:lpstr>txtHoy</vt:lpstr>
      <vt:lpstr>txtPasoBodega</vt:lpstr>
      <vt:lpstr>txtPasoGerencia</vt:lpstr>
      <vt:lpstr>txtPasoVentas</vt:lpstr>
      <vt:lpstr>txtPedidoBtn</vt:lpstr>
      <vt:lpstr>txtStockActualizado</vt:lpstr>
      <vt:lpstr>txtUltimaEjecucion</vt:lpstr>
    </vt:vector>
  </TitlesOfParts>
  <Company>Z&amp;P Software Fast Solutions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M-INV · Inventario colaborativo</dc:title>
  <dc:subject>Inventario B2B en Microsoft 365 (CQRS fragmentado)</dc:subject>
  <dc:creator>Z&amp;P Software Fast Solutions</dc:creator>
  <cp:keywords>M-INV, inventario, Office Scripts, coautoría, CQRS</cp:keywords>
  <dc:description>Generado por tools/build_minv_v2.py. No editar a mano: regenerar desde el repositorio.</dc:description>
  <cp:lastModifiedBy>John Martin Zabaleta Cano</cp:lastModifiedBy>
  <dcterms:created xsi:type="dcterms:W3CDTF">2026-09-25T14:25:41Z</dcterms:created>
  <dcterms:modified xsi:type="dcterms:W3CDTF">2026-09-25T14:26:01Z</dcterms:modified>
  <cp:category>Inventarios</cp:category>
  <cp:contentStatus>Desarrollo (datos demo)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-INV Version">
    <vt:lpwstr>2.1.0</vt:lpwstr>
  </property>
  <property fmtid="{D5CDD505-2E9C-101B-9397-08002B2CF9AE}" pid="3" name="M-INV Build">
    <vt:lpwstr>core</vt:lpwstr>
  </property>
  <property fmtid="{D5CDD505-2E9C-101B-9397-08002B2CF9AE}" pid="4" name="M-INV Edicion">
    <vt:lpwstr>colaborativa</vt:lpwstr>
  </property>
</Properties>
</file>