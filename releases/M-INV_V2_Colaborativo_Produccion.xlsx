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yectos Claude 2\Sistema Inventario\ZP-MINV-Platform\releases\"/>
    </mc:Choice>
  </mc:AlternateContent>
  <xr:revisionPtr revIDLastSave="0" documentId="13_ncr:1_{5C9DB47A-F7B5-48EB-9C97-4CA52B2F6168}" xr6:coauthVersionLast="47" xr6:coauthVersionMax="47" xr10:uidLastSave="{00000000-0000-0000-0000-000000000000}"/>
  <workbookProtection workbookPassword="930D" lockStructure="1"/>
  <bookViews>
    <workbookView xWindow="-120" yWindow="-120" windowWidth="29040" windowHeight="15720" xr2:uid="{00000000-000D-0000-FFFF-FFFF00000000}"/>
  </bookViews>
  <sheets>
    <sheet name="00_PORTADA_BODEGA" sheetId="1" r:id="rId1"/>
    <sheet name="00_PORTADA_VENTAS" sheetId="2" r:id="rId2"/>
    <sheet name="00_PORTADA_GERENCIA" sheetId="3" r:id="rId3"/>
    <sheet name="01_CONFIG" sheetId="4" state="veryHidden" r:id="rId4"/>
    <sheet name="02_USUARIOS" sheetId="5" r:id="rId5"/>
    <sheet name="03_CATEGORIAS" sheetId="6" state="veryHidden" r:id="rId6"/>
    <sheet name="04_PROVEEDORES" sheetId="7" r:id="rId7"/>
    <sheet name="05_PRODUCTOS" sheetId="8" r:id="rId8"/>
    <sheet name="06_UNIDADES" sheetId="9" state="veryHidden" r:id="rId9"/>
    <sheet name="10A_ENTRADAS" sheetId="10" r:id="rId10"/>
    <sheet name="10B_SALIDAS" sheetId="11" r:id="rId11"/>
    <sheet name="13_CONTEO" sheetId="12" r:id="rId12"/>
    <sheet name="14_ACTIVIDAD" sheetId="13" r:id="rId13"/>
    <sheet name="15_STOCK" sheetId="14" r:id="rId14"/>
    <sheet name="16_ALERTAS" sheetId="15" r:id="rId15"/>
    <sheet name="17_CONSULTA" sheetId="16" r:id="rId16"/>
    <sheet name="18_PEDIDO" sheetId="17" r:id="rId17"/>
    <sheet name="90_LISTAS" sheetId="18" state="veryHidden" r:id="rId18"/>
    <sheet name="91_KPIS" sheetId="19" state="veryHidden" r:id="rId19"/>
    <sheet name="92_SESION" sheetId="20" state="veryHidden" r:id="rId20"/>
    <sheet name="99_AYUDA" sheetId="21" r:id="rId21"/>
  </sheets>
  <definedNames>
    <definedName name="cfgBodega">'01_CONFIG'!$C$11</definedName>
    <definedName name="cfgDiasSinRotacion">'01_CONFIG'!$C$14</definedName>
    <definedName name="cfgEdicion">'01_CONFIG'!$C$17</definedName>
    <definedName name="cfgEmpresa">'01_CONFIG'!$C$9</definedName>
    <definedName name="cfgFechaBuild">'01_CONFIG'!$C$18</definedName>
    <definedName name="cfgFechaMin">'01_CONFIG'!$C$15</definedName>
    <definedName name="cfgMargenAlerta">'01_CONFIG'!$C$13</definedName>
    <definedName name="cfgMoneda">'01_CONFIG'!$C$12</definedName>
    <definedName name="cfgNIT">'01_CONFIG'!$C$10</definedName>
    <definedName name="cfgProveedor">'01_CONFIG'!$C$19</definedName>
    <definedName name="cfgVersion">'01_CONFIG'!$C$16</definedName>
    <definedName name="ctConfirmar">'13_CONTEO'!$H$7</definedName>
    <definedName name="ctFecha">'13_CONTEO'!$D$7</definedName>
    <definedName name="ctResultado">'13_CONTEO'!$I$7</definedName>
    <definedName name="kpiActivos">'91_KPIS'!$C$9</definedName>
    <definedName name="kpiAdmins">'91_KPIS'!$C$12</definedName>
    <definedName name="kpiAgotados">'91_KPIS'!$C$16</definedName>
    <definedName name="kpiAjustesMes">'91_KPIS'!$C$33</definedName>
    <definedName name="kpiBajos">'91_KPIS'!$C$18</definedName>
    <definedName name="kpiBloqMes">'91_KPIS'!$C$50</definedName>
    <definedName name="kpiCatalogo">'91_KPIS'!$C$8</definedName>
    <definedName name="kpiCobMed">'91_KPIS'!$C$42</definedName>
    <definedName name="kpiConteoContados">'91_KPIS'!$C$46</definedName>
    <definedName name="kpiConteoDif">'91_KPIS'!$C$47</definedName>
    <definedName name="kpiConteoValor">'91_KPIS'!$C$48</definedName>
    <definedName name="kpiCriticos">'91_KPIS'!$C$17</definedName>
    <definedName name="kpiDisponibles">'91_KPIS'!$C$24</definedName>
    <definedName name="kpiEjecuciones">'91_KPIS'!$C$49</definedName>
    <definedName name="kpiEnAlerta">'91_KPIS'!$C$22</definedName>
    <definedName name="kpiEntradasHoy">'91_KPIS'!$C$32</definedName>
    <definedName name="kpiInactivos">'91_KPIS'!$C$21</definedName>
    <definedName name="kpiInconsistentes">'91_KPIS'!$C$15</definedName>
    <definedName name="kpiMovMes">'91_KPIS'!$C$40</definedName>
    <definedName name="kpiNuevosDesdeCalculo">'91_KPIS'!$C$38</definedName>
    <definedName name="kpiOptimos">'91_KPIS'!$C$19</definedName>
    <definedName name="kpiPedidoLineas">'91_KPIS'!$C$43</definedName>
    <definedName name="kpiPedidoProv">'91_KPIS'!$C$45</definedName>
    <definedName name="kpiPedidoTotal">'91_KPIS'!$C$44</definedName>
    <definedName name="kpiPendEnt">'91_KPIS'!$C$30</definedName>
    <definedName name="kpiPendSal">'91_KPIS'!$C$31</definedName>
    <definedName name="kpiProveedores">'91_KPIS'!$C$10</definedName>
    <definedName name="kpiRechazos">'91_KPIS'!$C$39</definedName>
    <definedName name="kpiRechEnt">'91_KPIS'!$C$28</definedName>
    <definedName name="kpiRechSal">'91_KPIS'!$C$29</definedName>
    <definedName name="kpiRegEnt">'91_KPIS'!$C$26</definedName>
    <definedName name="kpiRegSal">'91_KPIS'!$C$27</definedName>
    <definedName name="kpiSaldosIni">'91_KPIS'!$C$34</definedName>
    <definedName name="kpiSalidasHoy">'91_KPIS'!$C$35</definedName>
    <definedName name="kpiSalidasMes">'91_KPIS'!$C$37</definedName>
    <definedName name="kpiSinRotacion">'91_KPIS'!$C$25</definedName>
    <definedName name="kpiSobrestock">'91_KPIS'!$C$20</definedName>
    <definedName name="kpiUltProd">'91_KPIS'!$C$13</definedName>
    <definedName name="kpiUltProv">'91_KPIS'!$C$14</definedName>
    <definedName name="kpiUnid30">'91_KPIS'!$C$41</definedName>
    <definedName name="kpiUnidadesHoy">'91_KPIS'!$C$36</definedName>
    <definedName name="kpiUsuarios">'91_KPIS'!$C$11</definedName>
    <definedName name="kpiValor">'91_KPIS'!$C$23</definedName>
    <definedName name="lstCategorias">tblCategorias[Categoría]</definedName>
    <definedName name="lstProductos">OFFSET('05_PRODUCTOS'!$L$8,0,0,MAX(1,kpiUltProd),1)</definedName>
    <definedName name="lstProveedores">OFFSET('04_PROVEEDORES'!$B$8,0,0,MAX(1,kpiUltProv),1)</definedName>
    <definedName name="lstRoles">'90_LISTAS'!$D$8:$D$11</definedName>
    <definedName name="lstTiposBodega">'90_LISTAS'!$B$8:$B$11</definedName>
    <definedName name="lstUniCod">tblUnidades[Código]</definedName>
    <definedName name="lstUniDec">tblUnidades[Decimales]</definedName>
    <definedName name="stkActualizado">'01_CONFIG'!$C$20</definedName>
    <definedName name="stkActualizadoNombre">'01_CONFIG'!$C$22</definedName>
    <definedName name="stkActualizadoPor">'01_CONFIG'!$C$21</definedName>
    <definedName name="stkMovimientos">'01_CONFIG'!$C$23</definedName>
    <definedName name="_xlnm.Print_Titles" localSheetId="6">'04_PROVEEDORES'!$7:$7</definedName>
    <definedName name="_xlnm.Print_Titles" localSheetId="7">'05_PRODUCTOS'!$7:$7</definedName>
    <definedName name="_xlnm.Print_Titles" localSheetId="11">'13_CONTEO'!$8:$8</definedName>
    <definedName name="_xlnm.Print_Titles" localSheetId="12">'14_ACTIVIDAD'!$7:$7</definedName>
    <definedName name="_xlnm.Print_Titles" localSheetId="13">'15_STOCK'!$7:$7</definedName>
    <definedName name="_xlnm.Print_Titles" localSheetId="14">'16_ALERTAS'!$7:$7</definedName>
    <definedName name="_xlnm.Print_Titles" localSheetId="16">'18_PEDIDO'!$7:$7</definedName>
    <definedName name="txtAlertasBtn">'91_KPIS'!$C$59</definedName>
    <definedName name="txtBitacoras">'91_KPIS'!$C$62</definedName>
    <definedName name="txtEmpresa">'91_KPIS'!$C$52</definedName>
    <definedName name="txtFrescura">'91_KPIS'!$C$54</definedName>
    <definedName name="txtFrescuraCorta">'91_KPIS'!$C$55</definedName>
    <definedName name="txtHoy">'91_KPIS'!$C$51</definedName>
    <definedName name="txtPasoBodega">'91_KPIS'!$C$60</definedName>
    <definedName name="txtPasoGerencia">'91_KPIS'!$C$58</definedName>
    <definedName name="txtPasoVentas">'91_KPIS'!$C$61</definedName>
    <definedName name="txtPedidoBtn">'91_KPIS'!$C$56</definedName>
    <definedName name="txtStockActualizado">'91_KPIS'!$C$53</definedName>
    <definedName name="txtUltimaEjecucion">'91_KPIS'!$C$57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1" l="1"/>
  <c r="C58" i="19"/>
  <c r="C55" i="19"/>
  <c r="C54" i="19"/>
  <c r="C53" i="19"/>
  <c r="C12" i="21" s="1"/>
  <c r="C52" i="19"/>
  <c r="C51" i="19"/>
  <c r="C50" i="19"/>
  <c r="C49" i="19"/>
  <c r="C46" i="19"/>
  <c r="C45" i="19"/>
  <c r="C6" i="17" s="1"/>
  <c r="C44" i="19"/>
  <c r="C43" i="19"/>
  <c r="C42" i="19"/>
  <c r="E21" i="3" s="1"/>
  <c r="C41" i="19"/>
  <c r="B21" i="3" s="1"/>
  <c r="C40" i="19"/>
  <c r="K17" i="3" s="1"/>
  <c r="C38" i="19"/>
  <c r="C37" i="19"/>
  <c r="E17" i="2" s="1"/>
  <c r="C36" i="19"/>
  <c r="B18" i="2" s="1"/>
  <c r="C35" i="19"/>
  <c r="B17" i="2" s="1"/>
  <c r="C34" i="19"/>
  <c r="C33" i="19"/>
  <c r="B18" i="1" s="1"/>
  <c r="C32" i="19"/>
  <c r="B17" i="1" s="1"/>
  <c r="C29" i="19"/>
  <c r="C6" i="11" s="1"/>
  <c r="C28" i="19"/>
  <c r="C27" i="19"/>
  <c r="B6" i="11" s="1"/>
  <c r="C26" i="19"/>
  <c r="C25" i="19"/>
  <c r="C24" i="19"/>
  <c r="H17" i="2" s="1"/>
  <c r="C23" i="19"/>
  <c r="C21" i="19"/>
  <c r="C20" i="19"/>
  <c r="C19" i="19"/>
  <c r="C18" i="19"/>
  <c r="C17" i="19"/>
  <c r="H17" i="1" s="1"/>
  <c r="C16" i="19"/>
  <c r="C15" i="19"/>
  <c r="C22" i="19" s="1"/>
  <c r="C14" i="19"/>
  <c r="C13" i="19"/>
  <c r="C12" i="19"/>
  <c r="K22" i="3" s="1"/>
  <c r="C11" i="19"/>
  <c r="C10" i="19"/>
  <c r="C9" i="19"/>
  <c r="C8" i="19"/>
  <c r="F23" i="18"/>
  <c r="G23" i="18" s="1"/>
  <c r="F22" i="18"/>
  <c r="G22" i="18" s="1"/>
  <c r="F21" i="18"/>
  <c r="G21" i="18" s="1"/>
  <c r="F20" i="18"/>
  <c r="G20" i="18" s="1"/>
  <c r="F19" i="18"/>
  <c r="G19" i="18" s="1"/>
  <c r="F18" i="18"/>
  <c r="G18" i="18" s="1"/>
  <c r="F17" i="18"/>
  <c r="G17" i="18" s="1"/>
  <c r="L13" i="18"/>
  <c r="M13" i="18" s="1"/>
  <c r="I13" i="18"/>
  <c r="J13" i="18" s="1"/>
  <c r="G13" i="18"/>
  <c r="L12" i="18"/>
  <c r="M12" i="18" s="1"/>
  <c r="I12" i="18"/>
  <c r="J12" i="18" s="1"/>
  <c r="G12" i="18"/>
  <c r="L11" i="18"/>
  <c r="M11" i="18" s="1"/>
  <c r="I11" i="18"/>
  <c r="J11" i="18" s="1"/>
  <c r="G11" i="18"/>
  <c r="L10" i="18"/>
  <c r="M10" i="18" s="1"/>
  <c r="I10" i="18"/>
  <c r="J10" i="18" s="1"/>
  <c r="G10" i="18"/>
  <c r="L9" i="18"/>
  <c r="M9" i="18" s="1"/>
  <c r="I9" i="18"/>
  <c r="J9" i="18" s="1"/>
  <c r="G9" i="18"/>
  <c r="L8" i="18"/>
  <c r="M8" i="18" s="1"/>
  <c r="I8" i="18"/>
  <c r="J8" i="18" s="1"/>
  <c r="G8" i="18"/>
  <c r="E6" i="17"/>
  <c r="B6" i="17"/>
  <c r="Q28" i="16"/>
  <c r="P28" i="16"/>
  <c r="O28" i="16"/>
  <c r="M28" i="16"/>
  <c r="N28" i="16" s="1"/>
  <c r="L28" i="16"/>
  <c r="K28" i="16"/>
  <c r="J28" i="16"/>
  <c r="I28" i="16"/>
  <c r="G28" i="16"/>
  <c r="F28" i="16"/>
  <c r="D28" i="16"/>
  <c r="B28" i="16"/>
  <c r="Q27" i="16"/>
  <c r="P27" i="16"/>
  <c r="O27" i="16"/>
  <c r="M27" i="16"/>
  <c r="N27" i="16" s="1"/>
  <c r="L27" i="16"/>
  <c r="K27" i="16"/>
  <c r="J27" i="16"/>
  <c r="I27" i="16"/>
  <c r="G27" i="16"/>
  <c r="F27" i="16"/>
  <c r="D27" i="16"/>
  <c r="B27" i="16"/>
  <c r="Q26" i="16"/>
  <c r="R26" i="16" s="1"/>
  <c r="P26" i="16"/>
  <c r="N26" i="16"/>
  <c r="M26" i="16"/>
  <c r="L26" i="16"/>
  <c r="K26" i="16"/>
  <c r="J26" i="16"/>
  <c r="I26" i="16"/>
  <c r="G26" i="16"/>
  <c r="F26" i="16"/>
  <c r="D26" i="16"/>
  <c r="B26" i="16"/>
  <c r="Q25" i="16"/>
  <c r="P25" i="16"/>
  <c r="O25" i="16"/>
  <c r="N25" i="16"/>
  <c r="M25" i="16"/>
  <c r="L25" i="16"/>
  <c r="K25" i="16"/>
  <c r="J25" i="16"/>
  <c r="I25" i="16"/>
  <c r="G25" i="16"/>
  <c r="F25" i="16"/>
  <c r="D25" i="16"/>
  <c r="B25" i="16"/>
  <c r="Q24" i="16"/>
  <c r="P24" i="16"/>
  <c r="M24" i="16"/>
  <c r="N24" i="16" s="1"/>
  <c r="L24" i="16"/>
  <c r="K24" i="16"/>
  <c r="J24" i="16"/>
  <c r="I24" i="16"/>
  <c r="G24" i="16"/>
  <c r="F24" i="16"/>
  <c r="D24" i="16"/>
  <c r="B24" i="16"/>
  <c r="Q23" i="16"/>
  <c r="P23" i="16"/>
  <c r="O23" i="16"/>
  <c r="N23" i="16"/>
  <c r="M23" i="16"/>
  <c r="L23" i="16"/>
  <c r="K23" i="16"/>
  <c r="J23" i="16"/>
  <c r="I23" i="16"/>
  <c r="G23" i="16"/>
  <c r="F23" i="16"/>
  <c r="E23" i="16"/>
  <c r="D23" i="16"/>
  <c r="H23" i="16" s="1"/>
  <c r="B23" i="16"/>
  <c r="Q22" i="16"/>
  <c r="O22" i="16" s="1"/>
  <c r="P22" i="16"/>
  <c r="M22" i="16"/>
  <c r="N22" i="16" s="1"/>
  <c r="L22" i="16"/>
  <c r="K22" i="16"/>
  <c r="J22" i="16"/>
  <c r="I22" i="16"/>
  <c r="G22" i="16"/>
  <c r="F22" i="16"/>
  <c r="D22" i="16"/>
  <c r="B22" i="16"/>
  <c r="Q21" i="16"/>
  <c r="P21" i="16"/>
  <c r="L21" i="16"/>
  <c r="K21" i="16"/>
  <c r="J21" i="16"/>
  <c r="I21" i="16"/>
  <c r="G21" i="16"/>
  <c r="F21" i="16"/>
  <c r="D21" i="16"/>
  <c r="B21" i="16"/>
  <c r="Q20" i="16"/>
  <c r="M20" i="16" s="1"/>
  <c r="P20" i="16"/>
  <c r="L20" i="16"/>
  <c r="K20" i="16"/>
  <c r="J20" i="16"/>
  <c r="I20" i="16"/>
  <c r="G20" i="16"/>
  <c r="F20" i="16"/>
  <c r="D20" i="16"/>
  <c r="B20" i="16"/>
  <c r="Q19" i="16"/>
  <c r="P19" i="16"/>
  <c r="O19" i="16"/>
  <c r="N19" i="16"/>
  <c r="M19" i="16"/>
  <c r="L19" i="16"/>
  <c r="K19" i="16"/>
  <c r="J19" i="16"/>
  <c r="I19" i="16"/>
  <c r="G19" i="16"/>
  <c r="F19" i="16"/>
  <c r="D19" i="16"/>
  <c r="B19" i="16"/>
  <c r="Q18" i="16"/>
  <c r="P18" i="16"/>
  <c r="O18" i="16"/>
  <c r="M18" i="16"/>
  <c r="N18" i="16" s="1"/>
  <c r="L18" i="16"/>
  <c r="K18" i="16"/>
  <c r="J18" i="16"/>
  <c r="I18" i="16"/>
  <c r="G18" i="16"/>
  <c r="F18" i="16"/>
  <c r="D18" i="16"/>
  <c r="B18" i="16"/>
  <c r="Q17" i="16"/>
  <c r="O17" i="16" s="1"/>
  <c r="P17" i="16"/>
  <c r="M17" i="16"/>
  <c r="N17" i="16" s="1"/>
  <c r="L17" i="16"/>
  <c r="K17" i="16"/>
  <c r="J17" i="16"/>
  <c r="I17" i="16"/>
  <c r="G17" i="16"/>
  <c r="F17" i="16"/>
  <c r="D17" i="16"/>
  <c r="B17" i="16"/>
  <c r="Q16" i="16"/>
  <c r="P16" i="16"/>
  <c r="N16" i="16"/>
  <c r="M16" i="16"/>
  <c r="L16" i="16"/>
  <c r="K16" i="16"/>
  <c r="J16" i="16"/>
  <c r="I16" i="16"/>
  <c r="G16" i="16"/>
  <c r="F16" i="16"/>
  <c r="D16" i="16"/>
  <c r="B16" i="16"/>
  <c r="Q15" i="16"/>
  <c r="P15" i="16"/>
  <c r="O15" i="16"/>
  <c r="M15" i="16"/>
  <c r="N15" i="16" s="1"/>
  <c r="Q14" i="16"/>
  <c r="M14" i="16"/>
  <c r="N14" i="16" s="1"/>
  <c r="L14" i="16"/>
  <c r="K14" i="16"/>
  <c r="J14" i="16"/>
  <c r="I14" i="16"/>
  <c r="G14" i="16"/>
  <c r="F14" i="16"/>
  <c r="D14" i="16"/>
  <c r="Q13" i="16"/>
  <c r="O13" i="16"/>
  <c r="M13" i="16"/>
  <c r="N13" i="16" s="1"/>
  <c r="L13" i="16"/>
  <c r="K13" i="16"/>
  <c r="J13" i="16"/>
  <c r="I13" i="16"/>
  <c r="G13" i="16"/>
  <c r="F13" i="16"/>
  <c r="D13" i="16"/>
  <c r="Q12" i="16"/>
  <c r="M12" i="16"/>
  <c r="N12" i="16" s="1"/>
  <c r="L12" i="16"/>
  <c r="K12" i="16"/>
  <c r="J12" i="16"/>
  <c r="I12" i="16"/>
  <c r="G12" i="16"/>
  <c r="F12" i="16"/>
  <c r="D12" i="16"/>
  <c r="Q11" i="16"/>
  <c r="O11" i="16"/>
  <c r="M11" i="16"/>
  <c r="N11" i="16" s="1"/>
  <c r="L11" i="16"/>
  <c r="K11" i="16"/>
  <c r="J11" i="16"/>
  <c r="I11" i="16"/>
  <c r="G11" i="16"/>
  <c r="F11" i="16"/>
  <c r="D11" i="16"/>
  <c r="Q10" i="16"/>
  <c r="O10" i="16"/>
  <c r="M10" i="16"/>
  <c r="N10" i="16" s="1"/>
  <c r="L10" i="16"/>
  <c r="K10" i="16"/>
  <c r="J10" i="16"/>
  <c r="I10" i="16"/>
  <c r="G10" i="16"/>
  <c r="F10" i="16"/>
  <c r="D10" i="16"/>
  <c r="Q9" i="16"/>
  <c r="M9" i="16"/>
  <c r="N9" i="16" s="1"/>
  <c r="L9" i="16"/>
  <c r="K9" i="16"/>
  <c r="J9" i="16"/>
  <c r="I9" i="16"/>
  <c r="G9" i="16"/>
  <c r="F9" i="16"/>
  <c r="D9" i="16"/>
  <c r="B6" i="16"/>
  <c r="F6" i="15"/>
  <c r="B6" i="15"/>
  <c r="D6" i="14"/>
  <c r="B6" i="14"/>
  <c r="C6" i="13"/>
  <c r="B6" i="13"/>
  <c r="B508" i="12"/>
  <c r="B507" i="12"/>
  <c r="B506" i="12"/>
  <c r="B505" i="12"/>
  <c r="B504" i="12"/>
  <c r="B503" i="12"/>
  <c r="B502" i="12"/>
  <c r="B501" i="12"/>
  <c r="B500" i="12"/>
  <c r="B499" i="12"/>
  <c r="D499" i="12" s="1"/>
  <c r="B498" i="12"/>
  <c r="B497" i="12"/>
  <c r="J497" i="12" s="1"/>
  <c r="K497" i="12" s="1"/>
  <c r="B496" i="12"/>
  <c r="B495" i="12"/>
  <c r="B494" i="12"/>
  <c r="B493" i="12"/>
  <c r="B492" i="12"/>
  <c r="G492" i="12" s="1"/>
  <c r="B491" i="12"/>
  <c r="B490" i="12"/>
  <c r="B489" i="12"/>
  <c r="B488" i="12"/>
  <c r="B487" i="12"/>
  <c r="B486" i="12"/>
  <c r="B485" i="12"/>
  <c r="B484" i="12"/>
  <c r="B483" i="12"/>
  <c r="B482" i="12"/>
  <c r="B481" i="12"/>
  <c r="B480" i="12"/>
  <c r="B479" i="12"/>
  <c r="B478" i="12"/>
  <c r="B477" i="12"/>
  <c r="B476" i="12"/>
  <c r="B475" i="12"/>
  <c r="B474" i="12"/>
  <c r="B473" i="12"/>
  <c r="B472" i="12"/>
  <c r="B471" i="12"/>
  <c r="B470" i="12"/>
  <c r="B469" i="12"/>
  <c r="B468" i="12"/>
  <c r="B467" i="12"/>
  <c r="B466" i="12"/>
  <c r="B465" i="12"/>
  <c r="B464" i="12"/>
  <c r="B463" i="12"/>
  <c r="B462" i="12"/>
  <c r="B461" i="12"/>
  <c r="B460" i="12"/>
  <c r="B459" i="12"/>
  <c r="B458" i="12"/>
  <c r="B457" i="12"/>
  <c r="B456" i="12"/>
  <c r="B455" i="12"/>
  <c r="B454" i="12"/>
  <c r="B453" i="12"/>
  <c r="B452" i="12"/>
  <c r="B451" i="12"/>
  <c r="B450" i="12"/>
  <c r="B449" i="12"/>
  <c r="B448" i="12"/>
  <c r="B447" i="12"/>
  <c r="B446" i="12"/>
  <c r="B445" i="12"/>
  <c r="B444" i="12"/>
  <c r="B443" i="12"/>
  <c r="B442" i="12"/>
  <c r="B441" i="12"/>
  <c r="B440" i="12"/>
  <c r="B439" i="12"/>
  <c r="B438" i="12"/>
  <c r="B437" i="12"/>
  <c r="B436" i="12"/>
  <c r="B435" i="12"/>
  <c r="B434" i="12"/>
  <c r="B433" i="12"/>
  <c r="B432" i="12"/>
  <c r="B431" i="12"/>
  <c r="B430" i="12"/>
  <c r="B429" i="12"/>
  <c r="B428" i="12"/>
  <c r="B427" i="12"/>
  <c r="B426" i="12"/>
  <c r="B425" i="12"/>
  <c r="B424" i="12"/>
  <c r="B423" i="12"/>
  <c r="B422" i="12"/>
  <c r="B421" i="12"/>
  <c r="B420" i="12"/>
  <c r="B419" i="12"/>
  <c r="B418" i="12"/>
  <c r="B417" i="12"/>
  <c r="B416" i="12"/>
  <c r="B415" i="12"/>
  <c r="B414" i="12"/>
  <c r="B413" i="12"/>
  <c r="B412" i="12"/>
  <c r="B411" i="12"/>
  <c r="B410" i="12"/>
  <c r="B409" i="12"/>
  <c r="B408" i="12"/>
  <c r="B407" i="12"/>
  <c r="B406" i="12"/>
  <c r="B405" i="12"/>
  <c r="B404" i="12"/>
  <c r="B403" i="12"/>
  <c r="B402" i="12"/>
  <c r="B401" i="12"/>
  <c r="B400" i="12"/>
  <c r="B399" i="12"/>
  <c r="B398" i="12"/>
  <c r="B397" i="12"/>
  <c r="B396" i="12"/>
  <c r="B395" i="12"/>
  <c r="B394" i="12"/>
  <c r="B393" i="12"/>
  <c r="B392" i="12"/>
  <c r="B391" i="12"/>
  <c r="B390" i="12"/>
  <c r="B389" i="12"/>
  <c r="B388" i="12"/>
  <c r="B387" i="12"/>
  <c r="B386" i="12"/>
  <c r="B385" i="12"/>
  <c r="B384" i="12"/>
  <c r="B383" i="12"/>
  <c r="B382" i="12"/>
  <c r="B381" i="12"/>
  <c r="B380" i="12"/>
  <c r="B379" i="12"/>
  <c r="B378" i="12"/>
  <c r="B377" i="12"/>
  <c r="B376" i="12"/>
  <c r="B375" i="12"/>
  <c r="B374" i="12"/>
  <c r="B373" i="12"/>
  <c r="B372" i="12"/>
  <c r="B371" i="12"/>
  <c r="B370" i="12"/>
  <c r="B369" i="12"/>
  <c r="B368" i="12"/>
  <c r="B367" i="12"/>
  <c r="B366" i="12"/>
  <c r="B365" i="12"/>
  <c r="B364" i="12"/>
  <c r="B363" i="12"/>
  <c r="B362" i="12"/>
  <c r="B361" i="12"/>
  <c r="B360" i="12"/>
  <c r="B359" i="12"/>
  <c r="B358" i="12"/>
  <c r="B357" i="12"/>
  <c r="B356" i="12"/>
  <c r="B355" i="12"/>
  <c r="B354" i="12"/>
  <c r="B353" i="12"/>
  <c r="B352" i="12"/>
  <c r="B351" i="12"/>
  <c r="B350" i="12"/>
  <c r="B349" i="12"/>
  <c r="B348" i="12"/>
  <c r="B347" i="12"/>
  <c r="B346" i="12"/>
  <c r="B34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28" i="12"/>
  <c r="B327" i="12"/>
  <c r="B326" i="12"/>
  <c r="B325" i="12"/>
  <c r="B324" i="12"/>
  <c r="B323" i="12"/>
  <c r="B322" i="12"/>
  <c r="B321" i="12"/>
  <c r="B320" i="12"/>
  <c r="B319" i="12"/>
  <c r="B318" i="12"/>
  <c r="B317" i="12"/>
  <c r="B316" i="12"/>
  <c r="B315" i="12"/>
  <c r="B314" i="12"/>
  <c r="B313" i="12"/>
  <c r="B312" i="12"/>
  <c r="B31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294" i="12"/>
  <c r="B293" i="12"/>
  <c r="B292" i="12"/>
  <c r="B291" i="12"/>
  <c r="B290" i="12"/>
  <c r="B289" i="12"/>
  <c r="B288" i="12"/>
  <c r="B287" i="12"/>
  <c r="B286" i="12"/>
  <c r="B285" i="12"/>
  <c r="B284" i="12"/>
  <c r="B283" i="12"/>
  <c r="B282" i="12"/>
  <c r="B281" i="12"/>
  <c r="B280" i="12"/>
  <c r="B279" i="12"/>
  <c r="B278" i="12"/>
  <c r="B27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L96" i="12"/>
  <c r="M96" i="12" s="1"/>
  <c r="J96" i="12"/>
  <c r="K96" i="12" s="1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O23" i="11"/>
  <c r="L23" i="11" s="1"/>
  <c r="I23" i="11" s="1"/>
  <c r="J23" i="11"/>
  <c r="O22" i="11"/>
  <c r="L22" i="11"/>
  <c r="J22" i="11"/>
  <c r="I22" i="11"/>
  <c r="O21" i="11"/>
  <c r="L21" i="11"/>
  <c r="J21" i="11"/>
  <c r="I21" i="11"/>
  <c r="O20" i="11"/>
  <c r="L20" i="11"/>
  <c r="J20" i="11"/>
  <c r="I20" i="11"/>
  <c r="O19" i="11"/>
  <c r="L19" i="11" s="1"/>
  <c r="I19" i="11" s="1"/>
  <c r="J19" i="11"/>
  <c r="O18" i="11"/>
  <c r="L18" i="11"/>
  <c r="J18" i="11"/>
  <c r="I18" i="11"/>
  <c r="O17" i="11"/>
  <c r="L17" i="11"/>
  <c r="J17" i="11"/>
  <c r="I17" i="11"/>
  <c r="O16" i="11"/>
  <c r="L16" i="11" s="1"/>
  <c r="I16" i="11" s="1"/>
  <c r="J16" i="11"/>
  <c r="O15" i="11"/>
  <c r="L15" i="11"/>
  <c r="J15" i="11"/>
  <c r="I15" i="11"/>
  <c r="O14" i="11"/>
  <c r="L14" i="11" s="1"/>
  <c r="I14" i="11" s="1"/>
  <c r="J14" i="11"/>
  <c r="O13" i="11"/>
  <c r="L13" i="11"/>
  <c r="J13" i="11"/>
  <c r="I13" i="11"/>
  <c r="O12" i="11"/>
  <c r="L12" i="11" s="1"/>
  <c r="I12" i="11" s="1"/>
  <c r="J12" i="11"/>
  <c r="O11" i="11"/>
  <c r="L11" i="11"/>
  <c r="J11" i="11"/>
  <c r="I11" i="11"/>
  <c r="O10" i="11"/>
  <c r="L10" i="11" s="1"/>
  <c r="I10" i="11" s="1"/>
  <c r="J10" i="11"/>
  <c r="O9" i="11"/>
  <c r="L9" i="11"/>
  <c r="J9" i="11"/>
  <c r="C31" i="19" s="1"/>
  <c r="E6" i="11" s="1"/>
  <c r="I9" i="11"/>
  <c r="O23" i="10"/>
  <c r="M23" i="10"/>
  <c r="L23" i="10"/>
  <c r="J23" i="10"/>
  <c r="I23" i="10"/>
  <c r="P23" i="10" s="1"/>
  <c r="O22" i="10"/>
  <c r="M22" i="10"/>
  <c r="L22" i="10"/>
  <c r="J22" i="10"/>
  <c r="I22" i="10"/>
  <c r="P22" i="10" s="1"/>
  <c r="O21" i="10"/>
  <c r="M21" i="10"/>
  <c r="L21" i="10"/>
  <c r="J21" i="10"/>
  <c r="I21" i="10"/>
  <c r="P21" i="10" s="1"/>
  <c r="O20" i="10"/>
  <c r="M20" i="10"/>
  <c r="L20" i="10"/>
  <c r="J20" i="10"/>
  <c r="I20" i="10"/>
  <c r="P20" i="10" s="1"/>
  <c r="O19" i="10"/>
  <c r="M19" i="10"/>
  <c r="L19" i="10"/>
  <c r="J19" i="10"/>
  <c r="I19" i="10"/>
  <c r="P19" i="10" s="1"/>
  <c r="O18" i="10"/>
  <c r="L18" i="10" s="1"/>
  <c r="I18" i="10" s="1"/>
  <c r="P18" i="10" s="1"/>
  <c r="M18" i="10"/>
  <c r="J18" i="10"/>
  <c r="O17" i="10"/>
  <c r="M17" i="10"/>
  <c r="L17" i="10"/>
  <c r="I17" i="10" s="1"/>
  <c r="P17" i="10" s="1"/>
  <c r="J17" i="10"/>
  <c r="O16" i="10"/>
  <c r="L16" i="10" s="1"/>
  <c r="I16" i="10" s="1"/>
  <c r="P16" i="10" s="1"/>
  <c r="M16" i="10"/>
  <c r="J16" i="10"/>
  <c r="O15" i="10"/>
  <c r="L15" i="10" s="1"/>
  <c r="I15" i="10" s="1"/>
  <c r="P15" i="10" s="1"/>
  <c r="M15" i="10"/>
  <c r="J15" i="10"/>
  <c r="O14" i="10"/>
  <c r="L14" i="10" s="1"/>
  <c r="I14" i="10" s="1"/>
  <c r="P14" i="10" s="1"/>
  <c r="M14" i="10"/>
  <c r="J14" i="10"/>
  <c r="O13" i="10"/>
  <c r="L13" i="10" s="1"/>
  <c r="I13" i="10" s="1"/>
  <c r="P13" i="10" s="1"/>
  <c r="M13" i="10"/>
  <c r="J13" i="10"/>
  <c r="O12" i="10"/>
  <c r="L12" i="10" s="1"/>
  <c r="I12" i="10" s="1"/>
  <c r="P12" i="10" s="1"/>
  <c r="M12" i="10"/>
  <c r="J12" i="10"/>
  <c r="O11" i="10"/>
  <c r="M11" i="10"/>
  <c r="J11" i="10"/>
  <c r="O10" i="10"/>
  <c r="M10" i="10"/>
  <c r="J10" i="10"/>
  <c r="O9" i="10"/>
  <c r="M9" i="10"/>
  <c r="J9" i="10"/>
  <c r="C30" i="19" s="1"/>
  <c r="E6" i="10" s="1"/>
  <c r="N507" i="8"/>
  <c r="M507" i="8"/>
  <c r="L507" i="8"/>
  <c r="N506" i="8"/>
  <c r="M506" i="8"/>
  <c r="L506" i="8"/>
  <c r="N505" i="8"/>
  <c r="M505" i="8"/>
  <c r="L505" i="8"/>
  <c r="N504" i="8"/>
  <c r="M504" i="8"/>
  <c r="L504" i="8"/>
  <c r="N503" i="8"/>
  <c r="M503" i="8"/>
  <c r="L503" i="8"/>
  <c r="N502" i="8"/>
  <c r="M502" i="8"/>
  <c r="L502" i="8"/>
  <c r="N501" i="8"/>
  <c r="M501" i="8"/>
  <c r="L501" i="8"/>
  <c r="N500" i="8"/>
  <c r="M500" i="8"/>
  <c r="L500" i="8"/>
  <c r="N499" i="8"/>
  <c r="M499" i="8"/>
  <c r="L499" i="8"/>
  <c r="N498" i="8"/>
  <c r="M498" i="8"/>
  <c r="L498" i="8"/>
  <c r="N497" i="8"/>
  <c r="M497" i="8"/>
  <c r="L497" i="8"/>
  <c r="N496" i="8"/>
  <c r="M496" i="8"/>
  <c r="L496" i="8"/>
  <c r="N495" i="8"/>
  <c r="M495" i="8"/>
  <c r="L495" i="8"/>
  <c r="N494" i="8"/>
  <c r="M494" i="8"/>
  <c r="L494" i="8"/>
  <c r="N493" i="8"/>
  <c r="M493" i="8"/>
  <c r="L493" i="8"/>
  <c r="N492" i="8"/>
  <c r="M492" i="8"/>
  <c r="L492" i="8"/>
  <c r="N491" i="8"/>
  <c r="M491" i="8"/>
  <c r="L491" i="8"/>
  <c r="N490" i="8"/>
  <c r="M490" i="8"/>
  <c r="L490" i="8"/>
  <c r="N489" i="8"/>
  <c r="M489" i="8"/>
  <c r="L489" i="8"/>
  <c r="N488" i="8"/>
  <c r="M488" i="8"/>
  <c r="L488" i="8"/>
  <c r="N487" i="8"/>
  <c r="M487" i="8"/>
  <c r="L487" i="8"/>
  <c r="N486" i="8"/>
  <c r="M486" i="8"/>
  <c r="L486" i="8"/>
  <c r="N485" i="8"/>
  <c r="M485" i="8"/>
  <c r="L485" i="8"/>
  <c r="N484" i="8"/>
  <c r="M484" i="8"/>
  <c r="L484" i="8"/>
  <c r="N483" i="8"/>
  <c r="M483" i="8"/>
  <c r="L483" i="8"/>
  <c r="N482" i="8"/>
  <c r="M482" i="8"/>
  <c r="L482" i="8"/>
  <c r="N481" i="8"/>
  <c r="M481" i="8"/>
  <c r="L481" i="8"/>
  <c r="N480" i="8"/>
  <c r="M480" i="8"/>
  <c r="L480" i="8"/>
  <c r="N479" i="8"/>
  <c r="M479" i="8"/>
  <c r="L479" i="8"/>
  <c r="N478" i="8"/>
  <c r="M478" i="8"/>
  <c r="L478" i="8"/>
  <c r="N477" i="8"/>
  <c r="M477" i="8"/>
  <c r="L477" i="8"/>
  <c r="N476" i="8"/>
  <c r="M476" i="8"/>
  <c r="L476" i="8"/>
  <c r="N475" i="8"/>
  <c r="M475" i="8"/>
  <c r="L475" i="8"/>
  <c r="N474" i="8"/>
  <c r="M474" i="8"/>
  <c r="L474" i="8"/>
  <c r="N473" i="8"/>
  <c r="M473" i="8"/>
  <c r="L473" i="8"/>
  <c r="N472" i="8"/>
  <c r="M472" i="8"/>
  <c r="L472" i="8"/>
  <c r="N471" i="8"/>
  <c r="M471" i="8"/>
  <c r="L471" i="8"/>
  <c r="N470" i="8"/>
  <c r="M470" i="8"/>
  <c r="L470" i="8"/>
  <c r="N469" i="8"/>
  <c r="M469" i="8"/>
  <c r="L469" i="8"/>
  <c r="N468" i="8"/>
  <c r="M468" i="8"/>
  <c r="L468" i="8"/>
  <c r="N467" i="8"/>
  <c r="M467" i="8"/>
  <c r="L467" i="8"/>
  <c r="N466" i="8"/>
  <c r="M466" i="8"/>
  <c r="L466" i="8"/>
  <c r="N465" i="8"/>
  <c r="M465" i="8"/>
  <c r="L465" i="8"/>
  <c r="N464" i="8"/>
  <c r="M464" i="8"/>
  <c r="L464" i="8"/>
  <c r="N463" i="8"/>
  <c r="M463" i="8"/>
  <c r="L463" i="8"/>
  <c r="N462" i="8"/>
  <c r="M462" i="8"/>
  <c r="L462" i="8"/>
  <c r="N461" i="8"/>
  <c r="M461" i="8"/>
  <c r="L461" i="8"/>
  <c r="N460" i="8"/>
  <c r="M460" i="8"/>
  <c r="L460" i="8"/>
  <c r="N459" i="8"/>
  <c r="M459" i="8"/>
  <c r="L459" i="8"/>
  <c r="N458" i="8"/>
  <c r="M458" i="8"/>
  <c r="L458" i="8"/>
  <c r="N457" i="8"/>
  <c r="M457" i="8"/>
  <c r="L457" i="8"/>
  <c r="N456" i="8"/>
  <c r="M456" i="8"/>
  <c r="L456" i="8"/>
  <c r="N455" i="8"/>
  <c r="M455" i="8"/>
  <c r="L455" i="8"/>
  <c r="N454" i="8"/>
  <c r="M454" i="8"/>
  <c r="L454" i="8"/>
  <c r="N453" i="8"/>
  <c r="M453" i="8"/>
  <c r="L453" i="8"/>
  <c r="N452" i="8"/>
  <c r="M452" i="8"/>
  <c r="L452" i="8"/>
  <c r="N451" i="8"/>
  <c r="M451" i="8"/>
  <c r="L451" i="8"/>
  <c r="N450" i="8"/>
  <c r="M450" i="8"/>
  <c r="L450" i="8"/>
  <c r="N449" i="8"/>
  <c r="M449" i="8"/>
  <c r="L449" i="8"/>
  <c r="N448" i="8"/>
  <c r="M448" i="8"/>
  <c r="L448" i="8"/>
  <c r="N447" i="8"/>
  <c r="M447" i="8"/>
  <c r="L447" i="8"/>
  <c r="N446" i="8"/>
  <c r="M446" i="8"/>
  <c r="L446" i="8"/>
  <c r="N445" i="8"/>
  <c r="M445" i="8"/>
  <c r="L445" i="8"/>
  <c r="N444" i="8"/>
  <c r="M444" i="8"/>
  <c r="L444" i="8"/>
  <c r="N443" i="8"/>
  <c r="M443" i="8"/>
  <c r="L443" i="8"/>
  <c r="N442" i="8"/>
  <c r="M442" i="8"/>
  <c r="L442" i="8"/>
  <c r="N441" i="8"/>
  <c r="M441" i="8"/>
  <c r="L441" i="8"/>
  <c r="N440" i="8"/>
  <c r="M440" i="8"/>
  <c r="L440" i="8"/>
  <c r="N439" i="8"/>
  <c r="M439" i="8"/>
  <c r="L439" i="8"/>
  <c r="N438" i="8"/>
  <c r="M438" i="8"/>
  <c r="L438" i="8"/>
  <c r="N437" i="8"/>
  <c r="M437" i="8"/>
  <c r="L437" i="8"/>
  <c r="N436" i="8"/>
  <c r="M436" i="8"/>
  <c r="L436" i="8"/>
  <c r="N435" i="8"/>
  <c r="M435" i="8"/>
  <c r="L435" i="8"/>
  <c r="N434" i="8"/>
  <c r="M434" i="8"/>
  <c r="L434" i="8"/>
  <c r="N433" i="8"/>
  <c r="M433" i="8"/>
  <c r="L433" i="8"/>
  <c r="N432" i="8"/>
  <c r="M432" i="8"/>
  <c r="L432" i="8"/>
  <c r="N431" i="8"/>
  <c r="M431" i="8"/>
  <c r="L431" i="8"/>
  <c r="N430" i="8"/>
  <c r="M430" i="8"/>
  <c r="L430" i="8"/>
  <c r="N429" i="8"/>
  <c r="M429" i="8"/>
  <c r="L429" i="8"/>
  <c r="N428" i="8"/>
  <c r="M428" i="8"/>
  <c r="L428" i="8"/>
  <c r="N427" i="8"/>
  <c r="M427" i="8"/>
  <c r="L427" i="8"/>
  <c r="N426" i="8"/>
  <c r="M426" i="8"/>
  <c r="L426" i="8"/>
  <c r="N425" i="8"/>
  <c r="M425" i="8"/>
  <c r="L425" i="8"/>
  <c r="N424" i="8"/>
  <c r="M424" i="8"/>
  <c r="L424" i="8"/>
  <c r="N423" i="8"/>
  <c r="M423" i="8"/>
  <c r="L423" i="8"/>
  <c r="N422" i="8"/>
  <c r="M422" i="8"/>
  <c r="L422" i="8"/>
  <c r="N421" i="8"/>
  <c r="M421" i="8"/>
  <c r="L421" i="8"/>
  <c r="N420" i="8"/>
  <c r="M420" i="8"/>
  <c r="L420" i="8"/>
  <c r="N419" i="8"/>
  <c r="M419" i="8"/>
  <c r="L419" i="8"/>
  <c r="N418" i="8"/>
  <c r="M418" i="8"/>
  <c r="L418" i="8"/>
  <c r="N417" i="8"/>
  <c r="M417" i="8"/>
  <c r="L417" i="8"/>
  <c r="N416" i="8"/>
  <c r="M416" i="8"/>
  <c r="L416" i="8"/>
  <c r="N415" i="8"/>
  <c r="M415" i="8"/>
  <c r="L415" i="8"/>
  <c r="N414" i="8"/>
  <c r="M414" i="8"/>
  <c r="L414" i="8"/>
  <c r="N413" i="8"/>
  <c r="M413" i="8"/>
  <c r="L413" i="8"/>
  <c r="N412" i="8"/>
  <c r="M412" i="8"/>
  <c r="L412" i="8"/>
  <c r="N411" i="8"/>
  <c r="M411" i="8"/>
  <c r="L411" i="8"/>
  <c r="N410" i="8"/>
  <c r="M410" i="8"/>
  <c r="L410" i="8"/>
  <c r="N409" i="8"/>
  <c r="M409" i="8"/>
  <c r="L409" i="8"/>
  <c r="N408" i="8"/>
  <c r="M408" i="8"/>
  <c r="L408" i="8"/>
  <c r="N407" i="8"/>
  <c r="M407" i="8"/>
  <c r="L407" i="8"/>
  <c r="N406" i="8"/>
  <c r="M406" i="8"/>
  <c r="L406" i="8"/>
  <c r="N405" i="8"/>
  <c r="M405" i="8"/>
  <c r="L405" i="8"/>
  <c r="N404" i="8"/>
  <c r="M404" i="8"/>
  <c r="L404" i="8"/>
  <c r="N403" i="8"/>
  <c r="M403" i="8"/>
  <c r="L403" i="8"/>
  <c r="N402" i="8"/>
  <c r="M402" i="8"/>
  <c r="L402" i="8"/>
  <c r="N401" i="8"/>
  <c r="M401" i="8"/>
  <c r="L401" i="8"/>
  <c r="N400" i="8"/>
  <c r="M400" i="8"/>
  <c r="L400" i="8"/>
  <c r="N399" i="8"/>
  <c r="M399" i="8"/>
  <c r="L399" i="8"/>
  <c r="N398" i="8"/>
  <c r="M398" i="8"/>
  <c r="L398" i="8"/>
  <c r="N397" i="8"/>
  <c r="M397" i="8"/>
  <c r="L397" i="8"/>
  <c r="N396" i="8"/>
  <c r="M396" i="8"/>
  <c r="L396" i="8"/>
  <c r="N395" i="8"/>
  <c r="M395" i="8"/>
  <c r="L395" i="8"/>
  <c r="N394" i="8"/>
  <c r="M394" i="8"/>
  <c r="L394" i="8"/>
  <c r="N393" i="8"/>
  <c r="M393" i="8"/>
  <c r="L393" i="8"/>
  <c r="N392" i="8"/>
  <c r="M392" i="8"/>
  <c r="L392" i="8"/>
  <c r="N391" i="8"/>
  <c r="M391" i="8"/>
  <c r="L391" i="8"/>
  <c r="N390" i="8"/>
  <c r="M390" i="8"/>
  <c r="L390" i="8"/>
  <c r="N389" i="8"/>
  <c r="M389" i="8"/>
  <c r="L389" i="8"/>
  <c r="N388" i="8"/>
  <c r="M388" i="8"/>
  <c r="L388" i="8"/>
  <c r="N387" i="8"/>
  <c r="M387" i="8"/>
  <c r="L387" i="8"/>
  <c r="N386" i="8"/>
  <c r="M386" i="8"/>
  <c r="L386" i="8"/>
  <c r="N385" i="8"/>
  <c r="M385" i="8"/>
  <c r="L385" i="8"/>
  <c r="N384" i="8"/>
  <c r="M384" i="8"/>
  <c r="L384" i="8"/>
  <c r="N383" i="8"/>
  <c r="M383" i="8"/>
  <c r="L383" i="8"/>
  <c r="N382" i="8"/>
  <c r="M382" i="8"/>
  <c r="L382" i="8"/>
  <c r="N381" i="8"/>
  <c r="M381" i="8"/>
  <c r="L381" i="8"/>
  <c r="N380" i="8"/>
  <c r="M380" i="8"/>
  <c r="L380" i="8"/>
  <c r="N379" i="8"/>
  <c r="M379" i="8"/>
  <c r="L379" i="8"/>
  <c r="N378" i="8"/>
  <c r="M378" i="8"/>
  <c r="L378" i="8"/>
  <c r="N377" i="8"/>
  <c r="M377" i="8"/>
  <c r="L377" i="8"/>
  <c r="N376" i="8"/>
  <c r="M376" i="8"/>
  <c r="L376" i="8"/>
  <c r="N375" i="8"/>
  <c r="M375" i="8"/>
  <c r="L375" i="8"/>
  <c r="N374" i="8"/>
  <c r="M374" i="8"/>
  <c r="L374" i="8"/>
  <c r="N373" i="8"/>
  <c r="M373" i="8"/>
  <c r="L373" i="8"/>
  <c r="N372" i="8"/>
  <c r="M372" i="8"/>
  <c r="L372" i="8"/>
  <c r="N371" i="8"/>
  <c r="M371" i="8"/>
  <c r="L371" i="8"/>
  <c r="N370" i="8"/>
  <c r="M370" i="8"/>
  <c r="L370" i="8"/>
  <c r="N369" i="8"/>
  <c r="M369" i="8"/>
  <c r="L369" i="8"/>
  <c r="N368" i="8"/>
  <c r="M368" i="8"/>
  <c r="L368" i="8"/>
  <c r="N367" i="8"/>
  <c r="M367" i="8"/>
  <c r="L367" i="8"/>
  <c r="N366" i="8"/>
  <c r="M366" i="8"/>
  <c r="L366" i="8"/>
  <c r="N365" i="8"/>
  <c r="M365" i="8"/>
  <c r="L365" i="8"/>
  <c r="N364" i="8"/>
  <c r="M364" i="8"/>
  <c r="L364" i="8"/>
  <c r="N363" i="8"/>
  <c r="M363" i="8"/>
  <c r="L363" i="8"/>
  <c r="N362" i="8"/>
  <c r="M362" i="8"/>
  <c r="L362" i="8"/>
  <c r="N361" i="8"/>
  <c r="M361" i="8"/>
  <c r="L361" i="8"/>
  <c r="N360" i="8"/>
  <c r="M360" i="8"/>
  <c r="L360" i="8"/>
  <c r="N359" i="8"/>
  <c r="M359" i="8"/>
  <c r="L359" i="8"/>
  <c r="N358" i="8"/>
  <c r="M358" i="8"/>
  <c r="L358" i="8"/>
  <c r="N357" i="8"/>
  <c r="M357" i="8"/>
  <c r="L357" i="8"/>
  <c r="N356" i="8"/>
  <c r="M356" i="8"/>
  <c r="L356" i="8"/>
  <c r="N355" i="8"/>
  <c r="M355" i="8"/>
  <c r="L355" i="8"/>
  <c r="N354" i="8"/>
  <c r="M354" i="8"/>
  <c r="L354" i="8"/>
  <c r="N353" i="8"/>
  <c r="M353" i="8"/>
  <c r="L353" i="8"/>
  <c r="N352" i="8"/>
  <c r="M352" i="8"/>
  <c r="L352" i="8"/>
  <c r="N351" i="8"/>
  <c r="M351" i="8"/>
  <c r="L351" i="8"/>
  <c r="N350" i="8"/>
  <c r="M350" i="8"/>
  <c r="L350" i="8"/>
  <c r="N349" i="8"/>
  <c r="M349" i="8"/>
  <c r="L349" i="8"/>
  <c r="N348" i="8"/>
  <c r="M348" i="8"/>
  <c r="L348" i="8"/>
  <c r="N347" i="8"/>
  <c r="M347" i="8"/>
  <c r="L347" i="8"/>
  <c r="N346" i="8"/>
  <c r="M346" i="8"/>
  <c r="L346" i="8"/>
  <c r="N345" i="8"/>
  <c r="M345" i="8"/>
  <c r="L345" i="8"/>
  <c r="N344" i="8"/>
  <c r="M344" i="8"/>
  <c r="L344" i="8"/>
  <c r="N343" i="8"/>
  <c r="M343" i="8"/>
  <c r="L343" i="8"/>
  <c r="N342" i="8"/>
  <c r="M342" i="8"/>
  <c r="L342" i="8"/>
  <c r="N341" i="8"/>
  <c r="M341" i="8"/>
  <c r="L341" i="8"/>
  <c r="N340" i="8"/>
  <c r="M340" i="8"/>
  <c r="L340" i="8"/>
  <c r="N339" i="8"/>
  <c r="M339" i="8"/>
  <c r="L339" i="8"/>
  <c r="N338" i="8"/>
  <c r="M338" i="8"/>
  <c r="L338" i="8"/>
  <c r="N337" i="8"/>
  <c r="M337" i="8"/>
  <c r="L337" i="8"/>
  <c r="N336" i="8"/>
  <c r="M336" i="8"/>
  <c r="L336" i="8"/>
  <c r="N335" i="8"/>
  <c r="M335" i="8"/>
  <c r="L335" i="8"/>
  <c r="N334" i="8"/>
  <c r="M334" i="8"/>
  <c r="L334" i="8"/>
  <c r="N333" i="8"/>
  <c r="M333" i="8"/>
  <c r="L333" i="8"/>
  <c r="N332" i="8"/>
  <c r="M332" i="8"/>
  <c r="L332" i="8"/>
  <c r="N331" i="8"/>
  <c r="M331" i="8"/>
  <c r="L331" i="8"/>
  <c r="N330" i="8"/>
  <c r="M330" i="8"/>
  <c r="L330" i="8"/>
  <c r="N329" i="8"/>
  <c r="M329" i="8"/>
  <c r="L329" i="8"/>
  <c r="N328" i="8"/>
  <c r="M328" i="8"/>
  <c r="L328" i="8"/>
  <c r="N327" i="8"/>
  <c r="M327" i="8"/>
  <c r="L327" i="8"/>
  <c r="N326" i="8"/>
  <c r="M326" i="8"/>
  <c r="L326" i="8"/>
  <c r="N325" i="8"/>
  <c r="M325" i="8"/>
  <c r="L325" i="8"/>
  <c r="N324" i="8"/>
  <c r="M324" i="8"/>
  <c r="L324" i="8"/>
  <c r="N323" i="8"/>
  <c r="M323" i="8"/>
  <c r="L323" i="8"/>
  <c r="N322" i="8"/>
  <c r="M322" i="8"/>
  <c r="L322" i="8"/>
  <c r="N321" i="8"/>
  <c r="M321" i="8"/>
  <c r="L321" i="8"/>
  <c r="N320" i="8"/>
  <c r="M320" i="8"/>
  <c r="L320" i="8"/>
  <c r="N319" i="8"/>
  <c r="M319" i="8"/>
  <c r="L319" i="8"/>
  <c r="N318" i="8"/>
  <c r="M318" i="8"/>
  <c r="L318" i="8"/>
  <c r="N317" i="8"/>
  <c r="M317" i="8"/>
  <c r="L317" i="8"/>
  <c r="N316" i="8"/>
  <c r="M316" i="8"/>
  <c r="L316" i="8"/>
  <c r="N315" i="8"/>
  <c r="M315" i="8"/>
  <c r="L315" i="8"/>
  <c r="N314" i="8"/>
  <c r="M314" i="8"/>
  <c r="L314" i="8"/>
  <c r="N313" i="8"/>
  <c r="M313" i="8"/>
  <c r="L313" i="8"/>
  <c r="N312" i="8"/>
  <c r="M312" i="8"/>
  <c r="L312" i="8"/>
  <c r="N311" i="8"/>
  <c r="M311" i="8"/>
  <c r="L311" i="8"/>
  <c r="N310" i="8"/>
  <c r="M310" i="8"/>
  <c r="L310" i="8"/>
  <c r="N309" i="8"/>
  <c r="M309" i="8"/>
  <c r="L309" i="8"/>
  <c r="N308" i="8"/>
  <c r="M308" i="8"/>
  <c r="L308" i="8"/>
  <c r="N307" i="8"/>
  <c r="M307" i="8"/>
  <c r="L307" i="8"/>
  <c r="N306" i="8"/>
  <c r="M306" i="8"/>
  <c r="L306" i="8"/>
  <c r="N305" i="8"/>
  <c r="M305" i="8"/>
  <c r="L305" i="8"/>
  <c r="N304" i="8"/>
  <c r="M304" i="8"/>
  <c r="L304" i="8"/>
  <c r="N303" i="8"/>
  <c r="M303" i="8"/>
  <c r="L303" i="8"/>
  <c r="N302" i="8"/>
  <c r="M302" i="8"/>
  <c r="L302" i="8"/>
  <c r="N301" i="8"/>
  <c r="M301" i="8"/>
  <c r="L301" i="8"/>
  <c r="N300" i="8"/>
  <c r="M300" i="8"/>
  <c r="L300" i="8"/>
  <c r="N299" i="8"/>
  <c r="M299" i="8"/>
  <c r="L299" i="8"/>
  <c r="N298" i="8"/>
  <c r="M298" i="8"/>
  <c r="L298" i="8"/>
  <c r="N297" i="8"/>
  <c r="M297" i="8"/>
  <c r="L297" i="8"/>
  <c r="N296" i="8"/>
  <c r="M296" i="8"/>
  <c r="L296" i="8"/>
  <c r="N295" i="8"/>
  <c r="M295" i="8"/>
  <c r="L295" i="8"/>
  <c r="N294" i="8"/>
  <c r="M294" i="8"/>
  <c r="L294" i="8"/>
  <c r="N293" i="8"/>
  <c r="M293" i="8"/>
  <c r="L293" i="8"/>
  <c r="N292" i="8"/>
  <c r="M292" i="8"/>
  <c r="L292" i="8"/>
  <c r="N291" i="8"/>
  <c r="M291" i="8"/>
  <c r="L291" i="8"/>
  <c r="N290" i="8"/>
  <c r="M290" i="8"/>
  <c r="L290" i="8"/>
  <c r="N289" i="8"/>
  <c r="M289" i="8"/>
  <c r="L289" i="8"/>
  <c r="N288" i="8"/>
  <c r="M288" i="8"/>
  <c r="L288" i="8"/>
  <c r="N287" i="8"/>
  <c r="M287" i="8"/>
  <c r="L287" i="8"/>
  <c r="N286" i="8"/>
  <c r="M286" i="8"/>
  <c r="L286" i="8"/>
  <c r="N285" i="8"/>
  <c r="M285" i="8"/>
  <c r="L285" i="8"/>
  <c r="N284" i="8"/>
  <c r="M284" i="8"/>
  <c r="L284" i="8"/>
  <c r="N283" i="8"/>
  <c r="M283" i="8"/>
  <c r="L283" i="8"/>
  <c r="N282" i="8"/>
  <c r="M282" i="8"/>
  <c r="L282" i="8"/>
  <c r="N281" i="8"/>
  <c r="M281" i="8"/>
  <c r="L281" i="8"/>
  <c r="N280" i="8"/>
  <c r="M280" i="8"/>
  <c r="L280" i="8"/>
  <c r="N279" i="8"/>
  <c r="M279" i="8"/>
  <c r="L279" i="8"/>
  <c r="N278" i="8"/>
  <c r="M278" i="8"/>
  <c r="L278" i="8"/>
  <c r="N277" i="8"/>
  <c r="M277" i="8"/>
  <c r="L277" i="8"/>
  <c r="N276" i="8"/>
  <c r="M276" i="8"/>
  <c r="L276" i="8"/>
  <c r="N275" i="8"/>
  <c r="M275" i="8"/>
  <c r="L275" i="8"/>
  <c r="N274" i="8"/>
  <c r="M274" i="8"/>
  <c r="L274" i="8"/>
  <c r="N273" i="8"/>
  <c r="M273" i="8"/>
  <c r="L273" i="8"/>
  <c r="N272" i="8"/>
  <c r="M272" i="8"/>
  <c r="L272" i="8"/>
  <c r="N271" i="8"/>
  <c r="M271" i="8"/>
  <c r="L271" i="8"/>
  <c r="N270" i="8"/>
  <c r="M270" i="8"/>
  <c r="L270" i="8"/>
  <c r="N269" i="8"/>
  <c r="M269" i="8"/>
  <c r="L269" i="8"/>
  <c r="N268" i="8"/>
  <c r="M268" i="8"/>
  <c r="L268" i="8"/>
  <c r="N267" i="8"/>
  <c r="M267" i="8"/>
  <c r="L267" i="8"/>
  <c r="N266" i="8"/>
  <c r="M266" i="8"/>
  <c r="L266" i="8"/>
  <c r="N265" i="8"/>
  <c r="M265" i="8"/>
  <c r="L265" i="8"/>
  <c r="N264" i="8"/>
  <c r="M264" i="8"/>
  <c r="L264" i="8"/>
  <c r="N263" i="8"/>
  <c r="M263" i="8"/>
  <c r="L263" i="8"/>
  <c r="N262" i="8"/>
  <c r="M262" i="8"/>
  <c r="L262" i="8"/>
  <c r="N261" i="8"/>
  <c r="M261" i="8"/>
  <c r="L261" i="8"/>
  <c r="N260" i="8"/>
  <c r="M260" i="8"/>
  <c r="L260" i="8"/>
  <c r="N259" i="8"/>
  <c r="M259" i="8"/>
  <c r="L259" i="8"/>
  <c r="N258" i="8"/>
  <c r="M258" i="8"/>
  <c r="L258" i="8"/>
  <c r="N257" i="8"/>
  <c r="M257" i="8"/>
  <c r="L257" i="8"/>
  <c r="N256" i="8"/>
  <c r="M256" i="8"/>
  <c r="L256" i="8"/>
  <c r="N255" i="8"/>
  <c r="M255" i="8"/>
  <c r="L255" i="8"/>
  <c r="N254" i="8"/>
  <c r="M254" i="8"/>
  <c r="L254" i="8"/>
  <c r="N253" i="8"/>
  <c r="M253" i="8"/>
  <c r="L253" i="8"/>
  <c r="N252" i="8"/>
  <c r="M252" i="8"/>
  <c r="L252" i="8"/>
  <c r="N251" i="8"/>
  <c r="M251" i="8"/>
  <c r="L251" i="8"/>
  <c r="N250" i="8"/>
  <c r="M250" i="8"/>
  <c r="L250" i="8"/>
  <c r="N249" i="8"/>
  <c r="M249" i="8"/>
  <c r="L249" i="8"/>
  <c r="N248" i="8"/>
  <c r="M248" i="8"/>
  <c r="L248" i="8"/>
  <c r="N247" i="8"/>
  <c r="M247" i="8"/>
  <c r="L247" i="8"/>
  <c r="N246" i="8"/>
  <c r="M246" i="8"/>
  <c r="L246" i="8"/>
  <c r="N245" i="8"/>
  <c r="M245" i="8"/>
  <c r="L245" i="8"/>
  <c r="N244" i="8"/>
  <c r="M244" i="8"/>
  <c r="L244" i="8"/>
  <c r="N243" i="8"/>
  <c r="M243" i="8"/>
  <c r="L243" i="8"/>
  <c r="N242" i="8"/>
  <c r="M242" i="8"/>
  <c r="L242" i="8"/>
  <c r="N241" i="8"/>
  <c r="M241" i="8"/>
  <c r="L241" i="8"/>
  <c r="N240" i="8"/>
  <c r="M240" i="8"/>
  <c r="L240" i="8"/>
  <c r="N239" i="8"/>
  <c r="M239" i="8"/>
  <c r="L239" i="8"/>
  <c r="N238" i="8"/>
  <c r="M238" i="8"/>
  <c r="L238" i="8"/>
  <c r="N237" i="8"/>
  <c r="M237" i="8"/>
  <c r="L237" i="8"/>
  <c r="N236" i="8"/>
  <c r="M236" i="8"/>
  <c r="L236" i="8"/>
  <c r="N235" i="8"/>
  <c r="M235" i="8"/>
  <c r="L235" i="8"/>
  <c r="N234" i="8"/>
  <c r="M234" i="8"/>
  <c r="L234" i="8"/>
  <c r="N233" i="8"/>
  <c r="M233" i="8"/>
  <c r="L233" i="8"/>
  <c r="N232" i="8"/>
  <c r="M232" i="8"/>
  <c r="L232" i="8"/>
  <c r="N231" i="8"/>
  <c r="M231" i="8"/>
  <c r="L231" i="8"/>
  <c r="N230" i="8"/>
  <c r="M230" i="8"/>
  <c r="L230" i="8"/>
  <c r="N229" i="8"/>
  <c r="M229" i="8"/>
  <c r="L229" i="8"/>
  <c r="N228" i="8"/>
  <c r="M228" i="8"/>
  <c r="L228" i="8"/>
  <c r="N227" i="8"/>
  <c r="M227" i="8"/>
  <c r="L227" i="8"/>
  <c r="N226" i="8"/>
  <c r="M226" i="8"/>
  <c r="L226" i="8"/>
  <c r="N225" i="8"/>
  <c r="M225" i="8"/>
  <c r="L225" i="8"/>
  <c r="N224" i="8"/>
  <c r="M224" i="8"/>
  <c r="L224" i="8"/>
  <c r="N223" i="8"/>
  <c r="M223" i="8"/>
  <c r="L223" i="8"/>
  <c r="N222" i="8"/>
  <c r="M222" i="8"/>
  <c r="L222" i="8"/>
  <c r="N221" i="8"/>
  <c r="M221" i="8"/>
  <c r="L221" i="8"/>
  <c r="N220" i="8"/>
  <c r="M220" i="8"/>
  <c r="L220" i="8"/>
  <c r="N219" i="8"/>
  <c r="M219" i="8"/>
  <c r="L219" i="8"/>
  <c r="N218" i="8"/>
  <c r="M218" i="8"/>
  <c r="L218" i="8"/>
  <c r="N217" i="8"/>
  <c r="M217" i="8"/>
  <c r="L217" i="8"/>
  <c r="N216" i="8"/>
  <c r="M216" i="8"/>
  <c r="L216" i="8"/>
  <c r="N215" i="8"/>
  <c r="M215" i="8"/>
  <c r="L215" i="8"/>
  <c r="N214" i="8"/>
  <c r="M214" i="8"/>
  <c r="L214" i="8"/>
  <c r="N213" i="8"/>
  <c r="M213" i="8"/>
  <c r="L213" i="8"/>
  <c r="N212" i="8"/>
  <c r="M212" i="8"/>
  <c r="L212" i="8"/>
  <c r="N211" i="8"/>
  <c r="M211" i="8"/>
  <c r="L211" i="8"/>
  <c r="N210" i="8"/>
  <c r="M210" i="8"/>
  <c r="L210" i="8"/>
  <c r="N209" i="8"/>
  <c r="M209" i="8"/>
  <c r="L209" i="8"/>
  <c r="N208" i="8"/>
  <c r="M208" i="8"/>
  <c r="L208" i="8"/>
  <c r="N207" i="8"/>
  <c r="M207" i="8"/>
  <c r="L207" i="8"/>
  <c r="N206" i="8"/>
  <c r="M206" i="8"/>
  <c r="L206" i="8"/>
  <c r="N205" i="8"/>
  <c r="M205" i="8"/>
  <c r="L205" i="8"/>
  <c r="N204" i="8"/>
  <c r="M204" i="8"/>
  <c r="L204" i="8"/>
  <c r="N203" i="8"/>
  <c r="M203" i="8"/>
  <c r="L203" i="8"/>
  <c r="N202" i="8"/>
  <c r="M202" i="8"/>
  <c r="L202" i="8"/>
  <c r="N201" i="8"/>
  <c r="M201" i="8"/>
  <c r="L201" i="8"/>
  <c r="N200" i="8"/>
  <c r="M200" i="8"/>
  <c r="L200" i="8"/>
  <c r="N199" i="8"/>
  <c r="M199" i="8"/>
  <c r="L199" i="8"/>
  <c r="N198" i="8"/>
  <c r="M198" i="8"/>
  <c r="L198" i="8"/>
  <c r="N197" i="8"/>
  <c r="M197" i="8"/>
  <c r="L197" i="8"/>
  <c r="N196" i="8"/>
  <c r="M196" i="8"/>
  <c r="L196" i="8"/>
  <c r="N195" i="8"/>
  <c r="M195" i="8"/>
  <c r="L195" i="8"/>
  <c r="N194" i="8"/>
  <c r="M194" i="8"/>
  <c r="L194" i="8"/>
  <c r="N193" i="8"/>
  <c r="M193" i="8"/>
  <c r="L193" i="8"/>
  <c r="N192" i="8"/>
  <c r="M192" i="8"/>
  <c r="L192" i="8"/>
  <c r="N191" i="8"/>
  <c r="M191" i="8"/>
  <c r="L191" i="8"/>
  <c r="N190" i="8"/>
  <c r="M190" i="8"/>
  <c r="L190" i="8"/>
  <c r="N189" i="8"/>
  <c r="M189" i="8"/>
  <c r="L189" i="8"/>
  <c r="N188" i="8"/>
  <c r="M188" i="8"/>
  <c r="L188" i="8"/>
  <c r="N187" i="8"/>
  <c r="M187" i="8"/>
  <c r="L187" i="8"/>
  <c r="N186" i="8"/>
  <c r="M186" i="8"/>
  <c r="L186" i="8"/>
  <c r="N185" i="8"/>
  <c r="M185" i="8"/>
  <c r="L185" i="8"/>
  <c r="N184" i="8"/>
  <c r="M184" i="8"/>
  <c r="L184" i="8"/>
  <c r="N183" i="8"/>
  <c r="M183" i="8"/>
  <c r="L183" i="8"/>
  <c r="N182" i="8"/>
  <c r="M182" i="8"/>
  <c r="L182" i="8"/>
  <c r="N181" i="8"/>
  <c r="M181" i="8"/>
  <c r="L181" i="8"/>
  <c r="N180" i="8"/>
  <c r="M180" i="8"/>
  <c r="L180" i="8"/>
  <c r="N179" i="8"/>
  <c r="M179" i="8"/>
  <c r="L179" i="8"/>
  <c r="N178" i="8"/>
  <c r="M178" i="8"/>
  <c r="L178" i="8"/>
  <c r="N177" i="8"/>
  <c r="M177" i="8"/>
  <c r="L177" i="8"/>
  <c r="N176" i="8"/>
  <c r="M176" i="8"/>
  <c r="L176" i="8"/>
  <c r="N175" i="8"/>
  <c r="M175" i="8"/>
  <c r="L175" i="8"/>
  <c r="N174" i="8"/>
  <c r="M174" i="8"/>
  <c r="L174" i="8"/>
  <c r="N173" i="8"/>
  <c r="M173" i="8"/>
  <c r="L173" i="8"/>
  <c r="N172" i="8"/>
  <c r="M172" i="8"/>
  <c r="L172" i="8"/>
  <c r="N171" i="8"/>
  <c r="M171" i="8"/>
  <c r="L171" i="8"/>
  <c r="N170" i="8"/>
  <c r="M170" i="8"/>
  <c r="L170" i="8"/>
  <c r="N169" i="8"/>
  <c r="M169" i="8"/>
  <c r="L169" i="8"/>
  <c r="N168" i="8"/>
  <c r="M168" i="8"/>
  <c r="L168" i="8"/>
  <c r="N167" i="8"/>
  <c r="M167" i="8"/>
  <c r="L167" i="8"/>
  <c r="N166" i="8"/>
  <c r="M166" i="8"/>
  <c r="L166" i="8"/>
  <c r="N165" i="8"/>
  <c r="M165" i="8"/>
  <c r="L165" i="8"/>
  <c r="N164" i="8"/>
  <c r="M164" i="8"/>
  <c r="L164" i="8"/>
  <c r="N163" i="8"/>
  <c r="M163" i="8"/>
  <c r="L163" i="8"/>
  <c r="N162" i="8"/>
  <c r="M162" i="8"/>
  <c r="L162" i="8"/>
  <c r="N161" i="8"/>
  <c r="M161" i="8"/>
  <c r="L161" i="8"/>
  <c r="N160" i="8"/>
  <c r="M160" i="8"/>
  <c r="L160" i="8"/>
  <c r="N159" i="8"/>
  <c r="M159" i="8"/>
  <c r="L159" i="8"/>
  <c r="N158" i="8"/>
  <c r="M158" i="8"/>
  <c r="L158" i="8"/>
  <c r="N157" i="8"/>
  <c r="M157" i="8"/>
  <c r="L157" i="8"/>
  <c r="N156" i="8"/>
  <c r="M156" i="8"/>
  <c r="L156" i="8"/>
  <c r="N155" i="8"/>
  <c r="M155" i="8"/>
  <c r="L155" i="8"/>
  <c r="N154" i="8"/>
  <c r="M154" i="8"/>
  <c r="L154" i="8"/>
  <c r="N153" i="8"/>
  <c r="M153" i="8"/>
  <c r="L153" i="8"/>
  <c r="N152" i="8"/>
  <c r="M152" i="8"/>
  <c r="L152" i="8"/>
  <c r="N151" i="8"/>
  <c r="M151" i="8"/>
  <c r="L151" i="8"/>
  <c r="N150" i="8"/>
  <c r="M150" i="8"/>
  <c r="L150" i="8"/>
  <c r="N149" i="8"/>
  <c r="M149" i="8"/>
  <c r="L149" i="8"/>
  <c r="N148" i="8"/>
  <c r="M148" i="8"/>
  <c r="L148" i="8"/>
  <c r="N147" i="8"/>
  <c r="M147" i="8"/>
  <c r="L147" i="8"/>
  <c r="N146" i="8"/>
  <c r="M146" i="8"/>
  <c r="L146" i="8"/>
  <c r="N145" i="8"/>
  <c r="M145" i="8"/>
  <c r="L145" i="8"/>
  <c r="N144" i="8"/>
  <c r="M144" i="8"/>
  <c r="L144" i="8"/>
  <c r="N143" i="8"/>
  <c r="M143" i="8"/>
  <c r="L143" i="8"/>
  <c r="N142" i="8"/>
  <c r="M142" i="8"/>
  <c r="L142" i="8"/>
  <c r="N141" i="8"/>
  <c r="M141" i="8"/>
  <c r="L141" i="8"/>
  <c r="N140" i="8"/>
  <c r="M140" i="8"/>
  <c r="L140" i="8"/>
  <c r="N139" i="8"/>
  <c r="M139" i="8"/>
  <c r="L139" i="8"/>
  <c r="N138" i="8"/>
  <c r="M138" i="8"/>
  <c r="L138" i="8"/>
  <c r="N137" i="8"/>
  <c r="M137" i="8"/>
  <c r="L137" i="8"/>
  <c r="N136" i="8"/>
  <c r="M136" i="8"/>
  <c r="L136" i="8"/>
  <c r="N135" i="8"/>
  <c r="M135" i="8"/>
  <c r="L135" i="8"/>
  <c r="N134" i="8"/>
  <c r="M134" i="8"/>
  <c r="L134" i="8"/>
  <c r="N133" i="8"/>
  <c r="M133" i="8"/>
  <c r="L133" i="8"/>
  <c r="N132" i="8"/>
  <c r="M132" i="8"/>
  <c r="L132" i="8"/>
  <c r="N131" i="8"/>
  <c r="M131" i="8"/>
  <c r="L131" i="8"/>
  <c r="N130" i="8"/>
  <c r="M130" i="8"/>
  <c r="L130" i="8"/>
  <c r="N129" i="8"/>
  <c r="M129" i="8"/>
  <c r="L129" i="8"/>
  <c r="N128" i="8"/>
  <c r="M128" i="8"/>
  <c r="L128" i="8"/>
  <c r="N127" i="8"/>
  <c r="M127" i="8"/>
  <c r="L127" i="8"/>
  <c r="N126" i="8"/>
  <c r="M126" i="8"/>
  <c r="L126" i="8"/>
  <c r="N125" i="8"/>
  <c r="M125" i="8"/>
  <c r="L125" i="8"/>
  <c r="N124" i="8"/>
  <c r="M124" i="8"/>
  <c r="L124" i="8"/>
  <c r="N123" i="8"/>
  <c r="M123" i="8"/>
  <c r="L123" i="8"/>
  <c r="N122" i="8"/>
  <c r="M122" i="8"/>
  <c r="L122" i="8"/>
  <c r="N121" i="8"/>
  <c r="M121" i="8"/>
  <c r="L121" i="8"/>
  <c r="N120" i="8"/>
  <c r="M120" i="8"/>
  <c r="L120" i="8"/>
  <c r="N119" i="8"/>
  <c r="M119" i="8"/>
  <c r="L119" i="8"/>
  <c r="N118" i="8"/>
  <c r="M118" i="8"/>
  <c r="L118" i="8"/>
  <c r="N117" i="8"/>
  <c r="M117" i="8"/>
  <c r="L117" i="8"/>
  <c r="N116" i="8"/>
  <c r="M116" i="8"/>
  <c r="L116" i="8"/>
  <c r="N115" i="8"/>
  <c r="M115" i="8"/>
  <c r="L115" i="8"/>
  <c r="N114" i="8"/>
  <c r="M114" i="8"/>
  <c r="L114" i="8"/>
  <c r="N113" i="8"/>
  <c r="M113" i="8"/>
  <c r="L113" i="8"/>
  <c r="N112" i="8"/>
  <c r="M112" i="8"/>
  <c r="L112" i="8"/>
  <c r="N111" i="8"/>
  <c r="M111" i="8"/>
  <c r="L111" i="8"/>
  <c r="N110" i="8"/>
  <c r="M110" i="8"/>
  <c r="L110" i="8"/>
  <c r="N109" i="8"/>
  <c r="M109" i="8"/>
  <c r="L109" i="8"/>
  <c r="N108" i="8"/>
  <c r="M108" i="8"/>
  <c r="L108" i="8"/>
  <c r="N107" i="8"/>
  <c r="M107" i="8"/>
  <c r="L107" i="8"/>
  <c r="N106" i="8"/>
  <c r="M106" i="8"/>
  <c r="L106" i="8"/>
  <c r="N105" i="8"/>
  <c r="M105" i="8"/>
  <c r="L105" i="8"/>
  <c r="N104" i="8"/>
  <c r="M104" i="8"/>
  <c r="L104" i="8"/>
  <c r="N103" i="8"/>
  <c r="M103" i="8"/>
  <c r="L103" i="8"/>
  <c r="N102" i="8"/>
  <c r="M102" i="8"/>
  <c r="L102" i="8"/>
  <c r="N101" i="8"/>
  <c r="M101" i="8"/>
  <c r="L101" i="8"/>
  <c r="N100" i="8"/>
  <c r="M100" i="8"/>
  <c r="L100" i="8"/>
  <c r="N99" i="8"/>
  <c r="M99" i="8"/>
  <c r="L99" i="8"/>
  <c r="N98" i="8"/>
  <c r="M98" i="8"/>
  <c r="L98" i="8"/>
  <c r="N97" i="8"/>
  <c r="M97" i="8"/>
  <c r="L97" i="8"/>
  <c r="N96" i="8"/>
  <c r="M96" i="8"/>
  <c r="L96" i="8"/>
  <c r="N95" i="8"/>
  <c r="M95" i="8"/>
  <c r="L95" i="8"/>
  <c r="N94" i="8"/>
  <c r="M94" i="8"/>
  <c r="L94" i="8"/>
  <c r="N93" i="8"/>
  <c r="M93" i="8"/>
  <c r="L93" i="8"/>
  <c r="N92" i="8"/>
  <c r="M92" i="8"/>
  <c r="L92" i="8"/>
  <c r="N91" i="8"/>
  <c r="M91" i="8"/>
  <c r="L91" i="8"/>
  <c r="N90" i="8"/>
  <c r="M90" i="8"/>
  <c r="L90" i="8"/>
  <c r="N89" i="8"/>
  <c r="M89" i="8"/>
  <c r="L89" i="8"/>
  <c r="N88" i="8"/>
  <c r="M88" i="8"/>
  <c r="L88" i="8"/>
  <c r="N87" i="8"/>
  <c r="M87" i="8"/>
  <c r="L87" i="8"/>
  <c r="N86" i="8"/>
  <c r="M86" i="8"/>
  <c r="L86" i="8"/>
  <c r="N85" i="8"/>
  <c r="M85" i="8"/>
  <c r="L85" i="8"/>
  <c r="N84" i="8"/>
  <c r="M84" i="8"/>
  <c r="L84" i="8"/>
  <c r="N83" i="8"/>
  <c r="M83" i="8"/>
  <c r="L83" i="8"/>
  <c r="N82" i="8"/>
  <c r="M82" i="8"/>
  <c r="L82" i="8"/>
  <c r="N81" i="8"/>
  <c r="M81" i="8"/>
  <c r="L81" i="8"/>
  <c r="N80" i="8"/>
  <c r="M80" i="8"/>
  <c r="L80" i="8"/>
  <c r="N79" i="8"/>
  <c r="M79" i="8"/>
  <c r="L79" i="8"/>
  <c r="N78" i="8"/>
  <c r="M78" i="8"/>
  <c r="L78" i="8"/>
  <c r="N77" i="8"/>
  <c r="M77" i="8"/>
  <c r="L77" i="8"/>
  <c r="N76" i="8"/>
  <c r="M76" i="8"/>
  <c r="L76" i="8"/>
  <c r="N75" i="8"/>
  <c r="M75" i="8"/>
  <c r="L75" i="8"/>
  <c r="N74" i="8"/>
  <c r="M74" i="8"/>
  <c r="L74" i="8"/>
  <c r="N73" i="8"/>
  <c r="M73" i="8"/>
  <c r="L73" i="8"/>
  <c r="N72" i="8"/>
  <c r="M72" i="8"/>
  <c r="L72" i="8"/>
  <c r="N71" i="8"/>
  <c r="M71" i="8"/>
  <c r="L71" i="8"/>
  <c r="N70" i="8"/>
  <c r="M70" i="8"/>
  <c r="L70" i="8"/>
  <c r="N69" i="8"/>
  <c r="M69" i="8"/>
  <c r="L69" i="8"/>
  <c r="N68" i="8"/>
  <c r="M68" i="8"/>
  <c r="L68" i="8"/>
  <c r="N67" i="8"/>
  <c r="M67" i="8"/>
  <c r="L67" i="8"/>
  <c r="N66" i="8"/>
  <c r="M66" i="8"/>
  <c r="L66" i="8"/>
  <c r="N65" i="8"/>
  <c r="M65" i="8"/>
  <c r="L65" i="8"/>
  <c r="N64" i="8"/>
  <c r="M64" i="8"/>
  <c r="L64" i="8"/>
  <c r="N63" i="8"/>
  <c r="M63" i="8"/>
  <c r="L63" i="8"/>
  <c r="N62" i="8"/>
  <c r="M62" i="8"/>
  <c r="L62" i="8"/>
  <c r="N61" i="8"/>
  <c r="M61" i="8"/>
  <c r="L61" i="8"/>
  <c r="N60" i="8"/>
  <c r="M60" i="8"/>
  <c r="L60" i="8"/>
  <c r="N59" i="8"/>
  <c r="M59" i="8"/>
  <c r="L59" i="8"/>
  <c r="N58" i="8"/>
  <c r="M58" i="8"/>
  <c r="L58" i="8"/>
  <c r="N57" i="8"/>
  <c r="M57" i="8"/>
  <c r="L57" i="8"/>
  <c r="N56" i="8"/>
  <c r="M56" i="8"/>
  <c r="L56" i="8"/>
  <c r="N55" i="8"/>
  <c r="M55" i="8"/>
  <c r="L55" i="8"/>
  <c r="N54" i="8"/>
  <c r="M54" i="8"/>
  <c r="L54" i="8"/>
  <c r="N53" i="8"/>
  <c r="M53" i="8"/>
  <c r="L53" i="8"/>
  <c r="N52" i="8"/>
  <c r="M52" i="8"/>
  <c r="L52" i="8"/>
  <c r="N51" i="8"/>
  <c r="M51" i="8"/>
  <c r="L51" i="8"/>
  <c r="N50" i="8"/>
  <c r="M50" i="8"/>
  <c r="L50" i="8"/>
  <c r="N49" i="8"/>
  <c r="M49" i="8"/>
  <c r="L49" i="8"/>
  <c r="N48" i="8"/>
  <c r="M48" i="8"/>
  <c r="L48" i="8"/>
  <c r="N47" i="8"/>
  <c r="M47" i="8"/>
  <c r="L47" i="8"/>
  <c r="N46" i="8"/>
  <c r="M46" i="8"/>
  <c r="L46" i="8"/>
  <c r="N45" i="8"/>
  <c r="M45" i="8"/>
  <c r="L45" i="8"/>
  <c r="N44" i="8"/>
  <c r="M44" i="8"/>
  <c r="L44" i="8"/>
  <c r="N43" i="8"/>
  <c r="M43" i="8"/>
  <c r="L43" i="8"/>
  <c r="N42" i="8"/>
  <c r="M42" i="8"/>
  <c r="L42" i="8"/>
  <c r="N41" i="8"/>
  <c r="M41" i="8"/>
  <c r="L41" i="8"/>
  <c r="N40" i="8"/>
  <c r="M40" i="8"/>
  <c r="L40" i="8"/>
  <c r="N39" i="8"/>
  <c r="M39" i="8"/>
  <c r="L39" i="8"/>
  <c r="N38" i="8"/>
  <c r="M38" i="8"/>
  <c r="L38" i="8"/>
  <c r="N37" i="8"/>
  <c r="M37" i="8"/>
  <c r="L37" i="8"/>
  <c r="N36" i="8"/>
  <c r="M36" i="8"/>
  <c r="L36" i="8"/>
  <c r="N35" i="8"/>
  <c r="M35" i="8"/>
  <c r="L35" i="8"/>
  <c r="N34" i="8"/>
  <c r="M34" i="8"/>
  <c r="L34" i="8"/>
  <c r="N33" i="8"/>
  <c r="M33" i="8"/>
  <c r="L33" i="8"/>
  <c r="N32" i="8"/>
  <c r="M32" i="8"/>
  <c r="L32" i="8"/>
  <c r="N31" i="8"/>
  <c r="M31" i="8"/>
  <c r="L31" i="8"/>
  <c r="N30" i="8"/>
  <c r="M30" i="8"/>
  <c r="L30" i="8"/>
  <c r="N29" i="8"/>
  <c r="M29" i="8"/>
  <c r="L29" i="8"/>
  <c r="N28" i="8"/>
  <c r="M28" i="8"/>
  <c r="L28" i="8"/>
  <c r="N27" i="8"/>
  <c r="M27" i="8"/>
  <c r="L27" i="8"/>
  <c r="N26" i="8"/>
  <c r="M26" i="8"/>
  <c r="L26" i="8"/>
  <c r="N25" i="8"/>
  <c r="M25" i="8"/>
  <c r="L25" i="8"/>
  <c r="N24" i="8"/>
  <c r="M24" i="8"/>
  <c r="L24" i="8"/>
  <c r="N23" i="8"/>
  <c r="M23" i="8"/>
  <c r="L23" i="8"/>
  <c r="N22" i="8"/>
  <c r="M22" i="8"/>
  <c r="L22" i="8"/>
  <c r="N21" i="8"/>
  <c r="M21" i="8"/>
  <c r="L21" i="8"/>
  <c r="N20" i="8"/>
  <c r="M20" i="8"/>
  <c r="L20" i="8"/>
  <c r="N19" i="8"/>
  <c r="M19" i="8"/>
  <c r="L19" i="8"/>
  <c r="N18" i="8"/>
  <c r="M18" i="8"/>
  <c r="L18" i="8"/>
  <c r="N17" i="8"/>
  <c r="M17" i="8"/>
  <c r="L17" i="8"/>
  <c r="N16" i="8"/>
  <c r="M16" i="8"/>
  <c r="L16" i="8"/>
  <c r="N15" i="8"/>
  <c r="M15" i="8"/>
  <c r="L15" i="8"/>
  <c r="N14" i="8"/>
  <c r="M14" i="8"/>
  <c r="L14" i="8"/>
  <c r="N13" i="8"/>
  <c r="M13" i="8"/>
  <c r="L13" i="8"/>
  <c r="N12" i="8"/>
  <c r="M12" i="8"/>
  <c r="L12" i="8"/>
  <c r="N11" i="8"/>
  <c r="M11" i="8"/>
  <c r="L11" i="8"/>
  <c r="N10" i="8"/>
  <c r="M10" i="8"/>
  <c r="L10" i="8"/>
  <c r="N9" i="8"/>
  <c r="M9" i="8"/>
  <c r="L9" i="8"/>
  <c r="N8" i="8"/>
  <c r="M8" i="8"/>
  <c r="L8" i="8"/>
  <c r="J107" i="7"/>
  <c r="I107" i="7"/>
  <c r="H107" i="7"/>
  <c r="J106" i="7"/>
  <c r="I106" i="7"/>
  <c r="H106" i="7"/>
  <c r="J105" i="7"/>
  <c r="I105" i="7"/>
  <c r="H105" i="7"/>
  <c r="J104" i="7"/>
  <c r="I104" i="7"/>
  <c r="H104" i="7"/>
  <c r="J103" i="7"/>
  <c r="I103" i="7"/>
  <c r="H103" i="7"/>
  <c r="J102" i="7"/>
  <c r="I102" i="7"/>
  <c r="H102" i="7"/>
  <c r="J101" i="7"/>
  <c r="I101" i="7"/>
  <c r="H101" i="7"/>
  <c r="J100" i="7"/>
  <c r="I100" i="7"/>
  <c r="H100" i="7"/>
  <c r="J99" i="7"/>
  <c r="I99" i="7"/>
  <c r="H99" i="7"/>
  <c r="J98" i="7"/>
  <c r="I98" i="7"/>
  <c r="H98" i="7"/>
  <c r="J97" i="7"/>
  <c r="I97" i="7"/>
  <c r="H97" i="7"/>
  <c r="J96" i="7"/>
  <c r="I96" i="7"/>
  <c r="H96" i="7"/>
  <c r="J95" i="7"/>
  <c r="I95" i="7"/>
  <c r="H95" i="7"/>
  <c r="J94" i="7"/>
  <c r="I94" i="7"/>
  <c r="H94" i="7"/>
  <c r="J93" i="7"/>
  <c r="I93" i="7"/>
  <c r="H93" i="7"/>
  <c r="J92" i="7"/>
  <c r="I92" i="7"/>
  <c r="H92" i="7"/>
  <c r="J91" i="7"/>
  <c r="I91" i="7"/>
  <c r="H91" i="7"/>
  <c r="J90" i="7"/>
  <c r="I90" i="7"/>
  <c r="H90" i="7"/>
  <c r="J89" i="7"/>
  <c r="I89" i="7"/>
  <c r="H89" i="7"/>
  <c r="J88" i="7"/>
  <c r="I88" i="7"/>
  <c r="H88" i="7"/>
  <c r="J87" i="7"/>
  <c r="I87" i="7"/>
  <c r="H87" i="7"/>
  <c r="J86" i="7"/>
  <c r="I86" i="7"/>
  <c r="H86" i="7"/>
  <c r="J85" i="7"/>
  <c r="I85" i="7"/>
  <c r="H85" i="7"/>
  <c r="J84" i="7"/>
  <c r="I84" i="7"/>
  <c r="H84" i="7"/>
  <c r="J83" i="7"/>
  <c r="I83" i="7"/>
  <c r="H83" i="7"/>
  <c r="J82" i="7"/>
  <c r="I82" i="7"/>
  <c r="H82" i="7"/>
  <c r="J81" i="7"/>
  <c r="I81" i="7"/>
  <c r="H81" i="7"/>
  <c r="J80" i="7"/>
  <c r="I80" i="7"/>
  <c r="H80" i="7"/>
  <c r="J79" i="7"/>
  <c r="I79" i="7"/>
  <c r="H79" i="7"/>
  <c r="J78" i="7"/>
  <c r="I78" i="7"/>
  <c r="H78" i="7"/>
  <c r="J77" i="7"/>
  <c r="I77" i="7"/>
  <c r="H77" i="7"/>
  <c r="J76" i="7"/>
  <c r="I76" i="7"/>
  <c r="H76" i="7"/>
  <c r="J75" i="7"/>
  <c r="I75" i="7"/>
  <c r="H75" i="7"/>
  <c r="J74" i="7"/>
  <c r="I74" i="7"/>
  <c r="H74" i="7"/>
  <c r="J73" i="7"/>
  <c r="I73" i="7"/>
  <c r="H73" i="7"/>
  <c r="J72" i="7"/>
  <c r="I72" i="7"/>
  <c r="H72" i="7"/>
  <c r="J71" i="7"/>
  <c r="I71" i="7"/>
  <c r="H71" i="7"/>
  <c r="J70" i="7"/>
  <c r="I70" i="7"/>
  <c r="H70" i="7"/>
  <c r="J69" i="7"/>
  <c r="I69" i="7"/>
  <c r="H69" i="7"/>
  <c r="J68" i="7"/>
  <c r="I68" i="7"/>
  <c r="H68" i="7"/>
  <c r="J67" i="7"/>
  <c r="I67" i="7"/>
  <c r="H67" i="7"/>
  <c r="J66" i="7"/>
  <c r="I66" i="7"/>
  <c r="H66" i="7"/>
  <c r="J65" i="7"/>
  <c r="I65" i="7"/>
  <c r="H65" i="7"/>
  <c r="J64" i="7"/>
  <c r="I64" i="7"/>
  <c r="H64" i="7"/>
  <c r="J63" i="7"/>
  <c r="I63" i="7"/>
  <c r="H63" i="7"/>
  <c r="J62" i="7"/>
  <c r="I62" i="7"/>
  <c r="H62" i="7"/>
  <c r="J61" i="7"/>
  <c r="I61" i="7"/>
  <c r="H61" i="7"/>
  <c r="J60" i="7"/>
  <c r="I60" i="7"/>
  <c r="H60" i="7"/>
  <c r="J59" i="7"/>
  <c r="I59" i="7"/>
  <c r="H59" i="7"/>
  <c r="J58" i="7"/>
  <c r="I58" i="7"/>
  <c r="H58" i="7"/>
  <c r="J57" i="7"/>
  <c r="I57" i="7"/>
  <c r="H57" i="7"/>
  <c r="J56" i="7"/>
  <c r="I56" i="7"/>
  <c r="H56" i="7"/>
  <c r="J55" i="7"/>
  <c r="I55" i="7"/>
  <c r="H55" i="7"/>
  <c r="J54" i="7"/>
  <c r="I54" i="7"/>
  <c r="H54" i="7"/>
  <c r="J53" i="7"/>
  <c r="I53" i="7"/>
  <c r="H53" i="7"/>
  <c r="J52" i="7"/>
  <c r="I52" i="7"/>
  <c r="H52" i="7"/>
  <c r="J51" i="7"/>
  <c r="I51" i="7"/>
  <c r="H51" i="7"/>
  <c r="J50" i="7"/>
  <c r="I50" i="7"/>
  <c r="H50" i="7"/>
  <c r="J49" i="7"/>
  <c r="I49" i="7"/>
  <c r="H49" i="7"/>
  <c r="J48" i="7"/>
  <c r="I48" i="7"/>
  <c r="H48" i="7"/>
  <c r="J47" i="7"/>
  <c r="I47" i="7"/>
  <c r="H47" i="7"/>
  <c r="J46" i="7"/>
  <c r="I46" i="7"/>
  <c r="H46" i="7"/>
  <c r="J45" i="7"/>
  <c r="I45" i="7"/>
  <c r="H45" i="7"/>
  <c r="J44" i="7"/>
  <c r="I44" i="7"/>
  <c r="H44" i="7"/>
  <c r="J43" i="7"/>
  <c r="I43" i="7"/>
  <c r="H43" i="7"/>
  <c r="J42" i="7"/>
  <c r="I42" i="7"/>
  <c r="H42" i="7"/>
  <c r="J41" i="7"/>
  <c r="I41" i="7"/>
  <c r="H41" i="7"/>
  <c r="J40" i="7"/>
  <c r="I40" i="7"/>
  <c r="H40" i="7"/>
  <c r="J39" i="7"/>
  <c r="I39" i="7"/>
  <c r="H39" i="7"/>
  <c r="J38" i="7"/>
  <c r="I38" i="7"/>
  <c r="H38" i="7"/>
  <c r="J37" i="7"/>
  <c r="I37" i="7"/>
  <c r="H37" i="7"/>
  <c r="J36" i="7"/>
  <c r="I36" i="7"/>
  <c r="H36" i="7"/>
  <c r="J35" i="7"/>
  <c r="I35" i="7"/>
  <c r="H35" i="7"/>
  <c r="J34" i="7"/>
  <c r="I34" i="7"/>
  <c r="H34" i="7"/>
  <c r="J33" i="7"/>
  <c r="I33" i="7"/>
  <c r="H33" i="7"/>
  <c r="J32" i="7"/>
  <c r="I32" i="7"/>
  <c r="H32" i="7"/>
  <c r="J31" i="7"/>
  <c r="I31" i="7"/>
  <c r="H31" i="7"/>
  <c r="J30" i="7"/>
  <c r="I30" i="7"/>
  <c r="H30" i="7"/>
  <c r="J29" i="7"/>
  <c r="I29" i="7"/>
  <c r="H29" i="7"/>
  <c r="J28" i="7"/>
  <c r="I28" i="7"/>
  <c r="H28" i="7"/>
  <c r="J27" i="7"/>
  <c r="I27" i="7"/>
  <c r="H27" i="7"/>
  <c r="J26" i="7"/>
  <c r="I26" i="7"/>
  <c r="H26" i="7"/>
  <c r="J25" i="7"/>
  <c r="I25" i="7"/>
  <c r="H25" i="7"/>
  <c r="J24" i="7"/>
  <c r="I24" i="7"/>
  <c r="H24" i="7"/>
  <c r="J23" i="7"/>
  <c r="I23" i="7"/>
  <c r="H23" i="7"/>
  <c r="J22" i="7"/>
  <c r="I22" i="7"/>
  <c r="H22" i="7"/>
  <c r="J21" i="7"/>
  <c r="I21" i="7"/>
  <c r="H21" i="7"/>
  <c r="J20" i="7"/>
  <c r="I20" i="7"/>
  <c r="H20" i="7"/>
  <c r="J19" i="7"/>
  <c r="I19" i="7"/>
  <c r="H19" i="7"/>
  <c r="J18" i="7"/>
  <c r="I18" i="7"/>
  <c r="H18" i="7"/>
  <c r="J17" i="7"/>
  <c r="I17" i="7"/>
  <c r="H17" i="7"/>
  <c r="J16" i="7"/>
  <c r="I16" i="7"/>
  <c r="H16" i="7"/>
  <c r="J15" i="7"/>
  <c r="I15" i="7"/>
  <c r="H15" i="7"/>
  <c r="J14" i="7"/>
  <c r="I14" i="7"/>
  <c r="H14" i="7"/>
  <c r="J13" i="7"/>
  <c r="I13" i="7"/>
  <c r="H13" i="7"/>
  <c r="J12" i="7"/>
  <c r="I12" i="7"/>
  <c r="H12" i="7"/>
  <c r="J11" i="7"/>
  <c r="I11" i="7"/>
  <c r="H11" i="7"/>
  <c r="J10" i="7"/>
  <c r="I10" i="7"/>
  <c r="H10" i="7"/>
  <c r="J9" i="7"/>
  <c r="I9" i="7"/>
  <c r="H9" i="7"/>
  <c r="J8" i="7"/>
  <c r="I8" i="7"/>
  <c r="H8" i="7"/>
  <c r="I57" i="5"/>
  <c r="H57" i="5"/>
  <c r="G57" i="5"/>
  <c r="F57" i="5"/>
  <c r="I56" i="5"/>
  <c r="H56" i="5"/>
  <c r="G56" i="5"/>
  <c r="F56" i="5"/>
  <c r="I55" i="5"/>
  <c r="H55" i="5"/>
  <c r="G55" i="5"/>
  <c r="F55" i="5"/>
  <c r="I54" i="5"/>
  <c r="H54" i="5"/>
  <c r="G54" i="5"/>
  <c r="F54" i="5"/>
  <c r="I53" i="5"/>
  <c r="H53" i="5"/>
  <c r="G53" i="5"/>
  <c r="F53" i="5"/>
  <c r="I52" i="5"/>
  <c r="H52" i="5"/>
  <c r="G52" i="5"/>
  <c r="F52" i="5"/>
  <c r="I51" i="5"/>
  <c r="H51" i="5"/>
  <c r="G51" i="5"/>
  <c r="F51" i="5"/>
  <c r="I50" i="5"/>
  <c r="H50" i="5"/>
  <c r="G50" i="5"/>
  <c r="F50" i="5"/>
  <c r="I49" i="5"/>
  <c r="H49" i="5"/>
  <c r="G49" i="5"/>
  <c r="F49" i="5"/>
  <c r="I48" i="5"/>
  <c r="H48" i="5"/>
  <c r="G48" i="5"/>
  <c r="F48" i="5"/>
  <c r="I47" i="5"/>
  <c r="H47" i="5"/>
  <c r="G47" i="5"/>
  <c r="F47" i="5"/>
  <c r="I46" i="5"/>
  <c r="H46" i="5"/>
  <c r="G46" i="5"/>
  <c r="F46" i="5"/>
  <c r="I45" i="5"/>
  <c r="H45" i="5"/>
  <c r="G45" i="5"/>
  <c r="F45" i="5"/>
  <c r="I44" i="5"/>
  <c r="H44" i="5"/>
  <c r="G44" i="5"/>
  <c r="F44" i="5"/>
  <c r="I43" i="5"/>
  <c r="H43" i="5"/>
  <c r="G43" i="5"/>
  <c r="F43" i="5"/>
  <c r="I42" i="5"/>
  <c r="H42" i="5"/>
  <c r="G42" i="5"/>
  <c r="F42" i="5"/>
  <c r="I41" i="5"/>
  <c r="H41" i="5"/>
  <c r="G41" i="5"/>
  <c r="F41" i="5"/>
  <c r="I40" i="5"/>
  <c r="H40" i="5"/>
  <c r="G40" i="5"/>
  <c r="F40" i="5"/>
  <c r="I39" i="5"/>
  <c r="H39" i="5"/>
  <c r="G39" i="5"/>
  <c r="F39" i="5"/>
  <c r="I38" i="5"/>
  <c r="H38" i="5"/>
  <c r="G38" i="5"/>
  <c r="F38" i="5"/>
  <c r="I37" i="5"/>
  <c r="H37" i="5"/>
  <c r="G37" i="5"/>
  <c r="F37" i="5"/>
  <c r="I36" i="5"/>
  <c r="H36" i="5"/>
  <c r="G36" i="5"/>
  <c r="F36" i="5"/>
  <c r="I35" i="5"/>
  <c r="H35" i="5"/>
  <c r="G35" i="5"/>
  <c r="F35" i="5"/>
  <c r="I34" i="5"/>
  <c r="H34" i="5"/>
  <c r="G34" i="5"/>
  <c r="F34" i="5"/>
  <c r="I33" i="5"/>
  <c r="H33" i="5"/>
  <c r="G33" i="5"/>
  <c r="F33" i="5"/>
  <c r="I32" i="5"/>
  <c r="H32" i="5"/>
  <c r="G32" i="5"/>
  <c r="F32" i="5"/>
  <c r="I31" i="5"/>
  <c r="H31" i="5"/>
  <c r="G31" i="5"/>
  <c r="F31" i="5"/>
  <c r="I30" i="5"/>
  <c r="H30" i="5"/>
  <c r="G30" i="5"/>
  <c r="F30" i="5"/>
  <c r="I29" i="5"/>
  <c r="H29" i="5"/>
  <c r="G29" i="5"/>
  <c r="F29" i="5"/>
  <c r="I28" i="5"/>
  <c r="H28" i="5"/>
  <c r="G28" i="5"/>
  <c r="F28" i="5"/>
  <c r="I27" i="5"/>
  <c r="H27" i="5"/>
  <c r="G27" i="5"/>
  <c r="F27" i="5"/>
  <c r="I26" i="5"/>
  <c r="H26" i="5"/>
  <c r="G26" i="5"/>
  <c r="F26" i="5"/>
  <c r="I25" i="5"/>
  <c r="H25" i="5"/>
  <c r="G25" i="5"/>
  <c r="F25" i="5"/>
  <c r="I24" i="5"/>
  <c r="H24" i="5"/>
  <c r="G24" i="5"/>
  <c r="F24" i="5"/>
  <c r="I23" i="5"/>
  <c r="H23" i="5"/>
  <c r="G23" i="5"/>
  <c r="F23" i="5"/>
  <c r="I22" i="5"/>
  <c r="H22" i="5"/>
  <c r="G22" i="5"/>
  <c r="F22" i="5"/>
  <c r="I21" i="5"/>
  <c r="H21" i="5"/>
  <c r="G21" i="5"/>
  <c r="F21" i="5"/>
  <c r="I20" i="5"/>
  <c r="H20" i="5"/>
  <c r="G20" i="5"/>
  <c r="F20" i="5"/>
  <c r="I19" i="5"/>
  <c r="H19" i="5"/>
  <c r="G19" i="5"/>
  <c r="F19" i="5"/>
  <c r="I18" i="5"/>
  <c r="H18" i="5"/>
  <c r="G18" i="5"/>
  <c r="F18" i="5"/>
  <c r="I17" i="5"/>
  <c r="H17" i="5"/>
  <c r="G17" i="5"/>
  <c r="F17" i="5"/>
  <c r="I16" i="5"/>
  <c r="H16" i="5"/>
  <c r="G16" i="5"/>
  <c r="F16" i="5"/>
  <c r="I15" i="5"/>
  <c r="H15" i="5"/>
  <c r="G15" i="5"/>
  <c r="F15" i="5"/>
  <c r="I14" i="5"/>
  <c r="H14" i="5"/>
  <c r="G14" i="5"/>
  <c r="F14" i="5"/>
  <c r="I13" i="5"/>
  <c r="H13" i="5"/>
  <c r="G13" i="5"/>
  <c r="F13" i="5"/>
  <c r="I12" i="5"/>
  <c r="H12" i="5"/>
  <c r="G12" i="5"/>
  <c r="F12" i="5"/>
  <c r="I11" i="5"/>
  <c r="H11" i="5"/>
  <c r="G11" i="5"/>
  <c r="F11" i="5"/>
  <c r="I10" i="5"/>
  <c r="H10" i="5"/>
  <c r="G10" i="5"/>
  <c r="F10" i="5"/>
  <c r="I9" i="5"/>
  <c r="H9" i="5"/>
  <c r="G9" i="5"/>
  <c r="F9" i="5"/>
  <c r="I8" i="5"/>
  <c r="H8" i="5"/>
  <c r="G8" i="5"/>
  <c r="F8" i="5"/>
  <c r="M50" i="3"/>
  <c r="L50" i="3"/>
  <c r="K50" i="3"/>
  <c r="J50" i="3"/>
  <c r="H50" i="3"/>
  <c r="G50" i="3"/>
  <c r="F50" i="3"/>
  <c r="C50" i="3"/>
  <c r="B50" i="3"/>
  <c r="M49" i="3"/>
  <c r="L49" i="3"/>
  <c r="K49" i="3"/>
  <c r="J49" i="3"/>
  <c r="H49" i="3"/>
  <c r="G49" i="3"/>
  <c r="F49" i="3"/>
  <c r="C49" i="3"/>
  <c r="B49" i="3"/>
  <c r="M48" i="3"/>
  <c r="L48" i="3"/>
  <c r="K48" i="3"/>
  <c r="J48" i="3"/>
  <c r="H48" i="3"/>
  <c r="G48" i="3"/>
  <c r="F48" i="3"/>
  <c r="C48" i="3"/>
  <c r="B48" i="3"/>
  <c r="M47" i="3"/>
  <c r="L47" i="3"/>
  <c r="K47" i="3"/>
  <c r="J47" i="3"/>
  <c r="H47" i="3"/>
  <c r="G47" i="3"/>
  <c r="F47" i="3"/>
  <c r="C47" i="3"/>
  <c r="B47" i="3"/>
  <c r="M46" i="3"/>
  <c r="L46" i="3"/>
  <c r="K46" i="3"/>
  <c r="J46" i="3"/>
  <c r="H46" i="3"/>
  <c r="G46" i="3"/>
  <c r="F46" i="3"/>
  <c r="C46" i="3"/>
  <c r="B46" i="3"/>
  <c r="M45" i="3"/>
  <c r="L45" i="3"/>
  <c r="K45" i="3"/>
  <c r="J45" i="3"/>
  <c r="H45" i="3"/>
  <c r="G45" i="3"/>
  <c r="F45" i="3"/>
  <c r="C45" i="3"/>
  <c r="B45" i="3"/>
  <c r="M44" i="3"/>
  <c r="L44" i="3"/>
  <c r="K44" i="3"/>
  <c r="J44" i="3"/>
  <c r="H44" i="3"/>
  <c r="G44" i="3"/>
  <c r="F44" i="3"/>
  <c r="C44" i="3"/>
  <c r="B44" i="3"/>
  <c r="M43" i="3"/>
  <c r="L43" i="3"/>
  <c r="K43" i="3"/>
  <c r="J43" i="3"/>
  <c r="H43" i="3"/>
  <c r="G43" i="3"/>
  <c r="F43" i="3"/>
  <c r="C43" i="3"/>
  <c r="B43" i="3"/>
  <c r="M42" i="3"/>
  <c r="L42" i="3"/>
  <c r="K42" i="3"/>
  <c r="J42" i="3"/>
  <c r="H42" i="3"/>
  <c r="G42" i="3"/>
  <c r="F42" i="3"/>
  <c r="C42" i="3"/>
  <c r="B42" i="3"/>
  <c r="M41" i="3"/>
  <c r="L41" i="3"/>
  <c r="K41" i="3"/>
  <c r="J41" i="3"/>
  <c r="H41" i="3"/>
  <c r="G41" i="3"/>
  <c r="F41" i="3"/>
  <c r="C41" i="3"/>
  <c r="B41" i="3"/>
  <c r="H22" i="3"/>
  <c r="E22" i="3"/>
  <c r="B22" i="3"/>
  <c r="H21" i="3"/>
  <c r="K18" i="3"/>
  <c r="B18" i="3"/>
  <c r="B9" i="3"/>
  <c r="B7" i="3"/>
  <c r="B3" i="3"/>
  <c r="J2" i="3"/>
  <c r="M42" i="2"/>
  <c r="K42" i="2"/>
  <c r="I42" i="2"/>
  <c r="H42" i="2"/>
  <c r="D42" i="2"/>
  <c r="C42" i="2"/>
  <c r="B42" i="2"/>
  <c r="M41" i="2"/>
  <c r="K41" i="2"/>
  <c r="I41" i="2"/>
  <c r="H41" i="2"/>
  <c r="D41" i="2"/>
  <c r="C41" i="2"/>
  <c r="B41" i="2"/>
  <c r="M40" i="2"/>
  <c r="K40" i="2"/>
  <c r="I40" i="2"/>
  <c r="H40" i="2"/>
  <c r="D40" i="2"/>
  <c r="C40" i="2"/>
  <c r="B40" i="2"/>
  <c r="M39" i="2"/>
  <c r="K39" i="2"/>
  <c r="I39" i="2"/>
  <c r="H39" i="2"/>
  <c r="D39" i="2"/>
  <c r="C39" i="2"/>
  <c r="B39" i="2"/>
  <c r="M38" i="2"/>
  <c r="K38" i="2"/>
  <c r="I38" i="2"/>
  <c r="H38" i="2"/>
  <c r="D38" i="2"/>
  <c r="C38" i="2"/>
  <c r="B38" i="2"/>
  <c r="M37" i="2"/>
  <c r="K37" i="2"/>
  <c r="I37" i="2"/>
  <c r="H37" i="2"/>
  <c r="D37" i="2"/>
  <c r="C37" i="2"/>
  <c r="B37" i="2"/>
  <c r="M36" i="2"/>
  <c r="K36" i="2"/>
  <c r="I36" i="2"/>
  <c r="H36" i="2"/>
  <c r="D36" i="2"/>
  <c r="C36" i="2"/>
  <c r="B36" i="2"/>
  <c r="M35" i="2"/>
  <c r="K35" i="2"/>
  <c r="I35" i="2"/>
  <c r="H35" i="2"/>
  <c r="D35" i="2"/>
  <c r="C35" i="2"/>
  <c r="B35" i="2"/>
  <c r="I31" i="2"/>
  <c r="H31" i="2"/>
  <c r="G31" i="2"/>
  <c r="C31" i="2"/>
  <c r="B31" i="2"/>
  <c r="I30" i="2"/>
  <c r="H30" i="2"/>
  <c r="G30" i="2"/>
  <c r="C30" i="2"/>
  <c r="B30" i="2"/>
  <c r="I29" i="2"/>
  <c r="H29" i="2"/>
  <c r="G29" i="2"/>
  <c r="C29" i="2"/>
  <c r="B29" i="2"/>
  <c r="I28" i="2"/>
  <c r="H28" i="2"/>
  <c r="G28" i="2"/>
  <c r="C28" i="2"/>
  <c r="B28" i="2"/>
  <c r="I27" i="2"/>
  <c r="H27" i="2"/>
  <c r="G27" i="2"/>
  <c r="C27" i="2"/>
  <c r="B27" i="2"/>
  <c r="I26" i="2"/>
  <c r="H26" i="2"/>
  <c r="G26" i="2"/>
  <c r="C26" i="2"/>
  <c r="B26" i="2"/>
  <c r="I25" i="2"/>
  <c r="H25" i="2"/>
  <c r="G25" i="2"/>
  <c r="C25" i="2"/>
  <c r="B25" i="2"/>
  <c r="I24" i="2"/>
  <c r="H24" i="2"/>
  <c r="G24" i="2"/>
  <c r="C24" i="2"/>
  <c r="B24" i="2"/>
  <c r="I23" i="2"/>
  <c r="H23" i="2"/>
  <c r="G23" i="2"/>
  <c r="C23" i="2"/>
  <c r="B23" i="2"/>
  <c r="I22" i="2"/>
  <c r="H22" i="2"/>
  <c r="G22" i="2"/>
  <c r="C22" i="2"/>
  <c r="B22" i="2"/>
  <c r="K18" i="2"/>
  <c r="E18" i="2"/>
  <c r="B7" i="2"/>
  <c r="B3" i="2"/>
  <c r="J2" i="2"/>
  <c r="M42" i="1"/>
  <c r="K42" i="1"/>
  <c r="I42" i="1"/>
  <c r="H42" i="1"/>
  <c r="D42" i="1"/>
  <c r="C42" i="1"/>
  <c r="B42" i="1"/>
  <c r="M41" i="1"/>
  <c r="K41" i="1"/>
  <c r="I41" i="1"/>
  <c r="H41" i="1"/>
  <c r="D41" i="1"/>
  <c r="C41" i="1"/>
  <c r="B41" i="1"/>
  <c r="M40" i="1"/>
  <c r="K40" i="1"/>
  <c r="I40" i="1"/>
  <c r="H40" i="1"/>
  <c r="D40" i="1"/>
  <c r="C40" i="1"/>
  <c r="B40" i="1"/>
  <c r="M39" i="1"/>
  <c r="K39" i="1"/>
  <c r="I39" i="1"/>
  <c r="H39" i="1"/>
  <c r="D39" i="1"/>
  <c r="C39" i="1"/>
  <c r="B39" i="1"/>
  <c r="M38" i="1"/>
  <c r="K38" i="1"/>
  <c r="I38" i="1"/>
  <c r="H38" i="1"/>
  <c r="D38" i="1"/>
  <c r="C38" i="1"/>
  <c r="B38" i="1"/>
  <c r="M37" i="1"/>
  <c r="K37" i="1"/>
  <c r="I37" i="1"/>
  <c r="H37" i="1"/>
  <c r="D37" i="1"/>
  <c r="C37" i="1"/>
  <c r="B37" i="1"/>
  <c r="M36" i="1"/>
  <c r="K36" i="1"/>
  <c r="I36" i="1"/>
  <c r="H36" i="1"/>
  <c r="D36" i="1"/>
  <c r="C36" i="1"/>
  <c r="B36" i="1"/>
  <c r="M35" i="1"/>
  <c r="K35" i="1"/>
  <c r="I35" i="1"/>
  <c r="H35" i="1"/>
  <c r="D35" i="1"/>
  <c r="C35" i="1"/>
  <c r="B35" i="1"/>
  <c r="I31" i="1"/>
  <c r="H31" i="1"/>
  <c r="G31" i="1"/>
  <c r="C31" i="1"/>
  <c r="B31" i="1"/>
  <c r="I30" i="1"/>
  <c r="H30" i="1"/>
  <c r="G30" i="1"/>
  <c r="C30" i="1"/>
  <c r="B30" i="1"/>
  <c r="I29" i="1"/>
  <c r="H29" i="1"/>
  <c r="G29" i="1"/>
  <c r="C29" i="1"/>
  <c r="B29" i="1"/>
  <c r="I28" i="1"/>
  <c r="H28" i="1"/>
  <c r="G28" i="1"/>
  <c r="C28" i="1"/>
  <c r="B28" i="1"/>
  <c r="I27" i="1"/>
  <c r="H27" i="1"/>
  <c r="G27" i="1"/>
  <c r="C27" i="1"/>
  <c r="B27" i="1"/>
  <c r="I26" i="1"/>
  <c r="H26" i="1"/>
  <c r="G26" i="1"/>
  <c r="C26" i="1"/>
  <c r="B26" i="1"/>
  <c r="I25" i="1"/>
  <c r="H25" i="1"/>
  <c r="G25" i="1"/>
  <c r="C25" i="1"/>
  <c r="B25" i="1"/>
  <c r="I24" i="1"/>
  <c r="H24" i="1"/>
  <c r="G24" i="1"/>
  <c r="C24" i="1"/>
  <c r="B24" i="1"/>
  <c r="I23" i="1"/>
  <c r="H23" i="1"/>
  <c r="G23" i="1"/>
  <c r="C23" i="1"/>
  <c r="B23" i="1"/>
  <c r="I22" i="1"/>
  <c r="H22" i="1"/>
  <c r="G22" i="1"/>
  <c r="C22" i="1"/>
  <c r="B22" i="1"/>
  <c r="K18" i="1"/>
  <c r="H18" i="1"/>
  <c r="E18" i="1"/>
  <c r="B7" i="1"/>
  <c r="B3" i="1"/>
  <c r="J2" i="1"/>
  <c r="H18" i="3" l="1"/>
  <c r="C13" i="21"/>
  <c r="H24" i="16"/>
  <c r="E24" i="16"/>
  <c r="O21" i="16"/>
  <c r="M21" i="16"/>
  <c r="N21" i="16"/>
  <c r="K15" i="16"/>
  <c r="J15" i="16"/>
  <c r="I15" i="16"/>
  <c r="G15" i="16"/>
  <c r="F15" i="16"/>
  <c r="D15" i="16"/>
  <c r="L15" i="16"/>
  <c r="H14" i="16"/>
  <c r="E14" i="16"/>
  <c r="H9" i="16"/>
  <c r="E9" i="16"/>
  <c r="L486" i="12"/>
  <c r="M486" i="12" s="1"/>
  <c r="J486" i="12"/>
  <c r="K486" i="12" s="1"/>
  <c r="H486" i="12"/>
  <c r="G486" i="12"/>
  <c r="F486" i="12"/>
  <c r="E486" i="12"/>
  <c r="D486" i="12"/>
  <c r="C486" i="12"/>
  <c r="L421" i="12"/>
  <c r="M421" i="12" s="1"/>
  <c r="J421" i="12"/>
  <c r="K421" i="12" s="1"/>
  <c r="H421" i="12"/>
  <c r="F421" i="12"/>
  <c r="E421" i="12"/>
  <c r="D421" i="12"/>
  <c r="C421" i="12"/>
  <c r="G421" i="12"/>
  <c r="L356" i="12"/>
  <c r="M356" i="12" s="1"/>
  <c r="J356" i="12"/>
  <c r="K356" i="12" s="1"/>
  <c r="G356" i="12"/>
  <c r="F356" i="12"/>
  <c r="E356" i="12"/>
  <c r="D356" i="12"/>
  <c r="C356" i="12"/>
  <c r="H356" i="12"/>
  <c r="D291" i="12"/>
  <c r="C291" i="12"/>
  <c r="L291" i="12"/>
  <c r="M291" i="12" s="1"/>
  <c r="J291" i="12"/>
  <c r="K291" i="12" s="1"/>
  <c r="H291" i="12"/>
  <c r="G291" i="12"/>
  <c r="F291" i="12"/>
  <c r="E291" i="12"/>
  <c r="D226" i="12"/>
  <c r="L226" i="12"/>
  <c r="M226" i="12" s="1"/>
  <c r="J226" i="12"/>
  <c r="K226" i="12" s="1"/>
  <c r="H226" i="12"/>
  <c r="G226" i="12"/>
  <c r="F226" i="12"/>
  <c r="E226" i="12"/>
  <c r="C226" i="12"/>
  <c r="D161" i="12"/>
  <c r="L161" i="12"/>
  <c r="M161" i="12" s="1"/>
  <c r="J161" i="12"/>
  <c r="K161" i="12" s="1"/>
  <c r="H161" i="12"/>
  <c r="G161" i="12"/>
  <c r="F161" i="12"/>
  <c r="E161" i="12"/>
  <c r="C161" i="12"/>
  <c r="D96" i="12"/>
  <c r="E96" i="12"/>
  <c r="H96" i="12"/>
  <c r="F96" i="12"/>
  <c r="G96" i="12"/>
  <c r="C96" i="12"/>
  <c r="G31" i="12"/>
  <c r="D31" i="12"/>
  <c r="L31" i="12"/>
  <c r="M31" i="12" s="1"/>
  <c r="J31" i="12"/>
  <c r="K31" i="12" s="1"/>
  <c r="H31" i="12"/>
  <c r="F31" i="12"/>
  <c r="E31" i="12"/>
  <c r="C31" i="12"/>
  <c r="L11" i="10"/>
  <c r="I11" i="10" s="1"/>
  <c r="P11" i="10" s="1"/>
  <c r="L10" i="10"/>
  <c r="I10" i="10" s="1"/>
  <c r="P10" i="10" s="1"/>
  <c r="L9" i="10"/>
  <c r="I9" i="10"/>
  <c r="P9" i="10" s="1"/>
  <c r="B9" i="16"/>
  <c r="P9" i="16"/>
  <c r="B10" i="16"/>
  <c r="B12" i="16"/>
  <c r="P10" i="16"/>
  <c r="B13" i="16"/>
  <c r="P14" i="16"/>
  <c r="B11" i="16"/>
  <c r="P11" i="16"/>
  <c r="B15" i="16"/>
  <c r="P13" i="16"/>
  <c r="B14" i="16"/>
  <c r="P12" i="16"/>
  <c r="B11" i="21"/>
  <c r="C57" i="19"/>
  <c r="C56" i="19"/>
  <c r="H12" i="3" s="1"/>
  <c r="H17" i="3"/>
  <c r="C6" i="10"/>
  <c r="C39" i="19"/>
  <c r="B6" i="10"/>
  <c r="C62" i="19"/>
  <c r="B17" i="3"/>
  <c r="K17" i="1"/>
  <c r="E18" i="3"/>
  <c r="E17" i="1"/>
  <c r="K17" i="2"/>
  <c r="E17" i="3"/>
  <c r="C59" i="19"/>
  <c r="C60" i="19"/>
  <c r="B9" i="1" s="1"/>
  <c r="C8" i="21"/>
  <c r="B8" i="21"/>
  <c r="C61" i="19"/>
  <c r="B9" i="2" s="1"/>
  <c r="B6" i="5"/>
  <c r="K21" i="3"/>
  <c r="B10" i="21"/>
  <c r="C10" i="21"/>
  <c r="B13" i="21"/>
  <c r="B6" i="12"/>
  <c r="H18" i="2"/>
  <c r="C9" i="21"/>
  <c r="B9" i="21"/>
  <c r="S28" i="16"/>
  <c r="R28" i="16"/>
  <c r="E28" i="16"/>
  <c r="H28" i="16"/>
  <c r="R27" i="16"/>
  <c r="S27" i="16"/>
  <c r="E27" i="16"/>
  <c r="H27" i="16"/>
  <c r="O26" i="16"/>
  <c r="S26" i="16"/>
  <c r="E26" i="16"/>
  <c r="H26" i="16"/>
  <c r="R25" i="16"/>
  <c r="S25" i="16"/>
  <c r="E25" i="16"/>
  <c r="H25" i="16"/>
  <c r="S24" i="16"/>
  <c r="R24" i="16"/>
  <c r="O24" i="16"/>
  <c r="R23" i="16"/>
  <c r="S23" i="16"/>
  <c r="R22" i="16"/>
  <c r="S22" i="16"/>
  <c r="H22" i="16"/>
  <c r="E22" i="16"/>
  <c r="S21" i="16"/>
  <c r="R21" i="16"/>
  <c r="E21" i="16"/>
  <c r="H21" i="16"/>
  <c r="N20" i="16"/>
  <c r="O20" i="16"/>
  <c r="S20" i="16"/>
  <c r="R20" i="16"/>
  <c r="E20" i="16"/>
  <c r="H20" i="16"/>
  <c r="S19" i="16"/>
  <c r="R19" i="16"/>
  <c r="E19" i="16"/>
  <c r="H19" i="16"/>
  <c r="S18" i="16"/>
  <c r="R18" i="16"/>
  <c r="H18" i="16"/>
  <c r="E18" i="16"/>
  <c r="R17" i="16"/>
  <c r="S17" i="16"/>
  <c r="H17" i="16"/>
  <c r="E17" i="16"/>
  <c r="O16" i="16"/>
  <c r="S16" i="16"/>
  <c r="R16" i="16"/>
  <c r="E16" i="16"/>
  <c r="H16" i="16"/>
  <c r="S15" i="16"/>
  <c r="R15" i="16"/>
  <c r="E15" i="16"/>
  <c r="H15" i="16"/>
  <c r="R14" i="16"/>
  <c r="S14" i="16"/>
  <c r="O14" i="16"/>
  <c r="R13" i="16"/>
  <c r="S13" i="16"/>
  <c r="H13" i="16"/>
  <c r="E13" i="16"/>
  <c r="O12" i="16"/>
  <c r="S12" i="16"/>
  <c r="R12" i="16"/>
  <c r="E12" i="16"/>
  <c r="H12" i="16"/>
  <c r="S11" i="16"/>
  <c r="R11" i="16"/>
  <c r="E11" i="16"/>
  <c r="H11" i="16"/>
  <c r="S10" i="16"/>
  <c r="R10" i="16"/>
  <c r="H10" i="16"/>
  <c r="E10" i="16"/>
  <c r="O9" i="16"/>
  <c r="S9" i="16"/>
  <c r="R9" i="16"/>
  <c r="C508" i="12"/>
  <c r="F508" i="12"/>
  <c r="D508" i="12"/>
  <c r="E508" i="12"/>
  <c r="G508" i="12"/>
  <c r="H508" i="12"/>
  <c r="L508" i="12"/>
  <c r="M508" i="12" s="1"/>
  <c r="J508" i="12"/>
  <c r="K508" i="12" s="1"/>
  <c r="H507" i="12"/>
  <c r="F507" i="12"/>
  <c r="L507" i="12"/>
  <c r="M507" i="12" s="1"/>
  <c r="J507" i="12"/>
  <c r="K507" i="12" s="1"/>
  <c r="D507" i="12"/>
  <c r="C507" i="12"/>
  <c r="G507" i="12"/>
  <c r="E507" i="12"/>
  <c r="L506" i="12"/>
  <c r="M506" i="12" s="1"/>
  <c r="G506" i="12"/>
  <c r="D506" i="12"/>
  <c r="E506" i="12"/>
  <c r="F506" i="12"/>
  <c r="C506" i="12"/>
  <c r="H506" i="12"/>
  <c r="J506" i="12"/>
  <c r="K506" i="12" s="1"/>
  <c r="L505" i="12"/>
  <c r="M505" i="12" s="1"/>
  <c r="F505" i="12"/>
  <c r="J505" i="12"/>
  <c r="K505" i="12" s="1"/>
  <c r="C505" i="12"/>
  <c r="E505" i="12"/>
  <c r="G505" i="12"/>
  <c r="D505" i="12"/>
  <c r="H505" i="12"/>
  <c r="E504" i="12"/>
  <c r="J504" i="12"/>
  <c r="K504" i="12" s="1"/>
  <c r="L504" i="12"/>
  <c r="M504" i="12" s="1"/>
  <c r="G504" i="12"/>
  <c r="H504" i="12"/>
  <c r="F504" i="12"/>
  <c r="D504" i="12"/>
  <c r="C504" i="12"/>
  <c r="F503" i="12"/>
  <c r="C503" i="12"/>
  <c r="H503" i="12"/>
  <c r="J503" i="12"/>
  <c r="K503" i="12" s="1"/>
  <c r="D503" i="12"/>
  <c r="L503" i="12"/>
  <c r="M503" i="12" s="1"/>
  <c r="E503" i="12"/>
  <c r="G503" i="12"/>
  <c r="G502" i="12"/>
  <c r="H502" i="12"/>
  <c r="F502" i="12"/>
  <c r="E502" i="12"/>
  <c r="L502" i="12"/>
  <c r="M502" i="12" s="1"/>
  <c r="D502" i="12"/>
  <c r="J502" i="12"/>
  <c r="K502" i="12" s="1"/>
  <c r="C502" i="12"/>
  <c r="C501" i="12"/>
  <c r="G501" i="12"/>
  <c r="E501" i="12"/>
  <c r="D501" i="12"/>
  <c r="J501" i="12"/>
  <c r="K501" i="12" s="1"/>
  <c r="F501" i="12"/>
  <c r="H501" i="12"/>
  <c r="L501" i="12"/>
  <c r="M501" i="12" s="1"/>
  <c r="D500" i="12"/>
  <c r="J500" i="12"/>
  <c r="K500" i="12" s="1"/>
  <c r="G500" i="12"/>
  <c r="H500" i="12"/>
  <c r="C500" i="12"/>
  <c r="E500" i="12"/>
  <c r="L500" i="12"/>
  <c r="M500" i="12" s="1"/>
  <c r="F500" i="12"/>
  <c r="G499" i="12"/>
  <c r="F499" i="12"/>
  <c r="E499" i="12"/>
  <c r="J499" i="12"/>
  <c r="K499" i="12" s="1"/>
  <c r="C499" i="12"/>
  <c r="L499" i="12"/>
  <c r="M499" i="12" s="1"/>
  <c r="H499" i="12"/>
  <c r="E498" i="12"/>
  <c r="H498" i="12"/>
  <c r="L498" i="12"/>
  <c r="M498" i="12" s="1"/>
  <c r="J498" i="12"/>
  <c r="K498" i="12" s="1"/>
  <c r="D498" i="12"/>
  <c r="F498" i="12"/>
  <c r="G498" i="12"/>
  <c r="C498" i="12"/>
  <c r="E497" i="12"/>
  <c r="G497" i="12"/>
  <c r="H497" i="12"/>
  <c r="F497" i="12"/>
  <c r="L497" i="12"/>
  <c r="M497" i="12" s="1"/>
  <c r="D497" i="12"/>
  <c r="C497" i="12"/>
  <c r="L496" i="12"/>
  <c r="M496" i="12" s="1"/>
  <c r="F496" i="12"/>
  <c r="D496" i="12"/>
  <c r="C496" i="12"/>
  <c r="E496" i="12"/>
  <c r="G496" i="12"/>
  <c r="J496" i="12"/>
  <c r="K496" i="12" s="1"/>
  <c r="H496" i="12"/>
  <c r="D495" i="12"/>
  <c r="L495" i="12"/>
  <c r="M495" i="12" s="1"/>
  <c r="G495" i="12"/>
  <c r="H495" i="12"/>
  <c r="E495" i="12"/>
  <c r="J495" i="12"/>
  <c r="K495" i="12" s="1"/>
  <c r="C495" i="12"/>
  <c r="F495" i="12"/>
  <c r="C494" i="12"/>
  <c r="L494" i="12"/>
  <c r="M494" i="12" s="1"/>
  <c r="G494" i="12"/>
  <c r="E494" i="12"/>
  <c r="D494" i="12"/>
  <c r="F494" i="12"/>
  <c r="H494" i="12"/>
  <c r="J494" i="12"/>
  <c r="K494" i="12" s="1"/>
  <c r="G493" i="12"/>
  <c r="F493" i="12"/>
  <c r="E493" i="12"/>
  <c r="C493" i="12"/>
  <c r="D493" i="12"/>
  <c r="H493" i="12"/>
  <c r="L493" i="12"/>
  <c r="M493" i="12" s="1"/>
  <c r="J493" i="12"/>
  <c r="K493" i="12" s="1"/>
  <c r="D492" i="12"/>
  <c r="E492" i="12"/>
  <c r="H492" i="12"/>
  <c r="J492" i="12"/>
  <c r="K492" i="12" s="1"/>
  <c r="L492" i="12"/>
  <c r="M492" i="12" s="1"/>
  <c r="F492" i="12"/>
  <c r="C492" i="12"/>
  <c r="L491" i="12"/>
  <c r="M491" i="12" s="1"/>
  <c r="G491" i="12"/>
  <c r="F491" i="12"/>
  <c r="D491" i="12"/>
  <c r="J491" i="12"/>
  <c r="K491" i="12" s="1"/>
  <c r="C491" i="12"/>
  <c r="E491" i="12"/>
  <c r="H491" i="12"/>
  <c r="D490" i="12"/>
  <c r="G490" i="12"/>
  <c r="J490" i="12"/>
  <c r="K490" i="12" s="1"/>
  <c r="L490" i="12"/>
  <c r="M490" i="12" s="1"/>
  <c r="C490" i="12"/>
  <c r="E490" i="12"/>
  <c r="F490" i="12"/>
  <c r="H490" i="12"/>
  <c r="F489" i="12"/>
  <c r="D489" i="12"/>
  <c r="G489" i="12"/>
  <c r="L489" i="12"/>
  <c r="M489" i="12" s="1"/>
  <c r="J489" i="12"/>
  <c r="K489" i="12" s="1"/>
  <c r="C489" i="12"/>
  <c r="E489" i="12"/>
  <c r="H489" i="12"/>
  <c r="F488" i="12"/>
  <c r="D488" i="12"/>
  <c r="H488" i="12"/>
  <c r="E488" i="12"/>
  <c r="C488" i="12"/>
  <c r="G488" i="12"/>
  <c r="J488" i="12"/>
  <c r="K488" i="12" s="1"/>
  <c r="L488" i="12"/>
  <c r="M488" i="12" s="1"/>
  <c r="L487" i="12"/>
  <c r="M487" i="12" s="1"/>
  <c r="E487" i="12"/>
  <c r="H487" i="12"/>
  <c r="D487" i="12"/>
  <c r="F487" i="12"/>
  <c r="J487" i="12"/>
  <c r="K487" i="12" s="1"/>
  <c r="C487" i="12"/>
  <c r="G487" i="12"/>
  <c r="J485" i="12"/>
  <c r="K485" i="12" s="1"/>
  <c r="H485" i="12"/>
  <c r="G485" i="12"/>
  <c r="F485" i="12"/>
  <c r="C485" i="12"/>
  <c r="E485" i="12"/>
  <c r="D485" i="12"/>
  <c r="L485" i="12"/>
  <c r="M485" i="12" s="1"/>
  <c r="L484" i="12"/>
  <c r="M484" i="12" s="1"/>
  <c r="J484" i="12"/>
  <c r="K484" i="12" s="1"/>
  <c r="H484" i="12"/>
  <c r="G484" i="12"/>
  <c r="E484" i="12"/>
  <c r="F484" i="12"/>
  <c r="D484" i="12"/>
  <c r="C484" i="12"/>
  <c r="H483" i="12"/>
  <c r="L483" i="12"/>
  <c r="M483" i="12" s="1"/>
  <c r="F483" i="12"/>
  <c r="J483" i="12"/>
  <c r="K483" i="12" s="1"/>
  <c r="C483" i="12"/>
  <c r="D483" i="12"/>
  <c r="E483" i="12"/>
  <c r="G483" i="12"/>
  <c r="C482" i="12"/>
  <c r="J482" i="12"/>
  <c r="K482" i="12" s="1"/>
  <c r="L482" i="12"/>
  <c r="M482" i="12" s="1"/>
  <c r="G482" i="12"/>
  <c r="D482" i="12"/>
  <c r="H482" i="12"/>
  <c r="E482" i="12"/>
  <c r="F482" i="12"/>
  <c r="J481" i="12"/>
  <c r="K481" i="12" s="1"/>
  <c r="H481" i="12"/>
  <c r="C481" i="12"/>
  <c r="L481" i="12"/>
  <c r="M481" i="12" s="1"/>
  <c r="G481" i="12"/>
  <c r="D481" i="12"/>
  <c r="E481" i="12"/>
  <c r="F481" i="12"/>
  <c r="H480" i="12"/>
  <c r="F480" i="12"/>
  <c r="L480" i="12"/>
  <c r="M480" i="12" s="1"/>
  <c r="J480" i="12"/>
  <c r="K480" i="12" s="1"/>
  <c r="C480" i="12"/>
  <c r="D480" i="12"/>
  <c r="E480" i="12"/>
  <c r="G480" i="12"/>
  <c r="E479" i="12"/>
  <c r="L479" i="12"/>
  <c r="M479" i="12" s="1"/>
  <c r="J479" i="12"/>
  <c r="K479" i="12" s="1"/>
  <c r="H479" i="12"/>
  <c r="G479" i="12"/>
  <c r="F479" i="12"/>
  <c r="D479" i="12"/>
  <c r="C479" i="12"/>
  <c r="F478" i="12"/>
  <c r="G478" i="12"/>
  <c r="D478" i="12"/>
  <c r="C478" i="12"/>
  <c r="H478" i="12"/>
  <c r="J478" i="12"/>
  <c r="K478" i="12" s="1"/>
  <c r="L478" i="12"/>
  <c r="M478" i="12" s="1"/>
  <c r="E478" i="12"/>
  <c r="J477" i="12"/>
  <c r="K477" i="12" s="1"/>
  <c r="L477" i="12"/>
  <c r="M477" i="12" s="1"/>
  <c r="H477" i="12"/>
  <c r="G477" i="12"/>
  <c r="F477" i="12"/>
  <c r="E477" i="12"/>
  <c r="D477" i="12"/>
  <c r="C477" i="12"/>
  <c r="J476" i="12"/>
  <c r="K476" i="12" s="1"/>
  <c r="L476" i="12"/>
  <c r="M476" i="12" s="1"/>
  <c r="C476" i="12"/>
  <c r="F476" i="12"/>
  <c r="D476" i="12"/>
  <c r="E476" i="12"/>
  <c r="G476" i="12"/>
  <c r="H476" i="12"/>
  <c r="F475" i="12"/>
  <c r="E475" i="12"/>
  <c r="L475" i="12"/>
  <c r="M475" i="12" s="1"/>
  <c r="J475" i="12"/>
  <c r="K475" i="12" s="1"/>
  <c r="H475" i="12"/>
  <c r="G475" i="12"/>
  <c r="C475" i="12"/>
  <c r="D475" i="12"/>
  <c r="J474" i="12"/>
  <c r="K474" i="12" s="1"/>
  <c r="D474" i="12"/>
  <c r="E474" i="12"/>
  <c r="F474" i="12"/>
  <c r="G474" i="12"/>
  <c r="C474" i="12"/>
  <c r="L474" i="12"/>
  <c r="M474" i="12" s="1"/>
  <c r="H474" i="12"/>
  <c r="E473" i="12"/>
  <c r="D473" i="12"/>
  <c r="F473" i="12"/>
  <c r="G473" i="12"/>
  <c r="H473" i="12"/>
  <c r="J473" i="12"/>
  <c r="K473" i="12" s="1"/>
  <c r="L473" i="12"/>
  <c r="M473" i="12" s="1"/>
  <c r="C473" i="12"/>
  <c r="G472" i="12"/>
  <c r="H472" i="12"/>
  <c r="J472" i="12"/>
  <c r="K472" i="12" s="1"/>
  <c r="L472" i="12"/>
  <c r="M472" i="12" s="1"/>
  <c r="F472" i="12"/>
  <c r="C472" i="12"/>
  <c r="D472" i="12"/>
  <c r="E472" i="12"/>
  <c r="F471" i="12"/>
  <c r="E471" i="12"/>
  <c r="G471" i="12"/>
  <c r="C471" i="12"/>
  <c r="D471" i="12"/>
  <c r="H471" i="12"/>
  <c r="J471" i="12"/>
  <c r="K471" i="12" s="1"/>
  <c r="L471" i="12"/>
  <c r="M471" i="12" s="1"/>
  <c r="C470" i="12"/>
  <c r="G470" i="12"/>
  <c r="D470" i="12"/>
  <c r="E470" i="12"/>
  <c r="F470" i="12"/>
  <c r="H470" i="12"/>
  <c r="J470" i="12"/>
  <c r="K470" i="12" s="1"/>
  <c r="L470" i="12"/>
  <c r="M470" i="12" s="1"/>
  <c r="F469" i="12"/>
  <c r="C469" i="12"/>
  <c r="D469" i="12"/>
  <c r="E469" i="12"/>
  <c r="G469" i="12"/>
  <c r="H469" i="12"/>
  <c r="J469" i="12"/>
  <c r="K469" i="12" s="1"/>
  <c r="L469" i="12"/>
  <c r="M469" i="12" s="1"/>
  <c r="J468" i="12"/>
  <c r="K468" i="12" s="1"/>
  <c r="L468" i="12"/>
  <c r="M468" i="12" s="1"/>
  <c r="C468" i="12"/>
  <c r="D468" i="12"/>
  <c r="E468" i="12"/>
  <c r="F468" i="12"/>
  <c r="G468" i="12"/>
  <c r="H468" i="12"/>
  <c r="E467" i="12"/>
  <c r="H467" i="12"/>
  <c r="D467" i="12"/>
  <c r="C467" i="12"/>
  <c r="J467" i="12"/>
  <c r="K467" i="12" s="1"/>
  <c r="L467" i="12"/>
  <c r="M467" i="12" s="1"/>
  <c r="G467" i="12"/>
  <c r="F467" i="12"/>
  <c r="L466" i="12"/>
  <c r="M466" i="12" s="1"/>
  <c r="J466" i="12"/>
  <c r="K466" i="12" s="1"/>
  <c r="H466" i="12"/>
  <c r="G466" i="12"/>
  <c r="F466" i="12"/>
  <c r="D466" i="12"/>
  <c r="C466" i="12"/>
  <c r="E466" i="12"/>
  <c r="L465" i="12"/>
  <c r="M465" i="12" s="1"/>
  <c r="J465" i="12"/>
  <c r="K465" i="12" s="1"/>
  <c r="H465" i="12"/>
  <c r="G465" i="12"/>
  <c r="F465" i="12"/>
  <c r="E465" i="12"/>
  <c r="D465" i="12"/>
  <c r="C465" i="12"/>
  <c r="L464" i="12"/>
  <c r="M464" i="12" s="1"/>
  <c r="J464" i="12"/>
  <c r="K464" i="12" s="1"/>
  <c r="H464" i="12"/>
  <c r="G464" i="12"/>
  <c r="F464" i="12"/>
  <c r="E464" i="12"/>
  <c r="D464" i="12"/>
  <c r="C464" i="12"/>
  <c r="L463" i="12"/>
  <c r="M463" i="12" s="1"/>
  <c r="J463" i="12"/>
  <c r="K463" i="12" s="1"/>
  <c r="H463" i="12"/>
  <c r="G463" i="12"/>
  <c r="F463" i="12"/>
  <c r="E463" i="12"/>
  <c r="D463" i="12"/>
  <c r="C463" i="12"/>
  <c r="L462" i="12"/>
  <c r="M462" i="12" s="1"/>
  <c r="J462" i="12"/>
  <c r="K462" i="12" s="1"/>
  <c r="H462" i="12"/>
  <c r="G462" i="12"/>
  <c r="F462" i="12"/>
  <c r="E462" i="12"/>
  <c r="D462" i="12"/>
  <c r="C462" i="12"/>
  <c r="L461" i="12"/>
  <c r="M461" i="12" s="1"/>
  <c r="J461" i="12"/>
  <c r="K461" i="12" s="1"/>
  <c r="H461" i="12"/>
  <c r="G461" i="12"/>
  <c r="F461" i="12"/>
  <c r="E461" i="12"/>
  <c r="D461" i="12"/>
  <c r="C461" i="12"/>
  <c r="L460" i="12"/>
  <c r="M460" i="12" s="1"/>
  <c r="J460" i="12"/>
  <c r="K460" i="12" s="1"/>
  <c r="H460" i="12"/>
  <c r="G460" i="12"/>
  <c r="F460" i="12"/>
  <c r="E460" i="12"/>
  <c r="D460" i="12"/>
  <c r="C460" i="12"/>
  <c r="L459" i="12"/>
  <c r="M459" i="12" s="1"/>
  <c r="J459" i="12"/>
  <c r="K459" i="12" s="1"/>
  <c r="H459" i="12"/>
  <c r="G459" i="12"/>
  <c r="F459" i="12"/>
  <c r="E459" i="12"/>
  <c r="D459" i="12"/>
  <c r="C459" i="12"/>
  <c r="L458" i="12"/>
  <c r="M458" i="12" s="1"/>
  <c r="J458" i="12"/>
  <c r="K458" i="12" s="1"/>
  <c r="H458" i="12"/>
  <c r="G458" i="12"/>
  <c r="F458" i="12"/>
  <c r="E458" i="12"/>
  <c r="D458" i="12"/>
  <c r="C458" i="12"/>
  <c r="L457" i="12"/>
  <c r="M457" i="12" s="1"/>
  <c r="J457" i="12"/>
  <c r="K457" i="12" s="1"/>
  <c r="H457" i="12"/>
  <c r="G457" i="12"/>
  <c r="F457" i="12"/>
  <c r="E457" i="12"/>
  <c r="D457" i="12"/>
  <c r="C457" i="12"/>
  <c r="L456" i="12"/>
  <c r="M456" i="12" s="1"/>
  <c r="J456" i="12"/>
  <c r="K456" i="12" s="1"/>
  <c r="H456" i="12"/>
  <c r="G456" i="12"/>
  <c r="F456" i="12"/>
  <c r="E456" i="12"/>
  <c r="D456" i="12"/>
  <c r="C456" i="12"/>
  <c r="L455" i="12"/>
  <c r="M455" i="12" s="1"/>
  <c r="J455" i="12"/>
  <c r="K455" i="12" s="1"/>
  <c r="H455" i="12"/>
  <c r="G455" i="12"/>
  <c r="F455" i="12"/>
  <c r="E455" i="12"/>
  <c r="D455" i="12"/>
  <c r="C455" i="12"/>
  <c r="L454" i="12"/>
  <c r="M454" i="12" s="1"/>
  <c r="J454" i="12"/>
  <c r="K454" i="12" s="1"/>
  <c r="H454" i="12"/>
  <c r="G454" i="12"/>
  <c r="F454" i="12"/>
  <c r="E454" i="12"/>
  <c r="D454" i="12"/>
  <c r="C454" i="12"/>
  <c r="L453" i="12"/>
  <c r="M453" i="12" s="1"/>
  <c r="J453" i="12"/>
  <c r="K453" i="12" s="1"/>
  <c r="H453" i="12"/>
  <c r="G453" i="12"/>
  <c r="F453" i="12"/>
  <c r="E453" i="12"/>
  <c r="D453" i="12"/>
  <c r="C453" i="12"/>
  <c r="L452" i="12"/>
  <c r="M452" i="12" s="1"/>
  <c r="J452" i="12"/>
  <c r="K452" i="12" s="1"/>
  <c r="H452" i="12"/>
  <c r="G452" i="12"/>
  <c r="F452" i="12"/>
  <c r="E452" i="12"/>
  <c r="D452" i="12"/>
  <c r="C452" i="12"/>
  <c r="L451" i="12"/>
  <c r="M451" i="12" s="1"/>
  <c r="J451" i="12"/>
  <c r="K451" i="12" s="1"/>
  <c r="H451" i="12"/>
  <c r="G451" i="12"/>
  <c r="F451" i="12"/>
  <c r="E451" i="12"/>
  <c r="D451" i="12"/>
  <c r="C451" i="12"/>
  <c r="L450" i="12"/>
  <c r="M450" i="12" s="1"/>
  <c r="J450" i="12"/>
  <c r="K450" i="12" s="1"/>
  <c r="H450" i="12"/>
  <c r="G450" i="12"/>
  <c r="F450" i="12"/>
  <c r="E450" i="12"/>
  <c r="D450" i="12"/>
  <c r="C450" i="12"/>
  <c r="L449" i="12"/>
  <c r="M449" i="12" s="1"/>
  <c r="J449" i="12"/>
  <c r="K449" i="12" s="1"/>
  <c r="H449" i="12"/>
  <c r="G449" i="12"/>
  <c r="F449" i="12"/>
  <c r="E449" i="12"/>
  <c r="D449" i="12"/>
  <c r="C449" i="12"/>
  <c r="L448" i="12"/>
  <c r="M448" i="12" s="1"/>
  <c r="J448" i="12"/>
  <c r="K448" i="12" s="1"/>
  <c r="H448" i="12"/>
  <c r="G448" i="12"/>
  <c r="F448" i="12"/>
  <c r="E448" i="12"/>
  <c r="D448" i="12"/>
  <c r="C448" i="12"/>
  <c r="L447" i="12"/>
  <c r="M447" i="12" s="1"/>
  <c r="J447" i="12"/>
  <c r="K447" i="12" s="1"/>
  <c r="H447" i="12"/>
  <c r="G447" i="12"/>
  <c r="F447" i="12"/>
  <c r="E447" i="12"/>
  <c r="D447" i="12"/>
  <c r="C447" i="12"/>
  <c r="L446" i="12"/>
  <c r="M446" i="12" s="1"/>
  <c r="J446" i="12"/>
  <c r="K446" i="12" s="1"/>
  <c r="H446" i="12"/>
  <c r="G446" i="12"/>
  <c r="F446" i="12"/>
  <c r="E446" i="12"/>
  <c r="D446" i="12"/>
  <c r="C446" i="12"/>
  <c r="L445" i="12"/>
  <c r="M445" i="12" s="1"/>
  <c r="J445" i="12"/>
  <c r="K445" i="12" s="1"/>
  <c r="H445" i="12"/>
  <c r="G445" i="12"/>
  <c r="F445" i="12"/>
  <c r="E445" i="12"/>
  <c r="D445" i="12"/>
  <c r="C445" i="12"/>
  <c r="L444" i="12"/>
  <c r="M444" i="12" s="1"/>
  <c r="J444" i="12"/>
  <c r="K444" i="12" s="1"/>
  <c r="H444" i="12"/>
  <c r="G444" i="12"/>
  <c r="F444" i="12"/>
  <c r="E444" i="12"/>
  <c r="D444" i="12"/>
  <c r="C444" i="12"/>
  <c r="L443" i="12"/>
  <c r="M443" i="12" s="1"/>
  <c r="J443" i="12"/>
  <c r="K443" i="12" s="1"/>
  <c r="H443" i="12"/>
  <c r="G443" i="12"/>
  <c r="F443" i="12"/>
  <c r="E443" i="12"/>
  <c r="D443" i="12"/>
  <c r="C443" i="12"/>
  <c r="L442" i="12"/>
  <c r="M442" i="12" s="1"/>
  <c r="J442" i="12"/>
  <c r="K442" i="12" s="1"/>
  <c r="H442" i="12"/>
  <c r="G442" i="12"/>
  <c r="F442" i="12"/>
  <c r="E442" i="12"/>
  <c r="D442" i="12"/>
  <c r="C442" i="12"/>
  <c r="L441" i="12"/>
  <c r="M441" i="12" s="1"/>
  <c r="J441" i="12"/>
  <c r="K441" i="12" s="1"/>
  <c r="H441" i="12"/>
  <c r="G441" i="12"/>
  <c r="F441" i="12"/>
  <c r="E441" i="12"/>
  <c r="D441" i="12"/>
  <c r="C441" i="12"/>
  <c r="L440" i="12"/>
  <c r="M440" i="12" s="1"/>
  <c r="J440" i="12"/>
  <c r="K440" i="12" s="1"/>
  <c r="H440" i="12"/>
  <c r="G440" i="12"/>
  <c r="F440" i="12"/>
  <c r="E440" i="12"/>
  <c r="C440" i="12"/>
  <c r="D440" i="12"/>
  <c r="L439" i="12"/>
  <c r="M439" i="12" s="1"/>
  <c r="J439" i="12"/>
  <c r="K439" i="12" s="1"/>
  <c r="H439" i="12"/>
  <c r="G439" i="12"/>
  <c r="F439" i="12"/>
  <c r="E439" i="12"/>
  <c r="D439" i="12"/>
  <c r="C439" i="12"/>
  <c r="L438" i="12"/>
  <c r="M438" i="12" s="1"/>
  <c r="J438" i="12"/>
  <c r="K438" i="12" s="1"/>
  <c r="H438" i="12"/>
  <c r="G438" i="12"/>
  <c r="F438" i="12"/>
  <c r="E438" i="12"/>
  <c r="D438" i="12"/>
  <c r="C438" i="12"/>
  <c r="L437" i="12"/>
  <c r="M437" i="12" s="1"/>
  <c r="J437" i="12"/>
  <c r="K437" i="12" s="1"/>
  <c r="H437" i="12"/>
  <c r="G437" i="12"/>
  <c r="F437" i="12"/>
  <c r="E437" i="12"/>
  <c r="D437" i="12"/>
  <c r="C437" i="12"/>
  <c r="J436" i="12"/>
  <c r="K436" i="12" s="1"/>
  <c r="L436" i="12"/>
  <c r="M436" i="12" s="1"/>
  <c r="H436" i="12"/>
  <c r="G436" i="12"/>
  <c r="F436" i="12"/>
  <c r="E436" i="12"/>
  <c r="D436" i="12"/>
  <c r="C436" i="12"/>
  <c r="H435" i="12"/>
  <c r="F435" i="12"/>
  <c r="E435" i="12"/>
  <c r="D435" i="12"/>
  <c r="C435" i="12"/>
  <c r="L435" i="12"/>
  <c r="M435" i="12" s="1"/>
  <c r="J435" i="12"/>
  <c r="K435" i="12" s="1"/>
  <c r="G435" i="12"/>
  <c r="L434" i="12"/>
  <c r="M434" i="12" s="1"/>
  <c r="J434" i="12"/>
  <c r="K434" i="12" s="1"/>
  <c r="H434" i="12"/>
  <c r="G434" i="12"/>
  <c r="F434" i="12"/>
  <c r="E434" i="12"/>
  <c r="D434" i="12"/>
  <c r="C434" i="12"/>
  <c r="J433" i="12"/>
  <c r="K433" i="12" s="1"/>
  <c r="L433" i="12"/>
  <c r="M433" i="12" s="1"/>
  <c r="H433" i="12"/>
  <c r="G433" i="12"/>
  <c r="F433" i="12"/>
  <c r="E433" i="12"/>
  <c r="D433" i="12"/>
  <c r="C433" i="12"/>
  <c r="C432" i="12"/>
  <c r="L432" i="12"/>
  <c r="M432" i="12" s="1"/>
  <c r="J432" i="12"/>
  <c r="K432" i="12" s="1"/>
  <c r="H432" i="12"/>
  <c r="G432" i="12"/>
  <c r="F432" i="12"/>
  <c r="E432" i="12"/>
  <c r="D432" i="12"/>
  <c r="F431" i="12"/>
  <c r="E431" i="12"/>
  <c r="D431" i="12"/>
  <c r="C431" i="12"/>
  <c r="L431" i="12"/>
  <c r="M431" i="12" s="1"/>
  <c r="J431" i="12"/>
  <c r="K431" i="12" s="1"/>
  <c r="H431" i="12"/>
  <c r="G431" i="12"/>
  <c r="F430" i="12"/>
  <c r="E430" i="12"/>
  <c r="D430" i="12"/>
  <c r="C430" i="12"/>
  <c r="L430" i="12"/>
  <c r="M430" i="12" s="1"/>
  <c r="J430" i="12"/>
  <c r="K430" i="12" s="1"/>
  <c r="H430" i="12"/>
  <c r="G430" i="12"/>
  <c r="C429" i="12"/>
  <c r="E429" i="12"/>
  <c r="L429" i="12"/>
  <c r="M429" i="12" s="1"/>
  <c r="J429" i="12"/>
  <c r="K429" i="12" s="1"/>
  <c r="H429" i="12"/>
  <c r="G429" i="12"/>
  <c r="D429" i="12"/>
  <c r="F429" i="12"/>
  <c r="E428" i="12"/>
  <c r="F428" i="12"/>
  <c r="G428" i="12"/>
  <c r="H428" i="12"/>
  <c r="J428" i="12"/>
  <c r="K428" i="12" s="1"/>
  <c r="L428" i="12"/>
  <c r="M428" i="12" s="1"/>
  <c r="C428" i="12"/>
  <c r="D428" i="12"/>
  <c r="C427" i="12"/>
  <c r="D427" i="12"/>
  <c r="E427" i="12"/>
  <c r="F427" i="12"/>
  <c r="G427" i="12"/>
  <c r="H427" i="12"/>
  <c r="J427" i="12"/>
  <c r="K427" i="12" s="1"/>
  <c r="L427" i="12"/>
  <c r="M427" i="12" s="1"/>
  <c r="J426" i="12"/>
  <c r="K426" i="12" s="1"/>
  <c r="D426" i="12"/>
  <c r="C426" i="12"/>
  <c r="E426" i="12"/>
  <c r="F426" i="12"/>
  <c r="H426" i="12"/>
  <c r="L426" i="12"/>
  <c r="M426" i="12" s="1"/>
  <c r="G426" i="12"/>
  <c r="C425" i="12"/>
  <c r="D425" i="12"/>
  <c r="L425" i="12"/>
  <c r="M425" i="12" s="1"/>
  <c r="J425" i="12"/>
  <c r="K425" i="12" s="1"/>
  <c r="H425" i="12"/>
  <c r="G425" i="12"/>
  <c r="F425" i="12"/>
  <c r="E425" i="12"/>
  <c r="L424" i="12"/>
  <c r="M424" i="12" s="1"/>
  <c r="J424" i="12"/>
  <c r="K424" i="12" s="1"/>
  <c r="H424" i="12"/>
  <c r="G424" i="12"/>
  <c r="F424" i="12"/>
  <c r="E424" i="12"/>
  <c r="D424" i="12"/>
  <c r="C424" i="12"/>
  <c r="L423" i="12"/>
  <c r="M423" i="12" s="1"/>
  <c r="J423" i="12"/>
  <c r="K423" i="12" s="1"/>
  <c r="H423" i="12"/>
  <c r="G423" i="12"/>
  <c r="F423" i="12"/>
  <c r="E423" i="12"/>
  <c r="D423" i="12"/>
  <c r="C423" i="12"/>
  <c r="L422" i="12"/>
  <c r="M422" i="12" s="1"/>
  <c r="J422" i="12"/>
  <c r="K422" i="12" s="1"/>
  <c r="H422" i="12"/>
  <c r="G422" i="12"/>
  <c r="F422" i="12"/>
  <c r="E422" i="12"/>
  <c r="D422" i="12"/>
  <c r="C422" i="12"/>
  <c r="L420" i="12"/>
  <c r="M420" i="12" s="1"/>
  <c r="J420" i="12"/>
  <c r="K420" i="12" s="1"/>
  <c r="H420" i="12"/>
  <c r="G420" i="12"/>
  <c r="F420" i="12"/>
  <c r="E420" i="12"/>
  <c r="D420" i="12"/>
  <c r="C420" i="12"/>
  <c r="D419" i="12"/>
  <c r="L419" i="12"/>
  <c r="M419" i="12" s="1"/>
  <c r="J419" i="12"/>
  <c r="K419" i="12" s="1"/>
  <c r="H419" i="12"/>
  <c r="G419" i="12"/>
  <c r="F419" i="12"/>
  <c r="E419" i="12"/>
  <c r="C419" i="12"/>
  <c r="C418" i="12"/>
  <c r="D418" i="12"/>
  <c r="E418" i="12"/>
  <c r="G418" i="12"/>
  <c r="F418" i="12"/>
  <c r="H418" i="12"/>
  <c r="J418" i="12"/>
  <c r="K418" i="12" s="1"/>
  <c r="L418" i="12"/>
  <c r="M418" i="12" s="1"/>
  <c r="F417" i="12"/>
  <c r="G417" i="12"/>
  <c r="H417" i="12"/>
  <c r="J417" i="12"/>
  <c r="K417" i="12" s="1"/>
  <c r="L417" i="12"/>
  <c r="M417" i="12" s="1"/>
  <c r="D417" i="12"/>
  <c r="E417" i="12"/>
  <c r="C417" i="12"/>
  <c r="D416" i="12"/>
  <c r="C416" i="12"/>
  <c r="E416" i="12"/>
  <c r="L416" i="12"/>
  <c r="M416" i="12" s="1"/>
  <c r="J416" i="12"/>
  <c r="K416" i="12" s="1"/>
  <c r="H416" i="12"/>
  <c r="G416" i="12"/>
  <c r="F416" i="12"/>
  <c r="J415" i="12"/>
  <c r="K415" i="12" s="1"/>
  <c r="E415" i="12"/>
  <c r="C415" i="12"/>
  <c r="D415" i="12"/>
  <c r="F415" i="12"/>
  <c r="G415" i="12"/>
  <c r="H415" i="12"/>
  <c r="L415" i="12"/>
  <c r="M415" i="12" s="1"/>
  <c r="L414" i="12"/>
  <c r="M414" i="12" s="1"/>
  <c r="J414" i="12"/>
  <c r="K414" i="12" s="1"/>
  <c r="H414" i="12"/>
  <c r="F414" i="12"/>
  <c r="E414" i="12"/>
  <c r="D414" i="12"/>
  <c r="C414" i="12"/>
  <c r="G414" i="12"/>
  <c r="L413" i="12"/>
  <c r="M413" i="12" s="1"/>
  <c r="F413" i="12"/>
  <c r="H413" i="12"/>
  <c r="E413" i="12"/>
  <c r="D413" i="12"/>
  <c r="C413" i="12"/>
  <c r="G413" i="12"/>
  <c r="J413" i="12"/>
  <c r="K413" i="12" s="1"/>
  <c r="G412" i="12"/>
  <c r="H412" i="12"/>
  <c r="J412" i="12"/>
  <c r="K412" i="12" s="1"/>
  <c r="L412" i="12"/>
  <c r="M412" i="12" s="1"/>
  <c r="C412" i="12"/>
  <c r="D412" i="12"/>
  <c r="E412" i="12"/>
  <c r="F412" i="12"/>
  <c r="C411" i="12"/>
  <c r="E411" i="12"/>
  <c r="F411" i="12"/>
  <c r="G411" i="12"/>
  <c r="H411" i="12"/>
  <c r="D411" i="12"/>
  <c r="J411" i="12"/>
  <c r="K411" i="12" s="1"/>
  <c r="L411" i="12"/>
  <c r="M411" i="12" s="1"/>
  <c r="J410" i="12"/>
  <c r="K410" i="12" s="1"/>
  <c r="D410" i="12"/>
  <c r="H410" i="12"/>
  <c r="G410" i="12"/>
  <c r="L410" i="12"/>
  <c r="M410" i="12" s="1"/>
  <c r="C410" i="12"/>
  <c r="F410" i="12"/>
  <c r="E410" i="12"/>
  <c r="C409" i="12"/>
  <c r="F409" i="12"/>
  <c r="E409" i="12"/>
  <c r="D409" i="12"/>
  <c r="L409" i="12"/>
  <c r="M409" i="12" s="1"/>
  <c r="J409" i="12"/>
  <c r="K409" i="12" s="1"/>
  <c r="H409" i="12"/>
  <c r="G409" i="12"/>
  <c r="E408" i="12"/>
  <c r="F408" i="12"/>
  <c r="C408" i="12"/>
  <c r="D408" i="12"/>
  <c r="G408" i="12"/>
  <c r="H408" i="12"/>
  <c r="J408" i="12"/>
  <c r="K408" i="12" s="1"/>
  <c r="L408" i="12"/>
  <c r="M408" i="12" s="1"/>
  <c r="D407" i="12"/>
  <c r="C407" i="12"/>
  <c r="F407" i="12"/>
  <c r="G407" i="12"/>
  <c r="H407" i="12"/>
  <c r="J407" i="12"/>
  <c r="K407" i="12" s="1"/>
  <c r="L407" i="12"/>
  <c r="M407" i="12" s="1"/>
  <c r="E407" i="12"/>
  <c r="G406" i="12"/>
  <c r="D406" i="12"/>
  <c r="E406" i="12"/>
  <c r="F406" i="12"/>
  <c r="H406" i="12"/>
  <c r="J406" i="12"/>
  <c r="K406" i="12" s="1"/>
  <c r="L406" i="12"/>
  <c r="M406" i="12" s="1"/>
  <c r="C406" i="12"/>
  <c r="E405" i="12"/>
  <c r="D405" i="12"/>
  <c r="C405" i="12"/>
  <c r="H405" i="12"/>
  <c r="L405" i="12"/>
  <c r="M405" i="12" s="1"/>
  <c r="F405" i="12"/>
  <c r="J405" i="12"/>
  <c r="K405" i="12" s="1"/>
  <c r="G405" i="12"/>
  <c r="L404" i="12"/>
  <c r="M404" i="12" s="1"/>
  <c r="F404" i="12"/>
  <c r="C404" i="12"/>
  <c r="D404" i="12"/>
  <c r="E404" i="12"/>
  <c r="G404" i="12"/>
  <c r="H404" i="12"/>
  <c r="J404" i="12"/>
  <c r="K404" i="12" s="1"/>
  <c r="F403" i="12"/>
  <c r="E403" i="12"/>
  <c r="D403" i="12"/>
  <c r="C403" i="12"/>
  <c r="J403" i="12"/>
  <c r="K403" i="12" s="1"/>
  <c r="L403" i="12"/>
  <c r="M403" i="12" s="1"/>
  <c r="H403" i="12"/>
  <c r="G403" i="12"/>
  <c r="D402" i="12"/>
  <c r="E402" i="12"/>
  <c r="F402" i="12"/>
  <c r="G402" i="12"/>
  <c r="H402" i="12"/>
  <c r="J402" i="12"/>
  <c r="K402" i="12" s="1"/>
  <c r="L402" i="12"/>
  <c r="M402" i="12" s="1"/>
  <c r="C402" i="12"/>
  <c r="H401" i="12"/>
  <c r="G401" i="12"/>
  <c r="F401" i="12"/>
  <c r="E401" i="12"/>
  <c r="D401" i="12"/>
  <c r="C401" i="12"/>
  <c r="L401" i="12"/>
  <c r="M401" i="12" s="1"/>
  <c r="J401" i="12"/>
  <c r="K401" i="12" s="1"/>
  <c r="L400" i="12"/>
  <c r="M400" i="12" s="1"/>
  <c r="J400" i="12"/>
  <c r="K400" i="12" s="1"/>
  <c r="H400" i="12"/>
  <c r="G400" i="12"/>
  <c r="F400" i="12"/>
  <c r="E400" i="12"/>
  <c r="D400" i="12"/>
  <c r="C400" i="12"/>
  <c r="L399" i="12"/>
  <c r="M399" i="12" s="1"/>
  <c r="J399" i="12"/>
  <c r="K399" i="12" s="1"/>
  <c r="H399" i="12"/>
  <c r="G399" i="12"/>
  <c r="E399" i="12"/>
  <c r="D399" i="12"/>
  <c r="C399" i="12"/>
  <c r="F399" i="12"/>
  <c r="H398" i="12"/>
  <c r="G398" i="12"/>
  <c r="F398" i="12"/>
  <c r="E398" i="12"/>
  <c r="D398" i="12"/>
  <c r="C398" i="12"/>
  <c r="L398" i="12"/>
  <c r="M398" i="12" s="1"/>
  <c r="J398" i="12"/>
  <c r="K398" i="12" s="1"/>
  <c r="C397" i="12"/>
  <c r="D397" i="12"/>
  <c r="E397" i="12"/>
  <c r="F397" i="12"/>
  <c r="H397" i="12"/>
  <c r="J397" i="12"/>
  <c r="K397" i="12" s="1"/>
  <c r="L397" i="12"/>
  <c r="M397" i="12" s="1"/>
  <c r="G397" i="12"/>
  <c r="H396" i="12"/>
  <c r="G396" i="12"/>
  <c r="F396" i="12"/>
  <c r="E396" i="12"/>
  <c r="D396" i="12"/>
  <c r="C396" i="12"/>
  <c r="J396" i="12"/>
  <c r="K396" i="12" s="1"/>
  <c r="L396" i="12"/>
  <c r="M396" i="12" s="1"/>
  <c r="J395" i="12"/>
  <c r="K395" i="12" s="1"/>
  <c r="H395" i="12"/>
  <c r="L395" i="12"/>
  <c r="M395" i="12" s="1"/>
  <c r="G395" i="12"/>
  <c r="F395" i="12"/>
  <c r="E395" i="12"/>
  <c r="D395" i="12"/>
  <c r="C395" i="12"/>
  <c r="J394" i="12"/>
  <c r="K394" i="12" s="1"/>
  <c r="C394" i="12"/>
  <c r="D394" i="12"/>
  <c r="E394" i="12"/>
  <c r="F394" i="12"/>
  <c r="G394" i="12"/>
  <c r="H394" i="12"/>
  <c r="L394" i="12"/>
  <c r="M394" i="12" s="1"/>
  <c r="G393" i="12"/>
  <c r="F393" i="12"/>
  <c r="E393" i="12"/>
  <c r="D393" i="12"/>
  <c r="C393" i="12"/>
  <c r="J393" i="12"/>
  <c r="K393" i="12" s="1"/>
  <c r="L393" i="12"/>
  <c r="M393" i="12" s="1"/>
  <c r="H393" i="12"/>
  <c r="L392" i="12"/>
  <c r="M392" i="12" s="1"/>
  <c r="J392" i="12"/>
  <c r="K392" i="12" s="1"/>
  <c r="H392" i="12"/>
  <c r="G392" i="12"/>
  <c r="F392" i="12"/>
  <c r="D392" i="12"/>
  <c r="C392" i="12"/>
  <c r="E392" i="12"/>
  <c r="H391" i="12"/>
  <c r="G391" i="12"/>
  <c r="F391" i="12"/>
  <c r="E391" i="12"/>
  <c r="D391" i="12"/>
  <c r="C391" i="12"/>
  <c r="L391" i="12"/>
  <c r="M391" i="12" s="1"/>
  <c r="J391" i="12"/>
  <c r="K391" i="12" s="1"/>
  <c r="L390" i="12"/>
  <c r="M390" i="12" s="1"/>
  <c r="J390" i="12"/>
  <c r="K390" i="12" s="1"/>
  <c r="H390" i="12"/>
  <c r="G390" i="12"/>
  <c r="F390" i="12"/>
  <c r="E390" i="12"/>
  <c r="D390" i="12"/>
  <c r="C390" i="12"/>
  <c r="H389" i="12"/>
  <c r="C389" i="12"/>
  <c r="D389" i="12"/>
  <c r="E389" i="12"/>
  <c r="F389" i="12"/>
  <c r="G389" i="12"/>
  <c r="J389" i="12"/>
  <c r="K389" i="12" s="1"/>
  <c r="L389" i="12"/>
  <c r="M389" i="12" s="1"/>
  <c r="D388" i="12"/>
  <c r="E388" i="12"/>
  <c r="G388" i="12"/>
  <c r="H388" i="12"/>
  <c r="J388" i="12"/>
  <c r="K388" i="12" s="1"/>
  <c r="L388" i="12"/>
  <c r="M388" i="12" s="1"/>
  <c r="C388" i="12"/>
  <c r="F388" i="12"/>
  <c r="L387" i="12"/>
  <c r="M387" i="12" s="1"/>
  <c r="H387" i="12"/>
  <c r="C387" i="12"/>
  <c r="D387" i="12"/>
  <c r="E387" i="12"/>
  <c r="F387" i="12"/>
  <c r="G387" i="12"/>
  <c r="J387" i="12"/>
  <c r="K387" i="12" s="1"/>
  <c r="L386" i="12"/>
  <c r="M386" i="12" s="1"/>
  <c r="J386" i="12"/>
  <c r="K386" i="12" s="1"/>
  <c r="H386" i="12"/>
  <c r="G386" i="12"/>
  <c r="F386" i="12"/>
  <c r="E386" i="12"/>
  <c r="D386" i="12"/>
  <c r="C386" i="12"/>
  <c r="D385" i="12"/>
  <c r="J385" i="12"/>
  <c r="K385" i="12" s="1"/>
  <c r="H385" i="12"/>
  <c r="E385" i="12"/>
  <c r="L385" i="12"/>
  <c r="M385" i="12" s="1"/>
  <c r="G385" i="12"/>
  <c r="F385" i="12"/>
  <c r="C385" i="12"/>
  <c r="L384" i="12"/>
  <c r="M384" i="12" s="1"/>
  <c r="C384" i="12"/>
  <c r="D384" i="12"/>
  <c r="E384" i="12"/>
  <c r="F384" i="12"/>
  <c r="G384" i="12"/>
  <c r="H384" i="12"/>
  <c r="J384" i="12"/>
  <c r="K384" i="12" s="1"/>
  <c r="L383" i="12"/>
  <c r="M383" i="12" s="1"/>
  <c r="C383" i="12"/>
  <c r="D383" i="12"/>
  <c r="E383" i="12"/>
  <c r="F383" i="12"/>
  <c r="G383" i="12"/>
  <c r="H383" i="12"/>
  <c r="J383" i="12"/>
  <c r="K383" i="12" s="1"/>
  <c r="D382" i="12"/>
  <c r="E382" i="12"/>
  <c r="G382" i="12"/>
  <c r="H382" i="12"/>
  <c r="J382" i="12"/>
  <c r="K382" i="12" s="1"/>
  <c r="L382" i="12"/>
  <c r="M382" i="12" s="1"/>
  <c r="F382" i="12"/>
  <c r="C382" i="12"/>
  <c r="C381" i="12"/>
  <c r="D381" i="12"/>
  <c r="E381" i="12"/>
  <c r="F381" i="12"/>
  <c r="H381" i="12"/>
  <c r="J381" i="12"/>
  <c r="K381" i="12" s="1"/>
  <c r="L381" i="12"/>
  <c r="M381" i="12" s="1"/>
  <c r="G381" i="12"/>
  <c r="D380" i="12"/>
  <c r="L380" i="12"/>
  <c r="M380" i="12" s="1"/>
  <c r="C380" i="12"/>
  <c r="E380" i="12"/>
  <c r="F380" i="12"/>
  <c r="G380" i="12"/>
  <c r="H380" i="12"/>
  <c r="J380" i="12"/>
  <c r="K380" i="12" s="1"/>
  <c r="E379" i="12"/>
  <c r="J379" i="12"/>
  <c r="K379" i="12" s="1"/>
  <c r="H379" i="12"/>
  <c r="G379" i="12"/>
  <c r="F379" i="12"/>
  <c r="D379" i="12"/>
  <c r="C379" i="12"/>
  <c r="L379" i="12"/>
  <c r="M379" i="12" s="1"/>
  <c r="L378" i="12"/>
  <c r="M378" i="12" s="1"/>
  <c r="J378" i="12"/>
  <c r="K378" i="12" s="1"/>
  <c r="H378" i="12"/>
  <c r="F378" i="12"/>
  <c r="E378" i="12"/>
  <c r="G378" i="12"/>
  <c r="D378" i="12"/>
  <c r="C378" i="12"/>
  <c r="D377" i="12"/>
  <c r="H377" i="12"/>
  <c r="E377" i="12"/>
  <c r="G377" i="12"/>
  <c r="F377" i="12"/>
  <c r="J377" i="12"/>
  <c r="K377" i="12" s="1"/>
  <c r="L377" i="12"/>
  <c r="M377" i="12" s="1"/>
  <c r="C377" i="12"/>
  <c r="L376" i="12"/>
  <c r="M376" i="12" s="1"/>
  <c r="H376" i="12"/>
  <c r="G376" i="12"/>
  <c r="J376" i="12"/>
  <c r="K376" i="12" s="1"/>
  <c r="F376" i="12"/>
  <c r="E376" i="12"/>
  <c r="D376" i="12"/>
  <c r="C376" i="12"/>
  <c r="L375" i="12"/>
  <c r="M375" i="12" s="1"/>
  <c r="J375" i="12"/>
  <c r="K375" i="12" s="1"/>
  <c r="H375" i="12"/>
  <c r="G375" i="12"/>
  <c r="D375" i="12"/>
  <c r="C375" i="12"/>
  <c r="F375" i="12"/>
  <c r="E375" i="12"/>
  <c r="D374" i="12"/>
  <c r="C374" i="12"/>
  <c r="L374" i="12"/>
  <c r="M374" i="12" s="1"/>
  <c r="J374" i="12"/>
  <c r="K374" i="12" s="1"/>
  <c r="H374" i="12"/>
  <c r="G374" i="12"/>
  <c r="F374" i="12"/>
  <c r="E374" i="12"/>
  <c r="L373" i="12"/>
  <c r="M373" i="12" s="1"/>
  <c r="J373" i="12"/>
  <c r="K373" i="12" s="1"/>
  <c r="H373" i="12"/>
  <c r="G373" i="12"/>
  <c r="F373" i="12"/>
  <c r="E373" i="12"/>
  <c r="D373" i="12"/>
  <c r="C373" i="12"/>
  <c r="L372" i="12"/>
  <c r="M372" i="12" s="1"/>
  <c r="J372" i="12"/>
  <c r="K372" i="12" s="1"/>
  <c r="H372" i="12"/>
  <c r="G372" i="12"/>
  <c r="F372" i="12"/>
  <c r="E372" i="12"/>
  <c r="D372" i="12"/>
  <c r="C372" i="12"/>
  <c r="L371" i="12"/>
  <c r="M371" i="12" s="1"/>
  <c r="J371" i="12"/>
  <c r="K371" i="12" s="1"/>
  <c r="H371" i="12"/>
  <c r="G371" i="12"/>
  <c r="F371" i="12"/>
  <c r="E371" i="12"/>
  <c r="D371" i="12"/>
  <c r="C371" i="12"/>
  <c r="L370" i="12"/>
  <c r="M370" i="12" s="1"/>
  <c r="J370" i="12"/>
  <c r="K370" i="12" s="1"/>
  <c r="H370" i="12"/>
  <c r="F370" i="12"/>
  <c r="E370" i="12"/>
  <c r="D370" i="12"/>
  <c r="G370" i="12"/>
  <c r="C370" i="12"/>
  <c r="C369" i="12"/>
  <c r="L369" i="12"/>
  <c r="M369" i="12" s="1"/>
  <c r="D369" i="12"/>
  <c r="E369" i="12"/>
  <c r="F369" i="12"/>
  <c r="G369" i="12"/>
  <c r="H369" i="12"/>
  <c r="J369" i="12"/>
  <c r="K369" i="12" s="1"/>
  <c r="L368" i="12"/>
  <c r="M368" i="12" s="1"/>
  <c r="J368" i="12"/>
  <c r="K368" i="12" s="1"/>
  <c r="H368" i="12"/>
  <c r="G368" i="12"/>
  <c r="F368" i="12"/>
  <c r="E368" i="12"/>
  <c r="D368" i="12"/>
  <c r="C368" i="12"/>
  <c r="L367" i="12"/>
  <c r="M367" i="12" s="1"/>
  <c r="J367" i="12"/>
  <c r="K367" i="12" s="1"/>
  <c r="H367" i="12"/>
  <c r="G367" i="12"/>
  <c r="F367" i="12"/>
  <c r="E367" i="12"/>
  <c r="D367" i="12"/>
  <c r="C367" i="12"/>
  <c r="H366" i="12"/>
  <c r="L366" i="12"/>
  <c r="M366" i="12" s="1"/>
  <c r="J366" i="12"/>
  <c r="K366" i="12" s="1"/>
  <c r="G366" i="12"/>
  <c r="F366" i="12"/>
  <c r="E366" i="12"/>
  <c r="D366" i="12"/>
  <c r="C366" i="12"/>
  <c r="J365" i="12"/>
  <c r="K365" i="12" s="1"/>
  <c r="H365" i="12"/>
  <c r="D365" i="12"/>
  <c r="G365" i="12"/>
  <c r="C365" i="12"/>
  <c r="F365" i="12"/>
  <c r="E365" i="12"/>
  <c r="L365" i="12"/>
  <c r="M365" i="12" s="1"/>
  <c r="L364" i="12"/>
  <c r="M364" i="12" s="1"/>
  <c r="D364" i="12"/>
  <c r="C364" i="12"/>
  <c r="E364" i="12"/>
  <c r="F364" i="12"/>
  <c r="G364" i="12"/>
  <c r="H364" i="12"/>
  <c r="J364" i="12"/>
  <c r="K364" i="12" s="1"/>
  <c r="C363" i="12"/>
  <c r="D363" i="12"/>
  <c r="E363" i="12"/>
  <c r="F363" i="12"/>
  <c r="G363" i="12"/>
  <c r="H363" i="12"/>
  <c r="J363" i="12"/>
  <c r="K363" i="12" s="1"/>
  <c r="L363" i="12"/>
  <c r="M363" i="12" s="1"/>
  <c r="H362" i="12"/>
  <c r="C362" i="12"/>
  <c r="D362" i="12"/>
  <c r="E362" i="12"/>
  <c r="F362" i="12"/>
  <c r="G362" i="12"/>
  <c r="J362" i="12"/>
  <c r="K362" i="12" s="1"/>
  <c r="L362" i="12"/>
  <c r="M362" i="12" s="1"/>
  <c r="G361" i="12"/>
  <c r="H361" i="12"/>
  <c r="C361" i="12"/>
  <c r="D361" i="12"/>
  <c r="E361" i="12"/>
  <c r="F361" i="12"/>
  <c r="J361" i="12"/>
  <c r="K361" i="12" s="1"/>
  <c r="L361" i="12"/>
  <c r="M361" i="12" s="1"/>
  <c r="D360" i="12"/>
  <c r="E360" i="12"/>
  <c r="F360" i="12"/>
  <c r="G360" i="12"/>
  <c r="H360" i="12"/>
  <c r="J360" i="12"/>
  <c r="K360" i="12" s="1"/>
  <c r="L360" i="12"/>
  <c r="M360" i="12" s="1"/>
  <c r="C360" i="12"/>
  <c r="E359" i="12"/>
  <c r="D359" i="12"/>
  <c r="F359" i="12"/>
  <c r="G359" i="12"/>
  <c r="H359" i="12"/>
  <c r="J359" i="12"/>
  <c r="K359" i="12" s="1"/>
  <c r="L359" i="12"/>
  <c r="M359" i="12" s="1"/>
  <c r="C359" i="12"/>
  <c r="G358" i="12"/>
  <c r="L358" i="12"/>
  <c r="M358" i="12" s="1"/>
  <c r="H358" i="12"/>
  <c r="F358" i="12"/>
  <c r="E358" i="12"/>
  <c r="D358" i="12"/>
  <c r="C358" i="12"/>
  <c r="J358" i="12"/>
  <c r="K358" i="12" s="1"/>
  <c r="C357" i="12"/>
  <c r="D357" i="12"/>
  <c r="L357" i="12"/>
  <c r="M357" i="12" s="1"/>
  <c r="J357" i="12"/>
  <c r="K357" i="12" s="1"/>
  <c r="H357" i="12"/>
  <c r="G357" i="12"/>
  <c r="F357" i="12"/>
  <c r="E357" i="12"/>
  <c r="H355" i="12"/>
  <c r="J355" i="12"/>
  <c r="K355" i="12" s="1"/>
  <c r="E355" i="12"/>
  <c r="L355" i="12"/>
  <c r="M355" i="12" s="1"/>
  <c r="G355" i="12"/>
  <c r="F355" i="12"/>
  <c r="D355" i="12"/>
  <c r="C355" i="12"/>
  <c r="E354" i="12"/>
  <c r="C354" i="12"/>
  <c r="L354" i="12"/>
  <c r="M354" i="12" s="1"/>
  <c r="J354" i="12"/>
  <c r="K354" i="12" s="1"/>
  <c r="D354" i="12"/>
  <c r="G354" i="12"/>
  <c r="F354" i="12"/>
  <c r="H354" i="12"/>
  <c r="L353" i="12"/>
  <c r="M353" i="12" s="1"/>
  <c r="G353" i="12"/>
  <c r="E353" i="12"/>
  <c r="D353" i="12"/>
  <c r="F353" i="12"/>
  <c r="J353" i="12"/>
  <c r="K353" i="12" s="1"/>
  <c r="H353" i="12"/>
  <c r="C353" i="12"/>
  <c r="G352" i="12"/>
  <c r="F352" i="12"/>
  <c r="E352" i="12"/>
  <c r="D352" i="12"/>
  <c r="C352" i="12"/>
  <c r="L352" i="12"/>
  <c r="M352" i="12" s="1"/>
  <c r="J352" i="12"/>
  <c r="K352" i="12" s="1"/>
  <c r="H352" i="12"/>
  <c r="E351" i="12"/>
  <c r="G351" i="12"/>
  <c r="J351" i="12"/>
  <c r="K351" i="12" s="1"/>
  <c r="C351" i="12"/>
  <c r="D351" i="12"/>
  <c r="H351" i="12"/>
  <c r="F351" i="12"/>
  <c r="L351" i="12"/>
  <c r="M351" i="12" s="1"/>
  <c r="C350" i="12"/>
  <c r="D350" i="12"/>
  <c r="E350" i="12"/>
  <c r="F350" i="12"/>
  <c r="G350" i="12"/>
  <c r="H350" i="12"/>
  <c r="J350" i="12"/>
  <c r="K350" i="12" s="1"/>
  <c r="L350" i="12"/>
  <c r="M350" i="12" s="1"/>
  <c r="D349" i="12"/>
  <c r="E349" i="12"/>
  <c r="F349" i="12"/>
  <c r="G349" i="12"/>
  <c r="H349" i="12"/>
  <c r="J349" i="12"/>
  <c r="K349" i="12" s="1"/>
  <c r="L349" i="12"/>
  <c r="M349" i="12" s="1"/>
  <c r="C349" i="12"/>
  <c r="E348" i="12"/>
  <c r="F348" i="12"/>
  <c r="G348" i="12"/>
  <c r="H348" i="12"/>
  <c r="L348" i="12"/>
  <c r="M348" i="12" s="1"/>
  <c r="J348" i="12"/>
  <c r="K348" i="12" s="1"/>
  <c r="C348" i="12"/>
  <c r="D348" i="12"/>
  <c r="C347" i="12"/>
  <c r="G347" i="12"/>
  <c r="H347" i="12"/>
  <c r="J347" i="12"/>
  <c r="K347" i="12" s="1"/>
  <c r="L347" i="12"/>
  <c r="M347" i="12" s="1"/>
  <c r="E347" i="12"/>
  <c r="F347" i="12"/>
  <c r="D347" i="12"/>
  <c r="J346" i="12"/>
  <c r="K346" i="12" s="1"/>
  <c r="F346" i="12"/>
  <c r="D346" i="12"/>
  <c r="C346" i="12"/>
  <c r="G346" i="12"/>
  <c r="H346" i="12"/>
  <c r="E346" i="12"/>
  <c r="L346" i="12"/>
  <c r="M346" i="12" s="1"/>
  <c r="L345" i="12"/>
  <c r="M345" i="12" s="1"/>
  <c r="H345" i="12"/>
  <c r="G345" i="12"/>
  <c r="F345" i="12"/>
  <c r="E345" i="12"/>
  <c r="D345" i="12"/>
  <c r="C345" i="12"/>
  <c r="J345" i="12"/>
  <c r="K345" i="12" s="1"/>
  <c r="C344" i="12"/>
  <c r="H344" i="12"/>
  <c r="J344" i="12"/>
  <c r="K344" i="12" s="1"/>
  <c r="G344" i="12"/>
  <c r="L344" i="12"/>
  <c r="M344" i="12" s="1"/>
  <c r="F344" i="12"/>
  <c r="E344" i="12"/>
  <c r="D344" i="12"/>
  <c r="G343" i="12"/>
  <c r="F343" i="12"/>
  <c r="E343" i="12"/>
  <c r="L343" i="12"/>
  <c r="M343" i="12" s="1"/>
  <c r="H343" i="12"/>
  <c r="C343" i="12"/>
  <c r="D343" i="12"/>
  <c r="J343" i="12"/>
  <c r="K343" i="12" s="1"/>
  <c r="C342" i="12"/>
  <c r="D342" i="12"/>
  <c r="E342" i="12"/>
  <c r="F342" i="12"/>
  <c r="J342" i="12"/>
  <c r="K342" i="12" s="1"/>
  <c r="G342" i="12"/>
  <c r="H342" i="12"/>
  <c r="L342" i="12"/>
  <c r="M342" i="12" s="1"/>
  <c r="H341" i="12"/>
  <c r="C341" i="12"/>
  <c r="D341" i="12"/>
  <c r="E341" i="12"/>
  <c r="F341" i="12"/>
  <c r="L341" i="12"/>
  <c r="M341" i="12" s="1"/>
  <c r="G341" i="12"/>
  <c r="J341" i="12"/>
  <c r="K341" i="12" s="1"/>
  <c r="G340" i="12"/>
  <c r="E340" i="12"/>
  <c r="D340" i="12"/>
  <c r="C340" i="12"/>
  <c r="F340" i="12"/>
  <c r="H340" i="12"/>
  <c r="L340" i="12"/>
  <c r="M340" i="12" s="1"/>
  <c r="J340" i="12"/>
  <c r="K340" i="12" s="1"/>
  <c r="L339" i="12"/>
  <c r="M339" i="12" s="1"/>
  <c r="J339" i="12"/>
  <c r="K339" i="12" s="1"/>
  <c r="H339" i="12"/>
  <c r="G339" i="12"/>
  <c r="F339" i="12"/>
  <c r="E339" i="12"/>
  <c r="D339" i="12"/>
  <c r="C339" i="12"/>
  <c r="C338" i="12"/>
  <c r="J338" i="12"/>
  <c r="K338" i="12" s="1"/>
  <c r="D338" i="12"/>
  <c r="E338" i="12"/>
  <c r="F338" i="12"/>
  <c r="G338" i="12"/>
  <c r="L338" i="12"/>
  <c r="M338" i="12" s="1"/>
  <c r="H338" i="12"/>
  <c r="L337" i="12"/>
  <c r="M337" i="12" s="1"/>
  <c r="J337" i="12"/>
  <c r="K337" i="12" s="1"/>
  <c r="H337" i="12"/>
  <c r="G337" i="12"/>
  <c r="F337" i="12"/>
  <c r="E337" i="12"/>
  <c r="C337" i="12"/>
  <c r="D337" i="12"/>
  <c r="L336" i="12"/>
  <c r="M336" i="12" s="1"/>
  <c r="C336" i="12"/>
  <c r="D336" i="12"/>
  <c r="E336" i="12"/>
  <c r="F336" i="12"/>
  <c r="G336" i="12"/>
  <c r="J336" i="12"/>
  <c r="K336" i="12" s="1"/>
  <c r="H336" i="12"/>
  <c r="C335" i="12"/>
  <c r="J335" i="12"/>
  <c r="K335" i="12" s="1"/>
  <c r="D335" i="12"/>
  <c r="E335" i="12"/>
  <c r="F335" i="12"/>
  <c r="G335" i="12"/>
  <c r="H335" i="12"/>
  <c r="L335" i="12"/>
  <c r="M335" i="12" s="1"/>
  <c r="H334" i="12"/>
  <c r="G334" i="12"/>
  <c r="F334" i="12"/>
  <c r="E334" i="12"/>
  <c r="D334" i="12"/>
  <c r="C334" i="12"/>
  <c r="L334" i="12"/>
  <c r="M334" i="12" s="1"/>
  <c r="J334" i="12"/>
  <c r="K334" i="12" s="1"/>
  <c r="J333" i="12"/>
  <c r="K333" i="12" s="1"/>
  <c r="H333" i="12"/>
  <c r="G333" i="12"/>
  <c r="F333" i="12"/>
  <c r="E333" i="12"/>
  <c r="D333" i="12"/>
  <c r="C333" i="12"/>
  <c r="L333" i="12"/>
  <c r="M333" i="12" s="1"/>
  <c r="F332" i="12"/>
  <c r="E332" i="12"/>
  <c r="D332" i="12"/>
  <c r="C332" i="12"/>
  <c r="J332" i="12"/>
  <c r="K332" i="12" s="1"/>
  <c r="L332" i="12"/>
  <c r="M332" i="12" s="1"/>
  <c r="H332" i="12"/>
  <c r="G332" i="12"/>
  <c r="L331" i="12"/>
  <c r="M331" i="12" s="1"/>
  <c r="J331" i="12"/>
  <c r="K331" i="12" s="1"/>
  <c r="C331" i="12"/>
  <c r="H331" i="12"/>
  <c r="G331" i="12"/>
  <c r="E331" i="12"/>
  <c r="D331" i="12"/>
  <c r="F331" i="12"/>
  <c r="E330" i="12"/>
  <c r="F330" i="12"/>
  <c r="G330" i="12"/>
  <c r="H330" i="12"/>
  <c r="J330" i="12"/>
  <c r="K330" i="12" s="1"/>
  <c r="L330" i="12"/>
  <c r="M330" i="12" s="1"/>
  <c r="C330" i="12"/>
  <c r="D330" i="12"/>
  <c r="J329" i="12"/>
  <c r="K329" i="12" s="1"/>
  <c r="L329" i="12"/>
  <c r="M329" i="12" s="1"/>
  <c r="C329" i="12"/>
  <c r="D329" i="12"/>
  <c r="E329" i="12"/>
  <c r="F329" i="12"/>
  <c r="G329" i="12"/>
  <c r="H329" i="12"/>
  <c r="C328" i="12"/>
  <c r="D328" i="12"/>
  <c r="E328" i="12"/>
  <c r="F328" i="12"/>
  <c r="G328" i="12"/>
  <c r="H328" i="12"/>
  <c r="J328" i="12"/>
  <c r="K328" i="12" s="1"/>
  <c r="L328" i="12"/>
  <c r="M328" i="12" s="1"/>
  <c r="H327" i="12"/>
  <c r="G327" i="12"/>
  <c r="F327" i="12"/>
  <c r="E327" i="12"/>
  <c r="D327" i="12"/>
  <c r="C327" i="12"/>
  <c r="L327" i="12"/>
  <c r="M327" i="12" s="1"/>
  <c r="J327" i="12"/>
  <c r="K327" i="12" s="1"/>
  <c r="L326" i="12"/>
  <c r="M326" i="12" s="1"/>
  <c r="J326" i="12"/>
  <c r="K326" i="12" s="1"/>
  <c r="H326" i="12"/>
  <c r="G326" i="12"/>
  <c r="F326" i="12"/>
  <c r="E326" i="12"/>
  <c r="D326" i="12"/>
  <c r="C326" i="12"/>
  <c r="J325" i="12"/>
  <c r="K325" i="12" s="1"/>
  <c r="H325" i="12"/>
  <c r="G325" i="12"/>
  <c r="E325" i="12"/>
  <c r="L325" i="12"/>
  <c r="M325" i="12" s="1"/>
  <c r="D325" i="12"/>
  <c r="C325" i="12"/>
  <c r="F325" i="12"/>
  <c r="L324" i="12"/>
  <c r="M324" i="12" s="1"/>
  <c r="J324" i="12"/>
  <c r="K324" i="12" s="1"/>
  <c r="H324" i="12"/>
  <c r="G324" i="12"/>
  <c r="F324" i="12"/>
  <c r="E324" i="12"/>
  <c r="D324" i="12"/>
  <c r="C324" i="12"/>
  <c r="L323" i="12"/>
  <c r="M323" i="12" s="1"/>
  <c r="J323" i="12"/>
  <c r="K323" i="12" s="1"/>
  <c r="H323" i="12"/>
  <c r="G323" i="12"/>
  <c r="F323" i="12"/>
  <c r="E323" i="12"/>
  <c r="D323" i="12"/>
  <c r="C323" i="12"/>
  <c r="L322" i="12"/>
  <c r="M322" i="12" s="1"/>
  <c r="J322" i="12"/>
  <c r="K322" i="12" s="1"/>
  <c r="H322" i="12"/>
  <c r="F322" i="12"/>
  <c r="E322" i="12"/>
  <c r="G322" i="12"/>
  <c r="D322" i="12"/>
  <c r="C322" i="12"/>
  <c r="D321" i="12"/>
  <c r="C321" i="12"/>
  <c r="L321" i="12"/>
  <c r="M321" i="12" s="1"/>
  <c r="J321" i="12"/>
  <c r="K321" i="12" s="1"/>
  <c r="H321" i="12"/>
  <c r="G321" i="12"/>
  <c r="F321" i="12"/>
  <c r="E321" i="12"/>
  <c r="F320" i="12"/>
  <c r="C320" i="12"/>
  <c r="D320" i="12"/>
  <c r="G320" i="12"/>
  <c r="H320" i="12"/>
  <c r="J320" i="12"/>
  <c r="K320" i="12" s="1"/>
  <c r="L320" i="12"/>
  <c r="M320" i="12" s="1"/>
  <c r="E320" i="12"/>
  <c r="G319" i="12"/>
  <c r="H319" i="12"/>
  <c r="J319" i="12"/>
  <c r="K319" i="12" s="1"/>
  <c r="L319" i="12"/>
  <c r="M319" i="12" s="1"/>
  <c r="C319" i="12"/>
  <c r="D319" i="12"/>
  <c r="E319" i="12"/>
  <c r="F319" i="12"/>
  <c r="G318" i="12"/>
  <c r="L318" i="12"/>
  <c r="M318" i="12" s="1"/>
  <c r="C318" i="12"/>
  <c r="H318" i="12"/>
  <c r="E318" i="12"/>
  <c r="D318" i="12"/>
  <c r="J318" i="12"/>
  <c r="K318" i="12" s="1"/>
  <c r="F318" i="12"/>
  <c r="H317" i="12"/>
  <c r="C317" i="12"/>
  <c r="D317" i="12"/>
  <c r="G317" i="12"/>
  <c r="J317" i="12"/>
  <c r="K317" i="12" s="1"/>
  <c r="F317" i="12"/>
  <c r="L317" i="12"/>
  <c r="M317" i="12" s="1"/>
  <c r="E317" i="12"/>
  <c r="F316" i="12"/>
  <c r="G316" i="12"/>
  <c r="H316" i="12"/>
  <c r="J316" i="12"/>
  <c r="K316" i="12" s="1"/>
  <c r="L316" i="12"/>
  <c r="M316" i="12" s="1"/>
  <c r="D316" i="12"/>
  <c r="E316" i="12"/>
  <c r="C316" i="12"/>
  <c r="L315" i="12"/>
  <c r="M315" i="12" s="1"/>
  <c r="J315" i="12"/>
  <c r="K315" i="12" s="1"/>
  <c r="H315" i="12"/>
  <c r="F315" i="12"/>
  <c r="E315" i="12"/>
  <c r="D315" i="12"/>
  <c r="C315" i="12"/>
  <c r="G315" i="12"/>
  <c r="D314" i="12"/>
  <c r="C314" i="12"/>
  <c r="J314" i="12"/>
  <c r="K314" i="12" s="1"/>
  <c r="H314" i="12"/>
  <c r="G314" i="12"/>
  <c r="F314" i="12"/>
  <c r="E314" i="12"/>
  <c r="L314" i="12"/>
  <c r="M314" i="12" s="1"/>
  <c r="L313" i="12"/>
  <c r="M313" i="12" s="1"/>
  <c r="H313" i="12"/>
  <c r="G313" i="12"/>
  <c r="F313" i="12"/>
  <c r="E313" i="12"/>
  <c r="J313" i="12"/>
  <c r="K313" i="12" s="1"/>
  <c r="D313" i="12"/>
  <c r="C313" i="12"/>
  <c r="L312" i="12"/>
  <c r="M312" i="12" s="1"/>
  <c r="J312" i="12"/>
  <c r="K312" i="12" s="1"/>
  <c r="H312" i="12"/>
  <c r="G312" i="12"/>
  <c r="E312" i="12"/>
  <c r="D312" i="12"/>
  <c r="C312" i="12"/>
  <c r="F312" i="12"/>
  <c r="L311" i="12"/>
  <c r="M311" i="12" s="1"/>
  <c r="J311" i="12"/>
  <c r="K311" i="12" s="1"/>
  <c r="H311" i="12"/>
  <c r="G311" i="12"/>
  <c r="F311" i="12"/>
  <c r="E311" i="12"/>
  <c r="D311" i="12"/>
  <c r="C311" i="12"/>
  <c r="L310" i="12"/>
  <c r="M310" i="12" s="1"/>
  <c r="J310" i="12"/>
  <c r="K310" i="12" s="1"/>
  <c r="H310" i="12"/>
  <c r="G310" i="12"/>
  <c r="F310" i="12"/>
  <c r="E310" i="12"/>
  <c r="D310" i="12"/>
  <c r="C310" i="12"/>
  <c r="L309" i="12"/>
  <c r="M309" i="12" s="1"/>
  <c r="J309" i="12"/>
  <c r="K309" i="12" s="1"/>
  <c r="H309" i="12"/>
  <c r="G309" i="12"/>
  <c r="F309" i="12"/>
  <c r="E309" i="12"/>
  <c r="D309" i="12"/>
  <c r="C309" i="12"/>
  <c r="E308" i="12"/>
  <c r="D308" i="12"/>
  <c r="C308" i="12"/>
  <c r="L308" i="12"/>
  <c r="M308" i="12" s="1"/>
  <c r="J308" i="12"/>
  <c r="K308" i="12" s="1"/>
  <c r="H308" i="12"/>
  <c r="G308" i="12"/>
  <c r="F308" i="12"/>
  <c r="E307" i="12"/>
  <c r="D307" i="12"/>
  <c r="C307" i="12"/>
  <c r="L307" i="12"/>
  <c r="M307" i="12" s="1"/>
  <c r="J307" i="12"/>
  <c r="K307" i="12" s="1"/>
  <c r="H307" i="12"/>
  <c r="G307" i="12"/>
  <c r="F307" i="12"/>
  <c r="C306" i="12"/>
  <c r="L306" i="12"/>
  <c r="M306" i="12" s="1"/>
  <c r="J306" i="12"/>
  <c r="K306" i="12" s="1"/>
  <c r="H306" i="12"/>
  <c r="G306" i="12"/>
  <c r="F306" i="12"/>
  <c r="E306" i="12"/>
  <c r="D306" i="12"/>
  <c r="L305" i="12"/>
  <c r="M305" i="12" s="1"/>
  <c r="J305" i="12"/>
  <c r="K305" i="12" s="1"/>
  <c r="H305" i="12"/>
  <c r="G305" i="12"/>
  <c r="F305" i="12"/>
  <c r="E305" i="12"/>
  <c r="D305" i="12"/>
  <c r="C305" i="12"/>
  <c r="L304" i="12"/>
  <c r="M304" i="12" s="1"/>
  <c r="J304" i="12"/>
  <c r="K304" i="12" s="1"/>
  <c r="H304" i="12"/>
  <c r="G304" i="12"/>
  <c r="F304" i="12"/>
  <c r="E304" i="12"/>
  <c r="D304" i="12"/>
  <c r="C304" i="12"/>
  <c r="E303" i="12"/>
  <c r="D303" i="12"/>
  <c r="C303" i="12"/>
  <c r="L303" i="12"/>
  <c r="M303" i="12" s="1"/>
  <c r="J303" i="12"/>
  <c r="K303" i="12" s="1"/>
  <c r="H303" i="12"/>
  <c r="G303" i="12"/>
  <c r="F303" i="12"/>
  <c r="E302" i="12"/>
  <c r="D302" i="12"/>
  <c r="C302" i="12"/>
  <c r="L302" i="12"/>
  <c r="M302" i="12" s="1"/>
  <c r="J302" i="12"/>
  <c r="K302" i="12" s="1"/>
  <c r="H302" i="12"/>
  <c r="G302" i="12"/>
  <c r="F302" i="12"/>
  <c r="C301" i="12"/>
  <c r="L301" i="12"/>
  <c r="M301" i="12" s="1"/>
  <c r="J301" i="12"/>
  <c r="K301" i="12" s="1"/>
  <c r="H301" i="12"/>
  <c r="G301" i="12"/>
  <c r="F301" i="12"/>
  <c r="E301" i="12"/>
  <c r="D301" i="12"/>
  <c r="L300" i="12"/>
  <c r="M300" i="12" s="1"/>
  <c r="J300" i="12"/>
  <c r="K300" i="12" s="1"/>
  <c r="H300" i="12"/>
  <c r="G300" i="12"/>
  <c r="F300" i="12"/>
  <c r="E300" i="12"/>
  <c r="D300" i="12"/>
  <c r="C300" i="12"/>
  <c r="J299" i="12"/>
  <c r="K299" i="12" s="1"/>
  <c r="L299" i="12"/>
  <c r="M299" i="12" s="1"/>
  <c r="H299" i="12"/>
  <c r="G299" i="12"/>
  <c r="F299" i="12"/>
  <c r="E299" i="12"/>
  <c r="D299" i="12"/>
  <c r="C299" i="12"/>
  <c r="E298" i="12"/>
  <c r="D298" i="12"/>
  <c r="C298" i="12"/>
  <c r="L298" i="12"/>
  <c r="M298" i="12" s="1"/>
  <c r="J298" i="12"/>
  <c r="K298" i="12" s="1"/>
  <c r="H298" i="12"/>
  <c r="G298" i="12"/>
  <c r="F298" i="12"/>
  <c r="E297" i="12"/>
  <c r="D297" i="12"/>
  <c r="C297" i="12"/>
  <c r="L297" i="12"/>
  <c r="M297" i="12" s="1"/>
  <c r="J297" i="12"/>
  <c r="K297" i="12" s="1"/>
  <c r="H297" i="12"/>
  <c r="G297" i="12"/>
  <c r="F297" i="12"/>
  <c r="J296" i="12"/>
  <c r="K296" i="12" s="1"/>
  <c r="L296" i="12"/>
  <c r="M296" i="12" s="1"/>
  <c r="D296" i="12"/>
  <c r="H296" i="12"/>
  <c r="G296" i="12"/>
  <c r="F296" i="12"/>
  <c r="E296" i="12"/>
  <c r="C296" i="12"/>
  <c r="E295" i="12"/>
  <c r="D295" i="12"/>
  <c r="L295" i="12"/>
  <c r="M295" i="12" s="1"/>
  <c r="C295" i="12"/>
  <c r="J295" i="12"/>
  <c r="K295" i="12" s="1"/>
  <c r="H295" i="12"/>
  <c r="G295" i="12"/>
  <c r="F295" i="12"/>
  <c r="E294" i="12"/>
  <c r="D294" i="12"/>
  <c r="C294" i="12"/>
  <c r="L294" i="12"/>
  <c r="M294" i="12" s="1"/>
  <c r="J294" i="12"/>
  <c r="K294" i="12" s="1"/>
  <c r="H294" i="12"/>
  <c r="G294" i="12"/>
  <c r="F294" i="12"/>
  <c r="L293" i="12"/>
  <c r="M293" i="12" s="1"/>
  <c r="J293" i="12"/>
  <c r="K293" i="12" s="1"/>
  <c r="H293" i="12"/>
  <c r="G293" i="12"/>
  <c r="F293" i="12"/>
  <c r="E293" i="12"/>
  <c r="D293" i="12"/>
  <c r="C293" i="12"/>
  <c r="J292" i="12"/>
  <c r="K292" i="12" s="1"/>
  <c r="C292" i="12"/>
  <c r="F292" i="12"/>
  <c r="L292" i="12"/>
  <c r="M292" i="12" s="1"/>
  <c r="H292" i="12"/>
  <c r="G292" i="12"/>
  <c r="E292" i="12"/>
  <c r="D292" i="12"/>
  <c r="H290" i="12"/>
  <c r="J290" i="12"/>
  <c r="K290" i="12" s="1"/>
  <c r="L290" i="12"/>
  <c r="M290" i="12" s="1"/>
  <c r="C290" i="12"/>
  <c r="D290" i="12"/>
  <c r="E290" i="12"/>
  <c r="F290" i="12"/>
  <c r="G290" i="12"/>
  <c r="F289" i="12"/>
  <c r="L289" i="12"/>
  <c r="M289" i="12" s="1"/>
  <c r="J289" i="12"/>
  <c r="K289" i="12" s="1"/>
  <c r="H289" i="12"/>
  <c r="G289" i="12"/>
  <c r="E289" i="12"/>
  <c r="D289" i="12"/>
  <c r="C289" i="12"/>
  <c r="G288" i="12"/>
  <c r="L288" i="12"/>
  <c r="M288" i="12" s="1"/>
  <c r="J288" i="12"/>
  <c r="K288" i="12" s="1"/>
  <c r="H288" i="12"/>
  <c r="F288" i="12"/>
  <c r="E288" i="12"/>
  <c r="D288" i="12"/>
  <c r="C288" i="12"/>
  <c r="E287" i="12"/>
  <c r="D287" i="12"/>
  <c r="J287" i="12"/>
  <c r="K287" i="12" s="1"/>
  <c r="L287" i="12"/>
  <c r="M287" i="12" s="1"/>
  <c r="C287" i="12"/>
  <c r="H287" i="12"/>
  <c r="G287" i="12"/>
  <c r="F287" i="12"/>
  <c r="E286" i="12"/>
  <c r="D286" i="12"/>
  <c r="C286" i="12"/>
  <c r="L286" i="12"/>
  <c r="M286" i="12" s="1"/>
  <c r="J286" i="12"/>
  <c r="K286" i="12" s="1"/>
  <c r="H286" i="12"/>
  <c r="G286" i="12"/>
  <c r="F286" i="12"/>
  <c r="F285" i="12"/>
  <c r="E285" i="12"/>
  <c r="G285" i="12"/>
  <c r="L285" i="12"/>
  <c r="M285" i="12" s="1"/>
  <c r="H285" i="12"/>
  <c r="D285" i="12"/>
  <c r="C285" i="12"/>
  <c r="J285" i="12"/>
  <c r="K285" i="12" s="1"/>
  <c r="H284" i="12"/>
  <c r="L284" i="12"/>
  <c r="M284" i="12" s="1"/>
  <c r="J284" i="12"/>
  <c r="K284" i="12" s="1"/>
  <c r="G284" i="12"/>
  <c r="F284" i="12"/>
  <c r="E284" i="12"/>
  <c r="D284" i="12"/>
  <c r="C284" i="12"/>
  <c r="E283" i="12"/>
  <c r="D283" i="12"/>
  <c r="C283" i="12"/>
  <c r="L283" i="12"/>
  <c r="M283" i="12" s="1"/>
  <c r="J283" i="12"/>
  <c r="K283" i="12" s="1"/>
  <c r="H283" i="12"/>
  <c r="G283" i="12"/>
  <c r="F283" i="12"/>
  <c r="H282" i="12"/>
  <c r="C282" i="12"/>
  <c r="D282" i="12"/>
  <c r="E282" i="12"/>
  <c r="F282" i="12"/>
  <c r="G282" i="12"/>
  <c r="J282" i="12"/>
  <c r="K282" i="12" s="1"/>
  <c r="L282" i="12"/>
  <c r="M282" i="12" s="1"/>
  <c r="H281" i="12"/>
  <c r="L281" i="12"/>
  <c r="M281" i="12" s="1"/>
  <c r="J281" i="12"/>
  <c r="K281" i="12" s="1"/>
  <c r="D281" i="12"/>
  <c r="G281" i="12"/>
  <c r="F281" i="12"/>
  <c r="E281" i="12"/>
  <c r="C281" i="12"/>
  <c r="E280" i="12"/>
  <c r="D280" i="12"/>
  <c r="C280" i="12"/>
  <c r="L280" i="12"/>
  <c r="M280" i="12" s="1"/>
  <c r="H280" i="12"/>
  <c r="J280" i="12"/>
  <c r="K280" i="12" s="1"/>
  <c r="G280" i="12"/>
  <c r="F280" i="12"/>
  <c r="F279" i="12"/>
  <c r="D279" i="12"/>
  <c r="E279" i="12"/>
  <c r="C279" i="12"/>
  <c r="L279" i="12"/>
  <c r="M279" i="12" s="1"/>
  <c r="J279" i="12"/>
  <c r="K279" i="12" s="1"/>
  <c r="H279" i="12"/>
  <c r="G279" i="12"/>
  <c r="C278" i="12"/>
  <c r="D278" i="12"/>
  <c r="E278" i="12"/>
  <c r="F278" i="12"/>
  <c r="G278" i="12"/>
  <c r="H278" i="12"/>
  <c r="J278" i="12"/>
  <c r="K278" i="12" s="1"/>
  <c r="L278" i="12"/>
  <c r="M278" i="12" s="1"/>
  <c r="C277" i="12"/>
  <c r="D277" i="12"/>
  <c r="E277" i="12"/>
  <c r="F277" i="12"/>
  <c r="G277" i="12"/>
  <c r="J277" i="12"/>
  <c r="K277" i="12" s="1"/>
  <c r="L277" i="12"/>
  <c r="M277" i="12" s="1"/>
  <c r="H277" i="12"/>
  <c r="D276" i="12"/>
  <c r="C276" i="12"/>
  <c r="E276" i="12"/>
  <c r="H276" i="12"/>
  <c r="J276" i="12"/>
  <c r="K276" i="12" s="1"/>
  <c r="L276" i="12"/>
  <c r="M276" i="12" s="1"/>
  <c r="F276" i="12"/>
  <c r="G276" i="12"/>
  <c r="G275" i="12"/>
  <c r="D275" i="12"/>
  <c r="F275" i="12"/>
  <c r="H275" i="12"/>
  <c r="J275" i="12"/>
  <c r="K275" i="12" s="1"/>
  <c r="L275" i="12"/>
  <c r="M275" i="12" s="1"/>
  <c r="E275" i="12"/>
  <c r="C275" i="12"/>
  <c r="F274" i="12"/>
  <c r="J274" i="12"/>
  <c r="K274" i="12" s="1"/>
  <c r="L274" i="12"/>
  <c r="M274" i="12" s="1"/>
  <c r="C274" i="12"/>
  <c r="D274" i="12"/>
  <c r="E274" i="12"/>
  <c r="G274" i="12"/>
  <c r="H274" i="12"/>
  <c r="F273" i="12"/>
  <c r="G273" i="12"/>
  <c r="H273" i="12"/>
  <c r="J273" i="12"/>
  <c r="K273" i="12" s="1"/>
  <c r="L273" i="12"/>
  <c r="M273" i="12" s="1"/>
  <c r="E273" i="12"/>
  <c r="D273" i="12"/>
  <c r="C273" i="12"/>
  <c r="H272" i="12"/>
  <c r="G272" i="12"/>
  <c r="F272" i="12"/>
  <c r="E272" i="12"/>
  <c r="D272" i="12"/>
  <c r="C272" i="12"/>
  <c r="L272" i="12"/>
  <c r="M272" i="12" s="1"/>
  <c r="J272" i="12"/>
  <c r="K272" i="12" s="1"/>
  <c r="G271" i="12"/>
  <c r="C271" i="12"/>
  <c r="D271" i="12"/>
  <c r="E271" i="12"/>
  <c r="F271" i="12"/>
  <c r="H271" i="12"/>
  <c r="J271" i="12"/>
  <c r="K271" i="12" s="1"/>
  <c r="L271" i="12"/>
  <c r="M271" i="12" s="1"/>
  <c r="F270" i="12"/>
  <c r="G270" i="12"/>
  <c r="H270" i="12"/>
  <c r="L270" i="12"/>
  <c r="M270" i="12" s="1"/>
  <c r="C270" i="12"/>
  <c r="J270" i="12"/>
  <c r="K270" i="12" s="1"/>
  <c r="E270" i="12"/>
  <c r="D270" i="12"/>
  <c r="C269" i="12"/>
  <c r="L269" i="12"/>
  <c r="M269" i="12" s="1"/>
  <c r="J269" i="12"/>
  <c r="K269" i="12" s="1"/>
  <c r="H269" i="12"/>
  <c r="G269" i="12"/>
  <c r="F269" i="12"/>
  <c r="E269" i="12"/>
  <c r="D269" i="12"/>
  <c r="J268" i="12"/>
  <c r="K268" i="12" s="1"/>
  <c r="L268" i="12"/>
  <c r="M268" i="12" s="1"/>
  <c r="H268" i="12"/>
  <c r="G268" i="12"/>
  <c r="F268" i="12"/>
  <c r="E268" i="12"/>
  <c r="D268" i="12"/>
  <c r="C268" i="12"/>
  <c r="C267" i="12"/>
  <c r="L267" i="12"/>
  <c r="M267" i="12" s="1"/>
  <c r="J267" i="12"/>
  <c r="K267" i="12" s="1"/>
  <c r="H267" i="12"/>
  <c r="G267" i="12"/>
  <c r="F267" i="12"/>
  <c r="E267" i="12"/>
  <c r="D267" i="12"/>
  <c r="L266" i="12"/>
  <c r="M266" i="12" s="1"/>
  <c r="J266" i="12"/>
  <c r="K266" i="12" s="1"/>
  <c r="H266" i="12"/>
  <c r="G266" i="12"/>
  <c r="F266" i="12"/>
  <c r="E266" i="12"/>
  <c r="D266" i="12"/>
  <c r="C266" i="12"/>
  <c r="L265" i="12"/>
  <c r="M265" i="12" s="1"/>
  <c r="J265" i="12"/>
  <c r="K265" i="12" s="1"/>
  <c r="H265" i="12"/>
  <c r="G265" i="12"/>
  <c r="F265" i="12"/>
  <c r="E265" i="12"/>
  <c r="D265" i="12"/>
  <c r="C265" i="12"/>
  <c r="J264" i="12"/>
  <c r="K264" i="12" s="1"/>
  <c r="H264" i="12"/>
  <c r="G264" i="12"/>
  <c r="F264" i="12"/>
  <c r="E264" i="12"/>
  <c r="D264" i="12"/>
  <c r="C264" i="12"/>
  <c r="L264" i="12"/>
  <c r="M264" i="12" s="1"/>
  <c r="F263" i="12"/>
  <c r="G263" i="12"/>
  <c r="H263" i="12"/>
  <c r="J263" i="12"/>
  <c r="K263" i="12" s="1"/>
  <c r="C263" i="12"/>
  <c r="L263" i="12"/>
  <c r="M263" i="12" s="1"/>
  <c r="D263" i="12"/>
  <c r="E263" i="12"/>
  <c r="D262" i="12"/>
  <c r="C262" i="12"/>
  <c r="J262" i="12"/>
  <c r="K262" i="12" s="1"/>
  <c r="L262" i="12"/>
  <c r="M262" i="12" s="1"/>
  <c r="H262" i="12"/>
  <c r="G262" i="12"/>
  <c r="F262" i="12"/>
  <c r="E262" i="12"/>
  <c r="C261" i="12"/>
  <c r="D261" i="12"/>
  <c r="E261" i="12"/>
  <c r="F261" i="12"/>
  <c r="G261" i="12"/>
  <c r="L261" i="12"/>
  <c r="M261" i="12" s="1"/>
  <c r="J261" i="12"/>
  <c r="K261" i="12" s="1"/>
  <c r="H261" i="12"/>
  <c r="D260" i="12"/>
  <c r="E260" i="12"/>
  <c r="F260" i="12"/>
  <c r="G260" i="12"/>
  <c r="H260" i="12"/>
  <c r="J260" i="12"/>
  <c r="K260" i="12" s="1"/>
  <c r="L260" i="12"/>
  <c r="M260" i="12" s="1"/>
  <c r="C260" i="12"/>
  <c r="J259" i="12"/>
  <c r="K259" i="12" s="1"/>
  <c r="H259" i="12"/>
  <c r="G259" i="12"/>
  <c r="F259" i="12"/>
  <c r="D259" i="12"/>
  <c r="C259" i="12"/>
  <c r="E259" i="12"/>
  <c r="L259" i="12"/>
  <c r="M259" i="12" s="1"/>
  <c r="C258" i="12"/>
  <c r="D258" i="12"/>
  <c r="F258" i="12"/>
  <c r="G258" i="12"/>
  <c r="E258" i="12"/>
  <c r="H258" i="12"/>
  <c r="L258" i="12"/>
  <c r="M258" i="12" s="1"/>
  <c r="J258" i="12"/>
  <c r="K258" i="12" s="1"/>
  <c r="F257" i="12"/>
  <c r="H257" i="12"/>
  <c r="J257" i="12"/>
  <c r="K257" i="12" s="1"/>
  <c r="L257" i="12"/>
  <c r="M257" i="12" s="1"/>
  <c r="G257" i="12"/>
  <c r="E257" i="12"/>
  <c r="D257" i="12"/>
  <c r="C257" i="12"/>
  <c r="C256" i="12"/>
  <c r="D256" i="12"/>
  <c r="G256" i="12"/>
  <c r="J256" i="12"/>
  <c r="K256" i="12" s="1"/>
  <c r="H256" i="12"/>
  <c r="F256" i="12"/>
  <c r="E256" i="12"/>
  <c r="L256" i="12"/>
  <c r="M256" i="12" s="1"/>
  <c r="G255" i="12"/>
  <c r="C255" i="12"/>
  <c r="D255" i="12"/>
  <c r="E255" i="12"/>
  <c r="F255" i="12"/>
  <c r="H255" i="12"/>
  <c r="J255" i="12"/>
  <c r="K255" i="12" s="1"/>
  <c r="L255" i="12"/>
  <c r="M255" i="12" s="1"/>
  <c r="E254" i="12"/>
  <c r="D254" i="12"/>
  <c r="C254" i="12"/>
  <c r="F254" i="12"/>
  <c r="L254" i="12"/>
  <c r="M254" i="12" s="1"/>
  <c r="J254" i="12"/>
  <c r="K254" i="12" s="1"/>
  <c r="H254" i="12"/>
  <c r="G254" i="12"/>
  <c r="L253" i="12"/>
  <c r="M253" i="12" s="1"/>
  <c r="J253" i="12"/>
  <c r="K253" i="12" s="1"/>
  <c r="H253" i="12"/>
  <c r="G253" i="12"/>
  <c r="F253" i="12"/>
  <c r="E253" i="12"/>
  <c r="D253" i="12"/>
  <c r="C253" i="12"/>
  <c r="L252" i="12"/>
  <c r="M252" i="12" s="1"/>
  <c r="J252" i="12"/>
  <c r="K252" i="12" s="1"/>
  <c r="H252" i="12"/>
  <c r="G252" i="12"/>
  <c r="F252" i="12"/>
  <c r="E252" i="12"/>
  <c r="D252" i="12"/>
  <c r="C252" i="12"/>
  <c r="L251" i="12"/>
  <c r="M251" i="12" s="1"/>
  <c r="J251" i="12"/>
  <c r="K251" i="12" s="1"/>
  <c r="H251" i="12"/>
  <c r="G251" i="12"/>
  <c r="F251" i="12"/>
  <c r="E251" i="12"/>
  <c r="D251" i="12"/>
  <c r="C251" i="12"/>
  <c r="L250" i="12"/>
  <c r="M250" i="12" s="1"/>
  <c r="J250" i="12"/>
  <c r="K250" i="12" s="1"/>
  <c r="H250" i="12"/>
  <c r="G250" i="12"/>
  <c r="F250" i="12"/>
  <c r="E250" i="12"/>
  <c r="D250" i="12"/>
  <c r="C250" i="12"/>
  <c r="L249" i="12"/>
  <c r="M249" i="12" s="1"/>
  <c r="H249" i="12"/>
  <c r="G249" i="12"/>
  <c r="F249" i="12"/>
  <c r="E249" i="12"/>
  <c r="D249" i="12"/>
  <c r="C249" i="12"/>
  <c r="J249" i="12"/>
  <c r="K249" i="12" s="1"/>
  <c r="L248" i="12"/>
  <c r="M248" i="12" s="1"/>
  <c r="J248" i="12"/>
  <c r="K248" i="12" s="1"/>
  <c r="H248" i="12"/>
  <c r="G248" i="12"/>
  <c r="F248" i="12"/>
  <c r="E248" i="12"/>
  <c r="D248" i="12"/>
  <c r="C248" i="12"/>
  <c r="L247" i="12"/>
  <c r="M247" i="12" s="1"/>
  <c r="J247" i="12"/>
  <c r="K247" i="12" s="1"/>
  <c r="H247" i="12"/>
  <c r="G247" i="12"/>
  <c r="F247" i="12"/>
  <c r="E247" i="12"/>
  <c r="D247" i="12"/>
  <c r="C247" i="12"/>
  <c r="C246" i="12"/>
  <c r="D246" i="12"/>
  <c r="E246" i="12"/>
  <c r="F246" i="12"/>
  <c r="G246" i="12"/>
  <c r="H246" i="12"/>
  <c r="J246" i="12"/>
  <c r="K246" i="12" s="1"/>
  <c r="L246" i="12"/>
  <c r="M246" i="12" s="1"/>
  <c r="C245" i="12"/>
  <c r="E245" i="12"/>
  <c r="F245" i="12"/>
  <c r="G245" i="12"/>
  <c r="H245" i="12"/>
  <c r="D245" i="12"/>
  <c r="J245" i="12"/>
  <c r="K245" i="12" s="1"/>
  <c r="L245" i="12"/>
  <c r="M245" i="12" s="1"/>
  <c r="G244" i="12"/>
  <c r="H244" i="12"/>
  <c r="J244" i="12"/>
  <c r="K244" i="12" s="1"/>
  <c r="L244" i="12"/>
  <c r="M244" i="12" s="1"/>
  <c r="C244" i="12"/>
  <c r="F244" i="12"/>
  <c r="E244" i="12"/>
  <c r="D244" i="12"/>
  <c r="L243" i="12"/>
  <c r="M243" i="12" s="1"/>
  <c r="J243" i="12"/>
  <c r="K243" i="12" s="1"/>
  <c r="H243" i="12"/>
  <c r="G243" i="12"/>
  <c r="F243" i="12"/>
  <c r="E243" i="12"/>
  <c r="D243" i="12"/>
  <c r="C243" i="12"/>
  <c r="G242" i="12"/>
  <c r="H242" i="12"/>
  <c r="J242" i="12"/>
  <c r="K242" i="12" s="1"/>
  <c r="L242" i="12"/>
  <c r="M242" i="12" s="1"/>
  <c r="C242" i="12"/>
  <c r="D242" i="12"/>
  <c r="E242" i="12"/>
  <c r="F242" i="12"/>
  <c r="G241" i="12"/>
  <c r="E241" i="12"/>
  <c r="D241" i="12"/>
  <c r="C241" i="12"/>
  <c r="L241" i="12"/>
  <c r="M241" i="12" s="1"/>
  <c r="J241" i="12"/>
  <c r="K241" i="12" s="1"/>
  <c r="H241" i="12"/>
  <c r="F241" i="12"/>
  <c r="D240" i="12"/>
  <c r="L240" i="12"/>
  <c r="M240" i="12" s="1"/>
  <c r="H240" i="12"/>
  <c r="G240" i="12"/>
  <c r="F240" i="12"/>
  <c r="E240" i="12"/>
  <c r="C240" i="12"/>
  <c r="J240" i="12"/>
  <c r="K240" i="12" s="1"/>
  <c r="L239" i="12"/>
  <c r="M239" i="12" s="1"/>
  <c r="J239" i="12"/>
  <c r="K239" i="12" s="1"/>
  <c r="H239" i="12"/>
  <c r="F239" i="12"/>
  <c r="E239" i="12"/>
  <c r="D239" i="12"/>
  <c r="C239" i="12"/>
  <c r="G239" i="12"/>
  <c r="C238" i="12"/>
  <c r="D238" i="12"/>
  <c r="E238" i="12"/>
  <c r="F238" i="12"/>
  <c r="L238" i="12"/>
  <c r="M238" i="12" s="1"/>
  <c r="J238" i="12"/>
  <c r="K238" i="12" s="1"/>
  <c r="H238" i="12"/>
  <c r="G238" i="12"/>
  <c r="C237" i="12"/>
  <c r="L237" i="12"/>
  <c r="M237" i="12" s="1"/>
  <c r="J237" i="12"/>
  <c r="K237" i="12" s="1"/>
  <c r="H237" i="12"/>
  <c r="G237" i="12"/>
  <c r="F237" i="12"/>
  <c r="E237" i="12"/>
  <c r="D237" i="12"/>
  <c r="C236" i="12"/>
  <c r="E236" i="12"/>
  <c r="G236" i="12"/>
  <c r="H236" i="12"/>
  <c r="J236" i="12"/>
  <c r="K236" i="12" s="1"/>
  <c r="L236" i="12"/>
  <c r="M236" i="12" s="1"/>
  <c r="F236" i="12"/>
  <c r="D236" i="12"/>
  <c r="C235" i="12"/>
  <c r="D235" i="12"/>
  <c r="E235" i="12"/>
  <c r="F235" i="12"/>
  <c r="G235" i="12"/>
  <c r="H235" i="12"/>
  <c r="J235" i="12"/>
  <c r="K235" i="12" s="1"/>
  <c r="L235" i="12"/>
  <c r="M235" i="12" s="1"/>
  <c r="F234" i="12"/>
  <c r="L234" i="12"/>
  <c r="M234" i="12" s="1"/>
  <c r="J234" i="12"/>
  <c r="K234" i="12" s="1"/>
  <c r="H234" i="12"/>
  <c r="G234" i="12"/>
  <c r="E234" i="12"/>
  <c r="D234" i="12"/>
  <c r="C234" i="12"/>
  <c r="C233" i="12"/>
  <c r="D233" i="12"/>
  <c r="E233" i="12"/>
  <c r="F233" i="12"/>
  <c r="G233" i="12"/>
  <c r="H233" i="12"/>
  <c r="J233" i="12"/>
  <c r="K233" i="12" s="1"/>
  <c r="L233" i="12"/>
  <c r="M233" i="12" s="1"/>
  <c r="E232" i="12"/>
  <c r="L232" i="12"/>
  <c r="M232" i="12" s="1"/>
  <c r="J232" i="12"/>
  <c r="K232" i="12" s="1"/>
  <c r="H232" i="12"/>
  <c r="C232" i="12"/>
  <c r="D232" i="12"/>
  <c r="G232" i="12"/>
  <c r="F232" i="12"/>
  <c r="L231" i="12"/>
  <c r="M231" i="12" s="1"/>
  <c r="D231" i="12"/>
  <c r="E231" i="12"/>
  <c r="F231" i="12"/>
  <c r="G231" i="12"/>
  <c r="H231" i="12"/>
  <c r="J231" i="12"/>
  <c r="K231" i="12" s="1"/>
  <c r="C231" i="12"/>
  <c r="D230" i="12"/>
  <c r="J230" i="12"/>
  <c r="K230" i="12" s="1"/>
  <c r="H230" i="12"/>
  <c r="G230" i="12"/>
  <c r="F230" i="12"/>
  <c r="E230" i="12"/>
  <c r="C230" i="12"/>
  <c r="L230" i="12"/>
  <c r="M230" i="12" s="1"/>
  <c r="F229" i="12"/>
  <c r="H229" i="12"/>
  <c r="J229" i="12"/>
  <c r="K229" i="12" s="1"/>
  <c r="G229" i="12"/>
  <c r="E229" i="12"/>
  <c r="L229" i="12"/>
  <c r="M229" i="12" s="1"/>
  <c r="D229" i="12"/>
  <c r="C229" i="12"/>
  <c r="E228" i="12"/>
  <c r="D228" i="12"/>
  <c r="C228" i="12"/>
  <c r="F228" i="12"/>
  <c r="L228" i="12"/>
  <c r="M228" i="12" s="1"/>
  <c r="J228" i="12"/>
  <c r="K228" i="12" s="1"/>
  <c r="H228" i="12"/>
  <c r="G228" i="12"/>
  <c r="C227" i="12"/>
  <c r="L227" i="12"/>
  <c r="M227" i="12" s="1"/>
  <c r="J227" i="12"/>
  <c r="K227" i="12" s="1"/>
  <c r="H227" i="12"/>
  <c r="G227" i="12"/>
  <c r="E227" i="12"/>
  <c r="D227" i="12"/>
  <c r="F227" i="12"/>
  <c r="L225" i="12"/>
  <c r="M225" i="12" s="1"/>
  <c r="J225" i="12"/>
  <c r="K225" i="12" s="1"/>
  <c r="H225" i="12"/>
  <c r="G225" i="12"/>
  <c r="F225" i="12"/>
  <c r="E225" i="12"/>
  <c r="C225" i="12"/>
  <c r="D225" i="12"/>
  <c r="L224" i="12"/>
  <c r="M224" i="12" s="1"/>
  <c r="J224" i="12"/>
  <c r="K224" i="12" s="1"/>
  <c r="H224" i="12"/>
  <c r="G224" i="12"/>
  <c r="F224" i="12"/>
  <c r="E224" i="12"/>
  <c r="D224" i="12"/>
  <c r="C224" i="12"/>
  <c r="C223" i="12"/>
  <c r="D223" i="12"/>
  <c r="E223" i="12"/>
  <c r="L223" i="12"/>
  <c r="M223" i="12" s="1"/>
  <c r="J223" i="12"/>
  <c r="K223" i="12" s="1"/>
  <c r="H223" i="12"/>
  <c r="G223" i="12"/>
  <c r="F223" i="12"/>
  <c r="H222" i="12"/>
  <c r="J222" i="12"/>
  <c r="K222" i="12" s="1"/>
  <c r="L222" i="12"/>
  <c r="M222" i="12" s="1"/>
  <c r="G222" i="12"/>
  <c r="F222" i="12"/>
  <c r="E222" i="12"/>
  <c r="D222" i="12"/>
  <c r="C222" i="12"/>
  <c r="H221" i="12"/>
  <c r="F221" i="12"/>
  <c r="E221" i="12"/>
  <c r="C221" i="12"/>
  <c r="D221" i="12"/>
  <c r="G221" i="12"/>
  <c r="L221" i="12"/>
  <c r="M221" i="12" s="1"/>
  <c r="J221" i="12"/>
  <c r="K221" i="12" s="1"/>
  <c r="C220" i="12"/>
  <c r="D220" i="12"/>
  <c r="E220" i="12"/>
  <c r="F220" i="12"/>
  <c r="G220" i="12"/>
  <c r="H220" i="12"/>
  <c r="J220" i="12"/>
  <c r="K220" i="12" s="1"/>
  <c r="L220" i="12"/>
  <c r="M220" i="12" s="1"/>
  <c r="E219" i="12"/>
  <c r="C219" i="12"/>
  <c r="D219" i="12"/>
  <c r="H219" i="12"/>
  <c r="J219" i="12"/>
  <c r="K219" i="12" s="1"/>
  <c r="L219" i="12"/>
  <c r="M219" i="12" s="1"/>
  <c r="G219" i="12"/>
  <c r="F219" i="12"/>
  <c r="J218" i="12"/>
  <c r="K218" i="12" s="1"/>
  <c r="L218" i="12"/>
  <c r="M218" i="12" s="1"/>
  <c r="D218" i="12"/>
  <c r="E218" i="12"/>
  <c r="G218" i="12"/>
  <c r="C218" i="12"/>
  <c r="F218" i="12"/>
  <c r="H218" i="12"/>
  <c r="H217" i="12"/>
  <c r="G217" i="12"/>
  <c r="F217" i="12"/>
  <c r="E217" i="12"/>
  <c r="D217" i="12"/>
  <c r="C217" i="12"/>
  <c r="L217" i="12"/>
  <c r="M217" i="12" s="1"/>
  <c r="J217" i="12"/>
  <c r="K217" i="12" s="1"/>
  <c r="E216" i="12"/>
  <c r="C216" i="12"/>
  <c r="D216" i="12"/>
  <c r="F216" i="12"/>
  <c r="L216" i="12"/>
  <c r="M216" i="12" s="1"/>
  <c r="J216" i="12"/>
  <c r="K216" i="12" s="1"/>
  <c r="H216" i="12"/>
  <c r="G216" i="12"/>
  <c r="H215" i="12"/>
  <c r="G215" i="12"/>
  <c r="F215" i="12"/>
  <c r="E215" i="12"/>
  <c r="C215" i="12"/>
  <c r="D215" i="12"/>
  <c r="L215" i="12"/>
  <c r="M215" i="12" s="1"/>
  <c r="J215" i="12"/>
  <c r="K215" i="12" s="1"/>
  <c r="F214" i="12"/>
  <c r="E214" i="12"/>
  <c r="D214" i="12"/>
  <c r="C214" i="12"/>
  <c r="H214" i="12"/>
  <c r="L214" i="12"/>
  <c r="M214" i="12" s="1"/>
  <c r="J214" i="12"/>
  <c r="K214" i="12" s="1"/>
  <c r="G214" i="12"/>
  <c r="C213" i="12"/>
  <c r="D213" i="12"/>
  <c r="E213" i="12"/>
  <c r="F213" i="12"/>
  <c r="G213" i="12"/>
  <c r="H213" i="12"/>
  <c r="J213" i="12"/>
  <c r="K213" i="12" s="1"/>
  <c r="L213" i="12"/>
  <c r="M213" i="12" s="1"/>
  <c r="G212" i="12"/>
  <c r="H212" i="12"/>
  <c r="J212" i="12"/>
  <c r="K212" i="12" s="1"/>
  <c r="L212" i="12"/>
  <c r="M212" i="12" s="1"/>
  <c r="D212" i="12"/>
  <c r="C212" i="12"/>
  <c r="E212" i="12"/>
  <c r="F212" i="12"/>
  <c r="L211" i="12"/>
  <c r="M211" i="12" s="1"/>
  <c r="J211" i="12"/>
  <c r="K211" i="12" s="1"/>
  <c r="H211" i="12"/>
  <c r="G211" i="12"/>
  <c r="F211" i="12"/>
  <c r="D211" i="12"/>
  <c r="C211" i="12"/>
  <c r="E211" i="12"/>
  <c r="F210" i="12"/>
  <c r="C210" i="12"/>
  <c r="D210" i="12"/>
  <c r="E210" i="12"/>
  <c r="G210" i="12"/>
  <c r="H210" i="12"/>
  <c r="J210" i="12"/>
  <c r="K210" i="12" s="1"/>
  <c r="L210" i="12"/>
  <c r="M210" i="12" s="1"/>
  <c r="C209" i="12"/>
  <c r="E209" i="12"/>
  <c r="L209" i="12"/>
  <c r="M209" i="12" s="1"/>
  <c r="J209" i="12"/>
  <c r="K209" i="12" s="1"/>
  <c r="H209" i="12"/>
  <c r="G209" i="12"/>
  <c r="F209" i="12"/>
  <c r="D209" i="12"/>
  <c r="C208" i="12"/>
  <c r="H208" i="12"/>
  <c r="G208" i="12"/>
  <c r="D208" i="12"/>
  <c r="E208" i="12"/>
  <c r="F208" i="12"/>
  <c r="L208" i="12"/>
  <c r="M208" i="12" s="1"/>
  <c r="J208" i="12"/>
  <c r="K208" i="12" s="1"/>
  <c r="F207" i="12"/>
  <c r="E207" i="12"/>
  <c r="C207" i="12"/>
  <c r="L207" i="12"/>
  <c r="M207" i="12" s="1"/>
  <c r="J207" i="12"/>
  <c r="K207" i="12" s="1"/>
  <c r="H207" i="12"/>
  <c r="G207" i="12"/>
  <c r="D207" i="12"/>
  <c r="L206" i="12"/>
  <c r="M206" i="12" s="1"/>
  <c r="J206" i="12"/>
  <c r="K206" i="12" s="1"/>
  <c r="H206" i="12"/>
  <c r="G206" i="12"/>
  <c r="F206" i="12"/>
  <c r="E206" i="12"/>
  <c r="D206" i="12"/>
  <c r="C206" i="12"/>
  <c r="F205" i="12"/>
  <c r="C205" i="12"/>
  <c r="L205" i="12"/>
  <c r="M205" i="12" s="1"/>
  <c r="J205" i="12"/>
  <c r="K205" i="12" s="1"/>
  <c r="H205" i="12"/>
  <c r="G205" i="12"/>
  <c r="E205" i="12"/>
  <c r="D205" i="12"/>
  <c r="H204" i="12"/>
  <c r="L204" i="12"/>
  <c r="M204" i="12" s="1"/>
  <c r="J204" i="12"/>
  <c r="K204" i="12" s="1"/>
  <c r="G204" i="12"/>
  <c r="F204" i="12"/>
  <c r="E204" i="12"/>
  <c r="D204" i="12"/>
  <c r="C204" i="12"/>
  <c r="J203" i="12"/>
  <c r="K203" i="12" s="1"/>
  <c r="L203" i="12"/>
  <c r="M203" i="12" s="1"/>
  <c r="H203" i="12"/>
  <c r="G203" i="12"/>
  <c r="F203" i="12"/>
  <c r="E203" i="12"/>
  <c r="D203" i="12"/>
  <c r="C203" i="12"/>
  <c r="D202" i="12"/>
  <c r="L202" i="12"/>
  <c r="M202" i="12" s="1"/>
  <c r="J202" i="12"/>
  <c r="K202" i="12" s="1"/>
  <c r="H202" i="12"/>
  <c r="G202" i="12"/>
  <c r="F202" i="12"/>
  <c r="E202" i="12"/>
  <c r="C202" i="12"/>
  <c r="H201" i="12"/>
  <c r="G201" i="12"/>
  <c r="F201" i="12"/>
  <c r="E201" i="12"/>
  <c r="D201" i="12"/>
  <c r="C201" i="12"/>
  <c r="L201" i="12"/>
  <c r="M201" i="12" s="1"/>
  <c r="J201" i="12"/>
  <c r="K201" i="12" s="1"/>
  <c r="J200" i="12"/>
  <c r="K200" i="12" s="1"/>
  <c r="F200" i="12"/>
  <c r="L200" i="12"/>
  <c r="M200" i="12" s="1"/>
  <c r="G200" i="12"/>
  <c r="H200" i="12"/>
  <c r="D200" i="12"/>
  <c r="C200" i="12"/>
  <c r="E200" i="12"/>
  <c r="L199" i="12"/>
  <c r="M199" i="12" s="1"/>
  <c r="J199" i="12"/>
  <c r="K199" i="12" s="1"/>
  <c r="H199" i="12"/>
  <c r="G199" i="12"/>
  <c r="F199" i="12"/>
  <c r="E199" i="12"/>
  <c r="D199" i="12"/>
  <c r="C199" i="12"/>
  <c r="L198" i="12"/>
  <c r="M198" i="12" s="1"/>
  <c r="J198" i="12"/>
  <c r="K198" i="12" s="1"/>
  <c r="H198" i="12"/>
  <c r="G198" i="12"/>
  <c r="F198" i="12"/>
  <c r="E198" i="12"/>
  <c r="D198" i="12"/>
  <c r="C198" i="12"/>
  <c r="L197" i="12"/>
  <c r="M197" i="12" s="1"/>
  <c r="J197" i="12"/>
  <c r="K197" i="12" s="1"/>
  <c r="H197" i="12"/>
  <c r="G197" i="12"/>
  <c r="F197" i="12"/>
  <c r="E197" i="12"/>
  <c r="D197" i="12"/>
  <c r="C197" i="12"/>
  <c r="L196" i="12"/>
  <c r="M196" i="12" s="1"/>
  <c r="J196" i="12"/>
  <c r="K196" i="12" s="1"/>
  <c r="H196" i="12"/>
  <c r="G196" i="12"/>
  <c r="F196" i="12"/>
  <c r="E196" i="12"/>
  <c r="D196" i="12"/>
  <c r="C196" i="12"/>
  <c r="L195" i="12"/>
  <c r="M195" i="12" s="1"/>
  <c r="J195" i="12"/>
  <c r="K195" i="12" s="1"/>
  <c r="H195" i="12"/>
  <c r="G195" i="12"/>
  <c r="F195" i="12"/>
  <c r="E195" i="12"/>
  <c r="D195" i="12"/>
  <c r="C195" i="12"/>
  <c r="L194" i="12"/>
  <c r="M194" i="12" s="1"/>
  <c r="J194" i="12"/>
  <c r="K194" i="12" s="1"/>
  <c r="H194" i="12"/>
  <c r="G194" i="12"/>
  <c r="F194" i="12"/>
  <c r="E194" i="12"/>
  <c r="D194" i="12"/>
  <c r="C194" i="12"/>
  <c r="L193" i="12"/>
  <c r="M193" i="12" s="1"/>
  <c r="J193" i="12"/>
  <c r="K193" i="12" s="1"/>
  <c r="H193" i="12"/>
  <c r="G193" i="12"/>
  <c r="F193" i="12"/>
  <c r="E193" i="12"/>
  <c r="D193" i="12"/>
  <c r="C193" i="12"/>
  <c r="L192" i="12"/>
  <c r="M192" i="12" s="1"/>
  <c r="J192" i="12"/>
  <c r="K192" i="12" s="1"/>
  <c r="H192" i="12"/>
  <c r="G192" i="12"/>
  <c r="F192" i="12"/>
  <c r="E192" i="12"/>
  <c r="D192" i="12"/>
  <c r="C192" i="12"/>
  <c r="L191" i="12"/>
  <c r="M191" i="12" s="1"/>
  <c r="J191" i="12"/>
  <c r="K191" i="12" s="1"/>
  <c r="H191" i="12"/>
  <c r="G191" i="12"/>
  <c r="F191" i="12"/>
  <c r="E191" i="12"/>
  <c r="D191" i="12"/>
  <c r="C191" i="12"/>
  <c r="L190" i="12"/>
  <c r="M190" i="12" s="1"/>
  <c r="J190" i="12"/>
  <c r="K190" i="12" s="1"/>
  <c r="H190" i="12"/>
  <c r="G190" i="12"/>
  <c r="F190" i="12"/>
  <c r="E190" i="12"/>
  <c r="D190" i="12"/>
  <c r="C190" i="12"/>
  <c r="L189" i="12"/>
  <c r="M189" i="12" s="1"/>
  <c r="J189" i="12"/>
  <c r="K189" i="12" s="1"/>
  <c r="H189" i="12"/>
  <c r="G189" i="12"/>
  <c r="F189" i="12"/>
  <c r="E189" i="12"/>
  <c r="D189" i="12"/>
  <c r="C189" i="12"/>
  <c r="L188" i="12"/>
  <c r="M188" i="12" s="1"/>
  <c r="J188" i="12"/>
  <c r="K188" i="12" s="1"/>
  <c r="H188" i="12"/>
  <c r="G188" i="12"/>
  <c r="F188" i="12"/>
  <c r="E188" i="12"/>
  <c r="D188" i="12"/>
  <c r="C188" i="12"/>
  <c r="L187" i="12"/>
  <c r="M187" i="12" s="1"/>
  <c r="J187" i="12"/>
  <c r="K187" i="12" s="1"/>
  <c r="H187" i="12"/>
  <c r="G187" i="12"/>
  <c r="F187" i="12"/>
  <c r="E187" i="12"/>
  <c r="D187" i="12"/>
  <c r="C187" i="12"/>
  <c r="L186" i="12"/>
  <c r="M186" i="12" s="1"/>
  <c r="J186" i="12"/>
  <c r="K186" i="12" s="1"/>
  <c r="H186" i="12"/>
  <c r="G186" i="12"/>
  <c r="F186" i="12"/>
  <c r="E186" i="12"/>
  <c r="D186" i="12"/>
  <c r="C186" i="12"/>
  <c r="L185" i="12"/>
  <c r="M185" i="12" s="1"/>
  <c r="J185" i="12"/>
  <c r="K185" i="12" s="1"/>
  <c r="H185" i="12"/>
  <c r="G185" i="12"/>
  <c r="F185" i="12"/>
  <c r="E185" i="12"/>
  <c r="D185" i="12"/>
  <c r="C185" i="12"/>
  <c r="L184" i="12"/>
  <c r="M184" i="12" s="1"/>
  <c r="J184" i="12"/>
  <c r="K184" i="12" s="1"/>
  <c r="H184" i="12"/>
  <c r="G184" i="12"/>
  <c r="F184" i="12"/>
  <c r="E184" i="12"/>
  <c r="D184" i="12"/>
  <c r="C184" i="12"/>
  <c r="L183" i="12"/>
  <c r="M183" i="12" s="1"/>
  <c r="J183" i="12"/>
  <c r="K183" i="12" s="1"/>
  <c r="H183" i="12"/>
  <c r="G183" i="12"/>
  <c r="F183" i="12"/>
  <c r="E183" i="12"/>
  <c r="D183" i="12"/>
  <c r="C183" i="12"/>
  <c r="L182" i="12"/>
  <c r="M182" i="12" s="1"/>
  <c r="J182" i="12"/>
  <c r="K182" i="12" s="1"/>
  <c r="H182" i="12"/>
  <c r="G182" i="12"/>
  <c r="F182" i="12"/>
  <c r="E182" i="12"/>
  <c r="D182" i="12"/>
  <c r="C182" i="12"/>
  <c r="L181" i="12"/>
  <c r="M181" i="12" s="1"/>
  <c r="J181" i="12"/>
  <c r="K181" i="12" s="1"/>
  <c r="H181" i="12"/>
  <c r="G181" i="12"/>
  <c r="F181" i="12"/>
  <c r="E181" i="12"/>
  <c r="D181" i="12"/>
  <c r="C181" i="12"/>
  <c r="L180" i="12"/>
  <c r="M180" i="12" s="1"/>
  <c r="J180" i="12"/>
  <c r="K180" i="12" s="1"/>
  <c r="H180" i="12"/>
  <c r="G180" i="12"/>
  <c r="F180" i="12"/>
  <c r="E180" i="12"/>
  <c r="D180" i="12"/>
  <c r="C180" i="12"/>
  <c r="L179" i="12"/>
  <c r="M179" i="12" s="1"/>
  <c r="J179" i="12"/>
  <c r="K179" i="12" s="1"/>
  <c r="H179" i="12"/>
  <c r="G179" i="12"/>
  <c r="F179" i="12"/>
  <c r="E179" i="12"/>
  <c r="D179" i="12"/>
  <c r="C179" i="12"/>
  <c r="L178" i="12"/>
  <c r="M178" i="12" s="1"/>
  <c r="J178" i="12"/>
  <c r="K178" i="12" s="1"/>
  <c r="H178" i="12"/>
  <c r="G178" i="12"/>
  <c r="F178" i="12"/>
  <c r="E178" i="12"/>
  <c r="D178" i="12"/>
  <c r="C178" i="12"/>
  <c r="L177" i="12"/>
  <c r="M177" i="12" s="1"/>
  <c r="J177" i="12"/>
  <c r="K177" i="12" s="1"/>
  <c r="H177" i="12"/>
  <c r="G177" i="12"/>
  <c r="F177" i="12"/>
  <c r="E177" i="12"/>
  <c r="D177" i="12"/>
  <c r="C177" i="12"/>
  <c r="L176" i="12"/>
  <c r="M176" i="12" s="1"/>
  <c r="J176" i="12"/>
  <c r="K176" i="12" s="1"/>
  <c r="H176" i="12"/>
  <c r="G176" i="12"/>
  <c r="F176" i="12"/>
  <c r="E176" i="12"/>
  <c r="D176" i="12"/>
  <c r="C176" i="12"/>
  <c r="L175" i="12"/>
  <c r="M175" i="12" s="1"/>
  <c r="J175" i="12"/>
  <c r="K175" i="12" s="1"/>
  <c r="H175" i="12"/>
  <c r="G175" i="12"/>
  <c r="F175" i="12"/>
  <c r="E175" i="12"/>
  <c r="D175" i="12"/>
  <c r="C175" i="12"/>
  <c r="L174" i="12"/>
  <c r="M174" i="12" s="1"/>
  <c r="J174" i="12"/>
  <c r="K174" i="12" s="1"/>
  <c r="H174" i="12"/>
  <c r="G174" i="12"/>
  <c r="F174" i="12"/>
  <c r="E174" i="12"/>
  <c r="D174" i="12"/>
  <c r="C174" i="12"/>
  <c r="L173" i="12"/>
  <c r="M173" i="12" s="1"/>
  <c r="J173" i="12"/>
  <c r="K173" i="12" s="1"/>
  <c r="H173" i="12"/>
  <c r="G173" i="12"/>
  <c r="F173" i="12"/>
  <c r="E173" i="12"/>
  <c r="D173" i="12"/>
  <c r="C173" i="12"/>
  <c r="L172" i="12"/>
  <c r="M172" i="12" s="1"/>
  <c r="J172" i="12"/>
  <c r="K172" i="12" s="1"/>
  <c r="H172" i="12"/>
  <c r="G172" i="12"/>
  <c r="F172" i="12"/>
  <c r="E172" i="12"/>
  <c r="D172" i="12"/>
  <c r="C172" i="12"/>
  <c r="L171" i="12"/>
  <c r="M171" i="12" s="1"/>
  <c r="J171" i="12"/>
  <c r="K171" i="12" s="1"/>
  <c r="H171" i="12"/>
  <c r="G171" i="12"/>
  <c r="F171" i="12"/>
  <c r="E171" i="12"/>
  <c r="D171" i="12"/>
  <c r="C171" i="12"/>
  <c r="L170" i="12"/>
  <c r="M170" i="12" s="1"/>
  <c r="J170" i="12"/>
  <c r="K170" i="12" s="1"/>
  <c r="H170" i="12"/>
  <c r="G170" i="12"/>
  <c r="F170" i="12"/>
  <c r="E170" i="12"/>
  <c r="D170" i="12"/>
  <c r="C170" i="12"/>
  <c r="L169" i="12"/>
  <c r="M169" i="12" s="1"/>
  <c r="J169" i="12"/>
  <c r="K169" i="12" s="1"/>
  <c r="H169" i="12"/>
  <c r="G169" i="12"/>
  <c r="F169" i="12"/>
  <c r="E169" i="12"/>
  <c r="D169" i="12"/>
  <c r="C169" i="12"/>
  <c r="L168" i="12"/>
  <c r="M168" i="12" s="1"/>
  <c r="G168" i="12"/>
  <c r="F168" i="12"/>
  <c r="E168" i="12"/>
  <c r="D168" i="12"/>
  <c r="C168" i="12"/>
  <c r="H168" i="12"/>
  <c r="J168" i="12"/>
  <c r="K168" i="12" s="1"/>
  <c r="L167" i="12"/>
  <c r="M167" i="12" s="1"/>
  <c r="J167" i="12"/>
  <c r="K167" i="12" s="1"/>
  <c r="H167" i="12"/>
  <c r="F167" i="12"/>
  <c r="E167" i="12"/>
  <c r="D167" i="12"/>
  <c r="C167" i="12"/>
  <c r="G167" i="12"/>
  <c r="F166" i="12"/>
  <c r="E166" i="12"/>
  <c r="L166" i="12"/>
  <c r="M166" i="12" s="1"/>
  <c r="J166" i="12"/>
  <c r="K166" i="12" s="1"/>
  <c r="H166" i="12"/>
  <c r="G166" i="12"/>
  <c r="D166" i="12"/>
  <c r="C166" i="12"/>
  <c r="F165" i="12"/>
  <c r="D165" i="12"/>
  <c r="C165" i="12"/>
  <c r="L165" i="12"/>
  <c r="M165" i="12" s="1"/>
  <c r="E165" i="12"/>
  <c r="J165" i="12"/>
  <c r="K165" i="12" s="1"/>
  <c r="H165" i="12"/>
  <c r="G165" i="12"/>
  <c r="L164" i="12"/>
  <c r="M164" i="12" s="1"/>
  <c r="E164" i="12"/>
  <c r="F164" i="12"/>
  <c r="D164" i="12"/>
  <c r="H164" i="12"/>
  <c r="J164" i="12"/>
  <c r="K164" i="12" s="1"/>
  <c r="C164" i="12"/>
  <c r="G164" i="12"/>
  <c r="F163" i="12"/>
  <c r="J163" i="12"/>
  <c r="K163" i="12" s="1"/>
  <c r="L163" i="12"/>
  <c r="M163" i="12" s="1"/>
  <c r="E163" i="12"/>
  <c r="C163" i="12"/>
  <c r="G163" i="12"/>
  <c r="D163" i="12"/>
  <c r="H163" i="12"/>
  <c r="E162" i="12"/>
  <c r="L162" i="12"/>
  <c r="M162" i="12" s="1"/>
  <c r="J162" i="12"/>
  <c r="K162" i="12" s="1"/>
  <c r="F162" i="12"/>
  <c r="G162" i="12"/>
  <c r="D162" i="12"/>
  <c r="C162" i="12"/>
  <c r="H162" i="12"/>
  <c r="F160" i="12"/>
  <c r="L160" i="12"/>
  <c r="M160" i="12" s="1"/>
  <c r="J160" i="12"/>
  <c r="K160" i="12" s="1"/>
  <c r="H160" i="12"/>
  <c r="G160" i="12"/>
  <c r="E160" i="12"/>
  <c r="D160" i="12"/>
  <c r="C160" i="12"/>
  <c r="G159" i="12"/>
  <c r="L159" i="12"/>
  <c r="M159" i="12" s="1"/>
  <c r="J159" i="12"/>
  <c r="K159" i="12" s="1"/>
  <c r="F159" i="12"/>
  <c r="C159" i="12"/>
  <c r="D159" i="12"/>
  <c r="E159" i="12"/>
  <c r="H159" i="12"/>
  <c r="H158" i="12"/>
  <c r="J158" i="12"/>
  <c r="K158" i="12" s="1"/>
  <c r="L158" i="12"/>
  <c r="M158" i="12" s="1"/>
  <c r="C158" i="12"/>
  <c r="D158" i="12"/>
  <c r="E158" i="12"/>
  <c r="F158" i="12"/>
  <c r="G158" i="12"/>
  <c r="C157" i="12"/>
  <c r="D157" i="12"/>
  <c r="E157" i="12"/>
  <c r="F157" i="12"/>
  <c r="G157" i="12"/>
  <c r="H157" i="12"/>
  <c r="J157" i="12"/>
  <c r="K157" i="12" s="1"/>
  <c r="L157" i="12"/>
  <c r="M157" i="12" s="1"/>
  <c r="L156" i="12"/>
  <c r="M156" i="12" s="1"/>
  <c r="J156" i="12"/>
  <c r="K156" i="12" s="1"/>
  <c r="G156" i="12"/>
  <c r="H156" i="12"/>
  <c r="F156" i="12"/>
  <c r="E156" i="12"/>
  <c r="D156" i="12"/>
  <c r="C156" i="12"/>
  <c r="L155" i="12"/>
  <c r="M155" i="12" s="1"/>
  <c r="C155" i="12"/>
  <c r="D155" i="12"/>
  <c r="E155" i="12"/>
  <c r="F155" i="12"/>
  <c r="G155" i="12"/>
  <c r="H155" i="12"/>
  <c r="J155" i="12"/>
  <c r="K155" i="12" s="1"/>
  <c r="D154" i="12"/>
  <c r="L154" i="12"/>
  <c r="M154" i="12" s="1"/>
  <c r="J154" i="12"/>
  <c r="K154" i="12" s="1"/>
  <c r="H154" i="12"/>
  <c r="G154" i="12"/>
  <c r="F154" i="12"/>
  <c r="E154" i="12"/>
  <c r="C154" i="12"/>
  <c r="D153" i="12"/>
  <c r="L153" i="12"/>
  <c r="M153" i="12" s="1"/>
  <c r="J153" i="12"/>
  <c r="K153" i="12" s="1"/>
  <c r="H153" i="12"/>
  <c r="G153" i="12"/>
  <c r="F153" i="12"/>
  <c r="E153" i="12"/>
  <c r="C153" i="12"/>
  <c r="L152" i="12"/>
  <c r="M152" i="12" s="1"/>
  <c r="C152" i="12"/>
  <c r="D152" i="12"/>
  <c r="E152" i="12"/>
  <c r="F152" i="12"/>
  <c r="G152" i="12"/>
  <c r="H152" i="12"/>
  <c r="J152" i="12"/>
  <c r="K152" i="12" s="1"/>
  <c r="D151" i="12"/>
  <c r="E151" i="12"/>
  <c r="F151" i="12"/>
  <c r="G151" i="12"/>
  <c r="C151" i="12"/>
  <c r="H151" i="12"/>
  <c r="J151" i="12"/>
  <c r="K151" i="12" s="1"/>
  <c r="L151" i="12"/>
  <c r="M151" i="12" s="1"/>
  <c r="J150" i="12"/>
  <c r="K150" i="12" s="1"/>
  <c r="L150" i="12"/>
  <c r="M150" i="12" s="1"/>
  <c r="F150" i="12"/>
  <c r="E150" i="12"/>
  <c r="D150" i="12"/>
  <c r="C150" i="12"/>
  <c r="G150" i="12"/>
  <c r="H150" i="12"/>
  <c r="L149" i="12"/>
  <c r="M149" i="12" s="1"/>
  <c r="J149" i="12"/>
  <c r="K149" i="12" s="1"/>
  <c r="H149" i="12"/>
  <c r="G149" i="12"/>
  <c r="F149" i="12"/>
  <c r="E149" i="12"/>
  <c r="D149" i="12"/>
  <c r="C149" i="12"/>
  <c r="L148" i="12"/>
  <c r="M148" i="12" s="1"/>
  <c r="J148" i="12"/>
  <c r="K148" i="12" s="1"/>
  <c r="G148" i="12"/>
  <c r="F148" i="12"/>
  <c r="E148" i="12"/>
  <c r="D148" i="12"/>
  <c r="C148" i="12"/>
  <c r="H148" i="12"/>
  <c r="G147" i="12"/>
  <c r="F147" i="12"/>
  <c r="E147" i="12"/>
  <c r="D147" i="12"/>
  <c r="C147" i="12"/>
  <c r="L147" i="12"/>
  <c r="M147" i="12" s="1"/>
  <c r="J147" i="12"/>
  <c r="K147" i="12" s="1"/>
  <c r="H147" i="12"/>
  <c r="D146" i="12"/>
  <c r="E146" i="12"/>
  <c r="F146" i="12"/>
  <c r="G146" i="12"/>
  <c r="H146" i="12"/>
  <c r="J146" i="12"/>
  <c r="K146" i="12" s="1"/>
  <c r="L146" i="12"/>
  <c r="M146" i="12" s="1"/>
  <c r="C146" i="12"/>
  <c r="J145" i="12"/>
  <c r="K145" i="12" s="1"/>
  <c r="H145" i="12"/>
  <c r="G145" i="12"/>
  <c r="F145" i="12"/>
  <c r="E145" i="12"/>
  <c r="D145" i="12"/>
  <c r="L145" i="12"/>
  <c r="M145" i="12" s="1"/>
  <c r="C145" i="12"/>
  <c r="C144" i="12"/>
  <c r="L144" i="12"/>
  <c r="M144" i="12" s="1"/>
  <c r="J144" i="12"/>
  <c r="K144" i="12" s="1"/>
  <c r="H144" i="12"/>
  <c r="G144" i="12"/>
  <c r="F144" i="12"/>
  <c r="E144" i="12"/>
  <c r="D144" i="12"/>
  <c r="F143" i="12"/>
  <c r="C143" i="12"/>
  <c r="D143" i="12"/>
  <c r="E143" i="12"/>
  <c r="L143" i="12"/>
  <c r="M143" i="12" s="1"/>
  <c r="G143" i="12"/>
  <c r="H143" i="12"/>
  <c r="J143" i="12"/>
  <c r="K143" i="12" s="1"/>
  <c r="J142" i="12"/>
  <c r="K142" i="12" s="1"/>
  <c r="H142" i="12"/>
  <c r="F142" i="12"/>
  <c r="E142" i="12"/>
  <c r="D142" i="12"/>
  <c r="C142" i="12"/>
  <c r="L142" i="12"/>
  <c r="M142" i="12" s="1"/>
  <c r="G142" i="12"/>
  <c r="L141" i="12"/>
  <c r="M141" i="12" s="1"/>
  <c r="J141" i="12"/>
  <c r="K141" i="12" s="1"/>
  <c r="H141" i="12"/>
  <c r="G141" i="12"/>
  <c r="F141" i="12"/>
  <c r="E141" i="12"/>
  <c r="D141" i="12"/>
  <c r="C141" i="12"/>
  <c r="H140" i="12"/>
  <c r="J140" i="12"/>
  <c r="K140" i="12" s="1"/>
  <c r="C140" i="12"/>
  <c r="D140" i="12"/>
  <c r="E140" i="12"/>
  <c r="F140" i="12"/>
  <c r="G140" i="12"/>
  <c r="L140" i="12"/>
  <c r="M140" i="12" s="1"/>
  <c r="C139" i="12"/>
  <c r="L139" i="12"/>
  <c r="M139" i="12" s="1"/>
  <c r="J139" i="12"/>
  <c r="K139" i="12" s="1"/>
  <c r="H139" i="12"/>
  <c r="G139" i="12"/>
  <c r="F139" i="12"/>
  <c r="E139" i="12"/>
  <c r="D139" i="12"/>
  <c r="C138" i="12"/>
  <c r="J138" i="12"/>
  <c r="K138" i="12" s="1"/>
  <c r="E138" i="12"/>
  <c r="H138" i="12"/>
  <c r="G138" i="12"/>
  <c r="L138" i="12"/>
  <c r="M138" i="12" s="1"/>
  <c r="F138" i="12"/>
  <c r="D138" i="12"/>
  <c r="L137" i="12"/>
  <c r="M137" i="12" s="1"/>
  <c r="G137" i="12"/>
  <c r="F137" i="12"/>
  <c r="J137" i="12"/>
  <c r="K137" i="12" s="1"/>
  <c r="E137" i="12"/>
  <c r="D137" i="12"/>
  <c r="C137" i="12"/>
  <c r="H137" i="12"/>
  <c r="H136" i="12"/>
  <c r="G136" i="12"/>
  <c r="L136" i="12"/>
  <c r="M136" i="12" s="1"/>
  <c r="J136" i="12"/>
  <c r="K136" i="12" s="1"/>
  <c r="F136" i="12"/>
  <c r="E136" i="12"/>
  <c r="D136" i="12"/>
  <c r="C136" i="12"/>
  <c r="C135" i="12"/>
  <c r="E135" i="12"/>
  <c r="F135" i="12"/>
  <c r="G135" i="12"/>
  <c r="H135" i="12"/>
  <c r="J135" i="12"/>
  <c r="K135" i="12" s="1"/>
  <c r="L135" i="12"/>
  <c r="M135" i="12" s="1"/>
  <c r="D135" i="12"/>
  <c r="L134" i="12"/>
  <c r="M134" i="12" s="1"/>
  <c r="J134" i="12"/>
  <c r="K134" i="12" s="1"/>
  <c r="H134" i="12"/>
  <c r="G134" i="12"/>
  <c r="F134" i="12"/>
  <c r="E134" i="12"/>
  <c r="D134" i="12"/>
  <c r="C134" i="12"/>
  <c r="E133" i="12"/>
  <c r="F133" i="12"/>
  <c r="G133" i="12"/>
  <c r="H133" i="12"/>
  <c r="J133" i="12"/>
  <c r="K133" i="12" s="1"/>
  <c r="C133" i="12"/>
  <c r="D133" i="12"/>
  <c r="L133" i="12"/>
  <c r="M133" i="12" s="1"/>
  <c r="J132" i="12"/>
  <c r="K132" i="12" s="1"/>
  <c r="H132" i="12"/>
  <c r="G132" i="12"/>
  <c r="F132" i="12"/>
  <c r="E132" i="12"/>
  <c r="D132" i="12"/>
  <c r="C132" i="12"/>
  <c r="L132" i="12"/>
  <c r="M132" i="12" s="1"/>
  <c r="G131" i="12"/>
  <c r="F131" i="12"/>
  <c r="E131" i="12"/>
  <c r="D131" i="12"/>
  <c r="C131" i="12"/>
  <c r="J131" i="12"/>
  <c r="K131" i="12" s="1"/>
  <c r="L131" i="12"/>
  <c r="M131" i="12" s="1"/>
  <c r="H131" i="12"/>
  <c r="J130" i="12"/>
  <c r="K130" i="12" s="1"/>
  <c r="L130" i="12"/>
  <c r="M130" i="12" s="1"/>
  <c r="H130" i="12"/>
  <c r="G130" i="12"/>
  <c r="F130" i="12"/>
  <c r="E130" i="12"/>
  <c r="D130" i="12"/>
  <c r="C130" i="12"/>
  <c r="D129" i="12"/>
  <c r="E129" i="12"/>
  <c r="F129" i="12"/>
  <c r="G129" i="12"/>
  <c r="H129" i="12"/>
  <c r="J129" i="12"/>
  <c r="K129" i="12" s="1"/>
  <c r="C129" i="12"/>
  <c r="L129" i="12"/>
  <c r="M129" i="12" s="1"/>
  <c r="J128" i="12"/>
  <c r="K128" i="12" s="1"/>
  <c r="H128" i="12"/>
  <c r="G128" i="12"/>
  <c r="F128" i="12"/>
  <c r="E128" i="12"/>
  <c r="D128" i="12"/>
  <c r="C128" i="12"/>
  <c r="L128" i="12"/>
  <c r="M128" i="12" s="1"/>
  <c r="G127" i="12"/>
  <c r="H127" i="12"/>
  <c r="J127" i="12"/>
  <c r="K127" i="12" s="1"/>
  <c r="L127" i="12"/>
  <c r="M127" i="12" s="1"/>
  <c r="F127" i="12"/>
  <c r="C127" i="12"/>
  <c r="D127" i="12"/>
  <c r="E127" i="12"/>
  <c r="C126" i="12"/>
  <c r="L126" i="12"/>
  <c r="M126" i="12" s="1"/>
  <c r="J126" i="12"/>
  <c r="K126" i="12" s="1"/>
  <c r="H126" i="12"/>
  <c r="E126" i="12"/>
  <c r="G126" i="12"/>
  <c r="F126" i="12"/>
  <c r="D126" i="12"/>
  <c r="D125" i="12"/>
  <c r="H125" i="12"/>
  <c r="C125" i="12"/>
  <c r="L125" i="12"/>
  <c r="M125" i="12" s="1"/>
  <c r="J125" i="12"/>
  <c r="K125" i="12" s="1"/>
  <c r="G125" i="12"/>
  <c r="F125" i="12"/>
  <c r="E125" i="12"/>
  <c r="E124" i="12"/>
  <c r="F124" i="12"/>
  <c r="C124" i="12"/>
  <c r="D124" i="12"/>
  <c r="G124" i="12"/>
  <c r="H124" i="12"/>
  <c r="J124" i="12"/>
  <c r="K124" i="12" s="1"/>
  <c r="L124" i="12"/>
  <c r="M124" i="12" s="1"/>
  <c r="F123" i="12"/>
  <c r="C123" i="12"/>
  <c r="D123" i="12"/>
  <c r="E123" i="12"/>
  <c r="G123" i="12"/>
  <c r="H123" i="12"/>
  <c r="J123" i="12"/>
  <c r="K123" i="12" s="1"/>
  <c r="L123" i="12"/>
  <c r="M123" i="12" s="1"/>
  <c r="F122" i="12"/>
  <c r="J122" i="12"/>
  <c r="K122" i="12" s="1"/>
  <c r="L122" i="12"/>
  <c r="M122" i="12" s="1"/>
  <c r="H122" i="12"/>
  <c r="E122" i="12"/>
  <c r="D122" i="12"/>
  <c r="C122" i="12"/>
  <c r="G122" i="12"/>
  <c r="C121" i="12"/>
  <c r="E121" i="12"/>
  <c r="D121" i="12"/>
  <c r="L121" i="12"/>
  <c r="M121" i="12" s="1"/>
  <c r="J121" i="12"/>
  <c r="K121" i="12" s="1"/>
  <c r="H121" i="12"/>
  <c r="G121" i="12"/>
  <c r="F121" i="12"/>
  <c r="C120" i="12"/>
  <c r="J120" i="12"/>
  <c r="K120" i="12" s="1"/>
  <c r="H120" i="12"/>
  <c r="G120" i="12"/>
  <c r="F120" i="12"/>
  <c r="E120" i="12"/>
  <c r="D120" i="12"/>
  <c r="L120" i="12"/>
  <c r="M120" i="12" s="1"/>
  <c r="D119" i="12"/>
  <c r="E119" i="12"/>
  <c r="F119" i="12"/>
  <c r="C119" i="12"/>
  <c r="L119" i="12"/>
  <c r="M119" i="12" s="1"/>
  <c r="J119" i="12"/>
  <c r="K119" i="12" s="1"/>
  <c r="H119" i="12"/>
  <c r="G119" i="12"/>
  <c r="F118" i="12"/>
  <c r="E118" i="12"/>
  <c r="D118" i="12"/>
  <c r="C118" i="12"/>
  <c r="H118" i="12"/>
  <c r="L118" i="12"/>
  <c r="M118" i="12" s="1"/>
  <c r="J118" i="12"/>
  <c r="K118" i="12" s="1"/>
  <c r="G118" i="12"/>
  <c r="G117" i="12"/>
  <c r="J117" i="12"/>
  <c r="K117" i="12" s="1"/>
  <c r="L117" i="12"/>
  <c r="M117" i="12" s="1"/>
  <c r="F117" i="12"/>
  <c r="E117" i="12"/>
  <c r="D117" i="12"/>
  <c r="C117" i="12"/>
  <c r="H117" i="12"/>
  <c r="L116" i="12"/>
  <c r="M116" i="12" s="1"/>
  <c r="C116" i="12"/>
  <c r="J116" i="12"/>
  <c r="K116" i="12" s="1"/>
  <c r="H116" i="12"/>
  <c r="G116" i="12"/>
  <c r="F116" i="12"/>
  <c r="E116" i="12"/>
  <c r="D116" i="12"/>
  <c r="G115" i="12"/>
  <c r="H115" i="12"/>
  <c r="J115" i="12"/>
  <c r="K115" i="12" s="1"/>
  <c r="L115" i="12"/>
  <c r="M115" i="12" s="1"/>
  <c r="C115" i="12"/>
  <c r="D115" i="12"/>
  <c r="E115" i="12"/>
  <c r="F115" i="12"/>
  <c r="H114" i="12"/>
  <c r="G114" i="12"/>
  <c r="F114" i="12"/>
  <c r="E114" i="12"/>
  <c r="L114" i="12"/>
  <c r="M114" i="12" s="1"/>
  <c r="C114" i="12"/>
  <c r="D114" i="12"/>
  <c r="J114" i="12"/>
  <c r="K114" i="12" s="1"/>
  <c r="C113" i="12"/>
  <c r="D113" i="12"/>
  <c r="E113" i="12"/>
  <c r="F113" i="12"/>
  <c r="G113" i="12"/>
  <c r="H113" i="12"/>
  <c r="J113" i="12"/>
  <c r="K113" i="12" s="1"/>
  <c r="L113" i="12"/>
  <c r="M113" i="12" s="1"/>
  <c r="J112" i="12"/>
  <c r="K112" i="12" s="1"/>
  <c r="H112" i="12"/>
  <c r="G112" i="12"/>
  <c r="F112" i="12"/>
  <c r="E112" i="12"/>
  <c r="D112" i="12"/>
  <c r="C112" i="12"/>
  <c r="L112" i="12"/>
  <c r="M112" i="12" s="1"/>
  <c r="C111" i="12"/>
  <c r="L111" i="12"/>
  <c r="M111" i="12" s="1"/>
  <c r="J111" i="12"/>
  <c r="K111" i="12" s="1"/>
  <c r="H111" i="12"/>
  <c r="G111" i="12"/>
  <c r="F111" i="12"/>
  <c r="E111" i="12"/>
  <c r="D111" i="12"/>
  <c r="J110" i="12"/>
  <c r="K110" i="12" s="1"/>
  <c r="C110" i="12"/>
  <c r="D110" i="12"/>
  <c r="E110" i="12"/>
  <c r="F110" i="12"/>
  <c r="G110" i="12"/>
  <c r="H110" i="12"/>
  <c r="L110" i="12"/>
  <c r="M110" i="12" s="1"/>
  <c r="E109" i="12"/>
  <c r="G109" i="12"/>
  <c r="H109" i="12"/>
  <c r="J109" i="12"/>
  <c r="K109" i="12" s="1"/>
  <c r="F109" i="12"/>
  <c r="L109" i="12"/>
  <c r="M109" i="12" s="1"/>
  <c r="C109" i="12"/>
  <c r="D109" i="12"/>
  <c r="D108" i="12"/>
  <c r="C108" i="12"/>
  <c r="E108" i="12"/>
  <c r="F108" i="12"/>
  <c r="G108" i="12"/>
  <c r="H108" i="12"/>
  <c r="J108" i="12"/>
  <c r="K108" i="12" s="1"/>
  <c r="L108" i="12"/>
  <c r="M108" i="12" s="1"/>
  <c r="L107" i="12"/>
  <c r="M107" i="12" s="1"/>
  <c r="E107" i="12"/>
  <c r="D107" i="12"/>
  <c r="J107" i="12"/>
  <c r="K107" i="12" s="1"/>
  <c r="H107" i="12"/>
  <c r="C107" i="12"/>
  <c r="G107" i="12"/>
  <c r="F107" i="12"/>
  <c r="D106" i="12"/>
  <c r="E106" i="12"/>
  <c r="L106" i="12"/>
  <c r="M106" i="12" s="1"/>
  <c r="F106" i="12"/>
  <c r="G106" i="12"/>
  <c r="H106" i="12"/>
  <c r="J106" i="12"/>
  <c r="K106" i="12" s="1"/>
  <c r="C106" i="12"/>
  <c r="E105" i="12"/>
  <c r="L105" i="12"/>
  <c r="M105" i="12" s="1"/>
  <c r="C105" i="12"/>
  <c r="D105" i="12"/>
  <c r="F105" i="12"/>
  <c r="H105" i="12"/>
  <c r="G105" i="12"/>
  <c r="J105" i="12"/>
  <c r="K105" i="12" s="1"/>
  <c r="C104" i="12"/>
  <c r="E104" i="12"/>
  <c r="F104" i="12"/>
  <c r="L104" i="12"/>
  <c r="M104" i="12" s="1"/>
  <c r="J104" i="12"/>
  <c r="K104" i="12" s="1"/>
  <c r="H104" i="12"/>
  <c r="D104" i="12"/>
  <c r="G104" i="12"/>
  <c r="L103" i="12"/>
  <c r="M103" i="12" s="1"/>
  <c r="F103" i="12"/>
  <c r="H103" i="12"/>
  <c r="G103" i="12"/>
  <c r="E103" i="12"/>
  <c r="C103" i="12"/>
  <c r="J103" i="12"/>
  <c r="K103" i="12" s="1"/>
  <c r="D103" i="12"/>
  <c r="D102" i="12"/>
  <c r="E102" i="12"/>
  <c r="F102" i="12"/>
  <c r="G102" i="12"/>
  <c r="H102" i="12"/>
  <c r="J102" i="12"/>
  <c r="K102" i="12" s="1"/>
  <c r="C102" i="12"/>
  <c r="L102" i="12"/>
  <c r="M102" i="12" s="1"/>
  <c r="J101" i="12"/>
  <c r="K101" i="12" s="1"/>
  <c r="F101" i="12"/>
  <c r="H101" i="12"/>
  <c r="G101" i="12"/>
  <c r="E101" i="12"/>
  <c r="D101" i="12"/>
  <c r="C101" i="12"/>
  <c r="L101" i="12"/>
  <c r="M101" i="12" s="1"/>
  <c r="J100" i="12"/>
  <c r="K100" i="12" s="1"/>
  <c r="H100" i="12"/>
  <c r="G100" i="12"/>
  <c r="F100" i="12"/>
  <c r="E100" i="12"/>
  <c r="D100" i="12"/>
  <c r="C100" i="12"/>
  <c r="L100" i="12"/>
  <c r="M100" i="12" s="1"/>
  <c r="L99" i="12"/>
  <c r="M99" i="12" s="1"/>
  <c r="J99" i="12"/>
  <c r="K99" i="12" s="1"/>
  <c r="H99" i="12"/>
  <c r="G99" i="12"/>
  <c r="F99" i="12"/>
  <c r="E99" i="12"/>
  <c r="D99" i="12"/>
  <c r="C99" i="12"/>
  <c r="F98" i="12"/>
  <c r="L98" i="12"/>
  <c r="M98" i="12" s="1"/>
  <c r="J98" i="12"/>
  <c r="K98" i="12" s="1"/>
  <c r="H98" i="12"/>
  <c r="E98" i="12"/>
  <c r="D98" i="12"/>
  <c r="C98" i="12"/>
  <c r="G98" i="12"/>
  <c r="C97" i="12"/>
  <c r="D97" i="12"/>
  <c r="J97" i="12"/>
  <c r="K97" i="12" s="1"/>
  <c r="H97" i="12"/>
  <c r="G97" i="12"/>
  <c r="L97" i="12"/>
  <c r="M97" i="12" s="1"/>
  <c r="F97" i="12"/>
  <c r="E97" i="12"/>
  <c r="L95" i="12"/>
  <c r="M95" i="12" s="1"/>
  <c r="J95" i="12"/>
  <c r="K95" i="12" s="1"/>
  <c r="H95" i="12"/>
  <c r="G95" i="12"/>
  <c r="F95" i="12"/>
  <c r="E95" i="12"/>
  <c r="D95" i="12"/>
  <c r="C95" i="12"/>
  <c r="C94" i="12"/>
  <c r="D94" i="12"/>
  <c r="H94" i="12"/>
  <c r="E94" i="12"/>
  <c r="F94" i="12"/>
  <c r="G94" i="12"/>
  <c r="L94" i="12"/>
  <c r="M94" i="12" s="1"/>
  <c r="J94" i="12"/>
  <c r="K94" i="12" s="1"/>
  <c r="H93" i="12"/>
  <c r="J93" i="12"/>
  <c r="K93" i="12" s="1"/>
  <c r="L93" i="12"/>
  <c r="M93" i="12" s="1"/>
  <c r="G93" i="12"/>
  <c r="E93" i="12"/>
  <c r="D93" i="12"/>
  <c r="C93" i="12"/>
  <c r="F93" i="12"/>
  <c r="L92" i="12"/>
  <c r="M92" i="12" s="1"/>
  <c r="J92" i="12"/>
  <c r="K92" i="12" s="1"/>
  <c r="H92" i="12"/>
  <c r="G92" i="12"/>
  <c r="F92" i="12"/>
  <c r="E92" i="12"/>
  <c r="D92" i="12"/>
  <c r="C92" i="12"/>
  <c r="G91" i="12"/>
  <c r="H91" i="12"/>
  <c r="J91" i="12"/>
  <c r="K91" i="12" s="1"/>
  <c r="D91" i="12"/>
  <c r="L91" i="12"/>
  <c r="M91" i="12" s="1"/>
  <c r="C91" i="12"/>
  <c r="E91" i="12"/>
  <c r="F91" i="12"/>
  <c r="C90" i="12"/>
  <c r="D90" i="12"/>
  <c r="E90" i="12"/>
  <c r="F90" i="12"/>
  <c r="G90" i="12"/>
  <c r="H90" i="12"/>
  <c r="J90" i="12"/>
  <c r="K90" i="12" s="1"/>
  <c r="L90" i="12"/>
  <c r="M90" i="12" s="1"/>
  <c r="G89" i="12"/>
  <c r="L89" i="12"/>
  <c r="M89" i="12" s="1"/>
  <c r="J89" i="12"/>
  <c r="K89" i="12" s="1"/>
  <c r="H89" i="12"/>
  <c r="F89" i="12"/>
  <c r="E89" i="12"/>
  <c r="D89" i="12"/>
  <c r="C89" i="12"/>
  <c r="G88" i="12"/>
  <c r="D88" i="12"/>
  <c r="L88" i="12"/>
  <c r="M88" i="12" s="1"/>
  <c r="J88" i="12"/>
  <c r="K88" i="12" s="1"/>
  <c r="H88" i="12"/>
  <c r="F88" i="12"/>
  <c r="E88" i="12"/>
  <c r="C88" i="12"/>
  <c r="L87" i="12"/>
  <c r="M87" i="12" s="1"/>
  <c r="E87" i="12"/>
  <c r="D87" i="12"/>
  <c r="C87" i="12"/>
  <c r="J87" i="12"/>
  <c r="K87" i="12" s="1"/>
  <c r="H87" i="12"/>
  <c r="G87" i="12"/>
  <c r="F87" i="12"/>
  <c r="E86" i="12"/>
  <c r="G86" i="12"/>
  <c r="H86" i="12"/>
  <c r="J86" i="12"/>
  <c r="K86" i="12" s="1"/>
  <c r="L86" i="12"/>
  <c r="M86" i="12" s="1"/>
  <c r="F86" i="12"/>
  <c r="D86" i="12"/>
  <c r="C86" i="12"/>
  <c r="J85" i="12"/>
  <c r="K85" i="12" s="1"/>
  <c r="H85" i="12"/>
  <c r="G85" i="12"/>
  <c r="F85" i="12"/>
  <c r="E85" i="12"/>
  <c r="D85" i="12"/>
  <c r="C85" i="12"/>
  <c r="L85" i="12"/>
  <c r="M85" i="12" s="1"/>
  <c r="G84" i="12"/>
  <c r="H84" i="12"/>
  <c r="J84" i="12"/>
  <c r="K84" i="12" s="1"/>
  <c r="L84" i="12"/>
  <c r="M84" i="12" s="1"/>
  <c r="C84" i="12"/>
  <c r="D84" i="12"/>
  <c r="E84" i="12"/>
  <c r="F84" i="12"/>
  <c r="H83" i="12"/>
  <c r="F83" i="12"/>
  <c r="G83" i="12"/>
  <c r="L83" i="12"/>
  <c r="M83" i="12" s="1"/>
  <c r="J83" i="12"/>
  <c r="K83" i="12" s="1"/>
  <c r="C83" i="12"/>
  <c r="E83" i="12"/>
  <c r="D83" i="12"/>
  <c r="E82" i="12"/>
  <c r="G82" i="12"/>
  <c r="J82" i="12"/>
  <c r="K82" i="12" s="1"/>
  <c r="L82" i="12"/>
  <c r="M82" i="12" s="1"/>
  <c r="C82" i="12"/>
  <c r="F82" i="12"/>
  <c r="H82" i="12"/>
  <c r="D82" i="12"/>
  <c r="D81" i="12"/>
  <c r="F81" i="12"/>
  <c r="G81" i="12"/>
  <c r="E81" i="12"/>
  <c r="H81" i="12"/>
  <c r="J81" i="12"/>
  <c r="K81" i="12" s="1"/>
  <c r="L81" i="12"/>
  <c r="M81" i="12" s="1"/>
  <c r="C81" i="12"/>
  <c r="E80" i="12"/>
  <c r="D80" i="12"/>
  <c r="C80" i="12"/>
  <c r="L80" i="12"/>
  <c r="M80" i="12" s="1"/>
  <c r="J80" i="12"/>
  <c r="K80" i="12" s="1"/>
  <c r="H80" i="12"/>
  <c r="G80" i="12"/>
  <c r="F80" i="12"/>
  <c r="D79" i="12"/>
  <c r="E79" i="12"/>
  <c r="F79" i="12"/>
  <c r="G79" i="12"/>
  <c r="H79" i="12"/>
  <c r="J79" i="12"/>
  <c r="K79" i="12" s="1"/>
  <c r="L79" i="12"/>
  <c r="M79" i="12" s="1"/>
  <c r="C79" i="12"/>
  <c r="L78" i="12"/>
  <c r="M78" i="12" s="1"/>
  <c r="J78" i="12"/>
  <c r="K78" i="12" s="1"/>
  <c r="H78" i="12"/>
  <c r="G78" i="12"/>
  <c r="F78" i="12"/>
  <c r="E78" i="12"/>
  <c r="D78" i="12"/>
  <c r="C78" i="12"/>
  <c r="L77" i="12"/>
  <c r="M77" i="12" s="1"/>
  <c r="J77" i="12"/>
  <c r="K77" i="12" s="1"/>
  <c r="H77" i="12"/>
  <c r="G77" i="12"/>
  <c r="F77" i="12"/>
  <c r="E77" i="12"/>
  <c r="D77" i="12"/>
  <c r="C77" i="12"/>
  <c r="L76" i="12"/>
  <c r="M76" i="12" s="1"/>
  <c r="J76" i="12"/>
  <c r="K76" i="12" s="1"/>
  <c r="H76" i="12"/>
  <c r="G76" i="12"/>
  <c r="F76" i="12"/>
  <c r="E76" i="12"/>
  <c r="D76" i="12"/>
  <c r="C76" i="12"/>
  <c r="L75" i="12"/>
  <c r="M75" i="12" s="1"/>
  <c r="J75" i="12"/>
  <c r="K75" i="12" s="1"/>
  <c r="H75" i="12"/>
  <c r="G75" i="12"/>
  <c r="F75" i="12"/>
  <c r="E75" i="12"/>
  <c r="D75" i="12"/>
  <c r="C75" i="12"/>
  <c r="L74" i="12"/>
  <c r="M74" i="12" s="1"/>
  <c r="J74" i="12"/>
  <c r="K74" i="12" s="1"/>
  <c r="H74" i="12"/>
  <c r="G74" i="12"/>
  <c r="F74" i="12"/>
  <c r="E74" i="12"/>
  <c r="D74" i="12"/>
  <c r="C74" i="12"/>
  <c r="L73" i="12"/>
  <c r="M73" i="12" s="1"/>
  <c r="J73" i="12"/>
  <c r="K73" i="12" s="1"/>
  <c r="H73" i="12"/>
  <c r="G73" i="12"/>
  <c r="F73" i="12"/>
  <c r="E73" i="12"/>
  <c r="D73" i="12"/>
  <c r="C73" i="12"/>
  <c r="L72" i="12"/>
  <c r="M72" i="12" s="1"/>
  <c r="J72" i="12"/>
  <c r="K72" i="12" s="1"/>
  <c r="H72" i="12"/>
  <c r="G72" i="12"/>
  <c r="F72" i="12"/>
  <c r="E72" i="12"/>
  <c r="D72" i="12"/>
  <c r="C72" i="12"/>
  <c r="L71" i="12"/>
  <c r="M71" i="12" s="1"/>
  <c r="J71" i="12"/>
  <c r="K71" i="12" s="1"/>
  <c r="H71" i="12"/>
  <c r="G71" i="12"/>
  <c r="F71" i="12"/>
  <c r="E71" i="12"/>
  <c r="D71" i="12"/>
  <c r="C71" i="12"/>
  <c r="L70" i="12"/>
  <c r="M70" i="12" s="1"/>
  <c r="J70" i="12"/>
  <c r="K70" i="12" s="1"/>
  <c r="H70" i="12"/>
  <c r="G70" i="12"/>
  <c r="F70" i="12"/>
  <c r="E70" i="12"/>
  <c r="D70" i="12"/>
  <c r="C70" i="12"/>
  <c r="L69" i="12"/>
  <c r="M69" i="12" s="1"/>
  <c r="J69" i="12"/>
  <c r="K69" i="12" s="1"/>
  <c r="H69" i="12"/>
  <c r="G69" i="12"/>
  <c r="F69" i="12"/>
  <c r="E69" i="12"/>
  <c r="D69" i="12"/>
  <c r="C69" i="12"/>
  <c r="L68" i="12"/>
  <c r="M68" i="12" s="1"/>
  <c r="J68" i="12"/>
  <c r="K68" i="12" s="1"/>
  <c r="H68" i="12"/>
  <c r="G68" i="12"/>
  <c r="F68" i="12"/>
  <c r="E68" i="12"/>
  <c r="D68" i="12"/>
  <c r="C68" i="12"/>
  <c r="L67" i="12"/>
  <c r="M67" i="12" s="1"/>
  <c r="J67" i="12"/>
  <c r="K67" i="12" s="1"/>
  <c r="H67" i="12"/>
  <c r="G67" i="12"/>
  <c r="F67" i="12"/>
  <c r="E67" i="12"/>
  <c r="D67" i="12"/>
  <c r="C67" i="12"/>
  <c r="J66" i="12"/>
  <c r="K66" i="12" s="1"/>
  <c r="L66" i="12"/>
  <c r="M66" i="12" s="1"/>
  <c r="H66" i="12"/>
  <c r="G66" i="12"/>
  <c r="F66" i="12"/>
  <c r="E66" i="12"/>
  <c r="D66" i="12"/>
  <c r="C66" i="12"/>
  <c r="H65" i="12"/>
  <c r="L65" i="12"/>
  <c r="M65" i="12" s="1"/>
  <c r="J65" i="12"/>
  <c r="K65" i="12" s="1"/>
  <c r="G65" i="12"/>
  <c r="F65" i="12"/>
  <c r="E65" i="12"/>
  <c r="D65" i="12"/>
  <c r="C65" i="12"/>
  <c r="L64" i="12"/>
  <c r="M64" i="12" s="1"/>
  <c r="J64" i="12"/>
  <c r="K64" i="12" s="1"/>
  <c r="H64" i="12"/>
  <c r="G64" i="12"/>
  <c r="F64" i="12"/>
  <c r="E64" i="12"/>
  <c r="D64" i="12"/>
  <c r="C64" i="12"/>
  <c r="L63" i="12"/>
  <c r="M63" i="12" s="1"/>
  <c r="J63" i="12"/>
  <c r="K63" i="12" s="1"/>
  <c r="H63" i="12"/>
  <c r="G63" i="12"/>
  <c r="F63" i="12"/>
  <c r="E63" i="12"/>
  <c r="D63" i="12"/>
  <c r="C63" i="12"/>
  <c r="C62" i="12"/>
  <c r="E62" i="12"/>
  <c r="L62" i="12"/>
  <c r="M62" i="12" s="1"/>
  <c r="J62" i="12"/>
  <c r="K62" i="12" s="1"/>
  <c r="H62" i="12"/>
  <c r="G62" i="12"/>
  <c r="F62" i="12"/>
  <c r="D62" i="12"/>
  <c r="E61" i="12"/>
  <c r="L61" i="12"/>
  <c r="M61" i="12" s="1"/>
  <c r="J61" i="12"/>
  <c r="K61" i="12" s="1"/>
  <c r="H61" i="12"/>
  <c r="G61" i="12"/>
  <c r="F61" i="12"/>
  <c r="D61" i="12"/>
  <c r="C61" i="12"/>
  <c r="L60" i="12"/>
  <c r="M60" i="12" s="1"/>
  <c r="J60" i="12"/>
  <c r="K60" i="12" s="1"/>
  <c r="H60" i="12"/>
  <c r="G60" i="12"/>
  <c r="F60" i="12"/>
  <c r="E60" i="12"/>
  <c r="D60" i="12"/>
  <c r="C60" i="12"/>
  <c r="L59" i="12"/>
  <c r="M59" i="12" s="1"/>
  <c r="J59" i="12"/>
  <c r="K59" i="12" s="1"/>
  <c r="H59" i="12"/>
  <c r="G59" i="12"/>
  <c r="F59" i="12"/>
  <c r="E59" i="12"/>
  <c r="D59" i="12"/>
  <c r="C59" i="12"/>
  <c r="F58" i="12"/>
  <c r="E58" i="12"/>
  <c r="D58" i="12"/>
  <c r="C58" i="12"/>
  <c r="J58" i="12"/>
  <c r="K58" i="12" s="1"/>
  <c r="H58" i="12"/>
  <c r="G58" i="12"/>
  <c r="L58" i="12"/>
  <c r="M58" i="12" s="1"/>
  <c r="E57" i="12"/>
  <c r="C57" i="12"/>
  <c r="D57" i="12"/>
  <c r="F57" i="12"/>
  <c r="G57" i="12"/>
  <c r="H57" i="12"/>
  <c r="J57" i="12"/>
  <c r="K57" i="12" s="1"/>
  <c r="L57" i="12"/>
  <c r="M57" i="12" s="1"/>
  <c r="L56" i="12"/>
  <c r="M56" i="12" s="1"/>
  <c r="J56" i="12"/>
  <c r="K56" i="12" s="1"/>
  <c r="H56" i="12"/>
  <c r="G56" i="12"/>
  <c r="F56" i="12"/>
  <c r="E56" i="12"/>
  <c r="D56" i="12"/>
  <c r="C56" i="12"/>
  <c r="F55" i="12"/>
  <c r="E55" i="12"/>
  <c r="D55" i="12"/>
  <c r="C55" i="12"/>
  <c r="L55" i="12"/>
  <c r="M55" i="12" s="1"/>
  <c r="J55" i="12"/>
  <c r="K55" i="12" s="1"/>
  <c r="H55" i="12"/>
  <c r="G55" i="12"/>
  <c r="D54" i="12"/>
  <c r="C54" i="12"/>
  <c r="E54" i="12"/>
  <c r="L54" i="12"/>
  <c r="M54" i="12" s="1"/>
  <c r="J54" i="12"/>
  <c r="K54" i="12" s="1"/>
  <c r="H54" i="12"/>
  <c r="F54" i="12"/>
  <c r="G54" i="12"/>
  <c r="L53" i="12"/>
  <c r="M53" i="12" s="1"/>
  <c r="J53" i="12"/>
  <c r="K53" i="12" s="1"/>
  <c r="H53" i="12"/>
  <c r="G53" i="12"/>
  <c r="F53" i="12"/>
  <c r="E53" i="12"/>
  <c r="D53" i="12"/>
  <c r="C53" i="12"/>
  <c r="H52" i="12"/>
  <c r="C52" i="12"/>
  <c r="G52" i="12"/>
  <c r="F52" i="12"/>
  <c r="E52" i="12"/>
  <c r="D52" i="12"/>
  <c r="J52" i="12"/>
  <c r="K52" i="12" s="1"/>
  <c r="L52" i="12"/>
  <c r="M52" i="12" s="1"/>
  <c r="G51" i="12"/>
  <c r="D51" i="12"/>
  <c r="C51" i="12"/>
  <c r="L51" i="12"/>
  <c r="M51" i="12" s="1"/>
  <c r="J51" i="12"/>
  <c r="K51" i="12" s="1"/>
  <c r="H51" i="12"/>
  <c r="F51" i="12"/>
  <c r="E51" i="12"/>
  <c r="D50" i="12"/>
  <c r="C50" i="12"/>
  <c r="J50" i="12"/>
  <c r="K50" i="12" s="1"/>
  <c r="G50" i="12"/>
  <c r="F50" i="12"/>
  <c r="E50" i="12"/>
  <c r="H50" i="12"/>
  <c r="L50" i="12"/>
  <c r="M50" i="12" s="1"/>
  <c r="L49" i="12"/>
  <c r="M49" i="12" s="1"/>
  <c r="J49" i="12"/>
  <c r="K49" i="12" s="1"/>
  <c r="H49" i="12"/>
  <c r="F49" i="12"/>
  <c r="E49" i="12"/>
  <c r="D49" i="12"/>
  <c r="C49" i="12"/>
  <c r="G49" i="12"/>
  <c r="F48" i="12"/>
  <c r="E48" i="12"/>
  <c r="D48" i="12"/>
  <c r="C48" i="12"/>
  <c r="L48" i="12"/>
  <c r="M48" i="12" s="1"/>
  <c r="J48" i="12"/>
  <c r="K48" i="12" s="1"/>
  <c r="H48" i="12"/>
  <c r="G48" i="12"/>
  <c r="C47" i="12"/>
  <c r="E47" i="12"/>
  <c r="F47" i="12"/>
  <c r="G47" i="12"/>
  <c r="D47" i="12"/>
  <c r="H47" i="12"/>
  <c r="J47" i="12"/>
  <c r="K47" i="12" s="1"/>
  <c r="L47" i="12"/>
  <c r="M47" i="12" s="1"/>
  <c r="F46" i="12"/>
  <c r="H46" i="12"/>
  <c r="J46" i="12"/>
  <c r="K46" i="12" s="1"/>
  <c r="L46" i="12"/>
  <c r="M46" i="12" s="1"/>
  <c r="G46" i="12"/>
  <c r="C46" i="12"/>
  <c r="D46" i="12"/>
  <c r="E46" i="12"/>
  <c r="L45" i="12"/>
  <c r="M45" i="12" s="1"/>
  <c r="J45" i="12"/>
  <c r="K45" i="12" s="1"/>
  <c r="G45" i="12"/>
  <c r="C45" i="12"/>
  <c r="F45" i="12"/>
  <c r="E45" i="12"/>
  <c r="D45" i="12"/>
  <c r="H45" i="12"/>
  <c r="C44" i="12"/>
  <c r="D44" i="12"/>
  <c r="F44" i="12"/>
  <c r="E44" i="12"/>
  <c r="G44" i="12"/>
  <c r="H44" i="12"/>
  <c r="J44" i="12"/>
  <c r="K44" i="12" s="1"/>
  <c r="L44" i="12"/>
  <c r="M44" i="12" s="1"/>
  <c r="E43" i="12"/>
  <c r="G43" i="12"/>
  <c r="F43" i="12"/>
  <c r="J43" i="12"/>
  <c r="K43" i="12" s="1"/>
  <c r="H43" i="12"/>
  <c r="D43" i="12"/>
  <c r="C43" i="12"/>
  <c r="L43" i="12"/>
  <c r="M43" i="12" s="1"/>
  <c r="H42" i="12"/>
  <c r="F42" i="12"/>
  <c r="C42" i="12"/>
  <c r="D42" i="12"/>
  <c r="E42" i="12"/>
  <c r="G42" i="12"/>
  <c r="L42" i="12"/>
  <c r="M42" i="12" s="1"/>
  <c r="J42" i="12"/>
  <c r="K42" i="12" s="1"/>
  <c r="H41" i="12"/>
  <c r="J41" i="12"/>
  <c r="K41" i="12" s="1"/>
  <c r="L41" i="12"/>
  <c r="M41" i="12" s="1"/>
  <c r="G41" i="12"/>
  <c r="D41" i="12"/>
  <c r="E41" i="12"/>
  <c r="F41" i="12"/>
  <c r="C41" i="12"/>
  <c r="G40" i="12"/>
  <c r="C40" i="12"/>
  <c r="D40" i="12"/>
  <c r="E40" i="12"/>
  <c r="F40" i="12"/>
  <c r="H40" i="12"/>
  <c r="J40" i="12"/>
  <c r="K40" i="12" s="1"/>
  <c r="L40" i="12"/>
  <c r="M40" i="12" s="1"/>
  <c r="F39" i="12"/>
  <c r="G39" i="12"/>
  <c r="J39" i="12"/>
  <c r="K39" i="12" s="1"/>
  <c r="L39" i="12"/>
  <c r="M39" i="12" s="1"/>
  <c r="H39" i="12"/>
  <c r="C39" i="12"/>
  <c r="D39" i="12"/>
  <c r="E39" i="12"/>
  <c r="L38" i="12"/>
  <c r="M38" i="12" s="1"/>
  <c r="J38" i="12"/>
  <c r="K38" i="12" s="1"/>
  <c r="G38" i="12"/>
  <c r="C38" i="12"/>
  <c r="D38" i="12"/>
  <c r="E38" i="12"/>
  <c r="F38" i="12"/>
  <c r="H38" i="12"/>
  <c r="D37" i="12"/>
  <c r="E37" i="12"/>
  <c r="F37" i="12"/>
  <c r="G37" i="12"/>
  <c r="H37" i="12"/>
  <c r="J37" i="12"/>
  <c r="K37" i="12" s="1"/>
  <c r="L37" i="12"/>
  <c r="M37" i="12" s="1"/>
  <c r="C37" i="12"/>
  <c r="C36" i="12"/>
  <c r="D36" i="12"/>
  <c r="E36" i="12"/>
  <c r="F36" i="12"/>
  <c r="G36" i="12"/>
  <c r="H36" i="12"/>
  <c r="J36" i="12"/>
  <c r="K36" i="12" s="1"/>
  <c r="L36" i="12"/>
  <c r="M36" i="12" s="1"/>
  <c r="H35" i="12"/>
  <c r="G35" i="12"/>
  <c r="F35" i="12"/>
  <c r="E35" i="12"/>
  <c r="D35" i="12"/>
  <c r="C35" i="12"/>
  <c r="L35" i="12"/>
  <c r="M35" i="12" s="1"/>
  <c r="J35" i="12"/>
  <c r="K35" i="12" s="1"/>
  <c r="J34" i="12"/>
  <c r="K34" i="12" s="1"/>
  <c r="D34" i="12"/>
  <c r="L34" i="12"/>
  <c r="M34" i="12" s="1"/>
  <c r="H34" i="12"/>
  <c r="G34" i="12"/>
  <c r="F34" i="12"/>
  <c r="E34" i="12"/>
  <c r="C34" i="12"/>
  <c r="J33" i="12"/>
  <c r="K33" i="12" s="1"/>
  <c r="H33" i="12"/>
  <c r="C33" i="12"/>
  <c r="G33" i="12"/>
  <c r="F33" i="12"/>
  <c r="E33" i="12"/>
  <c r="D33" i="12"/>
  <c r="L33" i="12"/>
  <c r="M33" i="12" s="1"/>
  <c r="D32" i="12"/>
  <c r="C32" i="12"/>
  <c r="F32" i="12"/>
  <c r="E32" i="12"/>
  <c r="G32" i="12"/>
  <c r="H32" i="12"/>
  <c r="L32" i="12"/>
  <c r="M32" i="12" s="1"/>
  <c r="J32" i="12"/>
  <c r="K32" i="12" s="1"/>
  <c r="L30" i="12"/>
  <c r="M30" i="12" s="1"/>
  <c r="J30" i="12"/>
  <c r="K30" i="12" s="1"/>
  <c r="H30" i="12"/>
  <c r="C30" i="12"/>
  <c r="D30" i="12"/>
  <c r="F30" i="12"/>
  <c r="E30" i="12"/>
  <c r="G30" i="12"/>
  <c r="D29" i="12"/>
  <c r="C29" i="12"/>
  <c r="F29" i="12"/>
  <c r="G29" i="12"/>
  <c r="H29" i="12"/>
  <c r="J29" i="12"/>
  <c r="K29" i="12" s="1"/>
  <c r="L29" i="12"/>
  <c r="M29" i="12" s="1"/>
  <c r="E29" i="12"/>
  <c r="D28" i="12"/>
  <c r="F28" i="12"/>
  <c r="E28" i="12"/>
  <c r="G28" i="12"/>
  <c r="J28" i="12"/>
  <c r="K28" i="12" s="1"/>
  <c r="L28" i="12"/>
  <c r="M28" i="12" s="1"/>
  <c r="C28" i="12"/>
  <c r="H28" i="12"/>
  <c r="C27" i="12"/>
  <c r="E27" i="12"/>
  <c r="F27" i="12"/>
  <c r="G27" i="12"/>
  <c r="H27" i="12"/>
  <c r="J27" i="12"/>
  <c r="K27" i="12" s="1"/>
  <c r="L27" i="12"/>
  <c r="M27" i="12" s="1"/>
  <c r="D27" i="12"/>
  <c r="J26" i="12"/>
  <c r="K26" i="12" s="1"/>
  <c r="L26" i="12"/>
  <c r="M26" i="12" s="1"/>
  <c r="H26" i="12"/>
  <c r="G26" i="12"/>
  <c r="C26" i="12"/>
  <c r="D26" i="12"/>
  <c r="E26" i="12"/>
  <c r="F26" i="12"/>
  <c r="L25" i="12"/>
  <c r="M25" i="12" s="1"/>
  <c r="J25" i="12"/>
  <c r="K25" i="12" s="1"/>
  <c r="H25" i="12"/>
  <c r="G25" i="12"/>
  <c r="C25" i="12"/>
  <c r="D25" i="12"/>
  <c r="E25" i="12"/>
  <c r="F25" i="12"/>
  <c r="C24" i="12"/>
  <c r="D24" i="12"/>
  <c r="E24" i="12"/>
  <c r="F24" i="12"/>
  <c r="G24" i="12"/>
  <c r="H24" i="12"/>
  <c r="J24" i="12"/>
  <c r="K24" i="12" s="1"/>
  <c r="L24" i="12"/>
  <c r="M24" i="12" s="1"/>
  <c r="C23" i="12"/>
  <c r="E23" i="12"/>
  <c r="F23" i="12"/>
  <c r="G23" i="12"/>
  <c r="H23" i="12"/>
  <c r="J23" i="12"/>
  <c r="K23" i="12" s="1"/>
  <c r="L23" i="12"/>
  <c r="M23" i="12" s="1"/>
  <c r="D23" i="12"/>
  <c r="C22" i="12"/>
  <c r="D22" i="12"/>
  <c r="E22" i="12"/>
  <c r="F22" i="12"/>
  <c r="G22" i="12"/>
  <c r="H22" i="12"/>
  <c r="J22" i="12"/>
  <c r="K22" i="12" s="1"/>
  <c r="L22" i="12"/>
  <c r="M22" i="12" s="1"/>
  <c r="L21" i="12"/>
  <c r="M21" i="12" s="1"/>
  <c r="H21" i="12"/>
  <c r="G21" i="12"/>
  <c r="F21" i="12"/>
  <c r="E21" i="12"/>
  <c r="D21" i="12"/>
  <c r="C21" i="12"/>
  <c r="J21" i="12"/>
  <c r="K21" i="12" s="1"/>
  <c r="L20" i="12"/>
  <c r="M20" i="12" s="1"/>
  <c r="J20" i="12"/>
  <c r="K20" i="12" s="1"/>
  <c r="H20" i="12"/>
  <c r="G20" i="12"/>
  <c r="F20" i="12"/>
  <c r="E20" i="12"/>
  <c r="D20" i="12"/>
  <c r="C20" i="12"/>
  <c r="L19" i="12"/>
  <c r="M19" i="12" s="1"/>
  <c r="J19" i="12"/>
  <c r="K19" i="12" s="1"/>
  <c r="H19" i="12"/>
  <c r="F19" i="12"/>
  <c r="E19" i="12"/>
  <c r="D19" i="12"/>
  <c r="G19" i="12"/>
  <c r="C19" i="12"/>
  <c r="G18" i="12"/>
  <c r="D18" i="12"/>
  <c r="L18" i="12"/>
  <c r="M18" i="12" s="1"/>
  <c r="J18" i="12"/>
  <c r="K18" i="12" s="1"/>
  <c r="H18" i="12"/>
  <c r="F18" i="12"/>
  <c r="E18" i="12"/>
  <c r="C18" i="12"/>
  <c r="J17" i="12"/>
  <c r="K17" i="12" s="1"/>
  <c r="H17" i="12"/>
  <c r="F17" i="12"/>
  <c r="E17" i="12"/>
  <c r="G17" i="12"/>
  <c r="D17" i="12"/>
  <c r="C17" i="12"/>
  <c r="L17" i="12"/>
  <c r="M17" i="12" s="1"/>
  <c r="J16" i="12"/>
  <c r="K16" i="12" s="1"/>
  <c r="G16" i="12"/>
  <c r="H16" i="12"/>
  <c r="L16" i="12"/>
  <c r="M16" i="12" s="1"/>
  <c r="F16" i="12"/>
  <c r="E16" i="12"/>
  <c r="D16" i="12"/>
  <c r="C16" i="12"/>
  <c r="J15" i="12"/>
  <c r="K15" i="12" s="1"/>
  <c r="C15" i="12"/>
  <c r="D15" i="12"/>
  <c r="E15" i="12"/>
  <c r="F15" i="12"/>
  <c r="G15" i="12"/>
  <c r="H15" i="12"/>
  <c r="L15" i="12"/>
  <c r="M15" i="12" s="1"/>
  <c r="H14" i="12"/>
  <c r="G14" i="12"/>
  <c r="F14" i="12"/>
  <c r="E14" i="12"/>
  <c r="C14" i="12"/>
  <c r="D14" i="12"/>
  <c r="J14" i="12"/>
  <c r="K14" i="12" s="1"/>
  <c r="L14" i="12"/>
  <c r="M14" i="12" s="1"/>
  <c r="G13" i="12"/>
  <c r="F13" i="12"/>
  <c r="E13" i="12"/>
  <c r="H13" i="12"/>
  <c r="D13" i="12"/>
  <c r="C13" i="12"/>
  <c r="L13" i="12"/>
  <c r="M13" i="12" s="1"/>
  <c r="J13" i="12"/>
  <c r="K13" i="12" s="1"/>
  <c r="H12" i="12"/>
  <c r="G12" i="12"/>
  <c r="F12" i="12"/>
  <c r="E12" i="12"/>
  <c r="D12" i="12"/>
  <c r="L12" i="12"/>
  <c r="M12" i="12" s="1"/>
  <c r="J12" i="12"/>
  <c r="K12" i="12" s="1"/>
  <c r="C12" i="12"/>
  <c r="F11" i="12"/>
  <c r="C11" i="12"/>
  <c r="J11" i="12"/>
  <c r="K11" i="12" s="1"/>
  <c r="H11" i="12"/>
  <c r="G11" i="12"/>
  <c r="D11" i="12"/>
  <c r="L11" i="12"/>
  <c r="M11" i="12" s="1"/>
  <c r="E11" i="12"/>
  <c r="L10" i="12"/>
  <c r="M10" i="12" s="1"/>
  <c r="J10" i="12"/>
  <c r="K10" i="12" s="1"/>
  <c r="H10" i="12"/>
  <c r="G10" i="12"/>
  <c r="F10" i="12"/>
  <c r="D10" i="12"/>
  <c r="C10" i="12"/>
  <c r="E10" i="12"/>
  <c r="C9" i="12"/>
  <c r="D9" i="12"/>
  <c r="E9" i="12"/>
  <c r="L9" i="12"/>
  <c r="M9" i="12" s="1"/>
  <c r="F9" i="12"/>
  <c r="G9" i="12"/>
  <c r="H9" i="12"/>
  <c r="J9" i="12"/>
  <c r="N19" i="11"/>
  <c r="N10" i="11"/>
  <c r="B10" i="11"/>
  <c r="B19" i="11"/>
  <c r="N9" i="11"/>
  <c r="B9" i="11"/>
  <c r="N23" i="11"/>
  <c r="N18" i="11"/>
  <c r="B18" i="11"/>
  <c r="B23" i="11"/>
  <c r="N17" i="11"/>
  <c r="B17" i="11"/>
  <c r="N22" i="11"/>
  <c r="N16" i="11"/>
  <c r="B16" i="11"/>
  <c r="B22" i="11"/>
  <c r="N15" i="11"/>
  <c r="B15" i="11"/>
  <c r="N21" i="11"/>
  <c r="N14" i="11"/>
  <c r="B14" i="11"/>
  <c r="B21" i="11"/>
  <c r="N13" i="11"/>
  <c r="B13" i="11"/>
  <c r="N20" i="11"/>
  <c r="N12" i="11"/>
  <c r="B12" i="11"/>
  <c r="B20" i="11"/>
  <c r="N11" i="11"/>
  <c r="B11" i="11"/>
  <c r="N15" i="10"/>
  <c r="B15" i="10"/>
  <c r="N22" i="10"/>
  <c r="N14" i="10"/>
  <c r="B14" i="10"/>
  <c r="B20" i="10"/>
  <c r="N13" i="10"/>
  <c r="B13" i="10"/>
  <c r="B22" i="10"/>
  <c r="N12" i="10"/>
  <c r="B12" i="10"/>
  <c r="B9" i="10"/>
  <c r="N11" i="10"/>
  <c r="B11" i="10"/>
  <c r="N19" i="10"/>
  <c r="B10" i="10"/>
  <c r="N9" i="10"/>
  <c r="B19" i="10"/>
  <c r="B23" i="10"/>
  <c r="N18" i="10"/>
  <c r="B18" i="10"/>
  <c r="N21" i="10"/>
  <c r="N10" i="10"/>
  <c r="N17" i="10"/>
  <c r="B17" i="10"/>
  <c r="B21" i="10"/>
  <c r="N16" i="10"/>
  <c r="B16" i="10"/>
  <c r="N23" i="10"/>
  <c r="N20" i="10"/>
  <c r="C11" i="21" l="1"/>
  <c r="E6" i="13"/>
  <c r="B44" i="2"/>
  <c r="B52" i="3"/>
  <c r="B44" i="1"/>
  <c r="E12" i="3"/>
  <c r="K12" i="1"/>
  <c r="K9" i="12"/>
  <c r="C48" i="19" s="1"/>
  <c r="F6" i="12" s="1"/>
  <c r="C47" i="19"/>
  <c r="D6" i="12" s="1"/>
  <c r="C19" i="11"/>
  <c r="M19" i="11"/>
  <c r="P19" i="11" s="1"/>
  <c r="C10" i="11"/>
  <c r="M10" i="11"/>
  <c r="P10" i="11" s="1"/>
  <c r="C9" i="11"/>
  <c r="M9" i="11"/>
  <c r="P9" i="11" s="1"/>
  <c r="C23" i="11"/>
  <c r="M23" i="11"/>
  <c r="P23" i="11" s="1"/>
  <c r="C18" i="11"/>
  <c r="M18" i="11"/>
  <c r="P18" i="11" s="1"/>
  <c r="C17" i="11"/>
  <c r="M17" i="11"/>
  <c r="P17" i="11" s="1"/>
  <c r="C22" i="11"/>
  <c r="M22" i="11"/>
  <c r="P22" i="11" s="1"/>
  <c r="C16" i="11"/>
  <c r="M16" i="11"/>
  <c r="P16" i="11" s="1"/>
  <c r="C15" i="11"/>
  <c r="M15" i="11"/>
  <c r="P15" i="11" s="1"/>
  <c r="C21" i="11"/>
  <c r="M21" i="11"/>
  <c r="P21" i="11" s="1"/>
  <c r="C14" i="11"/>
  <c r="M14" i="11"/>
  <c r="P14" i="11" s="1"/>
  <c r="C13" i="11"/>
  <c r="M13" i="11"/>
  <c r="P13" i="11" s="1"/>
  <c r="C20" i="11"/>
  <c r="M20" i="11"/>
  <c r="P20" i="11" s="1"/>
  <c r="C12" i="11"/>
  <c r="M12" i="11"/>
  <c r="P12" i="11" s="1"/>
  <c r="C11" i="11"/>
  <c r="M11" i="11"/>
  <c r="P11" i="11" s="1"/>
</calcChain>
</file>

<file path=xl/sharedStrings.xml><?xml version="1.0" encoding="utf-8"?>
<sst xmlns="http://schemas.openxmlformats.org/spreadsheetml/2006/main" count="906" uniqueCount="485">
  <si>
    <t>Configuración del sistema</t>
  </si>
  <si>
    <t>Capa de configuración (oculta) · Solo administrador · Los scripts leen estos parámetros</t>
  </si>
  <si>
    <t>PARÁMETROS DEL TENANT</t>
  </si>
  <si>
    <t>Parámetro</t>
  </si>
  <si>
    <t>Valor</t>
  </si>
  <si>
    <t>Descripción</t>
  </si>
  <si>
    <t>Empresa (cliente)</t>
  </si>
  <si>
    <t>NOMBRE DE SU EMPRESA</t>
  </si>
  <si>
    <t>Nombre que aparece en las portadas.</t>
  </si>
  <si>
    <t>NIT / Identificación</t>
  </si>
  <si>
    <t>Identificación tributaria.</t>
  </si>
  <si>
    <t>Sede / Bodega</t>
  </si>
  <si>
    <t>Bodega principal</t>
  </si>
  <si>
    <t>Ubicación física que controla este libro.</t>
  </si>
  <si>
    <t>Moneda</t>
  </si>
  <si>
    <t>COP</t>
  </si>
  <si>
    <t>Informativo. Los formatos de valor usan el símbolo $.</t>
  </si>
  <si>
    <t>Margen de alerta preventiva</t>
  </si>
  <si>
    <t>Un producto pasa a BAJO cuando su stock es ≤ Mínimo × (1 + margen).</t>
  </si>
  <si>
    <t>Días para considerar sin rotación</t>
  </si>
  <si>
    <t>Productos con stock y sin movimientos en este plazo se marcan como inmovilizados.</t>
  </si>
  <si>
    <t>Fecha mínima permitida</t>
  </si>
  <si>
    <t>Los scripts rechazan fechas anteriores.</t>
  </si>
  <si>
    <t>Versión del sistema</t>
  </si>
  <si>
    <t>2.1.0</t>
  </si>
  <si>
    <t>Versión del motor M-INV.</t>
  </si>
  <si>
    <t>Edición</t>
  </si>
  <si>
    <t>Colaborativa (Microsoft 365)</t>
  </si>
  <si>
    <t>Libro colaborativo en OneDrive/SharePoint con Office Scripts.</t>
  </si>
  <si>
    <t>Fecha de generación</t>
  </si>
  <si>
    <t>Fecha en que se generó este libro.</t>
  </si>
  <si>
    <t>Implementado por</t>
  </si>
  <si>
    <t>Z&amp;P Software Fast Solutions</t>
  </si>
  <si>
    <t>Proveedor del software.</t>
  </si>
  <si>
    <t>Stock calculado el</t>
  </si>
  <si>
    <t>Lo escribe RecalcularStock.ts.</t>
  </si>
  <si>
    <t>Stock calculado por (correo)</t>
  </si>
  <si>
    <t>Stock calculado por (nombre)</t>
  </si>
  <si>
    <t>Movimientos procesados</t>
  </si>
  <si>
    <t>TIPOS DE MOVIMIENTO  (FactorStock y dominio: BODEGA → 10A · VENTAS → 10B)</t>
  </si>
  <si>
    <t>Tipo</t>
  </si>
  <si>
    <t>FactorStock</t>
  </si>
  <si>
    <t>Dominio</t>
  </si>
  <si>
    <t>SALDO INICIAL</t>
  </si>
  <si>
    <t>BODEGA</t>
  </si>
  <si>
    <t>Carga del inventario existente al implementar (una vez por producto).</t>
  </si>
  <si>
    <t>ENTRADA</t>
  </si>
  <si>
    <t>Compra, recepción de mercancía o devolución de un cliente.</t>
  </si>
  <si>
    <t>AJUSTE (+)</t>
  </si>
  <si>
    <t>Sobrante encontrado en conteo físico. Exige observación.</t>
  </si>
  <si>
    <t>AJUSTE (-)</t>
  </si>
  <si>
    <t>Merma, daño, pérdida o faltante. Exige observación.</t>
  </si>
  <si>
    <t>SALIDA</t>
  </si>
  <si>
    <t>VENTAS</t>
  </si>
  <si>
    <t>Venta, despacho a cliente o consumo interno.</t>
  </si>
  <si>
    <t>SEMÁFORO DE STOCK  (reglas que aplica RecalcularStock.ts)</t>
  </si>
  <si>
    <t>Estado</t>
  </si>
  <si>
    <t>Prioridad</t>
  </si>
  <si>
    <t>Regla</t>
  </si>
  <si>
    <t>Acción</t>
  </si>
  <si>
    <t>INCONSISTENTE</t>
  </si>
  <si>
    <t>Stock negativo: se registraron salidas mayores a lo disponible.</t>
  </si>
  <si>
    <t>Auditar la bitácora y registrar un AJUSTE</t>
  </si>
  <si>
    <t>AGOTADO</t>
  </si>
  <si>
    <t>Stock en cero.</t>
  </si>
  <si>
    <t>Reabastecer de inmediato</t>
  </si>
  <si>
    <t>CRÍTICO</t>
  </si>
  <si>
    <t>Stock en o por debajo del mínimo.</t>
  </si>
  <si>
    <t>Emitir orden de compra</t>
  </si>
  <si>
    <t>BAJO</t>
  </si>
  <si>
    <t>Stock cercano al mínimo (dentro del margen de alerta).</t>
  </si>
  <si>
    <t>Programar reposición</t>
  </si>
  <si>
    <t>ÓPTIMO</t>
  </si>
  <si>
    <t>Stock entre el margen de alerta y el máximo.</t>
  </si>
  <si>
    <t>Sin acción</t>
  </si>
  <si>
    <t>SOBRESTOCK</t>
  </si>
  <si>
    <t>Stock por encima del máximo.</t>
  </si>
  <si>
    <t>Frenar compras / rotar inventario</t>
  </si>
  <si>
    <t>INACTIVO</t>
  </si>
  <si>
    <t>Producto descontinuado (Activo = NO).</t>
  </si>
  <si>
    <t>Usuarios autorizados</t>
  </si>
  <si>
    <t>Control de acceso por rol · Lo administra el ADMIN · Los scripts validan el correo de Microsoft 365</t>
  </si>
  <si>
    <t>⌂ Bodega</t>
  </si>
  <si>
    <t>⌂ Ventas</t>
  </si>
  <si>
    <t>◈ Gerencia</t>
  </si>
  <si>
    <t>⇩ Entradas</t>
  </si>
  <si>
    <t>⇧ Salidas</t>
  </si>
  <si>
    <t>⌕ Consulta</t>
  </si>
  <si>
    <t>▦ Stock</t>
  </si>
  <si>
    <t>✚ Pedido</t>
  </si>
  <si>
    <t>✓ Conteo</t>
  </si>
  <si>
    <t>? Guía</t>
  </si>
  <si>
    <t>Correo</t>
  </si>
  <si>
    <t>Nombre</t>
  </si>
  <si>
    <t>Rol</t>
  </si>
  <si>
    <t>Activo</t>
  </si>
  <si>
    <t>OrdenBodega</t>
  </si>
  <si>
    <t>OrdenVentas</t>
  </si>
  <si>
    <t>OrdenConsulta</t>
  </si>
  <si>
    <t>Validación</t>
  </si>
  <si>
    <t>Agregue usuarios al final y no reordene: la posición define su fila de captura. Para retirar a alguien escriba NO en Activo.</t>
  </si>
  <si>
    <t>Proveedores</t>
  </si>
  <si>
    <t>Datos maestros · Solo ADMIN · Quién le vende cada producto y en cuántos días</t>
  </si>
  <si>
    <t>Proveedor</t>
  </si>
  <si>
    <t>NIT</t>
  </si>
  <si>
    <t>Contacto</t>
  </si>
  <si>
    <t>Teléfono</t>
  </si>
  <si>
    <t>DiasEntrega</t>
  </si>
  <si>
    <t>Productos</t>
  </si>
  <si>
    <t>EnAlerta</t>
  </si>
  <si>
    <t>✎</t>
  </si>
  <si>
    <t>ƒx</t>
  </si>
  <si>
    <t>Catálogo de productos</t>
  </si>
  <si>
    <t>Datos maestros · Solo ADMIN · Después de modificarlo pulse «Recalcular stock» · Nunca borre filas (use Activo = NO)</t>
  </si>
  <si>
    <t>SKU</t>
  </si>
  <si>
    <t>Producto</t>
  </si>
  <si>
    <t>Categoría</t>
  </si>
  <si>
    <t>Unidad</t>
  </si>
  <si>
    <t>StockMin</t>
  </si>
  <si>
    <t>StockMax</t>
  </si>
  <si>
    <t>CostoUnitario</t>
  </si>
  <si>
    <t>Ubicación</t>
  </si>
  <si>
    <t>Etiqueta</t>
  </si>
  <si>
    <t>Movimientos</t>
  </si>
  <si>
    <t>Categorías</t>
  </si>
  <si>
    <t>Capa de configuración (oculta) · Primer nivel de la lista en cascada</t>
  </si>
  <si>
    <t>Código</t>
  </si>
  <si>
    <t>MP</t>
  </si>
  <si>
    <t>MATERIA PRIMA</t>
  </si>
  <si>
    <t>Insumos que se transforman en producto</t>
  </si>
  <si>
    <t>PT</t>
  </si>
  <si>
    <t>PRODUCTO TERMINADO</t>
  </si>
  <si>
    <t>Artículos listos para la venta</t>
  </si>
  <si>
    <t>INS</t>
  </si>
  <si>
    <t>INSUMOS</t>
  </si>
  <si>
    <t>Materiales de consumo de la operación</t>
  </si>
  <si>
    <t>REP</t>
  </si>
  <si>
    <t>REPUESTOS</t>
  </si>
  <si>
    <t>Partes y repuestos de mantenimiento</t>
  </si>
  <si>
    <t>EMP</t>
  </si>
  <si>
    <t>EMPAQUES</t>
  </si>
  <si>
    <t>Material de empaque y embalaje</t>
  </si>
  <si>
    <t>GEN</t>
  </si>
  <si>
    <t>GENERAL</t>
  </si>
  <si>
    <t>Artículos sin categoría específica</t>
  </si>
  <si>
    <t>Unidades de medida</t>
  </si>
  <si>
    <t>Capa de configuración (oculta) · Define si la cantidad admite decimales</t>
  </si>
  <si>
    <t>Decimales</t>
  </si>
  <si>
    <t>UND</t>
  </si>
  <si>
    <t>NO</t>
  </si>
  <si>
    <t>Pieza individual</t>
  </si>
  <si>
    <t>CAJA</t>
  </si>
  <si>
    <t>Caja</t>
  </si>
  <si>
    <t>Caja cerrada del proveedor</t>
  </si>
  <si>
    <t>PAQ</t>
  </si>
  <si>
    <t>Paquete</t>
  </si>
  <si>
    <t>Paquete o bolsa cerrada</t>
  </si>
  <si>
    <t>PAR</t>
  </si>
  <si>
    <t>Par</t>
  </si>
  <si>
    <t>Par (guantes, botas)</t>
  </si>
  <si>
    <t>ROLLO</t>
  </si>
  <si>
    <t>Rollo</t>
  </si>
  <si>
    <t>Rollo completo</t>
  </si>
  <si>
    <t>KG</t>
  </si>
  <si>
    <t>Kilogramo</t>
  </si>
  <si>
    <t>SI</t>
  </si>
  <si>
    <t>Peso en kilogramos</t>
  </si>
  <si>
    <t>GL</t>
  </si>
  <si>
    <t>Galón</t>
  </si>
  <si>
    <t>Volumen en galones</t>
  </si>
  <si>
    <t>LT</t>
  </si>
  <si>
    <t>Litro</t>
  </si>
  <si>
    <t>Volumen en litros</t>
  </si>
  <si>
    <t>MT</t>
  </si>
  <si>
    <t>Metro</t>
  </si>
  <si>
    <t>Longitud en metros</t>
  </si>
  <si>
    <t>Entradas y ajustes · Bodega</t>
  </si>
  <si>
    <t>Fragmento de escritura de Bodega · Cada persona escribe en SU fila y pulsa Registrar · El script consolida en la bitácora oficial con su correo y la hora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</si>
  <si>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1 · CAPTURA — cada persona escribe solo en SU fila (nadie comparte celdas) y pulsa el botón Registrar</t>
    </r>
  </si>
  <si>
    <t>Usuario</t>
  </si>
  <si>
    <t>Fecha</t>
  </si>
  <si>
    <t>Cantidad</t>
  </si>
  <si>
    <t>Documento</t>
  </si>
  <si>
    <t>Observaciones</t>
  </si>
  <si>
    <t>Disponible</t>
  </si>
  <si>
    <t>Resultado</t>
  </si>
  <si>
    <t>Factor</t>
  </si>
  <si>
    <t>Queda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</si>
  <si>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2 · BITÁCORA OFICIAL — la escribe solo el script: inmutable y auditada (Usuario_O365 y Timestamp en columnas ocultas)</t>
    </r>
  </si>
  <si>
    <t>Los registros se agregan al final. Un rechazo por registro simultáneo queda en rojo tachado y no suma. Para ver el historial de un producto, filtre por Producto (use Vista de hoja para no afectar a los demás).</t>
  </si>
  <si>
    <t>ID</t>
  </si>
  <si>
    <t>CantidadNeta</t>
  </si>
  <si>
    <t>Registró</t>
  </si>
  <si>
    <t>Usuario_O365</t>
  </si>
  <si>
    <t>Timestamp</t>
  </si>
  <si>
    <t>⚙ Botón «Registrar en bodega» · Office Script RegistrarEntrada.ts (si no lo ve, instálelo: Guía › Instalación)</t>
  </si>
  <si>
    <t>Complete su fila, revise que Validación diga ✔ y pulse el botón de la derecha. Rojo tachado = no hay stock suficiente.</t>
  </si>
  <si>
    <t>Salidas · Ventas</t>
  </si>
  <si>
    <t>Fragmento de escritura de Ventas · Cada vendedor escribe en SU fila · Si no hay stock, la cantidad se tiñe de rojo tachado y el script bloquea la salida</t>
  </si>
  <si>
    <t>⚙ Botón «Registrar salida» · Office Script RegistrarSalida.ts (si no lo ve, instálelo: Guía › Instalación)</t>
  </si>
  <si>
    <t>Toma física · conteo colaborativo</t>
  </si>
  <si>
    <t>Repartan zonas (Ubicación o Categoría) · Cada persona escribe solo el Conteo de su zona · El script registra los ajustes con el stock exacto del momento</t>
  </si>
  <si>
    <t>⚙ Botón «Generar ajustes del conteo» · Office Script GenerarAjustesConteo.ts (si no lo ve, instálelo: Guía › Instalación)</t>
  </si>
  <si>
    <t>Fecha del conteo (vacía = hoy):</t>
  </si>
  <si>
    <t>Confirmar (escriba SI):</t>
  </si>
  <si>
    <t/>
  </si>
  <si>
    <t>Sistema</t>
  </si>
  <si>
    <t>Conteo</t>
  </si>
  <si>
    <t>Diferencia</t>
  </si>
  <si>
    <t>ValorDiferencia</t>
  </si>
  <si>
    <t>AjusteSugerido</t>
  </si>
  <si>
    <t>Registro de actividad · auditoría</t>
  </si>
  <si>
    <t>Lo escriben solo los Office Scripts · Cada registro, bloqueo, conteo y recálculo con su correo y su hora · Filtre por Usuario o Resultado en su propia Vista de hoja</t>
  </si>
  <si>
    <t>Script</t>
  </si>
  <si>
    <t>Detalle</t>
  </si>
  <si>
    <t>Las filas nuevas se agregan al final (Ctrl + ↓ lleva a la más reciente). Filtre en su propia Vista de hoja (Vista › Vista de hoja) sin afectar a los demás.</t>
  </si>
  <si>
    <t>Stock · instantánea</t>
  </si>
  <si>
    <t>Capa de lectura a demanda · No se recalcula mientras la gente trabaja · Pulse «Recalcular stock» para actualizarla con las dos bitácoras</t>
  </si>
  <si>
    <t>Entradas</t>
  </si>
  <si>
    <t>Salidas</t>
  </si>
  <si>
    <t>StockActual</t>
  </si>
  <si>
    <t>Nivel</t>
  </si>
  <si>
    <t>ValorInventario</t>
  </si>
  <si>
    <t>UltimoMov</t>
  </si>
  <si>
    <t>DiasSinMov</t>
  </si>
  <si>
    <t>Salidas30d</t>
  </si>
  <si>
    <t>CoberturaDias</t>
  </si>
  <si>
    <t>RankSalidas30d</t>
  </si>
  <si>
    <t>⚙ Botón «Recalcular stock» · Office Script RecalcularStock.ts (si no lo ve, instálelo: Guía › Instalación)</t>
  </si>
  <si>
    <t>Alertas de stock · instantánea</t>
  </si>
  <si>
    <t>Priorizadas: inconsistentes, agotados, críticos, bajos y sobrestock · Cantidad sugerida hasta el máximo · Se actualiza con «Recalcular stock»</t>
  </si>
  <si>
    <t>#</t>
  </si>
  <si>
    <t>Stock</t>
  </si>
  <si>
    <t>Mínimo</t>
  </si>
  <si>
    <t>Máximo</t>
  </si>
  <si>
    <t>Faltante</t>
  </si>
  <si>
    <t>SugeridoPedir</t>
  </si>
  <si>
    <t>AcciónSugerida</t>
  </si>
  <si>
    <t>Consulta de producto</t>
  </si>
  <si>
    <t>Cada persona usa SU fila · Elija un producto y vea su ficha al instante (stock exacto, estado, cobertura y último movimiento) · No depende de «Recalcular stock»</t>
  </si>
  <si>
    <t>Elija el producto en la columna Producto de SU fila (Alt + ↓ o escriba para filtrar). Para ver el historial completo use 10A/10B con una Vista de hoja (vea abajo).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</si>
  <si>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CONSULTA — una fila por persona (nadie comparte el selector)</t>
    </r>
  </si>
  <si>
    <t>Sugerido</t>
  </si>
  <si>
    <t>UltimoMovimiento</t>
  </si>
  <si>
    <t>Entradas30d</t>
  </si>
  <si>
    <t>TsE</t>
  </si>
  <si>
    <t>TsS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</si>
  <si>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HISTORIAL COMPLETO DE UN PRODUCTO (sin afectar a los demás)</t>
    </r>
  </si>
  <si>
    <t>1. Abra 10A_ENTRADAS (entradas y ajustes) o 10B_SALIDAS (salidas).</t>
  </si>
  <si>
    <t>2. Pestaña Vista › Vista de hoja › Nueva: su filtro solo lo ve usted (no cambia la vista de los demás).</t>
  </si>
  <si>
    <t>3. En la bitácora oficial, filtre la columna Producto por el producto y ordene por Fecha.</t>
  </si>
  <si>
    <t>4. Al terminar: Vista › Vista de hoja › Salir (o Predeterminada).</t>
  </si>
  <si>
    <t>Pedido sugerido por proveedor · instantánea</t>
  </si>
  <si>
    <t>Productos agotados, críticos y preventivos · Cantidad hasta el máximo · Filtre Proveedor en su Vista de hoja e imprima (Ctrl + P) · Se actualiza con «Recalcular stock»</t>
  </si>
  <si>
    <t>APedir</t>
  </si>
  <si>
    <t>Subtotal</t>
  </si>
  <si>
    <t>EntregaEstimada</t>
  </si>
  <si>
    <t>Motor de listas</t>
  </si>
  <si>
    <t>Capa de motor (oculta) · Listas fijas de validación · Productos y proveedores se leen del catálogo</t>
  </si>
  <si>
    <t>Tipos de Bodega</t>
  </si>
  <si>
    <t>Roles</t>
  </si>
  <si>
    <t>ADMIN</t>
  </si>
  <si>
    <t>CONSULTA</t>
  </si>
  <si>
    <t>Día</t>
  </si>
  <si>
    <t>Unidades</t>
  </si>
  <si>
    <t>Mes</t>
  </si>
  <si>
    <t>Motor de indicadores</t>
  </si>
  <si>
    <t>Capa de motor (oculta) · Conteos livianos sobre la instantánea y las bitácoras · No editar</t>
  </si>
  <si>
    <t>Indicador</t>
  </si>
  <si>
    <t>Formato</t>
  </si>
  <si>
    <t>kpiCatalogo · Productos en el catálogo</t>
  </si>
  <si>
    <t>#,##0</t>
  </si>
  <si>
    <t>kpiActivos · Productos activos</t>
  </si>
  <si>
    <t>kpiProveedores · Proveedores</t>
  </si>
  <si>
    <t>kpiUsuarios · Usuarios activos</t>
  </si>
  <si>
    <t>kpiAdmins · Administradores activos</t>
  </si>
  <si>
    <t>kpiUltProd · Última fila usada del catálogo</t>
  </si>
  <si>
    <t>0</t>
  </si>
  <si>
    <t>kpiUltProv · Última fila usada de proveedores</t>
  </si>
  <si>
    <t>kpiInconsistentes · Inconsistentes</t>
  </si>
  <si>
    <t>kpiAgotados · Agotados</t>
  </si>
  <si>
    <t>kpiCriticos · Críticos</t>
  </si>
  <si>
    <t>kpiBajos · Preventivos</t>
  </si>
  <si>
    <t>kpiOptimos · Óptimos</t>
  </si>
  <si>
    <t>kpiSobrestock · Sobrestock</t>
  </si>
  <si>
    <t>kpiInactivos · Inactivos</t>
  </si>
  <si>
    <t>kpiEnAlerta · Requieren acción</t>
  </si>
  <si>
    <t>kpiValor · Valor del inventario</t>
  </si>
  <si>
    <t>$ #,##0</t>
  </si>
  <si>
    <t>kpiDisponibles · Productos con stock</t>
  </si>
  <si>
    <t>kpiSinRotacion · Sin rotación</t>
  </si>
  <si>
    <t>kpiRegEnt · Registros consolidados en 10A</t>
  </si>
  <si>
    <t>kpiRegSal · Registros consolidados en 10B</t>
  </si>
  <si>
    <t>kpiRechEnt · Rechazados en 10A</t>
  </si>
  <si>
    <t>kpiRechSal · Rechazados en 10B</t>
  </si>
  <si>
    <t>kpiPendEnt · Filas con datos en la captura 10A</t>
  </si>
  <si>
    <t>kpiPendSal · Filas con datos en la captura 10B</t>
  </si>
  <si>
    <t>kpiEntradasHoy · Entradas de hoy</t>
  </si>
  <si>
    <t>kpiAjustesMes · Ajustes del mes</t>
  </si>
  <si>
    <t>kpiSaldosIni · Productos con SALDO INICIAL</t>
  </si>
  <si>
    <t>kpiSalidasHoy · Salidas de hoy</t>
  </si>
  <si>
    <t>kpiUnidadesHoy · Unidades despachadas hoy</t>
  </si>
  <si>
    <t>#,##0.##</t>
  </si>
  <si>
    <t>kpiSalidasMes · Salidas del mes</t>
  </si>
  <si>
    <t>kpiNuevosDesdeCalculo · Movimientos posteriores a la instantánea</t>
  </si>
  <si>
    <t>kpiRechazos · Rechazos</t>
  </si>
  <si>
    <t>kpiMovMes · Movimientos consolidados del mes</t>
  </si>
  <si>
    <t>kpiUnid30 · Unidades vendidas en 30 días (instantánea)</t>
  </si>
  <si>
    <t>kpiCobMed · Cobertura mediana en días (instantánea)</t>
  </si>
  <si>
    <t>kpiPedidoLineas · Líneas del pedido sugerido</t>
  </si>
  <si>
    <t>kpiPedidoTotal · Total estimado del pedido sugerido</t>
  </si>
  <si>
    <t>kpiPedidoProv · Proveedores en el pedido</t>
  </si>
  <si>
    <t>kpiConteoContados · Productos contados</t>
  </si>
  <si>
    <t>kpiConteoDif · Productos con diferencia</t>
  </si>
  <si>
    <t>kpiConteoValor · Valor neto de las diferencias</t>
  </si>
  <si>
    <t>kpiEjecuciones · Ejecuciones de scripts registradas</t>
  </si>
  <si>
    <t>kpiBloqMes · Bloqueos del mes</t>
  </si>
  <si>
    <t>txtHoy · Fecha de hoy</t>
  </si>
  <si>
    <t>@</t>
  </si>
  <si>
    <t>txtEmpresa · Empresa y bodega</t>
  </si>
  <si>
    <t>txtStockActualizado · Cuándo se calculó la instantánea</t>
  </si>
  <si>
    <t>txtFrescura · Frescura de la instantánea</t>
  </si>
  <si>
    <t>txtFrescuraCorta · Frescura (chip)</t>
  </si>
  <si>
    <t>txtPedidoBtn · Botón del pedido</t>
  </si>
  <si>
    <t>txtUltimaEjecucion · Última ejecución de un script</t>
  </si>
  <si>
    <t>txtPasoGerencia · Próximo paso (Gerencia)</t>
  </si>
  <si>
    <t>txtAlertasBtn · Botón de alertas</t>
  </si>
  <si>
    <t>txtPasoBodega · Próximo paso (Bodega)</t>
  </si>
  <si>
    <t>txtPasoVentas · Próximo paso (Ventas)</t>
  </si>
  <si>
    <t>txtBitacoras · Pie de portada</t>
  </si>
  <si>
    <t>Hoja técnica de M-INV: los Office Scripts la usan para identificar al usuario de Microsoft 365 (crean y borran un comentario). No la modifique ni la proteja.</t>
  </si>
  <si>
    <t>M-INV · Bodega</t>
  </si>
  <si>
    <t>Edición colaborativa · M-INV V2.1.0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</si>
  <si>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¿QUÉ NECESITA HACER?</t>
    </r>
  </si>
  <si>
    <t>⇩  REGISTRAR ENTRADA</t>
  </si>
  <si>
    <t>±  REGISTRAR AJUSTE</t>
  </si>
  <si>
    <t>✓  TOMA FÍSICA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</si>
  <si>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INDICADORES</t>
    </r>
  </si>
  <si>
    <t>ENTRADAS DE HOY</t>
  </si>
  <si>
    <t>AGOTADOS</t>
  </si>
  <si>
    <t>CRÍTICOS Y PREVENTIVOS</t>
  </si>
  <si>
    <t>VALOR DEL INVENTARIO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</si>
  <si>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PRODUCTOS QUE REQUIEREN ACCIÓN  (instantánea de 16_ALERTAS)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</si>
  <si>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ÚLTIMAS ENTRADAS Y AJUSTES  (bitácora oficial 10A)</t>
    </r>
  </si>
  <si>
    <t>M-INV V2.1.0 · Colaborativo en Microsoft 365 · Z&amp;P Software Fast Solutions</t>
  </si>
  <si>
    <t>M-INV · Ventas</t>
  </si>
  <si>
    <t>⇧  REGISTRAR SALIDA</t>
  </si>
  <si>
    <t>⌕  CONSULTAR PRODUCTO</t>
  </si>
  <si>
    <t>▦  STOCK COMPLETO</t>
  </si>
  <si>
    <t>SALIDAS DE HOY</t>
  </si>
  <si>
    <t>SALIDAS DEL MES</t>
  </si>
  <si>
    <t>PRODUCTOS CON STOCK</t>
  </si>
  <si>
    <t>AGOTADOS · NO OFRECER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</si>
  <si>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AGOTADOS Y CRÍTICOS  —  confirme con Bodega antes de ofrecer</t>
    </r>
  </si>
  <si>
    <t>Últ. mov.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</si>
  <si>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ÚLTIMAS SALIDAS  (bitácora oficial 10B)</t>
    </r>
  </si>
  <si>
    <t>M-INV · Gerencia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</si>
  <si>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ACCESOS</t>
    </r>
  </si>
  <si>
    <t>▦  STOCK Y COBERTURA</t>
  </si>
  <si>
    <t>☰  ACTIVIDAD Y AUDITORÍA</t>
  </si>
  <si>
    <t>REQUIEREN ACCIÓN</t>
  </si>
  <si>
    <t>PEDIDO SUGERIDO</t>
  </si>
  <si>
    <t>MOVIMIENTOS DEL MES</t>
  </si>
  <si>
    <t>UNIDADES VENDIDAS · 30 DÍAS</t>
  </si>
  <si>
    <t>COBERTURA MEDIANA</t>
  </si>
  <si>
    <t>BLOQUEOS DEL MES</t>
  </si>
  <si>
    <t>USUARIOS ACTIVOS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</si>
  <si>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TENDENCIA Y VALOR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</si>
  <si>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MÁS VENDIDOS · 30 DÍAS  (instantánea)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</si>
  <si>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ACTIVIDAD POR USUARIO · MES EN CURSO</t>
    </r>
  </si>
  <si>
    <t>Vendido 30 d</t>
  </si>
  <si>
    <t>Cobertura</t>
  </si>
  <si>
    <t>Registros</t>
  </si>
  <si>
    <t>Bloqueos</t>
  </si>
  <si>
    <t>Último registro</t>
  </si>
  <si>
    <t>Guía de uso · M-INV colaborativo</t>
  </si>
  <si>
    <t>Cómo entrar · Cómo registrar sin chocar con otros usuarios · Consulta, toma física, pedido y auditoría · Instalación en Microsoft 365</t>
  </si>
  <si>
    <t>PRIMEROS PASOS DEL ADMINISTRADOR  (se marcan solos)</t>
  </si>
  <si>
    <t>CÓMO ENTRAR AL LIBRO (PASO A PASO)</t>
  </si>
  <si>
    <t>1</t>
  </si>
  <si>
    <t>Abra el enlace que le compartió el administrador (correo, Teams o la biblioteca de SharePoint) e inicie sesión con su cuenta de trabajo de Microsoft 365. No descargue copias: todos trabajan sobre este archivo.</t>
  </si>
  <si>
    <t>2</t>
  </si>
  <si>
    <t>El libro se abre en Excel para la web. Si prefiere el escritorio: Editar › Abrir en la aplicación de escritorio (sigue siendo el mismo archivo, con guardado automático).</t>
  </si>
  <si>
    <t>3</t>
  </si>
  <si>
    <t>Use la barra oscura superior para ir a la portada de su rol: ⌂ Bodega, ⌂ Ventas o ◈ Gerencia. La portada le dice el «Próximo paso» en una frase.</t>
  </si>
  <si>
    <t>4</t>
  </si>
  <si>
    <t>Para registrar: escriba en SU fila de captura, revise que Validación diga «✔ Lista» y pulse el botón del script. Lea el Resultado en su misma fila.</t>
  </si>
  <si>
    <t>5</t>
  </si>
  <si>
    <t>Para mirar sin molestar a nadie: Vista › Vista de hoja › Nueva. Sus filtros y órdenes quedan solo para usted (los demás siguen viendo la hoja completa).</t>
  </si>
  <si>
    <t>6</t>
  </si>
  <si>
    <t>Si algo no funciona, revise PREGUNTAS FRECUENTES al final de esta guía o pida al administrador que ejecute DiagnosticoInstalacion.</t>
  </si>
  <si>
    <t>LA VERSIÓN COLABORATIVA EN 30 SEGUNDOS</t>
  </si>
  <si>
    <t>Un solo libro</t>
  </si>
  <si>
    <t>El libro vive en SharePoint o OneDrive y lo usan varias personas a la vez desde Excel para la web o de escritorio. No envíe copias por correo: todos trabajan sobre el mismo archivo.</t>
  </si>
  <si>
    <t>Escritura por rol</t>
  </si>
  <si>
    <t>Bodega registra en 10A_ENTRADAS (entradas, saldo inicial y ajustes) y Ventas en 10B_SALIDAS. Cada persona tiene SU fila de captura, SU fila de consulta y cuenta SUS productos en la toma física: nadie escribe en la celda de otro.</t>
  </si>
  <si>
    <t>Botón = registro</t>
  </si>
  <si>
    <t>Al pulsar el botón del script, el movimiento pasa a la bitácora oficial con su correo de Microsoft 365 y la hora exacta, y queda anotado en 14_ACTIVIDAD. Las bitácoras oficiales no se pueden editar.</t>
  </si>
  <si>
    <t>Stock a demanda</t>
  </si>
  <si>
    <t>15_STOCK, 16_ALERTAS y 18_PEDIDO son una instantánea: no se recalculan mientras la gente trabaja (así Excel para la web no se pone lento). Pulse «Recalcular stock» cuando necesite verlas al día. El disponible de su fila de captura y de su consulta siempre es exacto.</t>
  </si>
  <si>
    <t>SU ROL</t>
  </si>
  <si>
    <t>Portada 00_PORTADA_BODEGA. Registra ENTRADA, SALDO INICIAL y AJUSTE (+/-) en su fila de 10A_ENTRADAS con el botón «Registrar en bodega», dirige la toma física (13_CONTEO) y atiende las alertas y el pedido sugerido.</t>
  </si>
  <si>
    <t>Portada 00_PORTADA_VENTAS. Registra SALIDAS en su fila de 10B_SALIDAS con el botón «Registrar salida». Antes de ofrecer, consulte el producto en su fila de 17_CONSULTA: disponible exacto, cobertura y último movimiento.</t>
  </si>
  <si>
    <t>Portada 00_PORTADA_GERENCIA. Administra usuarios (02_USUARIOS), catálogo, proveedores y configuración; puede registrar en ambos fragmentos. Instala los scripts, sus botones y el resumen diario por correo.</t>
  </si>
  <si>
    <t>Solo lectura (permiso Ver en SharePoint): portada de Gerencia, stock, alertas, pedido, actividad y bitácoras.</t>
  </si>
  <si>
    <t>REGISTRAR UN MOVIMIENTO (Bodega y Ventas)</t>
  </si>
  <si>
    <t>Abra su portada y pulse REGISTRAR: llegará a la zona de captura de su hoja (10A o 10B).</t>
  </si>
  <si>
    <t>Busque la fila con SU nombre en la columna Usuario. Escriba solo en esa fila.</t>
  </si>
  <si>
    <t>Complete Tipo (solo Bodega), Producto (elíjalo de la lista: escriba parte del nombre o del SKU para filtrarla), Cantidad y, si aplica, Fecha, Documento y Observaciones (obligatoria en los ajustes).</t>
  </si>
  <si>
    <t>Revise Disponible y Validación: debe decir «✔ Lista». Si dice ○ falta un dato; si dice ✖, corrija.</t>
  </si>
  <si>
    <t>Pulse el botón del script (junto a la barra superior de la hoja). Espere unos segundos.</t>
  </si>
  <si>
    <t>Lea Resultado: «✔ Registrado» con el ID del movimiento (su fila queda limpia para el siguiente) o «✖ Bloqueado» con el motivo (su fila se conserva para que la corrija).</t>
  </si>
  <si>
    <t>CONSULTAR UN PRODUCTO (17_CONSULTA)</t>
  </si>
  <si>
    <t>Su fila</t>
  </si>
  <si>
    <t>Cada usuario operativo tiene una fila con su nombre. Elija el producto en la columna Producto (la lista se filtra al escribir) y la fila muestra la ficha al instante. No hace falta ningún botón.</t>
  </si>
  <si>
    <t>Qué muestra</t>
  </si>
  <si>
    <t>Disponible exacto (calculado en vivo desde las dos bitácoras), estado del semáforo, mínimo, máximo, cantidad sugerida, proveedor, ubicación, último movimiento (fecha, tipo y quién), entradas y salidas de 30 días y la cobertura en días al ritmo de venta actual.</t>
  </si>
  <si>
    <t>Historial</t>
  </si>
  <si>
    <t>Para ver todos los movimientos de un producto: en 10A o 10B cree una Vista de hoja y filtre la columna Producto. Solo usted verá ese filtro.</t>
  </si>
  <si>
    <t>TOMA FÍSICA COLABORATIVA (13_CONTEO)</t>
  </si>
  <si>
    <t>Bodega pulse «Recalcular stock» justo antes de contar: la columna Sistema muestra la instantánea.</t>
  </si>
  <si>
    <t>Repartan el conteo por zonas (columna Ubicación). Cada contador escribe en la columna Conteo solo las filas de su zona: son celdas distintas, así que varias personas pueden contar a la vez.</t>
  </si>
  <si>
    <t>La columna Resultado se actualiza sola: ✔ Cuadra, ▲ Sobrante, ▼ Faltante, ● Saldo inicial (producto sin movimientos) o ✖ si la cantidad no es válida. Deje en blanco lo que no contó.</t>
  </si>
  <si>
    <t>El responsable (BODEGA o ADMIN) escribe la fecha del conteo, escribe SI en «Confirmar» y pulsa «Generar ajustes del conteo».</t>
  </si>
  <si>
    <t>El script compara cada conteo contra las bitácoras en ese momento y registra en 10A un AJUSTE (+), AJUSTE (-) o SALDO INICIAL por diferencia, con el documento CF-AAAAMMDD. Luego limpia los conteos procesados.</t>
  </si>
  <si>
    <t>Pulse «Recalcular stock» para ver el inventario ajustado. Si cuenta mientras se vende, registre las ventas antes de generar los ajustes (o cuente en un horario sin movimientos).</t>
  </si>
  <si>
    <t>PEDIDO SUGERIDO (18_PEDIDO)</t>
  </si>
  <si>
    <t>Qué es</t>
  </si>
  <si>
    <t>Lo calcula «Recalcular stock»: cada producto activo AGOTADO, CRÍTICO o BAJO con la cantidad para llegar al máximo, agrupado por proveedor, con costo, subtotal, días de entrega, fecha estimada y datos de contacto del proveedor.</t>
  </si>
  <si>
    <t>Cómo usarlo</t>
  </si>
  <si>
    <t>Filtre la columna Proveedor en su Vista de hoja y use Archivo › Imprimir (o Guardar como PDF) para enviar la orden. Cuando llegue la mercancía, Bodega registra la ENTRADA en 10A.</t>
  </si>
  <si>
    <t>ACTIVIDAD Y AUDITORÍA (14_ACTIVIDAD)</t>
  </si>
  <si>
    <t>Qué guarda</t>
  </si>
  <si>
    <t>Cada ejecución de un script: registros, bloqueos (con el motivo), recálculos y tomas físicas, con el correo de Microsoft 365, el nombre, la hora y el detalle. Solo la escriben los scripts.</t>
  </si>
  <si>
    <t>Para qué</t>
  </si>
  <si>
    <t>Responde «¿quién registró esto?», «¿por qué me bloqueó?» y «¿cuándo se recalculó?». La portada de Gerencia resume los registros y bloqueos de cada usuario en el mes.</t>
  </si>
  <si>
    <t>PORTADA DE GERENCIA</t>
  </si>
  <si>
    <t>Indicadores</t>
  </si>
  <si>
    <t>Valor del inventario, productos que requieren acción, total del pedido sugerido, movimientos del mes, unidades vendidas en 30 días, cobertura mediana, bloqueos del mes y usuarios activos.</t>
  </si>
  <si>
    <t>Gráficos y listas</t>
  </si>
  <si>
    <t>Unidades despachadas por mes, valor del inventario por categoría, los 10 productos más vendidos en 30 días (con su cobertura) y la actividad de cada usuario en el mes.</t>
  </si>
  <si>
    <t>¿POR QUÉ LA CANTIDAD SE PONE ROJA Y TACHADA?</t>
  </si>
  <si>
    <t>Poka-yoke</t>
  </si>
  <si>
    <t>Porque ese movimiento dejaría el stock en negativo (sale más de lo disponible). Excel lo marca en rojo sangre con texto blanco tachado y el script se niega a consolidarlo. Corrija la cantidad o confirme con Bodega si falta registrar una entrada.</t>
  </si>
  <si>
    <t>En la bitácora</t>
  </si>
  <si>
    <t>Si dos personas sacan el mismo producto al mismo tiempo y la segunda salida deja el stock en negativo, el script la marca «✖ Rechazado» (en rojo tachado) y no suma al stock: el registro queda como evidencia, pero no afecta el inventario.</t>
  </si>
  <si>
    <t>EL STOCK ES UNA INSTANTÁNEA: RECALCULAR</t>
  </si>
  <si>
    <t>Cuándo</t>
  </si>
  <si>
    <t>La barra superior de 15_STOCK, 16_ALERTAS, 18_PEDIDO y de las portadas dice cuándo y quién calculó el stock y si hay movimientos nuevos desde entonces. Si ve «⚠ … recalcule», pulse «Recalcular stock».</t>
  </si>
  <si>
    <t>Qué hace</t>
  </si>
  <si>
    <t>El script RecalcularStock lee las dos bitácoras oficiales y reescribe en una sola operación el stock, el semáforo, el valor, las salidas y la cobertura de 30 días, el ranking de ventas, las alertas y el pedido sugerido. Recalcule también después de modificar el catálogo.</t>
  </si>
  <si>
    <t>¿QUÉ PASA SI VARIAS PERSONAS REGISTRAN A LA VEZ?</t>
  </si>
  <si>
    <t>Filas propias</t>
  </si>
  <si>
    <t>Cada persona escribe en su propia fila de captura y de consulta: no hay dos personas editando la misma celda, que es lo que corrompe los datos en la coautoría.</t>
  </si>
  <si>
    <t>Agregar al final</t>
  </si>
  <si>
    <t>Los scripts agregan cada movimiento al final de la bitácora oficial con una sola operación del servidor e IDs que no dependen de un contador compartido: dos registros simultáneos producen dos filas, nunca se pisan.</t>
  </si>
  <si>
    <t>Doble control</t>
  </si>
  <si>
    <t>Después de agregar una salida o un ajuste negativo, el script vuelve a calcular el disponible; si otra persona se adelantó y el stock quedó en negativo, marca su propio registro como rechazado.</t>
  </si>
  <si>
    <t>CORREGIR UN ERROR</t>
  </si>
  <si>
    <t>Nunca borre</t>
  </si>
  <si>
    <t>La bitácora oficial es inmutable: no se borra ni se edita. Un error se corrige con un movimiento compensatorio: AJUSTE (+) o AJUSTE (-) en 10A_ENTRADAS con la explicación en Observaciones (ej: «Corrige la salida S-20260925-… registrada por 10 en vez de 8»).</t>
  </si>
  <si>
    <t>RESUMEN DIARIO POR CORREO (OPCIONAL, POWER AUTOMATE)</t>
  </si>
  <si>
    <t>Qué envía</t>
  </si>
  <si>
    <t>El script ResumenDiario no modifica el libro: devuelve el resumen del día (movimientos, bloqueos, productos en alerta y pedido sugerido) listo para un correo.</t>
  </si>
  <si>
    <t>Cómo</t>
  </si>
  <si>
    <t>En Power Automate cree un flujo programado (ej. cada día a las 7:00) con la acción «Ejecutar script» de Excel Online (Business) sobre este libro y «Enviar un correo (V2)» con el HTML del resultado. Detalle: docs/deployment/sharepoint-rbac-policies.md.</t>
  </si>
  <si>
    <t>INSTALACIÓN EN MICROSOFT 365 (ADMINISTRADOR)</t>
  </si>
  <si>
    <t>Suba este libro a una biblioteca de SharePoint (o a OneDrive) y compártalo: Editar para ADMIN, BODEGA y VENTAS; Ver para CONSULTA. Detalle: docs/deployment/sharepoint-rbac-policies.md.</t>
  </si>
  <si>
    <t>Registre a cada persona en 02_USUARIOS con su correo de Microsoft 365 y su rol, en orden y al final.</t>
  </si>
  <si>
    <t>En Excel (web o escritorio), pestaña Automatizar › Nuevo script: pegue cada archivo instalable (RegistrarEntrada, RegistrarSalida, RecalcularStock, GenerarAjustesConteo, ResumenDiario y DiagnosticoInstalacion) y guárdelo con el mismo nombre.</t>
  </si>
  <si>
    <t>Ejecute una vez DiagnosticoInstalacion: comprueba identidad, permisos, contraseña, tablas y filas.</t>
  </si>
  <si>
    <t>Agregue los botones: en el editor de código, «…» › Agregar en el libro, sobre cada recuadro amarillo ⚙ (10A, 10B, 13_CONTEO, 15_STOCK, 18_PEDIDO y portadas). Así el script queda compartido con el libro.</t>
  </si>
  <si>
    <t>Pulse «Recalcular stock» y cargue el SALDO INICIAL de cada producto: en 10A o, más rápido, con una toma física completa en 13_CONTEO (genera los saldos iniciales de los productos sin movimientos).</t>
  </si>
  <si>
    <t>PREGUNTAS FRECUENTES</t>
  </si>
  <si>
    <t>No veo el botón</t>
  </si>
  <si>
    <t>El administrador aún no instaló el script o no tiene permiso de edición. Revise la instalación (arriba) o pida acceso de edición en SharePoint.</t>
  </si>
  <si>
    <t>Mi fila dice sin asignar</t>
  </si>
  <si>
    <t>Su correo no está en 02_USUARIOS o no tiene el rol de ese fragmento. Pida al administrador que lo agregue (al final de la tabla).</t>
  </si>
  <si>
    <t>El script dice que no me identifica</t>
  </si>
  <si>
    <t>Los scripts leen su correo de Microsoft 365. Abra el libro con su cuenta de trabajo (no como invitado anónimo) y vuelva a intentar.</t>
  </si>
  <si>
    <t>El conteo no genera ajustes</t>
  </si>
  <si>
    <t>Revise que escribió SI en Confirmar, que la fecha es válida, que su rol es BODEGA o ADMIN y que los conteos no tengan ✖. El motivo queda en la celda Resultado del conteo y en 14_ACTIVIDAD.</t>
  </si>
  <si>
    <t>¿Funciona sin internet?</t>
  </si>
  <si>
    <t>No: la versión colaborativa necesita Excel conectado a Microsoft 365. Para trabajar sin conexión use la edición local M-INV V1.2.</t>
  </si>
  <si>
    <t>Documentación técnica: README.md · docs/deployment/inicio-rapido.md · .claude/v2-concurrency-rules.md · docs/deployment/sharepoint-rbac-policies.md · src/office-scripts/README.md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</si>
</sst>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\$\ #,##0"/>
    <numFmt numFmtId="165" formatCode="#,##0;\-#,##0;0"/>
    <numFmt numFmtId="166" formatCode="dd/mm/yyyy"/>
    <numFmt numFmtId="167" formatCode="0&quot; días&quot;"/>
    <numFmt numFmtId="168" formatCode="0&quot; d&quot;"/>
    <numFmt numFmtId="169" formatCode="dd/mm\ hh:mm"/>
    <numFmt numFmtId="170" formatCode="dd/mm/yyyy\ hh:mm"/>
    <numFmt numFmtId="171" formatCode="\+0;\-0;0"/>
    <numFmt numFmtId="172" formatCode="\+#,##0;\-#,##0;0"/>
    <numFmt numFmtId="173" formatCode="dd/mm/yyyy\ hh:mm:ss"/>
    <numFmt numFmtId="174" formatCode="\$\ #,##0;\-\$\ #,##0;\$\ 0"/>
    <numFmt numFmtId="175" formatCode="mmm\ yy"/>
    <numFmt numFmtId="176" formatCode="dd/mm"/>
    <numFmt numFmtId="177" formatCode="#,##0.##"/>
  </numFmts>
  <fonts count="50" x14ac:knownFonts="1">
    <font>
      <sz val="11"/>
      <color theme="1"/>
      <name val="Calibri"/>
      <family val="2"/>
      <scheme val="minor"/>
    </font>
    <font>
      <sz val="10"/>
      <color rgb="FF1F2937"/>
      <name val="Segoe UI"/>
      <family val="2"/>
    </font>
    <font>
      <sz val="16"/>
      <color rgb="FFFFFFFF"/>
      <name val="Segoe UI Semibold"/>
      <family val="2"/>
    </font>
    <font>
      <b/>
      <sz val="10"/>
      <color rgb="FFFFFFFF"/>
      <name val="Segoe UI"/>
      <family val="2"/>
    </font>
    <font>
      <sz val="9"/>
      <color rgb="FF9FB3C8"/>
      <name val="Segoe UI"/>
      <family val="2"/>
    </font>
    <font>
      <sz val="8.5"/>
      <color rgb="FF9FB3C8"/>
      <name val="Segoe UI"/>
      <family val="2"/>
    </font>
    <font>
      <sz val="9"/>
      <color rgb="FF0B1F33"/>
      <name val="Segoe UI Semibold"/>
      <family val="2"/>
    </font>
    <font>
      <sz val="9"/>
      <color rgb="FFDCE7F3"/>
      <name val="Segoe UI Semibold"/>
      <family val="2"/>
    </font>
    <font>
      <sz val="10"/>
      <color rgb="FF1F2937"/>
      <name val="Segoe UI Semibold"/>
      <family val="2"/>
    </font>
    <font>
      <b/>
      <sz val="8.5"/>
      <color rgb="FFB45309"/>
      <name val="Segoe UI"/>
      <family val="2"/>
    </font>
    <font>
      <sz val="11"/>
      <color rgb="FF0D47A1"/>
      <name val="Segoe UI Semibold"/>
      <family val="2"/>
    </font>
    <font>
      <sz val="11"/>
      <color rgb="FFFFFFFF"/>
      <name val="Segoe UI Semibold"/>
      <family val="2"/>
    </font>
    <font>
      <b/>
      <sz val="8.5"/>
      <color rgb="FF5F6B7A"/>
      <name val="Segoe UI"/>
      <family val="2"/>
    </font>
    <font>
      <sz val="22"/>
      <color rgb="FF2E7D32"/>
      <name val="Segoe UI Semibold"/>
      <family val="2"/>
    </font>
    <font>
      <sz val="22"/>
      <color rgb="FFC62828"/>
      <name val="Segoe UI Semibold"/>
      <family val="2"/>
    </font>
    <font>
      <sz val="22"/>
      <color rgb="FFB45309"/>
      <name val="Segoe UI Semibold"/>
      <family val="2"/>
    </font>
    <font>
      <sz val="22"/>
      <color rgb="FF1565C0"/>
      <name val="Segoe UI Semibold"/>
      <family val="2"/>
    </font>
    <font>
      <sz val="8.5"/>
      <color rgb="FF5F6B7A"/>
      <name val="Segoe UI"/>
      <family val="2"/>
    </font>
    <font>
      <b/>
      <sz val="9"/>
      <color rgb="FFFFFFFF"/>
      <name val="Segoe UI"/>
      <family val="2"/>
    </font>
    <font>
      <sz val="9"/>
      <color rgb="FF1F2937"/>
      <name val="Segoe UI"/>
      <family val="2"/>
    </font>
    <font>
      <b/>
      <sz val="9"/>
      <color rgb="FF1F2937"/>
      <name val="Segoe UI"/>
      <family val="2"/>
    </font>
    <font>
      <sz val="22"/>
      <color rgb="FF00796B"/>
      <name val="Segoe UI Semibold"/>
      <family val="2"/>
    </font>
    <font>
      <sz val="22"/>
      <color rgb="FF5E35B1"/>
      <name val="Segoe UI Semibold"/>
      <family val="2"/>
    </font>
    <font>
      <sz val="22"/>
      <color rgb="FF455A64"/>
      <name val="Segoe UI Semibold"/>
      <family val="2"/>
    </font>
    <font>
      <b/>
      <sz val="10.5"/>
      <color rgb="FF1565C0"/>
      <name val="Segoe UI"/>
      <family val="2"/>
    </font>
    <font>
      <b/>
      <sz val="9.5"/>
      <color rgb="FFFFFFFF"/>
      <name val="Segoe UI"/>
      <family val="2"/>
    </font>
    <font>
      <b/>
      <sz val="10"/>
      <color rgb="FF1F2937"/>
      <name val="Segoe UI"/>
      <family val="2"/>
    </font>
    <font>
      <b/>
      <sz val="10"/>
      <color rgb="FF0D47A1"/>
      <name val="Segoe UI"/>
      <family val="2"/>
    </font>
    <font>
      <sz val="9"/>
      <color rgb="FF5F6B7A"/>
      <name val="Segoe UI"/>
      <family val="2"/>
    </font>
    <font>
      <b/>
      <sz val="10"/>
      <color rgb="FF6A1B9A"/>
      <name val="Segoe UI"/>
      <family val="2"/>
    </font>
    <font>
      <b/>
      <sz val="10"/>
      <color rgb="FFC62828"/>
      <name val="Segoe UI"/>
      <family val="2"/>
    </font>
    <font>
      <b/>
      <sz val="10"/>
      <color rgb="FFB45309"/>
      <name val="Segoe UI"/>
      <family val="2"/>
    </font>
    <font>
      <b/>
      <sz val="10"/>
      <color rgb="FF2E7D32"/>
      <name val="Segoe UI"/>
      <family val="2"/>
    </font>
    <font>
      <b/>
      <sz val="10"/>
      <color rgb="FF1565C0"/>
      <name val="Segoe UI"/>
      <family val="2"/>
    </font>
    <font>
      <b/>
      <sz val="10"/>
      <color rgb="FF555F6D"/>
      <name val="Segoe UI"/>
      <family val="2"/>
    </font>
    <font>
      <i/>
      <sz val="8.5"/>
      <color rgb="FF5F6B7A"/>
      <name val="Segoe UI"/>
      <family val="2"/>
    </font>
    <font>
      <sz val="10"/>
      <color rgb="FF334155"/>
      <name val="Segoe UI"/>
      <family val="2"/>
    </font>
    <font>
      <b/>
      <sz val="10"/>
      <color rgb="FF334155"/>
      <name val="Segoe UI"/>
      <family val="2"/>
    </font>
    <font>
      <b/>
      <sz val="9"/>
      <color rgb="FF1565C0"/>
      <name val="Segoe UI"/>
      <family val="2"/>
    </font>
    <font>
      <i/>
      <sz val="9"/>
      <color rgb="FF5F6E84"/>
      <name val="Segoe UI"/>
      <family val="2"/>
    </font>
    <font>
      <sz val="8.5"/>
      <color rgb="FF5F6E84"/>
      <name val="Consolas"/>
      <family val="2"/>
    </font>
    <font>
      <sz val="9"/>
      <color rgb="FF334155"/>
      <name val="Segoe UI"/>
      <family val="2"/>
    </font>
    <font>
      <b/>
      <sz val="9.5"/>
      <color rgb="FF1F2937"/>
      <name val="Segoe UI"/>
      <family val="2"/>
    </font>
    <font>
      <sz val="10"/>
      <color rgb="FF5F6E84"/>
      <name val="Segoe UI"/>
      <family val="2"/>
    </font>
    <font>
      <sz val="9.5"/>
      <color rgb="FF1F2937"/>
      <name val="Segoe UI"/>
      <family val="2"/>
    </font>
    <font>
      <b/>
      <sz val="9"/>
      <color rgb="FF0D47A1"/>
      <name val="Segoe UI"/>
      <family val="2"/>
    </font>
    <font>
      <b/>
      <sz val="10"/>
      <color rgb="FF5F6B7A"/>
      <name val="Segoe UI"/>
      <family val="2"/>
    </font>
    <font>
      <sz val="11"/>
      <color rgb="FF1565C0"/>
      <name val="Segoe UI Semibold"/>
      <family val="2"/>
    </font>
    <font>
      <b/>
      <sz val="14"/>
      <color rgb="FF1F2937"/>
      <name val="Segoe UI"/>
      <family val="2"/>
    </font>
    <font>
      <b/>
      <sz val="9"/>
      <color rgb="FF5F6B7A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5F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5E35B1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455A64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B71C1C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1F4F8"/>
        <bgColor indexed="64"/>
      </patternFill>
    </fill>
  </fills>
  <borders count="18">
    <border>
      <left/>
      <right/>
      <top/>
      <bottom/>
      <diagonal/>
    </border>
    <border>
      <left style="medium">
        <color rgb="FF16324F"/>
      </left>
      <right style="medium">
        <color rgb="FF16324F"/>
      </right>
      <top style="medium">
        <color rgb="FF16324F"/>
      </top>
      <bottom style="medium">
        <color rgb="FF16324F"/>
      </bottom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mediumDashed">
        <color rgb="FFF59E0B"/>
      </left>
      <right style="mediumDashed">
        <color rgb="FFF59E0B"/>
      </right>
      <top style="mediumDashed">
        <color rgb="FFF59E0B"/>
      </top>
      <bottom style="mediumDashed">
        <color rgb="FFF59E0B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DDE3EA"/>
      </left>
      <right style="thin">
        <color rgb="FFDDE3EA"/>
      </right>
      <top style="thick">
        <color rgb="FF2E7D32"/>
      </top>
      <bottom/>
      <diagonal/>
    </border>
    <border>
      <left style="thin">
        <color rgb="FFDDE3EA"/>
      </left>
      <right style="thin">
        <color rgb="FFDDE3EA"/>
      </right>
      <top style="thick">
        <color rgb="FFC62828"/>
      </top>
      <bottom/>
      <diagonal/>
    </border>
    <border>
      <left style="thin">
        <color rgb="FFDDE3EA"/>
      </left>
      <right style="thin">
        <color rgb="FFDDE3EA"/>
      </right>
      <top style="thick">
        <color rgb="FFB45309"/>
      </top>
      <bottom/>
      <diagonal/>
    </border>
    <border>
      <left style="thin">
        <color rgb="FFDDE3EA"/>
      </left>
      <right style="thin">
        <color rgb="FFDDE3EA"/>
      </right>
      <top style="thick">
        <color rgb="FF1565C0"/>
      </top>
      <bottom/>
      <diagonal/>
    </border>
    <border>
      <left style="thin">
        <color rgb="FFDDE3EA"/>
      </left>
      <right style="thin">
        <color rgb="FFDDE3EA"/>
      </right>
      <top/>
      <bottom/>
      <diagonal/>
    </border>
    <border>
      <left style="thin">
        <color rgb="FFDDE3EA"/>
      </left>
      <right style="thin">
        <color rgb="FFDDE3EA"/>
      </right>
      <top/>
      <bottom style="thin">
        <color rgb="FFDDE3EA"/>
      </bottom>
      <diagonal/>
    </border>
    <border>
      <left/>
      <right/>
      <top/>
      <bottom style="thin">
        <color rgb="FFE5E7EB"/>
      </bottom>
      <diagonal/>
    </border>
    <border>
      <left style="thin">
        <color rgb="FFDDE3EA"/>
      </left>
      <right style="thin">
        <color rgb="FFDDE3EA"/>
      </right>
      <top style="thick">
        <color rgb="FF00796B"/>
      </top>
      <bottom/>
      <diagonal/>
    </border>
    <border>
      <left style="thin">
        <color rgb="FFDDE3EA"/>
      </left>
      <right style="thin">
        <color rgb="FFDDE3EA"/>
      </right>
      <top style="thick">
        <color rgb="FF5E35B1"/>
      </top>
      <bottom/>
      <diagonal/>
    </border>
    <border>
      <left style="thin">
        <color rgb="FFDDE3EA"/>
      </left>
      <right style="thin">
        <color rgb="FFDDE3EA"/>
      </right>
      <top style="thick">
        <color rgb="FF455A64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B3DE"/>
      </left>
      <right style="thin">
        <color rgb="FF8FB3DE"/>
      </right>
      <top style="thin">
        <color rgb="FF8FB3DE"/>
      </top>
      <bottom style="thin">
        <color rgb="FF8FB3D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4" fillId="2" borderId="0" xfId="0" applyFont="1" applyFill="1" applyAlignment="1" applyProtection="1">
      <alignment vertical="center"/>
      <protection hidden="1"/>
    </xf>
    <xf numFmtId="0" fontId="1" fillId="3" borderId="0" xfId="0" applyFont="1" applyFill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18" fillId="12" borderId="0" xfId="0" applyFont="1" applyFill="1" applyAlignment="1">
      <alignment horizontal="center" vertical="center"/>
    </xf>
    <xf numFmtId="0" fontId="19" fillId="4" borderId="11" xfId="0" applyFont="1" applyFill="1" applyBorder="1" applyAlignment="1" applyProtection="1">
      <alignment horizontal="left" vertical="center" indent="1"/>
      <protection hidden="1"/>
    </xf>
    <xf numFmtId="165" fontId="19" fillId="4" borderId="11" xfId="0" applyNumberFormat="1" applyFont="1" applyFill="1" applyBorder="1" applyAlignment="1" applyProtection="1">
      <alignment horizontal="right" vertical="center" indent="1"/>
      <protection hidden="1"/>
    </xf>
    <xf numFmtId="166" fontId="19" fillId="4" borderId="11" xfId="0" applyNumberFormat="1" applyFont="1" applyFill="1" applyBorder="1" applyAlignment="1" applyProtection="1">
      <alignment horizontal="center" vertical="center"/>
      <protection hidden="1"/>
    </xf>
    <xf numFmtId="0" fontId="20" fillId="4" borderId="11" xfId="0" applyFont="1" applyFill="1" applyBorder="1" applyAlignment="1" applyProtection="1">
      <alignment horizontal="center" vertical="center"/>
      <protection hidden="1"/>
    </xf>
    <xf numFmtId="0" fontId="19" fillId="4" borderId="11" xfId="0" applyFont="1" applyFill="1" applyBorder="1" applyAlignment="1" applyProtection="1">
      <alignment horizontal="center" vertical="center"/>
      <protection hidden="1"/>
    </xf>
    <xf numFmtId="168" fontId="19" fillId="4" borderId="11" xfId="0" applyNumberFormat="1" applyFont="1" applyFill="1" applyBorder="1" applyAlignment="1" applyProtection="1">
      <alignment horizontal="center" vertical="center"/>
      <protection hidden="1"/>
    </xf>
    <xf numFmtId="169" fontId="19" fillId="4" borderId="11" xfId="0" applyNumberFormat="1" applyFont="1" applyFill="1" applyBorder="1" applyAlignment="1" applyProtection="1">
      <alignment horizontal="center" vertical="center"/>
      <protection hidden="1"/>
    </xf>
    <xf numFmtId="0" fontId="4" fillId="2" borderId="0" xfId="0" applyFont="1" applyFill="1" applyAlignment="1">
      <alignment vertical="center"/>
    </xf>
    <xf numFmtId="0" fontId="24" fillId="0" borderId="0" xfId="0" applyFont="1" applyAlignment="1">
      <alignment vertical="center"/>
    </xf>
    <xf numFmtId="0" fontId="25" fillId="12" borderId="15" xfId="0" applyFont="1" applyFill="1" applyBorder="1" applyAlignment="1">
      <alignment horizontal="center" vertical="center" wrapText="1"/>
    </xf>
    <xf numFmtId="0" fontId="25" fillId="13" borderId="15" xfId="0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left" vertical="center" indent="1"/>
    </xf>
    <xf numFmtId="0" fontId="27" fillId="4" borderId="16" xfId="0" applyFont="1" applyFill="1" applyBorder="1" applyAlignment="1" applyProtection="1">
      <alignment horizontal="left" vertical="center" indent="1"/>
      <protection locked="0"/>
    </xf>
    <xf numFmtId="0" fontId="28" fillId="0" borderId="2" xfId="0" applyFont="1" applyBorder="1" applyAlignment="1">
      <alignment horizontal="left" vertical="center" wrapText="1" indent="1"/>
    </xf>
    <xf numFmtId="9" fontId="27" fillId="4" borderId="16" xfId="0" applyNumberFormat="1" applyFont="1" applyFill="1" applyBorder="1" applyAlignment="1" applyProtection="1">
      <alignment horizontal="left" vertical="center" indent="1"/>
      <protection locked="0"/>
    </xf>
    <xf numFmtId="167" fontId="27" fillId="4" borderId="16" xfId="0" applyNumberFormat="1" applyFont="1" applyFill="1" applyBorder="1" applyAlignment="1" applyProtection="1">
      <alignment horizontal="left" vertical="center" indent="1"/>
      <protection locked="0"/>
    </xf>
    <xf numFmtId="166" fontId="27" fillId="4" borderId="16" xfId="0" applyNumberFormat="1" applyFont="1" applyFill="1" applyBorder="1" applyAlignment="1" applyProtection="1">
      <alignment horizontal="left" vertical="center" indent="1"/>
      <protection locked="0"/>
    </xf>
    <xf numFmtId="170" fontId="27" fillId="4" borderId="16" xfId="0" applyNumberFormat="1" applyFont="1" applyFill="1" applyBorder="1" applyAlignment="1" applyProtection="1">
      <alignment horizontal="left" vertical="center" indent="1"/>
      <protection locked="0"/>
    </xf>
    <xf numFmtId="3" fontId="27" fillId="4" borderId="16" xfId="0" applyNumberFormat="1" applyFont="1" applyFill="1" applyBorder="1" applyAlignment="1" applyProtection="1">
      <alignment horizontal="left" vertical="center" indent="1"/>
      <protection locked="0"/>
    </xf>
    <xf numFmtId="171" fontId="26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 indent="1"/>
    </xf>
    <xf numFmtId="0" fontId="29" fillId="16" borderId="2" xfId="0" applyFont="1" applyFill="1" applyBorder="1" applyAlignment="1">
      <alignment horizontal="left" vertical="center" indent="1"/>
    </xf>
    <xf numFmtId="0" fontId="26" fillId="0" borderId="2" xfId="0" applyFont="1" applyBorder="1" applyAlignment="1">
      <alignment horizontal="center" vertical="center"/>
    </xf>
    <xf numFmtId="0" fontId="3" fillId="17" borderId="2" xfId="0" applyFont="1" applyFill="1" applyBorder="1" applyAlignment="1">
      <alignment horizontal="left" vertical="center" indent="1"/>
    </xf>
    <xf numFmtId="0" fontId="30" fillId="18" borderId="2" xfId="0" applyFont="1" applyFill="1" applyBorder="1" applyAlignment="1">
      <alignment horizontal="left" vertical="center" indent="1"/>
    </xf>
    <xf numFmtId="0" fontId="31" fillId="6" borderId="2" xfId="0" applyFont="1" applyFill="1" applyBorder="1" applyAlignment="1">
      <alignment horizontal="left" vertical="center" indent="1"/>
    </xf>
    <xf numFmtId="0" fontId="32" fillId="19" borderId="2" xfId="0" applyFont="1" applyFill="1" applyBorder="1" applyAlignment="1">
      <alignment horizontal="left" vertical="center" indent="1"/>
    </xf>
    <xf numFmtId="0" fontId="33" fillId="7" borderId="2" xfId="0" applyFont="1" applyFill="1" applyBorder="1" applyAlignment="1">
      <alignment horizontal="left" vertical="center" indent="1"/>
    </xf>
    <xf numFmtId="0" fontId="34" fillId="20" borderId="2" xfId="0" applyFont="1" applyFill="1" applyBorder="1" applyAlignment="1">
      <alignment horizontal="left" vertical="center" indent="1"/>
    </xf>
    <xf numFmtId="0" fontId="20" fillId="4" borderId="2" xfId="0" applyFont="1" applyFill="1" applyBorder="1" applyAlignment="1" applyProtection="1">
      <alignment horizontal="center" vertical="center"/>
      <protection hidden="1"/>
    </xf>
    <xf numFmtId="0" fontId="35" fillId="5" borderId="0" xfId="0" applyFont="1" applyFill="1" applyAlignment="1">
      <alignment horizontal="left" vertical="center" indent="1"/>
    </xf>
    <xf numFmtId="0" fontId="1" fillId="4" borderId="16" xfId="0" applyFont="1" applyFill="1" applyBorder="1" applyAlignment="1">
      <alignment horizontal="left" vertical="center" indent="1"/>
    </xf>
    <xf numFmtId="0" fontId="1" fillId="4" borderId="16" xfId="0" applyFont="1" applyFill="1" applyBorder="1" applyAlignment="1">
      <alignment horizontal="center" vertical="center"/>
    </xf>
    <xf numFmtId="0" fontId="36" fillId="21" borderId="17" xfId="0" applyFont="1" applyFill="1" applyBorder="1" applyAlignment="1" applyProtection="1">
      <alignment horizontal="center" vertical="center"/>
      <protection hidden="1"/>
    </xf>
    <xf numFmtId="0" fontId="37" fillId="21" borderId="17" xfId="0" applyFont="1" applyFill="1" applyBorder="1" applyAlignment="1" applyProtection="1">
      <alignment horizontal="left" vertical="center" indent="1"/>
      <protection hidden="1"/>
    </xf>
    <xf numFmtId="0" fontId="1" fillId="0" borderId="2" xfId="0" applyFont="1" applyBorder="1" applyAlignment="1">
      <alignment horizontal="left" vertical="center" indent="1"/>
    </xf>
    <xf numFmtId="0" fontId="38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center" vertical="center"/>
    </xf>
    <xf numFmtId="3" fontId="1" fillId="4" borderId="16" xfId="0" applyNumberFormat="1" applyFont="1" applyFill="1" applyBorder="1" applyAlignment="1">
      <alignment horizontal="right" vertical="center" indent="1"/>
    </xf>
    <xf numFmtId="164" fontId="1" fillId="4" borderId="16" xfId="0" applyNumberFormat="1" applyFont="1" applyFill="1" applyBorder="1" applyAlignment="1">
      <alignment horizontal="right" vertical="center" indent="1"/>
    </xf>
    <xf numFmtId="0" fontId="36" fillId="21" borderId="17" xfId="0" applyFont="1" applyFill="1" applyBorder="1" applyAlignment="1" applyProtection="1">
      <alignment horizontal="left" vertical="center" indent="1"/>
      <protection hidden="1"/>
    </xf>
    <xf numFmtId="0" fontId="1" fillId="4" borderId="16" xfId="0" applyFont="1" applyFill="1" applyBorder="1" applyAlignment="1" applyProtection="1">
      <alignment horizontal="left" vertical="center" indent="1"/>
      <protection locked="0"/>
    </xf>
    <xf numFmtId="166" fontId="1" fillId="4" borderId="16" xfId="0" applyNumberFormat="1" applyFont="1" applyFill="1" applyBorder="1" applyAlignment="1" applyProtection="1">
      <alignment horizontal="center" vertical="center"/>
      <protection locked="0"/>
    </xf>
    <xf numFmtId="3" fontId="1" fillId="4" borderId="16" xfId="0" applyNumberFormat="1" applyFont="1" applyFill="1" applyBorder="1" applyAlignment="1" applyProtection="1">
      <alignment horizontal="right" vertical="center" indent="1"/>
      <protection locked="0"/>
    </xf>
    <xf numFmtId="3" fontId="37" fillId="21" borderId="17" xfId="0" applyNumberFormat="1" applyFont="1" applyFill="1" applyBorder="1" applyAlignment="1" applyProtection="1">
      <alignment horizontal="right" vertical="center" indent="1"/>
      <protection hidden="1"/>
    </xf>
    <xf numFmtId="0" fontId="20" fillId="21" borderId="17" xfId="0" applyFont="1" applyFill="1" applyBorder="1" applyAlignment="1">
      <alignment horizontal="left" vertical="center" indent="1"/>
    </xf>
    <xf numFmtId="171" fontId="37" fillId="21" borderId="17" xfId="0" applyNumberFormat="1" applyFont="1" applyFill="1" applyBorder="1" applyAlignment="1" applyProtection="1">
      <alignment horizontal="center" vertical="center"/>
      <protection hidden="1"/>
    </xf>
    <xf numFmtId="3" fontId="36" fillId="21" borderId="17" xfId="0" applyNumberFormat="1" applyFont="1" applyFill="1" applyBorder="1" applyAlignment="1" applyProtection="1">
      <alignment horizontal="right" vertical="center" indent="1"/>
      <protection hidden="1"/>
    </xf>
    <xf numFmtId="0" fontId="40" fillId="21" borderId="17" xfId="0" applyFont="1" applyFill="1" applyBorder="1" applyAlignment="1" applyProtection="1">
      <alignment horizontal="center" vertical="center"/>
      <protection hidden="1"/>
    </xf>
    <xf numFmtId="166" fontId="36" fillId="21" borderId="17" xfId="0" applyNumberFormat="1" applyFont="1" applyFill="1" applyBorder="1" applyAlignment="1" applyProtection="1">
      <alignment horizontal="center" vertical="center"/>
      <protection hidden="1"/>
    </xf>
    <xf numFmtId="172" fontId="36" fillId="21" borderId="17" xfId="0" applyNumberFormat="1" applyFont="1" applyFill="1" applyBorder="1" applyAlignment="1" applyProtection="1">
      <alignment horizontal="right" vertical="center" indent="1"/>
      <protection hidden="1"/>
    </xf>
    <xf numFmtId="173" fontId="41" fillId="21" borderId="17" xfId="0" applyNumberFormat="1" applyFont="1" applyFill="1" applyBorder="1" applyAlignment="1" applyProtection="1">
      <alignment horizontal="center" vertical="center"/>
      <protection hidden="1"/>
    </xf>
    <xf numFmtId="0" fontId="1" fillId="4" borderId="16" xfId="0" applyFont="1" applyFill="1" applyBorder="1" applyAlignment="1" applyProtection="1">
      <alignment horizontal="center" vertical="center"/>
      <protection locked="0"/>
    </xf>
    <xf numFmtId="174" fontId="36" fillId="21" borderId="17" xfId="0" applyNumberFormat="1" applyFont="1" applyFill="1" applyBorder="1" applyAlignment="1" applyProtection="1">
      <alignment horizontal="right" vertical="center" indent="1"/>
      <protection hidden="1"/>
    </xf>
    <xf numFmtId="173" fontId="19" fillId="21" borderId="17" xfId="0" applyNumberFormat="1" applyFont="1" applyFill="1" applyBorder="1" applyAlignment="1" applyProtection="1">
      <alignment horizontal="center" vertical="center"/>
      <protection hidden="1"/>
    </xf>
    <xf numFmtId="0" fontId="41" fillId="21" borderId="17" xfId="0" applyFont="1" applyFill="1" applyBorder="1" applyAlignment="1" applyProtection="1">
      <alignment horizontal="left" vertical="center" indent="1"/>
      <protection hidden="1"/>
    </xf>
    <xf numFmtId="0" fontId="20" fillId="21" borderId="17" xfId="0" applyFont="1" applyFill="1" applyBorder="1" applyAlignment="1" applyProtection="1">
      <alignment horizontal="left" vertical="center" inden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left" vertical="center" indent="1"/>
      <protection hidden="1"/>
    </xf>
    <xf numFmtId="3" fontId="1" fillId="0" borderId="0" xfId="0" applyNumberFormat="1" applyFont="1" applyAlignment="1" applyProtection="1">
      <alignment horizontal="right" vertical="center" indent="1"/>
      <protection hidden="1"/>
    </xf>
    <xf numFmtId="3" fontId="26" fillId="0" borderId="0" xfId="0" applyNumberFormat="1" applyFont="1" applyAlignment="1" applyProtection="1">
      <alignment horizontal="right" vertical="center" indent="1"/>
      <protection hidden="1"/>
    </xf>
    <xf numFmtId="9" fontId="1" fillId="0" borderId="0" xfId="0" applyNumberFormat="1" applyFont="1" applyAlignment="1" applyProtection="1">
      <alignment horizontal="right" vertical="center" indent="1"/>
      <protection hidden="1"/>
    </xf>
    <xf numFmtId="0" fontId="26" fillId="0" borderId="0" xfId="0" applyFont="1" applyAlignment="1" applyProtection="1">
      <alignment horizontal="left" vertical="center" indent="1"/>
      <protection hidden="1"/>
    </xf>
    <xf numFmtId="164" fontId="1" fillId="0" borderId="0" xfId="0" applyNumberFormat="1" applyFont="1" applyAlignment="1" applyProtection="1">
      <alignment horizontal="right" vertical="center" indent="1"/>
      <protection hidden="1"/>
    </xf>
    <xf numFmtId="166" fontId="1" fillId="0" borderId="0" xfId="0" applyNumberFormat="1" applyFont="1" applyAlignment="1" applyProtection="1">
      <alignment horizontal="center" vertical="center"/>
      <protection hidden="1"/>
    </xf>
    <xf numFmtId="168" fontId="1" fillId="0" borderId="0" xfId="0" applyNumberFormat="1" applyFont="1" applyAlignment="1" applyProtection="1">
      <alignment horizontal="center" vertical="center"/>
      <protection hidden="1"/>
    </xf>
    <xf numFmtId="0" fontId="43" fillId="0" borderId="0" xfId="0" applyFont="1" applyAlignment="1" applyProtection="1">
      <alignment horizontal="center" vertical="center"/>
      <protection hidden="1"/>
    </xf>
    <xf numFmtId="168" fontId="36" fillId="21" borderId="17" xfId="0" applyNumberFormat="1" applyFont="1" applyFill="1" applyBorder="1" applyAlignment="1" applyProtection="1">
      <alignment horizontal="center" vertical="center"/>
      <protection hidden="1"/>
    </xf>
    <xf numFmtId="164" fontId="36" fillId="21" borderId="17" xfId="0" applyNumberFormat="1" applyFont="1" applyFill="1" applyBorder="1" applyAlignment="1" applyProtection="1">
      <alignment horizontal="right" vertical="center" indent="1"/>
      <protection hidden="1"/>
    </xf>
    <xf numFmtId="0" fontId="1" fillId="0" borderId="2" xfId="0" applyFont="1" applyBorder="1" applyAlignment="1" applyProtection="1">
      <alignment vertical="center"/>
      <protection hidden="1"/>
    </xf>
    <xf numFmtId="175" fontId="1" fillId="0" borderId="2" xfId="0" applyNumberFormat="1" applyFont="1" applyBorder="1" applyAlignment="1" applyProtection="1">
      <alignment vertical="center"/>
      <protection hidden="1"/>
    </xf>
    <xf numFmtId="164" fontId="1" fillId="0" borderId="2" xfId="0" applyNumberFormat="1" applyFont="1" applyBorder="1" applyAlignment="1" applyProtection="1">
      <alignment vertical="center"/>
      <protection hidden="1"/>
    </xf>
    <xf numFmtId="176" fontId="1" fillId="0" borderId="2" xfId="0" applyNumberFormat="1" applyFont="1" applyBorder="1" applyAlignment="1" applyProtection="1">
      <alignment vertical="center"/>
      <protection hidden="1"/>
    </xf>
    <xf numFmtId="3" fontId="1" fillId="0" borderId="2" xfId="0" applyNumberFormat="1" applyFont="1" applyBorder="1" applyAlignment="1" applyProtection="1">
      <alignment horizontal="right" vertical="center"/>
      <protection hidden="1"/>
    </xf>
    <xf numFmtId="1" fontId="1" fillId="0" borderId="2" xfId="0" applyNumberFormat="1" applyFont="1" applyBorder="1" applyAlignment="1" applyProtection="1">
      <alignment horizontal="right" vertical="center"/>
      <protection hidden="1"/>
    </xf>
    <xf numFmtId="164" fontId="1" fillId="0" borderId="2" xfId="0" applyNumberFormat="1" applyFont="1" applyBorder="1" applyAlignment="1" applyProtection="1">
      <alignment horizontal="right" vertical="center"/>
      <protection hidden="1"/>
    </xf>
    <xf numFmtId="177" fontId="1" fillId="0" borderId="2" xfId="0" applyNumberFormat="1" applyFont="1" applyBorder="1" applyAlignment="1" applyProtection="1">
      <alignment horizontal="right" vertical="center"/>
      <protection hidden="1"/>
    </xf>
    <xf numFmtId="49" fontId="1" fillId="0" borderId="2" xfId="0" applyNumberFormat="1" applyFont="1" applyBorder="1" applyAlignment="1" applyProtection="1">
      <alignment horizontal="right" vertical="center"/>
      <protection hidden="1"/>
    </xf>
    <xf numFmtId="0" fontId="46" fillId="0" borderId="0" xfId="0" applyFont="1" applyAlignment="1">
      <alignment vertical="center" wrapText="1"/>
    </xf>
    <xf numFmtId="0" fontId="48" fillId="4" borderId="2" xfId="0" applyFont="1" applyFill="1" applyBorder="1" applyAlignment="1" applyProtection="1">
      <alignment horizontal="center" vertical="center"/>
      <protection hidden="1"/>
    </xf>
    <xf numFmtId="0" fontId="35" fillId="5" borderId="0" xfId="0" applyFont="1" applyFill="1" applyAlignment="1">
      <alignment vertical="center"/>
    </xf>
    <xf numFmtId="0" fontId="3" fillId="2" borderId="0" xfId="0" applyFont="1" applyFill="1" applyAlignment="1" applyProtection="1">
      <alignment horizontal="right" vertical="center"/>
      <protection hidden="1"/>
    </xf>
    <xf numFmtId="0" fontId="1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8" fillId="4" borderId="2" xfId="0" applyFont="1" applyFill="1" applyBorder="1" applyAlignment="1" applyProtection="1">
      <alignment horizontal="left" vertical="center" indent="1"/>
      <protection hidden="1"/>
    </xf>
    <xf numFmtId="0" fontId="9" fillId="6" borderId="3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 applyProtection="1">
      <alignment horizontal="left" vertical="center" indent="1"/>
      <protection hidden="1"/>
    </xf>
    <xf numFmtId="0" fontId="11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11" fillId="11" borderId="4" xfId="0" applyFont="1" applyFill="1" applyBorder="1" applyAlignment="1" applyProtection="1">
      <alignment horizontal="center" vertical="center"/>
      <protection hidden="1"/>
    </xf>
    <xf numFmtId="0" fontId="12" fillId="4" borderId="5" xfId="0" applyFont="1" applyFill="1" applyBorder="1" applyAlignment="1">
      <alignment horizontal="left" vertical="center" indent="1"/>
    </xf>
    <xf numFmtId="3" fontId="13" fillId="4" borderId="9" xfId="0" applyNumberFormat="1" applyFont="1" applyFill="1" applyBorder="1" applyAlignment="1" applyProtection="1">
      <alignment horizontal="left" vertical="center" indent="1"/>
      <protection hidden="1"/>
    </xf>
    <xf numFmtId="0" fontId="1" fillId="4" borderId="9" xfId="0" applyFont="1" applyFill="1" applyBorder="1" applyAlignment="1">
      <alignment vertical="center"/>
    </xf>
    <xf numFmtId="0" fontId="17" fillId="4" borderId="10" xfId="0" applyFont="1" applyFill="1" applyBorder="1" applyAlignment="1" applyProtection="1">
      <alignment horizontal="left" vertical="center" indent="1"/>
      <protection hidden="1"/>
    </xf>
    <xf numFmtId="0" fontId="12" fillId="4" borderId="6" xfId="0" applyFont="1" applyFill="1" applyBorder="1" applyAlignment="1">
      <alignment horizontal="left" vertical="center" indent="1"/>
    </xf>
    <xf numFmtId="3" fontId="14" fillId="4" borderId="9" xfId="0" applyNumberFormat="1" applyFont="1" applyFill="1" applyBorder="1" applyAlignment="1" applyProtection="1">
      <alignment horizontal="left" vertical="center" indent="1"/>
      <protection hidden="1"/>
    </xf>
    <xf numFmtId="0" fontId="12" fillId="4" borderId="7" xfId="0" applyFont="1" applyFill="1" applyBorder="1" applyAlignment="1">
      <alignment horizontal="left" vertical="center" indent="1"/>
    </xf>
    <xf numFmtId="3" fontId="15" fillId="4" borderId="9" xfId="0" applyNumberFormat="1" applyFont="1" applyFill="1" applyBorder="1" applyAlignment="1" applyProtection="1">
      <alignment horizontal="left" vertical="center" indent="1"/>
      <protection hidden="1"/>
    </xf>
    <xf numFmtId="0" fontId="12" fillId="4" borderId="8" xfId="0" applyFont="1" applyFill="1" applyBorder="1" applyAlignment="1">
      <alignment horizontal="left" vertical="center" indent="1"/>
    </xf>
    <xf numFmtId="164" fontId="16" fillId="4" borderId="9" xfId="0" applyNumberFormat="1" applyFont="1" applyFill="1" applyBorder="1" applyAlignment="1" applyProtection="1">
      <alignment horizontal="left" vertical="center" indent="1"/>
      <protection hidden="1"/>
    </xf>
    <xf numFmtId="0" fontId="18" fillId="12" borderId="0" xfId="0" applyFont="1" applyFill="1" applyAlignment="1">
      <alignment horizontal="center" vertical="center"/>
    </xf>
    <xf numFmtId="0" fontId="19" fillId="4" borderId="11" xfId="0" applyFont="1" applyFill="1" applyBorder="1" applyAlignment="1" applyProtection="1">
      <alignment horizontal="left" vertical="center" indent="1"/>
      <protection hidden="1"/>
    </xf>
    <xf numFmtId="0" fontId="17" fillId="5" borderId="0" xfId="0" applyFont="1" applyFill="1" applyAlignment="1" applyProtection="1">
      <alignment horizontal="left" vertical="center" indent="1"/>
      <protection hidden="1"/>
    </xf>
    <xf numFmtId="0" fontId="17" fillId="5" borderId="0" xfId="0" applyFont="1" applyFill="1" applyAlignment="1">
      <alignment horizontal="right" vertical="center"/>
    </xf>
    <xf numFmtId="0" fontId="11" fillId="13" borderId="4" xfId="0" applyFont="1" applyFill="1" applyBorder="1" applyAlignment="1">
      <alignment horizontal="center" vertical="center" wrapText="1"/>
    </xf>
    <xf numFmtId="0" fontId="11" fillId="14" borderId="4" xfId="0" applyFont="1" applyFill="1" applyBorder="1" applyAlignment="1">
      <alignment horizontal="center" vertical="center" wrapText="1"/>
    </xf>
    <xf numFmtId="0" fontId="11" fillId="15" borderId="4" xfId="0" applyFont="1" applyFill="1" applyBorder="1" applyAlignment="1">
      <alignment horizontal="center" vertical="center" wrapText="1"/>
    </xf>
    <xf numFmtId="3" fontId="16" fillId="4" borderId="9" xfId="0" applyNumberFormat="1" applyFont="1" applyFill="1" applyBorder="1" applyAlignment="1" applyProtection="1">
      <alignment horizontal="left" vertical="center" indent="1"/>
      <protection hidden="1"/>
    </xf>
    <xf numFmtId="0" fontId="12" fillId="4" borderId="12" xfId="0" applyFont="1" applyFill="1" applyBorder="1" applyAlignment="1">
      <alignment horizontal="left" vertical="center" indent="1"/>
    </xf>
    <xf numFmtId="3" fontId="21" fillId="4" borderId="9" xfId="0" applyNumberFormat="1" applyFont="1" applyFill="1" applyBorder="1" applyAlignment="1" applyProtection="1">
      <alignment horizontal="left" vertical="center" indent="1"/>
      <protection hidden="1"/>
    </xf>
    <xf numFmtId="0" fontId="11" fillId="11" borderId="4" xfId="0" applyFont="1" applyFill="1" applyBorder="1" applyAlignment="1" applyProtection="1">
      <alignment horizontal="center" vertical="center" wrapText="1"/>
      <protection hidden="1"/>
    </xf>
    <xf numFmtId="0" fontId="11" fillId="13" borderId="4" xfId="0" applyFont="1" applyFill="1" applyBorder="1" applyAlignment="1" applyProtection="1">
      <alignment horizontal="center" vertical="center" wrapText="1"/>
      <protection hidden="1"/>
    </xf>
    <xf numFmtId="164" fontId="15" fillId="4" borderId="9" xfId="0" applyNumberFormat="1" applyFont="1" applyFill="1" applyBorder="1" applyAlignment="1" applyProtection="1">
      <alignment horizontal="left" vertical="center" indent="1"/>
      <protection hidden="1"/>
    </xf>
    <xf numFmtId="0" fontId="12" fillId="4" borderId="13" xfId="0" applyFont="1" applyFill="1" applyBorder="1" applyAlignment="1">
      <alignment horizontal="left" vertical="center" indent="1"/>
    </xf>
    <xf numFmtId="167" fontId="22" fillId="4" borderId="9" xfId="0" applyNumberFormat="1" applyFont="1" applyFill="1" applyBorder="1" applyAlignment="1" applyProtection="1">
      <alignment horizontal="left" vertical="center" indent="1"/>
      <protection hidden="1"/>
    </xf>
    <xf numFmtId="0" fontId="12" fillId="4" borderId="14" xfId="0" applyFont="1" applyFill="1" applyBorder="1" applyAlignment="1">
      <alignment horizontal="left" vertical="center" indent="1"/>
    </xf>
    <xf numFmtId="3" fontId="23" fillId="4" borderId="9" xfId="0" applyNumberFormat="1" applyFont="1" applyFill="1" applyBorder="1" applyAlignment="1" applyProtection="1">
      <alignment horizontal="left" vertical="center" indent="1"/>
      <protection hidden="1"/>
    </xf>
    <xf numFmtId="0" fontId="7" fillId="3" borderId="0" xfId="0" applyFont="1" applyFill="1" applyAlignment="1">
      <alignment horizontal="center" vertical="center"/>
    </xf>
    <xf numFmtId="0" fontId="20" fillId="4" borderId="2" xfId="0" applyFont="1" applyFill="1" applyBorder="1" applyAlignment="1" applyProtection="1">
      <alignment horizontal="center" vertical="center"/>
      <protection hidden="1"/>
    </xf>
    <xf numFmtId="0" fontId="35" fillId="5" borderId="0" xfId="0" applyFont="1" applyFill="1" applyAlignment="1">
      <alignment horizontal="left" vertical="center" wrapText="1" indent="1"/>
    </xf>
    <xf numFmtId="0" fontId="42" fillId="5" borderId="0" xfId="0" applyFont="1" applyFill="1" applyAlignment="1">
      <alignment horizontal="right" vertical="center"/>
    </xf>
    <xf numFmtId="0" fontId="20" fillId="4" borderId="2" xfId="0" applyFont="1" applyFill="1" applyBorder="1" applyAlignment="1">
      <alignment horizontal="left" vertical="center" wrapText="1" indent="1"/>
    </xf>
    <xf numFmtId="0" fontId="44" fillId="4" borderId="2" xfId="0" applyFont="1" applyFill="1" applyBorder="1" applyAlignment="1">
      <alignment horizontal="left" vertical="center" indent="1"/>
    </xf>
    <xf numFmtId="0" fontId="45" fillId="4" borderId="2" xfId="0" applyFont="1" applyFill="1" applyBorder="1" applyAlignment="1" applyProtection="1">
      <alignment horizontal="center" vertical="center"/>
      <protection hidden="1"/>
    </xf>
    <xf numFmtId="0" fontId="47" fillId="5" borderId="0" xfId="0" applyFont="1" applyFill="1" applyAlignment="1">
      <alignment vertical="center"/>
    </xf>
    <xf numFmtId="0" fontId="1" fillId="4" borderId="2" xfId="0" applyFont="1" applyFill="1" applyBorder="1" applyAlignment="1" applyProtection="1">
      <alignment horizontal="left" vertical="center" indent="1"/>
      <protection hidden="1"/>
    </xf>
    <xf numFmtId="0" fontId="1" fillId="4" borderId="2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280"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font>
        <color rgb="FFB45309"/>
      </font>
    </dxf>
    <dxf>
      <font>
        <color rgb="FF2E7D32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color rgb="FF555F6D"/>
      </font>
      <numFmt numFmtId="180" formatCode="&quot;● &quot;@"/>
      <fill>
        <patternFill>
          <bgColor rgb="FFF3F4F6"/>
        </patternFill>
      </fill>
    </dxf>
    <dxf>
      <font>
        <b/>
        <color rgb="FF1565C0"/>
      </font>
      <numFmt numFmtId="180" formatCode="&quot;● &quot;@"/>
      <fill>
        <patternFill>
          <bgColor rgb="FFE3F2FD"/>
        </patternFill>
      </fill>
    </dxf>
    <dxf>
      <font>
        <b/>
        <color rgb="FF2E7D32"/>
      </font>
      <numFmt numFmtId="180" formatCode="&quot;● &quot;@"/>
      <fill>
        <patternFill>
          <bgColor rgb="FFE8F5E9"/>
        </patternFill>
      </fill>
    </dxf>
    <dxf>
      <font>
        <b/>
        <color rgb="FFB45309"/>
      </font>
      <numFmt numFmtId="180" formatCode="&quot;● &quot;@"/>
      <fill>
        <patternFill>
          <bgColor rgb="FFFEF3C7"/>
        </patternFill>
      </fill>
    </dxf>
    <dxf>
      <font>
        <b/>
        <color rgb="FFC62828"/>
      </font>
      <numFmt numFmtId="180" formatCode="&quot;● &quot;@"/>
      <fill>
        <patternFill>
          <bgColor rgb="FFFDECEA"/>
        </patternFill>
      </fill>
    </dxf>
    <dxf>
      <font>
        <b/>
        <color rgb="FFFFFFFF"/>
      </font>
      <numFmt numFmtId="180" formatCode="&quot;● &quot;@"/>
      <fill>
        <patternFill>
          <bgColor rgb="FFB71C1C"/>
        </patternFill>
      </fill>
    </dxf>
    <dxf>
      <font>
        <b/>
        <color rgb="FF6A1B9A"/>
      </font>
      <numFmt numFmtId="180" formatCode="&quot;● &quot;@"/>
      <fill>
        <patternFill>
          <bgColor rgb="FFF3E5F5"/>
        </patternFill>
      </fill>
    </dxf>
    <dxf>
      <fill>
        <patternFill>
          <bgColor rgb="FFF8FAFC"/>
        </patternFill>
      </fill>
    </dxf>
    <dxf>
      <border>
        <left/>
        <right/>
        <top style="medium">
          <color rgb="FF1565C0"/>
        </top>
        <bottom/>
        <vertical/>
        <horizontal/>
      </border>
    </dxf>
    <dxf>
      <font>
        <b/>
        <color rgb="FF0D47A1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color rgb="FF555F6D"/>
      </font>
      <numFmt numFmtId="180" formatCode="&quot;● &quot;@"/>
      <fill>
        <patternFill>
          <bgColor rgb="FFF3F4F6"/>
        </patternFill>
      </fill>
    </dxf>
    <dxf>
      <font>
        <b/>
        <color rgb="FF1565C0"/>
      </font>
      <numFmt numFmtId="180" formatCode="&quot;● &quot;@"/>
      <fill>
        <patternFill>
          <bgColor rgb="FFE3F2FD"/>
        </patternFill>
      </fill>
    </dxf>
    <dxf>
      <font>
        <b/>
        <color rgb="FF2E7D32"/>
      </font>
      <numFmt numFmtId="180" formatCode="&quot;● &quot;@"/>
      <fill>
        <patternFill>
          <bgColor rgb="FFE8F5E9"/>
        </patternFill>
      </fill>
    </dxf>
    <dxf>
      <font>
        <b/>
        <color rgb="FFB45309"/>
      </font>
      <numFmt numFmtId="180" formatCode="&quot;● &quot;@"/>
      <fill>
        <patternFill>
          <bgColor rgb="FFFEF3C7"/>
        </patternFill>
      </fill>
    </dxf>
    <dxf>
      <font>
        <b/>
        <color rgb="FFC62828"/>
      </font>
      <numFmt numFmtId="180" formatCode="&quot;● &quot;@"/>
      <fill>
        <patternFill>
          <bgColor rgb="FFFDECEA"/>
        </patternFill>
      </fill>
    </dxf>
    <dxf>
      <font>
        <b/>
        <color rgb="FFFFFFFF"/>
      </font>
      <numFmt numFmtId="180" formatCode="&quot;● &quot;@"/>
      <fill>
        <patternFill>
          <bgColor rgb="FFB71C1C"/>
        </patternFill>
      </fill>
    </dxf>
    <dxf>
      <font>
        <b/>
        <color rgb="FF6A1B9A"/>
      </font>
      <numFmt numFmtId="180" formatCode="&quot;● &quot;@"/>
      <fill>
        <patternFill>
          <bgColor rgb="FFF3E5F5"/>
        </patternFill>
      </fill>
    </dxf>
    <dxf>
      <numFmt numFmtId="4" formatCode="#,##0.00"/>
    </dxf>
    <dxf>
      <font>
        <color rgb="FF5F6E84"/>
      </font>
      <fill>
        <patternFill>
          <bgColor rgb="FFF8FAFC"/>
        </patternFill>
      </fill>
    </dxf>
    <dxf>
      <font>
        <b/>
        <color rgb="FF0D47A1"/>
      </font>
    </dxf>
    <dxf>
      <numFmt numFmtId="178" formatCode=";;;&quot;(sin asignar)&quot;"/>
    </dxf>
    <dxf>
      <font>
        <b/>
        <color rgb="FF0D47A1"/>
      </font>
    </dxf>
    <dxf>
      <numFmt numFmtId="4" formatCode="#,##0.00"/>
    </dxf>
    <dxf>
      <numFmt numFmtId="4" formatCode="#,##0.00"/>
    </dxf>
    <dxf>
      <numFmt numFmtId="4" formatCode="#,##0.00"/>
    </dxf>
    <dxf>
      <font>
        <color rgb="FFB45309"/>
      </font>
      <fill>
        <patternFill>
          <bgColor rgb="FFFEF3C7"/>
        </patternFill>
      </fill>
    </dxf>
    <dxf>
      <font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555F6D"/>
        </patternFill>
      </fill>
    </dxf>
    <dxf>
      <font>
        <b/>
        <color rgb="FFFFFFFF"/>
      </font>
      <fill>
        <patternFill>
          <bgColor rgb="FF1565C0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B45309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FFFFFF"/>
      </font>
      <fill>
        <patternFill>
          <bgColor rgb="FFB71C1C"/>
        </patternFill>
      </fill>
    </dxf>
    <dxf>
      <font>
        <b/>
        <color rgb="FFFFFFFF"/>
      </font>
      <fill>
        <patternFill>
          <bgColor rgb="FF6A1B9A"/>
        </patternFill>
      </fill>
    </dxf>
    <dxf>
      <fill>
        <patternFill>
          <bgColor rgb="FFF8FAFC"/>
        </patternFill>
      </fill>
    </dxf>
    <dxf>
      <font>
        <b/>
        <color rgb="FF0D47A1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b/>
        <color rgb="FF555F6D"/>
      </font>
      <numFmt numFmtId="180" formatCode="&quot;● &quot;@"/>
      <fill>
        <patternFill>
          <bgColor rgb="FFF3F4F6"/>
        </patternFill>
      </fill>
    </dxf>
    <dxf>
      <font>
        <b/>
        <color rgb="FF1565C0"/>
      </font>
      <numFmt numFmtId="180" formatCode="&quot;● &quot;@"/>
      <fill>
        <patternFill>
          <bgColor rgb="FFE3F2FD"/>
        </patternFill>
      </fill>
    </dxf>
    <dxf>
      <font>
        <b/>
        <color rgb="FF2E7D32"/>
      </font>
      <numFmt numFmtId="180" formatCode="&quot;● &quot;@"/>
      <fill>
        <patternFill>
          <bgColor rgb="FFE8F5E9"/>
        </patternFill>
      </fill>
    </dxf>
    <dxf>
      <font>
        <b/>
        <color rgb="FFB45309"/>
      </font>
      <numFmt numFmtId="180" formatCode="&quot;● &quot;@"/>
      <fill>
        <patternFill>
          <bgColor rgb="FFFEF3C7"/>
        </patternFill>
      </fill>
    </dxf>
    <dxf>
      <font>
        <b/>
        <color rgb="FFC62828"/>
      </font>
      <numFmt numFmtId="180" formatCode="&quot;● &quot;@"/>
      <fill>
        <patternFill>
          <bgColor rgb="FFFDECEA"/>
        </patternFill>
      </fill>
    </dxf>
    <dxf>
      <font>
        <b/>
        <color rgb="FFFFFFFF"/>
      </font>
      <numFmt numFmtId="180" formatCode="&quot;● &quot;@"/>
      <fill>
        <patternFill>
          <bgColor rgb="FFB71C1C"/>
        </patternFill>
      </fill>
    </dxf>
    <dxf>
      <font>
        <b/>
        <color rgb="FF6A1B9A"/>
      </font>
      <numFmt numFmtId="180" formatCode="&quot;● &quot;@"/>
      <fill>
        <patternFill>
          <bgColor rgb="FFF3E5F5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color rgb="FFB45309"/>
      </font>
      <fill>
        <patternFill>
          <bgColor rgb="FFFEF3C7"/>
        </patternFill>
      </fill>
    </dxf>
    <dxf>
      <font>
        <color rgb="FFFFFFFF"/>
      </font>
      <fill>
        <patternFill>
          <bgColor rgb="FF2E7D32"/>
        </patternFill>
      </fill>
    </dxf>
    <dxf>
      <fill>
        <patternFill>
          <bgColor rgb="FFF8FAFC"/>
        </patternFill>
      </fill>
    </dxf>
    <dxf>
      <font>
        <color rgb="FF2E7D32"/>
      </font>
    </dxf>
    <dxf>
      <font>
        <color rgb="FFC62828"/>
      </font>
      <fill>
        <patternFill>
          <bgColor rgb="FFFDECEA"/>
        </patternFill>
      </fill>
    </dxf>
    <dxf>
      <font>
        <color rgb="FFC62828"/>
      </font>
      <fill>
        <patternFill>
          <bgColor rgb="FFFDECEA"/>
        </patternFill>
      </fill>
    </dxf>
    <dxf>
      <fill>
        <patternFill>
          <bgColor rgb="FFF8FAFC"/>
        </patternFill>
      </fill>
    </dxf>
    <dxf>
      <font>
        <b/>
        <color rgb="FF5E35B1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1565C0"/>
      </font>
    </dxf>
    <dxf>
      <font>
        <b/>
        <color rgb="FFC62828"/>
      </font>
      <fill>
        <patternFill>
          <bgColor rgb="FFFDECEA"/>
        </patternFill>
      </fill>
    </dxf>
    <dxf>
      <font>
        <b/>
        <color rgb="FF2E7D32"/>
      </font>
    </dxf>
    <dxf>
      <numFmt numFmtId="4" formatCode="#,##0.00"/>
    </dxf>
    <dxf>
      <font>
        <b/>
        <color rgb="FFC62828"/>
      </font>
    </dxf>
    <dxf>
      <font>
        <b/>
        <color rgb="FF1565C0"/>
      </font>
    </dxf>
    <dxf>
      <font>
        <color rgb="FFC62828"/>
      </font>
      <fill>
        <patternFill>
          <bgColor rgb="FFFDECEA"/>
        </patternFill>
      </fill>
    </dxf>
    <dxf>
      <font>
        <color rgb="FF2E7D32"/>
      </font>
      <fill>
        <patternFill>
          <bgColor rgb="FFE8F5E9"/>
        </patternFill>
      </fill>
    </dxf>
    <dxf>
      <numFmt numFmtId="4" formatCode="#,##0.00"/>
    </dxf>
    <dxf>
      <numFmt numFmtId="4" formatCode="#,##0.00"/>
    </dxf>
    <dxf>
      <font>
        <i/>
        <color rgb="FF5F6E84"/>
      </font>
    </dxf>
    <dxf>
      <font>
        <b/>
        <color rgb="FFC62828"/>
      </font>
    </dxf>
    <dxf>
      <font>
        <b/>
        <color rgb="FF2E7D32"/>
      </font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strike/>
        <color rgb="FFFFFFFF"/>
      </font>
      <fill>
        <patternFill>
          <bgColor rgb="FF8A0303"/>
        </patternFill>
      </fill>
    </dxf>
    <dxf>
      <numFmt numFmtId="179" formatCode="\+#,##0.00;\-#,##0.00;0"/>
    </dxf>
    <dxf>
      <font>
        <b/>
        <color rgb="FFC62828"/>
      </font>
    </dxf>
    <dxf>
      <font>
        <b/>
        <color rgb="FF2E7D32"/>
      </font>
    </dxf>
    <dxf>
      <numFmt numFmtId="4" formatCode="#,##0.00"/>
    </dxf>
    <dxf>
      <font>
        <b/>
        <strike/>
        <color rgb="FFFFFFFF"/>
      </font>
      <fill>
        <patternFill>
          <bgColor rgb="FF8A0303"/>
        </patternFill>
      </fill>
    </dxf>
    <dxf>
      <font>
        <b/>
        <strike/>
        <color rgb="FFFFFFFF"/>
      </font>
      <fill>
        <patternFill>
          <bgColor rgb="FF8A0303"/>
        </patternFill>
      </fill>
    </dxf>
    <dxf>
      <numFmt numFmtId="4" formatCode="#,##0.00"/>
    </dxf>
    <dxf>
      <font>
        <b/>
        <strike/>
        <color rgb="FFFFFFFF"/>
      </font>
      <fill>
        <patternFill>
          <bgColor rgb="FF8A0303"/>
        </patternFill>
      </fill>
    </dxf>
    <dxf>
      <numFmt numFmtId="4" formatCode="#,##0.00"/>
    </dxf>
    <dxf>
      <font>
        <b/>
        <color rgb="FFC62828"/>
      </font>
    </dxf>
    <dxf>
      <font>
        <b/>
        <color rgb="FF2E7D32"/>
      </font>
    </dxf>
    <dxf>
      <fill>
        <patternFill>
          <bgColor rgb="FFF8FAFC"/>
        </patternFill>
      </fill>
    </dxf>
    <dxf>
      <font>
        <color rgb="FF5F6E84"/>
      </font>
      <fill>
        <patternFill>
          <bgColor rgb="FFF8FAFC"/>
        </patternFill>
      </fill>
    </dxf>
    <dxf>
      <font>
        <b/>
        <color rgb="FF0D47A1"/>
      </font>
    </dxf>
    <dxf>
      <numFmt numFmtId="178" formatCode=";;;&quot;(sin asignar)&quot;"/>
    </dxf>
    <dxf>
      <font>
        <b/>
        <color rgb="FFC62828"/>
      </font>
    </dxf>
    <dxf>
      <font>
        <b/>
        <color rgb="FF2E7D32"/>
      </font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strike/>
        <color rgb="FFFFFFFF"/>
      </font>
      <fill>
        <patternFill>
          <bgColor rgb="FF8A0303"/>
        </patternFill>
      </fill>
    </dxf>
    <dxf>
      <numFmt numFmtId="179" formatCode="\+#,##0.00;\-#,##0.00;0"/>
    </dxf>
    <dxf>
      <font>
        <b/>
        <color rgb="FFC62828"/>
      </font>
    </dxf>
    <dxf>
      <font>
        <b/>
        <color rgb="FF2E7D32"/>
      </font>
    </dxf>
    <dxf>
      <numFmt numFmtId="4" formatCode="#,##0.00"/>
    </dxf>
    <dxf>
      <font>
        <b/>
        <strike/>
        <color rgb="FFFFFFFF"/>
      </font>
      <fill>
        <patternFill>
          <bgColor rgb="FF8A0303"/>
        </patternFill>
      </fill>
    </dxf>
    <dxf>
      <font>
        <b/>
        <strike/>
        <color rgb="FFFFFFFF"/>
      </font>
      <fill>
        <patternFill>
          <bgColor rgb="FF8A0303"/>
        </patternFill>
      </fill>
    </dxf>
    <dxf>
      <numFmt numFmtId="4" formatCode="#,##0.00"/>
    </dxf>
    <dxf>
      <font>
        <b/>
        <strike/>
        <color rgb="FFFFFFFF"/>
      </font>
      <fill>
        <patternFill>
          <bgColor rgb="FF8A0303"/>
        </patternFill>
      </fill>
    </dxf>
    <dxf>
      <numFmt numFmtId="4" formatCode="#,##0.00"/>
    </dxf>
    <dxf>
      <font>
        <b/>
        <color rgb="FFC62828"/>
      </font>
    </dxf>
    <dxf>
      <font>
        <b/>
        <color rgb="FF2E7D32"/>
      </font>
    </dxf>
    <dxf>
      <fill>
        <patternFill>
          <bgColor rgb="FFF8FAFC"/>
        </patternFill>
      </fill>
    </dxf>
    <dxf>
      <font>
        <color rgb="FF5F6E84"/>
      </font>
      <fill>
        <patternFill>
          <bgColor rgb="FFF8FAFC"/>
        </patternFill>
      </fill>
    </dxf>
    <dxf>
      <font>
        <b/>
        <color rgb="FF0D47A1"/>
      </font>
    </dxf>
    <dxf>
      <numFmt numFmtId="178" formatCode=";;;&quot;(sin asignar)&quot;"/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numFmt numFmtId="4" formatCode="#,##0.00"/>
    </dxf>
    <dxf>
      <numFmt numFmtId="4" formatCode="#,##0.00"/>
    </dxf>
    <dxf>
      <font>
        <i/>
        <color rgb="FF5F6E84"/>
      </font>
    </dxf>
    <dxf>
      <fill>
        <patternFill>
          <bgColor rgb="FFEAF3FE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color rgb="FFC62828"/>
      </font>
    </dxf>
    <dxf>
      <fill>
        <patternFill>
          <bgColor rgb="FFEAF3FE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ill>
        <patternFill>
          <bgColor rgb="FFEAF3FE"/>
        </patternFill>
      </fill>
    </dxf>
    <dxf>
      <font>
        <b/>
        <color rgb="FFC62828"/>
      </font>
    </dxf>
    <dxf>
      <font>
        <b/>
        <color rgb="FFB45309"/>
      </font>
    </dxf>
    <dxf>
      <numFmt numFmtId="4" formatCode="#,##0.00"/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C62828"/>
      </font>
      <fill>
        <patternFill>
          <bgColor rgb="FFFDECEA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2E7D32"/>
      </font>
    </dxf>
    <dxf>
      <font>
        <b/>
        <color rgb="FFC62828"/>
      </font>
    </dxf>
    <dxf>
      <numFmt numFmtId="4" formatCode="#,##0.00"/>
    </dxf>
    <dxf>
      <numFmt numFmtId="4" formatCode="#,##0.00"/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C62828"/>
      </font>
      <fill>
        <patternFill>
          <bgColor rgb="FFFDECEA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B45309"/>
      </font>
      <fill>
        <patternFill>
          <bgColor rgb="FFFEF3C7"/>
        </patternFill>
      </fill>
    </dxf>
    <dxf>
      <font>
        <b/>
        <color rgb="FFFFFFFF"/>
      </font>
      <fill>
        <patternFill>
          <bgColor rgb="FF555F6D"/>
        </patternFill>
      </fill>
    </dxf>
    <dxf>
      <font>
        <b/>
        <color rgb="FFFFFFFF"/>
      </font>
      <fill>
        <patternFill>
          <bgColor rgb="FF1565C0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B45309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FFFFFF"/>
      </font>
      <fill>
        <patternFill>
          <bgColor rgb="FFB71C1C"/>
        </patternFill>
      </fill>
    </dxf>
    <dxf>
      <font>
        <b/>
        <color rgb="FFFFFFFF"/>
      </font>
      <fill>
        <patternFill>
          <bgColor rgb="FF6A1B9A"/>
        </patternFill>
      </fill>
    </dxf>
    <dxf>
      <font>
        <color rgb="FF2E7D32"/>
      </font>
    </dxf>
    <dxf>
      <font>
        <b/>
        <color rgb="FFC62828"/>
      </font>
    </dxf>
    <dxf>
      <numFmt numFmtId="4" formatCode="#,##0.00"/>
    </dxf>
    <dxf>
      <numFmt numFmtId="4" formatCode="#,##0.00"/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C62828"/>
      </font>
      <fill>
        <patternFill>
          <bgColor rgb="FFFDECEA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B45309"/>
      </font>
      <fill>
        <patternFill>
          <bgColor rgb="FFFEF3C7"/>
        </patternFill>
      </fill>
    </dxf>
    <dxf>
      <font>
        <b/>
        <color rgb="FFFFFFFF"/>
      </font>
      <fill>
        <patternFill>
          <bgColor rgb="FF555F6D"/>
        </patternFill>
      </fill>
    </dxf>
    <dxf>
      <font>
        <b/>
        <color rgb="FFFFFFFF"/>
      </font>
      <fill>
        <patternFill>
          <bgColor rgb="FF1565C0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B45309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FFFFFF"/>
      </font>
      <fill>
        <patternFill>
          <bgColor rgb="FFB71C1C"/>
        </patternFill>
      </fill>
    </dxf>
    <dxf>
      <font>
        <b/>
        <color rgb="FFFFFFFF"/>
      </font>
      <fill>
        <patternFill>
          <bgColor rgb="FF6A1B9A"/>
        </patternFill>
      </fill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64" formatCode="\$\ 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68" formatCode="0&quot; d&quot;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74" formatCode="\$\ #,##0;\-\$\ #,##0;\$\ 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72" formatCode="\+#,##0;\-#,##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171" formatCode="\+0;\-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171" formatCode="\+0;\-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</a:defRPr>
            </a:pPr>
            <a:r>
              <a:rPr lang="en-US" sz="1000" b="1" baseline="0">
                <a:solidFill>
                  <a:srgbClr val="1F2937"/>
                </a:solidFill>
              </a:rPr>
              <a:t>Salud del inventario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Productos</c:v>
          </c:tx>
          <c:dPt>
            <c:idx val="0"/>
            <c:bubble3D val="0"/>
            <c:spPr>
              <a:solidFill>
                <a:srgbClr val="8E24AA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45AE-4369-9B1A-DF9DB104C060}"/>
              </c:ext>
            </c:extLst>
          </c:dPt>
          <c:dPt>
            <c:idx val="1"/>
            <c:bubble3D val="0"/>
            <c:spPr>
              <a:solidFill>
                <a:srgbClr val="9B1C1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45AE-4369-9B1A-DF9DB104C060}"/>
              </c:ext>
            </c:extLst>
          </c:dPt>
          <c:dPt>
            <c:idx val="2"/>
            <c:bubble3D val="0"/>
            <c:spPr>
              <a:solidFill>
                <a:srgbClr val="D32F2F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45AE-4369-9B1A-DF9DB104C060}"/>
              </c:ext>
            </c:extLst>
          </c:dPt>
          <c:dPt>
            <c:idx val="3"/>
            <c:bubble3D val="0"/>
            <c:spPr>
              <a:solidFill>
                <a:srgbClr val="F59E0B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5AE-4369-9B1A-DF9DB104C060}"/>
              </c:ext>
            </c:extLst>
          </c:dPt>
          <c:dPt>
            <c:idx val="4"/>
            <c:bubble3D val="0"/>
            <c:spPr>
              <a:solidFill>
                <a:srgbClr val="2E7D32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45AE-4369-9B1A-DF9DB104C060}"/>
              </c:ext>
            </c:extLst>
          </c:dPt>
          <c:dPt>
            <c:idx val="5"/>
            <c:bubble3D val="0"/>
            <c:spPr>
              <a:solidFill>
                <a:srgbClr val="1565C0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45AE-4369-9B1A-DF9DB104C0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'90_LISTAS'!$F$8:$F$13</c:f>
              <c:strCache>
                <c:ptCount val="6"/>
                <c:pt idx="0">
                  <c:v>INCONSISTENTE</c:v>
                </c:pt>
                <c:pt idx="1">
                  <c:v>AGOTADO</c:v>
                </c:pt>
                <c:pt idx="2">
                  <c:v>CRÍTICO</c:v>
                </c:pt>
                <c:pt idx="3">
                  <c:v>BAJO</c:v>
                </c:pt>
                <c:pt idx="4">
                  <c:v>ÓPTIMO</c:v>
                </c:pt>
                <c:pt idx="5">
                  <c:v>SOBRESTOCK</c:v>
                </c:pt>
              </c:strCache>
            </c:strRef>
          </c:cat>
          <c:val>
            <c:numRef>
              <c:f>'90_LISTAS'!$G$8:$G$13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AE-4369-9B1A-DF9DB104C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5"/>
      </c:doughnutChart>
    </c:plotArea>
    <c:legend>
      <c:legendPos val="r"/>
      <c:overlay val="0"/>
      <c:txPr>
        <a:bodyPr/>
        <a:lstStyle/>
        <a:p>
          <a:pPr rtl="0">
            <a:defRPr sz="800" baseline="0"/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>
      <a:solidFill>
        <a:srgbClr val="DDE3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</a:defRPr>
            </a:pPr>
            <a:r>
              <a:rPr lang="en-US" sz="1000" b="1" baseline="0">
                <a:solidFill>
                  <a:srgbClr val="1F2937"/>
                </a:solidFill>
              </a:rPr>
              <a:t>Unidades despachadas · últimos 7 días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Unidades despachadas</c:v>
          </c:tx>
          <c:spPr>
            <a:solidFill>
              <a:srgbClr val="1565C0"/>
            </a:solidFill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'90_LISTAS'!$F$17:$F$23</c:f>
              <c:numCache>
                <c:formatCode>dd/mm</c:formatCode>
                <c:ptCount val="7"/>
                <c:pt idx="0">
                  <c:v>46284</c:v>
                </c:pt>
                <c:pt idx="1">
                  <c:v>46285</c:v>
                </c:pt>
                <c:pt idx="2">
                  <c:v>46286</c:v>
                </c:pt>
                <c:pt idx="3">
                  <c:v>46287</c:v>
                </c:pt>
                <c:pt idx="4">
                  <c:v>46288</c:v>
                </c:pt>
                <c:pt idx="5">
                  <c:v>46289</c:v>
                </c:pt>
                <c:pt idx="6">
                  <c:v>46290</c:v>
                </c:pt>
              </c:numCache>
            </c:numRef>
          </c:cat>
          <c:val>
            <c:numRef>
              <c:f>'90_LISTAS'!$G$17:$G$23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27-4D55-AD92-9386EC5D9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20001"/>
        <c:axId val="50020002"/>
      </c:barChart>
      <c:dateAx>
        <c:axId val="50020001"/>
        <c:scaling>
          <c:orientation val="minMax"/>
        </c:scaling>
        <c:delete val="0"/>
        <c:axPos val="b"/>
        <c:numFmt formatCode="dd/mm" sourceLinked="0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Offset val="100"/>
        <c:baseTimeUnit val="days"/>
      </c:dateAx>
      <c:valAx>
        <c:axId val="5002000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spPr>
    <a:solidFill>
      <a:srgbClr val="FFFFFF"/>
    </a:solidFill>
    <a:ln>
      <a:solidFill>
        <a:srgbClr val="DDE3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</a:defRPr>
            </a:pPr>
            <a:r>
              <a:rPr lang="en-US" sz="1000" b="1" baseline="0">
                <a:solidFill>
                  <a:srgbClr val="1F2937"/>
                </a:solidFill>
              </a:rPr>
              <a:t>Unidades despachadas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Unidades despachadas</c:v>
          </c:tx>
          <c:spPr>
            <a:solidFill>
              <a:srgbClr val="00796B"/>
            </a:solidFill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'90_LISTAS'!$I$8:$I$13</c:f>
              <c:numCache>
                <c:formatCode>mmm\ yy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'90_LISTAS'!$J$8:$J$13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4C-4DF8-BD04-A765F32E9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50030001"/>
        <c:axId val="50030002"/>
      </c:barChart>
      <c:dateAx>
        <c:axId val="5003000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2"/>
        <c:crosses val="autoZero"/>
        <c:auto val="1"/>
        <c:lblOffset val="100"/>
        <c:baseTimeUnit val="months"/>
      </c:dateAx>
      <c:valAx>
        <c:axId val="5003000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spPr>
    <a:solidFill>
      <a:srgbClr val="FFFFFF"/>
    </a:solidFill>
    <a:ln>
      <a:solidFill>
        <a:srgbClr val="DDE3EA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</a:defRPr>
            </a:pPr>
            <a:r>
              <a:rPr lang="en-US" sz="1000" b="1" baseline="0">
                <a:solidFill>
                  <a:srgbClr val="1F2937"/>
                </a:solidFill>
              </a:rPr>
              <a:t>Valor del inventario por categoría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Valor del inventario</c:v>
          </c:tx>
          <c:spPr>
            <a:solidFill>
              <a:srgbClr val="1565C0"/>
            </a:solidFill>
          </c:spPr>
          <c:invertIfNegative val="0"/>
          <c:dLbls>
            <c:numFmt formatCode="\$\ #,##0,,&quot;M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'90_LISTAS'!$L$8:$L$13</c:f>
              <c:strCache>
                <c:ptCount val="6"/>
                <c:pt idx="0">
                  <c:v>MATERIA PRIMA</c:v>
                </c:pt>
                <c:pt idx="1">
                  <c:v>PRODUCTO TERMINADO</c:v>
                </c:pt>
                <c:pt idx="2">
                  <c:v>INSUMOS</c:v>
                </c:pt>
                <c:pt idx="3">
                  <c:v>REPUESTOS</c:v>
                </c:pt>
                <c:pt idx="4">
                  <c:v>EMPAQUES</c:v>
                </c:pt>
                <c:pt idx="5">
                  <c:v>GENERAL</c:v>
                </c:pt>
              </c:strCache>
            </c:strRef>
          </c:cat>
          <c:val>
            <c:numRef>
              <c:f>'90_LISTAS'!$M$8:$M$13</c:f>
              <c:numCache>
                <c:formatCode>\$\ 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19-4606-96C2-038674091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40001"/>
        <c:axId val="50040002"/>
      </c:barChart>
      <c:catAx>
        <c:axId val="5004000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1"/>
        <c:axPos val="t"/>
        <c:numFmt formatCode="\$\ #,##0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spPr>
    <a:solidFill>
      <a:srgbClr val="FFFFFF"/>
    </a:solidFill>
    <a:ln>
      <a:solidFill>
        <a:srgbClr val="DDE3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19</xdr:row>
      <xdr:rowOff>0</xdr:rowOff>
    </xdr:from>
    <xdr:to>
      <xdr:col>13</xdr:col>
      <xdr:colOff>0</xdr:colOff>
      <xdr:row>30</xdr:row>
      <xdr:rowOff>171450</xdr:rowOff>
    </xdr:to>
    <xdr:graphicFrame macro="">
      <xdr:nvGraphicFramePr>
        <xdr:cNvPr id="2" name="Chart 1" descr="Gráfico: productos por estado (instantánea)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19</xdr:row>
      <xdr:rowOff>0</xdr:rowOff>
    </xdr:from>
    <xdr:to>
      <xdr:col>13</xdr:col>
      <xdr:colOff>0</xdr:colOff>
      <xdr:row>30</xdr:row>
      <xdr:rowOff>171450</xdr:rowOff>
    </xdr:to>
    <xdr:graphicFrame macro="">
      <xdr:nvGraphicFramePr>
        <xdr:cNvPr id="2" name="Chart 1" descr="Gráfico: unidades despachadas por día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24</xdr:row>
      <xdr:rowOff>19050</xdr:rowOff>
    </xdr:from>
    <xdr:to>
      <xdr:col>6</xdr:col>
      <xdr:colOff>876300</xdr:colOff>
      <xdr:row>36</xdr:row>
      <xdr:rowOff>190500</xdr:rowOff>
    </xdr:to>
    <xdr:graphicFrame macro="">
      <xdr:nvGraphicFramePr>
        <xdr:cNvPr id="2" name="Chart 1" descr="Gráfico: unidades despachadas por mes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</xdr:colOff>
      <xdr:row>24</xdr:row>
      <xdr:rowOff>19050</xdr:rowOff>
    </xdr:from>
    <xdr:to>
      <xdr:col>12</xdr:col>
      <xdr:colOff>876300</xdr:colOff>
      <xdr:row>36</xdr:row>
      <xdr:rowOff>190500</xdr:rowOff>
    </xdr:to>
    <xdr:graphicFrame macro="">
      <xdr:nvGraphicFramePr>
        <xdr:cNvPr id="3" name="Chart 2" descr="Gráfico: valor del inventario por categoría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iposMov" displayName="tblTiposMov" ref="B26:E31" totalsRowShown="0">
  <tableColumns count="4">
    <tableColumn id="1" xr3:uid="{00000000-0010-0000-0000-000001000000}" name="Tipo"/>
    <tableColumn id="2" xr3:uid="{00000000-0010-0000-0000-000002000000}" name="FactorStock"/>
    <tableColumn id="3" xr3:uid="{00000000-0010-0000-0000-000003000000}" name="Dominio"/>
    <tableColumn id="4" xr3:uid="{00000000-0010-0000-0000-000004000000}" name="Descripció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Estados" displayName="tblEstados" ref="B34:E41" totalsRowShown="0">
  <tableColumns count="4">
    <tableColumn id="1" xr3:uid="{00000000-0010-0000-0100-000001000000}" name="Estado"/>
    <tableColumn id="2" xr3:uid="{00000000-0010-0000-0100-000002000000}" name="Prioridad"/>
    <tableColumn id="3" xr3:uid="{00000000-0010-0000-0100-000003000000}" name="Regla"/>
    <tableColumn id="4" xr3:uid="{00000000-0010-0000-0100-000004000000}" name="Acció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Usuarios" displayName="tblUsuarios" ref="B7:I57" totalsRowShown="0">
  <autoFilter ref="B7:I57" xr:uid="{00000000-0009-0000-0100-000003000000}"/>
  <tableColumns count="8">
    <tableColumn id="1" xr3:uid="{00000000-0010-0000-0200-000001000000}" name="Correo"/>
    <tableColumn id="2" xr3:uid="{00000000-0010-0000-0200-000002000000}" name="Nombre"/>
    <tableColumn id="3" xr3:uid="{00000000-0010-0000-0200-000003000000}" name="Rol"/>
    <tableColumn id="4" xr3:uid="{00000000-0010-0000-0200-000004000000}" name="Activo"/>
    <tableColumn id="5" xr3:uid="{00000000-0010-0000-0200-000005000000}" name="OrdenBodega" dataDxfId="279">
      <calculatedColumnFormula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calculatedColumnFormula>
    </tableColumn>
    <tableColumn id="6" xr3:uid="{00000000-0010-0000-0200-000006000000}" name="OrdenVentas" dataDxfId="278">
      <calculatedColumnFormula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calculatedColumnFormula>
    </tableColumn>
    <tableColumn id="7" xr3:uid="{00000000-0010-0000-0200-000007000000}" name="OrdenConsulta" dataDxfId="277">
      <calculatedColumnFormula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calculatedColumnFormula>
    </tableColumn>
    <tableColumn id="8" xr3:uid="{00000000-0010-0000-0200-000008000000}" name="Validación" dataDxfId="276">
      <calculatedColumnFormula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tegorias" displayName="tblCategorias" ref="B7:D13" totalsRowShown="0">
  <tableColumns count="3">
    <tableColumn id="1" xr3:uid="{00000000-0010-0000-0300-000001000000}" name="Código"/>
    <tableColumn id="2" xr3:uid="{00000000-0010-0000-0300-000002000000}" name="Categoría"/>
    <tableColumn id="3" xr3:uid="{00000000-0010-0000-0300-000003000000}" name="Descripció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Proveedores" displayName="tblProveedores" ref="B7:J107" totalsRowShown="0">
  <autoFilter ref="B7:J107" xr:uid="{00000000-0009-0000-0100-000005000000}"/>
  <tableColumns count="9">
    <tableColumn id="1" xr3:uid="{00000000-0010-0000-0400-000001000000}" name="Proveedor"/>
    <tableColumn id="2" xr3:uid="{00000000-0010-0000-0400-000002000000}" name="NIT"/>
    <tableColumn id="3" xr3:uid="{00000000-0010-0000-0400-000003000000}" name="Contacto"/>
    <tableColumn id="4" xr3:uid="{00000000-0010-0000-0400-000004000000}" name="Teléfono"/>
    <tableColumn id="5" xr3:uid="{00000000-0010-0000-0400-000005000000}" name="Correo"/>
    <tableColumn id="6" xr3:uid="{00000000-0010-0000-0400-000006000000}" name="DiasEntrega"/>
    <tableColumn id="7" xr3:uid="{00000000-0010-0000-0400-000007000000}" name="Productos" dataDxfId="275">
      <calculatedColumnFormula>IF(tblProveedores[[#This Row],[Proveedor]]="","",COUNTIF(tblProductos[Proveedor],tblProveedores[[#This Row],[Proveedor]]))</calculatedColumnFormula>
    </tableColumn>
    <tableColumn id="8" xr3:uid="{00000000-0010-0000-0400-000008000000}" name="EnAlerta" dataDxfId="274">
      <calculatedColumnFormula>IF(tblProveedores[[#This Row],[Proveedor]]="","",SUMPRODUCT(COUNTIFS(tblStock[Proveedor],tblProveedores[[#This Row],[Proveedor]],tblStock[Estado],{"INCONSISTENTE","AGOTADO","CRÍTICO","BAJO"})))</calculatedColumnFormula>
    </tableColumn>
    <tableColumn id="9" xr3:uid="{00000000-0010-0000-0400-000009000000}" name="Validación" dataDxfId="273">
      <calculatedColumnFormula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roductos" displayName="tblProductos" ref="B7:N507" totalsRowShown="0">
  <autoFilter ref="B7:N507" xr:uid="{00000000-0009-0000-0100-000006000000}"/>
  <tableColumns count="13">
    <tableColumn id="1" xr3:uid="{00000000-0010-0000-0500-000001000000}" name="SKU"/>
    <tableColumn id="2" xr3:uid="{00000000-0010-0000-0500-000002000000}" name="Producto"/>
    <tableColumn id="3" xr3:uid="{00000000-0010-0000-0500-000003000000}" name="Categoría"/>
    <tableColumn id="4" xr3:uid="{00000000-0010-0000-0500-000004000000}" name="Unidad"/>
    <tableColumn id="5" xr3:uid="{00000000-0010-0000-0500-000005000000}" name="StockMin"/>
    <tableColumn id="6" xr3:uid="{00000000-0010-0000-0500-000006000000}" name="StockMax"/>
    <tableColumn id="7" xr3:uid="{00000000-0010-0000-0500-000007000000}" name="CostoUnitario"/>
    <tableColumn id="8" xr3:uid="{00000000-0010-0000-0500-000008000000}" name="Proveedor"/>
    <tableColumn id="9" xr3:uid="{00000000-0010-0000-0500-000009000000}" name="Ubicación"/>
    <tableColumn id="10" xr3:uid="{00000000-0010-0000-0500-00000A000000}" name="Activo"/>
    <tableColumn id="11" xr3:uid="{00000000-0010-0000-0500-00000B000000}" name="Etiqueta" dataDxfId="272">
      <calculatedColumnFormula>IF(OR(tblProductos[[#This Row],[SKU]]="",tblProductos[[#This Row],[Producto]]=""),"",tblProductos[[#This Row],[SKU]]&amp;" · "&amp;tblProductos[[#This Row],[Producto]]&amp;IF(tblProductos[[#This Row],[Activo]]="NO","  (inactivo)",""))</calculatedColumnFormula>
    </tableColumn>
    <tableColumn id="12" xr3:uid="{00000000-0010-0000-0500-00000C000000}" name="Movimientos" dataDxfId="271">
      <calculatedColumnFormula>IF(tblProductos[[#This Row],[SKU]]="","",COUNTIF(tblEntradas[SKU],tblProductos[[#This Row],[SKU]])+COUNTIF(tblSalidas[SKU],tblProductos[[#This Row],[SKU]]))</calculatedColumnFormula>
    </tableColumn>
    <tableColumn id="13" xr3:uid="{00000000-0010-0000-0500-00000D000000}" name="Validación" dataDxfId="270">
      <calculatedColumnFormula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Unidades" displayName="tblUnidades" ref="B7:E16" totalsRowShown="0">
  <tableColumns count="4">
    <tableColumn id="1" xr3:uid="{00000000-0010-0000-0600-000001000000}" name="Código"/>
    <tableColumn id="2" xr3:uid="{00000000-0010-0000-0600-000002000000}" name="Unidad"/>
    <tableColumn id="3" xr3:uid="{00000000-0010-0000-0600-000003000000}" name="Decimales"/>
    <tableColumn id="4" xr3:uid="{00000000-0010-0000-0600-000004000000}" name="Descripción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CapturaEntradas" displayName="tblCapturaEntradas" ref="B8:P23" totalsRowShown="0">
  <autoFilter ref="B8:P23" xr:uid="{00000000-0009-0000-0100-000008000000}"/>
  <tableColumns count="15">
    <tableColumn id="1" xr3:uid="{00000000-0010-0000-0700-000001000000}" name="Usuario" dataDxfId="269">
      <calculatedColumnFormula>IFERROR(INDEX(tblUsuarios[Nombre],MATCH(ROW()-ROW(tblCapturaEntradas[#Headers]),tblUsuarios[OrdenBodega],0)),"")</calculatedColumnFormula>
    </tableColumn>
    <tableColumn id="2" xr3:uid="{00000000-0010-0000-0700-000002000000}" name="Tipo"/>
    <tableColumn id="3" xr3:uid="{00000000-0010-0000-0700-000003000000}" name="Fecha"/>
    <tableColumn id="4" xr3:uid="{00000000-0010-0000-0700-000004000000}" name="Producto"/>
    <tableColumn id="5" xr3:uid="{00000000-0010-0000-0700-000005000000}" name="Cantidad"/>
    <tableColumn id="6" xr3:uid="{00000000-0010-0000-0700-000006000000}" name="Documento"/>
    <tableColumn id="7" xr3:uid="{00000000-0010-0000-0700-000007000000}" name="Observaciones"/>
    <tableColumn id="8" xr3:uid="{00000000-0010-0000-0700-000008000000}" name="Disponible" dataDxfId="268">
      <calculatedColumnFormula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calculatedColumnFormula>
    </tableColumn>
    <tableColumn id="9" xr3:uid="{00000000-0010-0000-0700-000009000000}" name="Validación" dataDxfId="267">
      <calculatedColumnFormula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calculatedColumnFormula>
    </tableColumn>
    <tableColumn id="10" xr3:uid="{00000000-0010-0000-0700-00000A000000}" name="Resultado"/>
    <tableColumn id="11" xr3:uid="{00000000-0010-0000-0700-00000B000000}" name="Unidad" dataDxfId="266">
      <calculatedColumnFormula>IF(tblCapturaEntradas[[#This Row],[SKU]]="","",IFERROR(INDEX(tblProductos[Unidad],MATCH(tblCapturaEntradas[[#This Row],[SKU]],tblProductos[SKU],0)),"?"))</calculatedColumnFormula>
    </tableColumn>
    <tableColumn id="12" xr3:uid="{00000000-0010-0000-0700-00000C000000}" name="Factor" dataDxfId="265">
      <calculatedColumnFormula>IF(tblCapturaEntradas[[#This Row],[Tipo]]="","",IFERROR(INDEX(tblTiposMov[FactorStock],MATCH(tblCapturaEntradas[[#This Row],[Tipo]],tblTiposMov[Tipo],0))*(INDEX(tblTiposMov[Dominio],MATCH(tblCapturaEntradas[[#This Row],[Tipo]],tblTiposMov[Tipo],0))="BODEGA"),0))</calculatedColumnFormula>
    </tableColumn>
    <tableColumn id="13" xr3:uid="{00000000-0010-0000-0700-00000D000000}" name="Correo" dataDxfId="264">
      <calculatedColumnFormula>IFERROR(INDEX(tblUsuarios[Correo],MATCH(ROW()-ROW(tblCapturaEntradas[#Headers]),tblUsuarios[OrdenBodega],0)),"")</calculatedColumnFormula>
    </tableColumn>
    <tableColumn id="14" xr3:uid="{00000000-0010-0000-0700-00000E000000}" name="SKU" dataDxfId="263">
      <calculatedColumnFormula>IF(tblCapturaEntradas[[#This Row],[Producto]]="","",TRIM(LEFT(tblCapturaEntradas[[#This Row],[Producto]],FIND(" · ",tblCapturaEntradas[[#This Row],[Producto]]&amp;" · ")-1)))</calculatedColumnFormula>
    </tableColumn>
    <tableColumn id="15" xr3:uid="{00000000-0010-0000-0700-00000F000000}" name="Queda" dataDxfId="262">
      <calculatedColumnFormula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Entradas" displayName="tblEntradas" ref="B27:P28" totalsRowShown="0">
  <autoFilter ref="B27:P28" xr:uid="{00000000-0009-0000-0100-000009000000}"/>
  <tableColumns count="15">
    <tableColumn id="1" xr3:uid="{00000000-0010-0000-0800-000001000000}" name="ID"/>
    <tableColumn id="2" xr3:uid="{00000000-0010-0000-0800-000002000000}" name="Tipo"/>
    <tableColumn id="3" xr3:uid="{00000000-0010-0000-0800-000003000000}" name="Fecha"/>
    <tableColumn id="4" xr3:uid="{00000000-0010-0000-0800-000004000000}" name="Producto"/>
    <tableColumn id="5" xr3:uid="{00000000-0010-0000-0800-000005000000}" name="Cantidad"/>
    <tableColumn id="6" xr3:uid="{00000000-0010-0000-0800-000006000000}" name="Documento"/>
    <tableColumn id="7" xr3:uid="{00000000-0010-0000-0800-000007000000}" name="Observaciones"/>
    <tableColumn id="8" xr3:uid="{00000000-0010-0000-0800-000008000000}" name="CantidadNeta"/>
    <tableColumn id="9" xr3:uid="{00000000-0010-0000-0800-000009000000}" name="Estado"/>
    <tableColumn id="10" xr3:uid="{00000000-0010-0000-0800-00000A000000}" name="Registró"/>
    <tableColumn id="11" xr3:uid="{00000000-0010-0000-0800-00000B000000}" name="Unidad"/>
    <tableColumn id="12" xr3:uid="{00000000-0010-0000-0800-00000C000000}" name="FactorStock"/>
    <tableColumn id="13" xr3:uid="{00000000-0010-0000-0800-00000D000000}" name="Usuario_O365"/>
    <tableColumn id="14" xr3:uid="{00000000-0010-0000-0800-00000E000000}" name="SKU"/>
    <tableColumn id="15" xr3:uid="{00000000-0010-0000-0800-00000F000000}" name="Timestamp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CapturaSalidas" displayName="tblCapturaSalidas" ref="B8:P23" totalsRowShown="0">
  <autoFilter ref="B8:P23" xr:uid="{00000000-0009-0000-0100-00000A000000}"/>
  <tableColumns count="15">
    <tableColumn id="1" xr3:uid="{00000000-0010-0000-0900-000001000000}" name="Usuario" dataDxfId="261">
      <calculatedColumnFormula>IFERROR(INDEX(tblUsuarios[Nombre],MATCH(ROW()-ROW(tblCapturaSalidas[#Headers]),tblUsuarios[OrdenVentas],0)),"")</calculatedColumnFormula>
    </tableColumn>
    <tableColumn id="2" xr3:uid="{00000000-0010-0000-0900-000002000000}" name="Tipo" dataDxfId="260">
      <calculatedColumnFormula>IF(tblCapturaSalidas[[#This Row],[Correo]]="","","SALIDA")</calculatedColumnFormula>
    </tableColumn>
    <tableColumn id="3" xr3:uid="{00000000-0010-0000-0900-000003000000}" name="Fecha"/>
    <tableColumn id="4" xr3:uid="{00000000-0010-0000-0900-000004000000}" name="Producto"/>
    <tableColumn id="5" xr3:uid="{00000000-0010-0000-0900-000005000000}" name="Cantidad"/>
    <tableColumn id="6" xr3:uid="{00000000-0010-0000-0900-000006000000}" name="Documento"/>
    <tableColumn id="7" xr3:uid="{00000000-0010-0000-0900-000007000000}" name="Observaciones"/>
    <tableColumn id="8" xr3:uid="{00000000-0010-0000-0900-000008000000}" name="Disponible" dataDxfId="259">
      <calculatedColumnFormula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calculatedColumnFormula>
    </tableColumn>
    <tableColumn id="9" xr3:uid="{00000000-0010-0000-0900-000009000000}" name="Validación" dataDxfId="258">
      <calculatedColumnFormula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calculatedColumnFormula>
    </tableColumn>
    <tableColumn id="10" xr3:uid="{00000000-0010-0000-0900-00000A000000}" name="Resultado"/>
    <tableColumn id="11" xr3:uid="{00000000-0010-0000-0900-00000B000000}" name="Unidad" dataDxfId="257">
      <calculatedColumnFormula>IF(tblCapturaSalidas[[#This Row],[SKU]]="","",IFERROR(INDEX(tblProductos[Unidad],MATCH(tblCapturaSalidas[[#This Row],[SKU]],tblProductos[SKU],0)),"?"))</calculatedColumnFormula>
    </tableColumn>
    <tableColumn id="12" xr3:uid="{00000000-0010-0000-0900-00000C000000}" name="Factor" dataDxfId="256">
      <calculatedColumnFormula>IF(tblCapturaSalidas[[#This Row],[Correo]]="","",-1)</calculatedColumnFormula>
    </tableColumn>
    <tableColumn id="13" xr3:uid="{00000000-0010-0000-0900-00000D000000}" name="Correo" dataDxfId="255">
      <calculatedColumnFormula>IFERROR(INDEX(tblUsuarios[Correo],MATCH(ROW()-ROW(tblCapturaSalidas[#Headers]),tblUsuarios[OrdenVentas],0)),"")</calculatedColumnFormula>
    </tableColumn>
    <tableColumn id="14" xr3:uid="{00000000-0010-0000-0900-00000E000000}" name="SKU" dataDxfId="254">
      <calculatedColumnFormula>IF(tblCapturaSalidas[[#This Row],[Producto]]="","",TRIM(LEFT(tblCapturaSalidas[[#This Row],[Producto]],FIND(" · ",tblCapturaSalidas[[#This Row],[Producto]]&amp;" · ")-1)))</calculatedColumnFormula>
    </tableColumn>
    <tableColumn id="15" xr3:uid="{00000000-0010-0000-0900-00000F000000}" name="Queda" dataDxfId="253">
      <calculatedColumnFormula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Salidas" displayName="tblSalidas" ref="B27:P28" totalsRowShown="0">
  <autoFilter ref="B27:P28" xr:uid="{00000000-0009-0000-0100-00000B000000}"/>
  <tableColumns count="15">
    <tableColumn id="1" xr3:uid="{00000000-0010-0000-0A00-000001000000}" name="ID"/>
    <tableColumn id="2" xr3:uid="{00000000-0010-0000-0A00-000002000000}" name="Tipo"/>
    <tableColumn id="3" xr3:uid="{00000000-0010-0000-0A00-000003000000}" name="Fecha"/>
    <tableColumn id="4" xr3:uid="{00000000-0010-0000-0A00-000004000000}" name="Producto"/>
    <tableColumn id="5" xr3:uid="{00000000-0010-0000-0A00-000005000000}" name="Cantidad"/>
    <tableColumn id="6" xr3:uid="{00000000-0010-0000-0A00-000006000000}" name="Documento"/>
    <tableColumn id="7" xr3:uid="{00000000-0010-0000-0A00-000007000000}" name="Observaciones"/>
    <tableColumn id="8" xr3:uid="{00000000-0010-0000-0A00-000008000000}" name="CantidadNeta"/>
    <tableColumn id="9" xr3:uid="{00000000-0010-0000-0A00-000009000000}" name="Estado"/>
    <tableColumn id="10" xr3:uid="{00000000-0010-0000-0A00-00000A000000}" name="Registró"/>
    <tableColumn id="11" xr3:uid="{00000000-0010-0000-0A00-00000B000000}" name="Unidad"/>
    <tableColumn id="12" xr3:uid="{00000000-0010-0000-0A00-00000C000000}" name="FactorStock"/>
    <tableColumn id="13" xr3:uid="{00000000-0010-0000-0A00-00000D000000}" name="Usuario_O365"/>
    <tableColumn id="14" xr3:uid="{00000000-0010-0000-0A00-00000E000000}" name="SKU"/>
    <tableColumn id="15" xr3:uid="{00000000-0010-0000-0A00-00000F000000}" name="Timestamp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Conteo" displayName="tblConteo" ref="B8:M508" totalsRowShown="0">
  <autoFilter ref="B8:M508" xr:uid="{00000000-0009-0000-0100-00000C000000}"/>
  <tableColumns count="12">
    <tableColumn id="1" xr3:uid="{00000000-0010-0000-0B00-000001000000}" name="SKU" dataDxfId="252">
      <calculatedColumnFormula>IF(INDEX(tblProductos[SKU],ROW()-ROW(tblConteo[#Headers]))="","",INDEX(tblProductos[SKU],ROW()-ROW(tblConteo[#Headers])))</calculatedColumnFormula>
    </tableColumn>
    <tableColumn id="2" xr3:uid="{00000000-0010-0000-0B00-000002000000}" name="Producto" dataDxfId="251">
      <calculatedColumnFormula>IF(tblConteo[[#This Row],[SKU]]="","",INDEX(tblProductos[Producto],ROW()-ROW(tblConteo[#Headers])))</calculatedColumnFormula>
    </tableColumn>
    <tableColumn id="3" xr3:uid="{00000000-0010-0000-0B00-000003000000}" name="Categoría" dataDxfId="250">
      <calculatedColumnFormula>IF(tblConteo[[#This Row],[SKU]]="","",INDEX(tblProductos[Categoría],ROW()-ROW(tblConteo[#Headers]))&amp;"")</calculatedColumnFormula>
    </tableColumn>
    <tableColumn id="4" xr3:uid="{00000000-0010-0000-0B00-000004000000}" name="Ubicación" dataDxfId="249">
      <calculatedColumnFormula>IF(tblConteo[[#This Row],[SKU]]="","",INDEX(tblProductos[Ubicación],ROW()-ROW(tblConteo[#Headers]))&amp;"")</calculatedColumnFormula>
    </tableColumn>
    <tableColumn id="5" xr3:uid="{00000000-0010-0000-0B00-000005000000}" name="Unidad" dataDxfId="248">
      <calculatedColumnFormula>IF(tblConteo[[#This Row],[SKU]]="","",INDEX(tblProductos[Unidad],ROW()-ROW(tblConteo[#Headers]))&amp;"")</calculatedColumnFormula>
    </tableColumn>
    <tableColumn id="6" xr3:uid="{00000000-0010-0000-0B00-000006000000}" name="Activo" dataDxfId="247">
      <calculatedColumnFormula>IF(tblConteo[[#This Row],[SKU]]="","",IF(INDEX(tblProductos[Activo],ROW()-ROW(tblConteo[#Headers]))="NO","NO","SI"))</calculatedColumnFormula>
    </tableColumn>
    <tableColumn id="7" xr3:uid="{00000000-0010-0000-0B00-000007000000}" name="Sistema" dataDxfId="246">
      <calculatedColumnFormula>IF(tblConteo[[#This Row],[SKU]]="","",IFERROR(N(INDEX(tblStock[StockActual],MATCH(tblConteo[[#This Row],[SKU]],tblStock[SKU],0))),0))</calculatedColumnFormula>
    </tableColumn>
    <tableColumn id="8" xr3:uid="{00000000-0010-0000-0B00-000008000000}" name="Conteo"/>
    <tableColumn id="9" xr3:uid="{00000000-0010-0000-0B00-000009000000}" name="Diferencia" dataDxfId="245">
      <calculatedColumnFormula>IF(OR(tblConteo[[#This Row],[SKU]]="",tblConteo[[#This Row],[Conteo]]=""),"",IF(ISNUMBER(tblConteo[[#This Row],[Conteo]]),tblConteo[[#This Row],[Conteo]]-N(tblConteo[[#This Row],[Sistema]]),""))</calculatedColumnFormula>
    </tableColumn>
    <tableColumn id="10" xr3:uid="{00000000-0010-0000-0B00-00000A000000}" name="ValorDiferencia" dataDxfId="244">
      <calculatedColumnFormula>IF(tblConteo[[#This Row],[Diferencia]]="","",tblConteo[[#This Row],[Diferencia]]*N(INDEX(tblProductos[CostoUnitario],ROW()-ROW(tblConteo[#Headers]))))</calculatedColumnFormula>
    </tableColumn>
    <tableColumn id="11" xr3:uid="{00000000-0010-0000-0B00-00000B000000}" name="Resultado" dataDxfId="243">
      <calculatedColumnFormula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calculatedColumnFormula>
    </tableColumn>
    <tableColumn id="12" xr3:uid="{00000000-0010-0000-0B00-00000C000000}" name="AjusteSugerido" dataDxfId="242">
      <calculatedColumnFormula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calculatedColumnFormula>
    </tableColumn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Actividad" displayName="tblActividad" ref="B7:H8" totalsRowShown="0">
  <autoFilter ref="B7:H8" xr:uid="{00000000-0009-0000-0100-00000D000000}"/>
  <tableColumns count="7">
    <tableColumn id="1" xr3:uid="{00000000-0010-0000-0C00-000001000000}" name="ID"/>
    <tableColumn id="2" xr3:uid="{00000000-0010-0000-0C00-000002000000}" name="Timestamp"/>
    <tableColumn id="3" xr3:uid="{00000000-0010-0000-0C00-000003000000}" name="Usuario_O365"/>
    <tableColumn id="4" xr3:uid="{00000000-0010-0000-0C00-000004000000}" name="Nombre"/>
    <tableColumn id="5" xr3:uid="{00000000-0010-0000-0C00-000005000000}" name="Script"/>
    <tableColumn id="6" xr3:uid="{00000000-0010-0000-0C00-000006000000}" name="Resultado"/>
    <tableColumn id="7" xr3:uid="{00000000-0010-0000-0C00-000007000000}" name="Detalle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Stock" displayName="tblStock" ref="B7:U507" totalsRowShown="0">
  <autoFilter ref="B7:U507" xr:uid="{00000000-0009-0000-0100-00000E000000}"/>
  <tableColumns count="20">
    <tableColumn id="1" xr3:uid="{00000000-0010-0000-0D00-000001000000}" name="SKU"/>
    <tableColumn id="2" xr3:uid="{00000000-0010-0000-0D00-000002000000}" name="Producto"/>
    <tableColumn id="3" xr3:uid="{00000000-0010-0000-0D00-000003000000}" name="Categoría"/>
    <tableColumn id="4" xr3:uid="{00000000-0010-0000-0D00-000004000000}" name="Proveedor"/>
    <tableColumn id="5" xr3:uid="{00000000-0010-0000-0D00-000005000000}" name="Unidad"/>
    <tableColumn id="6" xr3:uid="{00000000-0010-0000-0D00-000006000000}" name="Activo"/>
    <tableColumn id="7" xr3:uid="{00000000-0010-0000-0D00-000007000000}" name="Entradas"/>
    <tableColumn id="8" xr3:uid="{00000000-0010-0000-0D00-000008000000}" name="Salidas"/>
    <tableColumn id="9" xr3:uid="{00000000-0010-0000-0D00-000009000000}" name="StockActual"/>
    <tableColumn id="10" xr3:uid="{00000000-0010-0000-0D00-00000A000000}" name="StockMin"/>
    <tableColumn id="11" xr3:uid="{00000000-0010-0000-0D00-00000B000000}" name="StockMax"/>
    <tableColumn id="12" xr3:uid="{00000000-0010-0000-0D00-00000C000000}" name="Nivel"/>
    <tableColumn id="13" xr3:uid="{00000000-0010-0000-0D00-00000D000000}" name="Estado"/>
    <tableColumn id="14" xr3:uid="{00000000-0010-0000-0D00-00000E000000}" name="CostoUnitario"/>
    <tableColumn id="15" xr3:uid="{00000000-0010-0000-0D00-00000F000000}" name="ValorInventario"/>
    <tableColumn id="16" xr3:uid="{00000000-0010-0000-0D00-000010000000}" name="UltimoMov"/>
    <tableColumn id="17" xr3:uid="{00000000-0010-0000-0D00-000011000000}" name="DiasSinMov"/>
    <tableColumn id="18" xr3:uid="{00000000-0010-0000-0D00-000012000000}" name="Salidas30d"/>
    <tableColumn id="19" xr3:uid="{00000000-0010-0000-0D00-000013000000}" name="CoberturaDias"/>
    <tableColumn id="20" xr3:uid="{00000000-0010-0000-0D00-000014000000}" name="RankSalidas30d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Alertas" displayName="tblAlertas" ref="B7:O507" totalsRowShown="0">
  <autoFilter ref="B7:O507" xr:uid="{00000000-0009-0000-0100-00000F000000}"/>
  <tableColumns count="14">
    <tableColumn id="1" xr3:uid="{00000000-0010-0000-0E00-000001000000}" name="#"/>
    <tableColumn id="2" xr3:uid="{00000000-0010-0000-0E00-000002000000}" name="Estado"/>
    <tableColumn id="3" xr3:uid="{00000000-0010-0000-0E00-000003000000}" name="SKU"/>
    <tableColumn id="4" xr3:uid="{00000000-0010-0000-0E00-000004000000}" name="Producto"/>
    <tableColumn id="5" xr3:uid="{00000000-0010-0000-0E00-000005000000}" name="Categoría"/>
    <tableColumn id="6" xr3:uid="{00000000-0010-0000-0E00-000006000000}" name="Proveedor"/>
    <tableColumn id="7" xr3:uid="{00000000-0010-0000-0E00-000007000000}" name="Stock"/>
    <tableColumn id="8" xr3:uid="{00000000-0010-0000-0E00-000008000000}" name="Mínimo"/>
    <tableColumn id="9" xr3:uid="{00000000-0010-0000-0E00-000009000000}" name="Máximo"/>
    <tableColumn id="10" xr3:uid="{00000000-0010-0000-0E00-00000A000000}" name="Unidad"/>
    <tableColumn id="11" xr3:uid="{00000000-0010-0000-0E00-00000B000000}" name="Faltante"/>
    <tableColumn id="12" xr3:uid="{00000000-0010-0000-0E00-00000C000000}" name="SugeridoPedir"/>
    <tableColumn id="13" xr3:uid="{00000000-0010-0000-0E00-00000D000000}" name="AcciónSugerida"/>
    <tableColumn id="14" xr3:uid="{00000000-0010-0000-0E00-00000E000000}" name="UltimoMov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Consulta" displayName="tblConsulta" ref="B8:S28" totalsRowShown="0">
  <autoFilter ref="B8:S28" xr:uid="{00000000-0009-0000-0100-000010000000}"/>
  <tableColumns count="18">
    <tableColumn id="1" xr3:uid="{00000000-0010-0000-0F00-000001000000}" name="Usuario" dataDxfId="241">
      <calculatedColumnFormula>IFERROR(INDEX(tblUsuarios[Nombre],MATCH(ROW()-ROW(tblConsulta[#Headers]),tblUsuarios[OrdenConsulta],0)),"")</calculatedColumnFormula>
    </tableColumn>
    <tableColumn id="2" xr3:uid="{00000000-0010-0000-0F00-000002000000}" name="Producto"/>
    <tableColumn id="3" xr3:uid="{00000000-0010-0000-0F00-000003000000}" name="Disponible" dataDxfId="240">
      <calculatedColumnFormula>IF(tblConsulta[[#This Row],[SKU]]="","",SUMIFS(tblEntradas[CantidadNeta],tblEntradas[SKU],tblConsulta[[#This Row],[SKU]],tblEntradas[Estado],"✔*")+SUMIFS(tblSalidas[CantidadNeta],tblSalidas[SKU],tblConsulta[[#This Row],[SKU]],tblSalidas[Estado],"✔*"))</calculatedColumnFormula>
    </tableColumn>
    <tableColumn id="4" xr3:uid="{00000000-0010-0000-0F00-000004000000}" name="Estado" dataDxfId="239">
      <calculatedColumnFormula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calculatedColumnFormula>
    </tableColumn>
    <tableColumn id="5" xr3:uid="{00000000-0010-0000-0F00-000005000000}" name="Mínimo" dataDxfId="238">
      <calculatedColumnFormula>IF(tblConsulta[[#This Row],[SKU]]="","",IFERROR(N(INDEX(tblProductos[StockMin],MATCH(tblConsulta[[#This Row],[SKU]],tblProductos[SKU],0))),""))</calculatedColumnFormula>
    </tableColumn>
    <tableColumn id="6" xr3:uid="{00000000-0010-0000-0F00-000006000000}" name="Máximo" dataDxfId="237">
      <calculatedColumnFormula>IF(tblConsulta[[#This Row],[SKU]]="","",IFERROR(N(INDEX(tblProductos[StockMax],MATCH(tblConsulta[[#This Row],[SKU]],tblProductos[SKU],0))),""))</calculatedColumnFormula>
    </tableColumn>
    <tableColumn id="7" xr3:uid="{00000000-0010-0000-0F00-000007000000}" name="Sugerido" dataDxfId="236">
      <calculatedColumnFormula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calculatedColumnFormula>
    </tableColumn>
    <tableColumn id="8" xr3:uid="{00000000-0010-0000-0F00-000008000000}" name="Proveedor" dataDxfId="235">
      <calculatedColumnFormula>IF(tblConsulta[[#This Row],[SKU]]="","",IFERROR(INDEX(tblProductos[Proveedor],MATCH(tblConsulta[[#This Row],[SKU]],tblProductos[SKU],0))&amp;"",""))</calculatedColumnFormula>
    </tableColumn>
    <tableColumn id="9" xr3:uid="{00000000-0010-0000-0F00-000009000000}" name="Ubicación" dataDxfId="234">
      <calculatedColumnFormula>IF(tblConsulta[[#This Row],[SKU]]="","",IFERROR(INDEX(tblProductos[Ubicación],MATCH(tblConsulta[[#This Row],[SKU]],tblProductos[SKU],0))&amp;"",""))</calculatedColumnFormula>
    </tableColumn>
    <tableColumn id="10" xr3:uid="{00000000-0010-0000-0F00-00000A000000}" name="UltimoMovimiento" dataDxfId="233">
      <calculatedColumnFormula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calculatedColumnFormula>
    </tableColumn>
    <tableColumn id="11" xr3:uid="{00000000-0010-0000-0F00-00000B000000}" name="Entradas30d" dataDxfId="232">
      <calculatedColumnFormula>IF(tblConsulta[[#This Row],[SKU]]="","",SUMIFS(tblEntradas[CantidadNeta],tblEntradas[SKU],tblConsulta[[#This Row],[SKU]],tblEntradas[Estado],"✔*",tblEntradas[Fecha],"&gt;="&amp;(TODAY()-29),tblEntradas[CantidadNeta],"&gt;0"))</calculatedColumnFormula>
    </tableColumn>
    <tableColumn id="12" xr3:uid="{00000000-0010-0000-0F00-00000C000000}" name="Salidas30d" dataDxfId="231">
      <calculatedColumnFormula>IF(tblConsulta[[#This Row],[SKU]]="","",-SUMIFS(tblSalidas[CantidadNeta],tblSalidas[SKU],tblConsulta[[#This Row],[SKU]],tblSalidas[Estado],"✔*",tblSalidas[Fecha],"&gt;="&amp;(TODAY()-29)))</calculatedColumnFormula>
    </tableColumn>
    <tableColumn id="13" xr3:uid="{00000000-0010-0000-0F00-00000D000000}" name="CoberturaDias" dataDxfId="230">
      <calculatedColumnFormula>IF(OR(tblConsulta[[#This Row],[SKU]]="",N(tblConsulta[[#This Row],[Salidas30d]])&lt;=0),"",INT(MAX(0,tblConsulta[[#This Row],[Disponible]])/(tblConsulta[[#This Row],[Salidas30d]]/30)))</calculatedColumnFormula>
    </tableColumn>
    <tableColumn id="14" xr3:uid="{00000000-0010-0000-0F00-00000E000000}" name="Valor" dataDxfId="229">
      <calculatedColumnFormula>IF(tblConsulta[[#This Row],[SKU]]="","",MAX(0,N(tblConsulta[[#This Row],[Disponible]]))*IFERROR(N(INDEX(tblProductos[CostoUnitario],MATCH(tblConsulta[[#This Row],[SKU]],tblProductos[SKU],0))),0))</calculatedColumnFormula>
    </tableColumn>
    <tableColumn id="15" xr3:uid="{00000000-0010-0000-0F00-00000F000000}" name="Correo" dataDxfId="228">
      <calculatedColumnFormula>IFERROR(INDEX(tblUsuarios[Correo],MATCH(ROW()-ROW(tblConsulta[#Headers]),tblUsuarios[OrdenConsulta],0)),"")</calculatedColumnFormula>
    </tableColumn>
    <tableColumn id="16" xr3:uid="{00000000-0010-0000-0F00-000010000000}" name="SKU" dataDxfId="227">
      <calculatedColumnFormula>IF(tblConsulta[[#This Row],[Producto]]="","",TRIM(LEFT(tblConsulta[[#This Row],[Producto]],FIND(" · ",tblConsulta[[#This Row],[Producto]]&amp;" · ")-1)))</calculatedColumnFormula>
    </tableColumn>
    <tableColumn id="17" xr3:uid="{00000000-0010-0000-0F00-000011000000}" name="TsE" dataDxfId="226">
      <calculatedColumnFormula>IF(tblConsulta[[#This Row],[SKU]]="",0,IFERROR(_xlfn.AGGREGATE(14,6,tblEntradas[Timestamp]/((tblEntradas[SKU]=tblConsulta[[#This Row],[SKU]])*(LEFT(tblEntradas[Estado],1)="✔")),1),0))</calculatedColumnFormula>
    </tableColumn>
    <tableColumn id="18" xr3:uid="{00000000-0010-0000-0F00-000012000000}" name="TsS" dataDxfId="225">
      <calculatedColumnFormula>IF(tblConsulta[[#This Row],[SKU]]="",0,IFERROR(_xlfn.AGGREGATE(14,6,tblSalidas[Timestamp]/((tblSalidas[SKU]=tblConsulta[[#This Row],[SKU]])*(LEFT(tblSalidas[Estado],1)="✔")),1),0))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Pedido" displayName="tblPedido" ref="B7:Q507" totalsRowShown="0">
  <autoFilter ref="B7:Q507" xr:uid="{00000000-0009-0000-0100-000011000000}"/>
  <tableColumns count="16">
    <tableColumn id="1" xr3:uid="{00000000-0010-0000-1000-000001000000}" name="Proveedor"/>
    <tableColumn id="2" xr3:uid="{00000000-0010-0000-1000-000002000000}" name="SKU"/>
    <tableColumn id="3" xr3:uid="{00000000-0010-0000-1000-000003000000}" name="Producto"/>
    <tableColumn id="4" xr3:uid="{00000000-0010-0000-1000-000004000000}" name="Unidad"/>
    <tableColumn id="5" xr3:uid="{00000000-0010-0000-1000-000005000000}" name="Estado"/>
    <tableColumn id="6" xr3:uid="{00000000-0010-0000-1000-000006000000}" name="Stock"/>
    <tableColumn id="7" xr3:uid="{00000000-0010-0000-1000-000007000000}" name="Mínimo"/>
    <tableColumn id="8" xr3:uid="{00000000-0010-0000-1000-000008000000}" name="Máximo"/>
    <tableColumn id="9" xr3:uid="{00000000-0010-0000-1000-000009000000}" name="APedir"/>
    <tableColumn id="10" xr3:uid="{00000000-0010-0000-1000-00000A000000}" name="CostoUnitario"/>
    <tableColumn id="11" xr3:uid="{00000000-0010-0000-1000-00000B000000}" name="Subtotal"/>
    <tableColumn id="12" xr3:uid="{00000000-0010-0000-1000-00000C000000}" name="DiasEntrega"/>
    <tableColumn id="13" xr3:uid="{00000000-0010-0000-1000-00000D000000}" name="EntregaEstimada"/>
    <tableColumn id="14" xr3:uid="{00000000-0010-0000-1000-00000E000000}" name="Contacto"/>
    <tableColumn id="15" xr3:uid="{00000000-0010-0000-1000-00000F000000}" name="Teléfono"/>
    <tableColumn id="16" xr3:uid="{00000000-0010-0000-1000-000010000000}" name="Corre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B1:M44"/>
  <sheetViews>
    <sheetView showGridLines="0" showRowColHeaders="0" tabSelected="1" workbookViewId="0">
      <selection activeCell="B12" sqref="B12:D13"/>
    </sheetView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3.42578125" customWidth="1"/>
    <col min="15" max="15" width="0" hidden="1" customWidth="1"/>
  </cols>
  <sheetData>
    <row r="1" spans="2:13" s="1" customFormat="1" ht="4.5" customHeight="1" x14ac:dyDescent="0.25"/>
    <row r="2" spans="2:13" s="1" customFormat="1" ht="22.5" customHeight="1" x14ac:dyDescent="0.25">
      <c r="B2" s="2" t="s">
        <v>331</v>
      </c>
      <c r="J2" s="91" t="str">
        <f ca="1">txtHoy</f>
        <v>Hoy · 25/09/2026</v>
      </c>
      <c r="K2" s="92"/>
      <c r="L2" s="92"/>
      <c r="M2" s="92"/>
    </row>
    <row r="3" spans="2:13" s="1" customFormat="1" ht="14.25" x14ac:dyDescent="0.25">
      <c r="B3" s="3" t="str">
        <f>txtEmpresa</f>
        <v>NOMBRE DE SU EMPRESA   ·   Bodega principal</v>
      </c>
      <c r="J3" s="93" t="s">
        <v>332</v>
      </c>
      <c r="K3" s="93"/>
      <c r="L3" s="93"/>
      <c r="M3" s="93"/>
    </row>
    <row r="4" spans="2:13" s="1" customFormat="1" ht="4.5" customHeight="1" x14ac:dyDescent="0.25"/>
    <row r="5" spans="2:13" s="4" customFormat="1" ht="21" customHeight="1" x14ac:dyDescent="0.25">
      <c r="B5" s="5" t="s">
        <v>82</v>
      </c>
      <c r="C5" s="6" t="s">
        <v>83</v>
      </c>
      <c r="D5" s="6" t="s">
        <v>84</v>
      </c>
      <c r="E5" s="6" t="s">
        <v>85</v>
      </c>
      <c r="F5" s="6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6" t="s">
        <v>91</v>
      </c>
    </row>
    <row r="6" spans="2:13" s="7" customFormat="1" ht="7.5" customHeight="1" x14ac:dyDescent="0.25"/>
    <row r="7" spans="2:13" s="7" customFormat="1" ht="30" customHeight="1" x14ac:dyDescent="0.25">
      <c r="B7" s="94" t="str">
        <f>txtFrescura&amp;"      ·      "&amp;txtStockActualizado</f>
        <v>⚠ Pulse «Recalcular stock» para calcular el stock      ·      Stock aún no calculado</v>
      </c>
      <c r="C7" s="94"/>
      <c r="D7" s="94"/>
      <c r="E7" s="94"/>
      <c r="F7" s="94"/>
      <c r="G7" s="94"/>
      <c r="H7" s="94"/>
      <c r="I7" s="94"/>
      <c r="J7" s="95" t="s">
        <v>228</v>
      </c>
      <c r="K7" s="95"/>
      <c r="L7" s="95"/>
      <c r="M7" s="95"/>
    </row>
    <row r="8" spans="2:13" s="7" customFormat="1" ht="6" customHeight="1" x14ac:dyDescent="0.25"/>
    <row r="9" spans="2:13" s="7" customFormat="1" ht="25.5" customHeight="1" x14ac:dyDescent="0.25">
      <c r="B9" s="96" t="str">
        <f>txtPasoBodega</f>
        <v>① El administrador debe registrar los usuarios en 02_USUARIOS</v>
      </c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</row>
    <row r="10" spans="2:13" s="7" customFormat="1" ht="7.5" customHeight="1" x14ac:dyDescent="0.25"/>
    <row r="11" spans="2:13" s="7" customFormat="1" ht="16.5" customHeight="1" x14ac:dyDescent="0.25">
      <c r="B11" s="7" t="s">
        <v>333</v>
      </c>
    </row>
    <row r="12" spans="2:13" s="7" customFormat="1" ht="27" customHeight="1" x14ac:dyDescent="0.25">
      <c r="B12" s="97" t="s">
        <v>334</v>
      </c>
      <c r="C12" s="97"/>
      <c r="D12" s="97"/>
      <c r="E12" s="98" t="s">
        <v>335</v>
      </c>
      <c r="F12" s="98"/>
      <c r="G12" s="98"/>
      <c r="H12" s="99" t="s">
        <v>336</v>
      </c>
      <c r="I12" s="99"/>
      <c r="J12" s="99"/>
      <c r="K12" s="100" t="str">
        <f>HYPERLINK("#'16_ALERTAS'!A1",txtAlertasBtn)</f>
        <v>⚠  ALERTAS DE STOCK CRÍTICO (0)</v>
      </c>
      <c r="L12" s="100"/>
      <c r="M12" s="100"/>
    </row>
    <row r="13" spans="2:13" s="7" customFormat="1" ht="27" customHeight="1" x14ac:dyDescent="0.25">
      <c r="B13" s="97"/>
      <c r="C13" s="97"/>
      <c r="D13" s="97"/>
      <c r="E13" s="98"/>
      <c r="F13" s="98"/>
      <c r="G13" s="98"/>
      <c r="H13" s="99"/>
      <c r="I13" s="99"/>
      <c r="J13" s="99"/>
      <c r="K13" s="100"/>
      <c r="L13" s="100"/>
      <c r="M13" s="100"/>
    </row>
    <row r="14" spans="2:13" s="7" customFormat="1" ht="9" customHeight="1" x14ac:dyDescent="0.25"/>
    <row r="15" spans="2:13" s="7" customFormat="1" ht="16.5" customHeight="1" x14ac:dyDescent="0.25">
      <c r="B15" s="7" t="s">
        <v>337</v>
      </c>
    </row>
    <row r="16" spans="2:13" s="7" customFormat="1" ht="14.25" x14ac:dyDescent="0.25">
      <c r="B16" s="101" t="s">
        <v>338</v>
      </c>
      <c r="C16" s="101"/>
      <c r="D16" s="101"/>
      <c r="E16" s="105" t="s">
        <v>339</v>
      </c>
      <c r="F16" s="105"/>
      <c r="G16" s="105"/>
      <c r="H16" s="107" t="s">
        <v>340</v>
      </c>
      <c r="I16" s="107"/>
      <c r="J16" s="107"/>
      <c r="K16" s="109" t="s">
        <v>341</v>
      </c>
      <c r="L16" s="109"/>
      <c r="M16" s="109"/>
    </row>
    <row r="17" spans="2:13" s="7" customFormat="1" ht="31.5" customHeight="1" x14ac:dyDescent="0.25">
      <c r="B17" s="102">
        <f ca="1">kpiEntradasHoy</f>
        <v>0</v>
      </c>
      <c r="C17" s="103"/>
      <c r="D17" s="103"/>
      <c r="E17" s="106">
        <f>kpiAgotados</f>
        <v>0</v>
      </c>
      <c r="F17" s="103"/>
      <c r="G17" s="103"/>
      <c r="H17" s="108">
        <f>kpiCriticos+kpiBajos</f>
        <v>0</v>
      </c>
      <c r="I17" s="103"/>
      <c r="J17" s="103"/>
      <c r="K17" s="110">
        <f>kpiValor</f>
        <v>0</v>
      </c>
      <c r="L17" s="103"/>
      <c r="M17" s="103"/>
    </row>
    <row r="18" spans="2:13" s="7" customFormat="1" ht="14.25" x14ac:dyDescent="0.25">
      <c r="B18" s="104" t="str">
        <f ca="1">"Ajustes del mes: "&amp;kpiAjustesMes</f>
        <v>Ajustes del mes: 0</v>
      </c>
      <c r="C18" s="103"/>
      <c r="D18" s="103"/>
      <c r="E18" s="104" t="str">
        <f>"sin stock en la instantánea"</f>
        <v>sin stock en la instantánea</v>
      </c>
      <c r="F18" s="103"/>
      <c r="G18" s="103"/>
      <c r="H18" s="104" t="str">
        <f>"en o cerca del mínimo"</f>
        <v>en o cerca del mínimo</v>
      </c>
      <c r="I18" s="103"/>
      <c r="J18" s="103"/>
      <c r="K18" s="104" t="str">
        <f>"a costo unitario de catálogo"</f>
        <v>a costo unitario de catálogo</v>
      </c>
      <c r="L18" s="103"/>
      <c r="M18" s="103"/>
    </row>
    <row r="19" spans="2:13" s="7" customFormat="1" ht="9" customHeight="1" x14ac:dyDescent="0.25"/>
    <row r="20" spans="2:13" s="7" customFormat="1" ht="16.5" customHeight="1" x14ac:dyDescent="0.25">
      <c r="B20" s="7" t="s">
        <v>342</v>
      </c>
    </row>
    <row r="21" spans="2:13" s="7" customFormat="1" ht="18" customHeight="1" x14ac:dyDescent="0.25">
      <c r="B21" s="8" t="s">
        <v>56</v>
      </c>
      <c r="C21" s="111" t="s">
        <v>115</v>
      </c>
      <c r="D21" s="111"/>
      <c r="E21" s="111"/>
      <c r="F21" s="111"/>
      <c r="G21" s="8" t="s">
        <v>232</v>
      </c>
      <c r="H21" s="8" t="s">
        <v>233</v>
      </c>
      <c r="I21" s="8" t="s">
        <v>242</v>
      </c>
    </row>
    <row r="22" spans="2:13" s="7" customFormat="1" ht="16.5" customHeight="1" x14ac:dyDescent="0.25">
      <c r="B22" s="9" t="str">
        <f>IF(INDEX(tblAlertas[Estado],1)&lt;&gt;"",INDEX(tblAlertas[Estado],1),"")</f>
        <v/>
      </c>
      <c r="C22" s="112" t="str">
        <f>IF(INDEX(tblAlertas[Estado],1)&lt;&gt;"",INDEX(tblAlertas[SKU],1)&amp;" · "&amp;INDEX(tblAlertas[Producto],1),"")</f>
        <v/>
      </c>
      <c r="D22" s="112"/>
      <c r="E22" s="112"/>
      <c r="F22" s="112"/>
      <c r="G22" s="10" t="str">
        <f>IF(INDEX(tblAlertas[Estado],1)&lt;&gt;"",INDEX(tblAlertas[Stock],1),"")</f>
        <v/>
      </c>
      <c r="H22" s="10" t="str">
        <f>IF(INDEX(tblAlertas[Estado],1)&lt;&gt;"",INDEX(tblAlertas[Mínimo],1),"")</f>
        <v/>
      </c>
      <c r="I22" s="10" t="str">
        <f>IF(INDEX(tblAlertas[Estado],1)&lt;&gt;"",INDEX(tblAlertas[SugeridoPedir],1),"")</f>
        <v/>
      </c>
    </row>
    <row r="23" spans="2:13" s="7" customFormat="1" ht="16.5" customHeight="1" x14ac:dyDescent="0.25">
      <c r="B23" s="9" t="str">
        <f>IF(INDEX(tblAlertas[Estado],2)&lt;&gt;"",INDEX(tblAlertas[Estado],2),"")</f>
        <v/>
      </c>
      <c r="C23" s="112" t="str">
        <f>IF(INDEX(tblAlertas[Estado],2)&lt;&gt;"",INDEX(tblAlertas[SKU],2)&amp;" · "&amp;INDEX(tblAlertas[Producto],2),"")</f>
        <v/>
      </c>
      <c r="D23" s="112"/>
      <c r="E23" s="112"/>
      <c r="F23" s="112"/>
      <c r="G23" s="10" t="str">
        <f>IF(INDEX(tblAlertas[Estado],2)&lt;&gt;"",INDEX(tblAlertas[Stock],2),"")</f>
        <v/>
      </c>
      <c r="H23" s="10" t="str">
        <f>IF(INDEX(tblAlertas[Estado],2)&lt;&gt;"",INDEX(tblAlertas[Mínimo],2),"")</f>
        <v/>
      </c>
      <c r="I23" s="10" t="str">
        <f>IF(INDEX(tblAlertas[Estado],2)&lt;&gt;"",INDEX(tblAlertas[SugeridoPedir],2),"")</f>
        <v/>
      </c>
    </row>
    <row r="24" spans="2:13" s="7" customFormat="1" ht="16.5" customHeight="1" x14ac:dyDescent="0.25">
      <c r="B24" s="9" t="str">
        <f>IF(INDEX(tblAlertas[Estado],3)&lt;&gt;"",INDEX(tblAlertas[Estado],3),"")</f>
        <v/>
      </c>
      <c r="C24" s="112" t="str">
        <f>IF(INDEX(tblAlertas[Estado],3)&lt;&gt;"",INDEX(tblAlertas[SKU],3)&amp;" · "&amp;INDEX(tblAlertas[Producto],3),"")</f>
        <v/>
      </c>
      <c r="D24" s="112"/>
      <c r="E24" s="112"/>
      <c r="F24" s="112"/>
      <c r="G24" s="10" t="str">
        <f>IF(INDEX(tblAlertas[Estado],3)&lt;&gt;"",INDEX(tblAlertas[Stock],3),"")</f>
        <v/>
      </c>
      <c r="H24" s="10" t="str">
        <f>IF(INDEX(tblAlertas[Estado],3)&lt;&gt;"",INDEX(tblAlertas[Mínimo],3),"")</f>
        <v/>
      </c>
      <c r="I24" s="10" t="str">
        <f>IF(INDEX(tblAlertas[Estado],3)&lt;&gt;"",INDEX(tblAlertas[SugeridoPedir],3),"")</f>
        <v/>
      </c>
    </row>
    <row r="25" spans="2:13" s="7" customFormat="1" ht="16.5" customHeight="1" x14ac:dyDescent="0.25">
      <c r="B25" s="9" t="str">
        <f>IF(INDEX(tblAlertas[Estado],4)&lt;&gt;"",INDEX(tblAlertas[Estado],4),"")</f>
        <v/>
      </c>
      <c r="C25" s="112" t="str">
        <f>IF(INDEX(tblAlertas[Estado],4)&lt;&gt;"",INDEX(tblAlertas[SKU],4)&amp;" · "&amp;INDEX(tblAlertas[Producto],4),"")</f>
        <v/>
      </c>
      <c r="D25" s="112"/>
      <c r="E25" s="112"/>
      <c r="F25" s="112"/>
      <c r="G25" s="10" t="str">
        <f>IF(INDEX(tblAlertas[Estado],4)&lt;&gt;"",INDEX(tblAlertas[Stock],4),"")</f>
        <v/>
      </c>
      <c r="H25" s="10" t="str">
        <f>IF(INDEX(tblAlertas[Estado],4)&lt;&gt;"",INDEX(tblAlertas[Mínimo],4),"")</f>
        <v/>
      </c>
      <c r="I25" s="10" t="str">
        <f>IF(INDEX(tblAlertas[Estado],4)&lt;&gt;"",INDEX(tblAlertas[SugeridoPedir],4),"")</f>
        <v/>
      </c>
    </row>
    <row r="26" spans="2:13" s="7" customFormat="1" ht="16.5" customHeight="1" x14ac:dyDescent="0.25">
      <c r="B26" s="9" t="str">
        <f>IF(INDEX(tblAlertas[Estado],5)&lt;&gt;"",INDEX(tblAlertas[Estado],5),"")</f>
        <v/>
      </c>
      <c r="C26" s="112" t="str">
        <f>IF(INDEX(tblAlertas[Estado],5)&lt;&gt;"",INDEX(tblAlertas[SKU],5)&amp;" · "&amp;INDEX(tblAlertas[Producto],5),"")</f>
        <v/>
      </c>
      <c r="D26" s="112"/>
      <c r="E26" s="112"/>
      <c r="F26" s="112"/>
      <c r="G26" s="10" t="str">
        <f>IF(INDEX(tblAlertas[Estado],5)&lt;&gt;"",INDEX(tblAlertas[Stock],5),"")</f>
        <v/>
      </c>
      <c r="H26" s="10" t="str">
        <f>IF(INDEX(tblAlertas[Estado],5)&lt;&gt;"",INDEX(tblAlertas[Mínimo],5),"")</f>
        <v/>
      </c>
      <c r="I26" s="10" t="str">
        <f>IF(INDEX(tblAlertas[Estado],5)&lt;&gt;"",INDEX(tblAlertas[SugeridoPedir],5),"")</f>
        <v/>
      </c>
    </row>
    <row r="27" spans="2:13" s="7" customFormat="1" ht="16.5" customHeight="1" x14ac:dyDescent="0.25">
      <c r="B27" s="9" t="str">
        <f>IF(INDEX(tblAlertas[Estado],6)&lt;&gt;"",INDEX(tblAlertas[Estado],6),"")</f>
        <v/>
      </c>
      <c r="C27" s="112" t="str">
        <f>IF(INDEX(tblAlertas[Estado],6)&lt;&gt;"",INDEX(tblAlertas[SKU],6)&amp;" · "&amp;INDEX(tblAlertas[Producto],6),"")</f>
        <v/>
      </c>
      <c r="D27" s="112"/>
      <c r="E27" s="112"/>
      <c r="F27" s="112"/>
      <c r="G27" s="10" t="str">
        <f>IF(INDEX(tblAlertas[Estado],6)&lt;&gt;"",INDEX(tblAlertas[Stock],6),"")</f>
        <v/>
      </c>
      <c r="H27" s="10" t="str">
        <f>IF(INDEX(tblAlertas[Estado],6)&lt;&gt;"",INDEX(tblAlertas[Mínimo],6),"")</f>
        <v/>
      </c>
      <c r="I27" s="10" t="str">
        <f>IF(INDEX(tblAlertas[Estado],6)&lt;&gt;"",INDEX(tblAlertas[SugeridoPedir],6),"")</f>
        <v/>
      </c>
    </row>
    <row r="28" spans="2:13" s="7" customFormat="1" ht="16.5" customHeight="1" x14ac:dyDescent="0.25">
      <c r="B28" s="9" t="str">
        <f>IF(INDEX(tblAlertas[Estado],7)&lt;&gt;"",INDEX(tblAlertas[Estado],7),"")</f>
        <v/>
      </c>
      <c r="C28" s="112" t="str">
        <f>IF(INDEX(tblAlertas[Estado],7)&lt;&gt;"",INDEX(tblAlertas[SKU],7)&amp;" · "&amp;INDEX(tblAlertas[Producto],7),"")</f>
        <v/>
      </c>
      <c r="D28" s="112"/>
      <c r="E28" s="112"/>
      <c r="F28" s="112"/>
      <c r="G28" s="10" t="str">
        <f>IF(INDEX(tblAlertas[Estado],7)&lt;&gt;"",INDEX(tblAlertas[Stock],7),"")</f>
        <v/>
      </c>
      <c r="H28" s="10" t="str">
        <f>IF(INDEX(tblAlertas[Estado],7)&lt;&gt;"",INDEX(tblAlertas[Mínimo],7),"")</f>
        <v/>
      </c>
      <c r="I28" s="10" t="str">
        <f>IF(INDEX(tblAlertas[Estado],7)&lt;&gt;"",INDEX(tblAlertas[SugeridoPedir],7),"")</f>
        <v/>
      </c>
    </row>
    <row r="29" spans="2:13" s="7" customFormat="1" ht="16.5" customHeight="1" x14ac:dyDescent="0.25">
      <c r="B29" s="9" t="str">
        <f>IF(INDEX(tblAlertas[Estado],8)&lt;&gt;"",INDEX(tblAlertas[Estado],8),"")</f>
        <v/>
      </c>
      <c r="C29" s="112" t="str">
        <f>IF(INDEX(tblAlertas[Estado],8)&lt;&gt;"",INDEX(tblAlertas[SKU],8)&amp;" · "&amp;INDEX(tblAlertas[Producto],8),"")</f>
        <v/>
      </c>
      <c r="D29" s="112"/>
      <c r="E29" s="112"/>
      <c r="F29" s="112"/>
      <c r="G29" s="10" t="str">
        <f>IF(INDEX(tblAlertas[Estado],8)&lt;&gt;"",INDEX(tblAlertas[Stock],8),"")</f>
        <v/>
      </c>
      <c r="H29" s="10" t="str">
        <f>IF(INDEX(tblAlertas[Estado],8)&lt;&gt;"",INDEX(tblAlertas[Mínimo],8),"")</f>
        <v/>
      </c>
      <c r="I29" s="10" t="str">
        <f>IF(INDEX(tblAlertas[Estado],8)&lt;&gt;"",INDEX(tblAlertas[SugeridoPedir],8),"")</f>
        <v/>
      </c>
    </row>
    <row r="30" spans="2:13" s="7" customFormat="1" ht="16.5" customHeight="1" x14ac:dyDescent="0.25">
      <c r="B30" s="9" t="str">
        <f>IF(INDEX(tblAlertas[Estado],9)&lt;&gt;"",INDEX(tblAlertas[Estado],9),"")</f>
        <v/>
      </c>
      <c r="C30" s="112" t="str">
        <f>IF(INDEX(tblAlertas[Estado],9)&lt;&gt;"",INDEX(tblAlertas[SKU],9)&amp;" · "&amp;INDEX(tblAlertas[Producto],9),"")</f>
        <v/>
      </c>
      <c r="D30" s="112"/>
      <c r="E30" s="112"/>
      <c r="F30" s="112"/>
      <c r="G30" s="10" t="str">
        <f>IF(INDEX(tblAlertas[Estado],9)&lt;&gt;"",INDEX(tblAlertas[Stock],9),"")</f>
        <v/>
      </c>
      <c r="H30" s="10" t="str">
        <f>IF(INDEX(tblAlertas[Estado],9)&lt;&gt;"",INDEX(tblAlertas[Mínimo],9),"")</f>
        <v/>
      </c>
      <c r="I30" s="10" t="str">
        <f>IF(INDEX(tblAlertas[Estado],9)&lt;&gt;"",INDEX(tblAlertas[SugeridoPedir],9),"")</f>
        <v/>
      </c>
    </row>
    <row r="31" spans="2:13" s="7" customFormat="1" ht="16.5" customHeight="1" x14ac:dyDescent="0.25">
      <c r="B31" s="9" t="str">
        <f>IF(INDEX(tblAlertas[Estado],10)&lt;&gt;"",INDEX(tblAlertas[Estado],10),"")</f>
        <v/>
      </c>
      <c r="C31" s="112" t="str">
        <f>IF(INDEX(tblAlertas[Estado],10)&lt;&gt;"",INDEX(tblAlertas[SKU],10)&amp;" · "&amp;INDEX(tblAlertas[Producto],10),"")</f>
        <v/>
      </c>
      <c r="D31" s="112"/>
      <c r="E31" s="112"/>
      <c r="F31" s="112"/>
      <c r="G31" s="10" t="str">
        <f>IF(INDEX(tblAlertas[Estado],10)&lt;&gt;"",INDEX(tblAlertas[Stock],10),"")</f>
        <v/>
      </c>
      <c r="H31" s="10" t="str">
        <f>IF(INDEX(tblAlertas[Estado],10)&lt;&gt;"",INDEX(tblAlertas[Mínimo],10),"")</f>
        <v/>
      </c>
      <c r="I31" s="10" t="str">
        <f>IF(INDEX(tblAlertas[Estado],10)&lt;&gt;"",INDEX(tblAlertas[SugeridoPedir],10),"")</f>
        <v/>
      </c>
    </row>
    <row r="32" spans="2:13" s="7" customFormat="1" ht="9" customHeight="1" x14ac:dyDescent="0.25"/>
    <row r="33" spans="2:13" s="7" customFormat="1" ht="16.5" customHeight="1" x14ac:dyDescent="0.25">
      <c r="B33" s="7" t="s">
        <v>343</v>
      </c>
    </row>
    <row r="34" spans="2:13" s="7" customFormat="1" ht="18" customHeight="1" x14ac:dyDescent="0.25">
      <c r="B34" s="8" t="s">
        <v>180</v>
      </c>
      <c r="C34" s="8" t="s">
        <v>40</v>
      </c>
      <c r="D34" s="111" t="s">
        <v>115</v>
      </c>
      <c r="E34" s="111"/>
      <c r="F34" s="111"/>
      <c r="G34" s="111"/>
      <c r="H34" s="8" t="s">
        <v>181</v>
      </c>
      <c r="I34" s="111" t="s">
        <v>192</v>
      </c>
      <c r="J34" s="111"/>
      <c r="K34" s="111" t="s">
        <v>56</v>
      </c>
      <c r="L34" s="111"/>
      <c r="M34" s="8" t="s">
        <v>182</v>
      </c>
    </row>
    <row r="35" spans="2:13" s="7" customFormat="1" ht="16.5" customHeight="1" x14ac:dyDescent="0.25">
      <c r="B35" s="11" t="str">
        <f>IFERROR(IF(INDEX(tblEntradas[ID],ROWS(tblEntradas[ID])-0)="","",INDEX(tblEntradas[Fecha],ROWS(tblEntradas[ID])-0)),"")</f>
        <v/>
      </c>
      <c r="C35" s="12" t="str">
        <f>IFERROR(IF(INDEX(tblEntradas[ID],ROWS(tblEntradas[ID])-0)="","",INDEX(tblEntradas[Tipo],ROWS(tblEntradas[ID])-0)&amp;""),"")</f>
        <v/>
      </c>
      <c r="D35" s="112" t="str">
        <f>IFERROR(IF(INDEX(tblEntradas[ID],ROWS(tblEntradas[ID])-0)="","",INDEX(tblEntradas[Producto],ROWS(tblEntradas[ID])-0)&amp;""),"")</f>
        <v/>
      </c>
      <c r="E35" s="112"/>
      <c r="F35" s="112"/>
      <c r="G35" s="112"/>
      <c r="H35" s="10" t="str">
        <f>IFERROR(IF(INDEX(tblEntradas[ID],ROWS(tblEntradas[ID])-0)="","",INDEX(tblEntradas[Cantidad],ROWS(tblEntradas[ID])-0)),"")</f>
        <v/>
      </c>
      <c r="I35" s="112" t="str">
        <f>IFERROR(IF(INDEX(tblEntradas[ID],ROWS(tblEntradas[ID])-0)="","",INDEX(tblEntradas[Registró],ROWS(tblEntradas[ID])-0)&amp;""),"")</f>
        <v/>
      </c>
      <c r="J35" s="112"/>
      <c r="K35" s="112" t="str">
        <f>IFERROR(IF(INDEX(tblEntradas[ID],ROWS(tblEntradas[ID])-0)="","",INDEX(tblEntradas[Estado],ROWS(tblEntradas[ID])-0)&amp;""),"")</f>
        <v/>
      </c>
      <c r="L35" s="112"/>
      <c r="M35" s="9" t="str">
        <f>IFERROR(IF(INDEX(tblEntradas[ID],ROWS(tblEntradas[ID])-0)="","",INDEX(tblEntradas[Documento],ROWS(tblEntradas[ID])-0)&amp;""),"")</f>
        <v/>
      </c>
    </row>
    <row r="36" spans="2:13" s="7" customFormat="1" ht="16.5" customHeight="1" x14ac:dyDescent="0.25">
      <c r="B36" s="11" t="str">
        <f>IFERROR(IF(INDEX(tblEntradas[ID],ROWS(tblEntradas[ID])-1)="","",INDEX(tblEntradas[Fecha],ROWS(tblEntradas[ID])-1)),"")</f>
        <v/>
      </c>
      <c r="C36" s="12" t="str">
        <f>IFERROR(IF(INDEX(tblEntradas[ID],ROWS(tblEntradas[ID])-1)="","",INDEX(tblEntradas[Tipo],ROWS(tblEntradas[ID])-1)&amp;""),"")</f>
        <v/>
      </c>
      <c r="D36" s="112" t="str">
        <f>IFERROR(IF(INDEX(tblEntradas[ID],ROWS(tblEntradas[ID])-1)="","",INDEX(tblEntradas[Producto],ROWS(tblEntradas[ID])-1)&amp;""),"")</f>
        <v/>
      </c>
      <c r="E36" s="112"/>
      <c r="F36" s="112"/>
      <c r="G36" s="112"/>
      <c r="H36" s="10" t="str">
        <f>IFERROR(IF(INDEX(tblEntradas[ID],ROWS(tblEntradas[ID])-1)="","",INDEX(tblEntradas[Cantidad],ROWS(tblEntradas[ID])-1)),"")</f>
        <v/>
      </c>
      <c r="I36" s="112" t="str">
        <f>IFERROR(IF(INDEX(tblEntradas[ID],ROWS(tblEntradas[ID])-1)="","",INDEX(tblEntradas[Registró],ROWS(tblEntradas[ID])-1)&amp;""),"")</f>
        <v/>
      </c>
      <c r="J36" s="112"/>
      <c r="K36" s="112" t="str">
        <f>IFERROR(IF(INDEX(tblEntradas[ID],ROWS(tblEntradas[ID])-1)="","",INDEX(tblEntradas[Estado],ROWS(tblEntradas[ID])-1)&amp;""),"")</f>
        <v/>
      </c>
      <c r="L36" s="112"/>
      <c r="M36" s="9" t="str">
        <f>IFERROR(IF(INDEX(tblEntradas[ID],ROWS(tblEntradas[ID])-1)="","",INDEX(tblEntradas[Documento],ROWS(tblEntradas[ID])-1)&amp;""),"")</f>
        <v/>
      </c>
    </row>
    <row r="37" spans="2:13" s="7" customFormat="1" ht="16.5" customHeight="1" x14ac:dyDescent="0.25">
      <c r="B37" s="11" t="str">
        <f>IFERROR(IF(INDEX(tblEntradas[ID],ROWS(tblEntradas[ID])-2)="","",INDEX(tblEntradas[Fecha],ROWS(tblEntradas[ID])-2)),"")</f>
        <v/>
      </c>
      <c r="C37" s="12" t="str">
        <f>IFERROR(IF(INDEX(tblEntradas[ID],ROWS(tblEntradas[ID])-2)="","",INDEX(tblEntradas[Tipo],ROWS(tblEntradas[ID])-2)&amp;""),"")</f>
        <v/>
      </c>
      <c r="D37" s="112" t="str">
        <f>IFERROR(IF(INDEX(tblEntradas[ID],ROWS(tblEntradas[ID])-2)="","",INDEX(tblEntradas[Producto],ROWS(tblEntradas[ID])-2)&amp;""),"")</f>
        <v/>
      </c>
      <c r="E37" s="112"/>
      <c r="F37" s="112"/>
      <c r="G37" s="112"/>
      <c r="H37" s="10" t="str">
        <f>IFERROR(IF(INDEX(tblEntradas[ID],ROWS(tblEntradas[ID])-2)="","",INDEX(tblEntradas[Cantidad],ROWS(tblEntradas[ID])-2)),"")</f>
        <v/>
      </c>
      <c r="I37" s="112" t="str">
        <f>IFERROR(IF(INDEX(tblEntradas[ID],ROWS(tblEntradas[ID])-2)="","",INDEX(tblEntradas[Registró],ROWS(tblEntradas[ID])-2)&amp;""),"")</f>
        <v/>
      </c>
      <c r="J37" s="112"/>
      <c r="K37" s="112" t="str">
        <f>IFERROR(IF(INDEX(tblEntradas[ID],ROWS(tblEntradas[ID])-2)="","",INDEX(tblEntradas[Estado],ROWS(tblEntradas[ID])-2)&amp;""),"")</f>
        <v/>
      </c>
      <c r="L37" s="112"/>
      <c r="M37" s="9" t="str">
        <f>IFERROR(IF(INDEX(tblEntradas[ID],ROWS(tblEntradas[ID])-2)="","",INDEX(tblEntradas[Documento],ROWS(tblEntradas[ID])-2)&amp;""),"")</f>
        <v/>
      </c>
    </row>
    <row r="38" spans="2:13" s="7" customFormat="1" ht="16.5" customHeight="1" x14ac:dyDescent="0.25">
      <c r="B38" s="11" t="str">
        <f>IFERROR(IF(INDEX(tblEntradas[ID],ROWS(tblEntradas[ID])-3)="","",INDEX(tblEntradas[Fecha],ROWS(tblEntradas[ID])-3)),"")</f>
        <v/>
      </c>
      <c r="C38" s="12" t="str">
        <f>IFERROR(IF(INDEX(tblEntradas[ID],ROWS(tblEntradas[ID])-3)="","",INDEX(tblEntradas[Tipo],ROWS(tblEntradas[ID])-3)&amp;""),"")</f>
        <v/>
      </c>
      <c r="D38" s="112" t="str">
        <f>IFERROR(IF(INDEX(tblEntradas[ID],ROWS(tblEntradas[ID])-3)="","",INDEX(tblEntradas[Producto],ROWS(tblEntradas[ID])-3)&amp;""),"")</f>
        <v/>
      </c>
      <c r="E38" s="112"/>
      <c r="F38" s="112"/>
      <c r="G38" s="112"/>
      <c r="H38" s="10" t="str">
        <f>IFERROR(IF(INDEX(tblEntradas[ID],ROWS(tblEntradas[ID])-3)="","",INDEX(tblEntradas[Cantidad],ROWS(tblEntradas[ID])-3)),"")</f>
        <v/>
      </c>
      <c r="I38" s="112" t="str">
        <f>IFERROR(IF(INDEX(tblEntradas[ID],ROWS(tblEntradas[ID])-3)="","",INDEX(tblEntradas[Registró],ROWS(tblEntradas[ID])-3)&amp;""),"")</f>
        <v/>
      </c>
      <c r="J38" s="112"/>
      <c r="K38" s="112" t="str">
        <f>IFERROR(IF(INDEX(tblEntradas[ID],ROWS(tblEntradas[ID])-3)="","",INDEX(tblEntradas[Estado],ROWS(tblEntradas[ID])-3)&amp;""),"")</f>
        <v/>
      </c>
      <c r="L38" s="112"/>
      <c r="M38" s="9" t="str">
        <f>IFERROR(IF(INDEX(tblEntradas[ID],ROWS(tblEntradas[ID])-3)="","",INDEX(tblEntradas[Documento],ROWS(tblEntradas[ID])-3)&amp;""),"")</f>
        <v/>
      </c>
    </row>
    <row r="39" spans="2:13" s="7" customFormat="1" ht="16.5" customHeight="1" x14ac:dyDescent="0.25">
      <c r="B39" s="11" t="str">
        <f>IFERROR(IF(INDEX(tblEntradas[ID],ROWS(tblEntradas[ID])-4)="","",INDEX(tblEntradas[Fecha],ROWS(tblEntradas[ID])-4)),"")</f>
        <v/>
      </c>
      <c r="C39" s="12" t="str">
        <f>IFERROR(IF(INDEX(tblEntradas[ID],ROWS(tblEntradas[ID])-4)="","",INDEX(tblEntradas[Tipo],ROWS(tblEntradas[ID])-4)&amp;""),"")</f>
        <v/>
      </c>
      <c r="D39" s="112" t="str">
        <f>IFERROR(IF(INDEX(tblEntradas[ID],ROWS(tblEntradas[ID])-4)="","",INDEX(tblEntradas[Producto],ROWS(tblEntradas[ID])-4)&amp;""),"")</f>
        <v/>
      </c>
      <c r="E39" s="112"/>
      <c r="F39" s="112"/>
      <c r="G39" s="112"/>
      <c r="H39" s="10" t="str">
        <f>IFERROR(IF(INDEX(tblEntradas[ID],ROWS(tblEntradas[ID])-4)="","",INDEX(tblEntradas[Cantidad],ROWS(tblEntradas[ID])-4)),"")</f>
        <v/>
      </c>
      <c r="I39" s="112" t="str">
        <f>IFERROR(IF(INDEX(tblEntradas[ID],ROWS(tblEntradas[ID])-4)="","",INDEX(tblEntradas[Registró],ROWS(tblEntradas[ID])-4)&amp;""),"")</f>
        <v/>
      </c>
      <c r="J39" s="112"/>
      <c r="K39" s="112" t="str">
        <f>IFERROR(IF(INDEX(tblEntradas[ID],ROWS(tblEntradas[ID])-4)="","",INDEX(tblEntradas[Estado],ROWS(tblEntradas[ID])-4)&amp;""),"")</f>
        <v/>
      </c>
      <c r="L39" s="112"/>
      <c r="M39" s="9" t="str">
        <f>IFERROR(IF(INDEX(tblEntradas[ID],ROWS(tblEntradas[ID])-4)="","",INDEX(tblEntradas[Documento],ROWS(tblEntradas[ID])-4)&amp;""),"")</f>
        <v/>
      </c>
    </row>
    <row r="40" spans="2:13" s="7" customFormat="1" ht="16.5" customHeight="1" x14ac:dyDescent="0.25">
      <c r="B40" s="11" t="str">
        <f>IFERROR(IF(INDEX(tblEntradas[ID],ROWS(tblEntradas[ID])-5)="","",INDEX(tblEntradas[Fecha],ROWS(tblEntradas[ID])-5)),"")</f>
        <v/>
      </c>
      <c r="C40" s="12" t="str">
        <f>IFERROR(IF(INDEX(tblEntradas[ID],ROWS(tblEntradas[ID])-5)="","",INDEX(tblEntradas[Tipo],ROWS(tblEntradas[ID])-5)&amp;""),"")</f>
        <v/>
      </c>
      <c r="D40" s="112" t="str">
        <f>IFERROR(IF(INDEX(tblEntradas[ID],ROWS(tblEntradas[ID])-5)="","",INDEX(tblEntradas[Producto],ROWS(tblEntradas[ID])-5)&amp;""),"")</f>
        <v/>
      </c>
      <c r="E40" s="112"/>
      <c r="F40" s="112"/>
      <c r="G40" s="112"/>
      <c r="H40" s="10" t="str">
        <f>IFERROR(IF(INDEX(tblEntradas[ID],ROWS(tblEntradas[ID])-5)="","",INDEX(tblEntradas[Cantidad],ROWS(tblEntradas[ID])-5)),"")</f>
        <v/>
      </c>
      <c r="I40" s="112" t="str">
        <f>IFERROR(IF(INDEX(tblEntradas[ID],ROWS(tblEntradas[ID])-5)="","",INDEX(tblEntradas[Registró],ROWS(tblEntradas[ID])-5)&amp;""),"")</f>
        <v/>
      </c>
      <c r="J40" s="112"/>
      <c r="K40" s="112" t="str">
        <f>IFERROR(IF(INDEX(tblEntradas[ID],ROWS(tblEntradas[ID])-5)="","",INDEX(tblEntradas[Estado],ROWS(tblEntradas[ID])-5)&amp;""),"")</f>
        <v/>
      </c>
      <c r="L40" s="112"/>
      <c r="M40" s="9" t="str">
        <f>IFERROR(IF(INDEX(tblEntradas[ID],ROWS(tblEntradas[ID])-5)="","",INDEX(tblEntradas[Documento],ROWS(tblEntradas[ID])-5)&amp;""),"")</f>
        <v/>
      </c>
    </row>
    <row r="41" spans="2:13" s="7" customFormat="1" ht="16.5" customHeight="1" x14ac:dyDescent="0.25">
      <c r="B41" s="11" t="str">
        <f>IFERROR(IF(INDEX(tblEntradas[ID],ROWS(tblEntradas[ID])-6)="","",INDEX(tblEntradas[Fecha],ROWS(tblEntradas[ID])-6)),"")</f>
        <v/>
      </c>
      <c r="C41" s="12" t="str">
        <f>IFERROR(IF(INDEX(tblEntradas[ID],ROWS(tblEntradas[ID])-6)="","",INDEX(tblEntradas[Tipo],ROWS(tblEntradas[ID])-6)&amp;""),"")</f>
        <v/>
      </c>
      <c r="D41" s="112" t="str">
        <f>IFERROR(IF(INDEX(tblEntradas[ID],ROWS(tblEntradas[ID])-6)="","",INDEX(tblEntradas[Producto],ROWS(tblEntradas[ID])-6)&amp;""),"")</f>
        <v/>
      </c>
      <c r="E41" s="112"/>
      <c r="F41" s="112"/>
      <c r="G41" s="112"/>
      <c r="H41" s="10" t="str">
        <f>IFERROR(IF(INDEX(tblEntradas[ID],ROWS(tblEntradas[ID])-6)="","",INDEX(tblEntradas[Cantidad],ROWS(tblEntradas[ID])-6)),"")</f>
        <v/>
      </c>
      <c r="I41" s="112" t="str">
        <f>IFERROR(IF(INDEX(tblEntradas[ID],ROWS(tblEntradas[ID])-6)="","",INDEX(tblEntradas[Registró],ROWS(tblEntradas[ID])-6)&amp;""),"")</f>
        <v/>
      </c>
      <c r="J41" s="112"/>
      <c r="K41" s="112" t="str">
        <f>IFERROR(IF(INDEX(tblEntradas[ID],ROWS(tblEntradas[ID])-6)="","",INDEX(tblEntradas[Estado],ROWS(tblEntradas[ID])-6)&amp;""),"")</f>
        <v/>
      </c>
      <c r="L41" s="112"/>
      <c r="M41" s="9" t="str">
        <f>IFERROR(IF(INDEX(tblEntradas[ID],ROWS(tblEntradas[ID])-6)="","",INDEX(tblEntradas[Documento],ROWS(tblEntradas[ID])-6)&amp;""),"")</f>
        <v/>
      </c>
    </row>
    <row r="42" spans="2:13" s="7" customFormat="1" ht="16.5" customHeight="1" x14ac:dyDescent="0.25">
      <c r="B42" s="11" t="str">
        <f>IFERROR(IF(INDEX(tblEntradas[ID],ROWS(tblEntradas[ID])-7)="","",INDEX(tblEntradas[Fecha],ROWS(tblEntradas[ID])-7)),"")</f>
        <v/>
      </c>
      <c r="C42" s="12" t="str">
        <f>IFERROR(IF(INDEX(tblEntradas[ID],ROWS(tblEntradas[ID])-7)="","",INDEX(tblEntradas[Tipo],ROWS(tblEntradas[ID])-7)&amp;""),"")</f>
        <v/>
      </c>
      <c r="D42" s="112" t="str">
        <f>IFERROR(IF(INDEX(tblEntradas[ID],ROWS(tblEntradas[ID])-7)="","",INDEX(tblEntradas[Producto],ROWS(tblEntradas[ID])-7)&amp;""),"")</f>
        <v/>
      </c>
      <c r="E42" s="112"/>
      <c r="F42" s="112"/>
      <c r="G42" s="112"/>
      <c r="H42" s="10" t="str">
        <f>IFERROR(IF(INDEX(tblEntradas[ID],ROWS(tblEntradas[ID])-7)="","",INDEX(tblEntradas[Cantidad],ROWS(tblEntradas[ID])-7)),"")</f>
        <v/>
      </c>
      <c r="I42" s="112" t="str">
        <f>IFERROR(IF(INDEX(tblEntradas[ID],ROWS(tblEntradas[ID])-7)="","",INDEX(tblEntradas[Registró],ROWS(tblEntradas[ID])-7)&amp;""),"")</f>
        <v/>
      </c>
      <c r="J42" s="112"/>
      <c r="K42" s="112" t="str">
        <f>IFERROR(IF(INDEX(tblEntradas[ID],ROWS(tblEntradas[ID])-7)="","",INDEX(tblEntradas[Estado],ROWS(tblEntradas[ID])-7)&amp;""),"")</f>
        <v/>
      </c>
      <c r="L42" s="112"/>
      <c r="M42" s="9" t="str">
        <f>IFERROR(IF(INDEX(tblEntradas[ID],ROWS(tblEntradas[ID])-7)="","",INDEX(tblEntradas[Documento],ROWS(tblEntradas[ID])-7)&amp;""),"")</f>
        <v/>
      </c>
    </row>
    <row r="43" spans="2:13" s="7" customFormat="1" ht="9" customHeight="1" x14ac:dyDescent="0.25"/>
    <row r="44" spans="2:13" s="7" customFormat="1" ht="19.5" customHeight="1" x14ac:dyDescent="0.25">
      <c r="B44" s="113" t="str">
        <f>txtBitacoras</f>
        <v>Bitácoras oficiales: 0 entradas/ajustes · 0 salidas</v>
      </c>
      <c r="C44" s="113"/>
      <c r="D44" s="113"/>
      <c r="E44" s="113"/>
      <c r="F44" s="113"/>
      <c r="G44" s="113"/>
      <c r="H44" s="113"/>
      <c r="I44" s="114" t="s">
        <v>344</v>
      </c>
      <c r="J44" s="114"/>
      <c r="K44" s="114"/>
      <c r="L44" s="114"/>
      <c r="M44" s="114"/>
    </row>
  </sheetData>
  <sheetProtection password="930D" sheet="1" objects="1" scenarios="1"/>
  <mergeCells count="61">
    <mergeCell ref="D42:G42"/>
    <mergeCell ref="I42:J42"/>
    <mergeCell ref="K42:L42"/>
    <mergeCell ref="B44:H44"/>
    <mergeCell ref="I44:M44"/>
    <mergeCell ref="D40:G40"/>
    <mergeCell ref="I40:J40"/>
    <mergeCell ref="K40:L40"/>
    <mergeCell ref="D41:G41"/>
    <mergeCell ref="I41:J41"/>
    <mergeCell ref="K41:L41"/>
    <mergeCell ref="D38:G38"/>
    <mergeCell ref="I38:J38"/>
    <mergeCell ref="K38:L38"/>
    <mergeCell ref="D39:G39"/>
    <mergeCell ref="I39:J39"/>
    <mergeCell ref="K39:L39"/>
    <mergeCell ref="D36:G36"/>
    <mergeCell ref="I36:J36"/>
    <mergeCell ref="K36:L36"/>
    <mergeCell ref="D37:G37"/>
    <mergeCell ref="I37:J37"/>
    <mergeCell ref="K37:L37"/>
    <mergeCell ref="C31:F31"/>
    <mergeCell ref="D34:G34"/>
    <mergeCell ref="I34:J34"/>
    <mergeCell ref="K34:L34"/>
    <mergeCell ref="D35:G35"/>
    <mergeCell ref="I35:J35"/>
    <mergeCell ref="K35:L35"/>
    <mergeCell ref="C26:F26"/>
    <mergeCell ref="C27:F27"/>
    <mergeCell ref="C28:F28"/>
    <mergeCell ref="C29:F29"/>
    <mergeCell ref="C30:F30"/>
    <mergeCell ref="C21:F21"/>
    <mergeCell ref="C22:F22"/>
    <mergeCell ref="C23:F23"/>
    <mergeCell ref="C24:F24"/>
    <mergeCell ref="C25:F25"/>
    <mergeCell ref="H17:J17"/>
    <mergeCell ref="H18:J18"/>
    <mergeCell ref="K16:M16"/>
    <mergeCell ref="K17:M17"/>
    <mergeCell ref="K18:M18"/>
    <mergeCell ref="B17:D17"/>
    <mergeCell ref="B18:D18"/>
    <mergeCell ref="E16:G16"/>
    <mergeCell ref="E17:G17"/>
    <mergeCell ref="E18:G18"/>
    <mergeCell ref="B12:D13"/>
    <mergeCell ref="E12:G13"/>
    <mergeCell ref="H12:J13"/>
    <mergeCell ref="K12:M13"/>
    <mergeCell ref="B16:D16"/>
    <mergeCell ref="H16:J16"/>
    <mergeCell ref="J2:M2"/>
    <mergeCell ref="J3:M3"/>
    <mergeCell ref="B7:I7"/>
    <mergeCell ref="J7:M7"/>
    <mergeCell ref="B9:M9"/>
  </mergeCells>
  <conditionalFormatting sqref="B22:B31">
    <cfRule type="expression" dxfId="224" priority="7">
      <formula>$B22="INCONSISTENTE"</formula>
    </cfRule>
    <cfRule type="expression" dxfId="223" priority="8">
      <formula>$B22="AGOTADO"</formula>
    </cfRule>
    <cfRule type="expression" dxfId="222" priority="9">
      <formula>$B22="CRÍTICO"</formula>
    </cfRule>
    <cfRule type="expression" dxfId="221" priority="10">
      <formula>$B22="BAJO"</formula>
    </cfRule>
    <cfRule type="expression" dxfId="220" priority="11">
      <formula>$B22="ÓPTIMO"</formula>
    </cfRule>
    <cfRule type="expression" dxfId="219" priority="12">
      <formula>$B22="SOBRESTOCK"</formula>
    </cfRule>
    <cfRule type="expression" dxfId="218" priority="13">
      <formula>$B22="INACTIVO"</formula>
    </cfRule>
  </conditionalFormatting>
  <conditionalFormatting sqref="B7:I7">
    <cfRule type="expression" dxfId="217" priority="1" stopIfTrue="1">
      <formula>N(stkActualizado)=0</formula>
    </cfRule>
    <cfRule type="expression" dxfId="216" priority="2" stopIfTrue="1">
      <formula>kpiNuevosDesdeCalculo&gt;0</formula>
    </cfRule>
    <cfRule type="expression" dxfId="215" priority="3" stopIfTrue="1">
      <formula>kpiNuevosDesdeCalculo=0</formula>
    </cfRule>
  </conditionalFormatting>
  <conditionalFormatting sqref="B9:M9">
    <cfRule type="expression" dxfId="214" priority="4">
      <formula>LEFT(txtPasoBodega,1)="✖"</formula>
    </cfRule>
    <cfRule type="expression" dxfId="213" priority="5">
      <formula>LEFT(txtPasoBodega,1)="●"</formula>
    </cfRule>
    <cfRule type="expression" dxfId="212" priority="6">
      <formula>LEFT(txtPasoBodega,1)="✔"</formula>
    </cfRule>
  </conditionalFormatting>
  <conditionalFormatting sqref="G22:I31">
    <cfRule type="expression" dxfId="211" priority="14">
      <formula>AND(ISNUMBER(G22),G22&lt;&gt;INT(G22))</formula>
    </cfRule>
  </conditionalFormatting>
  <conditionalFormatting sqref="H35:H42">
    <cfRule type="expression" dxfId="210" priority="15">
      <formula>AND(ISNUMBER(H35),H35&lt;&gt;INT(H35))</formula>
    </cfRule>
  </conditionalFormatting>
  <conditionalFormatting sqref="K35:L42">
    <cfRule type="expression" dxfId="209" priority="16">
      <formula>LEFT($K35,1)="✖"</formula>
    </cfRule>
    <cfRule type="expression" dxfId="208" priority="17">
      <formula>LEFT($K35,1)="✔"</formula>
    </cfRule>
  </conditionalFormatting>
  <hyperlinks>
    <hyperlink ref="B5" location="'00_PORTADA_BODEGA'!A1" tooltip="Portada de Bodega" display="⌂ Bodega" xr:uid="{00000000-0004-0000-0000-000000000000}"/>
    <hyperlink ref="C5" location="'00_PORTADA_VENTAS'!A1" tooltip="Portada de Ventas" display="⌂ Ventas" xr:uid="{00000000-0004-0000-0000-000001000000}"/>
    <hyperlink ref="D5" location="'00_PORTADA_GERENCIA'!A1" tooltip="Portada de Gerencia: indicadores, pedido y actividad" display="◈ Gerencia" xr:uid="{00000000-0004-0000-0000-000002000000}"/>
    <hyperlink ref="E5" location="'10A_ENTRADAS'!C9" tooltip="Registrar entradas y ajustes (Bodega)" display="⇩ Entradas" xr:uid="{00000000-0004-0000-0000-000003000000}"/>
    <hyperlink ref="F5" location="'10B_SALIDAS'!E9" tooltip="Registrar salidas (Ventas)" display="⇧ Salidas" xr:uid="{00000000-0004-0000-0000-000004000000}"/>
    <hyperlink ref="G5" location="'17_CONSULTA'!C9" tooltip="Consultar un producto en su fila" display="⌕ Consulta" xr:uid="{00000000-0004-0000-0000-000005000000}"/>
    <hyperlink ref="H5" location="'15_STOCK'!A1" tooltip="Stock (instantánea recalculada a demanda)" display="▦ Stock" xr:uid="{00000000-0004-0000-0000-000006000000}"/>
    <hyperlink ref="I5" location="'18_PEDIDO'!A1" tooltip="Pedido sugerido por proveedor" display="✚ Pedido" xr:uid="{00000000-0004-0000-0000-000007000000}"/>
    <hyperlink ref="J5" location="'13_CONTEO'!I9" tooltip="Toma física (conteo) colaborativa" display="✓ Conteo" xr:uid="{00000000-0004-0000-0000-000008000000}"/>
    <hyperlink ref="K5" location="'99_AYUDA'!A1" tooltip="Guía de uso, acceso e instalación" display="? Guía" xr:uid="{00000000-0004-0000-0000-000009000000}"/>
    <hyperlink ref="B12" location="'10A_ENTRADAS'!C9" tooltip="Ir a su fila de captura en 10A_ENTRADAS (tipo ENTRADA o SALDO INICIAL)" display="⇩  REGISTRAR ENTRADA" xr:uid="{00000000-0004-0000-0000-00000A000000}"/>
    <hyperlink ref="E12" location="'10A_ENTRADAS'!C9" tooltip="Ir a su fila de captura en 10A_ENTRADAS y elegir AJUSTE (+) o AJUSTE (-)" display="±  REGISTRAR AJUSTE" xr:uid="{00000000-0004-0000-0000-00000B000000}"/>
    <hyperlink ref="H12" location="'13_CONTEO'!I9" tooltip="Conteo colaborativo: cada quien su zona; el script genera los ajustes" display="✓  TOMA FÍSICA" xr:uid="{00000000-0004-0000-0000-00000C00000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65C0"/>
  </sheetPr>
  <dimension ref="B1:M44"/>
  <sheetViews>
    <sheetView showGridLines="0" showRowColHeaders="0" workbookViewId="0">
      <selection activeCell="B12" sqref="B12"/>
    </sheetView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3.42578125" customWidth="1"/>
    <col min="15" max="15" width="0" hidden="1" customWidth="1"/>
  </cols>
  <sheetData>
    <row r="1" spans="2:13" s="1" customFormat="1" ht="4.5" customHeight="1" x14ac:dyDescent="0.25"/>
    <row r="2" spans="2:13" s="1" customFormat="1" ht="22.5" customHeight="1" x14ac:dyDescent="0.25">
      <c r="B2" s="2" t="s">
        <v>345</v>
      </c>
      <c r="J2" s="91" t="str">
        <f ca="1">txtHoy</f>
        <v>Hoy · 25/09/2026</v>
      </c>
      <c r="K2" s="92"/>
      <c r="L2" s="92"/>
      <c r="M2" s="92"/>
    </row>
    <row r="3" spans="2:13" s="1" customFormat="1" ht="14.25" x14ac:dyDescent="0.25">
      <c r="B3" s="3" t="str">
        <f>txtEmpresa</f>
        <v>NOMBRE DE SU EMPRESA   ·   Bodega principal</v>
      </c>
      <c r="J3" s="93" t="s">
        <v>332</v>
      </c>
      <c r="K3" s="93"/>
      <c r="L3" s="93"/>
      <c r="M3" s="93"/>
    </row>
    <row r="4" spans="2:13" s="1" customFormat="1" ht="4.5" customHeight="1" x14ac:dyDescent="0.25"/>
    <row r="5" spans="2:13" s="4" customFormat="1" ht="21" customHeight="1" x14ac:dyDescent="0.25">
      <c r="B5" s="6" t="s">
        <v>82</v>
      </c>
      <c r="C5" s="5" t="s">
        <v>83</v>
      </c>
      <c r="D5" s="6" t="s">
        <v>84</v>
      </c>
      <c r="E5" s="6" t="s">
        <v>85</v>
      </c>
      <c r="F5" s="6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6" t="s">
        <v>91</v>
      </c>
    </row>
    <row r="6" spans="2:13" s="7" customFormat="1" ht="7.5" customHeight="1" x14ac:dyDescent="0.25"/>
    <row r="7" spans="2:13" s="7" customFormat="1" ht="30" customHeight="1" x14ac:dyDescent="0.25">
      <c r="B7" s="94" t="str">
        <f>txtFrescura&amp;"      ·      "&amp;txtStockActualizado</f>
        <v>⚠ Pulse «Recalcular stock» para calcular el stock      ·      Stock aún no calculado</v>
      </c>
      <c r="C7" s="94"/>
      <c r="D7" s="94"/>
      <c r="E7" s="94"/>
      <c r="F7" s="94"/>
      <c r="G7" s="94"/>
      <c r="H7" s="94"/>
      <c r="I7" s="94"/>
      <c r="J7" s="95" t="s">
        <v>228</v>
      </c>
      <c r="K7" s="95"/>
      <c r="L7" s="95"/>
      <c r="M7" s="95"/>
    </row>
    <row r="8" spans="2:13" s="7" customFormat="1" ht="6" customHeight="1" x14ac:dyDescent="0.25"/>
    <row r="9" spans="2:13" s="7" customFormat="1" ht="25.5" customHeight="1" x14ac:dyDescent="0.25">
      <c r="B9" s="96" t="str">
        <f>txtPasoVentas</f>
        <v>El administrador debe registrar los usuarios en 02_USUARIOS</v>
      </c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</row>
    <row r="10" spans="2:13" s="7" customFormat="1" ht="7.5" customHeight="1" x14ac:dyDescent="0.25"/>
    <row r="11" spans="2:13" s="7" customFormat="1" ht="16.5" customHeight="1" x14ac:dyDescent="0.25">
      <c r="B11" s="7" t="s">
        <v>333</v>
      </c>
    </row>
    <row r="12" spans="2:13" s="7" customFormat="1" ht="27" customHeight="1" x14ac:dyDescent="0.25">
      <c r="B12" s="115" t="s">
        <v>346</v>
      </c>
      <c r="C12" s="115"/>
      <c r="D12" s="115"/>
      <c r="E12" s="115"/>
      <c r="F12" s="116" t="s">
        <v>347</v>
      </c>
      <c r="G12" s="116"/>
      <c r="H12" s="116"/>
      <c r="I12" s="116"/>
      <c r="J12" s="117" t="s">
        <v>348</v>
      </c>
      <c r="K12" s="117"/>
      <c r="L12" s="117"/>
      <c r="M12" s="117"/>
    </row>
    <row r="13" spans="2:13" s="7" customFormat="1" ht="27" customHeight="1" x14ac:dyDescent="0.25">
      <c r="B13" s="115"/>
      <c r="C13" s="115"/>
      <c r="D13" s="115"/>
      <c r="E13" s="115"/>
      <c r="F13" s="116"/>
      <c r="G13" s="116"/>
      <c r="H13" s="116"/>
      <c r="I13" s="116"/>
      <c r="J13" s="117"/>
      <c r="K13" s="117"/>
      <c r="L13" s="117"/>
      <c r="M13" s="117"/>
    </row>
    <row r="14" spans="2:13" s="7" customFormat="1" ht="9" customHeight="1" x14ac:dyDescent="0.25"/>
    <row r="15" spans="2:13" s="7" customFormat="1" ht="16.5" customHeight="1" x14ac:dyDescent="0.25">
      <c r="B15" s="7" t="s">
        <v>337</v>
      </c>
    </row>
    <row r="16" spans="2:13" s="7" customFormat="1" ht="14.25" x14ac:dyDescent="0.25">
      <c r="B16" s="109" t="s">
        <v>349</v>
      </c>
      <c r="C16" s="109"/>
      <c r="D16" s="109"/>
      <c r="E16" s="119" t="s">
        <v>350</v>
      </c>
      <c r="F16" s="119"/>
      <c r="G16" s="119"/>
      <c r="H16" s="101" t="s">
        <v>351</v>
      </c>
      <c r="I16" s="101"/>
      <c r="J16" s="101"/>
      <c r="K16" s="105" t="s">
        <v>352</v>
      </c>
      <c r="L16" s="105"/>
      <c r="M16" s="105"/>
    </row>
    <row r="17" spans="2:13" s="7" customFormat="1" ht="31.5" customHeight="1" x14ac:dyDescent="0.25">
      <c r="B17" s="118">
        <f ca="1">kpiSalidasHoy</f>
        <v>0</v>
      </c>
      <c r="C17" s="103"/>
      <c r="D17" s="103"/>
      <c r="E17" s="120">
        <f ca="1">kpiSalidasMes</f>
        <v>0</v>
      </c>
      <c r="F17" s="103"/>
      <c r="G17" s="103"/>
      <c r="H17" s="102">
        <f>kpiDisponibles</f>
        <v>0</v>
      </c>
      <c r="I17" s="103"/>
      <c r="J17" s="103"/>
      <c r="K17" s="106">
        <f>kpiAgotados</f>
        <v>0</v>
      </c>
      <c r="L17" s="103"/>
      <c r="M17" s="103"/>
    </row>
    <row r="18" spans="2:13" s="7" customFormat="1" ht="14.25" x14ac:dyDescent="0.25">
      <c r="B18" s="104" t="str">
        <f ca="1">"Unidades despachadas: "&amp;kpiUnidadesHoy</f>
        <v>Unidades despachadas: 0</v>
      </c>
      <c r="C18" s="103"/>
      <c r="D18" s="103"/>
      <c r="E18" s="104" t="str">
        <f>"registros consolidados en 10B"</f>
        <v>registros consolidados en 10B</v>
      </c>
      <c r="F18" s="103"/>
      <c r="G18" s="103"/>
      <c r="H18" s="104" t="str">
        <f>"de "&amp;kpiActivos&amp;" activos"</f>
        <v>de 0 activos</v>
      </c>
      <c r="I18" s="103"/>
      <c r="J18" s="103"/>
      <c r="K18" s="104" t="str">
        <f>"confirme con Bodega"</f>
        <v>confirme con Bodega</v>
      </c>
      <c r="L18" s="103"/>
      <c r="M18" s="103"/>
    </row>
    <row r="19" spans="2:13" s="7" customFormat="1" ht="9" customHeight="1" x14ac:dyDescent="0.25"/>
    <row r="20" spans="2:13" s="7" customFormat="1" ht="16.5" customHeight="1" x14ac:dyDescent="0.25">
      <c r="B20" s="7" t="s">
        <v>353</v>
      </c>
    </row>
    <row r="21" spans="2:13" s="7" customFormat="1" ht="18" customHeight="1" x14ac:dyDescent="0.25">
      <c r="B21" s="8" t="s">
        <v>56</v>
      </c>
      <c r="C21" s="111" t="s">
        <v>115</v>
      </c>
      <c r="D21" s="111"/>
      <c r="E21" s="111"/>
      <c r="F21" s="111"/>
      <c r="G21" s="8" t="s">
        <v>232</v>
      </c>
      <c r="H21" s="8" t="s">
        <v>117</v>
      </c>
      <c r="I21" s="8" t="s">
        <v>354</v>
      </c>
    </row>
    <row r="22" spans="2:13" s="7" customFormat="1" ht="16.5" customHeight="1" x14ac:dyDescent="0.25">
      <c r="B22" s="9" t="str">
        <f>IF(OR(INDEX(tblAlertas[Estado],1)={"INCONSISTENTE","AGOTADO","CRÍTICO"}),INDEX(tblAlertas[Estado],1),"")</f>
        <v/>
      </c>
      <c r="C22" s="112" t="str">
        <f>IF(OR(INDEX(tblAlertas[Estado],1)={"INCONSISTENTE","AGOTADO","CRÍTICO"}),INDEX(tblAlertas[SKU],1)&amp;" · "&amp;INDEX(tblAlertas[Producto],1),"")</f>
        <v/>
      </c>
      <c r="D22" s="112"/>
      <c r="E22" s="112"/>
      <c r="F22" s="112"/>
      <c r="G22" s="10" t="str">
        <f>IF(OR(INDEX(tblAlertas[Estado],1)={"INCONSISTENTE","AGOTADO","CRÍTICO"}),INDEX(tblAlertas[Stock],1),"")</f>
        <v/>
      </c>
      <c r="H22" s="9" t="str">
        <f>IF(OR(INDEX(tblAlertas[Estado],1)={"INCONSISTENTE","AGOTADO","CRÍTICO"}),INDEX(tblAlertas[Unidad],1),"")</f>
        <v/>
      </c>
      <c r="I22" s="11" t="str">
        <f>IF(OR(INDEX(tblAlertas[Estado],1)={"INCONSISTENTE","AGOTADO","CRÍTICO"}),INDEX(tblAlertas[UltimoMov],1),"")</f>
        <v/>
      </c>
    </row>
    <row r="23" spans="2:13" s="7" customFormat="1" ht="16.5" customHeight="1" x14ac:dyDescent="0.25">
      <c r="B23" s="9" t="str">
        <f>IF(OR(INDEX(tblAlertas[Estado],2)={"INCONSISTENTE","AGOTADO","CRÍTICO"}),INDEX(tblAlertas[Estado],2),"")</f>
        <v/>
      </c>
      <c r="C23" s="112" t="str">
        <f>IF(OR(INDEX(tblAlertas[Estado],2)={"INCONSISTENTE","AGOTADO","CRÍTICO"}),INDEX(tblAlertas[SKU],2)&amp;" · "&amp;INDEX(tblAlertas[Producto],2),"")</f>
        <v/>
      </c>
      <c r="D23" s="112"/>
      <c r="E23" s="112"/>
      <c r="F23" s="112"/>
      <c r="G23" s="10" t="str">
        <f>IF(OR(INDEX(tblAlertas[Estado],2)={"INCONSISTENTE","AGOTADO","CRÍTICO"}),INDEX(tblAlertas[Stock],2),"")</f>
        <v/>
      </c>
      <c r="H23" s="9" t="str">
        <f>IF(OR(INDEX(tblAlertas[Estado],2)={"INCONSISTENTE","AGOTADO","CRÍTICO"}),INDEX(tblAlertas[Unidad],2),"")</f>
        <v/>
      </c>
      <c r="I23" s="11" t="str">
        <f>IF(OR(INDEX(tblAlertas[Estado],2)={"INCONSISTENTE","AGOTADO","CRÍTICO"}),INDEX(tblAlertas[UltimoMov],2),"")</f>
        <v/>
      </c>
    </row>
    <row r="24" spans="2:13" s="7" customFormat="1" ht="16.5" customHeight="1" x14ac:dyDescent="0.25">
      <c r="B24" s="9" t="str">
        <f>IF(OR(INDEX(tblAlertas[Estado],3)={"INCONSISTENTE","AGOTADO","CRÍTICO"}),INDEX(tblAlertas[Estado],3),"")</f>
        <v/>
      </c>
      <c r="C24" s="112" t="str">
        <f>IF(OR(INDEX(tblAlertas[Estado],3)={"INCONSISTENTE","AGOTADO","CRÍTICO"}),INDEX(tblAlertas[SKU],3)&amp;" · "&amp;INDEX(tblAlertas[Producto],3),"")</f>
        <v/>
      </c>
      <c r="D24" s="112"/>
      <c r="E24" s="112"/>
      <c r="F24" s="112"/>
      <c r="G24" s="10" t="str">
        <f>IF(OR(INDEX(tblAlertas[Estado],3)={"INCONSISTENTE","AGOTADO","CRÍTICO"}),INDEX(tblAlertas[Stock],3),"")</f>
        <v/>
      </c>
      <c r="H24" s="9" t="str">
        <f>IF(OR(INDEX(tblAlertas[Estado],3)={"INCONSISTENTE","AGOTADO","CRÍTICO"}),INDEX(tblAlertas[Unidad],3),"")</f>
        <v/>
      </c>
      <c r="I24" s="11" t="str">
        <f>IF(OR(INDEX(tblAlertas[Estado],3)={"INCONSISTENTE","AGOTADO","CRÍTICO"}),INDEX(tblAlertas[UltimoMov],3),"")</f>
        <v/>
      </c>
    </row>
    <row r="25" spans="2:13" s="7" customFormat="1" ht="16.5" customHeight="1" x14ac:dyDescent="0.25">
      <c r="B25" s="9" t="str">
        <f>IF(OR(INDEX(tblAlertas[Estado],4)={"INCONSISTENTE","AGOTADO","CRÍTICO"}),INDEX(tblAlertas[Estado],4),"")</f>
        <v/>
      </c>
      <c r="C25" s="112" t="str">
        <f>IF(OR(INDEX(tblAlertas[Estado],4)={"INCONSISTENTE","AGOTADO","CRÍTICO"}),INDEX(tblAlertas[SKU],4)&amp;" · "&amp;INDEX(tblAlertas[Producto],4),"")</f>
        <v/>
      </c>
      <c r="D25" s="112"/>
      <c r="E25" s="112"/>
      <c r="F25" s="112"/>
      <c r="G25" s="10" t="str">
        <f>IF(OR(INDEX(tblAlertas[Estado],4)={"INCONSISTENTE","AGOTADO","CRÍTICO"}),INDEX(tblAlertas[Stock],4),"")</f>
        <v/>
      </c>
      <c r="H25" s="9" t="str">
        <f>IF(OR(INDEX(tblAlertas[Estado],4)={"INCONSISTENTE","AGOTADO","CRÍTICO"}),INDEX(tblAlertas[Unidad],4),"")</f>
        <v/>
      </c>
      <c r="I25" s="11" t="str">
        <f>IF(OR(INDEX(tblAlertas[Estado],4)={"INCONSISTENTE","AGOTADO","CRÍTICO"}),INDEX(tblAlertas[UltimoMov],4),"")</f>
        <v/>
      </c>
    </row>
    <row r="26" spans="2:13" s="7" customFormat="1" ht="16.5" customHeight="1" x14ac:dyDescent="0.25">
      <c r="B26" s="9" t="str">
        <f>IF(OR(INDEX(tblAlertas[Estado],5)={"INCONSISTENTE","AGOTADO","CRÍTICO"}),INDEX(tblAlertas[Estado],5),"")</f>
        <v/>
      </c>
      <c r="C26" s="112" t="str">
        <f>IF(OR(INDEX(tblAlertas[Estado],5)={"INCONSISTENTE","AGOTADO","CRÍTICO"}),INDEX(tblAlertas[SKU],5)&amp;" · "&amp;INDEX(tblAlertas[Producto],5),"")</f>
        <v/>
      </c>
      <c r="D26" s="112"/>
      <c r="E26" s="112"/>
      <c r="F26" s="112"/>
      <c r="G26" s="10" t="str">
        <f>IF(OR(INDEX(tblAlertas[Estado],5)={"INCONSISTENTE","AGOTADO","CRÍTICO"}),INDEX(tblAlertas[Stock],5),"")</f>
        <v/>
      </c>
      <c r="H26" s="9" t="str">
        <f>IF(OR(INDEX(tblAlertas[Estado],5)={"INCONSISTENTE","AGOTADO","CRÍTICO"}),INDEX(tblAlertas[Unidad],5),"")</f>
        <v/>
      </c>
      <c r="I26" s="11" t="str">
        <f>IF(OR(INDEX(tblAlertas[Estado],5)={"INCONSISTENTE","AGOTADO","CRÍTICO"}),INDEX(tblAlertas[UltimoMov],5),"")</f>
        <v/>
      </c>
    </row>
    <row r="27" spans="2:13" s="7" customFormat="1" ht="16.5" customHeight="1" x14ac:dyDescent="0.25">
      <c r="B27" s="9" t="str">
        <f>IF(OR(INDEX(tblAlertas[Estado],6)={"INCONSISTENTE","AGOTADO","CRÍTICO"}),INDEX(tblAlertas[Estado],6),"")</f>
        <v/>
      </c>
      <c r="C27" s="112" t="str">
        <f>IF(OR(INDEX(tblAlertas[Estado],6)={"INCONSISTENTE","AGOTADO","CRÍTICO"}),INDEX(tblAlertas[SKU],6)&amp;" · "&amp;INDEX(tblAlertas[Producto],6),"")</f>
        <v/>
      </c>
      <c r="D27" s="112"/>
      <c r="E27" s="112"/>
      <c r="F27" s="112"/>
      <c r="G27" s="10" t="str">
        <f>IF(OR(INDEX(tblAlertas[Estado],6)={"INCONSISTENTE","AGOTADO","CRÍTICO"}),INDEX(tblAlertas[Stock],6),"")</f>
        <v/>
      </c>
      <c r="H27" s="9" t="str">
        <f>IF(OR(INDEX(tblAlertas[Estado],6)={"INCONSISTENTE","AGOTADO","CRÍTICO"}),INDEX(tblAlertas[Unidad],6),"")</f>
        <v/>
      </c>
      <c r="I27" s="11" t="str">
        <f>IF(OR(INDEX(tblAlertas[Estado],6)={"INCONSISTENTE","AGOTADO","CRÍTICO"}),INDEX(tblAlertas[UltimoMov],6),"")</f>
        <v/>
      </c>
    </row>
    <row r="28" spans="2:13" s="7" customFormat="1" ht="16.5" customHeight="1" x14ac:dyDescent="0.25">
      <c r="B28" s="9" t="str">
        <f>IF(OR(INDEX(tblAlertas[Estado],7)={"INCONSISTENTE","AGOTADO","CRÍTICO"}),INDEX(tblAlertas[Estado],7),"")</f>
        <v/>
      </c>
      <c r="C28" s="112" t="str">
        <f>IF(OR(INDEX(tblAlertas[Estado],7)={"INCONSISTENTE","AGOTADO","CRÍTICO"}),INDEX(tblAlertas[SKU],7)&amp;" · "&amp;INDEX(tblAlertas[Producto],7),"")</f>
        <v/>
      </c>
      <c r="D28" s="112"/>
      <c r="E28" s="112"/>
      <c r="F28" s="112"/>
      <c r="G28" s="10" t="str">
        <f>IF(OR(INDEX(tblAlertas[Estado],7)={"INCONSISTENTE","AGOTADO","CRÍTICO"}),INDEX(tblAlertas[Stock],7),"")</f>
        <v/>
      </c>
      <c r="H28" s="9" t="str">
        <f>IF(OR(INDEX(tblAlertas[Estado],7)={"INCONSISTENTE","AGOTADO","CRÍTICO"}),INDEX(tblAlertas[Unidad],7),"")</f>
        <v/>
      </c>
      <c r="I28" s="11" t="str">
        <f>IF(OR(INDEX(tblAlertas[Estado],7)={"INCONSISTENTE","AGOTADO","CRÍTICO"}),INDEX(tblAlertas[UltimoMov],7),"")</f>
        <v/>
      </c>
    </row>
    <row r="29" spans="2:13" s="7" customFormat="1" ht="16.5" customHeight="1" x14ac:dyDescent="0.25">
      <c r="B29" s="9" t="str">
        <f>IF(OR(INDEX(tblAlertas[Estado],8)={"INCONSISTENTE","AGOTADO","CRÍTICO"}),INDEX(tblAlertas[Estado],8),"")</f>
        <v/>
      </c>
      <c r="C29" s="112" t="str">
        <f>IF(OR(INDEX(tblAlertas[Estado],8)={"INCONSISTENTE","AGOTADO","CRÍTICO"}),INDEX(tblAlertas[SKU],8)&amp;" · "&amp;INDEX(tblAlertas[Producto],8),"")</f>
        <v/>
      </c>
      <c r="D29" s="112"/>
      <c r="E29" s="112"/>
      <c r="F29" s="112"/>
      <c r="G29" s="10" t="str">
        <f>IF(OR(INDEX(tblAlertas[Estado],8)={"INCONSISTENTE","AGOTADO","CRÍTICO"}),INDEX(tblAlertas[Stock],8),"")</f>
        <v/>
      </c>
      <c r="H29" s="9" t="str">
        <f>IF(OR(INDEX(tblAlertas[Estado],8)={"INCONSISTENTE","AGOTADO","CRÍTICO"}),INDEX(tblAlertas[Unidad],8),"")</f>
        <v/>
      </c>
      <c r="I29" s="11" t="str">
        <f>IF(OR(INDEX(tblAlertas[Estado],8)={"INCONSISTENTE","AGOTADO","CRÍTICO"}),INDEX(tblAlertas[UltimoMov],8),"")</f>
        <v/>
      </c>
    </row>
    <row r="30" spans="2:13" s="7" customFormat="1" ht="16.5" customHeight="1" x14ac:dyDescent="0.25">
      <c r="B30" s="9" t="str">
        <f>IF(OR(INDEX(tblAlertas[Estado],9)={"INCONSISTENTE","AGOTADO","CRÍTICO"}),INDEX(tblAlertas[Estado],9),"")</f>
        <v/>
      </c>
      <c r="C30" s="112" t="str">
        <f>IF(OR(INDEX(tblAlertas[Estado],9)={"INCONSISTENTE","AGOTADO","CRÍTICO"}),INDEX(tblAlertas[SKU],9)&amp;" · "&amp;INDEX(tblAlertas[Producto],9),"")</f>
        <v/>
      </c>
      <c r="D30" s="112"/>
      <c r="E30" s="112"/>
      <c r="F30" s="112"/>
      <c r="G30" s="10" t="str">
        <f>IF(OR(INDEX(tblAlertas[Estado],9)={"INCONSISTENTE","AGOTADO","CRÍTICO"}),INDEX(tblAlertas[Stock],9),"")</f>
        <v/>
      </c>
      <c r="H30" s="9" t="str">
        <f>IF(OR(INDEX(tblAlertas[Estado],9)={"INCONSISTENTE","AGOTADO","CRÍTICO"}),INDEX(tblAlertas[Unidad],9),"")</f>
        <v/>
      </c>
      <c r="I30" s="11" t="str">
        <f>IF(OR(INDEX(tblAlertas[Estado],9)={"INCONSISTENTE","AGOTADO","CRÍTICO"}),INDEX(tblAlertas[UltimoMov],9),"")</f>
        <v/>
      </c>
    </row>
    <row r="31" spans="2:13" s="7" customFormat="1" ht="16.5" customHeight="1" x14ac:dyDescent="0.25">
      <c r="B31" s="9" t="str">
        <f>IF(OR(INDEX(tblAlertas[Estado],10)={"INCONSISTENTE","AGOTADO","CRÍTICO"}),INDEX(tblAlertas[Estado],10),"")</f>
        <v/>
      </c>
      <c r="C31" s="112" t="str">
        <f>IF(OR(INDEX(tblAlertas[Estado],10)={"INCONSISTENTE","AGOTADO","CRÍTICO"}),INDEX(tblAlertas[SKU],10)&amp;" · "&amp;INDEX(tblAlertas[Producto],10),"")</f>
        <v/>
      </c>
      <c r="D31" s="112"/>
      <c r="E31" s="112"/>
      <c r="F31" s="112"/>
      <c r="G31" s="10" t="str">
        <f>IF(OR(INDEX(tblAlertas[Estado],10)={"INCONSISTENTE","AGOTADO","CRÍTICO"}),INDEX(tblAlertas[Stock],10),"")</f>
        <v/>
      </c>
      <c r="H31" s="9" t="str">
        <f>IF(OR(INDEX(tblAlertas[Estado],10)={"INCONSISTENTE","AGOTADO","CRÍTICO"}),INDEX(tblAlertas[Unidad],10),"")</f>
        <v/>
      </c>
      <c r="I31" s="11" t="str">
        <f>IF(OR(INDEX(tblAlertas[Estado],10)={"INCONSISTENTE","AGOTADO","CRÍTICO"}),INDEX(tblAlertas[UltimoMov],10),"")</f>
        <v/>
      </c>
    </row>
    <row r="32" spans="2:13" s="7" customFormat="1" ht="9" customHeight="1" x14ac:dyDescent="0.25"/>
    <row r="33" spans="2:13" s="7" customFormat="1" ht="16.5" customHeight="1" x14ac:dyDescent="0.25">
      <c r="B33" s="7" t="s">
        <v>355</v>
      </c>
    </row>
    <row r="34" spans="2:13" s="7" customFormat="1" ht="18" customHeight="1" x14ac:dyDescent="0.25">
      <c r="B34" s="8" t="s">
        <v>180</v>
      </c>
      <c r="C34" s="8" t="s">
        <v>40</v>
      </c>
      <c r="D34" s="111" t="s">
        <v>115</v>
      </c>
      <c r="E34" s="111"/>
      <c r="F34" s="111"/>
      <c r="G34" s="111"/>
      <c r="H34" s="8" t="s">
        <v>181</v>
      </c>
      <c r="I34" s="111" t="s">
        <v>192</v>
      </c>
      <c r="J34" s="111"/>
      <c r="K34" s="111" t="s">
        <v>56</v>
      </c>
      <c r="L34" s="111"/>
      <c r="M34" s="8" t="s">
        <v>182</v>
      </c>
    </row>
    <row r="35" spans="2:13" s="7" customFormat="1" ht="16.5" customHeight="1" x14ac:dyDescent="0.25">
      <c r="B35" s="11" t="str">
        <f>IFERROR(IF(INDEX(tblSalidas[ID],ROWS(tblSalidas[ID])-0)="","",INDEX(tblSalidas[Fecha],ROWS(tblSalidas[ID])-0)),"")</f>
        <v/>
      </c>
      <c r="C35" s="12" t="str">
        <f>IFERROR(IF(INDEX(tblSalidas[ID],ROWS(tblSalidas[ID])-0)="","",INDEX(tblSalidas[Tipo],ROWS(tblSalidas[ID])-0)&amp;""),"")</f>
        <v/>
      </c>
      <c r="D35" s="112" t="str">
        <f>IFERROR(IF(INDEX(tblSalidas[ID],ROWS(tblSalidas[ID])-0)="","",INDEX(tblSalidas[Producto],ROWS(tblSalidas[ID])-0)&amp;""),"")</f>
        <v/>
      </c>
      <c r="E35" s="112"/>
      <c r="F35" s="112"/>
      <c r="G35" s="112"/>
      <c r="H35" s="10" t="str">
        <f>IFERROR(IF(INDEX(tblSalidas[ID],ROWS(tblSalidas[ID])-0)="","",INDEX(tblSalidas[Cantidad],ROWS(tblSalidas[ID])-0)),"")</f>
        <v/>
      </c>
      <c r="I35" s="112" t="str">
        <f>IFERROR(IF(INDEX(tblSalidas[ID],ROWS(tblSalidas[ID])-0)="","",INDEX(tblSalidas[Registró],ROWS(tblSalidas[ID])-0)&amp;""),"")</f>
        <v/>
      </c>
      <c r="J35" s="112"/>
      <c r="K35" s="112" t="str">
        <f>IFERROR(IF(INDEX(tblSalidas[ID],ROWS(tblSalidas[ID])-0)="","",INDEX(tblSalidas[Estado],ROWS(tblSalidas[ID])-0)&amp;""),"")</f>
        <v/>
      </c>
      <c r="L35" s="112"/>
      <c r="M35" s="9" t="str">
        <f>IFERROR(IF(INDEX(tblSalidas[ID],ROWS(tblSalidas[ID])-0)="","",INDEX(tblSalidas[Documento],ROWS(tblSalidas[ID])-0)&amp;""),"")</f>
        <v/>
      </c>
    </row>
    <row r="36" spans="2:13" s="7" customFormat="1" ht="16.5" customHeight="1" x14ac:dyDescent="0.25">
      <c r="B36" s="11" t="str">
        <f>IFERROR(IF(INDEX(tblSalidas[ID],ROWS(tblSalidas[ID])-1)="","",INDEX(tblSalidas[Fecha],ROWS(tblSalidas[ID])-1)),"")</f>
        <v/>
      </c>
      <c r="C36" s="12" t="str">
        <f>IFERROR(IF(INDEX(tblSalidas[ID],ROWS(tblSalidas[ID])-1)="","",INDEX(tblSalidas[Tipo],ROWS(tblSalidas[ID])-1)&amp;""),"")</f>
        <v/>
      </c>
      <c r="D36" s="112" t="str">
        <f>IFERROR(IF(INDEX(tblSalidas[ID],ROWS(tblSalidas[ID])-1)="","",INDEX(tblSalidas[Producto],ROWS(tblSalidas[ID])-1)&amp;""),"")</f>
        <v/>
      </c>
      <c r="E36" s="112"/>
      <c r="F36" s="112"/>
      <c r="G36" s="112"/>
      <c r="H36" s="10" t="str">
        <f>IFERROR(IF(INDEX(tblSalidas[ID],ROWS(tblSalidas[ID])-1)="","",INDEX(tblSalidas[Cantidad],ROWS(tblSalidas[ID])-1)),"")</f>
        <v/>
      </c>
      <c r="I36" s="112" t="str">
        <f>IFERROR(IF(INDEX(tblSalidas[ID],ROWS(tblSalidas[ID])-1)="","",INDEX(tblSalidas[Registró],ROWS(tblSalidas[ID])-1)&amp;""),"")</f>
        <v/>
      </c>
      <c r="J36" s="112"/>
      <c r="K36" s="112" t="str">
        <f>IFERROR(IF(INDEX(tblSalidas[ID],ROWS(tblSalidas[ID])-1)="","",INDEX(tblSalidas[Estado],ROWS(tblSalidas[ID])-1)&amp;""),"")</f>
        <v/>
      </c>
      <c r="L36" s="112"/>
      <c r="M36" s="9" t="str">
        <f>IFERROR(IF(INDEX(tblSalidas[ID],ROWS(tblSalidas[ID])-1)="","",INDEX(tblSalidas[Documento],ROWS(tblSalidas[ID])-1)&amp;""),"")</f>
        <v/>
      </c>
    </row>
    <row r="37" spans="2:13" s="7" customFormat="1" ht="16.5" customHeight="1" x14ac:dyDescent="0.25">
      <c r="B37" s="11" t="str">
        <f>IFERROR(IF(INDEX(tblSalidas[ID],ROWS(tblSalidas[ID])-2)="","",INDEX(tblSalidas[Fecha],ROWS(tblSalidas[ID])-2)),"")</f>
        <v/>
      </c>
      <c r="C37" s="12" t="str">
        <f>IFERROR(IF(INDEX(tblSalidas[ID],ROWS(tblSalidas[ID])-2)="","",INDEX(tblSalidas[Tipo],ROWS(tblSalidas[ID])-2)&amp;""),"")</f>
        <v/>
      </c>
      <c r="D37" s="112" t="str">
        <f>IFERROR(IF(INDEX(tblSalidas[ID],ROWS(tblSalidas[ID])-2)="","",INDEX(tblSalidas[Producto],ROWS(tblSalidas[ID])-2)&amp;""),"")</f>
        <v/>
      </c>
      <c r="E37" s="112"/>
      <c r="F37" s="112"/>
      <c r="G37" s="112"/>
      <c r="H37" s="10" t="str">
        <f>IFERROR(IF(INDEX(tblSalidas[ID],ROWS(tblSalidas[ID])-2)="","",INDEX(tblSalidas[Cantidad],ROWS(tblSalidas[ID])-2)),"")</f>
        <v/>
      </c>
      <c r="I37" s="112" t="str">
        <f>IFERROR(IF(INDEX(tblSalidas[ID],ROWS(tblSalidas[ID])-2)="","",INDEX(tblSalidas[Registró],ROWS(tblSalidas[ID])-2)&amp;""),"")</f>
        <v/>
      </c>
      <c r="J37" s="112"/>
      <c r="K37" s="112" t="str">
        <f>IFERROR(IF(INDEX(tblSalidas[ID],ROWS(tblSalidas[ID])-2)="","",INDEX(tblSalidas[Estado],ROWS(tblSalidas[ID])-2)&amp;""),"")</f>
        <v/>
      </c>
      <c r="L37" s="112"/>
      <c r="M37" s="9" t="str">
        <f>IFERROR(IF(INDEX(tblSalidas[ID],ROWS(tblSalidas[ID])-2)="","",INDEX(tblSalidas[Documento],ROWS(tblSalidas[ID])-2)&amp;""),"")</f>
        <v/>
      </c>
    </row>
    <row r="38" spans="2:13" s="7" customFormat="1" ht="16.5" customHeight="1" x14ac:dyDescent="0.25">
      <c r="B38" s="11" t="str">
        <f>IFERROR(IF(INDEX(tblSalidas[ID],ROWS(tblSalidas[ID])-3)="","",INDEX(tblSalidas[Fecha],ROWS(tblSalidas[ID])-3)),"")</f>
        <v/>
      </c>
      <c r="C38" s="12" t="str">
        <f>IFERROR(IF(INDEX(tblSalidas[ID],ROWS(tblSalidas[ID])-3)="","",INDEX(tblSalidas[Tipo],ROWS(tblSalidas[ID])-3)&amp;""),"")</f>
        <v/>
      </c>
      <c r="D38" s="112" t="str">
        <f>IFERROR(IF(INDEX(tblSalidas[ID],ROWS(tblSalidas[ID])-3)="","",INDEX(tblSalidas[Producto],ROWS(tblSalidas[ID])-3)&amp;""),"")</f>
        <v/>
      </c>
      <c r="E38" s="112"/>
      <c r="F38" s="112"/>
      <c r="G38" s="112"/>
      <c r="H38" s="10" t="str">
        <f>IFERROR(IF(INDEX(tblSalidas[ID],ROWS(tblSalidas[ID])-3)="","",INDEX(tblSalidas[Cantidad],ROWS(tblSalidas[ID])-3)),"")</f>
        <v/>
      </c>
      <c r="I38" s="112" t="str">
        <f>IFERROR(IF(INDEX(tblSalidas[ID],ROWS(tblSalidas[ID])-3)="","",INDEX(tblSalidas[Registró],ROWS(tblSalidas[ID])-3)&amp;""),"")</f>
        <v/>
      </c>
      <c r="J38" s="112"/>
      <c r="K38" s="112" t="str">
        <f>IFERROR(IF(INDEX(tblSalidas[ID],ROWS(tblSalidas[ID])-3)="","",INDEX(tblSalidas[Estado],ROWS(tblSalidas[ID])-3)&amp;""),"")</f>
        <v/>
      </c>
      <c r="L38" s="112"/>
      <c r="M38" s="9" t="str">
        <f>IFERROR(IF(INDEX(tblSalidas[ID],ROWS(tblSalidas[ID])-3)="","",INDEX(tblSalidas[Documento],ROWS(tblSalidas[ID])-3)&amp;""),"")</f>
        <v/>
      </c>
    </row>
    <row r="39" spans="2:13" s="7" customFormat="1" ht="16.5" customHeight="1" x14ac:dyDescent="0.25">
      <c r="B39" s="11" t="str">
        <f>IFERROR(IF(INDEX(tblSalidas[ID],ROWS(tblSalidas[ID])-4)="","",INDEX(tblSalidas[Fecha],ROWS(tblSalidas[ID])-4)),"")</f>
        <v/>
      </c>
      <c r="C39" s="12" t="str">
        <f>IFERROR(IF(INDEX(tblSalidas[ID],ROWS(tblSalidas[ID])-4)="","",INDEX(tblSalidas[Tipo],ROWS(tblSalidas[ID])-4)&amp;""),"")</f>
        <v/>
      </c>
      <c r="D39" s="112" t="str">
        <f>IFERROR(IF(INDEX(tblSalidas[ID],ROWS(tblSalidas[ID])-4)="","",INDEX(tblSalidas[Producto],ROWS(tblSalidas[ID])-4)&amp;""),"")</f>
        <v/>
      </c>
      <c r="E39" s="112"/>
      <c r="F39" s="112"/>
      <c r="G39" s="112"/>
      <c r="H39" s="10" t="str">
        <f>IFERROR(IF(INDEX(tblSalidas[ID],ROWS(tblSalidas[ID])-4)="","",INDEX(tblSalidas[Cantidad],ROWS(tblSalidas[ID])-4)),"")</f>
        <v/>
      </c>
      <c r="I39" s="112" t="str">
        <f>IFERROR(IF(INDEX(tblSalidas[ID],ROWS(tblSalidas[ID])-4)="","",INDEX(tblSalidas[Registró],ROWS(tblSalidas[ID])-4)&amp;""),"")</f>
        <v/>
      </c>
      <c r="J39" s="112"/>
      <c r="K39" s="112" t="str">
        <f>IFERROR(IF(INDEX(tblSalidas[ID],ROWS(tblSalidas[ID])-4)="","",INDEX(tblSalidas[Estado],ROWS(tblSalidas[ID])-4)&amp;""),"")</f>
        <v/>
      </c>
      <c r="L39" s="112"/>
      <c r="M39" s="9" t="str">
        <f>IFERROR(IF(INDEX(tblSalidas[ID],ROWS(tblSalidas[ID])-4)="","",INDEX(tblSalidas[Documento],ROWS(tblSalidas[ID])-4)&amp;""),"")</f>
        <v/>
      </c>
    </row>
    <row r="40" spans="2:13" s="7" customFormat="1" ht="16.5" customHeight="1" x14ac:dyDescent="0.25">
      <c r="B40" s="11" t="str">
        <f>IFERROR(IF(INDEX(tblSalidas[ID],ROWS(tblSalidas[ID])-5)="","",INDEX(tblSalidas[Fecha],ROWS(tblSalidas[ID])-5)),"")</f>
        <v/>
      </c>
      <c r="C40" s="12" t="str">
        <f>IFERROR(IF(INDEX(tblSalidas[ID],ROWS(tblSalidas[ID])-5)="","",INDEX(tblSalidas[Tipo],ROWS(tblSalidas[ID])-5)&amp;""),"")</f>
        <v/>
      </c>
      <c r="D40" s="112" t="str">
        <f>IFERROR(IF(INDEX(tblSalidas[ID],ROWS(tblSalidas[ID])-5)="","",INDEX(tblSalidas[Producto],ROWS(tblSalidas[ID])-5)&amp;""),"")</f>
        <v/>
      </c>
      <c r="E40" s="112"/>
      <c r="F40" s="112"/>
      <c r="G40" s="112"/>
      <c r="H40" s="10" t="str">
        <f>IFERROR(IF(INDEX(tblSalidas[ID],ROWS(tblSalidas[ID])-5)="","",INDEX(tblSalidas[Cantidad],ROWS(tblSalidas[ID])-5)),"")</f>
        <v/>
      </c>
      <c r="I40" s="112" t="str">
        <f>IFERROR(IF(INDEX(tblSalidas[ID],ROWS(tblSalidas[ID])-5)="","",INDEX(tblSalidas[Registró],ROWS(tblSalidas[ID])-5)&amp;""),"")</f>
        <v/>
      </c>
      <c r="J40" s="112"/>
      <c r="K40" s="112" t="str">
        <f>IFERROR(IF(INDEX(tblSalidas[ID],ROWS(tblSalidas[ID])-5)="","",INDEX(tblSalidas[Estado],ROWS(tblSalidas[ID])-5)&amp;""),"")</f>
        <v/>
      </c>
      <c r="L40" s="112"/>
      <c r="M40" s="9" t="str">
        <f>IFERROR(IF(INDEX(tblSalidas[ID],ROWS(tblSalidas[ID])-5)="","",INDEX(tblSalidas[Documento],ROWS(tblSalidas[ID])-5)&amp;""),"")</f>
        <v/>
      </c>
    </row>
    <row r="41" spans="2:13" s="7" customFormat="1" ht="16.5" customHeight="1" x14ac:dyDescent="0.25">
      <c r="B41" s="11" t="str">
        <f>IFERROR(IF(INDEX(tblSalidas[ID],ROWS(tblSalidas[ID])-6)="","",INDEX(tblSalidas[Fecha],ROWS(tblSalidas[ID])-6)),"")</f>
        <v/>
      </c>
      <c r="C41" s="12" t="str">
        <f>IFERROR(IF(INDEX(tblSalidas[ID],ROWS(tblSalidas[ID])-6)="","",INDEX(tblSalidas[Tipo],ROWS(tblSalidas[ID])-6)&amp;""),"")</f>
        <v/>
      </c>
      <c r="D41" s="112" t="str">
        <f>IFERROR(IF(INDEX(tblSalidas[ID],ROWS(tblSalidas[ID])-6)="","",INDEX(tblSalidas[Producto],ROWS(tblSalidas[ID])-6)&amp;""),"")</f>
        <v/>
      </c>
      <c r="E41" s="112"/>
      <c r="F41" s="112"/>
      <c r="G41" s="112"/>
      <c r="H41" s="10" t="str">
        <f>IFERROR(IF(INDEX(tblSalidas[ID],ROWS(tblSalidas[ID])-6)="","",INDEX(tblSalidas[Cantidad],ROWS(tblSalidas[ID])-6)),"")</f>
        <v/>
      </c>
      <c r="I41" s="112" t="str">
        <f>IFERROR(IF(INDEX(tblSalidas[ID],ROWS(tblSalidas[ID])-6)="","",INDEX(tblSalidas[Registró],ROWS(tblSalidas[ID])-6)&amp;""),"")</f>
        <v/>
      </c>
      <c r="J41" s="112"/>
      <c r="K41" s="112" t="str">
        <f>IFERROR(IF(INDEX(tblSalidas[ID],ROWS(tblSalidas[ID])-6)="","",INDEX(tblSalidas[Estado],ROWS(tblSalidas[ID])-6)&amp;""),"")</f>
        <v/>
      </c>
      <c r="L41" s="112"/>
      <c r="M41" s="9" t="str">
        <f>IFERROR(IF(INDEX(tblSalidas[ID],ROWS(tblSalidas[ID])-6)="","",INDEX(tblSalidas[Documento],ROWS(tblSalidas[ID])-6)&amp;""),"")</f>
        <v/>
      </c>
    </row>
    <row r="42" spans="2:13" s="7" customFormat="1" ht="16.5" customHeight="1" x14ac:dyDescent="0.25">
      <c r="B42" s="11" t="str">
        <f>IFERROR(IF(INDEX(tblSalidas[ID],ROWS(tblSalidas[ID])-7)="","",INDEX(tblSalidas[Fecha],ROWS(tblSalidas[ID])-7)),"")</f>
        <v/>
      </c>
      <c r="C42" s="12" t="str">
        <f>IFERROR(IF(INDEX(tblSalidas[ID],ROWS(tblSalidas[ID])-7)="","",INDEX(tblSalidas[Tipo],ROWS(tblSalidas[ID])-7)&amp;""),"")</f>
        <v/>
      </c>
      <c r="D42" s="112" t="str">
        <f>IFERROR(IF(INDEX(tblSalidas[ID],ROWS(tblSalidas[ID])-7)="","",INDEX(tblSalidas[Producto],ROWS(tblSalidas[ID])-7)&amp;""),"")</f>
        <v/>
      </c>
      <c r="E42" s="112"/>
      <c r="F42" s="112"/>
      <c r="G42" s="112"/>
      <c r="H42" s="10" t="str">
        <f>IFERROR(IF(INDEX(tblSalidas[ID],ROWS(tblSalidas[ID])-7)="","",INDEX(tblSalidas[Cantidad],ROWS(tblSalidas[ID])-7)),"")</f>
        <v/>
      </c>
      <c r="I42" s="112" t="str">
        <f>IFERROR(IF(INDEX(tblSalidas[ID],ROWS(tblSalidas[ID])-7)="","",INDEX(tblSalidas[Registró],ROWS(tblSalidas[ID])-7)&amp;""),"")</f>
        <v/>
      </c>
      <c r="J42" s="112"/>
      <c r="K42" s="112" t="str">
        <f>IFERROR(IF(INDEX(tblSalidas[ID],ROWS(tblSalidas[ID])-7)="","",INDEX(tblSalidas[Estado],ROWS(tblSalidas[ID])-7)&amp;""),"")</f>
        <v/>
      </c>
      <c r="L42" s="112"/>
      <c r="M42" s="9" t="str">
        <f>IFERROR(IF(INDEX(tblSalidas[ID],ROWS(tblSalidas[ID])-7)="","",INDEX(tblSalidas[Documento],ROWS(tblSalidas[ID])-7)&amp;""),"")</f>
        <v/>
      </c>
    </row>
    <row r="43" spans="2:13" s="7" customFormat="1" ht="9" customHeight="1" x14ac:dyDescent="0.25"/>
    <row r="44" spans="2:13" s="7" customFormat="1" ht="19.5" customHeight="1" x14ac:dyDescent="0.25">
      <c r="B44" s="113" t="str">
        <f>txtBitacoras</f>
        <v>Bitácoras oficiales: 0 entradas/ajustes · 0 salidas</v>
      </c>
      <c r="C44" s="113"/>
      <c r="D44" s="113"/>
      <c r="E44" s="113"/>
      <c r="F44" s="113"/>
      <c r="G44" s="113"/>
      <c r="H44" s="113"/>
      <c r="I44" s="114" t="s">
        <v>344</v>
      </c>
      <c r="J44" s="114"/>
      <c r="K44" s="114"/>
      <c r="L44" s="114"/>
      <c r="M44" s="114"/>
    </row>
  </sheetData>
  <sheetProtection password="930D" sheet="1" objects="1" scenarios="1"/>
  <mergeCells count="60">
    <mergeCell ref="B44:H44"/>
    <mergeCell ref="I44:M44"/>
    <mergeCell ref="D41:G41"/>
    <mergeCell ref="I41:J41"/>
    <mergeCell ref="K41:L41"/>
    <mergeCell ref="D42:G42"/>
    <mergeCell ref="I42:J42"/>
    <mergeCell ref="K42:L42"/>
    <mergeCell ref="D39:G39"/>
    <mergeCell ref="I39:J39"/>
    <mergeCell ref="K39:L39"/>
    <mergeCell ref="D40:G40"/>
    <mergeCell ref="I40:J40"/>
    <mergeCell ref="K40:L40"/>
    <mergeCell ref="D37:G37"/>
    <mergeCell ref="I37:J37"/>
    <mergeCell ref="K37:L37"/>
    <mergeCell ref="D38:G38"/>
    <mergeCell ref="I38:J38"/>
    <mergeCell ref="K38:L38"/>
    <mergeCell ref="D35:G35"/>
    <mergeCell ref="I35:J35"/>
    <mergeCell ref="K35:L35"/>
    <mergeCell ref="D36:G36"/>
    <mergeCell ref="I36:J36"/>
    <mergeCell ref="K36:L36"/>
    <mergeCell ref="C30:F30"/>
    <mergeCell ref="C31:F31"/>
    <mergeCell ref="D34:G34"/>
    <mergeCell ref="I34:J34"/>
    <mergeCell ref="K34:L34"/>
    <mergeCell ref="C25:F25"/>
    <mergeCell ref="C26:F26"/>
    <mergeCell ref="C27:F27"/>
    <mergeCell ref="C28:F28"/>
    <mergeCell ref="C29:F29"/>
    <mergeCell ref="K18:M18"/>
    <mergeCell ref="C21:F21"/>
    <mergeCell ref="C22:F22"/>
    <mergeCell ref="C23:F23"/>
    <mergeCell ref="C24:F24"/>
    <mergeCell ref="B18:D18"/>
    <mergeCell ref="E16:G16"/>
    <mergeCell ref="E17:G17"/>
    <mergeCell ref="E18:G18"/>
    <mergeCell ref="H16:J16"/>
    <mergeCell ref="H17:J17"/>
    <mergeCell ref="H18:J18"/>
    <mergeCell ref="B12:E13"/>
    <mergeCell ref="F12:I13"/>
    <mergeCell ref="J12:M13"/>
    <mergeCell ref="B16:D16"/>
    <mergeCell ref="B17:D17"/>
    <mergeCell ref="K16:M16"/>
    <mergeCell ref="K17:M17"/>
    <mergeCell ref="J2:M2"/>
    <mergeCell ref="J3:M3"/>
    <mergeCell ref="B7:I7"/>
    <mergeCell ref="J7:M7"/>
    <mergeCell ref="B9:M9"/>
  </mergeCells>
  <conditionalFormatting sqref="B22:B31">
    <cfRule type="expression" dxfId="207" priority="7">
      <formula>$B22="INCONSISTENTE"</formula>
    </cfRule>
    <cfRule type="expression" dxfId="206" priority="8">
      <formula>$B22="AGOTADO"</formula>
    </cfRule>
    <cfRule type="expression" dxfId="205" priority="9">
      <formula>$B22="CRÍTICO"</formula>
    </cfRule>
    <cfRule type="expression" dxfId="204" priority="10">
      <formula>$B22="BAJO"</formula>
    </cfRule>
    <cfRule type="expression" dxfId="203" priority="11">
      <formula>$B22="ÓPTIMO"</formula>
    </cfRule>
    <cfRule type="expression" dxfId="202" priority="12">
      <formula>$B22="SOBRESTOCK"</formula>
    </cfRule>
    <cfRule type="expression" dxfId="201" priority="13">
      <formula>$B22="INACTIVO"</formula>
    </cfRule>
  </conditionalFormatting>
  <conditionalFormatting sqref="B7:I7">
    <cfRule type="expression" dxfId="200" priority="1" stopIfTrue="1">
      <formula>N(stkActualizado)=0</formula>
    </cfRule>
    <cfRule type="expression" dxfId="199" priority="2" stopIfTrue="1">
      <formula>kpiNuevosDesdeCalculo&gt;0</formula>
    </cfRule>
    <cfRule type="expression" dxfId="198" priority="3" stopIfTrue="1">
      <formula>kpiNuevosDesdeCalculo=0</formula>
    </cfRule>
  </conditionalFormatting>
  <conditionalFormatting sqref="B9:M9">
    <cfRule type="expression" dxfId="197" priority="4">
      <formula>LEFT(txtPasoVentas,1)="✖"</formula>
    </cfRule>
    <cfRule type="expression" dxfId="196" priority="5">
      <formula>LEFT(txtPasoVentas,1)="●"</formula>
    </cfRule>
    <cfRule type="expression" dxfId="195" priority="6">
      <formula>LEFT(txtPasoVentas,1)="✔"</formula>
    </cfRule>
  </conditionalFormatting>
  <conditionalFormatting sqref="G22:I31">
    <cfRule type="expression" dxfId="194" priority="14">
      <formula>AND(ISNUMBER(G22),G22&lt;&gt;INT(G22))</formula>
    </cfRule>
  </conditionalFormatting>
  <conditionalFormatting sqref="H35:H42">
    <cfRule type="expression" dxfId="193" priority="15">
      <formula>AND(ISNUMBER(H35),H35&lt;&gt;INT(H35))</formula>
    </cfRule>
  </conditionalFormatting>
  <conditionalFormatting sqref="K35:L42">
    <cfRule type="expression" dxfId="192" priority="16">
      <formula>LEFT($K35,1)="✖"</formula>
    </cfRule>
    <cfRule type="expression" dxfId="191" priority="17">
      <formula>LEFT($K35,1)="✔"</formula>
    </cfRule>
  </conditionalFormatting>
  <hyperlinks>
    <hyperlink ref="B5" location="'00_PORTADA_BODEGA'!A1" tooltip="Portada de Bodega" display="⌂ Bodega" xr:uid="{00000000-0004-0000-0100-000000000000}"/>
    <hyperlink ref="C5" location="'00_PORTADA_VENTAS'!A1" tooltip="Portada de Ventas" display="⌂ Ventas" xr:uid="{00000000-0004-0000-0100-000001000000}"/>
    <hyperlink ref="D5" location="'00_PORTADA_GERENCIA'!A1" tooltip="Portada de Gerencia: indicadores, pedido y actividad" display="◈ Gerencia" xr:uid="{00000000-0004-0000-0100-000002000000}"/>
    <hyperlink ref="E5" location="'10A_ENTRADAS'!C9" tooltip="Registrar entradas y ajustes (Bodega)" display="⇩ Entradas" xr:uid="{00000000-0004-0000-0100-000003000000}"/>
    <hyperlink ref="F5" location="'10B_SALIDAS'!E9" tooltip="Registrar salidas (Ventas)" display="⇧ Salidas" xr:uid="{00000000-0004-0000-0100-000004000000}"/>
    <hyperlink ref="G5" location="'17_CONSULTA'!C9" tooltip="Consultar un producto en su fila" display="⌕ Consulta" xr:uid="{00000000-0004-0000-0100-000005000000}"/>
    <hyperlink ref="H5" location="'15_STOCK'!A1" tooltip="Stock (instantánea recalculada a demanda)" display="▦ Stock" xr:uid="{00000000-0004-0000-0100-000006000000}"/>
    <hyperlink ref="I5" location="'18_PEDIDO'!A1" tooltip="Pedido sugerido por proveedor" display="✚ Pedido" xr:uid="{00000000-0004-0000-0100-000007000000}"/>
    <hyperlink ref="J5" location="'13_CONTEO'!I9" tooltip="Toma física (conteo) colaborativa" display="✓ Conteo" xr:uid="{00000000-0004-0000-0100-000008000000}"/>
    <hyperlink ref="K5" location="'99_AYUDA'!A1" tooltip="Guía de uso, acceso e instalación" display="? Guía" xr:uid="{00000000-0004-0000-0100-000009000000}"/>
    <hyperlink ref="B12" location="'10B_SALIDAS'!E9" tooltip="Ir a su fila de captura en 10B_SALIDAS" display="⇧  REGISTRAR SALIDA" xr:uid="{00000000-0004-0000-0100-00000A000000}"/>
    <hyperlink ref="F12" location="'17_CONSULTA'!C9" tooltip="Ficha al instante en su fila de 17_CONSULTA: disponible exacto, estado, cobertura y último movimiento" display="⌕  CONSULTAR PRODUCTO" xr:uid="{00000000-0004-0000-0100-00000B000000}"/>
    <hyperlink ref="J12" location="'15_STOCK'!B8" tooltip="Instantánea de stock de todos los productos (filtre en su Vista de hoja)" display="▦  STOCK COMPLETO" xr:uid="{00000000-0004-0000-0100-00000C00000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324F"/>
  </sheetPr>
  <dimension ref="B1:M52"/>
  <sheetViews>
    <sheetView showGridLines="0" showRowColHeaders="0" workbookViewId="0">
      <selection activeCell="B12" sqref="B12"/>
    </sheetView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3.42578125" customWidth="1"/>
    <col min="15" max="15" width="0" hidden="1" customWidth="1"/>
  </cols>
  <sheetData>
    <row r="1" spans="2:13" s="1" customFormat="1" ht="4.5" customHeight="1" x14ac:dyDescent="0.25"/>
    <row r="2" spans="2:13" s="1" customFormat="1" ht="22.5" customHeight="1" x14ac:dyDescent="0.25">
      <c r="B2" s="2" t="s">
        <v>356</v>
      </c>
      <c r="J2" s="91" t="str">
        <f ca="1">txtHoy</f>
        <v>Hoy · 25/09/2026</v>
      </c>
      <c r="K2" s="92"/>
      <c r="L2" s="92"/>
      <c r="M2" s="92"/>
    </row>
    <row r="3" spans="2:13" s="1" customFormat="1" ht="14.25" x14ac:dyDescent="0.25">
      <c r="B3" s="3" t="str">
        <f>txtEmpresa</f>
        <v>NOMBRE DE SU EMPRESA   ·   Bodega principal</v>
      </c>
      <c r="J3" s="93" t="s">
        <v>332</v>
      </c>
      <c r="K3" s="93"/>
      <c r="L3" s="93"/>
      <c r="M3" s="93"/>
    </row>
    <row r="4" spans="2:13" s="1" customFormat="1" ht="4.5" customHeight="1" x14ac:dyDescent="0.25"/>
    <row r="5" spans="2:13" s="4" customFormat="1" ht="21" customHeight="1" x14ac:dyDescent="0.25">
      <c r="B5" s="6" t="s">
        <v>82</v>
      </c>
      <c r="C5" s="6" t="s">
        <v>83</v>
      </c>
      <c r="D5" s="5" t="s">
        <v>84</v>
      </c>
      <c r="E5" s="6" t="s">
        <v>85</v>
      </c>
      <c r="F5" s="6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6" t="s">
        <v>91</v>
      </c>
    </row>
    <row r="6" spans="2:13" s="7" customFormat="1" ht="7.5" customHeight="1" x14ac:dyDescent="0.25"/>
    <row r="7" spans="2:13" s="7" customFormat="1" ht="30" customHeight="1" x14ac:dyDescent="0.25">
      <c r="B7" s="94" t="str">
        <f>txtFrescura&amp;"      ·      "&amp;txtStockActualizado</f>
        <v>⚠ Pulse «Recalcular stock» para calcular el stock      ·      Stock aún no calculado</v>
      </c>
      <c r="C7" s="94"/>
      <c r="D7" s="94"/>
      <c r="E7" s="94"/>
      <c r="F7" s="94"/>
      <c r="G7" s="94"/>
      <c r="H7" s="94"/>
      <c r="I7" s="94"/>
      <c r="J7" s="95" t="s">
        <v>228</v>
      </c>
      <c r="K7" s="95"/>
      <c r="L7" s="95"/>
      <c r="M7" s="95"/>
    </row>
    <row r="8" spans="2:13" s="7" customFormat="1" ht="6" customHeight="1" x14ac:dyDescent="0.25"/>
    <row r="9" spans="2:13" s="7" customFormat="1" ht="25.5" customHeight="1" x14ac:dyDescent="0.25">
      <c r="B9" s="96" t="str">
        <f>txtPasoGerencia</f>
        <v>⚠ Pulse «Recalcular stock» para calcular la instantánea</v>
      </c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</row>
    <row r="10" spans="2:13" s="7" customFormat="1" ht="7.5" customHeight="1" x14ac:dyDescent="0.25"/>
    <row r="11" spans="2:13" s="7" customFormat="1" ht="16.5" customHeight="1" x14ac:dyDescent="0.25">
      <c r="B11" s="7" t="s">
        <v>357</v>
      </c>
    </row>
    <row r="12" spans="2:13" s="7" customFormat="1" ht="27" customHeight="1" x14ac:dyDescent="0.25">
      <c r="B12" s="116" t="s">
        <v>358</v>
      </c>
      <c r="C12" s="116"/>
      <c r="D12" s="116"/>
      <c r="E12" s="121" t="str">
        <f>HYPERLINK("#'16_ALERTAS'!A1",txtAlertasBtn)</f>
        <v>⚠  ALERTAS DE STOCK CRÍTICO (0)</v>
      </c>
      <c r="F12" s="121"/>
      <c r="G12" s="121"/>
      <c r="H12" s="122" t="str">
        <f>HYPERLINK("#'18_PEDIDO'!A1",txtPedidoBtn)</f>
        <v>✚  PEDIDO SUGERIDO  ·  $ 0</v>
      </c>
      <c r="I12" s="122"/>
      <c r="J12" s="122"/>
      <c r="K12" s="117" t="s">
        <v>359</v>
      </c>
      <c r="L12" s="117"/>
      <c r="M12" s="117"/>
    </row>
    <row r="13" spans="2:13" s="7" customFormat="1" ht="27" customHeight="1" x14ac:dyDescent="0.25">
      <c r="B13" s="116"/>
      <c r="C13" s="116"/>
      <c r="D13" s="116"/>
      <c r="E13" s="121"/>
      <c r="F13" s="121"/>
      <c r="G13" s="121"/>
      <c r="H13" s="122"/>
      <c r="I13" s="122"/>
      <c r="J13" s="122"/>
      <c r="K13" s="117"/>
      <c r="L13" s="117"/>
      <c r="M13" s="117"/>
    </row>
    <row r="14" spans="2:13" s="7" customFormat="1" ht="9" customHeight="1" x14ac:dyDescent="0.25"/>
    <row r="15" spans="2:13" s="7" customFormat="1" ht="16.5" customHeight="1" x14ac:dyDescent="0.25">
      <c r="B15" s="7" t="s">
        <v>337</v>
      </c>
    </row>
    <row r="16" spans="2:13" s="7" customFormat="1" ht="14.25" x14ac:dyDescent="0.25">
      <c r="B16" s="109" t="s">
        <v>341</v>
      </c>
      <c r="C16" s="109"/>
      <c r="D16" s="109"/>
      <c r="E16" s="105" t="s">
        <v>360</v>
      </c>
      <c r="F16" s="105"/>
      <c r="G16" s="105"/>
      <c r="H16" s="107" t="s">
        <v>361</v>
      </c>
      <c r="I16" s="107"/>
      <c r="J16" s="107"/>
      <c r="K16" s="119" t="s">
        <v>362</v>
      </c>
      <c r="L16" s="119"/>
      <c r="M16" s="119"/>
    </row>
    <row r="17" spans="2:13" s="7" customFormat="1" ht="31.5" customHeight="1" x14ac:dyDescent="0.25">
      <c r="B17" s="110">
        <f>kpiValor</f>
        <v>0</v>
      </c>
      <c r="C17" s="103"/>
      <c r="D17" s="103"/>
      <c r="E17" s="106">
        <f>kpiEnAlerta</f>
        <v>0</v>
      </c>
      <c r="F17" s="103"/>
      <c r="G17" s="103"/>
      <c r="H17" s="123">
        <f>kpiPedidoTotal</f>
        <v>0</v>
      </c>
      <c r="I17" s="103"/>
      <c r="J17" s="103"/>
      <c r="K17" s="120">
        <f ca="1">kpiMovMes</f>
        <v>0</v>
      </c>
      <c r="L17" s="103"/>
      <c r="M17" s="103"/>
    </row>
    <row r="18" spans="2:13" s="7" customFormat="1" ht="14.25" x14ac:dyDescent="0.25">
      <c r="B18" s="104" t="str">
        <f>"a costo unitario de catálogo"</f>
        <v>a costo unitario de catálogo</v>
      </c>
      <c r="C18" s="103"/>
      <c r="D18" s="103"/>
      <c r="E18" s="104" t="str">
        <f>"agotados "&amp;kpiAgotados&amp;" · críticos "&amp;kpiCriticos&amp;" · bajos "&amp;kpiBajos</f>
        <v>agotados 0 · críticos 0 · bajos 0</v>
      </c>
      <c r="F18" s="103"/>
      <c r="G18" s="103"/>
      <c r="H18" s="104" t="str">
        <f>kpiPedidoLineas&amp;" línea(s) · "&amp;kpiPedidoProv&amp;" proveedor(es)"</f>
        <v>0 línea(s) · 0 proveedor(es)</v>
      </c>
      <c r="I18" s="103"/>
      <c r="J18" s="103"/>
      <c r="K18" s="104" t="str">
        <f>"entradas, ajustes y salidas consolidadas"</f>
        <v>entradas, ajustes y salidas consolidadas</v>
      </c>
      <c r="L18" s="103"/>
      <c r="M18" s="103"/>
    </row>
    <row r="19" spans="2:13" s="7" customFormat="1" ht="6" customHeight="1" x14ac:dyDescent="0.25"/>
    <row r="20" spans="2:13" s="7" customFormat="1" ht="14.25" x14ac:dyDescent="0.25">
      <c r="B20" s="101" t="s">
        <v>363</v>
      </c>
      <c r="C20" s="101"/>
      <c r="D20" s="101"/>
      <c r="E20" s="124" t="s">
        <v>364</v>
      </c>
      <c r="F20" s="124"/>
      <c r="G20" s="124"/>
      <c r="H20" s="105" t="s">
        <v>365</v>
      </c>
      <c r="I20" s="105"/>
      <c r="J20" s="105"/>
      <c r="K20" s="126" t="s">
        <v>366</v>
      </c>
      <c r="L20" s="126"/>
      <c r="M20" s="126"/>
    </row>
    <row r="21" spans="2:13" s="7" customFormat="1" ht="31.5" customHeight="1" x14ac:dyDescent="0.25">
      <c r="B21" s="102">
        <f>kpiUnid30</f>
        <v>0</v>
      </c>
      <c r="C21" s="103"/>
      <c r="D21" s="103"/>
      <c r="E21" s="125" t="str">
        <f>IF(kpiCobMed="","—",kpiCobMed)</f>
        <v>—</v>
      </c>
      <c r="F21" s="103"/>
      <c r="G21" s="103"/>
      <c r="H21" s="106">
        <f ca="1">kpiBloqMes</f>
        <v>0</v>
      </c>
      <c r="I21" s="103"/>
      <c r="J21" s="103"/>
      <c r="K21" s="127">
        <f>kpiUsuarios</f>
        <v>0</v>
      </c>
      <c r="L21" s="103"/>
      <c r="M21" s="103"/>
    </row>
    <row r="22" spans="2:13" s="7" customFormat="1" ht="14.25" x14ac:dyDescent="0.25">
      <c r="B22" s="104" t="str">
        <f>"salidas consolidadas de 10B"</f>
        <v>salidas consolidadas de 10B</v>
      </c>
      <c r="C22" s="103"/>
      <c r="D22" s="103"/>
      <c r="E22" s="104" t="str">
        <f>"días de stock al ritmo de venta actual"</f>
        <v>días de stock al ritmo de venta actual</v>
      </c>
      <c r="F22" s="103"/>
      <c r="G22" s="103"/>
      <c r="H22" s="104" t="str">
        <f>"intentos rechazados por los scripts"</f>
        <v>intentos rechazados por los scripts</v>
      </c>
      <c r="I22" s="103"/>
      <c r="J22" s="103"/>
      <c r="K22" s="104" t="str">
        <f>"administradores: "&amp;kpiAdmins</f>
        <v>administradores: 0</v>
      </c>
      <c r="L22" s="103"/>
      <c r="M22" s="103"/>
    </row>
    <row r="23" spans="2:13" s="7" customFormat="1" ht="9" customHeight="1" x14ac:dyDescent="0.25"/>
    <row r="24" spans="2:13" s="7" customFormat="1" ht="16.5" customHeight="1" x14ac:dyDescent="0.25">
      <c r="B24" s="7" t="s">
        <v>367</v>
      </c>
    </row>
    <row r="25" spans="2:13" s="7" customFormat="1" ht="16.5" customHeight="1" x14ac:dyDescent="0.25"/>
    <row r="26" spans="2:13" s="7" customFormat="1" ht="16.5" customHeight="1" x14ac:dyDescent="0.25"/>
    <row r="27" spans="2:13" s="7" customFormat="1" ht="16.5" customHeight="1" x14ac:dyDescent="0.25"/>
    <row r="28" spans="2:13" s="7" customFormat="1" ht="16.5" customHeight="1" x14ac:dyDescent="0.25"/>
    <row r="29" spans="2:13" s="7" customFormat="1" ht="16.5" customHeight="1" x14ac:dyDescent="0.25"/>
    <row r="30" spans="2:13" s="7" customFormat="1" ht="16.5" customHeight="1" x14ac:dyDescent="0.25"/>
    <row r="31" spans="2:13" s="7" customFormat="1" ht="16.5" customHeight="1" x14ac:dyDescent="0.25"/>
    <row r="32" spans="2:13" s="7" customFormat="1" ht="16.5" customHeight="1" x14ac:dyDescent="0.25"/>
    <row r="33" spans="2:13" s="7" customFormat="1" ht="16.5" customHeight="1" x14ac:dyDescent="0.25"/>
    <row r="34" spans="2:13" s="7" customFormat="1" ht="16.5" customHeight="1" x14ac:dyDescent="0.25"/>
    <row r="35" spans="2:13" s="7" customFormat="1" ht="16.5" customHeight="1" x14ac:dyDescent="0.25"/>
    <row r="36" spans="2:13" s="7" customFormat="1" ht="16.5" customHeight="1" x14ac:dyDescent="0.25"/>
    <row r="37" spans="2:13" s="7" customFormat="1" ht="16.5" customHeight="1" x14ac:dyDescent="0.25"/>
    <row r="38" spans="2:13" s="7" customFormat="1" ht="9" customHeight="1" x14ac:dyDescent="0.25"/>
    <row r="39" spans="2:13" s="7" customFormat="1" ht="16.5" customHeight="1" x14ac:dyDescent="0.25">
      <c r="B39" s="7" t="s">
        <v>368</v>
      </c>
      <c r="H39" s="7" t="s">
        <v>369</v>
      </c>
    </row>
    <row r="40" spans="2:13" s="7" customFormat="1" ht="18" customHeight="1" x14ac:dyDescent="0.25">
      <c r="B40" s="8" t="s">
        <v>231</v>
      </c>
      <c r="C40" s="111" t="s">
        <v>115</v>
      </c>
      <c r="D40" s="111"/>
      <c r="E40" s="111"/>
      <c r="F40" s="8" t="s">
        <v>370</v>
      </c>
      <c r="G40" s="8" t="s">
        <v>371</v>
      </c>
      <c r="H40" s="111" t="s">
        <v>179</v>
      </c>
      <c r="I40" s="111"/>
      <c r="J40" s="8" t="s">
        <v>94</v>
      </c>
      <c r="K40" s="8" t="s">
        <v>372</v>
      </c>
      <c r="L40" s="8" t="s">
        <v>373</v>
      </c>
      <c r="M40" s="8" t="s">
        <v>374</v>
      </c>
    </row>
    <row r="41" spans="2:13" s="7" customFormat="1" ht="16.5" customHeight="1" x14ac:dyDescent="0.25">
      <c r="B41" s="13" t="str">
        <f>IF(ISNA(MATCH(1,tblStock[RankSalidas30d],0)),"",1)</f>
        <v/>
      </c>
      <c r="C41" s="112" t="str">
        <f>IFERROR(INDEX(tblStock[SKU],MATCH(1,tblStock[RankSalidas30d],0))&amp;" · "&amp;INDEX(tblStock[Producto],MATCH(1,tblStock[RankSalidas30d],0)),"")</f>
        <v/>
      </c>
      <c r="D41" s="112"/>
      <c r="E41" s="112"/>
      <c r="F41" s="10" t="str">
        <f>IFERROR(INDEX(tblStock[Salidas30d],MATCH(1,tblStock[RankSalidas30d],0)),"")</f>
        <v/>
      </c>
      <c r="G41" s="14" t="str">
        <f>IFERROR(INDEX(tblStock[CoberturaDias],MATCH(1,tblStock[RankSalidas30d],0)),"")</f>
        <v/>
      </c>
      <c r="H41" s="112" t="str">
        <f>IF(INDEX(tblUsuarios[Correo],1)="","",INDEX(tblUsuarios[Nombre],1))</f>
        <v/>
      </c>
      <c r="I41" s="112"/>
      <c r="J41" s="13" t="str">
        <f>IF(INDEX(tblUsuarios[Correo],1)="","",INDEX(tblUsuarios[Rol],1))</f>
        <v/>
      </c>
      <c r="K41" s="10" t="str">
        <f ca="1">IF(INDEX(tblUsuarios[Correo],1)="","",COUNTIFS(tblEntradas[Usuario_O365],INDEX(tblUsuarios[Correo],1),tblEntradas[Fecha],"&gt;="&amp;DATE(YEAR(TODAY()),MONTH(TODAY()),1),tblEntradas[Estado],"✔*")+COUNTIFS(tblSalidas[Usuario_O365],INDEX(tblUsuarios[Correo],1),tblSalidas[Fecha],"&gt;="&amp;DATE(YEAR(TODAY()),MONTH(TODAY()),1),tblSalidas[Estado],"✔*"))</f>
        <v/>
      </c>
      <c r="L41" s="10" t="str">
        <f ca="1">IF(INDEX(tblUsuarios[Correo],1)="","",COUNTIFS(tblActividad[Usuario_O365],INDEX(tblUsuarios[Correo],1),tblActividad[Resultado],"✖*",tblActividad[Timestamp],"&gt;="&amp;DATE(YEAR(TODAY()),MONTH(TODAY()),1)))</f>
        <v/>
      </c>
      <c r="M41" s="15" t="str">
        <f>IF(INDEX(tblUsuarios[Correo],1)="","",IF(MAX(IFERROR(_xlfn.AGGREGATE(14,6,tblEntradas[Timestamp]/(tblEntradas[Usuario_O365]=INDEX(tblUsuarios[Correo],1)),1),0),IFERROR(_xlfn.AGGREGATE(14,6,tblSalidas[Timestamp]/(tblSalidas[Usuario_O365]=INDEX(tblUsuarios[Correo],1)),1),0))=0,"—",MAX(IFERROR(_xlfn.AGGREGATE(14,6,tblEntradas[Timestamp]/(tblEntradas[Usuario_O365]=INDEX(tblUsuarios[Correo],1)),1),0),IFERROR(_xlfn.AGGREGATE(14,6,tblSalidas[Timestamp]/(tblSalidas[Usuario_O365]=INDEX(tblUsuarios[Correo],1)),1),0))))</f>
        <v/>
      </c>
    </row>
    <row r="42" spans="2:13" s="7" customFormat="1" ht="16.5" customHeight="1" x14ac:dyDescent="0.25">
      <c r="B42" s="13" t="str">
        <f>IF(ISNA(MATCH(2,tblStock[RankSalidas30d],0)),"",2)</f>
        <v/>
      </c>
      <c r="C42" s="112" t="str">
        <f>IFERROR(INDEX(tblStock[SKU],MATCH(2,tblStock[RankSalidas30d],0))&amp;" · "&amp;INDEX(tblStock[Producto],MATCH(2,tblStock[RankSalidas30d],0)),"")</f>
        <v/>
      </c>
      <c r="D42" s="112"/>
      <c r="E42" s="112"/>
      <c r="F42" s="10" t="str">
        <f>IFERROR(INDEX(tblStock[Salidas30d],MATCH(2,tblStock[RankSalidas30d],0)),"")</f>
        <v/>
      </c>
      <c r="G42" s="14" t="str">
        <f>IFERROR(INDEX(tblStock[CoberturaDias],MATCH(2,tblStock[RankSalidas30d],0)),"")</f>
        <v/>
      </c>
      <c r="H42" s="112" t="str">
        <f>IF(INDEX(tblUsuarios[Correo],2)="","",INDEX(tblUsuarios[Nombre],2))</f>
        <v/>
      </c>
      <c r="I42" s="112"/>
      <c r="J42" s="13" t="str">
        <f>IF(INDEX(tblUsuarios[Correo],2)="","",INDEX(tblUsuarios[Rol],2))</f>
        <v/>
      </c>
      <c r="K42" s="10" t="str">
        <f ca="1">IF(INDEX(tblUsuarios[Correo],2)="","",COUNTIFS(tblEntradas[Usuario_O365],INDEX(tblUsuarios[Correo],2),tblEntradas[Fecha],"&gt;="&amp;DATE(YEAR(TODAY()),MONTH(TODAY()),1),tblEntradas[Estado],"✔*")+COUNTIFS(tblSalidas[Usuario_O365],INDEX(tblUsuarios[Correo],2),tblSalidas[Fecha],"&gt;="&amp;DATE(YEAR(TODAY()),MONTH(TODAY()),1),tblSalidas[Estado],"✔*"))</f>
        <v/>
      </c>
      <c r="L42" s="10" t="str">
        <f ca="1">IF(INDEX(tblUsuarios[Correo],2)="","",COUNTIFS(tblActividad[Usuario_O365],INDEX(tblUsuarios[Correo],2),tblActividad[Resultado],"✖*",tblActividad[Timestamp],"&gt;="&amp;DATE(YEAR(TODAY()),MONTH(TODAY()),1)))</f>
        <v/>
      </c>
      <c r="M42" s="15" t="str">
        <f>IF(INDEX(tblUsuarios[Correo],2)="","",IF(MAX(IFERROR(_xlfn.AGGREGATE(14,6,tblEntradas[Timestamp]/(tblEntradas[Usuario_O365]=INDEX(tblUsuarios[Correo],2)),1),0),IFERROR(_xlfn.AGGREGATE(14,6,tblSalidas[Timestamp]/(tblSalidas[Usuario_O365]=INDEX(tblUsuarios[Correo],2)),1),0))=0,"—",MAX(IFERROR(_xlfn.AGGREGATE(14,6,tblEntradas[Timestamp]/(tblEntradas[Usuario_O365]=INDEX(tblUsuarios[Correo],2)),1),0),IFERROR(_xlfn.AGGREGATE(14,6,tblSalidas[Timestamp]/(tblSalidas[Usuario_O365]=INDEX(tblUsuarios[Correo],2)),1),0))))</f>
        <v/>
      </c>
    </row>
    <row r="43" spans="2:13" s="7" customFormat="1" ht="16.5" customHeight="1" x14ac:dyDescent="0.25">
      <c r="B43" s="13" t="str">
        <f>IF(ISNA(MATCH(3,tblStock[RankSalidas30d],0)),"",3)</f>
        <v/>
      </c>
      <c r="C43" s="112" t="str">
        <f>IFERROR(INDEX(tblStock[SKU],MATCH(3,tblStock[RankSalidas30d],0))&amp;" · "&amp;INDEX(tblStock[Producto],MATCH(3,tblStock[RankSalidas30d],0)),"")</f>
        <v/>
      </c>
      <c r="D43" s="112"/>
      <c r="E43" s="112"/>
      <c r="F43" s="10" t="str">
        <f>IFERROR(INDEX(tblStock[Salidas30d],MATCH(3,tblStock[RankSalidas30d],0)),"")</f>
        <v/>
      </c>
      <c r="G43" s="14" t="str">
        <f>IFERROR(INDEX(tblStock[CoberturaDias],MATCH(3,tblStock[RankSalidas30d],0)),"")</f>
        <v/>
      </c>
      <c r="H43" s="112" t="str">
        <f>IF(INDEX(tblUsuarios[Correo],3)="","",INDEX(tblUsuarios[Nombre],3))</f>
        <v/>
      </c>
      <c r="I43" s="112"/>
      <c r="J43" s="13" t="str">
        <f>IF(INDEX(tblUsuarios[Correo],3)="","",INDEX(tblUsuarios[Rol],3))</f>
        <v/>
      </c>
      <c r="K43" s="10" t="str">
        <f ca="1">IF(INDEX(tblUsuarios[Correo],3)="","",COUNTIFS(tblEntradas[Usuario_O365],INDEX(tblUsuarios[Correo],3),tblEntradas[Fecha],"&gt;="&amp;DATE(YEAR(TODAY()),MONTH(TODAY()),1),tblEntradas[Estado],"✔*")+COUNTIFS(tblSalidas[Usuario_O365],INDEX(tblUsuarios[Correo],3),tblSalidas[Fecha],"&gt;="&amp;DATE(YEAR(TODAY()),MONTH(TODAY()),1),tblSalidas[Estado],"✔*"))</f>
        <v/>
      </c>
      <c r="L43" s="10" t="str">
        <f ca="1">IF(INDEX(tblUsuarios[Correo],3)="","",COUNTIFS(tblActividad[Usuario_O365],INDEX(tblUsuarios[Correo],3),tblActividad[Resultado],"✖*",tblActividad[Timestamp],"&gt;="&amp;DATE(YEAR(TODAY()),MONTH(TODAY()),1)))</f>
        <v/>
      </c>
      <c r="M43" s="15" t="str">
        <f>IF(INDEX(tblUsuarios[Correo],3)="","",IF(MAX(IFERROR(_xlfn.AGGREGATE(14,6,tblEntradas[Timestamp]/(tblEntradas[Usuario_O365]=INDEX(tblUsuarios[Correo],3)),1),0),IFERROR(_xlfn.AGGREGATE(14,6,tblSalidas[Timestamp]/(tblSalidas[Usuario_O365]=INDEX(tblUsuarios[Correo],3)),1),0))=0,"—",MAX(IFERROR(_xlfn.AGGREGATE(14,6,tblEntradas[Timestamp]/(tblEntradas[Usuario_O365]=INDEX(tblUsuarios[Correo],3)),1),0),IFERROR(_xlfn.AGGREGATE(14,6,tblSalidas[Timestamp]/(tblSalidas[Usuario_O365]=INDEX(tblUsuarios[Correo],3)),1),0))))</f>
        <v/>
      </c>
    </row>
    <row r="44" spans="2:13" s="7" customFormat="1" ht="16.5" customHeight="1" x14ac:dyDescent="0.25">
      <c r="B44" s="13" t="str">
        <f>IF(ISNA(MATCH(4,tblStock[RankSalidas30d],0)),"",4)</f>
        <v/>
      </c>
      <c r="C44" s="112" t="str">
        <f>IFERROR(INDEX(tblStock[SKU],MATCH(4,tblStock[RankSalidas30d],0))&amp;" · "&amp;INDEX(tblStock[Producto],MATCH(4,tblStock[RankSalidas30d],0)),"")</f>
        <v/>
      </c>
      <c r="D44" s="112"/>
      <c r="E44" s="112"/>
      <c r="F44" s="10" t="str">
        <f>IFERROR(INDEX(tblStock[Salidas30d],MATCH(4,tblStock[RankSalidas30d],0)),"")</f>
        <v/>
      </c>
      <c r="G44" s="14" t="str">
        <f>IFERROR(INDEX(tblStock[CoberturaDias],MATCH(4,tblStock[RankSalidas30d],0)),"")</f>
        <v/>
      </c>
      <c r="H44" s="112" t="str">
        <f>IF(INDEX(tblUsuarios[Correo],4)="","",INDEX(tblUsuarios[Nombre],4))</f>
        <v/>
      </c>
      <c r="I44" s="112"/>
      <c r="J44" s="13" t="str">
        <f>IF(INDEX(tblUsuarios[Correo],4)="","",INDEX(tblUsuarios[Rol],4))</f>
        <v/>
      </c>
      <c r="K44" s="10" t="str">
        <f ca="1">IF(INDEX(tblUsuarios[Correo],4)="","",COUNTIFS(tblEntradas[Usuario_O365],INDEX(tblUsuarios[Correo],4),tblEntradas[Fecha],"&gt;="&amp;DATE(YEAR(TODAY()),MONTH(TODAY()),1),tblEntradas[Estado],"✔*")+COUNTIFS(tblSalidas[Usuario_O365],INDEX(tblUsuarios[Correo],4),tblSalidas[Fecha],"&gt;="&amp;DATE(YEAR(TODAY()),MONTH(TODAY()),1),tblSalidas[Estado],"✔*"))</f>
        <v/>
      </c>
      <c r="L44" s="10" t="str">
        <f ca="1">IF(INDEX(tblUsuarios[Correo],4)="","",COUNTIFS(tblActividad[Usuario_O365],INDEX(tblUsuarios[Correo],4),tblActividad[Resultado],"✖*",tblActividad[Timestamp],"&gt;="&amp;DATE(YEAR(TODAY()),MONTH(TODAY()),1)))</f>
        <v/>
      </c>
      <c r="M44" s="15" t="str">
        <f>IF(INDEX(tblUsuarios[Correo],4)="","",IF(MAX(IFERROR(_xlfn.AGGREGATE(14,6,tblEntradas[Timestamp]/(tblEntradas[Usuario_O365]=INDEX(tblUsuarios[Correo],4)),1),0),IFERROR(_xlfn.AGGREGATE(14,6,tblSalidas[Timestamp]/(tblSalidas[Usuario_O365]=INDEX(tblUsuarios[Correo],4)),1),0))=0,"—",MAX(IFERROR(_xlfn.AGGREGATE(14,6,tblEntradas[Timestamp]/(tblEntradas[Usuario_O365]=INDEX(tblUsuarios[Correo],4)),1),0),IFERROR(_xlfn.AGGREGATE(14,6,tblSalidas[Timestamp]/(tblSalidas[Usuario_O365]=INDEX(tblUsuarios[Correo],4)),1),0))))</f>
        <v/>
      </c>
    </row>
    <row r="45" spans="2:13" s="7" customFormat="1" ht="16.5" customHeight="1" x14ac:dyDescent="0.25">
      <c r="B45" s="13" t="str">
        <f>IF(ISNA(MATCH(5,tblStock[RankSalidas30d],0)),"",5)</f>
        <v/>
      </c>
      <c r="C45" s="112" t="str">
        <f>IFERROR(INDEX(tblStock[SKU],MATCH(5,tblStock[RankSalidas30d],0))&amp;" · "&amp;INDEX(tblStock[Producto],MATCH(5,tblStock[RankSalidas30d],0)),"")</f>
        <v/>
      </c>
      <c r="D45" s="112"/>
      <c r="E45" s="112"/>
      <c r="F45" s="10" t="str">
        <f>IFERROR(INDEX(tblStock[Salidas30d],MATCH(5,tblStock[RankSalidas30d],0)),"")</f>
        <v/>
      </c>
      <c r="G45" s="14" t="str">
        <f>IFERROR(INDEX(tblStock[CoberturaDias],MATCH(5,tblStock[RankSalidas30d],0)),"")</f>
        <v/>
      </c>
      <c r="H45" s="112" t="str">
        <f>IF(INDEX(tblUsuarios[Correo],5)="","",INDEX(tblUsuarios[Nombre],5))</f>
        <v/>
      </c>
      <c r="I45" s="112"/>
      <c r="J45" s="13" t="str">
        <f>IF(INDEX(tblUsuarios[Correo],5)="","",INDEX(tblUsuarios[Rol],5))</f>
        <v/>
      </c>
      <c r="K45" s="10" t="str">
        <f ca="1">IF(INDEX(tblUsuarios[Correo],5)="","",COUNTIFS(tblEntradas[Usuario_O365],INDEX(tblUsuarios[Correo],5),tblEntradas[Fecha],"&gt;="&amp;DATE(YEAR(TODAY()),MONTH(TODAY()),1),tblEntradas[Estado],"✔*")+COUNTIFS(tblSalidas[Usuario_O365],INDEX(tblUsuarios[Correo],5),tblSalidas[Fecha],"&gt;="&amp;DATE(YEAR(TODAY()),MONTH(TODAY()),1),tblSalidas[Estado],"✔*"))</f>
        <v/>
      </c>
      <c r="L45" s="10" t="str">
        <f ca="1">IF(INDEX(tblUsuarios[Correo],5)="","",COUNTIFS(tblActividad[Usuario_O365],INDEX(tblUsuarios[Correo],5),tblActividad[Resultado],"✖*",tblActividad[Timestamp],"&gt;="&amp;DATE(YEAR(TODAY()),MONTH(TODAY()),1)))</f>
        <v/>
      </c>
      <c r="M45" s="15" t="str">
        <f>IF(INDEX(tblUsuarios[Correo],5)="","",IF(MAX(IFERROR(_xlfn.AGGREGATE(14,6,tblEntradas[Timestamp]/(tblEntradas[Usuario_O365]=INDEX(tblUsuarios[Correo],5)),1),0),IFERROR(_xlfn.AGGREGATE(14,6,tblSalidas[Timestamp]/(tblSalidas[Usuario_O365]=INDEX(tblUsuarios[Correo],5)),1),0))=0,"—",MAX(IFERROR(_xlfn.AGGREGATE(14,6,tblEntradas[Timestamp]/(tblEntradas[Usuario_O365]=INDEX(tblUsuarios[Correo],5)),1),0),IFERROR(_xlfn.AGGREGATE(14,6,tblSalidas[Timestamp]/(tblSalidas[Usuario_O365]=INDEX(tblUsuarios[Correo],5)),1),0))))</f>
        <v/>
      </c>
    </row>
    <row r="46" spans="2:13" s="7" customFormat="1" ht="16.5" customHeight="1" x14ac:dyDescent="0.25">
      <c r="B46" s="13" t="str">
        <f>IF(ISNA(MATCH(6,tblStock[RankSalidas30d],0)),"",6)</f>
        <v/>
      </c>
      <c r="C46" s="112" t="str">
        <f>IFERROR(INDEX(tblStock[SKU],MATCH(6,tblStock[RankSalidas30d],0))&amp;" · "&amp;INDEX(tblStock[Producto],MATCH(6,tblStock[RankSalidas30d],0)),"")</f>
        <v/>
      </c>
      <c r="D46" s="112"/>
      <c r="E46" s="112"/>
      <c r="F46" s="10" t="str">
        <f>IFERROR(INDEX(tblStock[Salidas30d],MATCH(6,tblStock[RankSalidas30d],0)),"")</f>
        <v/>
      </c>
      <c r="G46" s="14" t="str">
        <f>IFERROR(INDEX(tblStock[CoberturaDias],MATCH(6,tblStock[RankSalidas30d],0)),"")</f>
        <v/>
      </c>
      <c r="H46" s="112" t="str">
        <f>IF(INDEX(tblUsuarios[Correo],6)="","",INDEX(tblUsuarios[Nombre],6))</f>
        <v/>
      </c>
      <c r="I46" s="112"/>
      <c r="J46" s="13" t="str">
        <f>IF(INDEX(tblUsuarios[Correo],6)="","",INDEX(tblUsuarios[Rol],6))</f>
        <v/>
      </c>
      <c r="K46" s="10" t="str">
        <f ca="1">IF(INDEX(tblUsuarios[Correo],6)="","",COUNTIFS(tblEntradas[Usuario_O365],INDEX(tblUsuarios[Correo],6),tblEntradas[Fecha],"&gt;="&amp;DATE(YEAR(TODAY()),MONTH(TODAY()),1),tblEntradas[Estado],"✔*")+COUNTIFS(tblSalidas[Usuario_O365],INDEX(tblUsuarios[Correo],6),tblSalidas[Fecha],"&gt;="&amp;DATE(YEAR(TODAY()),MONTH(TODAY()),1),tblSalidas[Estado],"✔*"))</f>
        <v/>
      </c>
      <c r="L46" s="10" t="str">
        <f ca="1">IF(INDEX(tblUsuarios[Correo],6)="","",COUNTIFS(tblActividad[Usuario_O365],INDEX(tblUsuarios[Correo],6),tblActividad[Resultado],"✖*",tblActividad[Timestamp],"&gt;="&amp;DATE(YEAR(TODAY()),MONTH(TODAY()),1)))</f>
        <v/>
      </c>
      <c r="M46" s="15" t="str">
        <f>IF(INDEX(tblUsuarios[Correo],6)="","",IF(MAX(IFERROR(_xlfn.AGGREGATE(14,6,tblEntradas[Timestamp]/(tblEntradas[Usuario_O365]=INDEX(tblUsuarios[Correo],6)),1),0),IFERROR(_xlfn.AGGREGATE(14,6,tblSalidas[Timestamp]/(tblSalidas[Usuario_O365]=INDEX(tblUsuarios[Correo],6)),1),0))=0,"—",MAX(IFERROR(_xlfn.AGGREGATE(14,6,tblEntradas[Timestamp]/(tblEntradas[Usuario_O365]=INDEX(tblUsuarios[Correo],6)),1),0),IFERROR(_xlfn.AGGREGATE(14,6,tblSalidas[Timestamp]/(tblSalidas[Usuario_O365]=INDEX(tblUsuarios[Correo],6)),1),0))))</f>
        <v/>
      </c>
    </row>
    <row r="47" spans="2:13" s="7" customFormat="1" ht="16.5" customHeight="1" x14ac:dyDescent="0.25">
      <c r="B47" s="13" t="str">
        <f>IF(ISNA(MATCH(7,tblStock[RankSalidas30d],0)),"",7)</f>
        <v/>
      </c>
      <c r="C47" s="112" t="str">
        <f>IFERROR(INDEX(tblStock[SKU],MATCH(7,tblStock[RankSalidas30d],0))&amp;" · "&amp;INDEX(tblStock[Producto],MATCH(7,tblStock[RankSalidas30d],0)),"")</f>
        <v/>
      </c>
      <c r="D47" s="112"/>
      <c r="E47" s="112"/>
      <c r="F47" s="10" t="str">
        <f>IFERROR(INDEX(tblStock[Salidas30d],MATCH(7,tblStock[RankSalidas30d],0)),"")</f>
        <v/>
      </c>
      <c r="G47" s="14" t="str">
        <f>IFERROR(INDEX(tblStock[CoberturaDias],MATCH(7,tblStock[RankSalidas30d],0)),"")</f>
        <v/>
      </c>
      <c r="H47" s="112" t="str">
        <f>IF(INDEX(tblUsuarios[Correo],7)="","",INDEX(tblUsuarios[Nombre],7))</f>
        <v/>
      </c>
      <c r="I47" s="112"/>
      <c r="J47" s="13" t="str">
        <f>IF(INDEX(tblUsuarios[Correo],7)="","",INDEX(tblUsuarios[Rol],7))</f>
        <v/>
      </c>
      <c r="K47" s="10" t="str">
        <f ca="1">IF(INDEX(tblUsuarios[Correo],7)="","",COUNTIFS(tblEntradas[Usuario_O365],INDEX(tblUsuarios[Correo],7),tblEntradas[Fecha],"&gt;="&amp;DATE(YEAR(TODAY()),MONTH(TODAY()),1),tblEntradas[Estado],"✔*")+COUNTIFS(tblSalidas[Usuario_O365],INDEX(tblUsuarios[Correo],7),tblSalidas[Fecha],"&gt;="&amp;DATE(YEAR(TODAY()),MONTH(TODAY()),1),tblSalidas[Estado],"✔*"))</f>
        <v/>
      </c>
      <c r="L47" s="10" t="str">
        <f ca="1">IF(INDEX(tblUsuarios[Correo],7)="","",COUNTIFS(tblActividad[Usuario_O365],INDEX(tblUsuarios[Correo],7),tblActividad[Resultado],"✖*",tblActividad[Timestamp],"&gt;="&amp;DATE(YEAR(TODAY()),MONTH(TODAY()),1)))</f>
        <v/>
      </c>
      <c r="M47" s="15" t="str">
        <f>IF(INDEX(tblUsuarios[Correo],7)="","",IF(MAX(IFERROR(_xlfn.AGGREGATE(14,6,tblEntradas[Timestamp]/(tblEntradas[Usuario_O365]=INDEX(tblUsuarios[Correo],7)),1),0),IFERROR(_xlfn.AGGREGATE(14,6,tblSalidas[Timestamp]/(tblSalidas[Usuario_O365]=INDEX(tblUsuarios[Correo],7)),1),0))=0,"—",MAX(IFERROR(_xlfn.AGGREGATE(14,6,tblEntradas[Timestamp]/(tblEntradas[Usuario_O365]=INDEX(tblUsuarios[Correo],7)),1),0),IFERROR(_xlfn.AGGREGATE(14,6,tblSalidas[Timestamp]/(tblSalidas[Usuario_O365]=INDEX(tblUsuarios[Correo],7)),1),0))))</f>
        <v/>
      </c>
    </row>
    <row r="48" spans="2:13" s="7" customFormat="1" ht="16.5" customHeight="1" x14ac:dyDescent="0.25">
      <c r="B48" s="13" t="str">
        <f>IF(ISNA(MATCH(8,tblStock[RankSalidas30d],0)),"",8)</f>
        <v/>
      </c>
      <c r="C48" s="112" t="str">
        <f>IFERROR(INDEX(tblStock[SKU],MATCH(8,tblStock[RankSalidas30d],0))&amp;" · "&amp;INDEX(tblStock[Producto],MATCH(8,tblStock[RankSalidas30d],0)),"")</f>
        <v/>
      </c>
      <c r="D48" s="112"/>
      <c r="E48" s="112"/>
      <c r="F48" s="10" t="str">
        <f>IFERROR(INDEX(tblStock[Salidas30d],MATCH(8,tblStock[RankSalidas30d],0)),"")</f>
        <v/>
      </c>
      <c r="G48" s="14" t="str">
        <f>IFERROR(INDEX(tblStock[CoberturaDias],MATCH(8,tblStock[RankSalidas30d],0)),"")</f>
        <v/>
      </c>
      <c r="H48" s="112" t="str">
        <f>IF(INDEX(tblUsuarios[Correo],8)="","",INDEX(tblUsuarios[Nombre],8))</f>
        <v/>
      </c>
      <c r="I48" s="112"/>
      <c r="J48" s="13" t="str">
        <f>IF(INDEX(tblUsuarios[Correo],8)="","",INDEX(tblUsuarios[Rol],8))</f>
        <v/>
      </c>
      <c r="K48" s="10" t="str">
        <f ca="1">IF(INDEX(tblUsuarios[Correo],8)="","",COUNTIFS(tblEntradas[Usuario_O365],INDEX(tblUsuarios[Correo],8),tblEntradas[Fecha],"&gt;="&amp;DATE(YEAR(TODAY()),MONTH(TODAY()),1),tblEntradas[Estado],"✔*")+COUNTIFS(tblSalidas[Usuario_O365],INDEX(tblUsuarios[Correo],8),tblSalidas[Fecha],"&gt;="&amp;DATE(YEAR(TODAY()),MONTH(TODAY()),1),tblSalidas[Estado],"✔*"))</f>
        <v/>
      </c>
      <c r="L48" s="10" t="str">
        <f ca="1">IF(INDEX(tblUsuarios[Correo],8)="","",COUNTIFS(tblActividad[Usuario_O365],INDEX(tblUsuarios[Correo],8),tblActividad[Resultado],"✖*",tblActividad[Timestamp],"&gt;="&amp;DATE(YEAR(TODAY()),MONTH(TODAY()),1)))</f>
        <v/>
      </c>
      <c r="M48" s="15" t="str">
        <f>IF(INDEX(tblUsuarios[Correo],8)="","",IF(MAX(IFERROR(_xlfn.AGGREGATE(14,6,tblEntradas[Timestamp]/(tblEntradas[Usuario_O365]=INDEX(tblUsuarios[Correo],8)),1),0),IFERROR(_xlfn.AGGREGATE(14,6,tblSalidas[Timestamp]/(tblSalidas[Usuario_O365]=INDEX(tblUsuarios[Correo],8)),1),0))=0,"—",MAX(IFERROR(_xlfn.AGGREGATE(14,6,tblEntradas[Timestamp]/(tblEntradas[Usuario_O365]=INDEX(tblUsuarios[Correo],8)),1),0),IFERROR(_xlfn.AGGREGATE(14,6,tblSalidas[Timestamp]/(tblSalidas[Usuario_O365]=INDEX(tblUsuarios[Correo],8)),1),0))))</f>
        <v/>
      </c>
    </row>
    <row r="49" spans="2:13" s="7" customFormat="1" ht="16.5" customHeight="1" x14ac:dyDescent="0.25">
      <c r="B49" s="13" t="str">
        <f>IF(ISNA(MATCH(9,tblStock[RankSalidas30d],0)),"",9)</f>
        <v/>
      </c>
      <c r="C49" s="112" t="str">
        <f>IFERROR(INDEX(tblStock[SKU],MATCH(9,tblStock[RankSalidas30d],0))&amp;" · "&amp;INDEX(tblStock[Producto],MATCH(9,tblStock[RankSalidas30d],0)),"")</f>
        <v/>
      </c>
      <c r="D49" s="112"/>
      <c r="E49" s="112"/>
      <c r="F49" s="10" t="str">
        <f>IFERROR(INDEX(tblStock[Salidas30d],MATCH(9,tblStock[RankSalidas30d],0)),"")</f>
        <v/>
      </c>
      <c r="G49" s="14" t="str">
        <f>IFERROR(INDEX(tblStock[CoberturaDias],MATCH(9,tblStock[RankSalidas30d],0)),"")</f>
        <v/>
      </c>
      <c r="H49" s="112" t="str">
        <f>IF(INDEX(tblUsuarios[Correo],9)="","",INDEX(tblUsuarios[Nombre],9))</f>
        <v/>
      </c>
      <c r="I49" s="112"/>
      <c r="J49" s="13" t="str">
        <f>IF(INDEX(tblUsuarios[Correo],9)="","",INDEX(tblUsuarios[Rol],9))</f>
        <v/>
      </c>
      <c r="K49" s="10" t="str">
        <f ca="1">IF(INDEX(tblUsuarios[Correo],9)="","",COUNTIFS(tblEntradas[Usuario_O365],INDEX(tblUsuarios[Correo],9),tblEntradas[Fecha],"&gt;="&amp;DATE(YEAR(TODAY()),MONTH(TODAY()),1),tblEntradas[Estado],"✔*")+COUNTIFS(tblSalidas[Usuario_O365],INDEX(tblUsuarios[Correo],9),tblSalidas[Fecha],"&gt;="&amp;DATE(YEAR(TODAY()),MONTH(TODAY()),1),tblSalidas[Estado],"✔*"))</f>
        <v/>
      </c>
      <c r="L49" s="10" t="str">
        <f ca="1">IF(INDEX(tblUsuarios[Correo],9)="","",COUNTIFS(tblActividad[Usuario_O365],INDEX(tblUsuarios[Correo],9),tblActividad[Resultado],"✖*",tblActividad[Timestamp],"&gt;="&amp;DATE(YEAR(TODAY()),MONTH(TODAY()),1)))</f>
        <v/>
      </c>
      <c r="M49" s="15" t="str">
        <f>IF(INDEX(tblUsuarios[Correo],9)="","",IF(MAX(IFERROR(_xlfn.AGGREGATE(14,6,tblEntradas[Timestamp]/(tblEntradas[Usuario_O365]=INDEX(tblUsuarios[Correo],9)),1),0),IFERROR(_xlfn.AGGREGATE(14,6,tblSalidas[Timestamp]/(tblSalidas[Usuario_O365]=INDEX(tblUsuarios[Correo],9)),1),0))=0,"—",MAX(IFERROR(_xlfn.AGGREGATE(14,6,tblEntradas[Timestamp]/(tblEntradas[Usuario_O365]=INDEX(tblUsuarios[Correo],9)),1),0),IFERROR(_xlfn.AGGREGATE(14,6,tblSalidas[Timestamp]/(tblSalidas[Usuario_O365]=INDEX(tblUsuarios[Correo],9)),1),0))))</f>
        <v/>
      </c>
    </row>
    <row r="50" spans="2:13" s="7" customFormat="1" ht="16.5" customHeight="1" x14ac:dyDescent="0.25">
      <c r="B50" s="13" t="str">
        <f>IF(ISNA(MATCH(10,tblStock[RankSalidas30d],0)),"",10)</f>
        <v/>
      </c>
      <c r="C50" s="112" t="str">
        <f>IFERROR(INDEX(tblStock[SKU],MATCH(10,tblStock[RankSalidas30d],0))&amp;" · "&amp;INDEX(tblStock[Producto],MATCH(10,tblStock[RankSalidas30d],0)),"")</f>
        <v/>
      </c>
      <c r="D50" s="112"/>
      <c r="E50" s="112"/>
      <c r="F50" s="10" t="str">
        <f>IFERROR(INDEX(tblStock[Salidas30d],MATCH(10,tblStock[RankSalidas30d],0)),"")</f>
        <v/>
      </c>
      <c r="G50" s="14" t="str">
        <f>IFERROR(INDEX(tblStock[CoberturaDias],MATCH(10,tblStock[RankSalidas30d],0)),"")</f>
        <v/>
      </c>
      <c r="H50" s="112" t="str">
        <f>IF(INDEX(tblUsuarios[Correo],10)="","",INDEX(tblUsuarios[Nombre],10))</f>
        <v/>
      </c>
      <c r="I50" s="112"/>
      <c r="J50" s="13" t="str">
        <f>IF(INDEX(tblUsuarios[Correo],10)="","",INDEX(tblUsuarios[Rol],10))</f>
        <v/>
      </c>
      <c r="K50" s="10" t="str">
        <f ca="1">IF(INDEX(tblUsuarios[Correo],10)="","",COUNTIFS(tblEntradas[Usuario_O365],INDEX(tblUsuarios[Correo],10),tblEntradas[Fecha],"&gt;="&amp;DATE(YEAR(TODAY()),MONTH(TODAY()),1),tblEntradas[Estado],"✔*")+COUNTIFS(tblSalidas[Usuario_O365],INDEX(tblUsuarios[Correo],10),tblSalidas[Fecha],"&gt;="&amp;DATE(YEAR(TODAY()),MONTH(TODAY()),1),tblSalidas[Estado],"✔*"))</f>
        <v/>
      </c>
      <c r="L50" s="10" t="str">
        <f ca="1">IF(INDEX(tblUsuarios[Correo],10)="","",COUNTIFS(tblActividad[Usuario_O365],INDEX(tblUsuarios[Correo],10),tblActividad[Resultado],"✖*",tblActividad[Timestamp],"&gt;="&amp;DATE(YEAR(TODAY()),MONTH(TODAY()),1)))</f>
        <v/>
      </c>
      <c r="M50" s="15" t="str">
        <f>IF(INDEX(tblUsuarios[Correo],10)="","",IF(MAX(IFERROR(_xlfn.AGGREGATE(14,6,tblEntradas[Timestamp]/(tblEntradas[Usuario_O365]=INDEX(tblUsuarios[Correo],10)),1),0),IFERROR(_xlfn.AGGREGATE(14,6,tblSalidas[Timestamp]/(tblSalidas[Usuario_O365]=INDEX(tblUsuarios[Correo],10)),1),0))=0,"—",MAX(IFERROR(_xlfn.AGGREGATE(14,6,tblEntradas[Timestamp]/(tblEntradas[Usuario_O365]=INDEX(tblUsuarios[Correo],10)),1),0),IFERROR(_xlfn.AGGREGATE(14,6,tblSalidas[Timestamp]/(tblSalidas[Usuario_O365]=INDEX(tblUsuarios[Correo],10)),1),0))))</f>
        <v/>
      </c>
    </row>
    <row r="51" spans="2:13" s="7" customFormat="1" ht="9" customHeight="1" x14ac:dyDescent="0.25"/>
    <row r="52" spans="2:13" s="7" customFormat="1" ht="19.5" customHeight="1" x14ac:dyDescent="0.25">
      <c r="B52" s="113" t="str">
        <f>txtBitacoras</f>
        <v>Bitácoras oficiales: 0 entradas/ajustes · 0 salidas</v>
      </c>
      <c r="C52" s="113"/>
      <c r="D52" s="113"/>
      <c r="E52" s="113"/>
      <c r="F52" s="113"/>
      <c r="G52" s="113"/>
      <c r="H52" s="113"/>
      <c r="I52" s="114" t="s">
        <v>344</v>
      </c>
      <c r="J52" s="114"/>
      <c r="K52" s="114"/>
      <c r="L52" s="114"/>
      <c r="M52" s="114"/>
    </row>
  </sheetData>
  <sheetProtection password="930D" sheet="1" objects="1" scenarios="1"/>
  <mergeCells count="57">
    <mergeCell ref="C49:E49"/>
    <mergeCell ref="H49:I49"/>
    <mergeCell ref="C50:E50"/>
    <mergeCell ref="H50:I50"/>
    <mergeCell ref="B52:H52"/>
    <mergeCell ref="I52:M52"/>
    <mergeCell ref="C46:E46"/>
    <mergeCell ref="H46:I46"/>
    <mergeCell ref="C47:E47"/>
    <mergeCell ref="H47:I47"/>
    <mergeCell ref="C48:E48"/>
    <mergeCell ref="H48:I48"/>
    <mergeCell ref="C43:E43"/>
    <mergeCell ref="H43:I43"/>
    <mergeCell ref="C44:E44"/>
    <mergeCell ref="H44:I44"/>
    <mergeCell ref="C45:E45"/>
    <mergeCell ref="H45:I45"/>
    <mergeCell ref="C40:E40"/>
    <mergeCell ref="H40:I40"/>
    <mergeCell ref="C41:E41"/>
    <mergeCell ref="H41:I41"/>
    <mergeCell ref="C42:E42"/>
    <mergeCell ref="H42:I42"/>
    <mergeCell ref="H20:J20"/>
    <mergeCell ref="H21:J21"/>
    <mergeCell ref="H22:J22"/>
    <mergeCell ref="K20:M20"/>
    <mergeCell ref="K21:M21"/>
    <mergeCell ref="K22:M22"/>
    <mergeCell ref="B20:D20"/>
    <mergeCell ref="B21:D21"/>
    <mergeCell ref="B22:D22"/>
    <mergeCell ref="E20:G20"/>
    <mergeCell ref="E21:G21"/>
    <mergeCell ref="E22:G22"/>
    <mergeCell ref="H17:J17"/>
    <mergeCell ref="H18:J18"/>
    <mergeCell ref="K16:M16"/>
    <mergeCell ref="K17:M17"/>
    <mergeCell ref="K18:M18"/>
    <mergeCell ref="B17:D17"/>
    <mergeCell ref="B18:D18"/>
    <mergeCell ref="E16:G16"/>
    <mergeCell ref="E17:G17"/>
    <mergeCell ref="E18:G18"/>
    <mergeCell ref="B12:D13"/>
    <mergeCell ref="E12:G13"/>
    <mergeCell ref="H12:J13"/>
    <mergeCell ref="K12:M13"/>
    <mergeCell ref="B16:D16"/>
    <mergeCell ref="H16:J16"/>
    <mergeCell ref="J2:M2"/>
    <mergeCell ref="J3:M3"/>
    <mergeCell ref="B7:I7"/>
    <mergeCell ref="J7:M7"/>
    <mergeCell ref="B9:M9"/>
  </mergeCells>
  <conditionalFormatting sqref="B7:I7">
    <cfRule type="expression" dxfId="190" priority="1" stopIfTrue="1">
      <formula>N(stkActualizado)=0</formula>
    </cfRule>
    <cfRule type="expression" dxfId="189" priority="2" stopIfTrue="1">
      <formula>kpiNuevosDesdeCalculo&gt;0</formula>
    </cfRule>
    <cfRule type="expression" dxfId="188" priority="3" stopIfTrue="1">
      <formula>kpiNuevosDesdeCalculo=0</formula>
    </cfRule>
  </conditionalFormatting>
  <conditionalFormatting sqref="B9:M9">
    <cfRule type="expression" dxfId="187" priority="4">
      <formula>LEFT(txtPasoGerencia,1)="✖"</formula>
    </cfRule>
    <cfRule type="expression" dxfId="186" priority="5">
      <formula>LEFT(txtPasoGerencia,1)="●"</formula>
    </cfRule>
    <cfRule type="expression" dxfId="185" priority="6">
      <formula>LEFT(txtPasoGerencia,1)="✔"</formula>
    </cfRule>
  </conditionalFormatting>
  <conditionalFormatting sqref="F41:F50">
    <cfRule type="expression" dxfId="184" priority="7">
      <formula>AND(ISNUMBER(F41),F41&lt;&gt;INT(F41))</formula>
    </cfRule>
  </conditionalFormatting>
  <conditionalFormatting sqref="G41:G50">
    <cfRule type="expression" dxfId="183" priority="9">
      <formula>AND(ISNUMBER($G41),$G41&lt;7)</formula>
    </cfRule>
  </conditionalFormatting>
  <conditionalFormatting sqref="L41:L50">
    <cfRule type="cellIs" dxfId="182" priority="8" operator="greaterThan">
      <formula>0</formula>
    </cfRule>
  </conditionalFormatting>
  <hyperlinks>
    <hyperlink ref="B5" location="'00_PORTADA_BODEGA'!A1" tooltip="Portada de Bodega" display="⌂ Bodega" xr:uid="{00000000-0004-0000-0200-000000000000}"/>
    <hyperlink ref="C5" location="'00_PORTADA_VENTAS'!A1" tooltip="Portada de Ventas" display="⌂ Ventas" xr:uid="{00000000-0004-0000-0200-000001000000}"/>
    <hyperlink ref="D5" location="'00_PORTADA_GERENCIA'!A1" tooltip="Portada de Gerencia: indicadores, pedido y actividad" display="◈ Gerencia" xr:uid="{00000000-0004-0000-0200-000002000000}"/>
    <hyperlink ref="E5" location="'10A_ENTRADAS'!C9" tooltip="Registrar entradas y ajustes (Bodega)" display="⇩ Entradas" xr:uid="{00000000-0004-0000-0200-000003000000}"/>
    <hyperlink ref="F5" location="'10B_SALIDAS'!E9" tooltip="Registrar salidas (Ventas)" display="⇧ Salidas" xr:uid="{00000000-0004-0000-0200-000004000000}"/>
    <hyperlink ref="G5" location="'17_CONSULTA'!C9" tooltip="Consultar un producto en su fila" display="⌕ Consulta" xr:uid="{00000000-0004-0000-0200-000005000000}"/>
    <hyperlink ref="H5" location="'15_STOCK'!A1" tooltip="Stock (instantánea recalculada a demanda)" display="▦ Stock" xr:uid="{00000000-0004-0000-0200-000006000000}"/>
    <hyperlink ref="I5" location="'18_PEDIDO'!A1" tooltip="Pedido sugerido por proveedor" display="✚ Pedido" xr:uid="{00000000-0004-0000-0200-000007000000}"/>
    <hyperlink ref="J5" location="'13_CONTEO'!I9" tooltip="Toma física (conteo) colaborativa" display="✓ Conteo" xr:uid="{00000000-0004-0000-0200-000008000000}"/>
    <hyperlink ref="K5" location="'99_AYUDA'!A1" tooltip="Guía de uso, acceso e instalación" display="? Guía" xr:uid="{00000000-0004-0000-0200-000009000000}"/>
    <hyperlink ref="B12" location="'15_STOCK'!B8" tooltip="Instantánea de stock con cobertura en días y ranking de ventas" display="▦  STOCK Y COBERTURA" xr:uid="{00000000-0004-0000-0200-00000A000000}"/>
    <hyperlink ref="K12" location="'14_ACTIVIDAD'!B8" tooltip="Quién registró, recalculó o fue bloqueado, y cuándo" display="☰  ACTIVIDAD Y AUDITORÍA" xr:uid="{00000000-0004-0000-0200-00000B000000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4A3B8"/>
  </sheetPr>
  <dimension ref="B1:E41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35.7109375" customWidth="1"/>
    <col min="3" max="3" width="37.140625" customWidth="1"/>
    <col min="4" max="4" width="74.28515625" customWidth="1"/>
    <col min="5" max="5" width="31.42578125" customWidth="1"/>
  </cols>
  <sheetData>
    <row r="1" spans="2:4" s="1" customFormat="1" ht="6" customHeight="1" x14ac:dyDescent="0.25"/>
    <row r="2" spans="2:4" s="1" customFormat="1" ht="24" customHeight="1" x14ac:dyDescent="0.25">
      <c r="B2" s="2" t="s">
        <v>0</v>
      </c>
    </row>
    <row r="3" spans="2:4" s="1" customFormat="1" ht="14.25" x14ac:dyDescent="0.25">
      <c r="B3" s="16" t="s">
        <v>1</v>
      </c>
    </row>
    <row r="4" spans="2:4" s="1" customFormat="1" ht="7.5" customHeight="1" x14ac:dyDescent="0.25"/>
    <row r="5" spans="2:4" s="7" customFormat="1" ht="18" customHeight="1" x14ac:dyDescent="0.25"/>
    <row r="6" spans="2:4" s="7" customFormat="1" ht="12" customHeight="1" x14ac:dyDescent="0.25"/>
    <row r="7" spans="2:4" ht="15.75" x14ac:dyDescent="0.25">
      <c r="B7" s="17" t="s">
        <v>2</v>
      </c>
    </row>
    <row r="8" spans="2:4" x14ac:dyDescent="0.25">
      <c r="B8" s="18" t="s">
        <v>3</v>
      </c>
      <c r="C8" s="19" t="s">
        <v>4</v>
      </c>
      <c r="D8" s="18" t="s">
        <v>5</v>
      </c>
    </row>
    <row r="9" spans="2:4" x14ac:dyDescent="0.25">
      <c r="B9" s="20" t="s">
        <v>6</v>
      </c>
      <c r="C9" s="21" t="s">
        <v>7</v>
      </c>
      <c r="D9" s="22" t="s">
        <v>8</v>
      </c>
    </row>
    <row r="10" spans="2:4" x14ac:dyDescent="0.25">
      <c r="B10" s="20" t="s">
        <v>9</v>
      </c>
      <c r="C10" s="21"/>
      <c r="D10" s="22" t="s">
        <v>10</v>
      </c>
    </row>
    <row r="11" spans="2:4" x14ac:dyDescent="0.25">
      <c r="B11" s="20" t="s">
        <v>11</v>
      </c>
      <c r="C11" s="21" t="s">
        <v>12</v>
      </c>
      <c r="D11" s="22" t="s">
        <v>13</v>
      </c>
    </row>
    <row r="12" spans="2:4" x14ac:dyDescent="0.25">
      <c r="B12" s="20" t="s">
        <v>14</v>
      </c>
      <c r="C12" s="21" t="s">
        <v>15</v>
      </c>
      <c r="D12" s="22" t="s">
        <v>16</v>
      </c>
    </row>
    <row r="13" spans="2:4" x14ac:dyDescent="0.25">
      <c r="B13" s="20" t="s">
        <v>17</v>
      </c>
      <c r="C13" s="23">
        <v>0.2</v>
      </c>
      <c r="D13" s="22" t="s">
        <v>18</v>
      </c>
    </row>
    <row r="14" spans="2:4" x14ac:dyDescent="0.25">
      <c r="B14" s="20" t="s">
        <v>19</v>
      </c>
      <c r="C14" s="24">
        <v>60</v>
      </c>
      <c r="D14" s="22" t="s">
        <v>20</v>
      </c>
    </row>
    <row r="15" spans="2:4" x14ac:dyDescent="0.25">
      <c r="B15" s="20" t="s">
        <v>21</v>
      </c>
      <c r="C15" s="25">
        <v>43831</v>
      </c>
      <c r="D15" s="22" t="s">
        <v>22</v>
      </c>
    </row>
    <row r="16" spans="2:4" x14ac:dyDescent="0.25">
      <c r="B16" s="20" t="s">
        <v>23</v>
      </c>
      <c r="C16" s="21" t="s">
        <v>24</v>
      </c>
      <c r="D16" s="22" t="s">
        <v>25</v>
      </c>
    </row>
    <row r="17" spans="2:5" x14ac:dyDescent="0.25">
      <c r="B17" s="20" t="s">
        <v>26</v>
      </c>
      <c r="C17" s="21" t="s">
        <v>27</v>
      </c>
      <c r="D17" s="22" t="s">
        <v>28</v>
      </c>
    </row>
    <row r="18" spans="2:5" x14ac:dyDescent="0.25">
      <c r="B18" s="20" t="s">
        <v>29</v>
      </c>
      <c r="C18" s="25">
        <v>46290</v>
      </c>
      <c r="D18" s="22" t="s">
        <v>30</v>
      </c>
    </row>
    <row r="19" spans="2:5" x14ac:dyDescent="0.25">
      <c r="B19" s="20" t="s">
        <v>31</v>
      </c>
      <c r="C19" s="21" t="s">
        <v>32</v>
      </c>
      <c r="D19" s="22" t="s">
        <v>33</v>
      </c>
    </row>
    <row r="20" spans="2:5" x14ac:dyDescent="0.25">
      <c r="B20" s="20" t="s">
        <v>34</v>
      </c>
      <c r="C20" s="26">
        <v>0</v>
      </c>
      <c r="D20" s="22" t="s">
        <v>35</v>
      </c>
    </row>
    <row r="21" spans="2:5" x14ac:dyDescent="0.25">
      <c r="B21" s="20" t="s">
        <v>36</v>
      </c>
      <c r="C21" s="21"/>
      <c r="D21" s="22" t="s">
        <v>35</v>
      </c>
    </row>
    <row r="22" spans="2:5" x14ac:dyDescent="0.25">
      <c r="B22" s="20" t="s">
        <v>37</v>
      </c>
      <c r="C22" s="21"/>
      <c r="D22" s="22" t="s">
        <v>35</v>
      </c>
    </row>
    <row r="23" spans="2:5" x14ac:dyDescent="0.25">
      <c r="B23" s="20" t="s">
        <v>38</v>
      </c>
      <c r="C23" s="27">
        <v>0</v>
      </c>
      <c r="D23" s="22" t="s">
        <v>35</v>
      </c>
    </row>
    <row r="25" spans="2:5" ht="15.75" x14ac:dyDescent="0.25">
      <c r="B25" s="17" t="s">
        <v>39</v>
      </c>
    </row>
    <row r="26" spans="2:5" ht="22.5" customHeight="1" x14ac:dyDescent="0.25">
      <c r="B26" s="18" t="s">
        <v>40</v>
      </c>
      <c r="C26" s="18" t="s">
        <v>41</v>
      </c>
      <c r="D26" s="18" t="s">
        <v>42</v>
      </c>
      <c r="E26" s="18" t="s">
        <v>5</v>
      </c>
    </row>
    <row r="27" spans="2:5" ht="42.75" x14ac:dyDescent="0.25">
      <c r="B27" s="20" t="s">
        <v>43</v>
      </c>
      <c r="C27" s="28">
        <v>1</v>
      </c>
      <c r="D27" s="29" t="s">
        <v>44</v>
      </c>
      <c r="E27" s="30" t="s">
        <v>45</v>
      </c>
    </row>
    <row r="28" spans="2:5" ht="28.5" x14ac:dyDescent="0.25">
      <c r="B28" s="20" t="s">
        <v>46</v>
      </c>
      <c r="C28" s="28">
        <v>1</v>
      </c>
      <c r="D28" s="29" t="s">
        <v>44</v>
      </c>
      <c r="E28" s="30" t="s">
        <v>47</v>
      </c>
    </row>
    <row r="29" spans="2:5" ht="28.5" x14ac:dyDescent="0.25">
      <c r="B29" s="20" t="s">
        <v>48</v>
      </c>
      <c r="C29" s="28">
        <v>1</v>
      </c>
      <c r="D29" s="29" t="s">
        <v>44</v>
      </c>
      <c r="E29" s="30" t="s">
        <v>49</v>
      </c>
    </row>
    <row r="30" spans="2:5" ht="28.5" x14ac:dyDescent="0.25">
      <c r="B30" s="20" t="s">
        <v>50</v>
      </c>
      <c r="C30" s="28">
        <v>-1</v>
      </c>
      <c r="D30" s="29" t="s">
        <v>44</v>
      </c>
      <c r="E30" s="30" t="s">
        <v>51</v>
      </c>
    </row>
    <row r="31" spans="2:5" ht="28.5" x14ac:dyDescent="0.25">
      <c r="B31" s="20" t="s">
        <v>52</v>
      </c>
      <c r="C31" s="28">
        <v>-1</v>
      </c>
      <c r="D31" s="29" t="s">
        <v>53</v>
      </c>
      <c r="E31" s="30" t="s">
        <v>54</v>
      </c>
    </row>
    <row r="33" spans="2:5" ht="15.75" x14ac:dyDescent="0.25">
      <c r="B33" s="17" t="s">
        <v>55</v>
      </c>
    </row>
    <row r="34" spans="2:5" ht="22.5" customHeight="1" x14ac:dyDescent="0.25">
      <c r="B34" s="18" t="s">
        <v>56</v>
      </c>
      <c r="C34" s="18" t="s">
        <v>57</v>
      </c>
      <c r="D34" s="18" t="s">
        <v>58</v>
      </c>
      <c r="E34" s="18" t="s">
        <v>59</v>
      </c>
    </row>
    <row r="35" spans="2:5" ht="28.5" x14ac:dyDescent="0.25">
      <c r="B35" s="31" t="s">
        <v>60</v>
      </c>
      <c r="C35" s="32">
        <v>1</v>
      </c>
      <c r="D35" s="30" t="s">
        <v>61</v>
      </c>
      <c r="E35" s="30" t="s">
        <v>62</v>
      </c>
    </row>
    <row r="36" spans="2:5" x14ac:dyDescent="0.25">
      <c r="B36" s="33" t="s">
        <v>63</v>
      </c>
      <c r="C36" s="32">
        <v>2</v>
      </c>
      <c r="D36" s="30" t="s">
        <v>64</v>
      </c>
      <c r="E36" s="30" t="s">
        <v>65</v>
      </c>
    </row>
    <row r="37" spans="2:5" x14ac:dyDescent="0.25">
      <c r="B37" s="34" t="s">
        <v>66</v>
      </c>
      <c r="C37" s="32">
        <v>3</v>
      </c>
      <c r="D37" s="30" t="s">
        <v>67</v>
      </c>
      <c r="E37" s="30" t="s">
        <v>68</v>
      </c>
    </row>
    <row r="38" spans="2:5" x14ac:dyDescent="0.25">
      <c r="B38" s="35" t="s">
        <v>69</v>
      </c>
      <c r="C38" s="32">
        <v>4</v>
      </c>
      <c r="D38" s="30" t="s">
        <v>70</v>
      </c>
      <c r="E38" s="30" t="s">
        <v>71</v>
      </c>
    </row>
    <row r="39" spans="2:5" x14ac:dyDescent="0.25">
      <c r="B39" s="36" t="s">
        <v>72</v>
      </c>
      <c r="C39" s="32">
        <v>5</v>
      </c>
      <c r="D39" s="30" t="s">
        <v>73</v>
      </c>
      <c r="E39" s="30" t="s">
        <v>74</v>
      </c>
    </row>
    <row r="40" spans="2:5" x14ac:dyDescent="0.25">
      <c r="B40" s="37" t="s">
        <v>75</v>
      </c>
      <c r="C40" s="32">
        <v>6</v>
      </c>
      <c r="D40" s="30" t="s">
        <v>76</v>
      </c>
      <c r="E40" s="30" t="s">
        <v>77</v>
      </c>
    </row>
    <row r="41" spans="2:5" x14ac:dyDescent="0.25">
      <c r="B41" s="38" t="s">
        <v>78</v>
      </c>
      <c r="C41" s="32">
        <v>7</v>
      </c>
      <c r="D41" s="30" t="s">
        <v>79</v>
      </c>
      <c r="E41" s="30" t="s">
        <v>74</v>
      </c>
    </row>
  </sheetData>
  <sheetProtection password="930D" sheet="1" objects="1" scenarios="1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55A64"/>
  </sheetPr>
  <dimension ref="B1:L5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42.85546875" customWidth="1"/>
    <col min="3" max="3" width="28.5703125" customWidth="1"/>
    <col min="4" max="4" width="15.7109375" customWidth="1"/>
    <col min="5" max="5" width="10.85546875" customWidth="1"/>
    <col min="6" max="6" width="18.28515625" customWidth="1"/>
    <col min="7" max="7" width="17.7109375" customWidth="1"/>
    <col min="8" max="8" width="19.42578125" customWidth="1"/>
    <col min="9" max="9" width="24.28515625" customWidth="1"/>
    <col min="10" max="12" width="13.7109375" customWidth="1"/>
    <col min="13" max="13" width="2.28515625" customWidth="1"/>
    <col min="14" max="14" width="0" hidden="1" customWidth="1"/>
  </cols>
  <sheetData>
    <row r="1" spans="2:12" s="1" customFormat="1" ht="4.5" customHeight="1" x14ac:dyDescent="0.25"/>
    <row r="2" spans="2:12" s="1" customFormat="1" ht="22.5" customHeight="1" x14ac:dyDescent="0.25">
      <c r="B2" s="2" t="s">
        <v>80</v>
      </c>
    </row>
    <row r="3" spans="2:12" s="1" customFormat="1" ht="14.25" x14ac:dyDescent="0.25">
      <c r="B3" s="16" t="s">
        <v>81</v>
      </c>
    </row>
    <row r="4" spans="2:12" s="1" customFormat="1" ht="4.5" customHeight="1" x14ac:dyDescent="0.25"/>
    <row r="5" spans="2:12" s="4" customFormat="1" ht="21" customHeight="1" x14ac:dyDescent="0.25">
      <c r="B5" s="6" t="s">
        <v>82</v>
      </c>
      <c r="C5" s="6" t="s">
        <v>83</v>
      </c>
      <c r="D5" s="6" t="s">
        <v>84</v>
      </c>
      <c r="E5" s="128" t="s">
        <v>85</v>
      </c>
      <c r="F5" s="128"/>
      <c r="G5" s="6" t="s">
        <v>86</v>
      </c>
      <c r="H5" s="6" t="s">
        <v>87</v>
      </c>
      <c r="I5" s="6" t="s">
        <v>88</v>
      </c>
      <c r="J5" s="6" t="s">
        <v>89</v>
      </c>
      <c r="K5" s="6" t="s">
        <v>90</v>
      </c>
      <c r="L5" s="6" t="s">
        <v>91</v>
      </c>
    </row>
    <row r="6" spans="2:12" s="7" customFormat="1" ht="22.5" customHeight="1" x14ac:dyDescent="0.25">
      <c r="B6" s="39" t="str">
        <f>"Usuarios activos: "&amp;kpiUsuarios</f>
        <v>Usuarios activos: 0</v>
      </c>
      <c r="C6" s="40" t="s">
        <v>100</v>
      </c>
    </row>
    <row r="7" spans="2:12" ht="24" customHeight="1" x14ac:dyDescent="0.25">
      <c r="B7" s="19" t="s">
        <v>92</v>
      </c>
      <c r="C7" s="19" t="s">
        <v>93</v>
      </c>
      <c r="D7" s="19" t="s">
        <v>94</v>
      </c>
      <c r="E7" s="19" t="s">
        <v>95</v>
      </c>
      <c r="F7" s="18" t="s">
        <v>96</v>
      </c>
      <c r="G7" s="18" t="s">
        <v>97</v>
      </c>
      <c r="H7" s="18" t="s">
        <v>98</v>
      </c>
      <c r="I7" s="18" t="s">
        <v>99</v>
      </c>
    </row>
    <row r="8" spans="2:12" x14ac:dyDescent="0.25">
      <c r="B8" s="41"/>
      <c r="C8" s="41"/>
      <c r="D8" s="42"/>
      <c r="E8" s="42"/>
      <c r="F8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8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8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8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9" spans="2:12" x14ac:dyDescent="0.25">
      <c r="B9" s="41"/>
      <c r="C9" s="41"/>
      <c r="D9" s="42"/>
      <c r="E9" s="42"/>
      <c r="F9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9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9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9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0" spans="2:12" x14ac:dyDescent="0.25">
      <c r="B10" s="41"/>
      <c r="C10" s="41"/>
      <c r="D10" s="42"/>
      <c r="E10" s="42"/>
      <c r="F10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0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0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0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1" spans="2:12" x14ac:dyDescent="0.25">
      <c r="B11" s="41"/>
      <c r="C11" s="41"/>
      <c r="D11" s="42"/>
      <c r="E11" s="42"/>
      <c r="F11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1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1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1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2" spans="2:12" x14ac:dyDescent="0.25">
      <c r="B12" s="41"/>
      <c r="C12" s="41"/>
      <c r="D12" s="42"/>
      <c r="E12" s="42"/>
      <c r="F12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2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2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2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3" spans="2:12" x14ac:dyDescent="0.25">
      <c r="B13" s="41"/>
      <c r="C13" s="41"/>
      <c r="D13" s="42"/>
      <c r="E13" s="42"/>
      <c r="F13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3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3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3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4" spans="2:12" x14ac:dyDescent="0.25">
      <c r="B14" s="41"/>
      <c r="C14" s="41"/>
      <c r="D14" s="42"/>
      <c r="E14" s="42"/>
      <c r="F14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4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4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4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5" spans="2:12" x14ac:dyDescent="0.25">
      <c r="B15" s="41"/>
      <c r="C15" s="41"/>
      <c r="D15" s="42"/>
      <c r="E15" s="42"/>
      <c r="F15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5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5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5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6" spans="2:12" x14ac:dyDescent="0.25">
      <c r="B16" s="41"/>
      <c r="C16" s="41"/>
      <c r="D16" s="42"/>
      <c r="E16" s="42"/>
      <c r="F16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6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6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6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7" spans="2:9" x14ac:dyDescent="0.25">
      <c r="B17" s="41"/>
      <c r="C17" s="41"/>
      <c r="D17" s="42"/>
      <c r="E17" s="42"/>
      <c r="F17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7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7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7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8" spans="2:9" x14ac:dyDescent="0.25">
      <c r="B18" s="41"/>
      <c r="C18" s="41"/>
      <c r="D18" s="42"/>
      <c r="E18" s="42"/>
      <c r="F18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8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8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8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19" spans="2:9" x14ac:dyDescent="0.25">
      <c r="B19" s="41"/>
      <c r="C19" s="41"/>
      <c r="D19" s="42"/>
      <c r="E19" s="42"/>
      <c r="F19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19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19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19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0" spans="2:9" x14ac:dyDescent="0.25">
      <c r="B20" s="41"/>
      <c r="C20" s="41"/>
      <c r="D20" s="42"/>
      <c r="E20" s="42"/>
      <c r="F20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0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0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0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1" spans="2:9" x14ac:dyDescent="0.25">
      <c r="B21" s="41"/>
      <c r="C21" s="41"/>
      <c r="D21" s="42"/>
      <c r="E21" s="42"/>
      <c r="F21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1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1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1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2" spans="2:9" x14ac:dyDescent="0.25">
      <c r="B22" s="41"/>
      <c r="C22" s="41"/>
      <c r="D22" s="42"/>
      <c r="E22" s="42"/>
      <c r="F22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2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2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2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3" spans="2:9" x14ac:dyDescent="0.25">
      <c r="B23" s="41"/>
      <c r="C23" s="41"/>
      <c r="D23" s="42"/>
      <c r="E23" s="42"/>
      <c r="F23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3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3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3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4" spans="2:9" x14ac:dyDescent="0.25">
      <c r="B24" s="41"/>
      <c r="C24" s="41"/>
      <c r="D24" s="42"/>
      <c r="E24" s="42"/>
      <c r="F24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4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4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4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5" spans="2:9" x14ac:dyDescent="0.25">
      <c r="B25" s="41"/>
      <c r="C25" s="41"/>
      <c r="D25" s="42"/>
      <c r="E25" s="42"/>
      <c r="F25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5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5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5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6" spans="2:9" x14ac:dyDescent="0.25">
      <c r="B26" s="41"/>
      <c r="C26" s="41"/>
      <c r="D26" s="42"/>
      <c r="E26" s="42"/>
      <c r="F26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6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6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6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7" spans="2:9" x14ac:dyDescent="0.25">
      <c r="B27" s="41"/>
      <c r="C27" s="41"/>
      <c r="D27" s="42"/>
      <c r="E27" s="42"/>
      <c r="F27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7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7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7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8" spans="2:9" x14ac:dyDescent="0.25">
      <c r="B28" s="41"/>
      <c r="C28" s="41"/>
      <c r="D28" s="42"/>
      <c r="E28" s="42"/>
      <c r="F28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8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8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8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29" spans="2:9" x14ac:dyDescent="0.25">
      <c r="B29" s="41"/>
      <c r="C29" s="41"/>
      <c r="D29" s="42"/>
      <c r="E29" s="42"/>
      <c r="F29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29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29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29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0" spans="2:9" x14ac:dyDescent="0.25">
      <c r="B30" s="41"/>
      <c r="C30" s="41"/>
      <c r="D30" s="42"/>
      <c r="E30" s="42"/>
      <c r="F30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0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0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0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1" spans="2:9" x14ac:dyDescent="0.25">
      <c r="B31" s="41"/>
      <c r="C31" s="41"/>
      <c r="D31" s="42"/>
      <c r="E31" s="42"/>
      <c r="F31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1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1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1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2" spans="2:9" x14ac:dyDescent="0.25">
      <c r="B32" s="41"/>
      <c r="C32" s="41"/>
      <c r="D32" s="42"/>
      <c r="E32" s="42"/>
      <c r="F32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2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2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2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3" spans="2:9" x14ac:dyDescent="0.25">
      <c r="B33" s="41"/>
      <c r="C33" s="41"/>
      <c r="D33" s="42"/>
      <c r="E33" s="42"/>
      <c r="F33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3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3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3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4" spans="2:9" x14ac:dyDescent="0.25">
      <c r="B34" s="41"/>
      <c r="C34" s="41"/>
      <c r="D34" s="42"/>
      <c r="E34" s="42"/>
      <c r="F34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4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4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4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5" spans="2:9" x14ac:dyDescent="0.25">
      <c r="B35" s="41"/>
      <c r="C35" s="41"/>
      <c r="D35" s="42"/>
      <c r="E35" s="42"/>
      <c r="F35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5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5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5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6" spans="2:9" x14ac:dyDescent="0.25">
      <c r="B36" s="41"/>
      <c r="C36" s="41"/>
      <c r="D36" s="42"/>
      <c r="E36" s="42"/>
      <c r="F36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6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6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6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7" spans="2:9" x14ac:dyDescent="0.25">
      <c r="B37" s="41"/>
      <c r="C37" s="41"/>
      <c r="D37" s="42"/>
      <c r="E37" s="42"/>
      <c r="F37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7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7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7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8" spans="2:9" x14ac:dyDescent="0.25">
      <c r="B38" s="41"/>
      <c r="C38" s="41"/>
      <c r="D38" s="42"/>
      <c r="E38" s="42"/>
      <c r="F38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8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8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8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39" spans="2:9" x14ac:dyDescent="0.25">
      <c r="B39" s="41"/>
      <c r="C39" s="41"/>
      <c r="D39" s="42"/>
      <c r="E39" s="42"/>
      <c r="F39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39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39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39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0" spans="2:9" x14ac:dyDescent="0.25">
      <c r="B40" s="41"/>
      <c r="C40" s="41"/>
      <c r="D40" s="42"/>
      <c r="E40" s="42"/>
      <c r="F40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0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0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0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1" spans="2:9" x14ac:dyDescent="0.25">
      <c r="B41" s="41"/>
      <c r="C41" s="41"/>
      <c r="D41" s="42"/>
      <c r="E41" s="42"/>
      <c r="F41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1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1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1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2" spans="2:9" x14ac:dyDescent="0.25">
      <c r="B42" s="41"/>
      <c r="C42" s="41"/>
      <c r="D42" s="42"/>
      <c r="E42" s="42"/>
      <c r="F42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2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2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2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3" spans="2:9" x14ac:dyDescent="0.25">
      <c r="B43" s="41"/>
      <c r="C43" s="41"/>
      <c r="D43" s="42"/>
      <c r="E43" s="42"/>
      <c r="F43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3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3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3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4" spans="2:9" x14ac:dyDescent="0.25">
      <c r="B44" s="41"/>
      <c r="C44" s="41"/>
      <c r="D44" s="42"/>
      <c r="E44" s="42"/>
      <c r="F44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4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4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4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5" spans="2:9" x14ac:dyDescent="0.25">
      <c r="B45" s="41"/>
      <c r="C45" s="41"/>
      <c r="D45" s="42"/>
      <c r="E45" s="42"/>
      <c r="F45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5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5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5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6" spans="2:9" x14ac:dyDescent="0.25">
      <c r="B46" s="41"/>
      <c r="C46" s="41"/>
      <c r="D46" s="42"/>
      <c r="E46" s="42"/>
      <c r="F46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6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6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6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7" spans="2:9" x14ac:dyDescent="0.25">
      <c r="B47" s="41"/>
      <c r="C47" s="41"/>
      <c r="D47" s="42"/>
      <c r="E47" s="42"/>
      <c r="F47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7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7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7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8" spans="2:9" x14ac:dyDescent="0.25">
      <c r="B48" s="41"/>
      <c r="C48" s="41"/>
      <c r="D48" s="42"/>
      <c r="E48" s="42"/>
      <c r="F48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8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8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8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49" spans="2:9" x14ac:dyDescent="0.25">
      <c r="B49" s="41"/>
      <c r="C49" s="41"/>
      <c r="D49" s="42"/>
      <c r="E49" s="42"/>
      <c r="F49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49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49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49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0" spans="2:9" x14ac:dyDescent="0.25">
      <c r="B50" s="41"/>
      <c r="C50" s="41"/>
      <c r="D50" s="42"/>
      <c r="E50" s="42"/>
      <c r="F50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0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0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0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1" spans="2:9" x14ac:dyDescent="0.25">
      <c r="B51" s="41"/>
      <c r="C51" s="41"/>
      <c r="D51" s="42"/>
      <c r="E51" s="42"/>
      <c r="F51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1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1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1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2" spans="2:9" x14ac:dyDescent="0.25">
      <c r="B52" s="41"/>
      <c r="C52" s="41"/>
      <c r="D52" s="42"/>
      <c r="E52" s="42"/>
      <c r="F52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2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2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2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3" spans="2:9" x14ac:dyDescent="0.25">
      <c r="B53" s="41"/>
      <c r="C53" s="41"/>
      <c r="D53" s="42"/>
      <c r="E53" s="42"/>
      <c r="F53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3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3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3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4" spans="2:9" x14ac:dyDescent="0.25">
      <c r="B54" s="41"/>
      <c r="C54" s="41"/>
      <c r="D54" s="42"/>
      <c r="E54" s="42"/>
      <c r="F54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4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4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4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5" spans="2:9" x14ac:dyDescent="0.25">
      <c r="B55" s="41"/>
      <c r="C55" s="41"/>
      <c r="D55" s="42"/>
      <c r="E55" s="42"/>
      <c r="F55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5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5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5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6" spans="2:9" x14ac:dyDescent="0.25">
      <c r="B56" s="41"/>
      <c r="C56" s="41"/>
      <c r="D56" s="42"/>
      <c r="E56" s="42"/>
      <c r="F56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6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6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6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  <row r="57" spans="2:9" x14ac:dyDescent="0.25">
      <c r="B57" s="41"/>
      <c r="C57" s="41"/>
      <c r="D57" s="42"/>
      <c r="E57" s="42"/>
      <c r="F57" s="43" t="str">
        <f>IF(AND(tblUsuarios[[#This Row],[Correo]]&lt;&gt;"",tblUsuarios[[#This Row],[Activo]]&lt;&gt;"NO",OR(tblUsuarios[[#This Row],[Rol]]="BODEGA",tblUsuarios[[#This Row],[Rol]]="ADMIN")),SUMPRODUCT((INDEX(tblUsuarios[Correo],1):tblUsuarios[[#This Row],[Correo]]&lt;&gt;"")*(INDEX(tblUsuarios[Activo],1):tblUsuarios[[#This Row],[Activo]]&lt;&gt;"NO")*((INDEX(tblUsuarios[Rol],1):tblUsuarios[[#This Row],[Rol]]="BODEGA")+(INDEX(tblUsuarios[Rol],1):tblUsuarios[[#This Row],[Rol]]="ADMIN"))),"")</f>
        <v/>
      </c>
      <c r="G57" s="43" t="str">
        <f>IF(AND(tblUsuarios[[#This Row],[Correo]]&lt;&gt;"",tblUsuarios[[#This Row],[Activo]]&lt;&gt;"NO",OR(tblUsuarios[[#This Row],[Rol]]="VENTAS",tblUsuarios[[#This Row],[Rol]]="ADMIN")),SUMPRODUCT((INDEX(tblUsuarios[Correo],1):tblUsuarios[[#This Row],[Correo]]&lt;&gt;"")*(INDEX(tblUsuarios[Activo],1):tblUsuarios[[#This Row],[Activo]]&lt;&gt;"NO")*((INDEX(tblUsuarios[Rol],1):tblUsuarios[[#This Row],[Rol]]="VENTAS")+(INDEX(tblUsuarios[Rol],1):tblUsuarios[[#This Row],[Rol]]="ADMIN"))),"")</f>
        <v/>
      </c>
      <c r="H57" s="43" t="str">
        <f>IF(AND(tblUsuarios[[#This Row],[Correo]]&lt;&gt;"",tblUsuarios[[#This Row],[Activo]]&lt;&gt;"NO",OR(tblUsuarios[[#This Row],[Rol]]="ADMIN",tblUsuarios[[#This Row],[Rol]]="BODEGA",tblUsuarios[[#This Row],[Rol]]="VENTAS")),SUMPRODUCT((INDEX(tblUsuarios[Correo],1):tblUsuarios[[#This Row],[Correo]]&lt;&gt;"")*(INDEX(tblUsuarios[Activo],1):tblUsuarios[[#This Row],[Activo]]&lt;&gt;"NO")*((INDEX(tblUsuarios[Rol],1):tblUsuarios[[#This Row],[Rol]]="ADMIN")+(INDEX(tblUsuarios[Rol],1):tblUsuarios[[#This Row],[Rol]]="BODEGA")+(INDEX(tblUsuarios[Rol],1):tblUsuarios[[#This Row],[Rol]]="VENTAS"))),"")</f>
        <v/>
      </c>
      <c r="I57" s="44" t="str">
        <f>IF(AND(tblUsuarios[[#This Row],[Correo]]="",tblUsuarios[[#This Row],[Nombre]]=""),"",IF(OR(tblUsuarios[[#This Row],[Correo]]="",tblUsuarios[[#This Row],[Nombre]]=""),"⚠ Faltan datos",IF(OR(ISERROR(FIND("@",tblUsuarios[[#This Row],[Correo]])),ISNUMBER(FIND(" ",tblUsuarios[[#This Row],[Correo]]))),"✖ Correo no válido",IF(COUNTIF(tblUsuarios[Correo],tblUsuarios[[#This Row],[Correo]])&gt;1,"✖ Correo duplicado",IF(ISNA(MATCH(tblUsuarios[[#This Row],[Rol]],lstRoles,0)),"✖ Rol no válido",IF(tblUsuarios[[#This Row],[Activo]]="NO","● Inactivo","✔ Autorizado"))))))</f>
        <v/>
      </c>
    </row>
  </sheetData>
  <sheetProtection password="930D" sheet="1" objects="1" scenarios="1" formatColumns="0" autoFilter="0"/>
  <mergeCells count="1">
    <mergeCell ref="E5:F5"/>
  </mergeCells>
  <conditionalFormatting sqref="B8:E57">
    <cfRule type="expression" dxfId="181" priority="6">
      <formula>AND($B8="",$B7&lt;&gt;"")</formula>
    </cfRule>
  </conditionalFormatting>
  <conditionalFormatting sqref="I8:I57">
    <cfRule type="expression" dxfId="180" priority="1">
      <formula>LEFT($I8,1)="✖"</formula>
    </cfRule>
    <cfRule type="expression" dxfId="179" priority="2">
      <formula>LEFT($I8,1)="⚠"</formula>
    </cfRule>
    <cfRule type="expression" dxfId="178" priority="3">
      <formula>LEFT($I8,1)="✔"</formula>
    </cfRule>
    <cfRule type="expression" dxfId="177" priority="4">
      <formula>LEFT($I8,1)="●"</formula>
    </cfRule>
    <cfRule type="expression" dxfId="176" priority="5">
      <formula>LEFT($I8,1)="○"</formula>
    </cfRule>
  </conditionalFormatting>
  <dataValidations count="12">
    <dataValidation allowBlank="1" showInputMessage="1" showErrorMessage="1" promptTitle="✎ Correo" prompt="Correo de Microsoft 365 con el que la persona inicia sesión. Los scripts lo comparan con el usuario que ejecuta el botón." sqref="B7" xr:uid="{00000000-0002-0000-0400-000000000000}"/>
    <dataValidation allowBlank="1" showInputMessage="1" showErrorMessage="1" promptTitle="✎ Nombre" prompt="Nombre visible en la captura y en la bitácora." sqref="C7" xr:uid="{00000000-0002-0000-0400-000001000000}"/>
    <dataValidation allowBlank="1" showInputMessage="1" showErrorMessage="1" promptTitle="✎ Rol" prompt="ADMIN (todo), BODEGA (10A: entradas y ajustes), VENTAS (10B: salidas), CONSULTA (solo lectura)." sqref="D7" xr:uid="{00000000-0002-0000-0400-000002000000}"/>
    <dataValidation allowBlank="1" showInputMessage="1" showErrorMessage="1" promptTitle="✎ Activo" prompt="Escriba NO para retirar el acceso sin borrar la fila (auditoría)." sqref="E7" xr:uid="{00000000-0002-0000-0400-000003000000}"/>
    <dataValidation allowBlank="1" showInputMessage="1" showErrorMessage="1" promptTitle="ƒx OrdenBodega" prompt="Fila de captura que le corresponde en 10A_ENTRADAS." sqref="F7" xr:uid="{00000000-0002-0000-0400-000004000000}"/>
    <dataValidation allowBlank="1" showInputMessage="1" showErrorMessage="1" promptTitle="ƒx OrdenVentas" prompt="Fila de captura que le corresponde en 10B_SALIDAS." sqref="G7" xr:uid="{00000000-0002-0000-0400-000005000000}"/>
    <dataValidation allowBlank="1" showInputMessage="1" showErrorMessage="1" promptTitle="ƒx OrdenConsulta" prompt="Fila que le corresponde en 17_CONSULTA (ADMIN, BODEGA y VENTAS)." sqref="H7" xr:uid="{00000000-0002-0000-0400-000006000000}"/>
    <dataValidation allowBlank="1" showInputMessage="1" showErrorMessage="1" promptTitle="ƒx Validación" prompt="Control del registro." sqref="I7" xr:uid="{00000000-0002-0000-0400-000007000000}"/>
    <dataValidation type="custom" allowBlank="1" showInputMessage="1" showErrorMessage="1" errorTitle="Correo no válido" error="Escriba un correo válido, sin espacios y sin repetir." promptTitle="Correo de Microsoft 365" prompt="El mismo con que la persona inicia sesión (ej: ana@empresa.com). Único." sqref="B8:B57" xr:uid="{00000000-0002-0000-0400-000008000000}">
      <formula1>AND(ISNUMBER(FIND("@",B8)),ISERROR(FIND(" ",B8)),LEN(B8)&lt;=120,COUNTIF($B$8:$B$57,B8)=1)</formula1>
    </dataValidation>
    <dataValidation type="textLength" allowBlank="1" showInputMessage="1" showErrorMessage="1" errorTitle="Nombre no válido" error="Entre 2 y 60 caracteres." promptTitle="Nombre" prompt="Nombre visible (2 a 60 caracteres)." sqref="C8:C57" xr:uid="{00000000-0002-0000-0400-000009000000}">
      <formula1>2</formula1>
      <formula2>60</formula2>
    </dataValidation>
    <dataValidation type="list" allowBlank="1" showInputMessage="1" showErrorMessage="1" errorTitle="Rol no válido" error="Elija un rol de la lista." promptTitle="Rol" prompt="ADMIN, BODEGA, VENTAS o CONSULTA (Alt + ↓)." sqref="D8:D57" xr:uid="{00000000-0002-0000-0400-00000A000000}">
      <formula1>lstRoles</formula1>
    </dataValidation>
    <dataValidation type="list" allowBlank="1" showInputMessage="1" showErrorMessage="1" errorTitle="Valor no válido" error="Escriba SI o NO." promptTitle="¿Activo?" prompt="NO = sin acceso (la fila se conserva para auditoría)." sqref="E8:E57" xr:uid="{00000000-0002-0000-0400-00000B000000}">
      <formula1>"SI,NO"</formula1>
    </dataValidation>
  </dataValidations>
  <hyperlinks>
    <hyperlink ref="B5" location="'00_PORTADA_BODEGA'!A1" tooltip="Portada de Bodega" display="⌂ Bodega" xr:uid="{00000000-0004-0000-0400-000000000000}"/>
    <hyperlink ref="C5" location="'00_PORTADA_VENTAS'!A1" tooltip="Portada de Ventas" display="⌂ Ventas" xr:uid="{00000000-0004-0000-0400-000001000000}"/>
    <hyperlink ref="D5" location="'00_PORTADA_GERENCIA'!A1" tooltip="Portada de Gerencia: indicadores, pedido y actividad" display="◈ Gerencia" xr:uid="{00000000-0004-0000-0400-000002000000}"/>
    <hyperlink ref="E5" location="'10A_ENTRADAS'!C9" tooltip="Registrar entradas y ajustes (Bodega)" display="⇩ Entradas" xr:uid="{00000000-0004-0000-0400-000003000000}"/>
    <hyperlink ref="G5" location="'10B_SALIDAS'!E9" tooltip="Registrar salidas (Ventas)" display="⇧ Salidas" xr:uid="{00000000-0004-0000-0400-000004000000}"/>
    <hyperlink ref="H5" location="'17_CONSULTA'!C9" tooltip="Consultar un producto en su fila" display="⌕ Consulta" xr:uid="{00000000-0004-0000-0400-000005000000}"/>
    <hyperlink ref="I5" location="'15_STOCK'!A1" tooltip="Stock (instantánea recalculada a demanda)" display="▦ Stock" xr:uid="{00000000-0004-0000-0400-000006000000}"/>
    <hyperlink ref="J5" location="'18_PEDIDO'!A1" tooltip="Pedido sugerido por proveedor" display="✚ Pedido" xr:uid="{00000000-0004-0000-0400-000007000000}"/>
    <hyperlink ref="K5" location="'13_CONTEO'!I9" tooltip="Toma física (conteo) colaborativa" display="✓ Conteo" xr:uid="{00000000-0004-0000-0400-000008000000}"/>
    <hyperlink ref="L5" location="'99_AYUDA'!A1" tooltip="Guía de uso, acceso e instalación" display="? Guía" xr:uid="{00000000-0004-0000-0400-000009000000}"/>
  </hyperlink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4A3B8"/>
  </sheetPr>
  <dimension ref="B1:D13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15.7109375" customWidth="1"/>
    <col min="3" max="3" width="34.28515625" customWidth="1"/>
    <col min="4" max="4" width="60" customWidth="1"/>
    <col min="5" max="5" width="3.42578125" customWidth="1"/>
  </cols>
  <sheetData>
    <row r="1" spans="2:4" s="1" customFormat="1" ht="6" customHeight="1" x14ac:dyDescent="0.25"/>
    <row r="2" spans="2:4" s="1" customFormat="1" ht="24" customHeight="1" x14ac:dyDescent="0.25">
      <c r="B2" s="2" t="s">
        <v>124</v>
      </c>
    </row>
    <row r="3" spans="2:4" s="1" customFormat="1" ht="14.25" x14ac:dyDescent="0.25">
      <c r="B3" s="16" t="s">
        <v>125</v>
      </c>
    </row>
    <row r="4" spans="2:4" s="1" customFormat="1" ht="7.5" customHeight="1" x14ac:dyDescent="0.25"/>
    <row r="5" spans="2:4" s="7" customFormat="1" ht="18" customHeight="1" x14ac:dyDescent="0.25"/>
    <row r="6" spans="2:4" s="7" customFormat="1" ht="12" customHeight="1" x14ac:dyDescent="0.25"/>
    <row r="7" spans="2:4" ht="22.5" customHeight="1" x14ac:dyDescent="0.25">
      <c r="B7" s="18" t="s">
        <v>126</v>
      </c>
      <c r="C7" s="18" t="s">
        <v>116</v>
      </c>
      <c r="D7" s="18" t="s">
        <v>5</v>
      </c>
    </row>
    <row r="8" spans="2:4" x14ac:dyDescent="0.25">
      <c r="B8" s="32" t="s">
        <v>127</v>
      </c>
      <c r="C8" s="20" t="s">
        <v>128</v>
      </c>
      <c r="D8" s="45" t="s">
        <v>129</v>
      </c>
    </row>
    <row r="9" spans="2:4" x14ac:dyDescent="0.25">
      <c r="B9" s="32" t="s">
        <v>130</v>
      </c>
      <c r="C9" s="20" t="s">
        <v>131</v>
      </c>
      <c r="D9" s="45" t="s">
        <v>132</v>
      </c>
    </row>
    <row r="10" spans="2:4" x14ac:dyDescent="0.25">
      <c r="B10" s="32" t="s">
        <v>133</v>
      </c>
      <c r="C10" s="20" t="s">
        <v>134</v>
      </c>
      <c r="D10" s="45" t="s">
        <v>135</v>
      </c>
    </row>
    <row r="11" spans="2:4" x14ac:dyDescent="0.25">
      <c r="B11" s="32" t="s">
        <v>136</v>
      </c>
      <c r="C11" s="20" t="s">
        <v>137</v>
      </c>
      <c r="D11" s="45" t="s">
        <v>138</v>
      </c>
    </row>
    <row r="12" spans="2:4" x14ac:dyDescent="0.25">
      <c r="B12" s="32" t="s">
        <v>139</v>
      </c>
      <c r="C12" s="20" t="s">
        <v>140</v>
      </c>
      <c r="D12" s="45" t="s">
        <v>141</v>
      </c>
    </row>
    <row r="13" spans="2:4" x14ac:dyDescent="0.25">
      <c r="B13" s="32" t="s">
        <v>142</v>
      </c>
      <c r="C13" s="20" t="s">
        <v>143</v>
      </c>
      <c r="D13" s="45" t="s">
        <v>144</v>
      </c>
    </row>
  </sheetData>
  <sheetProtection password="930D" sheet="1" objects="1" scenarios="1"/>
  <dataValidations count="3">
    <dataValidation allowBlank="1" showInputMessage="1" showErrorMessage="1" promptTitle="Código" prompt="Abreviatura interna (opcional)." sqref="B7" xr:uid="{00000000-0002-0000-0500-000000000000}"/>
    <dataValidation allowBlank="1" showInputMessage="1" showErrorMessage="1" promptTitle="Categoría" prompt="Nombre visible en las listas. No lo cambie si ya tiene productos asociados." sqref="C7" xr:uid="{00000000-0002-0000-0500-000001000000}"/>
    <dataValidation allowBlank="1" showInputMessage="1" showErrorMessage="1" promptTitle="Descripción" prompt="Texto de apoyo." sqref="D7" xr:uid="{00000000-0002-0000-0500-000002000000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D6E63"/>
    <pageSetUpPr fitToPage="1"/>
  </sheetPr>
  <dimension ref="B1:K1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34.28515625" customWidth="1"/>
    <col min="3" max="3" width="18.5703125" customWidth="1"/>
    <col min="4" max="4" width="24.28515625" customWidth="1"/>
    <col min="5" max="5" width="17.7109375" customWidth="1"/>
    <col min="6" max="6" width="35.7109375" customWidth="1"/>
    <col min="7" max="7" width="14.85546875" customWidth="1"/>
    <col min="8" max="9" width="14.28515625" customWidth="1"/>
    <col min="10" max="10" width="27.140625" customWidth="1"/>
    <col min="11" max="11" width="13.7109375" customWidth="1"/>
    <col min="12" max="12" width="2.28515625" customWidth="1"/>
    <col min="13" max="13" width="0" hidden="1" customWidth="1"/>
  </cols>
  <sheetData>
    <row r="1" spans="2:11" s="1" customFormat="1" ht="4.5" customHeight="1" x14ac:dyDescent="0.25"/>
    <row r="2" spans="2:11" s="1" customFormat="1" ht="22.5" customHeight="1" x14ac:dyDescent="0.25">
      <c r="B2" s="2" t="s">
        <v>101</v>
      </c>
    </row>
    <row r="3" spans="2:11" s="1" customFormat="1" ht="14.25" x14ac:dyDescent="0.25">
      <c r="B3" s="16" t="s">
        <v>102</v>
      </c>
    </row>
    <row r="4" spans="2:11" s="1" customFormat="1" ht="4.5" customHeight="1" x14ac:dyDescent="0.25"/>
    <row r="5" spans="2:11" s="4" customFormat="1" ht="21" customHeight="1" x14ac:dyDescent="0.25">
      <c r="B5" s="6" t="s">
        <v>82</v>
      </c>
      <c r="C5" s="6" t="s">
        <v>83</v>
      </c>
      <c r="D5" s="6" t="s">
        <v>84</v>
      </c>
      <c r="E5" s="6" t="s">
        <v>85</v>
      </c>
      <c r="F5" s="6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6" t="s">
        <v>91</v>
      </c>
    </row>
    <row r="6" spans="2:11" x14ac:dyDescent="0.25">
      <c r="B6" s="46" t="s">
        <v>110</v>
      </c>
      <c r="C6" s="46" t="s">
        <v>110</v>
      </c>
      <c r="D6" s="46" t="s">
        <v>110</v>
      </c>
      <c r="E6" s="46" t="s">
        <v>110</v>
      </c>
      <c r="F6" s="46" t="s">
        <v>110</v>
      </c>
      <c r="G6" s="46" t="s">
        <v>110</v>
      </c>
      <c r="H6" s="47" t="s">
        <v>111</v>
      </c>
      <c r="I6" s="47" t="s">
        <v>111</v>
      </c>
      <c r="J6" s="47" t="s">
        <v>111</v>
      </c>
    </row>
    <row r="7" spans="2:11" ht="25.5" customHeight="1" x14ac:dyDescent="0.25">
      <c r="B7" s="19" t="s">
        <v>103</v>
      </c>
      <c r="C7" s="19" t="s">
        <v>104</v>
      </c>
      <c r="D7" s="19" t="s">
        <v>105</v>
      </c>
      <c r="E7" s="19" t="s">
        <v>106</v>
      </c>
      <c r="F7" s="19" t="s">
        <v>92</v>
      </c>
      <c r="G7" s="19" t="s">
        <v>107</v>
      </c>
      <c r="H7" s="18" t="s">
        <v>108</v>
      </c>
      <c r="I7" s="18" t="s">
        <v>109</v>
      </c>
      <c r="J7" s="18" t="s">
        <v>99</v>
      </c>
    </row>
    <row r="8" spans="2:11" x14ac:dyDescent="0.25">
      <c r="B8" s="41"/>
      <c r="C8" s="42"/>
      <c r="D8" s="41"/>
      <c r="E8" s="42"/>
      <c r="F8" s="41"/>
      <c r="G8" s="48"/>
      <c r="H8" s="43" t="str">
        <f>IF(tblProveedores[[#This Row],[Proveedor]]="","",COUNTIF(tblProductos[Proveedor],tblProveedores[[#This Row],[Proveedor]]))</f>
        <v/>
      </c>
      <c r="I8" s="43" t="str">
        <f>IF(tblProveedores[[#This Row],[Proveedor]]="","",SUMPRODUCT(COUNTIFS(tblStock[Proveedor],tblProveedores[[#This Row],[Proveedor]],tblStock[Estado],{"INCONSISTENTE","AGOTADO","CRÍTICO","BAJO"})))</f>
        <v/>
      </c>
      <c r="J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" spans="2:11" x14ac:dyDescent="0.25">
      <c r="B9" s="41"/>
      <c r="C9" s="42"/>
      <c r="D9" s="41"/>
      <c r="E9" s="42"/>
      <c r="F9" s="41"/>
      <c r="G9" s="48"/>
      <c r="H9" s="43" t="str">
        <f>IF(tblProveedores[[#This Row],[Proveedor]]="","",COUNTIF(tblProductos[Proveedor],tblProveedores[[#This Row],[Proveedor]]))</f>
        <v/>
      </c>
      <c r="I9" s="43" t="str">
        <f>IF(tblProveedores[[#This Row],[Proveedor]]="","",SUMPRODUCT(COUNTIFS(tblStock[Proveedor],tblProveedores[[#This Row],[Proveedor]],tblStock[Estado],{"INCONSISTENTE","AGOTADO","CRÍTICO","BAJO"})))</f>
        <v/>
      </c>
      <c r="J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" spans="2:11" x14ac:dyDescent="0.25">
      <c r="B10" s="41"/>
      <c r="C10" s="42"/>
      <c r="D10" s="41"/>
      <c r="E10" s="42"/>
      <c r="F10" s="41"/>
      <c r="G10" s="48"/>
      <c r="H10" s="43" t="str">
        <f>IF(tblProveedores[[#This Row],[Proveedor]]="","",COUNTIF(tblProductos[Proveedor],tblProveedores[[#This Row],[Proveedor]]))</f>
        <v/>
      </c>
      <c r="I10" s="43" t="str">
        <f>IF(tblProveedores[[#This Row],[Proveedor]]="","",SUMPRODUCT(COUNTIFS(tblStock[Proveedor],tblProveedores[[#This Row],[Proveedor]],tblStock[Estado],{"INCONSISTENTE","AGOTADO","CRÍTICO","BAJO"})))</f>
        <v/>
      </c>
      <c r="J1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1" spans="2:11" x14ac:dyDescent="0.25">
      <c r="B11" s="41"/>
      <c r="C11" s="42"/>
      <c r="D11" s="41"/>
      <c r="E11" s="42"/>
      <c r="F11" s="41"/>
      <c r="G11" s="48"/>
      <c r="H11" s="43" t="str">
        <f>IF(tblProveedores[[#This Row],[Proveedor]]="","",COUNTIF(tblProductos[Proveedor],tblProveedores[[#This Row],[Proveedor]]))</f>
        <v/>
      </c>
      <c r="I11" s="43" t="str">
        <f>IF(tblProveedores[[#This Row],[Proveedor]]="","",SUMPRODUCT(COUNTIFS(tblStock[Proveedor],tblProveedores[[#This Row],[Proveedor]],tblStock[Estado],{"INCONSISTENTE","AGOTADO","CRÍTICO","BAJO"})))</f>
        <v/>
      </c>
      <c r="J1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2" spans="2:11" x14ac:dyDescent="0.25">
      <c r="B12" s="41"/>
      <c r="C12" s="42"/>
      <c r="D12" s="41"/>
      <c r="E12" s="42"/>
      <c r="F12" s="41"/>
      <c r="G12" s="48"/>
      <c r="H12" s="43" t="str">
        <f>IF(tblProveedores[[#This Row],[Proveedor]]="","",COUNTIF(tblProductos[Proveedor],tblProveedores[[#This Row],[Proveedor]]))</f>
        <v/>
      </c>
      <c r="I12" s="43" t="str">
        <f>IF(tblProveedores[[#This Row],[Proveedor]]="","",SUMPRODUCT(COUNTIFS(tblStock[Proveedor],tblProveedores[[#This Row],[Proveedor]],tblStock[Estado],{"INCONSISTENTE","AGOTADO","CRÍTICO","BAJO"})))</f>
        <v/>
      </c>
      <c r="J1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3" spans="2:11" x14ac:dyDescent="0.25">
      <c r="B13" s="41"/>
      <c r="C13" s="42"/>
      <c r="D13" s="41"/>
      <c r="E13" s="42"/>
      <c r="F13" s="41"/>
      <c r="G13" s="48"/>
      <c r="H13" s="43" t="str">
        <f>IF(tblProveedores[[#This Row],[Proveedor]]="","",COUNTIF(tblProductos[Proveedor],tblProveedores[[#This Row],[Proveedor]]))</f>
        <v/>
      </c>
      <c r="I13" s="43" t="str">
        <f>IF(tblProveedores[[#This Row],[Proveedor]]="","",SUMPRODUCT(COUNTIFS(tblStock[Proveedor],tblProveedores[[#This Row],[Proveedor]],tblStock[Estado],{"INCONSISTENTE","AGOTADO","CRÍTICO","BAJO"})))</f>
        <v/>
      </c>
      <c r="J1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4" spans="2:11" x14ac:dyDescent="0.25">
      <c r="B14" s="41"/>
      <c r="C14" s="42"/>
      <c r="D14" s="41"/>
      <c r="E14" s="42"/>
      <c r="F14" s="41"/>
      <c r="G14" s="48"/>
      <c r="H14" s="43" t="str">
        <f>IF(tblProveedores[[#This Row],[Proveedor]]="","",COUNTIF(tblProductos[Proveedor],tblProveedores[[#This Row],[Proveedor]]))</f>
        <v/>
      </c>
      <c r="I14" s="43" t="str">
        <f>IF(tblProveedores[[#This Row],[Proveedor]]="","",SUMPRODUCT(COUNTIFS(tblStock[Proveedor],tblProveedores[[#This Row],[Proveedor]],tblStock[Estado],{"INCONSISTENTE","AGOTADO","CRÍTICO","BAJO"})))</f>
        <v/>
      </c>
      <c r="J1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5" spans="2:11" x14ac:dyDescent="0.25">
      <c r="B15" s="41"/>
      <c r="C15" s="42"/>
      <c r="D15" s="41"/>
      <c r="E15" s="42"/>
      <c r="F15" s="41"/>
      <c r="G15" s="48"/>
      <c r="H15" s="43" t="str">
        <f>IF(tblProveedores[[#This Row],[Proveedor]]="","",COUNTIF(tblProductos[Proveedor],tblProveedores[[#This Row],[Proveedor]]))</f>
        <v/>
      </c>
      <c r="I15" s="43" t="str">
        <f>IF(tblProveedores[[#This Row],[Proveedor]]="","",SUMPRODUCT(COUNTIFS(tblStock[Proveedor],tblProveedores[[#This Row],[Proveedor]],tblStock[Estado],{"INCONSISTENTE","AGOTADO","CRÍTICO","BAJO"})))</f>
        <v/>
      </c>
      <c r="J1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6" spans="2:11" x14ac:dyDescent="0.25">
      <c r="B16" s="41"/>
      <c r="C16" s="42"/>
      <c r="D16" s="41"/>
      <c r="E16" s="42"/>
      <c r="F16" s="41"/>
      <c r="G16" s="48"/>
      <c r="H16" s="43" t="str">
        <f>IF(tblProveedores[[#This Row],[Proveedor]]="","",COUNTIF(tblProductos[Proveedor],tblProveedores[[#This Row],[Proveedor]]))</f>
        <v/>
      </c>
      <c r="I16" s="43" t="str">
        <f>IF(tblProveedores[[#This Row],[Proveedor]]="","",SUMPRODUCT(COUNTIFS(tblStock[Proveedor],tblProveedores[[#This Row],[Proveedor]],tblStock[Estado],{"INCONSISTENTE","AGOTADO","CRÍTICO","BAJO"})))</f>
        <v/>
      </c>
      <c r="J1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7" spans="2:10" x14ac:dyDescent="0.25">
      <c r="B17" s="41"/>
      <c r="C17" s="42"/>
      <c r="D17" s="41"/>
      <c r="E17" s="42"/>
      <c r="F17" s="41"/>
      <c r="G17" s="48"/>
      <c r="H17" s="43" t="str">
        <f>IF(tblProveedores[[#This Row],[Proveedor]]="","",COUNTIF(tblProductos[Proveedor],tblProveedores[[#This Row],[Proveedor]]))</f>
        <v/>
      </c>
      <c r="I17" s="43" t="str">
        <f>IF(tblProveedores[[#This Row],[Proveedor]]="","",SUMPRODUCT(COUNTIFS(tblStock[Proveedor],tblProveedores[[#This Row],[Proveedor]],tblStock[Estado],{"INCONSISTENTE","AGOTADO","CRÍTICO","BAJO"})))</f>
        <v/>
      </c>
      <c r="J1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8" spans="2:10" x14ac:dyDescent="0.25">
      <c r="B18" s="41"/>
      <c r="C18" s="42"/>
      <c r="D18" s="41"/>
      <c r="E18" s="42"/>
      <c r="F18" s="41"/>
      <c r="G18" s="48"/>
      <c r="H18" s="43" t="str">
        <f>IF(tblProveedores[[#This Row],[Proveedor]]="","",COUNTIF(tblProductos[Proveedor],tblProveedores[[#This Row],[Proveedor]]))</f>
        <v/>
      </c>
      <c r="I18" s="43" t="str">
        <f>IF(tblProveedores[[#This Row],[Proveedor]]="","",SUMPRODUCT(COUNTIFS(tblStock[Proveedor],tblProveedores[[#This Row],[Proveedor]],tblStock[Estado],{"INCONSISTENTE","AGOTADO","CRÍTICO","BAJO"})))</f>
        <v/>
      </c>
      <c r="J1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9" spans="2:10" x14ac:dyDescent="0.25">
      <c r="B19" s="41"/>
      <c r="C19" s="42"/>
      <c r="D19" s="41"/>
      <c r="E19" s="42"/>
      <c r="F19" s="41"/>
      <c r="G19" s="48"/>
      <c r="H19" s="43" t="str">
        <f>IF(tblProveedores[[#This Row],[Proveedor]]="","",COUNTIF(tblProductos[Proveedor],tblProveedores[[#This Row],[Proveedor]]))</f>
        <v/>
      </c>
      <c r="I19" s="43" t="str">
        <f>IF(tblProveedores[[#This Row],[Proveedor]]="","",SUMPRODUCT(COUNTIFS(tblStock[Proveedor],tblProveedores[[#This Row],[Proveedor]],tblStock[Estado],{"INCONSISTENTE","AGOTADO","CRÍTICO","BAJO"})))</f>
        <v/>
      </c>
      <c r="J1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0" spans="2:10" x14ac:dyDescent="0.25">
      <c r="B20" s="41"/>
      <c r="C20" s="42"/>
      <c r="D20" s="41"/>
      <c r="E20" s="42"/>
      <c r="F20" s="41"/>
      <c r="G20" s="48"/>
      <c r="H20" s="43" t="str">
        <f>IF(tblProveedores[[#This Row],[Proveedor]]="","",COUNTIF(tblProductos[Proveedor],tblProveedores[[#This Row],[Proveedor]]))</f>
        <v/>
      </c>
      <c r="I20" s="43" t="str">
        <f>IF(tblProveedores[[#This Row],[Proveedor]]="","",SUMPRODUCT(COUNTIFS(tblStock[Proveedor],tblProveedores[[#This Row],[Proveedor]],tblStock[Estado],{"INCONSISTENTE","AGOTADO","CRÍTICO","BAJO"})))</f>
        <v/>
      </c>
      <c r="J2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1" spans="2:10" x14ac:dyDescent="0.25">
      <c r="B21" s="41"/>
      <c r="C21" s="42"/>
      <c r="D21" s="41"/>
      <c r="E21" s="42"/>
      <c r="F21" s="41"/>
      <c r="G21" s="48"/>
      <c r="H21" s="43" t="str">
        <f>IF(tblProveedores[[#This Row],[Proveedor]]="","",COUNTIF(tblProductos[Proveedor],tblProveedores[[#This Row],[Proveedor]]))</f>
        <v/>
      </c>
      <c r="I21" s="43" t="str">
        <f>IF(tblProveedores[[#This Row],[Proveedor]]="","",SUMPRODUCT(COUNTIFS(tblStock[Proveedor],tblProveedores[[#This Row],[Proveedor]],tblStock[Estado],{"INCONSISTENTE","AGOTADO","CRÍTICO","BAJO"})))</f>
        <v/>
      </c>
      <c r="J2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2" spans="2:10" x14ac:dyDescent="0.25">
      <c r="B22" s="41"/>
      <c r="C22" s="42"/>
      <c r="D22" s="41"/>
      <c r="E22" s="42"/>
      <c r="F22" s="41"/>
      <c r="G22" s="48"/>
      <c r="H22" s="43" t="str">
        <f>IF(tblProveedores[[#This Row],[Proveedor]]="","",COUNTIF(tblProductos[Proveedor],tblProveedores[[#This Row],[Proveedor]]))</f>
        <v/>
      </c>
      <c r="I22" s="43" t="str">
        <f>IF(tblProveedores[[#This Row],[Proveedor]]="","",SUMPRODUCT(COUNTIFS(tblStock[Proveedor],tblProveedores[[#This Row],[Proveedor]],tblStock[Estado],{"INCONSISTENTE","AGOTADO","CRÍTICO","BAJO"})))</f>
        <v/>
      </c>
      <c r="J2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3" spans="2:10" x14ac:dyDescent="0.25">
      <c r="B23" s="41"/>
      <c r="C23" s="42"/>
      <c r="D23" s="41"/>
      <c r="E23" s="42"/>
      <c r="F23" s="41"/>
      <c r="G23" s="48"/>
      <c r="H23" s="43" t="str">
        <f>IF(tblProveedores[[#This Row],[Proveedor]]="","",COUNTIF(tblProductos[Proveedor],tblProveedores[[#This Row],[Proveedor]]))</f>
        <v/>
      </c>
      <c r="I23" s="43" t="str">
        <f>IF(tblProveedores[[#This Row],[Proveedor]]="","",SUMPRODUCT(COUNTIFS(tblStock[Proveedor],tblProveedores[[#This Row],[Proveedor]],tblStock[Estado],{"INCONSISTENTE","AGOTADO","CRÍTICO","BAJO"})))</f>
        <v/>
      </c>
      <c r="J2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4" spans="2:10" x14ac:dyDescent="0.25">
      <c r="B24" s="41"/>
      <c r="C24" s="42"/>
      <c r="D24" s="41"/>
      <c r="E24" s="42"/>
      <c r="F24" s="41"/>
      <c r="G24" s="48"/>
      <c r="H24" s="43" t="str">
        <f>IF(tblProveedores[[#This Row],[Proveedor]]="","",COUNTIF(tblProductos[Proveedor],tblProveedores[[#This Row],[Proveedor]]))</f>
        <v/>
      </c>
      <c r="I24" s="43" t="str">
        <f>IF(tblProveedores[[#This Row],[Proveedor]]="","",SUMPRODUCT(COUNTIFS(tblStock[Proveedor],tblProveedores[[#This Row],[Proveedor]],tblStock[Estado],{"INCONSISTENTE","AGOTADO","CRÍTICO","BAJO"})))</f>
        <v/>
      </c>
      <c r="J2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5" spans="2:10" x14ac:dyDescent="0.25">
      <c r="B25" s="41"/>
      <c r="C25" s="42"/>
      <c r="D25" s="41"/>
      <c r="E25" s="42"/>
      <c r="F25" s="41"/>
      <c r="G25" s="48"/>
      <c r="H25" s="43" t="str">
        <f>IF(tblProveedores[[#This Row],[Proveedor]]="","",COUNTIF(tblProductos[Proveedor],tblProveedores[[#This Row],[Proveedor]]))</f>
        <v/>
      </c>
      <c r="I25" s="43" t="str">
        <f>IF(tblProveedores[[#This Row],[Proveedor]]="","",SUMPRODUCT(COUNTIFS(tblStock[Proveedor],tblProveedores[[#This Row],[Proveedor]],tblStock[Estado],{"INCONSISTENTE","AGOTADO","CRÍTICO","BAJO"})))</f>
        <v/>
      </c>
      <c r="J2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6" spans="2:10" x14ac:dyDescent="0.25">
      <c r="B26" s="41"/>
      <c r="C26" s="42"/>
      <c r="D26" s="41"/>
      <c r="E26" s="42"/>
      <c r="F26" s="41"/>
      <c r="G26" s="48"/>
      <c r="H26" s="43" t="str">
        <f>IF(tblProveedores[[#This Row],[Proveedor]]="","",COUNTIF(tblProductos[Proveedor],tblProveedores[[#This Row],[Proveedor]]))</f>
        <v/>
      </c>
      <c r="I26" s="43" t="str">
        <f>IF(tblProveedores[[#This Row],[Proveedor]]="","",SUMPRODUCT(COUNTIFS(tblStock[Proveedor],tblProveedores[[#This Row],[Proveedor]],tblStock[Estado],{"INCONSISTENTE","AGOTADO","CRÍTICO","BAJO"})))</f>
        <v/>
      </c>
      <c r="J2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7" spans="2:10" x14ac:dyDescent="0.25">
      <c r="B27" s="41"/>
      <c r="C27" s="42"/>
      <c r="D27" s="41"/>
      <c r="E27" s="42"/>
      <c r="F27" s="41"/>
      <c r="G27" s="48"/>
      <c r="H27" s="43" t="str">
        <f>IF(tblProveedores[[#This Row],[Proveedor]]="","",COUNTIF(tblProductos[Proveedor],tblProveedores[[#This Row],[Proveedor]]))</f>
        <v/>
      </c>
      <c r="I27" s="43" t="str">
        <f>IF(tblProveedores[[#This Row],[Proveedor]]="","",SUMPRODUCT(COUNTIFS(tblStock[Proveedor],tblProveedores[[#This Row],[Proveedor]],tblStock[Estado],{"INCONSISTENTE","AGOTADO","CRÍTICO","BAJO"})))</f>
        <v/>
      </c>
      <c r="J2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8" spans="2:10" x14ac:dyDescent="0.25">
      <c r="B28" s="41"/>
      <c r="C28" s="42"/>
      <c r="D28" s="41"/>
      <c r="E28" s="42"/>
      <c r="F28" s="41"/>
      <c r="G28" s="48"/>
      <c r="H28" s="43" t="str">
        <f>IF(tblProveedores[[#This Row],[Proveedor]]="","",COUNTIF(tblProductos[Proveedor],tblProveedores[[#This Row],[Proveedor]]))</f>
        <v/>
      </c>
      <c r="I28" s="43" t="str">
        <f>IF(tblProveedores[[#This Row],[Proveedor]]="","",SUMPRODUCT(COUNTIFS(tblStock[Proveedor],tblProveedores[[#This Row],[Proveedor]],tblStock[Estado],{"INCONSISTENTE","AGOTADO","CRÍTICO","BAJO"})))</f>
        <v/>
      </c>
      <c r="J2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9" spans="2:10" x14ac:dyDescent="0.25">
      <c r="B29" s="41"/>
      <c r="C29" s="42"/>
      <c r="D29" s="41"/>
      <c r="E29" s="42"/>
      <c r="F29" s="41"/>
      <c r="G29" s="48"/>
      <c r="H29" s="43" t="str">
        <f>IF(tblProveedores[[#This Row],[Proveedor]]="","",COUNTIF(tblProductos[Proveedor],tblProveedores[[#This Row],[Proveedor]]))</f>
        <v/>
      </c>
      <c r="I29" s="43" t="str">
        <f>IF(tblProveedores[[#This Row],[Proveedor]]="","",SUMPRODUCT(COUNTIFS(tblStock[Proveedor],tblProveedores[[#This Row],[Proveedor]],tblStock[Estado],{"INCONSISTENTE","AGOTADO","CRÍTICO","BAJO"})))</f>
        <v/>
      </c>
      <c r="J2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0" spans="2:10" x14ac:dyDescent="0.25">
      <c r="B30" s="41"/>
      <c r="C30" s="42"/>
      <c r="D30" s="41"/>
      <c r="E30" s="42"/>
      <c r="F30" s="41"/>
      <c r="G30" s="48"/>
      <c r="H30" s="43" t="str">
        <f>IF(tblProveedores[[#This Row],[Proveedor]]="","",COUNTIF(tblProductos[Proveedor],tblProveedores[[#This Row],[Proveedor]]))</f>
        <v/>
      </c>
      <c r="I30" s="43" t="str">
        <f>IF(tblProveedores[[#This Row],[Proveedor]]="","",SUMPRODUCT(COUNTIFS(tblStock[Proveedor],tblProveedores[[#This Row],[Proveedor]],tblStock[Estado],{"INCONSISTENTE","AGOTADO","CRÍTICO","BAJO"})))</f>
        <v/>
      </c>
      <c r="J3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1" spans="2:10" x14ac:dyDescent="0.25">
      <c r="B31" s="41"/>
      <c r="C31" s="42"/>
      <c r="D31" s="41"/>
      <c r="E31" s="42"/>
      <c r="F31" s="41"/>
      <c r="G31" s="48"/>
      <c r="H31" s="43" t="str">
        <f>IF(tblProveedores[[#This Row],[Proveedor]]="","",COUNTIF(tblProductos[Proveedor],tblProveedores[[#This Row],[Proveedor]]))</f>
        <v/>
      </c>
      <c r="I31" s="43" t="str">
        <f>IF(tblProveedores[[#This Row],[Proveedor]]="","",SUMPRODUCT(COUNTIFS(tblStock[Proveedor],tblProveedores[[#This Row],[Proveedor]],tblStock[Estado],{"INCONSISTENTE","AGOTADO","CRÍTICO","BAJO"})))</f>
        <v/>
      </c>
      <c r="J3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2" spans="2:10" x14ac:dyDescent="0.25">
      <c r="B32" s="41"/>
      <c r="C32" s="42"/>
      <c r="D32" s="41"/>
      <c r="E32" s="42"/>
      <c r="F32" s="41"/>
      <c r="G32" s="48"/>
      <c r="H32" s="43" t="str">
        <f>IF(tblProveedores[[#This Row],[Proveedor]]="","",COUNTIF(tblProductos[Proveedor],tblProveedores[[#This Row],[Proveedor]]))</f>
        <v/>
      </c>
      <c r="I32" s="43" t="str">
        <f>IF(tblProveedores[[#This Row],[Proveedor]]="","",SUMPRODUCT(COUNTIFS(tblStock[Proveedor],tblProveedores[[#This Row],[Proveedor]],tblStock[Estado],{"INCONSISTENTE","AGOTADO","CRÍTICO","BAJO"})))</f>
        <v/>
      </c>
      <c r="J3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3" spans="2:10" x14ac:dyDescent="0.25">
      <c r="B33" s="41"/>
      <c r="C33" s="42"/>
      <c r="D33" s="41"/>
      <c r="E33" s="42"/>
      <c r="F33" s="41"/>
      <c r="G33" s="48"/>
      <c r="H33" s="43" t="str">
        <f>IF(tblProveedores[[#This Row],[Proveedor]]="","",COUNTIF(tblProductos[Proveedor],tblProveedores[[#This Row],[Proveedor]]))</f>
        <v/>
      </c>
      <c r="I33" s="43" t="str">
        <f>IF(tblProveedores[[#This Row],[Proveedor]]="","",SUMPRODUCT(COUNTIFS(tblStock[Proveedor],tblProveedores[[#This Row],[Proveedor]],tblStock[Estado],{"INCONSISTENTE","AGOTADO","CRÍTICO","BAJO"})))</f>
        <v/>
      </c>
      <c r="J3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4" spans="2:10" x14ac:dyDescent="0.25">
      <c r="B34" s="41"/>
      <c r="C34" s="42"/>
      <c r="D34" s="41"/>
      <c r="E34" s="42"/>
      <c r="F34" s="41"/>
      <c r="G34" s="48"/>
      <c r="H34" s="43" t="str">
        <f>IF(tblProveedores[[#This Row],[Proveedor]]="","",COUNTIF(tblProductos[Proveedor],tblProveedores[[#This Row],[Proveedor]]))</f>
        <v/>
      </c>
      <c r="I34" s="43" t="str">
        <f>IF(tblProveedores[[#This Row],[Proveedor]]="","",SUMPRODUCT(COUNTIFS(tblStock[Proveedor],tblProveedores[[#This Row],[Proveedor]],tblStock[Estado],{"INCONSISTENTE","AGOTADO","CRÍTICO","BAJO"})))</f>
        <v/>
      </c>
      <c r="J3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5" spans="2:10" x14ac:dyDescent="0.25">
      <c r="B35" s="41"/>
      <c r="C35" s="42"/>
      <c r="D35" s="41"/>
      <c r="E35" s="42"/>
      <c r="F35" s="41"/>
      <c r="G35" s="48"/>
      <c r="H35" s="43" t="str">
        <f>IF(tblProveedores[[#This Row],[Proveedor]]="","",COUNTIF(tblProductos[Proveedor],tblProveedores[[#This Row],[Proveedor]]))</f>
        <v/>
      </c>
      <c r="I35" s="43" t="str">
        <f>IF(tblProveedores[[#This Row],[Proveedor]]="","",SUMPRODUCT(COUNTIFS(tblStock[Proveedor],tblProveedores[[#This Row],[Proveedor]],tblStock[Estado],{"INCONSISTENTE","AGOTADO","CRÍTICO","BAJO"})))</f>
        <v/>
      </c>
      <c r="J3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6" spans="2:10" x14ac:dyDescent="0.25">
      <c r="B36" s="41"/>
      <c r="C36" s="42"/>
      <c r="D36" s="41"/>
      <c r="E36" s="42"/>
      <c r="F36" s="41"/>
      <c r="G36" s="48"/>
      <c r="H36" s="43" t="str">
        <f>IF(tblProveedores[[#This Row],[Proveedor]]="","",COUNTIF(tblProductos[Proveedor],tblProveedores[[#This Row],[Proveedor]]))</f>
        <v/>
      </c>
      <c r="I36" s="43" t="str">
        <f>IF(tblProveedores[[#This Row],[Proveedor]]="","",SUMPRODUCT(COUNTIFS(tblStock[Proveedor],tblProveedores[[#This Row],[Proveedor]],tblStock[Estado],{"INCONSISTENTE","AGOTADO","CRÍTICO","BAJO"})))</f>
        <v/>
      </c>
      <c r="J3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7" spans="2:10" x14ac:dyDescent="0.25">
      <c r="B37" s="41"/>
      <c r="C37" s="42"/>
      <c r="D37" s="41"/>
      <c r="E37" s="42"/>
      <c r="F37" s="41"/>
      <c r="G37" s="48"/>
      <c r="H37" s="43" t="str">
        <f>IF(tblProveedores[[#This Row],[Proveedor]]="","",COUNTIF(tblProductos[Proveedor],tblProveedores[[#This Row],[Proveedor]]))</f>
        <v/>
      </c>
      <c r="I37" s="43" t="str">
        <f>IF(tblProveedores[[#This Row],[Proveedor]]="","",SUMPRODUCT(COUNTIFS(tblStock[Proveedor],tblProveedores[[#This Row],[Proveedor]],tblStock[Estado],{"INCONSISTENTE","AGOTADO","CRÍTICO","BAJO"})))</f>
        <v/>
      </c>
      <c r="J3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8" spans="2:10" x14ac:dyDescent="0.25">
      <c r="B38" s="41"/>
      <c r="C38" s="42"/>
      <c r="D38" s="41"/>
      <c r="E38" s="42"/>
      <c r="F38" s="41"/>
      <c r="G38" s="48"/>
      <c r="H38" s="43" t="str">
        <f>IF(tblProveedores[[#This Row],[Proveedor]]="","",COUNTIF(tblProductos[Proveedor],tblProveedores[[#This Row],[Proveedor]]))</f>
        <v/>
      </c>
      <c r="I38" s="43" t="str">
        <f>IF(tblProveedores[[#This Row],[Proveedor]]="","",SUMPRODUCT(COUNTIFS(tblStock[Proveedor],tblProveedores[[#This Row],[Proveedor]],tblStock[Estado],{"INCONSISTENTE","AGOTADO","CRÍTICO","BAJO"})))</f>
        <v/>
      </c>
      <c r="J3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9" spans="2:10" x14ac:dyDescent="0.25">
      <c r="B39" s="41"/>
      <c r="C39" s="42"/>
      <c r="D39" s="41"/>
      <c r="E39" s="42"/>
      <c r="F39" s="41"/>
      <c r="G39" s="48"/>
      <c r="H39" s="43" t="str">
        <f>IF(tblProveedores[[#This Row],[Proveedor]]="","",COUNTIF(tblProductos[Proveedor],tblProveedores[[#This Row],[Proveedor]]))</f>
        <v/>
      </c>
      <c r="I39" s="43" t="str">
        <f>IF(tblProveedores[[#This Row],[Proveedor]]="","",SUMPRODUCT(COUNTIFS(tblStock[Proveedor],tblProveedores[[#This Row],[Proveedor]],tblStock[Estado],{"INCONSISTENTE","AGOTADO","CRÍTICO","BAJO"})))</f>
        <v/>
      </c>
      <c r="J3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0" spans="2:10" x14ac:dyDescent="0.25">
      <c r="B40" s="41"/>
      <c r="C40" s="42"/>
      <c r="D40" s="41"/>
      <c r="E40" s="42"/>
      <c r="F40" s="41"/>
      <c r="G40" s="48"/>
      <c r="H40" s="43" t="str">
        <f>IF(tblProveedores[[#This Row],[Proveedor]]="","",COUNTIF(tblProductos[Proveedor],tblProveedores[[#This Row],[Proveedor]]))</f>
        <v/>
      </c>
      <c r="I40" s="43" t="str">
        <f>IF(tblProveedores[[#This Row],[Proveedor]]="","",SUMPRODUCT(COUNTIFS(tblStock[Proveedor],tblProveedores[[#This Row],[Proveedor]],tblStock[Estado],{"INCONSISTENTE","AGOTADO","CRÍTICO","BAJO"})))</f>
        <v/>
      </c>
      <c r="J4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1" spans="2:10" x14ac:dyDescent="0.25">
      <c r="B41" s="41"/>
      <c r="C41" s="42"/>
      <c r="D41" s="41"/>
      <c r="E41" s="42"/>
      <c r="F41" s="41"/>
      <c r="G41" s="48"/>
      <c r="H41" s="43" t="str">
        <f>IF(tblProveedores[[#This Row],[Proveedor]]="","",COUNTIF(tblProductos[Proveedor],tblProveedores[[#This Row],[Proveedor]]))</f>
        <v/>
      </c>
      <c r="I41" s="43" t="str">
        <f>IF(tblProveedores[[#This Row],[Proveedor]]="","",SUMPRODUCT(COUNTIFS(tblStock[Proveedor],tblProveedores[[#This Row],[Proveedor]],tblStock[Estado],{"INCONSISTENTE","AGOTADO","CRÍTICO","BAJO"})))</f>
        <v/>
      </c>
      <c r="J4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2" spans="2:10" x14ac:dyDescent="0.25">
      <c r="B42" s="41"/>
      <c r="C42" s="42"/>
      <c r="D42" s="41"/>
      <c r="E42" s="42"/>
      <c r="F42" s="41"/>
      <c r="G42" s="48"/>
      <c r="H42" s="43" t="str">
        <f>IF(tblProveedores[[#This Row],[Proveedor]]="","",COUNTIF(tblProductos[Proveedor],tblProveedores[[#This Row],[Proveedor]]))</f>
        <v/>
      </c>
      <c r="I42" s="43" t="str">
        <f>IF(tblProveedores[[#This Row],[Proveedor]]="","",SUMPRODUCT(COUNTIFS(tblStock[Proveedor],tblProveedores[[#This Row],[Proveedor]],tblStock[Estado],{"INCONSISTENTE","AGOTADO","CRÍTICO","BAJO"})))</f>
        <v/>
      </c>
      <c r="J4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3" spans="2:10" x14ac:dyDescent="0.25">
      <c r="B43" s="41"/>
      <c r="C43" s="42"/>
      <c r="D43" s="41"/>
      <c r="E43" s="42"/>
      <c r="F43" s="41"/>
      <c r="G43" s="48"/>
      <c r="H43" s="43" t="str">
        <f>IF(tblProveedores[[#This Row],[Proveedor]]="","",COUNTIF(tblProductos[Proveedor],tblProveedores[[#This Row],[Proveedor]]))</f>
        <v/>
      </c>
      <c r="I43" s="43" t="str">
        <f>IF(tblProveedores[[#This Row],[Proveedor]]="","",SUMPRODUCT(COUNTIFS(tblStock[Proveedor],tblProveedores[[#This Row],[Proveedor]],tblStock[Estado],{"INCONSISTENTE","AGOTADO","CRÍTICO","BAJO"})))</f>
        <v/>
      </c>
      <c r="J4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4" spans="2:10" x14ac:dyDescent="0.25">
      <c r="B44" s="41"/>
      <c r="C44" s="42"/>
      <c r="D44" s="41"/>
      <c r="E44" s="42"/>
      <c r="F44" s="41"/>
      <c r="G44" s="48"/>
      <c r="H44" s="43" t="str">
        <f>IF(tblProveedores[[#This Row],[Proveedor]]="","",COUNTIF(tblProductos[Proveedor],tblProveedores[[#This Row],[Proveedor]]))</f>
        <v/>
      </c>
      <c r="I44" s="43" t="str">
        <f>IF(tblProveedores[[#This Row],[Proveedor]]="","",SUMPRODUCT(COUNTIFS(tblStock[Proveedor],tblProveedores[[#This Row],[Proveedor]],tblStock[Estado],{"INCONSISTENTE","AGOTADO","CRÍTICO","BAJO"})))</f>
        <v/>
      </c>
      <c r="J4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5" spans="2:10" x14ac:dyDescent="0.25">
      <c r="B45" s="41"/>
      <c r="C45" s="42"/>
      <c r="D45" s="41"/>
      <c r="E45" s="42"/>
      <c r="F45" s="41"/>
      <c r="G45" s="48"/>
      <c r="H45" s="43" t="str">
        <f>IF(tblProveedores[[#This Row],[Proveedor]]="","",COUNTIF(tblProductos[Proveedor],tblProveedores[[#This Row],[Proveedor]]))</f>
        <v/>
      </c>
      <c r="I45" s="43" t="str">
        <f>IF(tblProveedores[[#This Row],[Proveedor]]="","",SUMPRODUCT(COUNTIFS(tblStock[Proveedor],tblProveedores[[#This Row],[Proveedor]],tblStock[Estado],{"INCONSISTENTE","AGOTADO","CRÍTICO","BAJO"})))</f>
        <v/>
      </c>
      <c r="J4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6" spans="2:10" x14ac:dyDescent="0.25">
      <c r="B46" s="41"/>
      <c r="C46" s="42"/>
      <c r="D46" s="41"/>
      <c r="E46" s="42"/>
      <c r="F46" s="41"/>
      <c r="G46" s="48"/>
      <c r="H46" s="43" t="str">
        <f>IF(tblProveedores[[#This Row],[Proveedor]]="","",COUNTIF(tblProductos[Proveedor],tblProveedores[[#This Row],[Proveedor]]))</f>
        <v/>
      </c>
      <c r="I46" s="43" t="str">
        <f>IF(tblProveedores[[#This Row],[Proveedor]]="","",SUMPRODUCT(COUNTIFS(tblStock[Proveedor],tblProveedores[[#This Row],[Proveedor]],tblStock[Estado],{"INCONSISTENTE","AGOTADO","CRÍTICO","BAJO"})))</f>
        <v/>
      </c>
      <c r="J4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7" spans="2:10" x14ac:dyDescent="0.25">
      <c r="B47" s="41"/>
      <c r="C47" s="42"/>
      <c r="D47" s="41"/>
      <c r="E47" s="42"/>
      <c r="F47" s="41"/>
      <c r="G47" s="48"/>
      <c r="H47" s="43" t="str">
        <f>IF(tblProveedores[[#This Row],[Proveedor]]="","",COUNTIF(tblProductos[Proveedor],tblProveedores[[#This Row],[Proveedor]]))</f>
        <v/>
      </c>
      <c r="I47" s="43" t="str">
        <f>IF(tblProveedores[[#This Row],[Proveedor]]="","",SUMPRODUCT(COUNTIFS(tblStock[Proveedor],tblProveedores[[#This Row],[Proveedor]],tblStock[Estado],{"INCONSISTENTE","AGOTADO","CRÍTICO","BAJO"})))</f>
        <v/>
      </c>
      <c r="J4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8" spans="2:10" x14ac:dyDescent="0.25">
      <c r="B48" s="41"/>
      <c r="C48" s="42"/>
      <c r="D48" s="41"/>
      <c r="E48" s="42"/>
      <c r="F48" s="41"/>
      <c r="G48" s="48"/>
      <c r="H48" s="43" t="str">
        <f>IF(tblProveedores[[#This Row],[Proveedor]]="","",COUNTIF(tblProductos[Proveedor],tblProveedores[[#This Row],[Proveedor]]))</f>
        <v/>
      </c>
      <c r="I48" s="43" t="str">
        <f>IF(tblProveedores[[#This Row],[Proveedor]]="","",SUMPRODUCT(COUNTIFS(tblStock[Proveedor],tblProveedores[[#This Row],[Proveedor]],tblStock[Estado],{"INCONSISTENTE","AGOTADO","CRÍTICO","BAJO"})))</f>
        <v/>
      </c>
      <c r="J4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9" spans="2:10" x14ac:dyDescent="0.25">
      <c r="B49" s="41"/>
      <c r="C49" s="42"/>
      <c r="D49" s="41"/>
      <c r="E49" s="42"/>
      <c r="F49" s="41"/>
      <c r="G49" s="48"/>
      <c r="H49" s="43" t="str">
        <f>IF(tblProveedores[[#This Row],[Proveedor]]="","",COUNTIF(tblProductos[Proveedor],tblProveedores[[#This Row],[Proveedor]]))</f>
        <v/>
      </c>
      <c r="I49" s="43" t="str">
        <f>IF(tblProveedores[[#This Row],[Proveedor]]="","",SUMPRODUCT(COUNTIFS(tblStock[Proveedor],tblProveedores[[#This Row],[Proveedor]],tblStock[Estado],{"INCONSISTENTE","AGOTADO","CRÍTICO","BAJO"})))</f>
        <v/>
      </c>
      <c r="J4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0" spans="2:10" x14ac:dyDescent="0.25">
      <c r="B50" s="41"/>
      <c r="C50" s="42"/>
      <c r="D50" s="41"/>
      <c r="E50" s="42"/>
      <c r="F50" s="41"/>
      <c r="G50" s="48"/>
      <c r="H50" s="43" t="str">
        <f>IF(tblProveedores[[#This Row],[Proveedor]]="","",COUNTIF(tblProductos[Proveedor],tblProveedores[[#This Row],[Proveedor]]))</f>
        <v/>
      </c>
      <c r="I50" s="43" t="str">
        <f>IF(tblProveedores[[#This Row],[Proveedor]]="","",SUMPRODUCT(COUNTIFS(tblStock[Proveedor],tblProveedores[[#This Row],[Proveedor]],tblStock[Estado],{"INCONSISTENTE","AGOTADO","CRÍTICO","BAJO"})))</f>
        <v/>
      </c>
      <c r="J5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1" spans="2:10" x14ac:dyDescent="0.25">
      <c r="B51" s="41"/>
      <c r="C51" s="42"/>
      <c r="D51" s="41"/>
      <c r="E51" s="42"/>
      <c r="F51" s="41"/>
      <c r="G51" s="48"/>
      <c r="H51" s="43" t="str">
        <f>IF(tblProveedores[[#This Row],[Proveedor]]="","",COUNTIF(tblProductos[Proveedor],tblProveedores[[#This Row],[Proveedor]]))</f>
        <v/>
      </c>
      <c r="I51" s="43" t="str">
        <f>IF(tblProveedores[[#This Row],[Proveedor]]="","",SUMPRODUCT(COUNTIFS(tblStock[Proveedor],tblProveedores[[#This Row],[Proveedor]],tblStock[Estado],{"INCONSISTENTE","AGOTADO","CRÍTICO","BAJO"})))</f>
        <v/>
      </c>
      <c r="J5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2" spans="2:10" x14ac:dyDescent="0.25">
      <c r="B52" s="41"/>
      <c r="C52" s="42"/>
      <c r="D52" s="41"/>
      <c r="E52" s="42"/>
      <c r="F52" s="41"/>
      <c r="G52" s="48"/>
      <c r="H52" s="43" t="str">
        <f>IF(tblProveedores[[#This Row],[Proveedor]]="","",COUNTIF(tblProductos[Proveedor],tblProveedores[[#This Row],[Proveedor]]))</f>
        <v/>
      </c>
      <c r="I52" s="43" t="str">
        <f>IF(tblProveedores[[#This Row],[Proveedor]]="","",SUMPRODUCT(COUNTIFS(tblStock[Proveedor],tblProveedores[[#This Row],[Proveedor]],tblStock[Estado],{"INCONSISTENTE","AGOTADO","CRÍTICO","BAJO"})))</f>
        <v/>
      </c>
      <c r="J5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3" spans="2:10" x14ac:dyDescent="0.25">
      <c r="B53" s="41"/>
      <c r="C53" s="42"/>
      <c r="D53" s="41"/>
      <c r="E53" s="42"/>
      <c r="F53" s="41"/>
      <c r="G53" s="48"/>
      <c r="H53" s="43" t="str">
        <f>IF(tblProveedores[[#This Row],[Proveedor]]="","",COUNTIF(tblProductos[Proveedor],tblProveedores[[#This Row],[Proveedor]]))</f>
        <v/>
      </c>
      <c r="I53" s="43" t="str">
        <f>IF(tblProveedores[[#This Row],[Proveedor]]="","",SUMPRODUCT(COUNTIFS(tblStock[Proveedor],tblProveedores[[#This Row],[Proveedor]],tblStock[Estado],{"INCONSISTENTE","AGOTADO","CRÍTICO","BAJO"})))</f>
        <v/>
      </c>
      <c r="J5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4" spans="2:10" x14ac:dyDescent="0.25">
      <c r="B54" s="41"/>
      <c r="C54" s="42"/>
      <c r="D54" s="41"/>
      <c r="E54" s="42"/>
      <c r="F54" s="41"/>
      <c r="G54" s="48"/>
      <c r="H54" s="43" t="str">
        <f>IF(tblProveedores[[#This Row],[Proveedor]]="","",COUNTIF(tblProductos[Proveedor],tblProveedores[[#This Row],[Proveedor]]))</f>
        <v/>
      </c>
      <c r="I54" s="43" t="str">
        <f>IF(tblProveedores[[#This Row],[Proveedor]]="","",SUMPRODUCT(COUNTIFS(tblStock[Proveedor],tblProveedores[[#This Row],[Proveedor]],tblStock[Estado],{"INCONSISTENTE","AGOTADO","CRÍTICO","BAJO"})))</f>
        <v/>
      </c>
      <c r="J5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5" spans="2:10" x14ac:dyDescent="0.25">
      <c r="B55" s="41"/>
      <c r="C55" s="42"/>
      <c r="D55" s="41"/>
      <c r="E55" s="42"/>
      <c r="F55" s="41"/>
      <c r="G55" s="48"/>
      <c r="H55" s="43" t="str">
        <f>IF(tblProveedores[[#This Row],[Proveedor]]="","",COUNTIF(tblProductos[Proveedor],tblProveedores[[#This Row],[Proveedor]]))</f>
        <v/>
      </c>
      <c r="I55" s="43" t="str">
        <f>IF(tblProveedores[[#This Row],[Proveedor]]="","",SUMPRODUCT(COUNTIFS(tblStock[Proveedor],tblProveedores[[#This Row],[Proveedor]],tblStock[Estado],{"INCONSISTENTE","AGOTADO","CRÍTICO","BAJO"})))</f>
        <v/>
      </c>
      <c r="J5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6" spans="2:10" x14ac:dyDescent="0.25">
      <c r="B56" s="41"/>
      <c r="C56" s="42"/>
      <c r="D56" s="41"/>
      <c r="E56" s="42"/>
      <c r="F56" s="41"/>
      <c r="G56" s="48"/>
      <c r="H56" s="43" t="str">
        <f>IF(tblProveedores[[#This Row],[Proveedor]]="","",COUNTIF(tblProductos[Proveedor],tblProveedores[[#This Row],[Proveedor]]))</f>
        <v/>
      </c>
      <c r="I56" s="43" t="str">
        <f>IF(tblProveedores[[#This Row],[Proveedor]]="","",SUMPRODUCT(COUNTIFS(tblStock[Proveedor],tblProveedores[[#This Row],[Proveedor]],tblStock[Estado],{"INCONSISTENTE","AGOTADO","CRÍTICO","BAJO"})))</f>
        <v/>
      </c>
      <c r="J5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7" spans="2:10" x14ac:dyDescent="0.25">
      <c r="B57" s="41"/>
      <c r="C57" s="42"/>
      <c r="D57" s="41"/>
      <c r="E57" s="42"/>
      <c r="F57" s="41"/>
      <c r="G57" s="48"/>
      <c r="H57" s="43" t="str">
        <f>IF(tblProveedores[[#This Row],[Proveedor]]="","",COUNTIF(tblProductos[Proveedor],tblProveedores[[#This Row],[Proveedor]]))</f>
        <v/>
      </c>
      <c r="I57" s="43" t="str">
        <f>IF(tblProveedores[[#This Row],[Proveedor]]="","",SUMPRODUCT(COUNTIFS(tblStock[Proveedor],tblProveedores[[#This Row],[Proveedor]],tblStock[Estado],{"INCONSISTENTE","AGOTADO","CRÍTICO","BAJO"})))</f>
        <v/>
      </c>
      <c r="J5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8" spans="2:10" x14ac:dyDescent="0.25">
      <c r="B58" s="41"/>
      <c r="C58" s="42"/>
      <c r="D58" s="41"/>
      <c r="E58" s="42"/>
      <c r="F58" s="41"/>
      <c r="G58" s="48"/>
      <c r="H58" s="43" t="str">
        <f>IF(tblProveedores[[#This Row],[Proveedor]]="","",COUNTIF(tblProductos[Proveedor],tblProveedores[[#This Row],[Proveedor]]))</f>
        <v/>
      </c>
      <c r="I58" s="43" t="str">
        <f>IF(tblProveedores[[#This Row],[Proveedor]]="","",SUMPRODUCT(COUNTIFS(tblStock[Proveedor],tblProveedores[[#This Row],[Proveedor]],tblStock[Estado],{"INCONSISTENTE","AGOTADO","CRÍTICO","BAJO"})))</f>
        <v/>
      </c>
      <c r="J5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9" spans="2:10" x14ac:dyDescent="0.25">
      <c r="B59" s="41"/>
      <c r="C59" s="42"/>
      <c r="D59" s="41"/>
      <c r="E59" s="42"/>
      <c r="F59" s="41"/>
      <c r="G59" s="48"/>
      <c r="H59" s="43" t="str">
        <f>IF(tblProveedores[[#This Row],[Proveedor]]="","",COUNTIF(tblProductos[Proveedor],tblProveedores[[#This Row],[Proveedor]]))</f>
        <v/>
      </c>
      <c r="I59" s="43" t="str">
        <f>IF(tblProveedores[[#This Row],[Proveedor]]="","",SUMPRODUCT(COUNTIFS(tblStock[Proveedor],tblProveedores[[#This Row],[Proveedor]],tblStock[Estado],{"INCONSISTENTE","AGOTADO","CRÍTICO","BAJO"})))</f>
        <v/>
      </c>
      <c r="J5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0" spans="2:10" x14ac:dyDescent="0.25">
      <c r="B60" s="41"/>
      <c r="C60" s="42"/>
      <c r="D60" s="41"/>
      <c r="E60" s="42"/>
      <c r="F60" s="41"/>
      <c r="G60" s="48"/>
      <c r="H60" s="43" t="str">
        <f>IF(tblProveedores[[#This Row],[Proveedor]]="","",COUNTIF(tblProductos[Proveedor],tblProveedores[[#This Row],[Proveedor]]))</f>
        <v/>
      </c>
      <c r="I60" s="43" t="str">
        <f>IF(tblProveedores[[#This Row],[Proveedor]]="","",SUMPRODUCT(COUNTIFS(tblStock[Proveedor],tblProveedores[[#This Row],[Proveedor]],tblStock[Estado],{"INCONSISTENTE","AGOTADO","CRÍTICO","BAJO"})))</f>
        <v/>
      </c>
      <c r="J6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1" spans="2:10" x14ac:dyDescent="0.25">
      <c r="B61" s="41"/>
      <c r="C61" s="42"/>
      <c r="D61" s="41"/>
      <c r="E61" s="42"/>
      <c r="F61" s="41"/>
      <c r="G61" s="48"/>
      <c r="H61" s="43" t="str">
        <f>IF(tblProveedores[[#This Row],[Proveedor]]="","",COUNTIF(tblProductos[Proveedor],tblProveedores[[#This Row],[Proveedor]]))</f>
        <v/>
      </c>
      <c r="I61" s="43" t="str">
        <f>IF(tblProveedores[[#This Row],[Proveedor]]="","",SUMPRODUCT(COUNTIFS(tblStock[Proveedor],tblProveedores[[#This Row],[Proveedor]],tblStock[Estado],{"INCONSISTENTE","AGOTADO","CRÍTICO","BAJO"})))</f>
        <v/>
      </c>
      <c r="J6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2" spans="2:10" x14ac:dyDescent="0.25">
      <c r="B62" s="41"/>
      <c r="C62" s="42"/>
      <c r="D62" s="41"/>
      <c r="E62" s="42"/>
      <c r="F62" s="41"/>
      <c r="G62" s="48"/>
      <c r="H62" s="43" t="str">
        <f>IF(tblProveedores[[#This Row],[Proveedor]]="","",COUNTIF(tblProductos[Proveedor],tblProveedores[[#This Row],[Proveedor]]))</f>
        <v/>
      </c>
      <c r="I62" s="43" t="str">
        <f>IF(tblProveedores[[#This Row],[Proveedor]]="","",SUMPRODUCT(COUNTIFS(tblStock[Proveedor],tblProveedores[[#This Row],[Proveedor]],tblStock[Estado],{"INCONSISTENTE","AGOTADO","CRÍTICO","BAJO"})))</f>
        <v/>
      </c>
      <c r="J6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3" spans="2:10" x14ac:dyDescent="0.25">
      <c r="B63" s="41"/>
      <c r="C63" s="42"/>
      <c r="D63" s="41"/>
      <c r="E63" s="42"/>
      <c r="F63" s="41"/>
      <c r="G63" s="48"/>
      <c r="H63" s="43" t="str">
        <f>IF(tblProveedores[[#This Row],[Proveedor]]="","",COUNTIF(tblProductos[Proveedor],tblProveedores[[#This Row],[Proveedor]]))</f>
        <v/>
      </c>
      <c r="I63" s="43" t="str">
        <f>IF(tblProveedores[[#This Row],[Proveedor]]="","",SUMPRODUCT(COUNTIFS(tblStock[Proveedor],tblProveedores[[#This Row],[Proveedor]],tblStock[Estado],{"INCONSISTENTE","AGOTADO","CRÍTICO","BAJO"})))</f>
        <v/>
      </c>
      <c r="J6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4" spans="2:10" x14ac:dyDescent="0.25">
      <c r="B64" s="41"/>
      <c r="C64" s="42"/>
      <c r="D64" s="41"/>
      <c r="E64" s="42"/>
      <c r="F64" s="41"/>
      <c r="G64" s="48"/>
      <c r="H64" s="43" t="str">
        <f>IF(tblProveedores[[#This Row],[Proveedor]]="","",COUNTIF(tblProductos[Proveedor],tblProveedores[[#This Row],[Proveedor]]))</f>
        <v/>
      </c>
      <c r="I64" s="43" t="str">
        <f>IF(tblProveedores[[#This Row],[Proveedor]]="","",SUMPRODUCT(COUNTIFS(tblStock[Proveedor],tblProveedores[[#This Row],[Proveedor]],tblStock[Estado],{"INCONSISTENTE","AGOTADO","CRÍTICO","BAJO"})))</f>
        <v/>
      </c>
      <c r="J6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5" spans="2:10" x14ac:dyDescent="0.25">
      <c r="B65" s="41"/>
      <c r="C65" s="42"/>
      <c r="D65" s="41"/>
      <c r="E65" s="42"/>
      <c r="F65" s="41"/>
      <c r="G65" s="48"/>
      <c r="H65" s="43" t="str">
        <f>IF(tblProveedores[[#This Row],[Proveedor]]="","",COUNTIF(tblProductos[Proveedor],tblProveedores[[#This Row],[Proveedor]]))</f>
        <v/>
      </c>
      <c r="I65" s="43" t="str">
        <f>IF(tblProveedores[[#This Row],[Proveedor]]="","",SUMPRODUCT(COUNTIFS(tblStock[Proveedor],tblProveedores[[#This Row],[Proveedor]],tblStock[Estado],{"INCONSISTENTE","AGOTADO","CRÍTICO","BAJO"})))</f>
        <v/>
      </c>
      <c r="J6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6" spans="2:10" x14ac:dyDescent="0.25">
      <c r="B66" s="41"/>
      <c r="C66" s="42"/>
      <c r="D66" s="41"/>
      <c r="E66" s="42"/>
      <c r="F66" s="41"/>
      <c r="G66" s="48"/>
      <c r="H66" s="43" t="str">
        <f>IF(tblProveedores[[#This Row],[Proveedor]]="","",COUNTIF(tblProductos[Proveedor],tblProveedores[[#This Row],[Proveedor]]))</f>
        <v/>
      </c>
      <c r="I66" s="43" t="str">
        <f>IF(tblProveedores[[#This Row],[Proveedor]]="","",SUMPRODUCT(COUNTIFS(tblStock[Proveedor],tblProveedores[[#This Row],[Proveedor]],tblStock[Estado],{"INCONSISTENTE","AGOTADO","CRÍTICO","BAJO"})))</f>
        <v/>
      </c>
      <c r="J6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7" spans="2:10" x14ac:dyDescent="0.25">
      <c r="B67" s="41"/>
      <c r="C67" s="42"/>
      <c r="D67" s="41"/>
      <c r="E67" s="42"/>
      <c r="F67" s="41"/>
      <c r="G67" s="48"/>
      <c r="H67" s="43" t="str">
        <f>IF(tblProveedores[[#This Row],[Proveedor]]="","",COUNTIF(tblProductos[Proveedor],tblProveedores[[#This Row],[Proveedor]]))</f>
        <v/>
      </c>
      <c r="I67" s="43" t="str">
        <f>IF(tblProveedores[[#This Row],[Proveedor]]="","",SUMPRODUCT(COUNTIFS(tblStock[Proveedor],tblProveedores[[#This Row],[Proveedor]],tblStock[Estado],{"INCONSISTENTE","AGOTADO","CRÍTICO","BAJO"})))</f>
        <v/>
      </c>
      <c r="J6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8" spans="2:10" x14ac:dyDescent="0.25">
      <c r="B68" s="41"/>
      <c r="C68" s="42"/>
      <c r="D68" s="41"/>
      <c r="E68" s="42"/>
      <c r="F68" s="41"/>
      <c r="G68" s="48"/>
      <c r="H68" s="43" t="str">
        <f>IF(tblProveedores[[#This Row],[Proveedor]]="","",COUNTIF(tblProductos[Proveedor],tblProveedores[[#This Row],[Proveedor]]))</f>
        <v/>
      </c>
      <c r="I68" s="43" t="str">
        <f>IF(tblProveedores[[#This Row],[Proveedor]]="","",SUMPRODUCT(COUNTIFS(tblStock[Proveedor],tblProveedores[[#This Row],[Proveedor]],tblStock[Estado],{"INCONSISTENTE","AGOTADO","CRÍTICO","BAJO"})))</f>
        <v/>
      </c>
      <c r="J6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9" spans="2:10" x14ac:dyDescent="0.25">
      <c r="B69" s="41"/>
      <c r="C69" s="42"/>
      <c r="D69" s="41"/>
      <c r="E69" s="42"/>
      <c r="F69" s="41"/>
      <c r="G69" s="48"/>
      <c r="H69" s="43" t="str">
        <f>IF(tblProveedores[[#This Row],[Proveedor]]="","",COUNTIF(tblProductos[Proveedor],tblProveedores[[#This Row],[Proveedor]]))</f>
        <v/>
      </c>
      <c r="I69" s="43" t="str">
        <f>IF(tblProveedores[[#This Row],[Proveedor]]="","",SUMPRODUCT(COUNTIFS(tblStock[Proveedor],tblProveedores[[#This Row],[Proveedor]],tblStock[Estado],{"INCONSISTENTE","AGOTADO","CRÍTICO","BAJO"})))</f>
        <v/>
      </c>
      <c r="J6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0" spans="2:10" x14ac:dyDescent="0.25">
      <c r="B70" s="41"/>
      <c r="C70" s="42"/>
      <c r="D70" s="41"/>
      <c r="E70" s="42"/>
      <c r="F70" s="41"/>
      <c r="G70" s="48"/>
      <c r="H70" s="43" t="str">
        <f>IF(tblProveedores[[#This Row],[Proveedor]]="","",COUNTIF(tblProductos[Proveedor],tblProveedores[[#This Row],[Proveedor]]))</f>
        <v/>
      </c>
      <c r="I70" s="43" t="str">
        <f>IF(tblProveedores[[#This Row],[Proveedor]]="","",SUMPRODUCT(COUNTIFS(tblStock[Proveedor],tblProveedores[[#This Row],[Proveedor]],tblStock[Estado],{"INCONSISTENTE","AGOTADO","CRÍTICO","BAJO"})))</f>
        <v/>
      </c>
      <c r="J7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1" spans="2:10" x14ac:dyDescent="0.25">
      <c r="B71" s="41"/>
      <c r="C71" s="42"/>
      <c r="D71" s="41"/>
      <c r="E71" s="42"/>
      <c r="F71" s="41"/>
      <c r="G71" s="48"/>
      <c r="H71" s="43" t="str">
        <f>IF(tblProveedores[[#This Row],[Proveedor]]="","",COUNTIF(tblProductos[Proveedor],tblProveedores[[#This Row],[Proveedor]]))</f>
        <v/>
      </c>
      <c r="I71" s="43" t="str">
        <f>IF(tblProveedores[[#This Row],[Proveedor]]="","",SUMPRODUCT(COUNTIFS(tblStock[Proveedor],tblProveedores[[#This Row],[Proveedor]],tblStock[Estado],{"INCONSISTENTE","AGOTADO","CRÍTICO","BAJO"})))</f>
        <v/>
      </c>
      <c r="J7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2" spans="2:10" x14ac:dyDescent="0.25">
      <c r="B72" s="41"/>
      <c r="C72" s="42"/>
      <c r="D72" s="41"/>
      <c r="E72" s="42"/>
      <c r="F72" s="41"/>
      <c r="G72" s="48"/>
      <c r="H72" s="43" t="str">
        <f>IF(tblProveedores[[#This Row],[Proveedor]]="","",COUNTIF(tblProductos[Proveedor],tblProveedores[[#This Row],[Proveedor]]))</f>
        <v/>
      </c>
      <c r="I72" s="43" t="str">
        <f>IF(tblProveedores[[#This Row],[Proveedor]]="","",SUMPRODUCT(COUNTIFS(tblStock[Proveedor],tblProveedores[[#This Row],[Proveedor]],tblStock[Estado],{"INCONSISTENTE","AGOTADO","CRÍTICO","BAJO"})))</f>
        <v/>
      </c>
      <c r="J7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3" spans="2:10" x14ac:dyDescent="0.25">
      <c r="B73" s="41"/>
      <c r="C73" s="42"/>
      <c r="D73" s="41"/>
      <c r="E73" s="42"/>
      <c r="F73" s="41"/>
      <c r="G73" s="48"/>
      <c r="H73" s="43" t="str">
        <f>IF(tblProveedores[[#This Row],[Proveedor]]="","",COUNTIF(tblProductos[Proveedor],tblProveedores[[#This Row],[Proveedor]]))</f>
        <v/>
      </c>
      <c r="I73" s="43" t="str">
        <f>IF(tblProveedores[[#This Row],[Proveedor]]="","",SUMPRODUCT(COUNTIFS(tblStock[Proveedor],tblProveedores[[#This Row],[Proveedor]],tblStock[Estado],{"INCONSISTENTE","AGOTADO","CRÍTICO","BAJO"})))</f>
        <v/>
      </c>
      <c r="J7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4" spans="2:10" x14ac:dyDescent="0.25">
      <c r="B74" s="41"/>
      <c r="C74" s="42"/>
      <c r="D74" s="41"/>
      <c r="E74" s="42"/>
      <c r="F74" s="41"/>
      <c r="G74" s="48"/>
      <c r="H74" s="43" t="str">
        <f>IF(tblProveedores[[#This Row],[Proveedor]]="","",COUNTIF(tblProductos[Proveedor],tblProveedores[[#This Row],[Proveedor]]))</f>
        <v/>
      </c>
      <c r="I74" s="43" t="str">
        <f>IF(tblProveedores[[#This Row],[Proveedor]]="","",SUMPRODUCT(COUNTIFS(tblStock[Proveedor],tblProveedores[[#This Row],[Proveedor]],tblStock[Estado],{"INCONSISTENTE","AGOTADO","CRÍTICO","BAJO"})))</f>
        <v/>
      </c>
      <c r="J7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5" spans="2:10" x14ac:dyDescent="0.25">
      <c r="B75" s="41"/>
      <c r="C75" s="42"/>
      <c r="D75" s="41"/>
      <c r="E75" s="42"/>
      <c r="F75" s="41"/>
      <c r="G75" s="48"/>
      <c r="H75" s="43" t="str">
        <f>IF(tblProveedores[[#This Row],[Proveedor]]="","",COUNTIF(tblProductos[Proveedor],tblProveedores[[#This Row],[Proveedor]]))</f>
        <v/>
      </c>
      <c r="I75" s="43" t="str">
        <f>IF(tblProveedores[[#This Row],[Proveedor]]="","",SUMPRODUCT(COUNTIFS(tblStock[Proveedor],tblProveedores[[#This Row],[Proveedor]],tblStock[Estado],{"INCONSISTENTE","AGOTADO","CRÍTICO","BAJO"})))</f>
        <v/>
      </c>
      <c r="J7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6" spans="2:10" x14ac:dyDescent="0.25">
      <c r="B76" s="41"/>
      <c r="C76" s="42"/>
      <c r="D76" s="41"/>
      <c r="E76" s="42"/>
      <c r="F76" s="41"/>
      <c r="G76" s="48"/>
      <c r="H76" s="43" t="str">
        <f>IF(tblProveedores[[#This Row],[Proveedor]]="","",COUNTIF(tblProductos[Proveedor],tblProveedores[[#This Row],[Proveedor]]))</f>
        <v/>
      </c>
      <c r="I76" s="43" t="str">
        <f>IF(tblProveedores[[#This Row],[Proveedor]]="","",SUMPRODUCT(COUNTIFS(tblStock[Proveedor],tblProveedores[[#This Row],[Proveedor]],tblStock[Estado],{"INCONSISTENTE","AGOTADO","CRÍTICO","BAJO"})))</f>
        <v/>
      </c>
      <c r="J7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7" spans="2:10" x14ac:dyDescent="0.25">
      <c r="B77" s="41"/>
      <c r="C77" s="42"/>
      <c r="D77" s="41"/>
      <c r="E77" s="42"/>
      <c r="F77" s="41"/>
      <c r="G77" s="48"/>
      <c r="H77" s="43" t="str">
        <f>IF(tblProveedores[[#This Row],[Proveedor]]="","",COUNTIF(tblProductos[Proveedor],tblProveedores[[#This Row],[Proveedor]]))</f>
        <v/>
      </c>
      <c r="I77" s="43" t="str">
        <f>IF(tblProveedores[[#This Row],[Proveedor]]="","",SUMPRODUCT(COUNTIFS(tblStock[Proveedor],tblProveedores[[#This Row],[Proveedor]],tblStock[Estado],{"INCONSISTENTE","AGOTADO","CRÍTICO","BAJO"})))</f>
        <v/>
      </c>
      <c r="J7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8" spans="2:10" x14ac:dyDescent="0.25">
      <c r="B78" s="41"/>
      <c r="C78" s="42"/>
      <c r="D78" s="41"/>
      <c r="E78" s="42"/>
      <c r="F78" s="41"/>
      <c r="G78" s="48"/>
      <c r="H78" s="43" t="str">
        <f>IF(tblProveedores[[#This Row],[Proveedor]]="","",COUNTIF(tblProductos[Proveedor],tblProveedores[[#This Row],[Proveedor]]))</f>
        <v/>
      </c>
      <c r="I78" s="43" t="str">
        <f>IF(tblProveedores[[#This Row],[Proveedor]]="","",SUMPRODUCT(COUNTIFS(tblStock[Proveedor],tblProveedores[[#This Row],[Proveedor]],tblStock[Estado],{"INCONSISTENTE","AGOTADO","CRÍTICO","BAJO"})))</f>
        <v/>
      </c>
      <c r="J7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9" spans="2:10" x14ac:dyDescent="0.25">
      <c r="B79" s="41"/>
      <c r="C79" s="42"/>
      <c r="D79" s="41"/>
      <c r="E79" s="42"/>
      <c r="F79" s="41"/>
      <c r="G79" s="48"/>
      <c r="H79" s="43" t="str">
        <f>IF(tblProveedores[[#This Row],[Proveedor]]="","",COUNTIF(tblProductos[Proveedor],tblProveedores[[#This Row],[Proveedor]]))</f>
        <v/>
      </c>
      <c r="I79" s="43" t="str">
        <f>IF(tblProveedores[[#This Row],[Proveedor]]="","",SUMPRODUCT(COUNTIFS(tblStock[Proveedor],tblProveedores[[#This Row],[Proveedor]],tblStock[Estado],{"INCONSISTENTE","AGOTADO","CRÍTICO","BAJO"})))</f>
        <v/>
      </c>
      <c r="J7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0" spans="2:10" x14ac:dyDescent="0.25">
      <c r="B80" s="41"/>
      <c r="C80" s="42"/>
      <c r="D80" s="41"/>
      <c r="E80" s="42"/>
      <c r="F80" s="41"/>
      <c r="G80" s="48"/>
      <c r="H80" s="43" t="str">
        <f>IF(tblProveedores[[#This Row],[Proveedor]]="","",COUNTIF(tblProductos[Proveedor],tblProveedores[[#This Row],[Proveedor]]))</f>
        <v/>
      </c>
      <c r="I80" s="43" t="str">
        <f>IF(tblProveedores[[#This Row],[Proveedor]]="","",SUMPRODUCT(COUNTIFS(tblStock[Proveedor],tblProveedores[[#This Row],[Proveedor]],tblStock[Estado],{"INCONSISTENTE","AGOTADO","CRÍTICO","BAJO"})))</f>
        <v/>
      </c>
      <c r="J8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1" spans="2:10" x14ac:dyDescent="0.25">
      <c r="B81" s="41"/>
      <c r="C81" s="42"/>
      <c r="D81" s="41"/>
      <c r="E81" s="42"/>
      <c r="F81" s="41"/>
      <c r="G81" s="48"/>
      <c r="H81" s="43" t="str">
        <f>IF(tblProveedores[[#This Row],[Proveedor]]="","",COUNTIF(tblProductos[Proveedor],tblProveedores[[#This Row],[Proveedor]]))</f>
        <v/>
      </c>
      <c r="I81" s="43" t="str">
        <f>IF(tblProveedores[[#This Row],[Proveedor]]="","",SUMPRODUCT(COUNTIFS(tblStock[Proveedor],tblProveedores[[#This Row],[Proveedor]],tblStock[Estado],{"INCONSISTENTE","AGOTADO","CRÍTICO","BAJO"})))</f>
        <v/>
      </c>
      <c r="J8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2" spans="2:10" x14ac:dyDescent="0.25">
      <c r="B82" s="41"/>
      <c r="C82" s="42"/>
      <c r="D82" s="41"/>
      <c r="E82" s="42"/>
      <c r="F82" s="41"/>
      <c r="G82" s="48"/>
      <c r="H82" s="43" t="str">
        <f>IF(tblProveedores[[#This Row],[Proveedor]]="","",COUNTIF(tblProductos[Proveedor],tblProveedores[[#This Row],[Proveedor]]))</f>
        <v/>
      </c>
      <c r="I82" s="43" t="str">
        <f>IF(tblProveedores[[#This Row],[Proveedor]]="","",SUMPRODUCT(COUNTIFS(tblStock[Proveedor],tblProveedores[[#This Row],[Proveedor]],tblStock[Estado],{"INCONSISTENTE","AGOTADO","CRÍTICO","BAJO"})))</f>
        <v/>
      </c>
      <c r="J8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3" spans="2:10" x14ac:dyDescent="0.25">
      <c r="B83" s="41"/>
      <c r="C83" s="42"/>
      <c r="D83" s="41"/>
      <c r="E83" s="42"/>
      <c r="F83" s="41"/>
      <c r="G83" s="48"/>
      <c r="H83" s="43" t="str">
        <f>IF(tblProveedores[[#This Row],[Proveedor]]="","",COUNTIF(tblProductos[Proveedor],tblProveedores[[#This Row],[Proveedor]]))</f>
        <v/>
      </c>
      <c r="I83" s="43" t="str">
        <f>IF(tblProveedores[[#This Row],[Proveedor]]="","",SUMPRODUCT(COUNTIFS(tblStock[Proveedor],tblProveedores[[#This Row],[Proveedor]],tblStock[Estado],{"INCONSISTENTE","AGOTADO","CRÍTICO","BAJO"})))</f>
        <v/>
      </c>
      <c r="J8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4" spans="2:10" x14ac:dyDescent="0.25">
      <c r="B84" s="41"/>
      <c r="C84" s="42"/>
      <c r="D84" s="41"/>
      <c r="E84" s="42"/>
      <c r="F84" s="41"/>
      <c r="G84" s="48"/>
      <c r="H84" s="43" t="str">
        <f>IF(tblProveedores[[#This Row],[Proveedor]]="","",COUNTIF(tblProductos[Proveedor],tblProveedores[[#This Row],[Proveedor]]))</f>
        <v/>
      </c>
      <c r="I84" s="43" t="str">
        <f>IF(tblProveedores[[#This Row],[Proveedor]]="","",SUMPRODUCT(COUNTIFS(tblStock[Proveedor],tblProveedores[[#This Row],[Proveedor]],tblStock[Estado],{"INCONSISTENTE","AGOTADO","CRÍTICO","BAJO"})))</f>
        <v/>
      </c>
      <c r="J8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5" spans="2:10" x14ac:dyDescent="0.25">
      <c r="B85" s="41"/>
      <c r="C85" s="42"/>
      <c r="D85" s="41"/>
      <c r="E85" s="42"/>
      <c r="F85" s="41"/>
      <c r="G85" s="48"/>
      <c r="H85" s="43" t="str">
        <f>IF(tblProveedores[[#This Row],[Proveedor]]="","",COUNTIF(tblProductos[Proveedor],tblProveedores[[#This Row],[Proveedor]]))</f>
        <v/>
      </c>
      <c r="I85" s="43" t="str">
        <f>IF(tblProveedores[[#This Row],[Proveedor]]="","",SUMPRODUCT(COUNTIFS(tblStock[Proveedor],tblProveedores[[#This Row],[Proveedor]],tblStock[Estado],{"INCONSISTENTE","AGOTADO","CRÍTICO","BAJO"})))</f>
        <v/>
      </c>
      <c r="J8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6" spans="2:10" x14ac:dyDescent="0.25">
      <c r="B86" s="41"/>
      <c r="C86" s="42"/>
      <c r="D86" s="41"/>
      <c r="E86" s="42"/>
      <c r="F86" s="41"/>
      <c r="G86" s="48"/>
      <c r="H86" s="43" t="str">
        <f>IF(tblProveedores[[#This Row],[Proveedor]]="","",COUNTIF(tblProductos[Proveedor],tblProveedores[[#This Row],[Proveedor]]))</f>
        <v/>
      </c>
      <c r="I86" s="43" t="str">
        <f>IF(tblProveedores[[#This Row],[Proveedor]]="","",SUMPRODUCT(COUNTIFS(tblStock[Proveedor],tblProveedores[[#This Row],[Proveedor]],tblStock[Estado],{"INCONSISTENTE","AGOTADO","CRÍTICO","BAJO"})))</f>
        <v/>
      </c>
      <c r="J8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7" spans="2:10" x14ac:dyDescent="0.25">
      <c r="B87" s="41"/>
      <c r="C87" s="42"/>
      <c r="D87" s="41"/>
      <c r="E87" s="42"/>
      <c r="F87" s="41"/>
      <c r="G87" s="48"/>
      <c r="H87" s="43" t="str">
        <f>IF(tblProveedores[[#This Row],[Proveedor]]="","",COUNTIF(tblProductos[Proveedor],tblProveedores[[#This Row],[Proveedor]]))</f>
        <v/>
      </c>
      <c r="I87" s="43" t="str">
        <f>IF(tblProveedores[[#This Row],[Proveedor]]="","",SUMPRODUCT(COUNTIFS(tblStock[Proveedor],tblProveedores[[#This Row],[Proveedor]],tblStock[Estado],{"INCONSISTENTE","AGOTADO","CRÍTICO","BAJO"})))</f>
        <v/>
      </c>
      <c r="J8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8" spans="2:10" x14ac:dyDescent="0.25">
      <c r="B88" s="41"/>
      <c r="C88" s="42"/>
      <c r="D88" s="41"/>
      <c r="E88" s="42"/>
      <c r="F88" s="41"/>
      <c r="G88" s="48"/>
      <c r="H88" s="43" t="str">
        <f>IF(tblProveedores[[#This Row],[Proveedor]]="","",COUNTIF(tblProductos[Proveedor],tblProveedores[[#This Row],[Proveedor]]))</f>
        <v/>
      </c>
      <c r="I88" s="43" t="str">
        <f>IF(tblProveedores[[#This Row],[Proveedor]]="","",SUMPRODUCT(COUNTIFS(tblStock[Proveedor],tblProveedores[[#This Row],[Proveedor]],tblStock[Estado],{"INCONSISTENTE","AGOTADO","CRÍTICO","BAJO"})))</f>
        <v/>
      </c>
      <c r="J8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9" spans="2:10" x14ac:dyDescent="0.25">
      <c r="B89" s="41"/>
      <c r="C89" s="42"/>
      <c r="D89" s="41"/>
      <c r="E89" s="42"/>
      <c r="F89" s="41"/>
      <c r="G89" s="48"/>
      <c r="H89" s="43" t="str">
        <f>IF(tblProveedores[[#This Row],[Proveedor]]="","",COUNTIF(tblProductos[Proveedor],tblProveedores[[#This Row],[Proveedor]]))</f>
        <v/>
      </c>
      <c r="I89" s="43" t="str">
        <f>IF(tblProveedores[[#This Row],[Proveedor]]="","",SUMPRODUCT(COUNTIFS(tblStock[Proveedor],tblProveedores[[#This Row],[Proveedor]],tblStock[Estado],{"INCONSISTENTE","AGOTADO","CRÍTICO","BAJO"})))</f>
        <v/>
      </c>
      <c r="J8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0" spans="2:10" x14ac:dyDescent="0.25">
      <c r="B90" s="41"/>
      <c r="C90" s="42"/>
      <c r="D90" s="41"/>
      <c r="E90" s="42"/>
      <c r="F90" s="41"/>
      <c r="G90" s="48"/>
      <c r="H90" s="43" t="str">
        <f>IF(tblProveedores[[#This Row],[Proveedor]]="","",COUNTIF(tblProductos[Proveedor],tblProveedores[[#This Row],[Proveedor]]))</f>
        <v/>
      </c>
      <c r="I90" s="43" t="str">
        <f>IF(tblProveedores[[#This Row],[Proveedor]]="","",SUMPRODUCT(COUNTIFS(tblStock[Proveedor],tblProveedores[[#This Row],[Proveedor]],tblStock[Estado],{"INCONSISTENTE","AGOTADO","CRÍTICO","BAJO"})))</f>
        <v/>
      </c>
      <c r="J9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1" spans="2:10" x14ac:dyDescent="0.25">
      <c r="B91" s="41"/>
      <c r="C91" s="42"/>
      <c r="D91" s="41"/>
      <c r="E91" s="42"/>
      <c r="F91" s="41"/>
      <c r="G91" s="48"/>
      <c r="H91" s="43" t="str">
        <f>IF(tblProveedores[[#This Row],[Proveedor]]="","",COUNTIF(tblProductos[Proveedor],tblProveedores[[#This Row],[Proveedor]]))</f>
        <v/>
      </c>
      <c r="I91" s="43" t="str">
        <f>IF(tblProveedores[[#This Row],[Proveedor]]="","",SUMPRODUCT(COUNTIFS(tblStock[Proveedor],tblProveedores[[#This Row],[Proveedor]],tblStock[Estado],{"INCONSISTENTE","AGOTADO","CRÍTICO","BAJO"})))</f>
        <v/>
      </c>
      <c r="J9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2" spans="2:10" x14ac:dyDescent="0.25">
      <c r="B92" s="41"/>
      <c r="C92" s="42"/>
      <c r="D92" s="41"/>
      <c r="E92" s="42"/>
      <c r="F92" s="41"/>
      <c r="G92" s="48"/>
      <c r="H92" s="43" t="str">
        <f>IF(tblProveedores[[#This Row],[Proveedor]]="","",COUNTIF(tblProductos[Proveedor],tblProveedores[[#This Row],[Proveedor]]))</f>
        <v/>
      </c>
      <c r="I92" s="43" t="str">
        <f>IF(tblProveedores[[#This Row],[Proveedor]]="","",SUMPRODUCT(COUNTIFS(tblStock[Proveedor],tblProveedores[[#This Row],[Proveedor]],tblStock[Estado],{"INCONSISTENTE","AGOTADO","CRÍTICO","BAJO"})))</f>
        <v/>
      </c>
      <c r="J9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3" spans="2:10" x14ac:dyDescent="0.25">
      <c r="B93" s="41"/>
      <c r="C93" s="42"/>
      <c r="D93" s="41"/>
      <c r="E93" s="42"/>
      <c r="F93" s="41"/>
      <c r="G93" s="48"/>
      <c r="H93" s="43" t="str">
        <f>IF(tblProveedores[[#This Row],[Proveedor]]="","",COUNTIF(tblProductos[Proveedor],tblProveedores[[#This Row],[Proveedor]]))</f>
        <v/>
      </c>
      <c r="I93" s="43" t="str">
        <f>IF(tblProveedores[[#This Row],[Proveedor]]="","",SUMPRODUCT(COUNTIFS(tblStock[Proveedor],tblProveedores[[#This Row],[Proveedor]],tblStock[Estado],{"INCONSISTENTE","AGOTADO","CRÍTICO","BAJO"})))</f>
        <v/>
      </c>
      <c r="J9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4" spans="2:10" x14ac:dyDescent="0.25">
      <c r="B94" s="41"/>
      <c r="C94" s="42"/>
      <c r="D94" s="41"/>
      <c r="E94" s="42"/>
      <c r="F94" s="41"/>
      <c r="G94" s="48"/>
      <c r="H94" s="43" t="str">
        <f>IF(tblProveedores[[#This Row],[Proveedor]]="","",COUNTIF(tblProductos[Proveedor],tblProveedores[[#This Row],[Proveedor]]))</f>
        <v/>
      </c>
      <c r="I94" s="43" t="str">
        <f>IF(tblProveedores[[#This Row],[Proveedor]]="","",SUMPRODUCT(COUNTIFS(tblStock[Proveedor],tblProveedores[[#This Row],[Proveedor]],tblStock[Estado],{"INCONSISTENTE","AGOTADO","CRÍTICO","BAJO"})))</f>
        <v/>
      </c>
      <c r="J9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5" spans="2:10" x14ac:dyDescent="0.25">
      <c r="B95" s="41"/>
      <c r="C95" s="42"/>
      <c r="D95" s="41"/>
      <c r="E95" s="42"/>
      <c r="F95" s="41"/>
      <c r="G95" s="48"/>
      <c r="H95" s="43" t="str">
        <f>IF(tblProveedores[[#This Row],[Proveedor]]="","",COUNTIF(tblProductos[Proveedor],tblProveedores[[#This Row],[Proveedor]]))</f>
        <v/>
      </c>
      <c r="I95" s="43" t="str">
        <f>IF(tblProveedores[[#This Row],[Proveedor]]="","",SUMPRODUCT(COUNTIFS(tblStock[Proveedor],tblProveedores[[#This Row],[Proveedor]],tblStock[Estado],{"INCONSISTENTE","AGOTADO","CRÍTICO","BAJO"})))</f>
        <v/>
      </c>
      <c r="J9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6" spans="2:10" x14ac:dyDescent="0.25">
      <c r="B96" s="41"/>
      <c r="C96" s="42"/>
      <c r="D96" s="41"/>
      <c r="E96" s="42"/>
      <c r="F96" s="41"/>
      <c r="G96" s="48"/>
      <c r="H96" s="43" t="str">
        <f>IF(tblProveedores[[#This Row],[Proveedor]]="","",COUNTIF(tblProductos[Proveedor],tblProveedores[[#This Row],[Proveedor]]))</f>
        <v/>
      </c>
      <c r="I96" s="43" t="str">
        <f>IF(tblProveedores[[#This Row],[Proveedor]]="","",SUMPRODUCT(COUNTIFS(tblStock[Proveedor],tblProveedores[[#This Row],[Proveedor]],tblStock[Estado],{"INCONSISTENTE","AGOTADO","CRÍTICO","BAJO"})))</f>
        <v/>
      </c>
      <c r="J9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7" spans="2:10" x14ac:dyDescent="0.25">
      <c r="B97" s="41"/>
      <c r="C97" s="42"/>
      <c r="D97" s="41"/>
      <c r="E97" s="42"/>
      <c r="F97" s="41"/>
      <c r="G97" s="48"/>
      <c r="H97" s="43" t="str">
        <f>IF(tblProveedores[[#This Row],[Proveedor]]="","",COUNTIF(tblProductos[Proveedor],tblProveedores[[#This Row],[Proveedor]]))</f>
        <v/>
      </c>
      <c r="I97" s="43" t="str">
        <f>IF(tblProveedores[[#This Row],[Proveedor]]="","",SUMPRODUCT(COUNTIFS(tblStock[Proveedor],tblProveedores[[#This Row],[Proveedor]],tblStock[Estado],{"INCONSISTENTE","AGOTADO","CRÍTICO","BAJO"})))</f>
        <v/>
      </c>
      <c r="J9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8" spans="2:10" x14ac:dyDescent="0.25">
      <c r="B98" s="41"/>
      <c r="C98" s="42"/>
      <c r="D98" s="41"/>
      <c r="E98" s="42"/>
      <c r="F98" s="41"/>
      <c r="G98" s="48"/>
      <c r="H98" s="43" t="str">
        <f>IF(tblProveedores[[#This Row],[Proveedor]]="","",COUNTIF(tblProductos[Proveedor],tblProveedores[[#This Row],[Proveedor]]))</f>
        <v/>
      </c>
      <c r="I98" s="43" t="str">
        <f>IF(tblProveedores[[#This Row],[Proveedor]]="","",SUMPRODUCT(COUNTIFS(tblStock[Proveedor],tblProveedores[[#This Row],[Proveedor]],tblStock[Estado],{"INCONSISTENTE","AGOTADO","CRÍTICO","BAJO"})))</f>
        <v/>
      </c>
      <c r="J98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9" spans="2:10" x14ac:dyDescent="0.25">
      <c r="B99" s="41"/>
      <c r="C99" s="42"/>
      <c r="D99" s="41"/>
      <c r="E99" s="42"/>
      <c r="F99" s="41"/>
      <c r="G99" s="48"/>
      <c r="H99" s="43" t="str">
        <f>IF(tblProveedores[[#This Row],[Proveedor]]="","",COUNTIF(tblProductos[Proveedor],tblProveedores[[#This Row],[Proveedor]]))</f>
        <v/>
      </c>
      <c r="I99" s="43" t="str">
        <f>IF(tblProveedores[[#This Row],[Proveedor]]="","",SUMPRODUCT(COUNTIFS(tblStock[Proveedor],tblProveedores[[#This Row],[Proveedor]],tblStock[Estado],{"INCONSISTENTE","AGOTADO","CRÍTICO","BAJO"})))</f>
        <v/>
      </c>
      <c r="J99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0" spans="2:10" x14ac:dyDescent="0.25">
      <c r="B100" s="41"/>
      <c r="C100" s="42"/>
      <c r="D100" s="41"/>
      <c r="E100" s="42"/>
      <c r="F100" s="41"/>
      <c r="G100" s="48"/>
      <c r="H100" s="43" t="str">
        <f>IF(tblProveedores[[#This Row],[Proveedor]]="","",COUNTIF(tblProductos[Proveedor],tblProveedores[[#This Row],[Proveedor]]))</f>
        <v/>
      </c>
      <c r="I100" s="43" t="str">
        <f>IF(tblProveedores[[#This Row],[Proveedor]]="","",SUMPRODUCT(COUNTIFS(tblStock[Proveedor],tblProveedores[[#This Row],[Proveedor]],tblStock[Estado],{"INCONSISTENTE","AGOTADO","CRÍTICO","BAJO"})))</f>
        <v/>
      </c>
      <c r="J100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1" spans="2:10" x14ac:dyDescent="0.25">
      <c r="B101" s="41"/>
      <c r="C101" s="42"/>
      <c r="D101" s="41"/>
      <c r="E101" s="42"/>
      <c r="F101" s="41"/>
      <c r="G101" s="48"/>
      <c r="H101" s="43" t="str">
        <f>IF(tblProveedores[[#This Row],[Proveedor]]="","",COUNTIF(tblProductos[Proveedor],tblProveedores[[#This Row],[Proveedor]]))</f>
        <v/>
      </c>
      <c r="I101" s="43" t="str">
        <f>IF(tblProveedores[[#This Row],[Proveedor]]="","",SUMPRODUCT(COUNTIFS(tblStock[Proveedor],tblProveedores[[#This Row],[Proveedor]],tblStock[Estado],{"INCONSISTENTE","AGOTADO","CRÍTICO","BAJO"})))</f>
        <v/>
      </c>
      <c r="J101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2" spans="2:10" x14ac:dyDescent="0.25">
      <c r="B102" s="41"/>
      <c r="C102" s="42"/>
      <c r="D102" s="41"/>
      <c r="E102" s="42"/>
      <c r="F102" s="41"/>
      <c r="G102" s="48"/>
      <c r="H102" s="43" t="str">
        <f>IF(tblProveedores[[#This Row],[Proveedor]]="","",COUNTIF(tblProductos[Proveedor],tblProveedores[[#This Row],[Proveedor]]))</f>
        <v/>
      </c>
      <c r="I102" s="43" t="str">
        <f>IF(tblProveedores[[#This Row],[Proveedor]]="","",SUMPRODUCT(COUNTIFS(tblStock[Proveedor],tblProveedores[[#This Row],[Proveedor]],tblStock[Estado],{"INCONSISTENTE","AGOTADO","CRÍTICO","BAJO"})))</f>
        <v/>
      </c>
      <c r="J102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3" spans="2:10" x14ac:dyDescent="0.25">
      <c r="B103" s="41"/>
      <c r="C103" s="42"/>
      <c r="D103" s="41"/>
      <c r="E103" s="42"/>
      <c r="F103" s="41"/>
      <c r="G103" s="48"/>
      <c r="H103" s="43" t="str">
        <f>IF(tblProveedores[[#This Row],[Proveedor]]="","",COUNTIF(tblProductos[Proveedor],tblProveedores[[#This Row],[Proveedor]]))</f>
        <v/>
      </c>
      <c r="I103" s="43" t="str">
        <f>IF(tblProveedores[[#This Row],[Proveedor]]="","",SUMPRODUCT(COUNTIFS(tblStock[Proveedor],tblProveedores[[#This Row],[Proveedor]],tblStock[Estado],{"INCONSISTENTE","AGOTADO","CRÍTICO","BAJO"})))</f>
        <v/>
      </c>
      <c r="J103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4" spans="2:10" x14ac:dyDescent="0.25">
      <c r="B104" s="41"/>
      <c r="C104" s="42"/>
      <c r="D104" s="41"/>
      <c r="E104" s="42"/>
      <c r="F104" s="41"/>
      <c r="G104" s="48"/>
      <c r="H104" s="43" t="str">
        <f>IF(tblProveedores[[#This Row],[Proveedor]]="","",COUNTIF(tblProductos[Proveedor],tblProveedores[[#This Row],[Proveedor]]))</f>
        <v/>
      </c>
      <c r="I104" s="43" t="str">
        <f>IF(tblProveedores[[#This Row],[Proveedor]]="","",SUMPRODUCT(COUNTIFS(tblStock[Proveedor],tblProveedores[[#This Row],[Proveedor]],tblStock[Estado],{"INCONSISTENTE","AGOTADO","CRÍTICO","BAJO"})))</f>
        <v/>
      </c>
      <c r="J104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5" spans="2:10" x14ac:dyDescent="0.25">
      <c r="B105" s="41"/>
      <c r="C105" s="42"/>
      <c r="D105" s="41"/>
      <c r="E105" s="42"/>
      <c r="F105" s="41"/>
      <c r="G105" s="48"/>
      <c r="H105" s="43" t="str">
        <f>IF(tblProveedores[[#This Row],[Proveedor]]="","",COUNTIF(tblProductos[Proveedor],tblProveedores[[#This Row],[Proveedor]]))</f>
        <v/>
      </c>
      <c r="I105" s="43" t="str">
        <f>IF(tblProveedores[[#This Row],[Proveedor]]="","",SUMPRODUCT(COUNTIFS(tblStock[Proveedor],tblProveedores[[#This Row],[Proveedor]],tblStock[Estado],{"INCONSISTENTE","AGOTADO","CRÍTICO","BAJO"})))</f>
        <v/>
      </c>
      <c r="J105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6" spans="2:10" x14ac:dyDescent="0.25">
      <c r="B106" s="41"/>
      <c r="C106" s="42"/>
      <c r="D106" s="41"/>
      <c r="E106" s="42"/>
      <c r="F106" s="41"/>
      <c r="G106" s="48"/>
      <c r="H106" s="43" t="str">
        <f>IF(tblProveedores[[#This Row],[Proveedor]]="","",COUNTIF(tblProductos[Proveedor],tblProveedores[[#This Row],[Proveedor]]))</f>
        <v/>
      </c>
      <c r="I106" s="43" t="str">
        <f>IF(tblProveedores[[#This Row],[Proveedor]]="","",SUMPRODUCT(COUNTIFS(tblStock[Proveedor],tblProveedores[[#This Row],[Proveedor]],tblStock[Estado],{"INCONSISTENTE","AGOTADO","CRÍTICO","BAJO"})))</f>
        <v/>
      </c>
      <c r="J106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7" spans="2:10" x14ac:dyDescent="0.25">
      <c r="B107" s="41"/>
      <c r="C107" s="42"/>
      <c r="D107" s="41"/>
      <c r="E107" s="42"/>
      <c r="F107" s="41"/>
      <c r="G107" s="48"/>
      <c r="H107" s="43" t="str">
        <f>IF(tblProveedores[[#This Row],[Proveedor]]="","",COUNTIF(tblProductos[Proveedor],tblProveedores[[#This Row],[Proveedor]]))</f>
        <v/>
      </c>
      <c r="I107" s="43" t="str">
        <f>IF(tblProveedores[[#This Row],[Proveedor]]="","",SUMPRODUCT(COUNTIFS(tblStock[Proveedor],tblProveedores[[#This Row],[Proveedor]],tblStock[Estado],{"INCONSISTENTE","AGOTADO","CRÍTICO","BAJO"})))</f>
        <v/>
      </c>
      <c r="J107" s="44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</sheetData>
  <sheetProtection password="930D" sheet="1" objects="1" scenarios="1" formatColumns="0" autoFilter="0"/>
  <conditionalFormatting sqref="B8:G107">
    <cfRule type="expression" dxfId="175" priority="1">
      <formula>AND($B8="",$B7&lt;&gt;"")</formula>
    </cfRule>
  </conditionalFormatting>
  <conditionalFormatting sqref="I8:I107">
    <cfRule type="cellIs" dxfId="174" priority="7" operator="greaterThan">
      <formula>0</formula>
    </cfRule>
  </conditionalFormatting>
  <conditionalFormatting sqref="J8:J107">
    <cfRule type="expression" dxfId="173" priority="2">
      <formula>LEFT($J8,1)="✖"</formula>
    </cfRule>
    <cfRule type="expression" dxfId="172" priority="3">
      <formula>LEFT($J8,1)="⚠"</formula>
    </cfRule>
    <cfRule type="expression" dxfId="171" priority="4">
      <formula>LEFT($J8,1)="✔"</formula>
    </cfRule>
    <cfRule type="expression" dxfId="170" priority="5">
      <formula>LEFT($J8,1)="●"</formula>
    </cfRule>
    <cfRule type="expression" dxfId="169" priority="6">
      <formula>LEFT($J8,1)="○"</formula>
    </cfRule>
  </conditionalFormatting>
  <dataValidations count="15">
    <dataValidation allowBlank="1" showInputMessage="1" showErrorMessage="1" promptTitle="✎ Proveedor" prompt="Razón social o nombre comercial (único). Aparece en el catálogo y en el pedido sugerido." sqref="B7" xr:uid="{00000000-0002-0000-0600-000000000000}"/>
    <dataValidation allowBlank="1" showInputMessage="1" showErrorMessage="1" promptTitle="✎ NIT" prompt="Identificación tributaria (opcional)." sqref="C7" xr:uid="{00000000-0002-0000-0600-000001000000}"/>
    <dataValidation allowBlank="1" showInputMessage="1" showErrorMessage="1" promptTitle="✎ Contacto" prompt="Persona de contacto para pedidos." sqref="D7" xr:uid="{00000000-0002-0000-0600-000002000000}"/>
    <dataValidation allowBlank="1" showInputMessage="1" showErrorMessage="1" promptTitle="✎ Teléfono" prompt="Teléfono o celular del contacto." sqref="E7" xr:uid="{00000000-0002-0000-0600-000003000000}"/>
    <dataValidation allowBlank="1" showInputMessage="1" showErrorMessage="1" promptTitle="✎ Correo" prompt="Correo para enviar el pedido sugerido." sqref="F7" xr:uid="{00000000-0002-0000-0600-000004000000}"/>
    <dataValidation allowBlank="1" showInputMessage="1" showErrorMessage="1" promptTitle="✎ DiasEntrega" prompt="Días que tarda en entregar desde el pedido (lead time). Se usa para la fecha estimada de llegada." sqref="G7" xr:uid="{00000000-0002-0000-0600-000005000000}"/>
    <dataValidation allowBlank="1" showInputMessage="1" showErrorMessage="1" promptTitle="ƒx Productos" prompt="Productos del catálogo asignados a este proveedor." sqref="H7" xr:uid="{00000000-0002-0000-0600-000006000000}"/>
    <dataValidation allowBlank="1" showInputMessage="1" showErrorMessage="1" promptTitle="ƒx EnAlerta" prompt="Productos de este proveedor que requieren reposición." sqref="I7" xr:uid="{00000000-0002-0000-0600-000007000000}"/>
    <dataValidation allowBlank="1" showInputMessage="1" showErrorMessage="1" promptTitle="ƒx Validación" prompt="Control de calidad del registro." sqref="J7" xr:uid="{00000000-0002-0000-0600-000008000000}"/>
    <dataValidation type="custom" allowBlank="1" showInputMessage="1" showErrorMessage="1" errorTitle="Proveedor no válido" error="El nombre debe tener entre 3 y 60 caracteres y no puede repetirse." promptTitle="Proveedor" prompt="Nombre único de 3 a 60 caracteres." sqref="B8:B107" xr:uid="{00000000-0002-0000-0600-000009000000}">
      <formula1>AND(LEN(B8)&gt;=3,LEN(B8)&lt;=60,COUNTIF($B$8:$B$107,B8)=1)</formula1>
    </dataValidation>
    <dataValidation type="textLength" operator="lessThanOrEqual" allowBlank="1" showInputMessage="1" showErrorMessage="1" errorTitle="Texto muy largo" error="Máximo 20 caracteres." promptTitle="NIT" prompt="Máximo 20 caracteres." sqref="C8:C107" xr:uid="{00000000-0002-0000-0600-00000A000000}">
      <formula1>20</formula1>
    </dataValidation>
    <dataValidation type="textLength" operator="lessThanOrEqual" allowBlank="1" showInputMessage="1" showErrorMessage="1" errorTitle="Texto muy largo" error="Máximo 60 caracteres." promptTitle="Contacto" prompt="Máximo 60 caracteres." sqref="D8:D107" xr:uid="{00000000-0002-0000-0600-00000B000000}">
      <formula1>60</formula1>
    </dataValidation>
    <dataValidation type="textLength" operator="lessThanOrEqual" allowBlank="1" showInputMessage="1" showErrorMessage="1" errorTitle="Texto muy largo" error="Máximo 20 caracteres." promptTitle="Teléfono" prompt="Máximo 20 caracteres." sqref="E8:E107" xr:uid="{00000000-0002-0000-0600-00000C000000}">
      <formula1>20</formula1>
    </dataValidation>
    <dataValidation type="custom" allowBlank="1" showInputMessage="1" showErrorMessage="1" errorTitle="Correo no válido" error="Escriba un correo válido, sin espacios." promptTitle="Correo" prompt="Ej: pedidos@proveedor.com" sqref="F8:F107" xr:uid="{00000000-0002-0000-0600-00000D000000}">
      <formula1>AND(ISNUMBER(FIND("@",F8)),ISERROR(FIND(" ",F8)),LEN(F8)&lt;=80)</formula1>
    </dataValidation>
    <dataValidation type="whole" allowBlank="1" showInputMessage="1" showErrorMessage="1" errorTitle="Valor no válido" error="Escriba un número entero entre 0 y 365." promptTitle="Días de entrega" prompt="Número entero de días (0 a 365)." sqref="G8:G107" xr:uid="{00000000-0002-0000-0600-00000E000000}">
      <formula1>0</formula1>
      <formula2>365</formula2>
    </dataValidation>
  </dataValidations>
  <hyperlinks>
    <hyperlink ref="B5" location="'00_PORTADA_BODEGA'!A1" tooltip="Portada de Bodega" display="⌂ Bodega" xr:uid="{00000000-0004-0000-0600-000000000000}"/>
    <hyperlink ref="C5" location="'00_PORTADA_VENTAS'!A1" tooltip="Portada de Ventas" display="⌂ Ventas" xr:uid="{00000000-0004-0000-0600-000001000000}"/>
    <hyperlink ref="D5" location="'00_PORTADA_GERENCIA'!A1" tooltip="Portada de Gerencia: indicadores, pedido y actividad" display="◈ Gerencia" xr:uid="{00000000-0004-0000-0600-000002000000}"/>
    <hyperlink ref="E5" location="'10A_ENTRADAS'!C9" tooltip="Registrar entradas y ajustes (Bodega)" display="⇩ Entradas" xr:uid="{00000000-0004-0000-0600-000003000000}"/>
    <hyperlink ref="F5" location="'10B_SALIDAS'!E9" tooltip="Registrar salidas (Ventas)" display="⇧ Salidas" xr:uid="{00000000-0004-0000-0600-000004000000}"/>
    <hyperlink ref="G5" location="'17_CONSULTA'!C9" tooltip="Consultar un producto en su fila" display="⌕ Consulta" xr:uid="{00000000-0004-0000-0600-000005000000}"/>
    <hyperlink ref="H5" location="'15_STOCK'!A1" tooltip="Stock (instantánea recalculada a demanda)" display="▦ Stock" xr:uid="{00000000-0004-0000-0600-000006000000}"/>
    <hyperlink ref="I5" location="'18_PEDIDO'!A1" tooltip="Pedido sugerido por proveedor" display="✚ Pedido" xr:uid="{00000000-0004-0000-0600-000007000000}"/>
    <hyperlink ref="J5" location="'13_CONTEO'!I9" tooltip="Toma física (conteo) colaborativa" display="✓ Conteo" xr:uid="{00000000-0004-0000-0600-000008000000}"/>
    <hyperlink ref="K5" location="'99_AYUDA'!A1" tooltip="Guía de uso, acceso e instalación" display="? Guía" xr:uid="{00000000-0004-0000-0600-000009000000}"/>
  </hyperlinks>
  <pageMargins left="0.4" right="0.4" top="0.7" bottom="0.6" header="0.3" footer="0.3"/>
  <pageSetup fitToHeight="0" orientation="landscape"/>
  <headerFooter>
    <oddHeader>&amp;L&amp;"Segoe UI,Bold"&amp;9M-INV · Proveedores&amp;R&amp;"Segoe UI,Regular"&amp;8&amp;D</oddHeader>
    <oddFooter>&amp;L&amp;"Segoe UI,Regular"&amp;8Z&amp;&amp;P Software Fast Solutions&amp;R&amp;"Segoe UI,Regular"&amp;8Página &amp;P de &amp;N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E35B1"/>
    <pageSetUpPr fitToPage="1"/>
  </sheetPr>
  <dimension ref="B1:N5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13.140625" customWidth="1"/>
    <col min="3" max="3" width="41.42578125" customWidth="1"/>
    <col min="4" max="4" width="24" customWidth="1"/>
    <col min="5" max="5" width="12" customWidth="1"/>
    <col min="6" max="7" width="13.7109375" customWidth="1"/>
    <col min="8" max="8" width="17.140625" customWidth="1"/>
    <col min="9" max="9" width="30" customWidth="1"/>
    <col min="10" max="10" width="13.7109375" customWidth="1"/>
    <col min="11" max="11" width="9.42578125" customWidth="1"/>
    <col min="12" max="12" width="42.85546875" customWidth="1"/>
    <col min="13" max="13" width="16" customWidth="1"/>
    <col min="14" max="14" width="25.7109375" customWidth="1"/>
    <col min="15" max="15" width="2.28515625" customWidth="1"/>
    <col min="16" max="16" width="0" hidden="1" customWidth="1"/>
  </cols>
  <sheetData>
    <row r="1" spans="2:14" s="1" customFormat="1" ht="4.5" customHeight="1" x14ac:dyDescent="0.25"/>
    <row r="2" spans="2:14" s="1" customFormat="1" ht="22.5" customHeight="1" x14ac:dyDescent="0.25">
      <c r="B2" s="2" t="s">
        <v>112</v>
      </c>
    </row>
    <row r="3" spans="2:14" s="1" customFormat="1" ht="14.25" x14ac:dyDescent="0.25">
      <c r="B3" s="16" t="s">
        <v>113</v>
      </c>
    </row>
    <row r="4" spans="2:14" s="1" customFormat="1" ht="4.5" customHeight="1" x14ac:dyDescent="0.25"/>
    <row r="5" spans="2:14" s="4" customFormat="1" ht="21" customHeight="1" x14ac:dyDescent="0.25">
      <c r="B5" s="6" t="s">
        <v>82</v>
      </c>
      <c r="C5" s="6" t="s">
        <v>83</v>
      </c>
      <c r="D5" s="6" t="s">
        <v>84</v>
      </c>
      <c r="E5" s="6" t="s">
        <v>85</v>
      </c>
      <c r="F5" s="6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128" t="s">
        <v>91</v>
      </c>
      <c r="L5" s="128"/>
    </row>
    <row r="6" spans="2:14" x14ac:dyDescent="0.25">
      <c r="B6" s="46" t="s">
        <v>110</v>
      </c>
      <c r="C6" s="46" t="s">
        <v>110</v>
      </c>
      <c r="D6" s="46" t="s">
        <v>110</v>
      </c>
      <c r="E6" s="46" t="s">
        <v>110</v>
      </c>
      <c r="F6" s="46" t="s">
        <v>110</v>
      </c>
      <c r="G6" s="46" t="s">
        <v>110</v>
      </c>
      <c r="H6" s="46" t="s">
        <v>110</v>
      </c>
      <c r="I6" s="46" t="s">
        <v>110</v>
      </c>
      <c r="J6" s="46" t="s">
        <v>110</v>
      </c>
      <c r="K6" s="46" t="s">
        <v>110</v>
      </c>
      <c r="L6" s="47" t="s">
        <v>111</v>
      </c>
      <c r="M6" s="47" t="s">
        <v>111</v>
      </c>
      <c r="N6" s="47" t="s">
        <v>111</v>
      </c>
    </row>
    <row r="7" spans="2:14" ht="25.5" customHeight="1" x14ac:dyDescent="0.25">
      <c r="B7" s="19" t="s">
        <v>114</v>
      </c>
      <c r="C7" s="19" t="s">
        <v>115</v>
      </c>
      <c r="D7" s="19" t="s">
        <v>116</v>
      </c>
      <c r="E7" s="19" t="s">
        <v>117</v>
      </c>
      <c r="F7" s="19" t="s">
        <v>118</v>
      </c>
      <c r="G7" s="19" t="s">
        <v>119</v>
      </c>
      <c r="H7" s="19" t="s">
        <v>120</v>
      </c>
      <c r="I7" s="19" t="s">
        <v>103</v>
      </c>
      <c r="J7" s="19" t="s">
        <v>121</v>
      </c>
      <c r="K7" s="19" t="s">
        <v>95</v>
      </c>
      <c r="L7" s="18" t="s">
        <v>122</v>
      </c>
      <c r="M7" s="18" t="s">
        <v>123</v>
      </c>
      <c r="N7" s="18" t="s">
        <v>99</v>
      </c>
    </row>
    <row r="8" spans="2:14" x14ac:dyDescent="0.25">
      <c r="B8" s="41"/>
      <c r="C8" s="41"/>
      <c r="D8" s="41"/>
      <c r="E8" s="42"/>
      <c r="F8" s="48"/>
      <c r="G8" s="48"/>
      <c r="H8" s="49"/>
      <c r="I8" s="41"/>
      <c r="J8" s="42"/>
      <c r="K8" s="42"/>
      <c r="L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" s="43" t="str">
        <f>IF(tblProductos[[#This Row],[SKU]]="","",COUNTIF(tblEntradas[SKU],tblProductos[[#This Row],[SKU]])+COUNTIF(tblSalidas[SKU],tblProductos[[#This Row],[SKU]]))</f>
        <v/>
      </c>
      <c r="N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" spans="2:14" x14ac:dyDescent="0.25">
      <c r="B9" s="41"/>
      <c r="C9" s="41"/>
      <c r="D9" s="41"/>
      <c r="E9" s="42"/>
      <c r="F9" s="48"/>
      <c r="G9" s="48"/>
      <c r="H9" s="49"/>
      <c r="I9" s="41"/>
      <c r="J9" s="42"/>
      <c r="K9" s="42"/>
      <c r="L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" s="43" t="str">
        <f>IF(tblProductos[[#This Row],[SKU]]="","",COUNTIF(tblEntradas[SKU],tblProductos[[#This Row],[SKU]])+COUNTIF(tblSalidas[SKU],tblProductos[[#This Row],[SKU]]))</f>
        <v/>
      </c>
      <c r="N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" spans="2:14" x14ac:dyDescent="0.25">
      <c r="B10" s="41"/>
      <c r="C10" s="41"/>
      <c r="D10" s="41"/>
      <c r="E10" s="42"/>
      <c r="F10" s="48"/>
      <c r="G10" s="48"/>
      <c r="H10" s="49"/>
      <c r="I10" s="41"/>
      <c r="J10" s="42"/>
      <c r="K10" s="42"/>
      <c r="L1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" s="43" t="str">
        <f>IF(tblProductos[[#This Row],[SKU]]="","",COUNTIF(tblEntradas[SKU],tblProductos[[#This Row],[SKU]])+COUNTIF(tblSalidas[SKU],tblProductos[[#This Row],[SKU]]))</f>
        <v/>
      </c>
      <c r="N1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" spans="2:14" x14ac:dyDescent="0.25">
      <c r="B11" s="41"/>
      <c r="C11" s="41"/>
      <c r="D11" s="41"/>
      <c r="E11" s="42"/>
      <c r="F11" s="48"/>
      <c r="G11" s="48"/>
      <c r="H11" s="49"/>
      <c r="I11" s="41"/>
      <c r="J11" s="42"/>
      <c r="K11" s="42"/>
      <c r="L1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" s="43" t="str">
        <f>IF(tblProductos[[#This Row],[SKU]]="","",COUNTIF(tblEntradas[SKU],tblProductos[[#This Row],[SKU]])+COUNTIF(tblSalidas[SKU],tblProductos[[#This Row],[SKU]]))</f>
        <v/>
      </c>
      <c r="N1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" spans="2:14" x14ac:dyDescent="0.25">
      <c r="B12" s="41"/>
      <c r="C12" s="41"/>
      <c r="D12" s="41"/>
      <c r="E12" s="42"/>
      <c r="F12" s="48"/>
      <c r="G12" s="48"/>
      <c r="H12" s="49"/>
      <c r="I12" s="41"/>
      <c r="J12" s="42"/>
      <c r="K12" s="42"/>
      <c r="L1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" s="43" t="str">
        <f>IF(tblProductos[[#This Row],[SKU]]="","",COUNTIF(tblEntradas[SKU],tblProductos[[#This Row],[SKU]])+COUNTIF(tblSalidas[SKU],tblProductos[[#This Row],[SKU]]))</f>
        <v/>
      </c>
      <c r="N1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" spans="2:14" x14ac:dyDescent="0.25">
      <c r="B13" s="41"/>
      <c r="C13" s="41"/>
      <c r="D13" s="41"/>
      <c r="E13" s="42"/>
      <c r="F13" s="48"/>
      <c r="G13" s="48"/>
      <c r="H13" s="49"/>
      <c r="I13" s="41"/>
      <c r="J13" s="42"/>
      <c r="K13" s="42"/>
      <c r="L1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" s="43" t="str">
        <f>IF(tblProductos[[#This Row],[SKU]]="","",COUNTIF(tblEntradas[SKU],tblProductos[[#This Row],[SKU]])+COUNTIF(tblSalidas[SKU],tblProductos[[#This Row],[SKU]]))</f>
        <v/>
      </c>
      <c r="N1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" spans="2:14" x14ac:dyDescent="0.25">
      <c r="B14" s="41"/>
      <c r="C14" s="41"/>
      <c r="D14" s="41"/>
      <c r="E14" s="42"/>
      <c r="F14" s="48"/>
      <c r="G14" s="48"/>
      <c r="H14" s="49"/>
      <c r="I14" s="41"/>
      <c r="J14" s="42"/>
      <c r="K14" s="42"/>
      <c r="L1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" s="43" t="str">
        <f>IF(tblProductos[[#This Row],[SKU]]="","",COUNTIF(tblEntradas[SKU],tblProductos[[#This Row],[SKU]])+COUNTIF(tblSalidas[SKU],tblProductos[[#This Row],[SKU]]))</f>
        <v/>
      </c>
      <c r="N1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" spans="2:14" x14ac:dyDescent="0.25">
      <c r="B15" s="41"/>
      <c r="C15" s="41"/>
      <c r="D15" s="41"/>
      <c r="E15" s="42"/>
      <c r="F15" s="48"/>
      <c r="G15" s="48"/>
      <c r="H15" s="49"/>
      <c r="I15" s="41"/>
      <c r="J15" s="42"/>
      <c r="K15" s="42"/>
      <c r="L1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" s="43" t="str">
        <f>IF(tblProductos[[#This Row],[SKU]]="","",COUNTIF(tblEntradas[SKU],tblProductos[[#This Row],[SKU]])+COUNTIF(tblSalidas[SKU],tblProductos[[#This Row],[SKU]]))</f>
        <v/>
      </c>
      <c r="N1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" spans="2:14" x14ac:dyDescent="0.25">
      <c r="B16" s="41"/>
      <c r="C16" s="41"/>
      <c r="D16" s="41"/>
      <c r="E16" s="42"/>
      <c r="F16" s="48"/>
      <c r="G16" s="48"/>
      <c r="H16" s="49"/>
      <c r="I16" s="41"/>
      <c r="J16" s="42"/>
      <c r="K16" s="42"/>
      <c r="L1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" s="43" t="str">
        <f>IF(tblProductos[[#This Row],[SKU]]="","",COUNTIF(tblEntradas[SKU],tblProductos[[#This Row],[SKU]])+COUNTIF(tblSalidas[SKU],tblProductos[[#This Row],[SKU]]))</f>
        <v/>
      </c>
      <c r="N1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" spans="2:14" x14ac:dyDescent="0.25">
      <c r="B17" s="41"/>
      <c r="C17" s="41"/>
      <c r="D17" s="41"/>
      <c r="E17" s="42"/>
      <c r="F17" s="48"/>
      <c r="G17" s="48"/>
      <c r="H17" s="49"/>
      <c r="I17" s="41"/>
      <c r="J17" s="42"/>
      <c r="K17" s="42"/>
      <c r="L1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" s="43" t="str">
        <f>IF(tblProductos[[#This Row],[SKU]]="","",COUNTIF(tblEntradas[SKU],tblProductos[[#This Row],[SKU]])+COUNTIF(tblSalidas[SKU],tblProductos[[#This Row],[SKU]]))</f>
        <v/>
      </c>
      <c r="N1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" spans="2:14" x14ac:dyDescent="0.25">
      <c r="B18" s="41"/>
      <c r="C18" s="41"/>
      <c r="D18" s="41"/>
      <c r="E18" s="42"/>
      <c r="F18" s="48"/>
      <c r="G18" s="48"/>
      <c r="H18" s="49"/>
      <c r="I18" s="41"/>
      <c r="J18" s="42"/>
      <c r="K18" s="42"/>
      <c r="L1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" s="43" t="str">
        <f>IF(tblProductos[[#This Row],[SKU]]="","",COUNTIF(tblEntradas[SKU],tblProductos[[#This Row],[SKU]])+COUNTIF(tblSalidas[SKU],tblProductos[[#This Row],[SKU]]))</f>
        <v/>
      </c>
      <c r="N1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" spans="2:14" x14ac:dyDescent="0.25">
      <c r="B19" s="41"/>
      <c r="C19" s="41"/>
      <c r="D19" s="41"/>
      <c r="E19" s="42"/>
      <c r="F19" s="48"/>
      <c r="G19" s="48"/>
      <c r="H19" s="49"/>
      <c r="I19" s="41"/>
      <c r="J19" s="42"/>
      <c r="K19" s="42"/>
      <c r="L1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" s="43" t="str">
        <f>IF(tblProductos[[#This Row],[SKU]]="","",COUNTIF(tblEntradas[SKU],tblProductos[[#This Row],[SKU]])+COUNTIF(tblSalidas[SKU],tblProductos[[#This Row],[SKU]]))</f>
        <v/>
      </c>
      <c r="N1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" spans="2:14" x14ac:dyDescent="0.25">
      <c r="B20" s="41"/>
      <c r="C20" s="41"/>
      <c r="D20" s="41"/>
      <c r="E20" s="42"/>
      <c r="F20" s="48"/>
      <c r="G20" s="48"/>
      <c r="H20" s="49"/>
      <c r="I20" s="41"/>
      <c r="J20" s="42"/>
      <c r="K20" s="42"/>
      <c r="L2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" s="43" t="str">
        <f>IF(tblProductos[[#This Row],[SKU]]="","",COUNTIF(tblEntradas[SKU],tblProductos[[#This Row],[SKU]])+COUNTIF(tblSalidas[SKU],tblProductos[[#This Row],[SKU]]))</f>
        <v/>
      </c>
      <c r="N2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" spans="2:14" x14ac:dyDescent="0.25">
      <c r="B21" s="41"/>
      <c r="C21" s="41"/>
      <c r="D21" s="41"/>
      <c r="E21" s="42"/>
      <c r="F21" s="48"/>
      <c r="G21" s="48"/>
      <c r="H21" s="49"/>
      <c r="I21" s="41"/>
      <c r="J21" s="42"/>
      <c r="K21" s="42"/>
      <c r="L2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" s="43" t="str">
        <f>IF(tblProductos[[#This Row],[SKU]]="","",COUNTIF(tblEntradas[SKU],tblProductos[[#This Row],[SKU]])+COUNTIF(tblSalidas[SKU],tblProductos[[#This Row],[SKU]]))</f>
        <v/>
      </c>
      <c r="N2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" spans="2:14" x14ac:dyDescent="0.25">
      <c r="B22" s="41"/>
      <c r="C22" s="41"/>
      <c r="D22" s="41"/>
      <c r="E22" s="42"/>
      <c r="F22" s="48"/>
      <c r="G22" s="48"/>
      <c r="H22" s="49"/>
      <c r="I22" s="41"/>
      <c r="J22" s="42"/>
      <c r="K22" s="42"/>
      <c r="L2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" s="43" t="str">
        <f>IF(tblProductos[[#This Row],[SKU]]="","",COUNTIF(tblEntradas[SKU],tblProductos[[#This Row],[SKU]])+COUNTIF(tblSalidas[SKU],tblProductos[[#This Row],[SKU]]))</f>
        <v/>
      </c>
      <c r="N2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" spans="2:14" x14ac:dyDescent="0.25">
      <c r="B23" s="41"/>
      <c r="C23" s="41"/>
      <c r="D23" s="41"/>
      <c r="E23" s="42"/>
      <c r="F23" s="48"/>
      <c r="G23" s="48"/>
      <c r="H23" s="49"/>
      <c r="I23" s="41"/>
      <c r="J23" s="42"/>
      <c r="K23" s="42"/>
      <c r="L2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" s="43" t="str">
        <f>IF(tblProductos[[#This Row],[SKU]]="","",COUNTIF(tblEntradas[SKU],tblProductos[[#This Row],[SKU]])+COUNTIF(tblSalidas[SKU],tblProductos[[#This Row],[SKU]]))</f>
        <v/>
      </c>
      <c r="N2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" spans="2:14" x14ac:dyDescent="0.25">
      <c r="B24" s="41"/>
      <c r="C24" s="41"/>
      <c r="D24" s="41"/>
      <c r="E24" s="42"/>
      <c r="F24" s="48"/>
      <c r="G24" s="48"/>
      <c r="H24" s="49"/>
      <c r="I24" s="41"/>
      <c r="J24" s="42"/>
      <c r="K24" s="42"/>
      <c r="L2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" s="43" t="str">
        <f>IF(tblProductos[[#This Row],[SKU]]="","",COUNTIF(tblEntradas[SKU],tblProductos[[#This Row],[SKU]])+COUNTIF(tblSalidas[SKU],tblProductos[[#This Row],[SKU]]))</f>
        <v/>
      </c>
      <c r="N2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" spans="2:14" x14ac:dyDescent="0.25">
      <c r="B25" s="41"/>
      <c r="C25" s="41"/>
      <c r="D25" s="41"/>
      <c r="E25" s="42"/>
      <c r="F25" s="48"/>
      <c r="G25" s="48"/>
      <c r="H25" s="49"/>
      <c r="I25" s="41"/>
      <c r="J25" s="42"/>
      <c r="K25" s="42"/>
      <c r="L2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" s="43" t="str">
        <f>IF(tblProductos[[#This Row],[SKU]]="","",COUNTIF(tblEntradas[SKU],tblProductos[[#This Row],[SKU]])+COUNTIF(tblSalidas[SKU],tblProductos[[#This Row],[SKU]]))</f>
        <v/>
      </c>
      <c r="N2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" spans="2:14" x14ac:dyDescent="0.25">
      <c r="B26" s="41"/>
      <c r="C26" s="41"/>
      <c r="D26" s="41"/>
      <c r="E26" s="42"/>
      <c r="F26" s="48"/>
      <c r="G26" s="48"/>
      <c r="H26" s="49"/>
      <c r="I26" s="41"/>
      <c r="J26" s="42"/>
      <c r="K26" s="42"/>
      <c r="L2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" s="43" t="str">
        <f>IF(tblProductos[[#This Row],[SKU]]="","",COUNTIF(tblEntradas[SKU],tblProductos[[#This Row],[SKU]])+COUNTIF(tblSalidas[SKU],tblProductos[[#This Row],[SKU]]))</f>
        <v/>
      </c>
      <c r="N2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" spans="2:14" x14ac:dyDescent="0.25">
      <c r="B27" s="41"/>
      <c r="C27" s="41"/>
      <c r="D27" s="41"/>
      <c r="E27" s="42"/>
      <c r="F27" s="48"/>
      <c r="G27" s="48"/>
      <c r="H27" s="49"/>
      <c r="I27" s="41"/>
      <c r="J27" s="42"/>
      <c r="K27" s="42"/>
      <c r="L2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" s="43" t="str">
        <f>IF(tblProductos[[#This Row],[SKU]]="","",COUNTIF(tblEntradas[SKU],tblProductos[[#This Row],[SKU]])+COUNTIF(tblSalidas[SKU],tblProductos[[#This Row],[SKU]]))</f>
        <v/>
      </c>
      <c r="N2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" spans="2:14" x14ac:dyDescent="0.25">
      <c r="B28" s="41"/>
      <c r="C28" s="41"/>
      <c r="D28" s="41"/>
      <c r="E28" s="42"/>
      <c r="F28" s="48"/>
      <c r="G28" s="48"/>
      <c r="H28" s="49"/>
      <c r="I28" s="41"/>
      <c r="J28" s="42"/>
      <c r="K28" s="42"/>
      <c r="L2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" s="43" t="str">
        <f>IF(tblProductos[[#This Row],[SKU]]="","",COUNTIF(tblEntradas[SKU],tblProductos[[#This Row],[SKU]])+COUNTIF(tblSalidas[SKU],tblProductos[[#This Row],[SKU]]))</f>
        <v/>
      </c>
      <c r="N2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" spans="2:14" x14ac:dyDescent="0.25">
      <c r="B29" s="41"/>
      <c r="C29" s="41"/>
      <c r="D29" s="41"/>
      <c r="E29" s="42"/>
      <c r="F29" s="48"/>
      <c r="G29" s="48"/>
      <c r="H29" s="49"/>
      <c r="I29" s="41"/>
      <c r="J29" s="42"/>
      <c r="K29" s="42"/>
      <c r="L2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" s="43" t="str">
        <f>IF(tblProductos[[#This Row],[SKU]]="","",COUNTIF(tblEntradas[SKU],tblProductos[[#This Row],[SKU]])+COUNTIF(tblSalidas[SKU],tblProductos[[#This Row],[SKU]]))</f>
        <v/>
      </c>
      <c r="N2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" spans="2:14" x14ac:dyDescent="0.25">
      <c r="B30" s="41"/>
      <c r="C30" s="41"/>
      <c r="D30" s="41"/>
      <c r="E30" s="42"/>
      <c r="F30" s="48"/>
      <c r="G30" s="48"/>
      <c r="H30" s="49"/>
      <c r="I30" s="41"/>
      <c r="J30" s="42"/>
      <c r="K30" s="42"/>
      <c r="L3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" s="43" t="str">
        <f>IF(tblProductos[[#This Row],[SKU]]="","",COUNTIF(tblEntradas[SKU],tblProductos[[#This Row],[SKU]])+COUNTIF(tblSalidas[SKU],tblProductos[[#This Row],[SKU]]))</f>
        <v/>
      </c>
      <c r="N3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" spans="2:14" x14ac:dyDescent="0.25">
      <c r="B31" s="41"/>
      <c r="C31" s="41"/>
      <c r="D31" s="41"/>
      <c r="E31" s="42"/>
      <c r="F31" s="48"/>
      <c r="G31" s="48"/>
      <c r="H31" s="49"/>
      <c r="I31" s="41"/>
      <c r="J31" s="42"/>
      <c r="K31" s="42"/>
      <c r="L3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" s="43" t="str">
        <f>IF(tblProductos[[#This Row],[SKU]]="","",COUNTIF(tblEntradas[SKU],tblProductos[[#This Row],[SKU]])+COUNTIF(tblSalidas[SKU],tblProductos[[#This Row],[SKU]]))</f>
        <v/>
      </c>
      <c r="N3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" spans="2:14" x14ac:dyDescent="0.25">
      <c r="B32" s="41"/>
      <c r="C32" s="41"/>
      <c r="D32" s="41"/>
      <c r="E32" s="42"/>
      <c r="F32" s="48"/>
      <c r="G32" s="48"/>
      <c r="H32" s="49"/>
      <c r="I32" s="41"/>
      <c r="J32" s="42"/>
      <c r="K32" s="42"/>
      <c r="L3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" s="43" t="str">
        <f>IF(tblProductos[[#This Row],[SKU]]="","",COUNTIF(tblEntradas[SKU],tblProductos[[#This Row],[SKU]])+COUNTIF(tblSalidas[SKU],tblProductos[[#This Row],[SKU]]))</f>
        <v/>
      </c>
      <c r="N3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" spans="2:14" x14ac:dyDescent="0.25">
      <c r="B33" s="41"/>
      <c r="C33" s="41"/>
      <c r="D33" s="41"/>
      <c r="E33" s="42"/>
      <c r="F33" s="48"/>
      <c r="G33" s="48"/>
      <c r="H33" s="49"/>
      <c r="I33" s="41"/>
      <c r="J33" s="42"/>
      <c r="K33" s="42"/>
      <c r="L3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" s="43" t="str">
        <f>IF(tblProductos[[#This Row],[SKU]]="","",COUNTIF(tblEntradas[SKU],tblProductos[[#This Row],[SKU]])+COUNTIF(tblSalidas[SKU],tblProductos[[#This Row],[SKU]]))</f>
        <v/>
      </c>
      <c r="N3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" spans="2:14" x14ac:dyDescent="0.25">
      <c r="B34" s="41"/>
      <c r="C34" s="41"/>
      <c r="D34" s="41"/>
      <c r="E34" s="42"/>
      <c r="F34" s="48"/>
      <c r="G34" s="48"/>
      <c r="H34" s="49"/>
      <c r="I34" s="41"/>
      <c r="J34" s="42"/>
      <c r="K34" s="42"/>
      <c r="L3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" s="43" t="str">
        <f>IF(tblProductos[[#This Row],[SKU]]="","",COUNTIF(tblEntradas[SKU],tblProductos[[#This Row],[SKU]])+COUNTIF(tblSalidas[SKU],tblProductos[[#This Row],[SKU]]))</f>
        <v/>
      </c>
      <c r="N3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" spans="2:14" x14ac:dyDescent="0.25">
      <c r="B35" s="41"/>
      <c r="C35" s="41"/>
      <c r="D35" s="41"/>
      <c r="E35" s="42"/>
      <c r="F35" s="48"/>
      <c r="G35" s="48"/>
      <c r="H35" s="49"/>
      <c r="I35" s="41"/>
      <c r="J35" s="42"/>
      <c r="K35" s="42"/>
      <c r="L3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" s="43" t="str">
        <f>IF(tblProductos[[#This Row],[SKU]]="","",COUNTIF(tblEntradas[SKU],tblProductos[[#This Row],[SKU]])+COUNTIF(tblSalidas[SKU],tblProductos[[#This Row],[SKU]]))</f>
        <v/>
      </c>
      <c r="N3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" spans="2:14" x14ac:dyDescent="0.25">
      <c r="B36" s="41"/>
      <c r="C36" s="41"/>
      <c r="D36" s="41"/>
      <c r="E36" s="42"/>
      <c r="F36" s="48"/>
      <c r="G36" s="48"/>
      <c r="H36" s="49"/>
      <c r="I36" s="41"/>
      <c r="J36" s="42"/>
      <c r="K36" s="42"/>
      <c r="L3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" s="43" t="str">
        <f>IF(tblProductos[[#This Row],[SKU]]="","",COUNTIF(tblEntradas[SKU],tblProductos[[#This Row],[SKU]])+COUNTIF(tblSalidas[SKU],tblProductos[[#This Row],[SKU]]))</f>
        <v/>
      </c>
      <c r="N3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" spans="2:14" x14ac:dyDescent="0.25">
      <c r="B37" s="41"/>
      <c r="C37" s="41"/>
      <c r="D37" s="41"/>
      <c r="E37" s="42"/>
      <c r="F37" s="48"/>
      <c r="G37" s="48"/>
      <c r="H37" s="49"/>
      <c r="I37" s="41"/>
      <c r="J37" s="42"/>
      <c r="K37" s="42"/>
      <c r="L3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" s="43" t="str">
        <f>IF(tblProductos[[#This Row],[SKU]]="","",COUNTIF(tblEntradas[SKU],tblProductos[[#This Row],[SKU]])+COUNTIF(tblSalidas[SKU],tblProductos[[#This Row],[SKU]]))</f>
        <v/>
      </c>
      <c r="N3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" spans="2:14" x14ac:dyDescent="0.25">
      <c r="B38" s="41"/>
      <c r="C38" s="41"/>
      <c r="D38" s="41"/>
      <c r="E38" s="42"/>
      <c r="F38" s="48"/>
      <c r="G38" s="48"/>
      <c r="H38" s="49"/>
      <c r="I38" s="41"/>
      <c r="J38" s="42"/>
      <c r="K38" s="42"/>
      <c r="L3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" s="43" t="str">
        <f>IF(tblProductos[[#This Row],[SKU]]="","",COUNTIF(tblEntradas[SKU],tblProductos[[#This Row],[SKU]])+COUNTIF(tblSalidas[SKU],tblProductos[[#This Row],[SKU]]))</f>
        <v/>
      </c>
      <c r="N3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" spans="2:14" x14ac:dyDescent="0.25">
      <c r="B39" s="41"/>
      <c r="C39" s="41"/>
      <c r="D39" s="41"/>
      <c r="E39" s="42"/>
      <c r="F39" s="48"/>
      <c r="G39" s="48"/>
      <c r="H39" s="49"/>
      <c r="I39" s="41"/>
      <c r="J39" s="42"/>
      <c r="K39" s="42"/>
      <c r="L3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" s="43" t="str">
        <f>IF(tblProductos[[#This Row],[SKU]]="","",COUNTIF(tblEntradas[SKU],tblProductos[[#This Row],[SKU]])+COUNTIF(tblSalidas[SKU],tblProductos[[#This Row],[SKU]]))</f>
        <v/>
      </c>
      <c r="N3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" spans="2:14" x14ac:dyDescent="0.25">
      <c r="B40" s="41"/>
      <c r="C40" s="41"/>
      <c r="D40" s="41"/>
      <c r="E40" s="42"/>
      <c r="F40" s="48"/>
      <c r="G40" s="48"/>
      <c r="H40" s="49"/>
      <c r="I40" s="41"/>
      <c r="J40" s="42"/>
      <c r="K40" s="42"/>
      <c r="L4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" s="43" t="str">
        <f>IF(tblProductos[[#This Row],[SKU]]="","",COUNTIF(tblEntradas[SKU],tblProductos[[#This Row],[SKU]])+COUNTIF(tblSalidas[SKU],tblProductos[[#This Row],[SKU]]))</f>
        <v/>
      </c>
      <c r="N4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" spans="2:14" x14ac:dyDescent="0.25">
      <c r="B41" s="41"/>
      <c r="C41" s="41"/>
      <c r="D41" s="41"/>
      <c r="E41" s="42"/>
      <c r="F41" s="48"/>
      <c r="G41" s="48"/>
      <c r="H41" s="49"/>
      <c r="I41" s="41"/>
      <c r="J41" s="42"/>
      <c r="K41" s="42"/>
      <c r="L4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" s="43" t="str">
        <f>IF(tblProductos[[#This Row],[SKU]]="","",COUNTIF(tblEntradas[SKU],tblProductos[[#This Row],[SKU]])+COUNTIF(tblSalidas[SKU],tblProductos[[#This Row],[SKU]]))</f>
        <v/>
      </c>
      <c r="N4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" spans="2:14" x14ac:dyDescent="0.25">
      <c r="B42" s="41"/>
      <c r="C42" s="41"/>
      <c r="D42" s="41"/>
      <c r="E42" s="42"/>
      <c r="F42" s="48"/>
      <c r="G42" s="48"/>
      <c r="H42" s="49"/>
      <c r="I42" s="41"/>
      <c r="J42" s="42"/>
      <c r="K42" s="42"/>
      <c r="L4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" s="43" t="str">
        <f>IF(tblProductos[[#This Row],[SKU]]="","",COUNTIF(tblEntradas[SKU],tblProductos[[#This Row],[SKU]])+COUNTIF(tblSalidas[SKU],tblProductos[[#This Row],[SKU]]))</f>
        <v/>
      </c>
      <c r="N4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" spans="2:14" x14ac:dyDescent="0.25">
      <c r="B43" s="41"/>
      <c r="C43" s="41"/>
      <c r="D43" s="41"/>
      <c r="E43" s="42"/>
      <c r="F43" s="48"/>
      <c r="G43" s="48"/>
      <c r="H43" s="49"/>
      <c r="I43" s="41"/>
      <c r="J43" s="42"/>
      <c r="K43" s="42"/>
      <c r="L4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" s="43" t="str">
        <f>IF(tblProductos[[#This Row],[SKU]]="","",COUNTIF(tblEntradas[SKU],tblProductos[[#This Row],[SKU]])+COUNTIF(tblSalidas[SKU],tblProductos[[#This Row],[SKU]]))</f>
        <v/>
      </c>
      <c r="N4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" spans="2:14" x14ac:dyDescent="0.25">
      <c r="B44" s="41"/>
      <c r="C44" s="41"/>
      <c r="D44" s="41"/>
      <c r="E44" s="42"/>
      <c r="F44" s="48"/>
      <c r="G44" s="48"/>
      <c r="H44" s="49"/>
      <c r="I44" s="41"/>
      <c r="J44" s="42"/>
      <c r="K44" s="42"/>
      <c r="L4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" s="43" t="str">
        <f>IF(tblProductos[[#This Row],[SKU]]="","",COUNTIF(tblEntradas[SKU],tblProductos[[#This Row],[SKU]])+COUNTIF(tblSalidas[SKU],tblProductos[[#This Row],[SKU]]))</f>
        <v/>
      </c>
      <c r="N4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" spans="2:14" x14ac:dyDescent="0.25">
      <c r="B45" s="41"/>
      <c r="C45" s="41"/>
      <c r="D45" s="41"/>
      <c r="E45" s="42"/>
      <c r="F45" s="48"/>
      <c r="G45" s="48"/>
      <c r="H45" s="49"/>
      <c r="I45" s="41"/>
      <c r="J45" s="42"/>
      <c r="K45" s="42"/>
      <c r="L4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" s="43" t="str">
        <f>IF(tblProductos[[#This Row],[SKU]]="","",COUNTIF(tblEntradas[SKU],tblProductos[[#This Row],[SKU]])+COUNTIF(tblSalidas[SKU],tblProductos[[#This Row],[SKU]]))</f>
        <v/>
      </c>
      <c r="N4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" spans="2:14" x14ac:dyDescent="0.25">
      <c r="B46" s="41"/>
      <c r="C46" s="41"/>
      <c r="D46" s="41"/>
      <c r="E46" s="42"/>
      <c r="F46" s="48"/>
      <c r="G46" s="48"/>
      <c r="H46" s="49"/>
      <c r="I46" s="41"/>
      <c r="J46" s="42"/>
      <c r="K46" s="42"/>
      <c r="L4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" s="43" t="str">
        <f>IF(tblProductos[[#This Row],[SKU]]="","",COUNTIF(tblEntradas[SKU],tblProductos[[#This Row],[SKU]])+COUNTIF(tblSalidas[SKU],tblProductos[[#This Row],[SKU]]))</f>
        <v/>
      </c>
      <c r="N4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" spans="2:14" x14ac:dyDescent="0.25">
      <c r="B47" s="41"/>
      <c r="C47" s="41"/>
      <c r="D47" s="41"/>
      <c r="E47" s="42"/>
      <c r="F47" s="48"/>
      <c r="G47" s="48"/>
      <c r="H47" s="49"/>
      <c r="I47" s="41"/>
      <c r="J47" s="42"/>
      <c r="K47" s="42"/>
      <c r="L4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" s="43" t="str">
        <f>IF(tblProductos[[#This Row],[SKU]]="","",COUNTIF(tblEntradas[SKU],tblProductos[[#This Row],[SKU]])+COUNTIF(tblSalidas[SKU],tblProductos[[#This Row],[SKU]]))</f>
        <v/>
      </c>
      <c r="N4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" spans="2:14" x14ac:dyDescent="0.25">
      <c r="B48" s="41"/>
      <c r="C48" s="41"/>
      <c r="D48" s="41"/>
      <c r="E48" s="42"/>
      <c r="F48" s="48"/>
      <c r="G48" s="48"/>
      <c r="H48" s="49"/>
      <c r="I48" s="41"/>
      <c r="J48" s="42"/>
      <c r="K48" s="42"/>
      <c r="L4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" s="43" t="str">
        <f>IF(tblProductos[[#This Row],[SKU]]="","",COUNTIF(tblEntradas[SKU],tblProductos[[#This Row],[SKU]])+COUNTIF(tblSalidas[SKU],tblProductos[[#This Row],[SKU]]))</f>
        <v/>
      </c>
      <c r="N4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" spans="2:14" x14ac:dyDescent="0.25">
      <c r="B49" s="41"/>
      <c r="C49" s="41"/>
      <c r="D49" s="41"/>
      <c r="E49" s="42"/>
      <c r="F49" s="48"/>
      <c r="G49" s="48"/>
      <c r="H49" s="49"/>
      <c r="I49" s="41"/>
      <c r="J49" s="42"/>
      <c r="K49" s="42"/>
      <c r="L4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" s="43" t="str">
        <f>IF(tblProductos[[#This Row],[SKU]]="","",COUNTIF(tblEntradas[SKU],tblProductos[[#This Row],[SKU]])+COUNTIF(tblSalidas[SKU],tblProductos[[#This Row],[SKU]]))</f>
        <v/>
      </c>
      <c r="N4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" spans="2:14" x14ac:dyDescent="0.25">
      <c r="B50" s="41"/>
      <c r="C50" s="41"/>
      <c r="D50" s="41"/>
      <c r="E50" s="42"/>
      <c r="F50" s="48"/>
      <c r="G50" s="48"/>
      <c r="H50" s="49"/>
      <c r="I50" s="41"/>
      <c r="J50" s="42"/>
      <c r="K50" s="42"/>
      <c r="L5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" s="43" t="str">
        <f>IF(tblProductos[[#This Row],[SKU]]="","",COUNTIF(tblEntradas[SKU],tblProductos[[#This Row],[SKU]])+COUNTIF(tblSalidas[SKU],tblProductos[[#This Row],[SKU]]))</f>
        <v/>
      </c>
      <c r="N5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1" spans="2:14" x14ac:dyDescent="0.25">
      <c r="B51" s="41"/>
      <c r="C51" s="41"/>
      <c r="D51" s="41"/>
      <c r="E51" s="42"/>
      <c r="F51" s="48"/>
      <c r="G51" s="48"/>
      <c r="H51" s="49"/>
      <c r="I51" s="41"/>
      <c r="J51" s="42"/>
      <c r="K51" s="42"/>
      <c r="L5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1" s="43" t="str">
        <f>IF(tblProductos[[#This Row],[SKU]]="","",COUNTIF(tblEntradas[SKU],tblProductos[[#This Row],[SKU]])+COUNTIF(tblSalidas[SKU],tblProductos[[#This Row],[SKU]]))</f>
        <v/>
      </c>
      <c r="N5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2" spans="2:14" x14ac:dyDescent="0.25">
      <c r="B52" s="41"/>
      <c r="C52" s="41"/>
      <c r="D52" s="41"/>
      <c r="E52" s="42"/>
      <c r="F52" s="48"/>
      <c r="G52" s="48"/>
      <c r="H52" s="49"/>
      <c r="I52" s="41"/>
      <c r="J52" s="42"/>
      <c r="K52" s="42"/>
      <c r="L5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2" s="43" t="str">
        <f>IF(tblProductos[[#This Row],[SKU]]="","",COUNTIF(tblEntradas[SKU],tblProductos[[#This Row],[SKU]])+COUNTIF(tblSalidas[SKU],tblProductos[[#This Row],[SKU]]))</f>
        <v/>
      </c>
      <c r="N5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3" spans="2:14" x14ac:dyDescent="0.25">
      <c r="B53" s="41"/>
      <c r="C53" s="41"/>
      <c r="D53" s="41"/>
      <c r="E53" s="42"/>
      <c r="F53" s="48"/>
      <c r="G53" s="48"/>
      <c r="H53" s="49"/>
      <c r="I53" s="41"/>
      <c r="J53" s="42"/>
      <c r="K53" s="42"/>
      <c r="L5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3" s="43" t="str">
        <f>IF(tblProductos[[#This Row],[SKU]]="","",COUNTIF(tblEntradas[SKU],tblProductos[[#This Row],[SKU]])+COUNTIF(tblSalidas[SKU],tblProductos[[#This Row],[SKU]]))</f>
        <v/>
      </c>
      <c r="N5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4" spans="2:14" x14ac:dyDescent="0.25">
      <c r="B54" s="41"/>
      <c r="C54" s="41"/>
      <c r="D54" s="41"/>
      <c r="E54" s="42"/>
      <c r="F54" s="48"/>
      <c r="G54" s="48"/>
      <c r="H54" s="49"/>
      <c r="I54" s="41"/>
      <c r="J54" s="42"/>
      <c r="K54" s="42"/>
      <c r="L5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4" s="43" t="str">
        <f>IF(tblProductos[[#This Row],[SKU]]="","",COUNTIF(tblEntradas[SKU],tblProductos[[#This Row],[SKU]])+COUNTIF(tblSalidas[SKU],tblProductos[[#This Row],[SKU]]))</f>
        <v/>
      </c>
      <c r="N5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5" spans="2:14" x14ac:dyDescent="0.25">
      <c r="B55" s="41"/>
      <c r="C55" s="41"/>
      <c r="D55" s="41"/>
      <c r="E55" s="42"/>
      <c r="F55" s="48"/>
      <c r="G55" s="48"/>
      <c r="H55" s="49"/>
      <c r="I55" s="41"/>
      <c r="J55" s="42"/>
      <c r="K55" s="42"/>
      <c r="L5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5" s="43" t="str">
        <f>IF(tblProductos[[#This Row],[SKU]]="","",COUNTIF(tblEntradas[SKU],tblProductos[[#This Row],[SKU]])+COUNTIF(tblSalidas[SKU],tblProductos[[#This Row],[SKU]]))</f>
        <v/>
      </c>
      <c r="N5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6" spans="2:14" x14ac:dyDescent="0.25">
      <c r="B56" s="41"/>
      <c r="C56" s="41"/>
      <c r="D56" s="41"/>
      <c r="E56" s="42"/>
      <c r="F56" s="48"/>
      <c r="G56" s="48"/>
      <c r="H56" s="49"/>
      <c r="I56" s="41"/>
      <c r="J56" s="42"/>
      <c r="K56" s="42"/>
      <c r="L5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6" s="43" t="str">
        <f>IF(tblProductos[[#This Row],[SKU]]="","",COUNTIF(tblEntradas[SKU],tblProductos[[#This Row],[SKU]])+COUNTIF(tblSalidas[SKU],tblProductos[[#This Row],[SKU]]))</f>
        <v/>
      </c>
      <c r="N5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7" spans="2:14" x14ac:dyDescent="0.25">
      <c r="B57" s="41"/>
      <c r="C57" s="41"/>
      <c r="D57" s="41"/>
      <c r="E57" s="42"/>
      <c r="F57" s="48"/>
      <c r="G57" s="48"/>
      <c r="H57" s="49"/>
      <c r="I57" s="41"/>
      <c r="J57" s="42"/>
      <c r="K57" s="42"/>
      <c r="L5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7" s="43" t="str">
        <f>IF(tblProductos[[#This Row],[SKU]]="","",COUNTIF(tblEntradas[SKU],tblProductos[[#This Row],[SKU]])+COUNTIF(tblSalidas[SKU],tblProductos[[#This Row],[SKU]]))</f>
        <v/>
      </c>
      <c r="N5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8" spans="2:14" x14ac:dyDescent="0.25">
      <c r="B58" s="41"/>
      <c r="C58" s="41"/>
      <c r="D58" s="41"/>
      <c r="E58" s="42"/>
      <c r="F58" s="48"/>
      <c r="G58" s="48"/>
      <c r="H58" s="49"/>
      <c r="I58" s="41"/>
      <c r="J58" s="42"/>
      <c r="K58" s="42"/>
      <c r="L5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8" s="43" t="str">
        <f>IF(tblProductos[[#This Row],[SKU]]="","",COUNTIF(tblEntradas[SKU],tblProductos[[#This Row],[SKU]])+COUNTIF(tblSalidas[SKU],tblProductos[[#This Row],[SKU]]))</f>
        <v/>
      </c>
      <c r="N5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9" spans="2:14" x14ac:dyDescent="0.25">
      <c r="B59" s="41"/>
      <c r="C59" s="41"/>
      <c r="D59" s="41"/>
      <c r="E59" s="42"/>
      <c r="F59" s="48"/>
      <c r="G59" s="48"/>
      <c r="H59" s="49"/>
      <c r="I59" s="41"/>
      <c r="J59" s="42"/>
      <c r="K59" s="42"/>
      <c r="L5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9" s="43" t="str">
        <f>IF(tblProductos[[#This Row],[SKU]]="","",COUNTIF(tblEntradas[SKU],tblProductos[[#This Row],[SKU]])+COUNTIF(tblSalidas[SKU],tblProductos[[#This Row],[SKU]]))</f>
        <v/>
      </c>
      <c r="N5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0" spans="2:14" x14ac:dyDescent="0.25">
      <c r="B60" s="41"/>
      <c r="C60" s="41"/>
      <c r="D60" s="41"/>
      <c r="E60" s="42"/>
      <c r="F60" s="48"/>
      <c r="G60" s="48"/>
      <c r="H60" s="49"/>
      <c r="I60" s="41"/>
      <c r="J60" s="42"/>
      <c r="K60" s="42"/>
      <c r="L6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0" s="43" t="str">
        <f>IF(tblProductos[[#This Row],[SKU]]="","",COUNTIF(tblEntradas[SKU],tblProductos[[#This Row],[SKU]])+COUNTIF(tblSalidas[SKU],tblProductos[[#This Row],[SKU]]))</f>
        <v/>
      </c>
      <c r="N6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1" spans="2:14" x14ac:dyDescent="0.25">
      <c r="B61" s="41"/>
      <c r="C61" s="41"/>
      <c r="D61" s="41"/>
      <c r="E61" s="42"/>
      <c r="F61" s="48"/>
      <c r="G61" s="48"/>
      <c r="H61" s="49"/>
      <c r="I61" s="41"/>
      <c r="J61" s="42"/>
      <c r="K61" s="42"/>
      <c r="L6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1" s="43" t="str">
        <f>IF(tblProductos[[#This Row],[SKU]]="","",COUNTIF(tblEntradas[SKU],tblProductos[[#This Row],[SKU]])+COUNTIF(tblSalidas[SKU],tblProductos[[#This Row],[SKU]]))</f>
        <v/>
      </c>
      <c r="N6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2" spans="2:14" x14ac:dyDescent="0.25">
      <c r="B62" s="41"/>
      <c r="C62" s="41"/>
      <c r="D62" s="41"/>
      <c r="E62" s="42"/>
      <c r="F62" s="48"/>
      <c r="G62" s="48"/>
      <c r="H62" s="49"/>
      <c r="I62" s="41"/>
      <c r="J62" s="42"/>
      <c r="K62" s="42"/>
      <c r="L6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2" s="43" t="str">
        <f>IF(tblProductos[[#This Row],[SKU]]="","",COUNTIF(tblEntradas[SKU],tblProductos[[#This Row],[SKU]])+COUNTIF(tblSalidas[SKU],tblProductos[[#This Row],[SKU]]))</f>
        <v/>
      </c>
      <c r="N6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3" spans="2:14" x14ac:dyDescent="0.25">
      <c r="B63" s="41"/>
      <c r="C63" s="41"/>
      <c r="D63" s="41"/>
      <c r="E63" s="42"/>
      <c r="F63" s="48"/>
      <c r="G63" s="48"/>
      <c r="H63" s="49"/>
      <c r="I63" s="41"/>
      <c r="J63" s="42"/>
      <c r="K63" s="42"/>
      <c r="L6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3" s="43" t="str">
        <f>IF(tblProductos[[#This Row],[SKU]]="","",COUNTIF(tblEntradas[SKU],tblProductos[[#This Row],[SKU]])+COUNTIF(tblSalidas[SKU],tblProductos[[#This Row],[SKU]]))</f>
        <v/>
      </c>
      <c r="N6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4" spans="2:14" x14ac:dyDescent="0.25">
      <c r="B64" s="41"/>
      <c r="C64" s="41"/>
      <c r="D64" s="41"/>
      <c r="E64" s="42"/>
      <c r="F64" s="48"/>
      <c r="G64" s="48"/>
      <c r="H64" s="49"/>
      <c r="I64" s="41"/>
      <c r="J64" s="42"/>
      <c r="K64" s="42"/>
      <c r="L6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4" s="43" t="str">
        <f>IF(tblProductos[[#This Row],[SKU]]="","",COUNTIF(tblEntradas[SKU],tblProductos[[#This Row],[SKU]])+COUNTIF(tblSalidas[SKU],tblProductos[[#This Row],[SKU]]))</f>
        <v/>
      </c>
      <c r="N6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5" spans="2:14" x14ac:dyDescent="0.25">
      <c r="B65" s="41"/>
      <c r="C65" s="41"/>
      <c r="D65" s="41"/>
      <c r="E65" s="42"/>
      <c r="F65" s="48"/>
      <c r="G65" s="48"/>
      <c r="H65" s="49"/>
      <c r="I65" s="41"/>
      <c r="J65" s="42"/>
      <c r="K65" s="42"/>
      <c r="L6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5" s="43" t="str">
        <f>IF(tblProductos[[#This Row],[SKU]]="","",COUNTIF(tblEntradas[SKU],tblProductos[[#This Row],[SKU]])+COUNTIF(tblSalidas[SKU],tblProductos[[#This Row],[SKU]]))</f>
        <v/>
      </c>
      <c r="N6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6" spans="2:14" x14ac:dyDescent="0.25">
      <c r="B66" s="41"/>
      <c r="C66" s="41"/>
      <c r="D66" s="41"/>
      <c r="E66" s="42"/>
      <c r="F66" s="48"/>
      <c r="G66" s="48"/>
      <c r="H66" s="49"/>
      <c r="I66" s="41"/>
      <c r="J66" s="42"/>
      <c r="K66" s="42"/>
      <c r="L6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6" s="43" t="str">
        <f>IF(tblProductos[[#This Row],[SKU]]="","",COUNTIF(tblEntradas[SKU],tblProductos[[#This Row],[SKU]])+COUNTIF(tblSalidas[SKU],tblProductos[[#This Row],[SKU]]))</f>
        <v/>
      </c>
      <c r="N6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7" spans="2:14" x14ac:dyDescent="0.25">
      <c r="B67" s="41"/>
      <c r="C67" s="41"/>
      <c r="D67" s="41"/>
      <c r="E67" s="42"/>
      <c r="F67" s="48"/>
      <c r="G67" s="48"/>
      <c r="H67" s="49"/>
      <c r="I67" s="41"/>
      <c r="J67" s="42"/>
      <c r="K67" s="42"/>
      <c r="L6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7" s="43" t="str">
        <f>IF(tblProductos[[#This Row],[SKU]]="","",COUNTIF(tblEntradas[SKU],tblProductos[[#This Row],[SKU]])+COUNTIF(tblSalidas[SKU],tblProductos[[#This Row],[SKU]]))</f>
        <v/>
      </c>
      <c r="N6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8" spans="2:14" x14ac:dyDescent="0.25">
      <c r="B68" s="41"/>
      <c r="C68" s="41"/>
      <c r="D68" s="41"/>
      <c r="E68" s="42"/>
      <c r="F68" s="48"/>
      <c r="G68" s="48"/>
      <c r="H68" s="49"/>
      <c r="I68" s="41"/>
      <c r="J68" s="42"/>
      <c r="K68" s="42"/>
      <c r="L6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8" s="43" t="str">
        <f>IF(tblProductos[[#This Row],[SKU]]="","",COUNTIF(tblEntradas[SKU],tblProductos[[#This Row],[SKU]])+COUNTIF(tblSalidas[SKU],tblProductos[[#This Row],[SKU]]))</f>
        <v/>
      </c>
      <c r="N6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9" spans="2:14" x14ac:dyDescent="0.25">
      <c r="B69" s="41"/>
      <c r="C69" s="41"/>
      <c r="D69" s="41"/>
      <c r="E69" s="42"/>
      <c r="F69" s="48"/>
      <c r="G69" s="48"/>
      <c r="H69" s="49"/>
      <c r="I69" s="41"/>
      <c r="J69" s="42"/>
      <c r="K69" s="42"/>
      <c r="L6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69" s="43" t="str">
        <f>IF(tblProductos[[#This Row],[SKU]]="","",COUNTIF(tblEntradas[SKU],tblProductos[[#This Row],[SKU]])+COUNTIF(tblSalidas[SKU],tblProductos[[#This Row],[SKU]]))</f>
        <v/>
      </c>
      <c r="N6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0" spans="2:14" x14ac:dyDescent="0.25">
      <c r="B70" s="41"/>
      <c r="C70" s="41"/>
      <c r="D70" s="41"/>
      <c r="E70" s="42"/>
      <c r="F70" s="48"/>
      <c r="G70" s="48"/>
      <c r="H70" s="49"/>
      <c r="I70" s="41"/>
      <c r="J70" s="42"/>
      <c r="K70" s="42"/>
      <c r="L7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0" s="43" t="str">
        <f>IF(tblProductos[[#This Row],[SKU]]="","",COUNTIF(tblEntradas[SKU],tblProductos[[#This Row],[SKU]])+COUNTIF(tblSalidas[SKU],tblProductos[[#This Row],[SKU]]))</f>
        <v/>
      </c>
      <c r="N7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1" spans="2:14" x14ac:dyDescent="0.25">
      <c r="B71" s="41"/>
      <c r="C71" s="41"/>
      <c r="D71" s="41"/>
      <c r="E71" s="42"/>
      <c r="F71" s="48"/>
      <c r="G71" s="48"/>
      <c r="H71" s="49"/>
      <c r="I71" s="41"/>
      <c r="J71" s="42"/>
      <c r="K71" s="42"/>
      <c r="L7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1" s="43" t="str">
        <f>IF(tblProductos[[#This Row],[SKU]]="","",COUNTIF(tblEntradas[SKU],tblProductos[[#This Row],[SKU]])+COUNTIF(tblSalidas[SKU],tblProductos[[#This Row],[SKU]]))</f>
        <v/>
      </c>
      <c r="N7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2" spans="2:14" x14ac:dyDescent="0.25">
      <c r="B72" s="41"/>
      <c r="C72" s="41"/>
      <c r="D72" s="41"/>
      <c r="E72" s="42"/>
      <c r="F72" s="48"/>
      <c r="G72" s="48"/>
      <c r="H72" s="49"/>
      <c r="I72" s="41"/>
      <c r="J72" s="42"/>
      <c r="K72" s="42"/>
      <c r="L7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2" s="43" t="str">
        <f>IF(tblProductos[[#This Row],[SKU]]="","",COUNTIF(tblEntradas[SKU],tblProductos[[#This Row],[SKU]])+COUNTIF(tblSalidas[SKU],tblProductos[[#This Row],[SKU]]))</f>
        <v/>
      </c>
      <c r="N7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3" spans="2:14" x14ac:dyDescent="0.25">
      <c r="B73" s="41"/>
      <c r="C73" s="41"/>
      <c r="D73" s="41"/>
      <c r="E73" s="42"/>
      <c r="F73" s="48"/>
      <c r="G73" s="48"/>
      <c r="H73" s="49"/>
      <c r="I73" s="41"/>
      <c r="J73" s="42"/>
      <c r="K73" s="42"/>
      <c r="L7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3" s="43" t="str">
        <f>IF(tblProductos[[#This Row],[SKU]]="","",COUNTIF(tblEntradas[SKU],tblProductos[[#This Row],[SKU]])+COUNTIF(tblSalidas[SKU],tblProductos[[#This Row],[SKU]]))</f>
        <v/>
      </c>
      <c r="N7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4" spans="2:14" x14ac:dyDescent="0.25">
      <c r="B74" s="41"/>
      <c r="C74" s="41"/>
      <c r="D74" s="41"/>
      <c r="E74" s="42"/>
      <c r="F74" s="48"/>
      <c r="G74" s="48"/>
      <c r="H74" s="49"/>
      <c r="I74" s="41"/>
      <c r="J74" s="42"/>
      <c r="K74" s="42"/>
      <c r="L7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4" s="43" t="str">
        <f>IF(tblProductos[[#This Row],[SKU]]="","",COUNTIF(tblEntradas[SKU],tblProductos[[#This Row],[SKU]])+COUNTIF(tblSalidas[SKU],tblProductos[[#This Row],[SKU]]))</f>
        <v/>
      </c>
      <c r="N7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5" spans="2:14" x14ac:dyDescent="0.25">
      <c r="B75" s="41"/>
      <c r="C75" s="41"/>
      <c r="D75" s="41"/>
      <c r="E75" s="42"/>
      <c r="F75" s="48"/>
      <c r="G75" s="48"/>
      <c r="H75" s="49"/>
      <c r="I75" s="41"/>
      <c r="J75" s="42"/>
      <c r="K75" s="42"/>
      <c r="L7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5" s="43" t="str">
        <f>IF(tblProductos[[#This Row],[SKU]]="","",COUNTIF(tblEntradas[SKU],tblProductos[[#This Row],[SKU]])+COUNTIF(tblSalidas[SKU],tblProductos[[#This Row],[SKU]]))</f>
        <v/>
      </c>
      <c r="N7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6" spans="2:14" x14ac:dyDescent="0.25">
      <c r="B76" s="41"/>
      <c r="C76" s="41"/>
      <c r="D76" s="41"/>
      <c r="E76" s="42"/>
      <c r="F76" s="48"/>
      <c r="G76" s="48"/>
      <c r="H76" s="49"/>
      <c r="I76" s="41"/>
      <c r="J76" s="42"/>
      <c r="K76" s="42"/>
      <c r="L7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6" s="43" t="str">
        <f>IF(tblProductos[[#This Row],[SKU]]="","",COUNTIF(tblEntradas[SKU],tblProductos[[#This Row],[SKU]])+COUNTIF(tblSalidas[SKU],tblProductos[[#This Row],[SKU]]))</f>
        <v/>
      </c>
      <c r="N7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7" spans="2:14" x14ac:dyDescent="0.25">
      <c r="B77" s="41"/>
      <c r="C77" s="41"/>
      <c r="D77" s="41"/>
      <c r="E77" s="42"/>
      <c r="F77" s="48"/>
      <c r="G77" s="48"/>
      <c r="H77" s="49"/>
      <c r="I77" s="41"/>
      <c r="J77" s="42"/>
      <c r="K77" s="42"/>
      <c r="L7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7" s="43" t="str">
        <f>IF(tblProductos[[#This Row],[SKU]]="","",COUNTIF(tblEntradas[SKU],tblProductos[[#This Row],[SKU]])+COUNTIF(tblSalidas[SKU],tblProductos[[#This Row],[SKU]]))</f>
        <v/>
      </c>
      <c r="N7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8" spans="2:14" x14ac:dyDescent="0.25">
      <c r="B78" s="41"/>
      <c r="C78" s="41"/>
      <c r="D78" s="41"/>
      <c r="E78" s="42"/>
      <c r="F78" s="48"/>
      <c r="G78" s="48"/>
      <c r="H78" s="49"/>
      <c r="I78" s="41"/>
      <c r="J78" s="42"/>
      <c r="K78" s="42"/>
      <c r="L7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8" s="43" t="str">
        <f>IF(tblProductos[[#This Row],[SKU]]="","",COUNTIF(tblEntradas[SKU],tblProductos[[#This Row],[SKU]])+COUNTIF(tblSalidas[SKU],tblProductos[[#This Row],[SKU]]))</f>
        <v/>
      </c>
      <c r="N7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9" spans="2:14" x14ac:dyDescent="0.25">
      <c r="B79" s="41"/>
      <c r="C79" s="41"/>
      <c r="D79" s="41"/>
      <c r="E79" s="42"/>
      <c r="F79" s="48"/>
      <c r="G79" s="48"/>
      <c r="H79" s="49"/>
      <c r="I79" s="41"/>
      <c r="J79" s="42"/>
      <c r="K79" s="42"/>
      <c r="L7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79" s="43" t="str">
        <f>IF(tblProductos[[#This Row],[SKU]]="","",COUNTIF(tblEntradas[SKU],tblProductos[[#This Row],[SKU]])+COUNTIF(tblSalidas[SKU],tblProductos[[#This Row],[SKU]]))</f>
        <v/>
      </c>
      <c r="N7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0" spans="2:14" x14ac:dyDescent="0.25">
      <c r="B80" s="41"/>
      <c r="C80" s="41"/>
      <c r="D80" s="41"/>
      <c r="E80" s="42"/>
      <c r="F80" s="48"/>
      <c r="G80" s="48"/>
      <c r="H80" s="49"/>
      <c r="I80" s="41"/>
      <c r="J80" s="42"/>
      <c r="K80" s="42"/>
      <c r="L8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0" s="43" t="str">
        <f>IF(tblProductos[[#This Row],[SKU]]="","",COUNTIF(tblEntradas[SKU],tblProductos[[#This Row],[SKU]])+COUNTIF(tblSalidas[SKU],tblProductos[[#This Row],[SKU]]))</f>
        <v/>
      </c>
      <c r="N8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1" spans="2:14" x14ac:dyDescent="0.25">
      <c r="B81" s="41"/>
      <c r="C81" s="41"/>
      <c r="D81" s="41"/>
      <c r="E81" s="42"/>
      <c r="F81" s="48"/>
      <c r="G81" s="48"/>
      <c r="H81" s="49"/>
      <c r="I81" s="41"/>
      <c r="J81" s="42"/>
      <c r="K81" s="42"/>
      <c r="L8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1" s="43" t="str">
        <f>IF(tblProductos[[#This Row],[SKU]]="","",COUNTIF(tblEntradas[SKU],tblProductos[[#This Row],[SKU]])+COUNTIF(tblSalidas[SKU],tblProductos[[#This Row],[SKU]]))</f>
        <v/>
      </c>
      <c r="N8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2" spans="2:14" x14ac:dyDescent="0.25">
      <c r="B82" s="41"/>
      <c r="C82" s="41"/>
      <c r="D82" s="41"/>
      <c r="E82" s="42"/>
      <c r="F82" s="48"/>
      <c r="G82" s="48"/>
      <c r="H82" s="49"/>
      <c r="I82" s="41"/>
      <c r="J82" s="42"/>
      <c r="K82" s="42"/>
      <c r="L8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2" s="43" t="str">
        <f>IF(tblProductos[[#This Row],[SKU]]="","",COUNTIF(tblEntradas[SKU],tblProductos[[#This Row],[SKU]])+COUNTIF(tblSalidas[SKU],tblProductos[[#This Row],[SKU]]))</f>
        <v/>
      </c>
      <c r="N8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3" spans="2:14" x14ac:dyDescent="0.25">
      <c r="B83" s="41"/>
      <c r="C83" s="41"/>
      <c r="D83" s="41"/>
      <c r="E83" s="42"/>
      <c r="F83" s="48"/>
      <c r="G83" s="48"/>
      <c r="H83" s="49"/>
      <c r="I83" s="41"/>
      <c r="J83" s="42"/>
      <c r="K83" s="42"/>
      <c r="L8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3" s="43" t="str">
        <f>IF(tblProductos[[#This Row],[SKU]]="","",COUNTIF(tblEntradas[SKU],tblProductos[[#This Row],[SKU]])+COUNTIF(tblSalidas[SKU],tblProductos[[#This Row],[SKU]]))</f>
        <v/>
      </c>
      <c r="N8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4" spans="2:14" x14ac:dyDescent="0.25">
      <c r="B84" s="41"/>
      <c r="C84" s="41"/>
      <c r="D84" s="41"/>
      <c r="E84" s="42"/>
      <c r="F84" s="48"/>
      <c r="G84" s="48"/>
      <c r="H84" s="49"/>
      <c r="I84" s="41"/>
      <c r="J84" s="42"/>
      <c r="K84" s="42"/>
      <c r="L8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4" s="43" t="str">
        <f>IF(tblProductos[[#This Row],[SKU]]="","",COUNTIF(tblEntradas[SKU],tblProductos[[#This Row],[SKU]])+COUNTIF(tblSalidas[SKU],tblProductos[[#This Row],[SKU]]))</f>
        <v/>
      </c>
      <c r="N8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5" spans="2:14" x14ac:dyDescent="0.25">
      <c r="B85" s="41"/>
      <c r="C85" s="41"/>
      <c r="D85" s="41"/>
      <c r="E85" s="42"/>
      <c r="F85" s="48"/>
      <c r="G85" s="48"/>
      <c r="H85" s="49"/>
      <c r="I85" s="41"/>
      <c r="J85" s="42"/>
      <c r="K85" s="42"/>
      <c r="L8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5" s="43" t="str">
        <f>IF(tblProductos[[#This Row],[SKU]]="","",COUNTIF(tblEntradas[SKU],tblProductos[[#This Row],[SKU]])+COUNTIF(tblSalidas[SKU],tblProductos[[#This Row],[SKU]]))</f>
        <v/>
      </c>
      <c r="N8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6" spans="2:14" x14ac:dyDescent="0.25">
      <c r="B86" s="41"/>
      <c r="C86" s="41"/>
      <c r="D86" s="41"/>
      <c r="E86" s="42"/>
      <c r="F86" s="48"/>
      <c r="G86" s="48"/>
      <c r="H86" s="49"/>
      <c r="I86" s="41"/>
      <c r="J86" s="42"/>
      <c r="K86" s="42"/>
      <c r="L8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6" s="43" t="str">
        <f>IF(tblProductos[[#This Row],[SKU]]="","",COUNTIF(tblEntradas[SKU],tblProductos[[#This Row],[SKU]])+COUNTIF(tblSalidas[SKU],tblProductos[[#This Row],[SKU]]))</f>
        <v/>
      </c>
      <c r="N8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7" spans="2:14" x14ac:dyDescent="0.25">
      <c r="B87" s="41"/>
      <c r="C87" s="41"/>
      <c r="D87" s="41"/>
      <c r="E87" s="42"/>
      <c r="F87" s="48"/>
      <c r="G87" s="48"/>
      <c r="H87" s="49"/>
      <c r="I87" s="41"/>
      <c r="J87" s="42"/>
      <c r="K87" s="42"/>
      <c r="L8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7" s="43" t="str">
        <f>IF(tblProductos[[#This Row],[SKU]]="","",COUNTIF(tblEntradas[SKU],tblProductos[[#This Row],[SKU]])+COUNTIF(tblSalidas[SKU],tblProductos[[#This Row],[SKU]]))</f>
        <v/>
      </c>
      <c r="N8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8" spans="2:14" x14ac:dyDescent="0.25">
      <c r="B88" s="41"/>
      <c r="C88" s="41"/>
      <c r="D88" s="41"/>
      <c r="E88" s="42"/>
      <c r="F88" s="48"/>
      <c r="G88" s="48"/>
      <c r="H88" s="49"/>
      <c r="I88" s="41"/>
      <c r="J88" s="42"/>
      <c r="K88" s="42"/>
      <c r="L8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8" s="43" t="str">
        <f>IF(tblProductos[[#This Row],[SKU]]="","",COUNTIF(tblEntradas[SKU],tblProductos[[#This Row],[SKU]])+COUNTIF(tblSalidas[SKU],tblProductos[[#This Row],[SKU]]))</f>
        <v/>
      </c>
      <c r="N8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9" spans="2:14" x14ac:dyDescent="0.25">
      <c r="B89" s="41"/>
      <c r="C89" s="41"/>
      <c r="D89" s="41"/>
      <c r="E89" s="42"/>
      <c r="F89" s="48"/>
      <c r="G89" s="48"/>
      <c r="H89" s="49"/>
      <c r="I89" s="41"/>
      <c r="J89" s="42"/>
      <c r="K89" s="42"/>
      <c r="L8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89" s="43" t="str">
        <f>IF(tblProductos[[#This Row],[SKU]]="","",COUNTIF(tblEntradas[SKU],tblProductos[[#This Row],[SKU]])+COUNTIF(tblSalidas[SKU],tblProductos[[#This Row],[SKU]]))</f>
        <v/>
      </c>
      <c r="N8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0" spans="2:14" x14ac:dyDescent="0.25">
      <c r="B90" s="41"/>
      <c r="C90" s="41"/>
      <c r="D90" s="41"/>
      <c r="E90" s="42"/>
      <c r="F90" s="48"/>
      <c r="G90" s="48"/>
      <c r="H90" s="49"/>
      <c r="I90" s="41"/>
      <c r="J90" s="42"/>
      <c r="K90" s="42"/>
      <c r="L9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0" s="43" t="str">
        <f>IF(tblProductos[[#This Row],[SKU]]="","",COUNTIF(tblEntradas[SKU],tblProductos[[#This Row],[SKU]])+COUNTIF(tblSalidas[SKU],tblProductos[[#This Row],[SKU]]))</f>
        <v/>
      </c>
      <c r="N9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1" spans="2:14" x14ac:dyDescent="0.25">
      <c r="B91" s="41"/>
      <c r="C91" s="41"/>
      <c r="D91" s="41"/>
      <c r="E91" s="42"/>
      <c r="F91" s="48"/>
      <c r="G91" s="48"/>
      <c r="H91" s="49"/>
      <c r="I91" s="41"/>
      <c r="J91" s="42"/>
      <c r="K91" s="42"/>
      <c r="L9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1" s="43" t="str">
        <f>IF(tblProductos[[#This Row],[SKU]]="","",COUNTIF(tblEntradas[SKU],tblProductos[[#This Row],[SKU]])+COUNTIF(tblSalidas[SKU],tblProductos[[#This Row],[SKU]]))</f>
        <v/>
      </c>
      <c r="N9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2" spans="2:14" x14ac:dyDescent="0.25">
      <c r="B92" s="41"/>
      <c r="C92" s="41"/>
      <c r="D92" s="41"/>
      <c r="E92" s="42"/>
      <c r="F92" s="48"/>
      <c r="G92" s="48"/>
      <c r="H92" s="49"/>
      <c r="I92" s="41"/>
      <c r="J92" s="42"/>
      <c r="K92" s="42"/>
      <c r="L9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2" s="43" t="str">
        <f>IF(tblProductos[[#This Row],[SKU]]="","",COUNTIF(tblEntradas[SKU],tblProductos[[#This Row],[SKU]])+COUNTIF(tblSalidas[SKU],tblProductos[[#This Row],[SKU]]))</f>
        <v/>
      </c>
      <c r="N9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3" spans="2:14" x14ac:dyDescent="0.25">
      <c r="B93" s="41"/>
      <c r="C93" s="41"/>
      <c r="D93" s="41"/>
      <c r="E93" s="42"/>
      <c r="F93" s="48"/>
      <c r="G93" s="48"/>
      <c r="H93" s="49"/>
      <c r="I93" s="41"/>
      <c r="J93" s="42"/>
      <c r="K93" s="42"/>
      <c r="L9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3" s="43" t="str">
        <f>IF(tblProductos[[#This Row],[SKU]]="","",COUNTIF(tblEntradas[SKU],tblProductos[[#This Row],[SKU]])+COUNTIF(tblSalidas[SKU],tblProductos[[#This Row],[SKU]]))</f>
        <v/>
      </c>
      <c r="N9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4" spans="2:14" x14ac:dyDescent="0.25">
      <c r="B94" s="41"/>
      <c r="C94" s="41"/>
      <c r="D94" s="41"/>
      <c r="E94" s="42"/>
      <c r="F94" s="48"/>
      <c r="G94" s="48"/>
      <c r="H94" s="49"/>
      <c r="I94" s="41"/>
      <c r="J94" s="42"/>
      <c r="K94" s="42"/>
      <c r="L9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4" s="43" t="str">
        <f>IF(tblProductos[[#This Row],[SKU]]="","",COUNTIF(tblEntradas[SKU],tblProductos[[#This Row],[SKU]])+COUNTIF(tblSalidas[SKU],tblProductos[[#This Row],[SKU]]))</f>
        <v/>
      </c>
      <c r="N9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5" spans="2:14" x14ac:dyDescent="0.25">
      <c r="B95" s="41"/>
      <c r="C95" s="41"/>
      <c r="D95" s="41"/>
      <c r="E95" s="42"/>
      <c r="F95" s="48"/>
      <c r="G95" s="48"/>
      <c r="H95" s="49"/>
      <c r="I95" s="41"/>
      <c r="J95" s="42"/>
      <c r="K95" s="42"/>
      <c r="L9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5" s="43" t="str">
        <f>IF(tblProductos[[#This Row],[SKU]]="","",COUNTIF(tblEntradas[SKU],tblProductos[[#This Row],[SKU]])+COUNTIF(tblSalidas[SKU],tblProductos[[#This Row],[SKU]]))</f>
        <v/>
      </c>
      <c r="N9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6" spans="2:14" x14ac:dyDescent="0.25">
      <c r="B96" s="41"/>
      <c r="C96" s="41"/>
      <c r="D96" s="41"/>
      <c r="E96" s="42"/>
      <c r="F96" s="48"/>
      <c r="G96" s="48"/>
      <c r="H96" s="49"/>
      <c r="I96" s="41"/>
      <c r="J96" s="42"/>
      <c r="K96" s="42"/>
      <c r="L9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6" s="43" t="str">
        <f>IF(tblProductos[[#This Row],[SKU]]="","",COUNTIF(tblEntradas[SKU],tblProductos[[#This Row],[SKU]])+COUNTIF(tblSalidas[SKU],tblProductos[[#This Row],[SKU]]))</f>
        <v/>
      </c>
      <c r="N9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7" spans="2:14" x14ac:dyDescent="0.25">
      <c r="B97" s="41"/>
      <c r="C97" s="41"/>
      <c r="D97" s="41"/>
      <c r="E97" s="42"/>
      <c r="F97" s="48"/>
      <c r="G97" s="48"/>
      <c r="H97" s="49"/>
      <c r="I97" s="41"/>
      <c r="J97" s="42"/>
      <c r="K97" s="42"/>
      <c r="L9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7" s="43" t="str">
        <f>IF(tblProductos[[#This Row],[SKU]]="","",COUNTIF(tblEntradas[SKU],tblProductos[[#This Row],[SKU]])+COUNTIF(tblSalidas[SKU],tblProductos[[#This Row],[SKU]]))</f>
        <v/>
      </c>
      <c r="N9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8" spans="2:14" x14ac:dyDescent="0.25">
      <c r="B98" s="41"/>
      <c r="C98" s="41"/>
      <c r="D98" s="41"/>
      <c r="E98" s="42"/>
      <c r="F98" s="48"/>
      <c r="G98" s="48"/>
      <c r="H98" s="49"/>
      <c r="I98" s="41"/>
      <c r="J98" s="42"/>
      <c r="K98" s="42"/>
      <c r="L9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8" s="43" t="str">
        <f>IF(tblProductos[[#This Row],[SKU]]="","",COUNTIF(tblEntradas[SKU],tblProductos[[#This Row],[SKU]])+COUNTIF(tblSalidas[SKU],tblProductos[[#This Row],[SKU]]))</f>
        <v/>
      </c>
      <c r="N9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9" spans="2:14" x14ac:dyDescent="0.25">
      <c r="B99" s="41"/>
      <c r="C99" s="41"/>
      <c r="D99" s="41"/>
      <c r="E99" s="42"/>
      <c r="F99" s="48"/>
      <c r="G99" s="48"/>
      <c r="H99" s="49"/>
      <c r="I99" s="41"/>
      <c r="J99" s="42"/>
      <c r="K99" s="42"/>
      <c r="L9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99" s="43" t="str">
        <f>IF(tblProductos[[#This Row],[SKU]]="","",COUNTIF(tblEntradas[SKU],tblProductos[[#This Row],[SKU]])+COUNTIF(tblSalidas[SKU],tblProductos[[#This Row],[SKU]]))</f>
        <v/>
      </c>
      <c r="N9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0" spans="2:14" x14ac:dyDescent="0.25">
      <c r="B100" s="41"/>
      <c r="C100" s="41"/>
      <c r="D100" s="41"/>
      <c r="E100" s="42"/>
      <c r="F100" s="48"/>
      <c r="G100" s="48"/>
      <c r="H100" s="49"/>
      <c r="I100" s="41"/>
      <c r="J100" s="42"/>
      <c r="K100" s="42"/>
      <c r="L10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0" s="43" t="str">
        <f>IF(tblProductos[[#This Row],[SKU]]="","",COUNTIF(tblEntradas[SKU],tblProductos[[#This Row],[SKU]])+COUNTIF(tblSalidas[SKU],tblProductos[[#This Row],[SKU]]))</f>
        <v/>
      </c>
      <c r="N10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1" spans="2:14" x14ac:dyDescent="0.25">
      <c r="B101" s="41"/>
      <c r="C101" s="41"/>
      <c r="D101" s="41"/>
      <c r="E101" s="42"/>
      <c r="F101" s="48"/>
      <c r="G101" s="48"/>
      <c r="H101" s="49"/>
      <c r="I101" s="41"/>
      <c r="J101" s="42"/>
      <c r="K101" s="42"/>
      <c r="L10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1" s="43" t="str">
        <f>IF(tblProductos[[#This Row],[SKU]]="","",COUNTIF(tblEntradas[SKU],tblProductos[[#This Row],[SKU]])+COUNTIF(tblSalidas[SKU],tblProductos[[#This Row],[SKU]]))</f>
        <v/>
      </c>
      <c r="N10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2" spans="2:14" x14ac:dyDescent="0.25">
      <c r="B102" s="41"/>
      <c r="C102" s="41"/>
      <c r="D102" s="41"/>
      <c r="E102" s="42"/>
      <c r="F102" s="48"/>
      <c r="G102" s="48"/>
      <c r="H102" s="49"/>
      <c r="I102" s="41"/>
      <c r="J102" s="42"/>
      <c r="K102" s="42"/>
      <c r="L10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2" s="43" t="str">
        <f>IF(tblProductos[[#This Row],[SKU]]="","",COUNTIF(tblEntradas[SKU],tblProductos[[#This Row],[SKU]])+COUNTIF(tblSalidas[SKU],tblProductos[[#This Row],[SKU]]))</f>
        <v/>
      </c>
      <c r="N10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3" spans="2:14" x14ac:dyDescent="0.25">
      <c r="B103" s="41"/>
      <c r="C103" s="41"/>
      <c r="D103" s="41"/>
      <c r="E103" s="42"/>
      <c r="F103" s="48"/>
      <c r="G103" s="48"/>
      <c r="H103" s="49"/>
      <c r="I103" s="41"/>
      <c r="J103" s="42"/>
      <c r="K103" s="42"/>
      <c r="L10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3" s="43" t="str">
        <f>IF(tblProductos[[#This Row],[SKU]]="","",COUNTIF(tblEntradas[SKU],tblProductos[[#This Row],[SKU]])+COUNTIF(tblSalidas[SKU],tblProductos[[#This Row],[SKU]]))</f>
        <v/>
      </c>
      <c r="N10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4" spans="2:14" x14ac:dyDescent="0.25">
      <c r="B104" s="41"/>
      <c r="C104" s="41"/>
      <c r="D104" s="41"/>
      <c r="E104" s="42"/>
      <c r="F104" s="48"/>
      <c r="G104" s="48"/>
      <c r="H104" s="49"/>
      <c r="I104" s="41"/>
      <c r="J104" s="42"/>
      <c r="K104" s="42"/>
      <c r="L10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4" s="43" t="str">
        <f>IF(tblProductos[[#This Row],[SKU]]="","",COUNTIF(tblEntradas[SKU],tblProductos[[#This Row],[SKU]])+COUNTIF(tblSalidas[SKU],tblProductos[[#This Row],[SKU]]))</f>
        <v/>
      </c>
      <c r="N10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5" spans="2:14" x14ac:dyDescent="0.25">
      <c r="B105" s="41"/>
      <c r="C105" s="41"/>
      <c r="D105" s="41"/>
      <c r="E105" s="42"/>
      <c r="F105" s="48"/>
      <c r="G105" s="48"/>
      <c r="H105" s="49"/>
      <c r="I105" s="41"/>
      <c r="J105" s="42"/>
      <c r="K105" s="42"/>
      <c r="L10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5" s="43" t="str">
        <f>IF(tblProductos[[#This Row],[SKU]]="","",COUNTIF(tblEntradas[SKU],tblProductos[[#This Row],[SKU]])+COUNTIF(tblSalidas[SKU],tblProductos[[#This Row],[SKU]]))</f>
        <v/>
      </c>
      <c r="N10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6" spans="2:14" x14ac:dyDescent="0.25">
      <c r="B106" s="41"/>
      <c r="C106" s="41"/>
      <c r="D106" s="41"/>
      <c r="E106" s="42"/>
      <c r="F106" s="48"/>
      <c r="G106" s="48"/>
      <c r="H106" s="49"/>
      <c r="I106" s="41"/>
      <c r="J106" s="42"/>
      <c r="K106" s="42"/>
      <c r="L10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6" s="43" t="str">
        <f>IF(tblProductos[[#This Row],[SKU]]="","",COUNTIF(tblEntradas[SKU],tblProductos[[#This Row],[SKU]])+COUNTIF(tblSalidas[SKU],tblProductos[[#This Row],[SKU]]))</f>
        <v/>
      </c>
      <c r="N10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7" spans="2:14" x14ac:dyDescent="0.25">
      <c r="B107" s="41"/>
      <c r="C107" s="41"/>
      <c r="D107" s="41"/>
      <c r="E107" s="42"/>
      <c r="F107" s="48"/>
      <c r="G107" s="48"/>
      <c r="H107" s="49"/>
      <c r="I107" s="41"/>
      <c r="J107" s="42"/>
      <c r="K107" s="42"/>
      <c r="L10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7" s="43" t="str">
        <f>IF(tblProductos[[#This Row],[SKU]]="","",COUNTIF(tblEntradas[SKU],tblProductos[[#This Row],[SKU]])+COUNTIF(tblSalidas[SKU],tblProductos[[#This Row],[SKU]]))</f>
        <v/>
      </c>
      <c r="N10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8" spans="2:14" x14ac:dyDescent="0.25">
      <c r="B108" s="41"/>
      <c r="C108" s="41"/>
      <c r="D108" s="41"/>
      <c r="E108" s="42"/>
      <c r="F108" s="48"/>
      <c r="G108" s="48"/>
      <c r="H108" s="49"/>
      <c r="I108" s="41"/>
      <c r="J108" s="42"/>
      <c r="K108" s="42"/>
      <c r="L10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8" s="43" t="str">
        <f>IF(tblProductos[[#This Row],[SKU]]="","",COUNTIF(tblEntradas[SKU],tblProductos[[#This Row],[SKU]])+COUNTIF(tblSalidas[SKU],tblProductos[[#This Row],[SKU]]))</f>
        <v/>
      </c>
      <c r="N10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9" spans="2:14" x14ac:dyDescent="0.25">
      <c r="B109" s="41"/>
      <c r="C109" s="41"/>
      <c r="D109" s="41"/>
      <c r="E109" s="42"/>
      <c r="F109" s="48"/>
      <c r="G109" s="48"/>
      <c r="H109" s="49"/>
      <c r="I109" s="41"/>
      <c r="J109" s="42"/>
      <c r="K109" s="42"/>
      <c r="L10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09" s="43" t="str">
        <f>IF(tblProductos[[#This Row],[SKU]]="","",COUNTIF(tblEntradas[SKU],tblProductos[[#This Row],[SKU]])+COUNTIF(tblSalidas[SKU],tblProductos[[#This Row],[SKU]]))</f>
        <v/>
      </c>
      <c r="N10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0" spans="2:14" x14ac:dyDescent="0.25">
      <c r="B110" s="41"/>
      <c r="C110" s="41"/>
      <c r="D110" s="41"/>
      <c r="E110" s="42"/>
      <c r="F110" s="48"/>
      <c r="G110" s="48"/>
      <c r="H110" s="49"/>
      <c r="I110" s="41"/>
      <c r="J110" s="42"/>
      <c r="K110" s="42"/>
      <c r="L11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0" s="43" t="str">
        <f>IF(tblProductos[[#This Row],[SKU]]="","",COUNTIF(tblEntradas[SKU],tblProductos[[#This Row],[SKU]])+COUNTIF(tblSalidas[SKU],tblProductos[[#This Row],[SKU]]))</f>
        <v/>
      </c>
      <c r="N11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1" spans="2:14" x14ac:dyDescent="0.25">
      <c r="B111" s="41"/>
      <c r="C111" s="41"/>
      <c r="D111" s="41"/>
      <c r="E111" s="42"/>
      <c r="F111" s="48"/>
      <c r="G111" s="48"/>
      <c r="H111" s="49"/>
      <c r="I111" s="41"/>
      <c r="J111" s="42"/>
      <c r="K111" s="42"/>
      <c r="L11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1" s="43" t="str">
        <f>IF(tblProductos[[#This Row],[SKU]]="","",COUNTIF(tblEntradas[SKU],tblProductos[[#This Row],[SKU]])+COUNTIF(tblSalidas[SKU],tblProductos[[#This Row],[SKU]]))</f>
        <v/>
      </c>
      <c r="N11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2" spans="2:14" x14ac:dyDescent="0.25">
      <c r="B112" s="41"/>
      <c r="C112" s="41"/>
      <c r="D112" s="41"/>
      <c r="E112" s="42"/>
      <c r="F112" s="48"/>
      <c r="G112" s="48"/>
      <c r="H112" s="49"/>
      <c r="I112" s="41"/>
      <c r="J112" s="42"/>
      <c r="K112" s="42"/>
      <c r="L11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2" s="43" t="str">
        <f>IF(tblProductos[[#This Row],[SKU]]="","",COUNTIF(tblEntradas[SKU],tblProductos[[#This Row],[SKU]])+COUNTIF(tblSalidas[SKU],tblProductos[[#This Row],[SKU]]))</f>
        <v/>
      </c>
      <c r="N11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3" spans="2:14" x14ac:dyDescent="0.25">
      <c r="B113" s="41"/>
      <c r="C113" s="41"/>
      <c r="D113" s="41"/>
      <c r="E113" s="42"/>
      <c r="F113" s="48"/>
      <c r="G113" s="48"/>
      <c r="H113" s="49"/>
      <c r="I113" s="41"/>
      <c r="J113" s="42"/>
      <c r="K113" s="42"/>
      <c r="L11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3" s="43" t="str">
        <f>IF(tblProductos[[#This Row],[SKU]]="","",COUNTIF(tblEntradas[SKU],tblProductos[[#This Row],[SKU]])+COUNTIF(tblSalidas[SKU],tblProductos[[#This Row],[SKU]]))</f>
        <v/>
      </c>
      <c r="N11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4" spans="2:14" x14ac:dyDescent="0.25">
      <c r="B114" s="41"/>
      <c r="C114" s="41"/>
      <c r="D114" s="41"/>
      <c r="E114" s="42"/>
      <c r="F114" s="48"/>
      <c r="G114" s="48"/>
      <c r="H114" s="49"/>
      <c r="I114" s="41"/>
      <c r="J114" s="42"/>
      <c r="K114" s="42"/>
      <c r="L11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4" s="43" t="str">
        <f>IF(tblProductos[[#This Row],[SKU]]="","",COUNTIF(tblEntradas[SKU],tblProductos[[#This Row],[SKU]])+COUNTIF(tblSalidas[SKU],tblProductos[[#This Row],[SKU]]))</f>
        <v/>
      </c>
      <c r="N11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5" spans="2:14" x14ac:dyDescent="0.25">
      <c r="B115" s="41"/>
      <c r="C115" s="41"/>
      <c r="D115" s="41"/>
      <c r="E115" s="42"/>
      <c r="F115" s="48"/>
      <c r="G115" s="48"/>
      <c r="H115" s="49"/>
      <c r="I115" s="41"/>
      <c r="J115" s="42"/>
      <c r="K115" s="42"/>
      <c r="L11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5" s="43" t="str">
        <f>IF(tblProductos[[#This Row],[SKU]]="","",COUNTIF(tblEntradas[SKU],tblProductos[[#This Row],[SKU]])+COUNTIF(tblSalidas[SKU],tblProductos[[#This Row],[SKU]]))</f>
        <v/>
      </c>
      <c r="N11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6" spans="2:14" x14ac:dyDescent="0.25">
      <c r="B116" s="41"/>
      <c r="C116" s="41"/>
      <c r="D116" s="41"/>
      <c r="E116" s="42"/>
      <c r="F116" s="48"/>
      <c r="G116" s="48"/>
      <c r="H116" s="49"/>
      <c r="I116" s="41"/>
      <c r="J116" s="42"/>
      <c r="K116" s="42"/>
      <c r="L11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6" s="43" t="str">
        <f>IF(tblProductos[[#This Row],[SKU]]="","",COUNTIF(tblEntradas[SKU],tblProductos[[#This Row],[SKU]])+COUNTIF(tblSalidas[SKU],tblProductos[[#This Row],[SKU]]))</f>
        <v/>
      </c>
      <c r="N11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7" spans="2:14" x14ac:dyDescent="0.25">
      <c r="B117" s="41"/>
      <c r="C117" s="41"/>
      <c r="D117" s="41"/>
      <c r="E117" s="42"/>
      <c r="F117" s="48"/>
      <c r="G117" s="48"/>
      <c r="H117" s="49"/>
      <c r="I117" s="41"/>
      <c r="J117" s="42"/>
      <c r="K117" s="42"/>
      <c r="L11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7" s="43" t="str">
        <f>IF(tblProductos[[#This Row],[SKU]]="","",COUNTIF(tblEntradas[SKU],tblProductos[[#This Row],[SKU]])+COUNTIF(tblSalidas[SKU],tblProductos[[#This Row],[SKU]]))</f>
        <v/>
      </c>
      <c r="N11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8" spans="2:14" x14ac:dyDescent="0.25">
      <c r="B118" s="41"/>
      <c r="C118" s="41"/>
      <c r="D118" s="41"/>
      <c r="E118" s="42"/>
      <c r="F118" s="48"/>
      <c r="G118" s="48"/>
      <c r="H118" s="49"/>
      <c r="I118" s="41"/>
      <c r="J118" s="42"/>
      <c r="K118" s="42"/>
      <c r="L11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8" s="43" t="str">
        <f>IF(tblProductos[[#This Row],[SKU]]="","",COUNTIF(tblEntradas[SKU],tblProductos[[#This Row],[SKU]])+COUNTIF(tblSalidas[SKU],tblProductos[[#This Row],[SKU]]))</f>
        <v/>
      </c>
      <c r="N11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9" spans="2:14" x14ac:dyDescent="0.25">
      <c r="B119" s="41"/>
      <c r="C119" s="41"/>
      <c r="D119" s="41"/>
      <c r="E119" s="42"/>
      <c r="F119" s="48"/>
      <c r="G119" s="48"/>
      <c r="H119" s="49"/>
      <c r="I119" s="41"/>
      <c r="J119" s="42"/>
      <c r="K119" s="42"/>
      <c r="L11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19" s="43" t="str">
        <f>IF(tblProductos[[#This Row],[SKU]]="","",COUNTIF(tblEntradas[SKU],tblProductos[[#This Row],[SKU]])+COUNTIF(tblSalidas[SKU],tblProductos[[#This Row],[SKU]]))</f>
        <v/>
      </c>
      <c r="N11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0" spans="2:14" x14ac:dyDescent="0.25">
      <c r="B120" s="41"/>
      <c r="C120" s="41"/>
      <c r="D120" s="41"/>
      <c r="E120" s="42"/>
      <c r="F120" s="48"/>
      <c r="G120" s="48"/>
      <c r="H120" s="49"/>
      <c r="I120" s="41"/>
      <c r="J120" s="42"/>
      <c r="K120" s="42"/>
      <c r="L12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0" s="43" t="str">
        <f>IF(tblProductos[[#This Row],[SKU]]="","",COUNTIF(tblEntradas[SKU],tblProductos[[#This Row],[SKU]])+COUNTIF(tblSalidas[SKU],tblProductos[[#This Row],[SKU]]))</f>
        <v/>
      </c>
      <c r="N12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1" spans="2:14" x14ac:dyDescent="0.25">
      <c r="B121" s="41"/>
      <c r="C121" s="41"/>
      <c r="D121" s="41"/>
      <c r="E121" s="42"/>
      <c r="F121" s="48"/>
      <c r="G121" s="48"/>
      <c r="H121" s="49"/>
      <c r="I121" s="41"/>
      <c r="J121" s="42"/>
      <c r="K121" s="42"/>
      <c r="L12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1" s="43" t="str">
        <f>IF(tblProductos[[#This Row],[SKU]]="","",COUNTIF(tblEntradas[SKU],tblProductos[[#This Row],[SKU]])+COUNTIF(tblSalidas[SKU],tblProductos[[#This Row],[SKU]]))</f>
        <v/>
      </c>
      <c r="N12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2" spans="2:14" x14ac:dyDescent="0.25">
      <c r="B122" s="41"/>
      <c r="C122" s="41"/>
      <c r="D122" s="41"/>
      <c r="E122" s="42"/>
      <c r="F122" s="48"/>
      <c r="G122" s="48"/>
      <c r="H122" s="49"/>
      <c r="I122" s="41"/>
      <c r="J122" s="42"/>
      <c r="K122" s="42"/>
      <c r="L12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2" s="43" t="str">
        <f>IF(tblProductos[[#This Row],[SKU]]="","",COUNTIF(tblEntradas[SKU],tblProductos[[#This Row],[SKU]])+COUNTIF(tblSalidas[SKU],tblProductos[[#This Row],[SKU]]))</f>
        <v/>
      </c>
      <c r="N12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3" spans="2:14" x14ac:dyDescent="0.25">
      <c r="B123" s="41"/>
      <c r="C123" s="41"/>
      <c r="D123" s="41"/>
      <c r="E123" s="42"/>
      <c r="F123" s="48"/>
      <c r="G123" s="48"/>
      <c r="H123" s="49"/>
      <c r="I123" s="41"/>
      <c r="J123" s="42"/>
      <c r="K123" s="42"/>
      <c r="L12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3" s="43" t="str">
        <f>IF(tblProductos[[#This Row],[SKU]]="","",COUNTIF(tblEntradas[SKU],tblProductos[[#This Row],[SKU]])+COUNTIF(tblSalidas[SKU],tblProductos[[#This Row],[SKU]]))</f>
        <v/>
      </c>
      <c r="N12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4" spans="2:14" x14ac:dyDescent="0.25">
      <c r="B124" s="41"/>
      <c r="C124" s="41"/>
      <c r="D124" s="41"/>
      <c r="E124" s="42"/>
      <c r="F124" s="48"/>
      <c r="G124" s="48"/>
      <c r="H124" s="49"/>
      <c r="I124" s="41"/>
      <c r="J124" s="42"/>
      <c r="K124" s="42"/>
      <c r="L12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4" s="43" t="str">
        <f>IF(tblProductos[[#This Row],[SKU]]="","",COUNTIF(tblEntradas[SKU],tblProductos[[#This Row],[SKU]])+COUNTIF(tblSalidas[SKU],tblProductos[[#This Row],[SKU]]))</f>
        <v/>
      </c>
      <c r="N12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5" spans="2:14" x14ac:dyDescent="0.25">
      <c r="B125" s="41"/>
      <c r="C125" s="41"/>
      <c r="D125" s="41"/>
      <c r="E125" s="42"/>
      <c r="F125" s="48"/>
      <c r="G125" s="48"/>
      <c r="H125" s="49"/>
      <c r="I125" s="41"/>
      <c r="J125" s="42"/>
      <c r="K125" s="42"/>
      <c r="L12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5" s="43" t="str">
        <f>IF(tblProductos[[#This Row],[SKU]]="","",COUNTIF(tblEntradas[SKU],tblProductos[[#This Row],[SKU]])+COUNTIF(tblSalidas[SKU],tblProductos[[#This Row],[SKU]]))</f>
        <v/>
      </c>
      <c r="N12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6" spans="2:14" x14ac:dyDescent="0.25">
      <c r="B126" s="41"/>
      <c r="C126" s="41"/>
      <c r="D126" s="41"/>
      <c r="E126" s="42"/>
      <c r="F126" s="48"/>
      <c r="G126" s="48"/>
      <c r="H126" s="49"/>
      <c r="I126" s="41"/>
      <c r="J126" s="42"/>
      <c r="K126" s="42"/>
      <c r="L12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6" s="43" t="str">
        <f>IF(tblProductos[[#This Row],[SKU]]="","",COUNTIF(tblEntradas[SKU],tblProductos[[#This Row],[SKU]])+COUNTIF(tblSalidas[SKU],tblProductos[[#This Row],[SKU]]))</f>
        <v/>
      </c>
      <c r="N12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7" spans="2:14" x14ac:dyDescent="0.25">
      <c r="B127" s="41"/>
      <c r="C127" s="41"/>
      <c r="D127" s="41"/>
      <c r="E127" s="42"/>
      <c r="F127" s="48"/>
      <c r="G127" s="48"/>
      <c r="H127" s="49"/>
      <c r="I127" s="41"/>
      <c r="J127" s="42"/>
      <c r="K127" s="42"/>
      <c r="L12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7" s="43" t="str">
        <f>IF(tblProductos[[#This Row],[SKU]]="","",COUNTIF(tblEntradas[SKU],tblProductos[[#This Row],[SKU]])+COUNTIF(tblSalidas[SKU],tblProductos[[#This Row],[SKU]]))</f>
        <v/>
      </c>
      <c r="N12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8" spans="2:14" x14ac:dyDescent="0.25">
      <c r="B128" s="41"/>
      <c r="C128" s="41"/>
      <c r="D128" s="41"/>
      <c r="E128" s="42"/>
      <c r="F128" s="48"/>
      <c r="G128" s="48"/>
      <c r="H128" s="49"/>
      <c r="I128" s="41"/>
      <c r="J128" s="42"/>
      <c r="K128" s="42"/>
      <c r="L12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8" s="43" t="str">
        <f>IF(tblProductos[[#This Row],[SKU]]="","",COUNTIF(tblEntradas[SKU],tblProductos[[#This Row],[SKU]])+COUNTIF(tblSalidas[SKU],tblProductos[[#This Row],[SKU]]))</f>
        <v/>
      </c>
      <c r="N12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9" spans="2:14" x14ac:dyDescent="0.25">
      <c r="B129" s="41"/>
      <c r="C129" s="41"/>
      <c r="D129" s="41"/>
      <c r="E129" s="42"/>
      <c r="F129" s="48"/>
      <c r="G129" s="48"/>
      <c r="H129" s="49"/>
      <c r="I129" s="41"/>
      <c r="J129" s="42"/>
      <c r="K129" s="42"/>
      <c r="L12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29" s="43" t="str">
        <f>IF(tblProductos[[#This Row],[SKU]]="","",COUNTIF(tblEntradas[SKU],tblProductos[[#This Row],[SKU]])+COUNTIF(tblSalidas[SKU],tblProductos[[#This Row],[SKU]]))</f>
        <v/>
      </c>
      <c r="N12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0" spans="2:14" x14ac:dyDescent="0.25">
      <c r="B130" s="41"/>
      <c r="C130" s="41"/>
      <c r="D130" s="41"/>
      <c r="E130" s="42"/>
      <c r="F130" s="48"/>
      <c r="G130" s="48"/>
      <c r="H130" s="49"/>
      <c r="I130" s="41"/>
      <c r="J130" s="42"/>
      <c r="K130" s="42"/>
      <c r="L13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0" s="43" t="str">
        <f>IF(tblProductos[[#This Row],[SKU]]="","",COUNTIF(tblEntradas[SKU],tblProductos[[#This Row],[SKU]])+COUNTIF(tblSalidas[SKU],tblProductos[[#This Row],[SKU]]))</f>
        <v/>
      </c>
      <c r="N13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1" spans="2:14" x14ac:dyDescent="0.25">
      <c r="B131" s="41"/>
      <c r="C131" s="41"/>
      <c r="D131" s="41"/>
      <c r="E131" s="42"/>
      <c r="F131" s="48"/>
      <c r="G131" s="48"/>
      <c r="H131" s="49"/>
      <c r="I131" s="41"/>
      <c r="J131" s="42"/>
      <c r="K131" s="42"/>
      <c r="L13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1" s="43" t="str">
        <f>IF(tblProductos[[#This Row],[SKU]]="","",COUNTIF(tblEntradas[SKU],tblProductos[[#This Row],[SKU]])+COUNTIF(tblSalidas[SKU],tblProductos[[#This Row],[SKU]]))</f>
        <v/>
      </c>
      <c r="N13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2" spans="2:14" x14ac:dyDescent="0.25">
      <c r="B132" s="41"/>
      <c r="C132" s="41"/>
      <c r="D132" s="41"/>
      <c r="E132" s="42"/>
      <c r="F132" s="48"/>
      <c r="G132" s="48"/>
      <c r="H132" s="49"/>
      <c r="I132" s="41"/>
      <c r="J132" s="42"/>
      <c r="K132" s="42"/>
      <c r="L13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2" s="43" t="str">
        <f>IF(tblProductos[[#This Row],[SKU]]="","",COUNTIF(tblEntradas[SKU],tblProductos[[#This Row],[SKU]])+COUNTIF(tblSalidas[SKU],tblProductos[[#This Row],[SKU]]))</f>
        <v/>
      </c>
      <c r="N13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3" spans="2:14" x14ac:dyDescent="0.25">
      <c r="B133" s="41"/>
      <c r="C133" s="41"/>
      <c r="D133" s="41"/>
      <c r="E133" s="42"/>
      <c r="F133" s="48"/>
      <c r="G133" s="48"/>
      <c r="H133" s="49"/>
      <c r="I133" s="41"/>
      <c r="J133" s="42"/>
      <c r="K133" s="42"/>
      <c r="L13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3" s="43" t="str">
        <f>IF(tblProductos[[#This Row],[SKU]]="","",COUNTIF(tblEntradas[SKU],tblProductos[[#This Row],[SKU]])+COUNTIF(tblSalidas[SKU],tblProductos[[#This Row],[SKU]]))</f>
        <v/>
      </c>
      <c r="N13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4" spans="2:14" x14ac:dyDescent="0.25">
      <c r="B134" s="41"/>
      <c r="C134" s="41"/>
      <c r="D134" s="41"/>
      <c r="E134" s="42"/>
      <c r="F134" s="48"/>
      <c r="G134" s="48"/>
      <c r="H134" s="49"/>
      <c r="I134" s="41"/>
      <c r="J134" s="42"/>
      <c r="K134" s="42"/>
      <c r="L13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4" s="43" t="str">
        <f>IF(tblProductos[[#This Row],[SKU]]="","",COUNTIF(tblEntradas[SKU],tblProductos[[#This Row],[SKU]])+COUNTIF(tblSalidas[SKU],tblProductos[[#This Row],[SKU]]))</f>
        <v/>
      </c>
      <c r="N13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5" spans="2:14" x14ac:dyDescent="0.25">
      <c r="B135" s="41"/>
      <c r="C135" s="41"/>
      <c r="D135" s="41"/>
      <c r="E135" s="42"/>
      <c r="F135" s="48"/>
      <c r="G135" s="48"/>
      <c r="H135" s="49"/>
      <c r="I135" s="41"/>
      <c r="J135" s="42"/>
      <c r="K135" s="42"/>
      <c r="L13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5" s="43" t="str">
        <f>IF(tblProductos[[#This Row],[SKU]]="","",COUNTIF(tblEntradas[SKU],tblProductos[[#This Row],[SKU]])+COUNTIF(tblSalidas[SKU],tblProductos[[#This Row],[SKU]]))</f>
        <v/>
      </c>
      <c r="N13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6" spans="2:14" x14ac:dyDescent="0.25">
      <c r="B136" s="41"/>
      <c r="C136" s="41"/>
      <c r="D136" s="41"/>
      <c r="E136" s="42"/>
      <c r="F136" s="48"/>
      <c r="G136" s="48"/>
      <c r="H136" s="49"/>
      <c r="I136" s="41"/>
      <c r="J136" s="42"/>
      <c r="K136" s="42"/>
      <c r="L13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6" s="43" t="str">
        <f>IF(tblProductos[[#This Row],[SKU]]="","",COUNTIF(tblEntradas[SKU],tblProductos[[#This Row],[SKU]])+COUNTIF(tblSalidas[SKU],tblProductos[[#This Row],[SKU]]))</f>
        <v/>
      </c>
      <c r="N13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7" spans="2:14" x14ac:dyDescent="0.25">
      <c r="B137" s="41"/>
      <c r="C137" s="41"/>
      <c r="D137" s="41"/>
      <c r="E137" s="42"/>
      <c r="F137" s="48"/>
      <c r="G137" s="48"/>
      <c r="H137" s="49"/>
      <c r="I137" s="41"/>
      <c r="J137" s="42"/>
      <c r="K137" s="42"/>
      <c r="L13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7" s="43" t="str">
        <f>IF(tblProductos[[#This Row],[SKU]]="","",COUNTIF(tblEntradas[SKU],tblProductos[[#This Row],[SKU]])+COUNTIF(tblSalidas[SKU],tblProductos[[#This Row],[SKU]]))</f>
        <v/>
      </c>
      <c r="N13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8" spans="2:14" x14ac:dyDescent="0.25">
      <c r="B138" s="41"/>
      <c r="C138" s="41"/>
      <c r="D138" s="41"/>
      <c r="E138" s="42"/>
      <c r="F138" s="48"/>
      <c r="G138" s="48"/>
      <c r="H138" s="49"/>
      <c r="I138" s="41"/>
      <c r="J138" s="42"/>
      <c r="K138" s="42"/>
      <c r="L13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8" s="43" t="str">
        <f>IF(tblProductos[[#This Row],[SKU]]="","",COUNTIF(tblEntradas[SKU],tblProductos[[#This Row],[SKU]])+COUNTIF(tblSalidas[SKU],tblProductos[[#This Row],[SKU]]))</f>
        <v/>
      </c>
      <c r="N13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9" spans="2:14" x14ac:dyDescent="0.25">
      <c r="B139" s="41"/>
      <c r="C139" s="41"/>
      <c r="D139" s="41"/>
      <c r="E139" s="42"/>
      <c r="F139" s="48"/>
      <c r="G139" s="48"/>
      <c r="H139" s="49"/>
      <c r="I139" s="41"/>
      <c r="J139" s="42"/>
      <c r="K139" s="42"/>
      <c r="L13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39" s="43" t="str">
        <f>IF(tblProductos[[#This Row],[SKU]]="","",COUNTIF(tblEntradas[SKU],tblProductos[[#This Row],[SKU]])+COUNTIF(tblSalidas[SKU],tblProductos[[#This Row],[SKU]]))</f>
        <v/>
      </c>
      <c r="N13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0" spans="2:14" x14ac:dyDescent="0.25">
      <c r="B140" s="41"/>
      <c r="C140" s="41"/>
      <c r="D140" s="41"/>
      <c r="E140" s="42"/>
      <c r="F140" s="48"/>
      <c r="G140" s="48"/>
      <c r="H140" s="49"/>
      <c r="I140" s="41"/>
      <c r="J140" s="42"/>
      <c r="K140" s="42"/>
      <c r="L14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0" s="43" t="str">
        <f>IF(tblProductos[[#This Row],[SKU]]="","",COUNTIF(tblEntradas[SKU],tblProductos[[#This Row],[SKU]])+COUNTIF(tblSalidas[SKU],tblProductos[[#This Row],[SKU]]))</f>
        <v/>
      </c>
      <c r="N14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1" spans="2:14" x14ac:dyDescent="0.25">
      <c r="B141" s="41"/>
      <c r="C141" s="41"/>
      <c r="D141" s="41"/>
      <c r="E141" s="42"/>
      <c r="F141" s="48"/>
      <c r="G141" s="48"/>
      <c r="H141" s="49"/>
      <c r="I141" s="41"/>
      <c r="J141" s="42"/>
      <c r="K141" s="42"/>
      <c r="L14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1" s="43" t="str">
        <f>IF(tblProductos[[#This Row],[SKU]]="","",COUNTIF(tblEntradas[SKU],tblProductos[[#This Row],[SKU]])+COUNTIF(tblSalidas[SKU],tblProductos[[#This Row],[SKU]]))</f>
        <v/>
      </c>
      <c r="N14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2" spans="2:14" x14ac:dyDescent="0.25">
      <c r="B142" s="41"/>
      <c r="C142" s="41"/>
      <c r="D142" s="41"/>
      <c r="E142" s="42"/>
      <c r="F142" s="48"/>
      <c r="G142" s="48"/>
      <c r="H142" s="49"/>
      <c r="I142" s="41"/>
      <c r="J142" s="42"/>
      <c r="K142" s="42"/>
      <c r="L14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2" s="43" t="str">
        <f>IF(tblProductos[[#This Row],[SKU]]="","",COUNTIF(tblEntradas[SKU],tblProductos[[#This Row],[SKU]])+COUNTIF(tblSalidas[SKU],tblProductos[[#This Row],[SKU]]))</f>
        <v/>
      </c>
      <c r="N14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3" spans="2:14" x14ac:dyDescent="0.25">
      <c r="B143" s="41"/>
      <c r="C143" s="41"/>
      <c r="D143" s="41"/>
      <c r="E143" s="42"/>
      <c r="F143" s="48"/>
      <c r="G143" s="48"/>
      <c r="H143" s="49"/>
      <c r="I143" s="41"/>
      <c r="J143" s="42"/>
      <c r="K143" s="42"/>
      <c r="L14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3" s="43" t="str">
        <f>IF(tblProductos[[#This Row],[SKU]]="","",COUNTIF(tblEntradas[SKU],tblProductos[[#This Row],[SKU]])+COUNTIF(tblSalidas[SKU],tblProductos[[#This Row],[SKU]]))</f>
        <v/>
      </c>
      <c r="N14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4" spans="2:14" x14ac:dyDescent="0.25">
      <c r="B144" s="41"/>
      <c r="C144" s="41"/>
      <c r="D144" s="41"/>
      <c r="E144" s="42"/>
      <c r="F144" s="48"/>
      <c r="G144" s="48"/>
      <c r="H144" s="49"/>
      <c r="I144" s="41"/>
      <c r="J144" s="42"/>
      <c r="K144" s="42"/>
      <c r="L14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4" s="43" t="str">
        <f>IF(tblProductos[[#This Row],[SKU]]="","",COUNTIF(tblEntradas[SKU],tblProductos[[#This Row],[SKU]])+COUNTIF(tblSalidas[SKU],tblProductos[[#This Row],[SKU]]))</f>
        <v/>
      </c>
      <c r="N14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5" spans="2:14" x14ac:dyDescent="0.25">
      <c r="B145" s="41"/>
      <c r="C145" s="41"/>
      <c r="D145" s="41"/>
      <c r="E145" s="42"/>
      <c r="F145" s="48"/>
      <c r="G145" s="48"/>
      <c r="H145" s="49"/>
      <c r="I145" s="41"/>
      <c r="J145" s="42"/>
      <c r="K145" s="42"/>
      <c r="L14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5" s="43" t="str">
        <f>IF(tblProductos[[#This Row],[SKU]]="","",COUNTIF(tblEntradas[SKU],tblProductos[[#This Row],[SKU]])+COUNTIF(tblSalidas[SKU],tblProductos[[#This Row],[SKU]]))</f>
        <v/>
      </c>
      <c r="N14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6" spans="2:14" x14ac:dyDescent="0.25">
      <c r="B146" s="41"/>
      <c r="C146" s="41"/>
      <c r="D146" s="41"/>
      <c r="E146" s="42"/>
      <c r="F146" s="48"/>
      <c r="G146" s="48"/>
      <c r="H146" s="49"/>
      <c r="I146" s="41"/>
      <c r="J146" s="42"/>
      <c r="K146" s="42"/>
      <c r="L14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6" s="43" t="str">
        <f>IF(tblProductos[[#This Row],[SKU]]="","",COUNTIF(tblEntradas[SKU],tblProductos[[#This Row],[SKU]])+COUNTIF(tblSalidas[SKU],tblProductos[[#This Row],[SKU]]))</f>
        <v/>
      </c>
      <c r="N14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7" spans="2:14" x14ac:dyDescent="0.25">
      <c r="B147" s="41"/>
      <c r="C147" s="41"/>
      <c r="D147" s="41"/>
      <c r="E147" s="42"/>
      <c r="F147" s="48"/>
      <c r="G147" s="48"/>
      <c r="H147" s="49"/>
      <c r="I147" s="41"/>
      <c r="J147" s="42"/>
      <c r="K147" s="42"/>
      <c r="L14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7" s="43" t="str">
        <f>IF(tblProductos[[#This Row],[SKU]]="","",COUNTIF(tblEntradas[SKU],tblProductos[[#This Row],[SKU]])+COUNTIF(tblSalidas[SKU],tblProductos[[#This Row],[SKU]]))</f>
        <v/>
      </c>
      <c r="N14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8" spans="2:14" x14ac:dyDescent="0.25">
      <c r="B148" s="41"/>
      <c r="C148" s="41"/>
      <c r="D148" s="41"/>
      <c r="E148" s="42"/>
      <c r="F148" s="48"/>
      <c r="G148" s="48"/>
      <c r="H148" s="49"/>
      <c r="I148" s="41"/>
      <c r="J148" s="42"/>
      <c r="K148" s="42"/>
      <c r="L14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8" s="43" t="str">
        <f>IF(tblProductos[[#This Row],[SKU]]="","",COUNTIF(tblEntradas[SKU],tblProductos[[#This Row],[SKU]])+COUNTIF(tblSalidas[SKU],tblProductos[[#This Row],[SKU]]))</f>
        <v/>
      </c>
      <c r="N14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9" spans="2:14" x14ac:dyDescent="0.25">
      <c r="B149" s="41"/>
      <c r="C149" s="41"/>
      <c r="D149" s="41"/>
      <c r="E149" s="42"/>
      <c r="F149" s="48"/>
      <c r="G149" s="48"/>
      <c r="H149" s="49"/>
      <c r="I149" s="41"/>
      <c r="J149" s="42"/>
      <c r="K149" s="42"/>
      <c r="L14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49" s="43" t="str">
        <f>IF(tblProductos[[#This Row],[SKU]]="","",COUNTIF(tblEntradas[SKU],tblProductos[[#This Row],[SKU]])+COUNTIF(tblSalidas[SKU],tblProductos[[#This Row],[SKU]]))</f>
        <v/>
      </c>
      <c r="N14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0" spans="2:14" x14ac:dyDescent="0.25">
      <c r="B150" s="41"/>
      <c r="C150" s="41"/>
      <c r="D150" s="41"/>
      <c r="E150" s="42"/>
      <c r="F150" s="48"/>
      <c r="G150" s="48"/>
      <c r="H150" s="49"/>
      <c r="I150" s="41"/>
      <c r="J150" s="42"/>
      <c r="K150" s="42"/>
      <c r="L15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0" s="43" t="str">
        <f>IF(tblProductos[[#This Row],[SKU]]="","",COUNTIF(tblEntradas[SKU],tblProductos[[#This Row],[SKU]])+COUNTIF(tblSalidas[SKU],tblProductos[[#This Row],[SKU]]))</f>
        <v/>
      </c>
      <c r="N15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1" spans="2:14" x14ac:dyDescent="0.25">
      <c r="B151" s="41"/>
      <c r="C151" s="41"/>
      <c r="D151" s="41"/>
      <c r="E151" s="42"/>
      <c r="F151" s="48"/>
      <c r="G151" s="48"/>
      <c r="H151" s="49"/>
      <c r="I151" s="41"/>
      <c r="J151" s="42"/>
      <c r="K151" s="42"/>
      <c r="L15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1" s="43" t="str">
        <f>IF(tblProductos[[#This Row],[SKU]]="","",COUNTIF(tblEntradas[SKU],tblProductos[[#This Row],[SKU]])+COUNTIF(tblSalidas[SKU],tblProductos[[#This Row],[SKU]]))</f>
        <v/>
      </c>
      <c r="N15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2" spans="2:14" x14ac:dyDescent="0.25">
      <c r="B152" s="41"/>
      <c r="C152" s="41"/>
      <c r="D152" s="41"/>
      <c r="E152" s="42"/>
      <c r="F152" s="48"/>
      <c r="G152" s="48"/>
      <c r="H152" s="49"/>
      <c r="I152" s="41"/>
      <c r="J152" s="42"/>
      <c r="K152" s="42"/>
      <c r="L15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2" s="43" t="str">
        <f>IF(tblProductos[[#This Row],[SKU]]="","",COUNTIF(tblEntradas[SKU],tblProductos[[#This Row],[SKU]])+COUNTIF(tblSalidas[SKU],tblProductos[[#This Row],[SKU]]))</f>
        <v/>
      </c>
      <c r="N15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3" spans="2:14" x14ac:dyDescent="0.25">
      <c r="B153" s="41"/>
      <c r="C153" s="41"/>
      <c r="D153" s="41"/>
      <c r="E153" s="42"/>
      <c r="F153" s="48"/>
      <c r="G153" s="48"/>
      <c r="H153" s="49"/>
      <c r="I153" s="41"/>
      <c r="J153" s="42"/>
      <c r="K153" s="42"/>
      <c r="L15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3" s="43" t="str">
        <f>IF(tblProductos[[#This Row],[SKU]]="","",COUNTIF(tblEntradas[SKU],tblProductos[[#This Row],[SKU]])+COUNTIF(tblSalidas[SKU],tblProductos[[#This Row],[SKU]]))</f>
        <v/>
      </c>
      <c r="N15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4" spans="2:14" x14ac:dyDescent="0.25">
      <c r="B154" s="41"/>
      <c r="C154" s="41"/>
      <c r="D154" s="41"/>
      <c r="E154" s="42"/>
      <c r="F154" s="48"/>
      <c r="G154" s="48"/>
      <c r="H154" s="49"/>
      <c r="I154" s="41"/>
      <c r="J154" s="42"/>
      <c r="K154" s="42"/>
      <c r="L15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4" s="43" t="str">
        <f>IF(tblProductos[[#This Row],[SKU]]="","",COUNTIF(tblEntradas[SKU],tblProductos[[#This Row],[SKU]])+COUNTIF(tblSalidas[SKU],tblProductos[[#This Row],[SKU]]))</f>
        <v/>
      </c>
      <c r="N15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5" spans="2:14" x14ac:dyDescent="0.25">
      <c r="B155" s="41"/>
      <c r="C155" s="41"/>
      <c r="D155" s="41"/>
      <c r="E155" s="42"/>
      <c r="F155" s="48"/>
      <c r="G155" s="48"/>
      <c r="H155" s="49"/>
      <c r="I155" s="41"/>
      <c r="J155" s="42"/>
      <c r="K155" s="42"/>
      <c r="L15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5" s="43" t="str">
        <f>IF(tblProductos[[#This Row],[SKU]]="","",COUNTIF(tblEntradas[SKU],tblProductos[[#This Row],[SKU]])+COUNTIF(tblSalidas[SKU],tblProductos[[#This Row],[SKU]]))</f>
        <v/>
      </c>
      <c r="N15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6" spans="2:14" x14ac:dyDescent="0.25">
      <c r="B156" s="41"/>
      <c r="C156" s="41"/>
      <c r="D156" s="41"/>
      <c r="E156" s="42"/>
      <c r="F156" s="48"/>
      <c r="G156" s="48"/>
      <c r="H156" s="49"/>
      <c r="I156" s="41"/>
      <c r="J156" s="42"/>
      <c r="K156" s="42"/>
      <c r="L15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6" s="43" t="str">
        <f>IF(tblProductos[[#This Row],[SKU]]="","",COUNTIF(tblEntradas[SKU],tblProductos[[#This Row],[SKU]])+COUNTIF(tblSalidas[SKU],tblProductos[[#This Row],[SKU]]))</f>
        <v/>
      </c>
      <c r="N15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7" spans="2:14" x14ac:dyDescent="0.25">
      <c r="B157" s="41"/>
      <c r="C157" s="41"/>
      <c r="D157" s="41"/>
      <c r="E157" s="42"/>
      <c r="F157" s="48"/>
      <c r="G157" s="48"/>
      <c r="H157" s="49"/>
      <c r="I157" s="41"/>
      <c r="J157" s="42"/>
      <c r="K157" s="42"/>
      <c r="L15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7" s="43" t="str">
        <f>IF(tblProductos[[#This Row],[SKU]]="","",COUNTIF(tblEntradas[SKU],tblProductos[[#This Row],[SKU]])+COUNTIF(tblSalidas[SKU],tblProductos[[#This Row],[SKU]]))</f>
        <v/>
      </c>
      <c r="N15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8" spans="2:14" x14ac:dyDescent="0.25">
      <c r="B158" s="41"/>
      <c r="C158" s="41"/>
      <c r="D158" s="41"/>
      <c r="E158" s="42"/>
      <c r="F158" s="48"/>
      <c r="G158" s="48"/>
      <c r="H158" s="49"/>
      <c r="I158" s="41"/>
      <c r="J158" s="42"/>
      <c r="K158" s="42"/>
      <c r="L15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8" s="43" t="str">
        <f>IF(tblProductos[[#This Row],[SKU]]="","",COUNTIF(tblEntradas[SKU],tblProductos[[#This Row],[SKU]])+COUNTIF(tblSalidas[SKU],tblProductos[[#This Row],[SKU]]))</f>
        <v/>
      </c>
      <c r="N15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9" spans="2:14" x14ac:dyDescent="0.25">
      <c r="B159" s="41"/>
      <c r="C159" s="41"/>
      <c r="D159" s="41"/>
      <c r="E159" s="42"/>
      <c r="F159" s="48"/>
      <c r="G159" s="48"/>
      <c r="H159" s="49"/>
      <c r="I159" s="41"/>
      <c r="J159" s="42"/>
      <c r="K159" s="42"/>
      <c r="L15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59" s="43" t="str">
        <f>IF(tblProductos[[#This Row],[SKU]]="","",COUNTIF(tblEntradas[SKU],tblProductos[[#This Row],[SKU]])+COUNTIF(tblSalidas[SKU],tblProductos[[#This Row],[SKU]]))</f>
        <v/>
      </c>
      <c r="N15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0" spans="2:14" x14ac:dyDescent="0.25">
      <c r="B160" s="41"/>
      <c r="C160" s="41"/>
      <c r="D160" s="41"/>
      <c r="E160" s="42"/>
      <c r="F160" s="48"/>
      <c r="G160" s="48"/>
      <c r="H160" s="49"/>
      <c r="I160" s="41"/>
      <c r="J160" s="42"/>
      <c r="K160" s="42"/>
      <c r="L16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0" s="43" t="str">
        <f>IF(tblProductos[[#This Row],[SKU]]="","",COUNTIF(tblEntradas[SKU],tblProductos[[#This Row],[SKU]])+COUNTIF(tblSalidas[SKU],tblProductos[[#This Row],[SKU]]))</f>
        <v/>
      </c>
      <c r="N16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1" spans="2:14" x14ac:dyDescent="0.25">
      <c r="B161" s="41"/>
      <c r="C161" s="41"/>
      <c r="D161" s="41"/>
      <c r="E161" s="42"/>
      <c r="F161" s="48"/>
      <c r="G161" s="48"/>
      <c r="H161" s="49"/>
      <c r="I161" s="41"/>
      <c r="J161" s="42"/>
      <c r="K161" s="42"/>
      <c r="L16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1" s="43" t="str">
        <f>IF(tblProductos[[#This Row],[SKU]]="","",COUNTIF(tblEntradas[SKU],tblProductos[[#This Row],[SKU]])+COUNTIF(tblSalidas[SKU],tblProductos[[#This Row],[SKU]]))</f>
        <v/>
      </c>
      <c r="N16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2" spans="2:14" x14ac:dyDescent="0.25">
      <c r="B162" s="41"/>
      <c r="C162" s="41"/>
      <c r="D162" s="41"/>
      <c r="E162" s="42"/>
      <c r="F162" s="48"/>
      <c r="G162" s="48"/>
      <c r="H162" s="49"/>
      <c r="I162" s="41"/>
      <c r="J162" s="42"/>
      <c r="K162" s="42"/>
      <c r="L16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2" s="43" t="str">
        <f>IF(tblProductos[[#This Row],[SKU]]="","",COUNTIF(tblEntradas[SKU],tblProductos[[#This Row],[SKU]])+COUNTIF(tblSalidas[SKU],tblProductos[[#This Row],[SKU]]))</f>
        <v/>
      </c>
      <c r="N16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3" spans="2:14" x14ac:dyDescent="0.25">
      <c r="B163" s="41"/>
      <c r="C163" s="41"/>
      <c r="D163" s="41"/>
      <c r="E163" s="42"/>
      <c r="F163" s="48"/>
      <c r="G163" s="48"/>
      <c r="H163" s="49"/>
      <c r="I163" s="41"/>
      <c r="J163" s="42"/>
      <c r="K163" s="42"/>
      <c r="L16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3" s="43" t="str">
        <f>IF(tblProductos[[#This Row],[SKU]]="","",COUNTIF(tblEntradas[SKU],tblProductos[[#This Row],[SKU]])+COUNTIF(tblSalidas[SKU],tblProductos[[#This Row],[SKU]]))</f>
        <v/>
      </c>
      <c r="N16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4" spans="2:14" x14ac:dyDescent="0.25">
      <c r="B164" s="41"/>
      <c r="C164" s="41"/>
      <c r="D164" s="41"/>
      <c r="E164" s="42"/>
      <c r="F164" s="48"/>
      <c r="G164" s="48"/>
      <c r="H164" s="49"/>
      <c r="I164" s="41"/>
      <c r="J164" s="42"/>
      <c r="K164" s="42"/>
      <c r="L16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4" s="43" t="str">
        <f>IF(tblProductos[[#This Row],[SKU]]="","",COUNTIF(tblEntradas[SKU],tblProductos[[#This Row],[SKU]])+COUNTIF(tblSalidas[SKU],tblProductos[[#This Row],[SKU]]))</f>
        <v/>
      </c>
      <c r="N16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5" spans="2:14" x14ac:dyDescent="0.25">
      <c r="B165" s="41"/>
      <c r="C165" s="41"/>
      <c r="D165" s="41"/>
      <c r="E165" s="42"/>
      <c r="F165" s="48"/>
      <c r="G165" s="48"/>
      <c r="H165" s="49"/>
      <c r="I165" s="41"/>
      <c r="J165" s="42"/>
      <c r="K165" s="42"/>
      <c r="L16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5" s="43" t="str">
        <f>IF(tblProductos[[#This Row],[SKU]]="","",COUNTIF(tblEntradas[SKU],tblProductos[[#This Row],[SKU]])+COUNTIF(tblSalidas[SKU],tblProductos[[#This Row],[SKU]]))</f>
        <v/>
      </c>
      <c r="N16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6" spans="2:14" x14ac:dyDescent="0.25">
      <c r="B166" s="41"/>
      <c r="C166" s="41"/>
      <c r="D166" s="41"/>
      <c r="E166" s="42"/>
      <c r="F166" s="48"/>
      <c r="G166" s="48"/>
      <c r="H166" s="49"/>
      <c r="I166" s="41"/>
      <c r="J166" s="42"/>
      <c r="K166" s="42"/>
      <c r="L16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6" s="43" t="str">
        <f>IF(tblProductos[[#This Row],[SKU]]="","",COUNTIF(tblEntradas[SKU],tblProductos[[#This Row],[SKU]])+COUNTIF(tblSalidas[SKU],tblProductos[[#This Row],[SKU]]))</f>
        <v/>
      </c>
      <c r="N16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7" spans="2:14" x14ac:dyDescent="0.25">
      <c r="B167" s="41"/>
      <c r="C167" s="41"/>
      <c r="D167" s="41"/>
      <c r="E167" s="42"/>
      <c r="F167" s="48"/>
      <c r="G167" s="48"/>
      <c r="H167" s="49"/>
      <c r="I167" s="41"/>
      <c r="J167" s="42"/>
      <c r="K167" s="42"/>
      <c r="L16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7" s="43" t="str">
        <f>IF(tblProductos[[#This Row],[SKU]]="","",COUNTIF(tblEntradas[SKU],tblProductos[[#This Row],[SKU]])+COUNTIF(tblSalidas[SKU],tblProductos[[#This Row],[SKU]]))</f>
        <v/>
      </c>
      <c r="N16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8" spans="2:14" x14ac:dyDescent="0.25">
      <c r="B168" s="41"/>
      <c r="C168" s="41"/>
      <c r="D168" s="41"/>
      <c r="E168" s="42"/>
      <c r="F168" s="48"/>
      <c r="G168" s="48"/>
      <c r="H168" s="49"/>
      <c r="I168" s="41"/>
      <c r="J168" s="42"/>
      <c r="K168" s="42"/>
      <c r="L16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8" s="43" t="str">
        <f>IF(tblProductos[[#This Row],[SKU]]="","",COUNTIF(tblEntradas[SKU],tblProductos[[#This Row],[SKU]])+COUNTIF(tblSalidas[SKU],tblProductos[[#This Row],[SKU]]))</f>
        <v/>
      </c>
      <c r="N16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9" spans="2:14" x14ac:dyDescent="0.25">
      <c r="B169" s="41"/>
      <c r="C169" s="41"/>
      <c r="D169" s="41"/>
      <c r="E169" s="42"/>
      <c r="F169" s="48"/>
      <c r="G169" s="48"/>
      <c r="H169" s="49"/>
      <c r="I169" s="41"/>
      <c r="J169" s="42"/>
      <c r="K169" s="42"/>
      <c r="L16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69" s="43" t="str">
        <f>IF(tblProductos[[#This Row],[SKU]]="","",COUNTIF(tblEntradas[SKU],tblProductos[[#This Row],[SKU]])+COUNTIF(tblSalidas[SKU],tblProductos[[#This Row],[SKU]]))</f>
        <v/>
      </c>
      <c r="N16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0" spans="2:14" x14ac:dyDescent="0.25">
      <c r="B170" s="41"/>
      <c r="C170" s="41"/>
      <c r="D170" s="41"/>
      <c r="E170" s="42"/>
      <c r="F170" s="48"/>
      <c r="G170" s="48"/>
      <c r="H170" s="49"/>
      <c r="I170" s="41"/>
      <c r="J170" s="42"/>
      <c r="K170" s="42"/>
      <c r="L17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0" s="43" t="str">
        <f>IF(tblProductos[[#This Row],[SKU]]="","",COUNTIF(tblEntradas[SKU],tblProductos[[#This Row],[SKU]])+COUNTIF(tblSalidas[SKU],tblProductos[[#This Row],[SKU]]))</f>
        <v/>
      </c>
      <c r="N17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1" spans="2:14" x14ac:dyDescent="0.25">
      <c r="B171" s="41"/>
      <c r="C171" s="41"/>
      <c r="D171" s="41"/>
      <c r="E171" s="42"/>
      <c r="F171" s="48"/>
      <c r="G171" s="48"/>
      <c r="H171" s="49"/>
      <c r="I171" s="41"/>
      <c r="J171" s="42"/>
      <c r="K171" s="42"/>
      <c r="L17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1" s="43" t="str">
        <f>IF(tblProductos[[#This Row],[SKU]]="","",COUNTIF(tblEntradas[SKU],tblProductos[[#This Row],[SKU]])+COUNTIF(tblSalidas[SKU],tblProductos[[#This Row],[SKU]]))</f>
        <v/>
      </c>
      <c r="N17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2" spans="2:14" x14ac:dyDescent="0.25">
      <c r="B172" s="41"/>
      <c r="C172" s="41"/>
      <c r="D172" s="41"/>
      <c r="E172" s="42"/>
      <c r="F172" s="48"/>
      <c r="G172" s="48"/>
      <c r="H172" s="49"/>
      <c r="I172" s="41"/>
      <c r="J172" s="42"/>
      <c r="K172" s="42"/>
      <c r="L17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2" s="43" t="str">
        <f>IF(tblProductos[[#This Row],[SKU]]="","",COUNTIF(tblEntradas[SKU],tblProductos[[#This Row],[SKU]])+COUNTIF(tblSalidas[SKU],tblProductos[[#This Row],[SKU]]))</f>
        <v/>
      </c>
      <c r="N17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3" spans="2:14" x14ac:dyDescent="0.25">
      <c r="B173" s="41"/>
      <c r="C173" s="41"/>
      <c r="D173" s="41"/>
      <c r="E173" s="42"/>
      <c r="F173" s="48"/>
      <c r="G173" s="48"/>
      <c r="H173" s="49"/>
      <c r="I173" s="41"/>
      <c r="J173" s="42"/>
      <c r="K173" s="42"/>
      <c r="L17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3" s="43" t="str">
        <f>IF(tblProductos[[#This Row],[SKU]]="","",COUNTIF(tblEntradas[SKU],tblProductos[[#This Row],[SKU]])+COUNTIF(tblSalidas[SKU],tblProductos[[#This Row],[SKU]]))</f>
        <v/>
      </c>
      <c r="N17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4" spans="2:14" x14ac:dyDescent="0.25">
      <c r="B174" s="41"/>
      <c r="C174" s="41"/>
      <c r="D174" s="41"/>
      <c r="E174" s="42"/>
      <c r="F174" s="48"/>
      <c r="G174" s="48"/>
      <c r="H174" s="49"/>
      <c r="I174" s="41"/>
      <c r="J174" s="42"/>
      <c r="K174" s="42"/>
      <c r="L17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4" s="43" t="str">
        <f>IF(tblProductos[[#This Row],[SKU]]="","",COUNTIF(tblEntradas[SKU],tblProductos[[#This Row],[SKU]])+COUNTIF(tblSalidas[SKU],tblProductos[[#This Row],[SKU]]))</f>
        <v/>
      </c>
      <c r="N17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5" spans="2:14" x14ac:dyDescent="0.25">
      <c r="B175" s="41"/>
      <c r="C175" s="41"/>
      <c r="D175" s="41"/>
      <c r="E175" s="42"/>
      <c r="F175" s="48"/>
      <c r="G175" s="48"/>
      <c r="H175" s="49"/>
      <c r="I175" s="41"/>
      <c r="J175" s="42"/>
      <c r="K175" s="42"/>
      <c r="L17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5" s="43" t="str">
        <f>IF(tblProductos[[#This Row],[SKU]]="","",COUNTIF(tblEntradas[SKU],tblProductos[[#This Row],[SKU]])+COUNTIF(tblSalidas[SKU],tblProductos[[#This Row],[SKU]]))</f>
        <v/>
      </c>
      <c r="N17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6" spans="2:14" x14ac:dyDescent="0.25">
      <c r="B176" s="41"/>
      <c r="C176" s="41"/>
      <c r="D176" s="41"/>
      <c r="E176" s="42"/>
      <c r="F176" s="48"/>
      <c r="G176" s="48"/>
      <c r="H176" s="49"/>
      <c r="I176" s="41"/>
      <c r="J176" s="42"/>
      <c r="K176" s="42"/>
      <c r="L17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6" s="43" t="str">
        <f>IF(tblProductos[[#This Row],[SKU]]="","",COUNTIF(tblEntradas[SKU],tblProductos[[#This Row],[SKU]])+COUNTIF(tblSalidas[SKU],tblProductos[[#This Row],[SKU]]))</f>
        <v/>
      </c>
      <c r="N17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7" spans="2:14" x14ac:dyDescent="0.25">
      <c r="B177" s="41"/>
      <c r="C177" s="41"/>
      <c r="D177" s="41"/>
      <c r="E177" s="42"/>
      <c r="F177" s="48"/>
      <c r="G177" s="48"/>
      <c r="H177" s="49"/>
      <c r="I177" s="41"/>
      <c r="J177" s="42"/>
      <c r="K177" s="42"/>
      <c r="L17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7" s="43" t="str">
        <f>IF(tblProductos[[#This Row],[SKU]]="","",COUNTIF(tblEntradas[SKU],tblProductos[[#This Row],[SKU]])+COUNTIF(tblSalidas[SKU],tblProductos[[#This Row],[SKU]]))</f>
        <v/>
      </c>
      <c r="N17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8" spans="2:14" x14ac:dyDescent="0.25">
      <c r="B178" s="41"/>
      <c r="C178" s="41"/>
      <c r="D178" s="41"/>
      <c r="E178" s="42"/>
      <c r="F178" s="48"/>
      <c r="G178" s="48"/>
      <c r="H178" s="49"/>
      <c r="I178" s="41"/>
      <c r="J178" s="42"/>
      <c r="K178" s="42"/>
      <c r="L17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8" s="43" t="str">
        <f>IF(tblProductos[[#This Row],[SKU]]="","",COUNTIF(tblEntradas[SKU],tblProductos[[#This Row],[SKU]])+COUNTIF(tblSalidas[SKU],tblProductos[[#This Row],[SKU]]))</f>
        <v/>
      </c>
      <c r="N17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9" spans="2:14" x14ac:dyDescent="0.25">
      <c r="B179" s="41"/>
      <c r="C179" s="41"/>
      <c r="D179" s="41"/>
      <c r="E179" s="42"/>
      <c r="F179" s="48"/>
      <c r="G179" s="48"/>
      <c r="H179" s="49"/>
      <c r="I179" s="41"/>
      <c r="J179" s="42"/>
      <c r="K179" s="42"/>
      <c r="L17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79" s="43" t="str">
        <f>IF(tblProductos[[#This Row],[SKU]]="","",COUNTIF(tblEntradas[SKU],tblProductos[[#This Row],[SKU]])+COUNTIF(tblSalidas[SKU],tblProductos[[#This Row],[SKU]]))</f>
        <v/>
      </c>
      <c r="N17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0" spans="2:14" x14ac:dyDescent="0.25">
      <c r="B180" s="41"/>
      <c r="C180" s="41"/>
      <c r="D180" s="41"/>
      <c r="E180" s="42"/>
      <c r="F180" s="48"/>
      <c r="G180" s="48"/>
      <c r="H180" s="49"/>
      <c r="I180" s="41"/>
      <c r="J180" s="42"/>
      <c r="K180" s="42"/>
      <c r="L18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0" s="43" t="str">
        <f>IF(tblProductos[[#This Row],[SKU]]="","",COUNTIF(tblEntradas[SKU],tblProductos[[#This Row],[SKU]])+COUNTIF(tblSalidas[SKU],tblProductos[[#This Row],[SKU]]))</f>
        <v/>
      </c>
      <c r="N18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1" spans="2:14" x14ac:dyDescent="0.25">
      <c r="B181" s="41"/>
      <c r="C181" s="41"/>
      <c r="D181" s="41"/>
      <c r="E181" s="42"/>
      <c r="F181" s="48"/>
      <c r="G181" s="48"/>
      <c r="H181" s="49"/>
      <c r="I181" s="41"/>
      <c r="J181" s="42"/>
      <c r="K181" s="42"/>
      <c r="L18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1" s="43" t="str">
        <f>IF(tblProductos[[#This Row],[SKU]]="","",COUNTIF(tblEntradas[SKU],tblProductos[[#This Row],[SKU]])+COUNTIF(tblSalidas[SKU],tblProductos[[#This Row],[SKU]]))</f>
        <v/>
      </c>
      <c r="N18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2" spans="2:14" x14ac:dyDescent="0.25">
      <c r="B182" s="41"/>
      <c r="C182" s="41"/>
      <c r="D182" s="41"/>
      <c r="E182" s="42"/>
      <c r="F182" s="48"/>
      <c r="G182" s="48"/>
      <c r="H182" s="49"/>
      <c r="I182" s="41"/>
      <c r="J182" s="42"/>
      <c r="K182" s="42"/>
      <c r="L18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2" s="43" t="str">
        <f>IF(tblProductos[[#This Row],[SKU]]="","",COUNTIF(tblEntradas[SKU],tblProductos[[#This Row],[SKU]])+COUNTIF(tblSalidas[SKU],tblProductos[[#This Row],[SKU]]))</f>
        <v/>
      </c>
      <c r="N18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3" spans="2:14" x14ac:dyDescent="0.25">
      <c r="B183" s="41"/>
      <c r="C183" s="41"/>
      <c r="D183" s="41"/>
      <c r="E183" s="42"/>
      <c r="F183" s="48"/>
      <c r="G183" s="48"/>
      <c r="H183" s="49"/>
      <c r="I183" s="41"/>
      <c r="J183" s="42"/>
      <c r="K183" s="42"/>
      <c r="L18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3" s="43" t="str">
        <f>IF(tblProductos[[#This Row],[SKU]]="","",COUNTIF(tblEntradas[SKU],tblProductos[[#This Row],[SKU]])+COUNTIF(tblSalidas[SKU],tblProductos[[#This Row],[SKU]]))</f>
        <v/>
      </c>
      <c r="N18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4" spans="2:14" x14ac:dyDescent="0.25">
      <c r="B184" s="41"/>
      <c r="C184" s="41"/>
      <c r="D184" s="41"/>
      <c r="E184" s="42"/>
      <c r="F184" s="48"/>
      <c r="G184" s="48"/>
      <c r="H184" s="49"/>
      <c r="I184" s="41"/>
      <c r="J184" s="42"/>
      <c r="K184" s="42"/>
      <c r="L18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4" s="43" t="str">
        <f>IF(tblProductos[[#This Row],[SKU]]="","",COUNTIF(tblEntradas[SKU],tblProductos[[#This Row],[SKU]])+COUNTIF(tblSalidas[SKU],tblProductos[[#This Row],[SKU]]))</f>
        <v/>
      </c>
      <c r="N18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5" spans="2:14" x14ac:dyDescent="0.25">
      <c r="B185" s="41"/>
      <c r="C185" s="41"/>
      <c r="D185" s="41"/>
      <c r="E185" s="42"/>
      <c r="F185" s="48"/>
      <c r="G185" s="48"/>
      <c r="H185" s="49"/>
      <c r="I185" s="41"/>
      <c r="J185" s="42"/>
      <c r="K185" s="42"/>
      <c r="L18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5" s="43" t="str">
        <f>IF(tblProductos[[#This Row],[SKU]]="","",COUNTIF(tblEntradas[SKU],tblProductos[[#This Row],[SKU]])+COUNTIF(tblSalidas[SKU],tblProductos[[#This Row],[SKU]]))</f>
        <v/>
      </c>
      <c r="N18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6" spans="2:14" x14ac:dyDescent="0.25">
      <c r="B186" s="41"/>
      <c r="C186" s="41"/>
      <c r="D186" s="41"/>
      <c r="E186" s="42"/>
      <c r="F186" s="48"/>
      <c r="G186" s="48"/>
      <c r="H186" s="49"/>
      <c r="I186" s="41"/>
      <c r="J186" s="42"/>
      <c r="K186" s="42"/>
      <c r="L18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6" s="43" t="str">
        <f>IF(tblProductos[[#This Row],[SKU]]="","",COUNTIF(tblEntradas[SKU],tblProductos[[#This Row],[SKU]])+COUNTIF(tblSalidas[SKU],tblProductos[[#This Row],[SKU]]))</f>
        <v/>
      </c>
      <c r="N18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7" spans="2:14" x14ac:dyDescent="0.25">
      <c r="B187" s="41"/>
      <c r="C187" s="41"/>
      <c r="D187" s="41"/>
      <c r="E187" s="42"/>
      <c r="F187" s="48"/>
      <c r="G187" s="48"/>
      <c r="H187" s="49"/>
      <c r="I187" s="41"/>
      <c r="J187" s="42"/>
      <c r="K187" s="42"/>
      <c r="L18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7" s="43" t="str">
        <f>IF(tblProductos[[#This Row],[SKU]]="","",COUNTIF(tblEntradas[SKU],tblProductos[[#This Row],[SKU]])+COUNTIF(tblSalidas[SKU],tblProductos[[#This Row],[SKU]]))</f>
        <v/>
      </c>
      <c r="N18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8" spans="2:14" x14ac:dyDescent="0.25">
      <c r="B188" s="41"/>
      <c r="C188" s="41"/>
      <c r="D188" s="41"/>
      <c r="E188" s="42"/>
      <c r="F188" s="48"/>
      <c r="G188" s="48"/>
      <c r="H188" s="49"/>
      <c r="I188" s="41"/>
      <c r="J188" s="42"/>
      <c r="K188" s="42"/>
      <c r="L18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8" s="43" t="str">
        <f>IF(tblProductos[[#This Row],[SKU]]="","",COUNTIF(tblEntradas[SKU],tblProductos[[#This Row],[SKU]])+COUNTIF(tblSalidas[SKU],tblProductos[[#This Row],[SKU]]))</f>
        <v/>
      </c>
      <c r="N18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9" spans="2:14" x14ac:dyDescent="0.25">
      <c r="B189" s="41"/>
      <c r="C189" s="41"/>
      <c r="D189" s="41"/>
      <c r="E189" s="42"/>
      <c r="F189" s="48"/>
      <c r="G189" s="48"/>
      <c r="H189" s="49"/>
      <c r="I189" s="41"/>
      <c r="J189" s="42"/>
      <c r="K189" s="42"/>
      <c r="L18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89" s="43" t="str">
        <f>IF(tblProductos[[#This Row],[SKU]]="","",COUNTIF(tblEntradas[SKU],tblProductos[[#This Row],[SKU]])+COUNTIF(tblSalidas[SKU],tblProductos[[#This Row],[SKU]]))</f>
        <v/>
      </c>
      <c r="N18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0" spans="2:14" x14ac:dyDescent="0.25">
      <c r="B190" s="41"/>
      <c r="C190" s="41"/>
      <c r="D190" s="41"/>
      <c r="E190" s="42"/>
      <c r="F190" s="48"/>
      <c r="G190" s="48"/>
      <c r="H190" s="49"/>
      <c r="I190" s="41"/>
      <c r="J190" s="42"/>
      <c r="K190" s="42"/>
      <c r="L19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0" s="43" t="str">
        <f>IF(tblProductos[[#This Row],[SKU]]="","",COUNTIF(tblEntradas[SKU],tblProductos[[#This Row],[SKU]])+COUNTIF(tblSalidas[SKU],tblProductos[[#This Row],[SKU]]))</f>
        <v/>
      </c>
      <c r="N19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1" spans="2:14" x14ac:dyDescent="0.25">
      <c r="B191" s="41"/>
      <c r="C191" s="41"/>
      <c r="D191" s="41"/>
      <c r="E191" s="42"/>
      <c r="F191" s="48"/>
      <c r="G191" s="48"/>
      <c r="H191" s="49"/>
      <c r="I191" s="41"/>
      <c r="J191" s="42"/>
      <c r="K191" s="42"/>
      <c r="L19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1" s="43" t="str">
        <f>IF(tblProductos[[#This Row],[SKU]]="","",COUNTIF(tblEntradas[SKU],tblProductos[[#This Row],[SKU]])+COUNTIF(tblSalidas[SKU],tblProductos[[#This Row],[SKU]]))</f>
        <v/>
      </c>
      <c r="N19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2" spans="2:14" x14ac:dyDescent="0.25">
      <c r="B192" s="41"/>
      <c r="C192" s="41"/>
      <c r="D192" s="41"/>
      <c r="E192" s="42"/>
      <c r="F192" s="48"/>
      <c r="G192" s="48"/>
      <c r="H192" s="49"/>
      <c r="I192" s="41"/>
      <c r="J192" s="42"/>
      <c r="K192" s="42"/>
      <c r="L19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2" s="43" t="str">
        <f>IF(tblProductos[[#This Row],[SKU]]="","",COUNTIF(tblEntradas[SKU],tblProductos[[#This Row],[SKU]])+COUNTIF(tblSalidas[SKU],tblProductos[[#This Row],[SKU]]))</f>
        <v/>
      </c>
      <c r="N19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3" spans="2:14" x14ac:dyDescent="0.25">
      <c r="B193" s="41"/>
      <c r="C193" s="41"/>
      <c r="D193" s="41"/>
      <c r="E193" s="42"/>
      <c r="F193" s="48"/>
      <c r="G193" s="48"/>
      <c r="H193" s="49"/>
      <c r="I193" s="41"/>
      <c r="J193" s="42"/>
      <c r="K193" s="42"/>
      <c r="L19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3" s="43" t="str">
        <f>IF(tblProductos[[#This Row],[SKU]]="","",COUNTIF(tblEntradas[SKU],tblProductos[[#This Row],[SKU]])+COUNTIF(tblSalidas[SKU],tblProductos[[#This Row],[SKU]]))</f>
        <v/>
      </c>
      <c r="N19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4" spans="2:14" x14ac:dyDescent="0.25">
      <c r="B194" s="41"/>
      <c r="C194" s="41"/>
      <c r="D194" s="41"/>
      <c r="E194" s="42"/>
      <c r="F194" s="48"/>
      <c r="G194" s="48"/>
      <c r="H194" s="49"/>
      <c r="I194" s="41"/>
      <c r="J194" s="42"/>
      <c r="K194" s="42"/>
      <c r="L19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4" s="43" t="str">
        <f>IF(tblProductos[[#This Row],[SKU]]="","",COUNTIF(tblEntradas[SKU],tblProductos[[#This Row],[SKU]])+COUNTIF(tblSalidas[SKU],tblProductos[[#This Row],[SKU]]))</f>
        <v/>
      </c>
      <c r="N19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5" spans="2:14" x14ac:dyDescent="0.25">
      <c r="B195" s="41"/>
      <c r="C195" s="41"/>
      <c r="D195" s="41"/>
      <c r="E195" s="42"/>
      <c r="F195" s="48"/>
      <c r="G195" s="48"/>
      <c r="H195" s="49"/>
      <c r="I195" s="41"/>
      <c r="J195" s="42"/>
      <c r="K195" s="42"/>
      <c r="L19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5" s="43" t="str">
        <f>IF(tblProductos[[#This Row],[SKU]]="","",COUNTIF(tblEntradas[SKU],tblProductos[[#This Row],[SKU]])+COUNTIF(tblSalidas[SKU],tblProductos[[#This Row],[SKU]]))</f>
        <v/>
      </c>
      <c r="N19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6" spans="2:14" x14ac:dyDescent="0.25">
      <c r="B196" s="41"/>
      <c r="C196" s="41"/>
      <c r="D196" s="41"/>
      <c r="E196" s="42"/>
      <c r="F196" s="48"/>
      <c r="G196" s="48"/>
      <c r="H196" s="49"/>
      <c r="I196" s="41"/>
      <c r="J196" s="42"/>
      <c r="K196" s="42"/>
      <c r="L19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6" s="43" t="str">
        <f>IF(tblProductos[[#This Row],[SKU]]="","",COUNTIF(tblEntradas[SKU],tblProductos[[#This Row],[SKU]])+COUNTIF(tblSalidas[SKU],tblProductos[[#This Row],[SKU]]))</f>
        <v/>
      </c>
      <c r="N19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7" spans="2:14" x14ac:dyDescent="0.25">
      <c r="B197" s="41"/>
      <c r="C197" s="41"/>
      <c r="D197" s="41"/>
      <c r="E197" s="42"/>
      <c r="F197" s="48"/>
      <c r="G197" s="48"/>
      <c r="H197" s="49"/>
      <c r="I197" s="41"/>
      <c r="J197" s="42"/>
      <c r="K197" s="42"/>
      <c r="L19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7" s="43" t="str">
        <f>IF(tblProductos[[#This Row],[SKU]]="","",COUNTIF(tblEntradas[SKU],tblProductos[[#This Row],[SKU]])+COUNTIF(tblSalidas[SKU],tblProductos[[#This Row],[SKU]]))</f>
        <v/>
      </c>
      <c r="N19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8" spans="2:14" x14ac:dyDescent="0.25">
      <c r="B198" s="41"/>
      <c r="C198" s="41"/>
      <c r="D198" s="41"/>
      <c r="E198" s="42"/>
      <c r="F198" s="48"/>
      <c r="G198" s="48"/>
      <c r="H198" s="49"/>
      <c r="I198" s="41"/>
      <c r="J198" s="42"/>
      <c r="K198" s="42"/>
      <c r="L19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8" s="43" t="str">
        <f>IF(tblProductos[[#This Row],[SKU]]="","",COUNTIF(tblEntradas[SKU],tblProductos[[#This Row],[SKU]])+COUNTIF(tblSalidas[SKU],tblProductos[[#This Row],[SKU]]))</f>
        <v/>
      </c>
      <c r="N19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9" spans="2:14" x14ac:dyDescent="0.25">
      <c r="B199" s="41"/>
      <c r="C199" s="41"/>
      <c r="D199" s="41"/>
      <c r="E199" s="42"/>
      <c r="F199" s="48"/>
      <c r="G199" s="48"/>
      <c r="H199" s="49"/>
      <c r="I199" s="41"/>
      <c r="J199" s="42"/>
      <c r="K199" s="42"/>
      <c r="L19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199" s="43" t="str">
        <f>IF(tblProductos[[#This Row],[SKU]]="","",COUNTIF(tblEntradas[SKU],tblProductos[[#This Row],[SKU]])+COUNTIF(tblSalidas[SKU],tblProductos[[#This Row],[SKU]]))</f>
        <v/>
      </c>
      <c r="N19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0" spans="2:14" x14ac:dyDescent="0.25">
      <c r="B200" s="41"/>
      <c r="C200" s="41"/>
      <c r="D200" s="41"/>
      <c r="E200" s="42"/>
      <c r="F200" s="48"/>
      <c r="G200" s="48"/>
      <c r="H200" s="49"/>
      <c r="I200" s="41"/>
      <c r="J200" s="42"/>
      <c r="K200" s="42"/>
      <c r="L20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0" s="43" t="str">
        <f>IF(tblProductos[[#This Row],[SKU]]="","",COUNTIF(tblEntradas[SKU],tblProductos[[#This Row],[SKU]])+COUNTIF(tblSalidas[SKU],tblProductos[[#This Row],[SKU]]))</f>
        <v/>
      </c>
      <c r="N20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1" spans="2:14" x14ac:dyDescent="0.25">
      <c r="B201" s="41"/>
      <c r="C201" s="41"/>
      <c r="D201" s="41"/>
      <c r="E201" s="42"/>
      <c r="F201" s="48"/>
      <c r="G201" s="48"/>
      <c r="H201" s="49"/>
      <c r="I201" s="41"/>
      <c r="J201" s="42"/>
      <c r="K201" s="42"/>
      <c r="L20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1" s="43" t="str">
        <f>IF(tblProductos[[#This Row],[SKU]]="","",COUNTIF(tblEntradas[SKU],tblProductos[[#This Row],[SKU]])+COUNTIF(tblSalidas[SKU],tblProductos[[#This Row],[SKU]]))</f>
        <v/>
      </c>
      <c r="N20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2" spans="2:14" x14ac:dyDescent="0.25">
      <c r="B202" s="41"/>
      <c r="C202" s="41"/>
      <c r="D202" s="41"/>
      <c r="E202" s="42"/>
      <c r="F202" s="48"/>
      <c r="G202" s="48"/>
      <c r="H202" s="49"/>
      <c r="I202" s="41"/>
      <c r="J202" s="42"/>
      <c r="K202" s="42"/>
      <c r="L20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2" s="43" t="str">
        <f>IF(tblProductos[[#This Row],[SKU]]="","",COUNTIF(tblEntradas[SKU],tblProductos[[#This Row],[SKU]])+COUNTIF(tblSalidas[SKU],tblProductos[[#This Row],[SKU]]))</f>
        <v/>
      </c>
      <c r="N20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3" spans="2:14" x14ac:dyDescent="0.25">
      <c r="B203" s="41"/>
      <c r="C203" s="41"/>
      <c r="D203" s="41"/>
      <c r="E203" s="42"/>
      <c r="F203" s="48"/>
      <c r="G203" s="48"/>
      <c r="H203" s="49"/>
      <c r="I203" s="41"/>
      <c r="J203" s="42"/>
      <c r="K203" s="42"/>
      <c r="L20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3" s="43" t="str">
        <f>IF(tblProductos[[#This Row],[SKU]]="","",COUNTIF(tblEntradas[SKU],tblProductos[[#This Row],[SKU]])+COUNTIF(tblSalidas[SKU],tblProductos[[#This Row],[SKU]]))</f>
        <v/>
      </c>
      <c r="N20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4" spans="2:14" x14ac:dyDescent="0.25">
      <c r="B204" s="41"/>
      <c r="C204" s="41"/>
      <c r="D204" s="41"/>
      <c r="E204" s="42"/>
      <c r="F204" s="48"/>
      <c r="G204" s="48"/>
      <c r="H204" s="49"/>
      <c r="I204" s="41"/>
      <c r="J204" s="42"/>
      <c r="K204" s="42"/>
      <c r="L20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4" s="43" t="str">
        <f>IF(tblProductos[[#This Row],[SKU]]="","",COUNTIF(tblEntradas[SKU],tblProductos[[#This Row],[SKU]])+COUNTIF(tblSalidas[SKU],tblProductos[[#This Row],[SKU]]))</f>
        <v/>
      </c>
      <c r="N20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5" spans="2:14" x14ac:dyDescent="0.25">
      <c r="B205" s="41"/>
      <c r="C205" s="41"/>
      <c r="D205" s="41"/>
      <c r="E205" s="42"/>
      <c r="F205" s="48"/>
      <c r="G205" s="48"/>
      <c r="H205" s="49"/>
      <c r="I205" s="41"/>
      <c r="J205" s="42"/>
      <c r="K205" s="42"/>
      <c r="L20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5" s="43" t="str">
        <f>IF(tblProductos[[#This Row],[SKU]]="","",COUNTIF(tblEntradas[SKU],tblProductos[[#This Row],[SKU]])+COUNTIF(tblSalidas[SKU],tblProductos[[#This Row],[SKU]]))</f>
        <v/>
      </c>
      <c r="N20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6" spans="2:14" x14ac:dyDescent="0.25">
      <c r="B206" s="41"/>
      <c r="C206" s="41"/>
      <c r="D206" s="41"/>
      <c r="E206" s="42"/>
      <c r="F206" s="48"/>
      <c r="G206" s="48"/>
      <c r="H206" s="49"/>
      <c r="I206" s="41"/>
      <c r="J206" s="42"/>
      <c r="K206" s="42"/>
      <c r="L20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6" s="43" t="str">
        <f>IF(tblProductos[[#This Row],[SKU]]="","",COUNTIF(tblEntradas[SKU],tblProductos[[#This Row],[SKU]])+COUNTIF(tblSalidas[SKU],tblProductos[[#This Row],[SKU]]))</f>
        <v/>
      </c>
      <c r="N20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7" spans="2:14" x14ac:dyDescent="0.25">
      <c r="B207" s="41"/>
      <c r="C207" s="41"/>
      <c r="D207" s="41"/>
      <c r="E207" s="42"/>
      <c r="F207" s="48"/>
      <c r="G207" s="48"/>
      <c r="H207" s="49"/>
      <c r="I207" s="41"/>
      <c r="J207" s="42"/>
      <c r="K207" s="42"/>
      <c r="L20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7" s="43" t="str">
        <f>IF(tblProductos[[#This Row],[SKU]]="","",COUNTIF(tblEntradas[SKU],tblProductos[[#This Row],[SKU]])+COUNTIF(tblSalidas[SKU],tblProductos[[#This Row],[SKU]]))</f>
        <v/>
      </c>
      <c r="N20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8" spans="2:14" x14ac:dyDescent="0.25">
      <c r="B208" s="41"/>
      <c r="C208" s="41"/>
      <c r="D208" s="41"/>
      <c r="E208" s="42"/>
      <c r="F208" s="48"/>
      <c r="G208" s="48"/>
      <c r="H208" s="49"/>
      <c r="I208" s="41"/>
      <c r="J208" s="42"/>
      <c r="K208" s="42"/>
      <c r="L20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8" s="43" t="str">
        <f>IF(tblProductos[[#This Row],[SKU]]="","",COUNTIF(tblEntradas[SKU],tblProductos[[#This Row],[SKU]])+COUNTIF(tblSalidas[SKU],tblProductos[[#This Row],[SKU]]))</f>
        <v/>
      </c>
      <c r="N20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9" spans="2:14" x14ac:dyDescent="0.25">
      <c r="B209" s="41"/>
      <c r="C209" s="41"/>
      <c r="D209" s="41"/>
      <c r="E209" s="42"/>
      <c r="F209" s="48"/>
      <c r="G209" s="48"/>
      <c r="H209" s="49"/>
      <c r="I209" s="41"/>
      <c r="J209" s="42"/>
      <c r="K209" s="42"/>
      <c r="L20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09" s="43" t="str">
        <f>IF(tblProductos[[#This Row],[SKU]]="","",COUNTIF(tblEntradas[SKU],tblProductos[[#This Row],[SKU]])+COUNTIF(tblSalidas[SKU],tblProductos[[#This Row],[SKU]]))</f>
        <v/>
      </c>
      <c r="N20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0" spans="2:14" x14ac:dyDescent="0.25">
      <c r="B210" s="41"/>
      <c r="C210" s="41"/>
      <c r="D210" s="41"/>
      <c r="E210" s="42"/>
      <c r="F210" s="48"/>
      <c r="G210" s="48"/>
      <c r="H210" s="49"/>
      <c r="I210" s="41"/>
      <c r="J210" s="42"/>
      <c r="K210" s="42"/>
      <c r="L21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0" s="43" t="str">
        <f>IF(tblProductos[[#This Row],[SKU]]="","",COUNTIF(tblEntradas[SKU],tblProductos[[#This Row],[SKU]])+COUNTIF(tblSalidas[SKU],tblProductos[[#This Row],[SKU]]))</f>
        <v/>
      </c>
      <c r="N21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1" spans="2:14" x14ac:dyDescent="0.25">
      <c r="B211" s="41"/>
      <c r="C211" s="41"/>
      <c r="D211" s="41"/>
      <c r="E211" s="42"/>
      <c r="F211" s="48"/>
      <c r="G211" s="48"/>
      <c r="H211" s="49"/>
      <c r="I211" s="41"/>
      <c r="J211" s="42"/>
      <c r="K211" s="42"/>
      <c r="L21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1" s="43" t="str">
        <f>IF(tblProductos[[#This Row],[SKU]]="","",COUNTIF(tblEntradas[SKU],tblProductos[[#This Row],[SKU]])+COUNTIF(tblSalidas[SKU],tblProductos[[#This Row],[SKU]]))</f>
        <v/>
      </c>
      <c r="N21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2" spans="2:14" x14ac:dyDescent="0.25">
      <c r="B212" s="41"/>
      <c r="C212" s="41"/>
      <c r="D212" s="41"/>
      <c r="E212" s="42"/>
      <c r="F212" s="48"/>
      <c r="G212" s="48"/>
      <c r="H212" s="49"/>
      <c r="I212" s="41"/>
      <c r="J212" s="42"/>
      <c r="K212" s="42"/>
      <c r="L21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2" s="43" t="str">
        <f>IF(tblProductos[[#This Row],[SKU]]="","",COUNTIF(tblEntradas[SKU],tblProductos[[#This Row],[SKU]])+COUNTIF(tblSalidas[SKU],tblProductos[[#This Row],[SKU]]))</f>
        <v/>
      </c>
      <c r="N21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3" spans="2:14" x14ac:dyDescent="0.25">
      <c r="B213" s="41"/>
      <c r="C213" s="41"/>
      <c r="D213" s="41"/>
      <c r="E213" s="42"/>
      <c r="F213" s="48"/>
      <c r="G213" s="48"/>
      <c r="H213" s="49"/>
      <c r="I213" s="41"/>
      <c r="J213" s="42"/>
      <c r="K213" s="42"/>
      <c r="L21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3" s="43" t="str">
        <f>IF(tblProductos[[#This Row],[SKU]]="","",COUNTIF(tblEntradas[SKU],tblProductos[[#This Row],[SKU]])+COUNTIF(tblSalidas[SKU],tblProductos[[#This Row],[SKU]]))</f>
        <v/>
      </c>
      <c r="N21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4" spans="2:14" x14ac:dyDescent="0.25">
      <c r="B214" s="41"/>
      <c r="C214" s="41"/>
      <c r="D214" s="41"/>
      <c r="E214" s="42"/>
      <c r="F214" s="48"/>
      <c r="G214" s="48"/>
      <c r="H214" s="49"/>
      <c r="I214" s="41"/>
      <c r="J214" s="42"/>
      <c r="K214" s="42"/>
      <c r="L21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4" s="43" t="str">
        <f>IF(tblProductos[[#This Row],[SKU]]="","",COUNTIF(tblEntradas[SKU],tblProductos[[#This Row],[SKU]])+COUNTIF(tblSalidas[SKU],tblProductos[[#This Row],[SKU]]))</f>
        <v/>
      </c>
      <c r="N21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5" spans="2:14" x14ac:dyDescent="0.25">
      <c r="B215" s="41"/>
      <c r="C215" s="41"/>
      <c r="D215" s="41"/>
      <c r="E215" s="42"/>
      <c r="F215" s="48"/>
      <c r="G215" s="48"/>
      <c r="H215" s="49"/>
      <c r="I215" s="41"/>
      <c r="J215" s="42"/>
      <c r="K215" s="42"/>
      <c r="L21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5" s="43" t="str">
        <f>IF(tblProductos[[#This Row],[SKU]]="","",COUNTIF(tblEntradas[SKU],tblProductos[[#This Row],[SKU]])+COUNTIF(tblSalidas[SKU],tblProductos[[#This Row],[SKU]]))</f>
        <v/>
      </c>
      <c r="N21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6" spans="2:14" x14ac:dyDescent="0.25">
      <c r="B216" s="41"/>
      <c r="C216" s="41"/>
      <c r="D216" s="41"/>
      <c r="E216" s="42"/>
      <c r="F216" s="48"/>
      <c r="G216" s="48"/>
      <c r="H216" s="49"/>
      <c r="I216" s="41"/>
      <c r="J216" s="42"/>
      <c r="K216" s="42"/>
      <c r="L21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6" s="43" t="str">
        <f>IF(tblProductos[[#This Row],[SKU]]="","",COUNTIF(tblEntradas[SKU],tblProductos[[#This Row],[SKU]])+COUNTIF(tblSalidas[SKU],tblProductos[[#This Row],[SKU]]))</f>
        <v/>
      </c>
      <c r="N21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7" spans="2:14" x14ac:dyDescent="0.25">
      <c r="B217" s="41"/>
      <c r="C217" s="41"/>
      <c r="D217" s="41"/>
      <c r="E217" s="42"/>
      <c r="F217" s="48"/>
      <c r="G217" s="48"/>
      <c r="H217" s="49"/>
      <c r="I217" s="41"/>
      <c r="J217" s="42"/>
      <c r="K217" s="42"/>
      <c r="L21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7" s="43" t="str">
        <f>IF(tblProductos[[#This Row],[SKU]]="","",COUNTIF(tblEntradas[SKU],tblProductos[[#This Row],[SKU]])+COUNTIF(tblSalidas[SKU],tblProductos[[#This Row],[SKU]]))</f>
        <v/>
      </c>
      <c r="N21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8" spans="2:14" x14ac:dyDescent="0.25">
      <c r="B218" s="41"/>
      <c r="C218" s="41"/>
      <c r="D218" s="41"/>
      <c r="E218" s="42"/>
      <c r="F218" s="48"/>
      <c r="G218" s="48"/>
      <c r="H218" s="49"/>
      <c r="I218" s="41"/>
      <c r="J218" s="42"/>
      <c r="K218" s="42"/>
      <c r="L21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8" s="43" t="str">
        <f>IF(tblProductos[[#This Row],[SKU]]="","",COUNTIF(tblEntradas[SKU],tblProductos[[#This Row],[SKU]])+COUNTIF(tblSalidas[SKU],tblProductos[[#This Row],[SKU]]))</f>
        <v/>
      </c>
      <c r="N21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9" spans="2:14" x14ac:dyDescent="0.25">
      <c r="B219" s="41"/>
      <c r="C219" s="41"/>
      <c r="D219" s="41"/>
      <c r="E219" s="42"/>
      <c r="F219" s="48"/>
      <c r="G219" s="48"/>
      <c r="H219" s="49"/>
      <c r="I219" s="41"/>
      <c r="J219" s="42"/>
      <c r="K219" s="42"/>
      <c r="L21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19" s="43" t="str">
        <f>IF(tblProductos[[#This Row],[SKU]]="","",COUNTIF(tblEntradas[SKU],tblProductos[[#This Row],[SKU]])+COUNTIF(tblSalidas[SKU],tblProductos[[#This Row],[SKU]]))</f>
        <v/>
      </c>
      <c r="N21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0" spans="2:14" x14ac:dyDescent="0.25">
      <c r="B220" s="41"/>
      <c r="C220" s="41"/>
      <c r="D220" s="41"/>
      <c r="E220" s="42"/>
      <c r="F220" s="48"/>
      <c r="G220" s="48"/>
      <c r="H220" s="49"/>
      <c r="I220" s="41"/>
      <c r="J220" s="42"/>
      <c r="K220" s="42"/>
      <c r="L22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0" s="43" t="str">
        <f>IF(tblProductos[[#This Row],[SKU]]="","",COUNTIF(tblEntradas[SKU],tblProductos[[#This Row],[SKU]])+COUNTIF(tblSalidas[SKU],tblProductos[[#This Row],[SKU]]))</f>
        <v/>
      </c>
      <c r="N22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1" spans="2:14" x14ac:dyDescent="0.25">
      <c r="B221" s="41"/>
      <c r="C221" s="41"/>
      <c r="D221" s="41"/>
      <c r="E221" s="42"/>
      <c r="F221" s="48"/>
      <c r="G221" s="48"/>
      <c r="H221" s="49"/>
      <c r="I221" s="41"/>
      <c r="J221" s="42"/>
      <c r="K221" s="42"/>
      <c r="L22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1" s="43" t="str">
        <f>IF(tblProductos[[#This Row],[SKU]]="","",COUNTIF(tblEntradas[SKU],tblProductos[[#This Row],[SKU]])+COUNTIF(tblSalidas[SKU],tblProductos[[#This Row],[SKU]]))</f>
        <v/>
      </c>
      <c r="N22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2" spans="2:14" x14ac:dyDescent="0.25">
      <c r="B222" s="41"/>
      <c r="C222" s="41"/>
      <c r="D222" s="41"/>
      <c r="E222" s="42"/>
      <c r="F222" s="48"/>
      <c r="G222" s="48"/>
      <c r="H222" s="49"/>
      <c r="I222" s="41"/>
      <c r="J222" s="42"/>
      <c r="K222" s="42"/>
      <c r="L22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2" s="43" t="str">
        <f>IF(tblProductos[[#This Row],[SKU]]="","",COUNTIF(tblEntradas[SKU],tblProductos[[#This Row],[SKU]])+COUNTIF(tblSalidas[SKU],tblProductos[[#This Row],[SKU]]))</f>
        <v/>
      </c>
      <c r="N22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3" spans="2:14" x14ac:dyDescent="0.25">
      <c r="B223" s="41"/>
      <c r="C223" s="41"/>
      <c r="D223" s="41"/>
      <c r="E223" s="42"/>
      <c r="F223" s="48"/>
      <c r="G223" s="48"/>
      <c r="H223" s="49"/>
      <c r="I223" s="41"/>
      <c r="J223" s="42"/>
      <c r="K223" s="42"/>
      <c r="L22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3" s="43" t="str">
        <f>IF(tblProductos[[#This Row],[SKU]]="","",COUNTIF(tblEntradas[SKU],tblProductos[[#This Row],[SKU]])+COUNTIF(tblSalidas[SKU],tblProductos[[#This Row],[SKU]]))</f>
        <v/>
      </c>
      <c r="N22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4" spans="2:14" x14ac:dyDescent="0.25">
      <c r="B224" s="41"/>
      <c r="C224" s="41"/>
      <c r="D224" s="41"/>
      <c r="E224" s="42"/>
      <c r="F224" s="48"/>
      <c r="G224" s="48"/>
      <c r="H224" s="49"/>
      <c r="I224" s="41"/>
      <c r="J224" s="42"/>
      <c r="K224" s="42"/>
      <c r="L22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4" s="43" t="str">
        <f>IF(tblProductos[[#This Row],[SKU]]="","",COUNTIF(tblEntradas[SKU],tblProductos[[#This Row],[SKU]])+COUNTIF(tblSalidas[SKU],tblProductos[[#This Row],[SKU]]))</f>
        <v/>
      </c>
      <c r="N22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5" spans="2:14" x14ac:dyDescent="0.25">
      <c r="B225" s="41"/>
      <c r="C225" s="41"/>
      <c r="D225" s="41"/>
      <c r="E225" s="42"/>
      <c r="F225" s="48"/>
      <c r="G225" s="48"/>
      <c r="H225" s="49"/>
      <c r="I225" s="41"/>
      <c r="J225" s="42"/>
      <c r="K225" s="42"/>
      <c r="L22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5" s="43" t="str">
        <f>IF(tblProductos[[#This Row],[SKU]]="","",COUNTIF(tblEntradas[SKU],tblProductos[[#This Row],[SKU]])+COUNTIF(tblSalidas[SKU],tblProductos[[#This Row],[SKU]]))</f>
        <v/>
      </c>
      <c r="N22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6" spans="2:14" x14ac:dyDescent="0.25">
      <c r="B226" s="41"/>
      <c r="C226" s="41"/>
      <c r="D226" s="41"/>
      <c r="E226" s="42"/>
      <c r="F226" s="48"/>
      <c r="G226" s="48"/>
      <c r="H226" s="49"/>
      <c r="I226" s="41"/>
      <c r="J226" s="42"/>
      <c r="K226" s="42"/>
      <c r="L22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6" s="43" t="str">
        <f>IF(tblProductos[[#This Row],[SKU]]="","",COUNTIF(tblEntradas[SKU],tblProductos[[#This Row],[SKU]])+COUNTIF(tblSalidas[SKU],tblProductos[[#This Row],[SKU]]))</f>
        <v/>
      </c>
      <c r="N22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7" spans="2:14" x14ac:dyDescent="0.25">
      <c r="B227" s="41"/>
      <c r="C227" s="41"/>
      <c r="D227" s="41"/>
      <c r="E227" s="42"/>
      <c r="F227" s="48"/>
      <c r="G227" s="48"/>
      <c r="H227" s="49"/>
      <c r="I227" s="41"/>
      <c r="J227" s="42"/>
      <c r="K227" s="42"/>
      <c r="L22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7" s="43" t="str">
        <f>IF(tblProductos[[#This Row],[SKU]]="","",COUNTIF(tblEntradas[SKU],tblProductos[[#This Row],[SKU]])+COUNTIF(tblSalidas[SKU],tblProductos[[#This Row],[SKU]]))</f>
        <v/>
      </c>
      <c r="N22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8" spans="2:14" x14ac:dyDescent="0.25">
      <c r="B228" s="41"/>
      <c r="C228" s="41"/>
      <c r="D228" s="41"/>
      <c r="E228" s="42"/>
      <c r="F228" s="48"/>
      <c r="G228" s="48"/>
      <c r="H228" s="49"/>
      <c r="I228" s="41"/>
      <c r="J228" s="42"/>
      <c r="K228" s="42"/>
      <c r="L22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8" s="43" t="str">
        <f>IF(tblProductos[[#This Row],[SKU]]="","",COUNTIF(tblEntradas[SKU],tblProductos[[#This Row],[SKU]])+COUNTIF(tblSalidas[SKU],tblProductos[[#This Row],[SKU]]))</f>
        <v/>
      </c>
      <c r="N22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9" spans="2:14" x14ac:dyDescent="0.25">
      <c r="B229" s="41"/>
      <c r="C229" s="41"/>
      <c r="D229" s="41"/>
      <c r="E229" s="42"/>
      <c r="F229" s="48"/>
      <c r="G229" s="48"/>
      <c r="H229" s="49"/>
      <c r="I229" s="41"/>
      <c r="J229" s="42"/>
      <c r="K229" s="42"/>
      <c r="L22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29" s="43" t="str">
        <f>IF(tblProductos[[#This Row],[SKU]]="","",COUNTIF(tblEntradas[SKU],tblProductos[[#This Row],[SKU]])+COUNTIF(tblSalidas[SKU],tblProductos[[#This Row],[SKU]]))</f>
        <v/>
      </c>
      <c r="N22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0" spans="2:14" x14ac:dyDescent="0.25">
      <c r="B230" s="41"/>
      <c r="C230" s="41"/>
      <c r="D230" s="41"/>
      <c r="E230" s="42"/>
      <c r="F230" s="48"/>
      <c r="G230" s="48"/>
      <c r="H230" s="49"/>
      <c r="I230" s="41"/>
      <c r="J230" s="42"/>
      <c r="K230" s="42"/>
      <c r="L23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0" s="43" t="str">
        <f>IF(tblProductos[[#This Row],[SKU]]="","",COUNTIF(tblEntradas[SKU],tblProductos[[#This Row],[SKU]])+COUNTIF(tblSalidas[SKU],tblProductos[[#This Row],[SKU]]))</f>
        <v/>
      </c>
      <c r="N23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1" spans="2:14" x14ac:dyDescent="0.25">
      <c r="B231" s="41"/>
      <c r="C231" s="41"/>
      <c r="D231" s="41"/>
      <c r="E231" s="42"/>
      <c r="F231" s="48"/>
      <c r="G231" s="48"/>
      <c r="H231" s="49"/>
      <c r="I231" s="41"/>
      <c r="J231" s="42"/>
      <c r="K231" s="42"/>
      <c r="L23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1" s="43" t="str">
        <f>IF(tblProductos[[#This Row],[SKU]]="","",COUNTIF(tblEntradas[SKU],tblProductos[[#This Row],[SKU]])+COUNTIF(tblSalidas[SKU],tblProductos[[#This Row],[SKU]]))</f>
        <v/>
      </c>
      <c r="N23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2" spans="2:14" x14ac:dyDescent="0.25">
      <c r="B232" s="41"/>
      <c r="C232" s="41"/>
      <c r="D232" s="41"/>
      <c r="E232" s="42"/>
      <c r="F232" s="48"/>
      <c r="G232" s="48"/>
      <c r="H232" s="49"/>
      <c r="I232" s="41"/>
      <c r="J232" s="42"/>
      <c r="K232" s="42"/>
      <c r="L23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2" s="43" t="str">
        <f>IF(tblProductos[[#This Row],[SKU]]="","",COUNTIF(tblEntradas[SKU],tblProductos[[#This Row],[SKU]])+COUNTIF(tblSalidas[SKU],tblProductos[[#This Row],[SKU]]))</f>
        <v/>
      </c>
      <c r="N23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3" spans="2:14" x14ac:dyDescent="0.25">
      <c r="B233" s="41"/>
      <c r="C233" s="41"/>
      <c r="D233" s="41"/>
      <c r="E233" s="42"/>
      <c r="F233" s="48"/>
      <c r="G233" s="48"/>
      <c r="H233" s="49"/>
      <c r="I233" s="41"/>
      <c r="J233" s="42"/>
      <c r="K233" s="42"/>
      <c r="L23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3" s="43" t="str">
        <f>IF(tblProductos[[#This Row],[SKU]]="","",COUNTIF(tblEntradas[SKU],tblProductos[[#This Row],[SKU]])+COUNTIF(tblSalidas[SKU],tblProductos[[#This Row],[SKU]]))</f>
        <v/>
      </c>
      <c r="N23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4" spans="2:14" x14ac:dyDescent="0.25">
      <c r="B234" s="41"/>
      <c r="C234" s="41"/>
      <c r="D234" s="41"/>
      <c r="E234" s="42"/>
      <c r="F234" s="48"/>
      <c r="G234" s="48"/>
      <c r="H234" s="49"/>
      <c r="I234" s="41"/>
      <c r="J234" s="42"/>
      <c r="K234" s="42"/>
      <c r="L23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4" s="43" t="str">
        <f>IF(tblProductos[[#This Row],[SKU]]="","",COUNTIF(tblEntradas[SKU],tblProductos[[#This Row],[SKU]])+COUNTIF(tblSalidas[SKU],tblProductos[[#This Row],[SKU]]))</f>
        <v/>
      </c>
      <c r="N23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5" spans="2:14" x14ac:dyDescent="0.25">
      <c r="B235" s="41"/>
      <c r="C235" s="41"/>
      <c r="D235" s="41"/>
      <c r="E235" s="42"/>
      <c r="F235" s="48"/>
      <c r="G235" s="48"/>
      <c r="H235" s="49"/>
      <c r="I235" s="41"/>
      <c r="J235" s="42"/>
      <c r="K235" s="42"/>
      <c r="L23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5" s="43" t="str">
        <f>IF(tblProductos[[#This Row],[SKU]]="","",COUNTIF(tblEntradas[SKU],tblProductos[[#This Row],[SKU]])+COUNTIF(tblSalidas[SKU],tblProductos[[#This Row],[SKU]]))</f>
        <v/>
      </c>
      <c r="N23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6" spans="2:14" x14ac:dyDescent="0.25">
      <c r="B236" s="41"/>
      <c r="C236" s="41"/>
      <c r="D236" s="41"/>
      <c r="E236" s="42"/>
      <c r="F236" s="48"/>
      <c r="G236" s="48"/>
      <c r="H236" s="49"/>
      <c r="I236" s="41"/>
      <c r="J236" s="42"/>
      <c r="K236" s="42"/>
      <c r="L23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6" s="43" t="str">
        <f>IF(tblProductos[[#This Row],[SKU]]="","",COUNTIF(tblEntradas[SKU],tblProductos[[#This Row],[SKU]])+COUNTIF(tblSalidas[SKU],tblProductos[[#This Row],[SKU]]))</f>
        <v/>
      </c>
      <c r="N23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7" spans="2:14" x14ac:dyDescent="0.25">
      <c r="B237" s="41"/>
      <c r="C237" s="41"/>
      <c r="D237" s="41"/>
      <c r="E237" s="42"/>
      <c r="F237" s="48"/>
      <c r="G237" s="48"/>
      <c r="H237" s="49"/>
      <c r="I237" s="41"/>
      <c r="J237" s="42"/>
      <c r="K237" s="42"/>
      <c r="L23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7" s="43" t="str">
        <f>IF(tblProductos[[#This Row],[SKU]]="","",COUNTIF(tblEntradas[SKU],tblProductos[[#This Row],[SKU]])+COUNTIF(tblSalidas[SKU],tblProductos[[#This Row],[SKU]]))</f>
        <v/>
      </c>
      <c r="N23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8" spans="2:14" x14ac:dyDescent="0.25">
      <c r="B238" s="41"/>
      <c r="C238" s="41"/>
      <c r="D238" s="41"/>
      <c r="E238" s="42"/>
      <c r="F238" s="48"/>
      <c r="G238" s="48"/>
      <c r="H238" s="49"/>
      <c r="I238" s="41"/>
      <c r="J238" s="42"/>
      <c r="K238" s="42"/>
      <c r="L23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8" s="43" t="str">
        <f>IF(tblProductos[[#This Row],[SKU]]="","",COUNTIF(tblEntradas[SKU],tblProductos[[#This Row],[SKU]])+COUNTIF(tblSalidas[SKU],tblProductos[[#This Row],[SKU]]))</f>
        <v/>
      </c>
      <c r="N23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9" spans="2:14" x14ac:dyDescent="0.25">
      <c r="B239" s="41"/>
      <c r="C239" s="41"/>
      <c r="D239" s="41"/>
      <c r="E239" s="42"/>
      <c r="F239" s="48"/>
      <c r="G239" s="48"/>
      <c r="H239" s="49"/>
      <c r="I239" s="41"/>
      <c r="J239" s="42"/>
      <c r="K239" s="42"/>
      <c r="L23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39" s="43" t="str">
        <f>IF(tblProductos[[#This Row],[SKU]]="","",COUNTIF(tblEntradas[SKU],tblProductos[[#This Row],[SKU]])+COUNTIF(tblSalidas[SKU],tblProductos[[#This Row],[SKU]]))</f>
        <v/>
      </c>
      <c r="N23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0" spans="2:14" x14ac:dyDescent="0.25">
      <c r="B240" s="41"/>
      <c r="C240" s="41"/>
      <c r="D240" s="41"/>
      <c r="E240" s="42"/>
      <c r="F240" s="48"/>
      <c r="G240" s="48"/>
      <c r="H240" s="49"/>
      <c r="I240" s="41"/>
      <c r="J240" s="42"/>
      <c r="K240" s="42"/>
      <c r="L24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0" s="43" t="str">
        <f>IF(tblProductos[[#This Row],[SKU]]="","",COUNTIF(tblEntradas[SKU],tblProductos[[#This Row],[SKU]])+COUNTIF(tblSalidas[SKU],tblProductos[[#This Row],[SKU]]))</f>
        <v/>
      </c>
      <c r="N24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1" spans="2:14" x14ac:dyDescent="0.25">
      <c r="B241" s="41"/>
      <c r="C241" s="41"/>
      <c r="D241" s="41"/>
      <c r="E241" s="42"/>
      <c r="F241" s="48"/>
      <c r="G241" s="48"/>
      <c r="H241" s="49"/>
      <c r="I241" s="41"/>
      <c r="J241" s="42"/>
      <c r="K241" s="42"/>
      <c r="L24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1" s="43" t="str">
        <f>IF(tblProductos[[#This Row],[SKU]]="","",COUNTIF(tblEntradas[SKU],tblProductos[[#This Row],[SKU]])+COUNTIF(tblSalidas[SKU],tblProductos[[#This Row],[SKU]]))</f>
        <v/>
      </c>
      <c r="N24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2" spans="2:14" x14ac:dyDescent="0.25">
      <c r="B242" s="41"/>
      <c r="C242" s="41"/>
      <c r="D242" s="41"/>
      <c r="E242" s="42"/>
      <c r="F242" s="48"/>
      <c r="G242" s="48"/>
      <c r="H242" s="49"/>
      <c r="I242" s="41"/>
      <c r="J242" s="42"/>
      <c r="K242" s="42"/>
      <c r="L24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2" s="43" t="str">
        <f>IF(tblProductos[[#This Row],[SKU]]="","",COUNTIF(tblEntradas[SKU],tblProductos[[#This Row],[SKU]])+COUNTIF(tblSalidas[SKU],tblProductos[[#This Row],[SKU]]))</f>
        <v/>
      </c>
      <c r="N24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3" spans="2:14" x14ac:dyDescent="0.25">
      <c r="B243" s="41"/>
      <c r="C243" s="41"/>
      <c r="D243" s="41"/>
      <c r="E243" s="42"/>
      <c r="F243" s="48"/>
      <c r="G243" s="48"/>
      <c r="H243" s="49"/>
      <c r="I243" s="41"/>
      <c r="J243" s="42"/>
      <c r="K243" s="42"/>
      <c r="L24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3" s="43" t="str">
        <f>IF(tblProductos[[#This Row],[SKU]]="","",COUNTIF(tblEntradas[SKU],tblProductos[[#This Row],[SKU]])+COUNTIF(tblSalidas[SKU],tblProductos[[#This Row],[SKU]]))</f>
        <v/>
      </c>
      <c r="N24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4" spans="2:14" x14ac:dyDescent="0.25">
      <c r="B244" s="41"/>
      <c r="C244" s="41"/>
      <c r="D244" s="41"/>
      <c r="E244" s="42"/>
      <c r="F244" s="48"/>
      <c r="G244" s="48"/>
      <c r="H244" s="49"/>
      <c r="I244" s="41"/>
      <c r="J244" s="42"/>
      <c r="K244" s="42"/>
      <c r="L24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4" s="43" t="str">
        <f>IF(tblProductos[[#This Row],[SKU]]="","",COUNTIF(tblEntradas[SKU],tblProductos[[#This Row],[SKU]])+COUNTIF(tblSalidas[SKU],tblProductos[[#This Row],[SKU]]))</f>
        <v/>
      </c>
      <c r="N24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5" spans="2:14" x14ac:dyDescent="0.25">
      <c r="B245" s="41"/>
      <c r="C245" s="41"/>
      <c r="D245" s="41"/>
      <c r="E245" s="42"/>
      <c r="F245" s="48"/>
      <c r="G245" s="48"/>
      <c r="H245" s="49"/>
      <c r="I245" s="41"/>
      <c r="J245" s="42"/>
      <c r="K245" s="42"/>
      <c r="L24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5" s="43" t="str">
        <f>IF(tblProductos[[#This Row],[SKU]]="","",COUNTIF(tblEntradas[SKU],tblProductos[[#This Row],[SKU]])+COUNTIF(tblSalidas[SKU],tblProductos[[#This Row],[SKU]]))</f>
        <v/>
      </c>
      <c r="N24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6" spans="2:14" x14ac:dyDescent="0.25">
      <c r="B246" s="41"/>
      <c r="C246" s="41"/>
      <c r="D246" s="41"/>
      <c r="E246" s="42"/>
      <c r="F246" s="48"/>
      <c r="G246" s="48"/>
      <c r="H246" s="49"/>
      <c r="I246" s="41"/>
      <c r="J246" s="42"/>
      <c r="K246" s="42"/>
      <c r="L24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6" s="43" t="str">
        <f>IF(tblProductos[[#This Row],[SKU]]="","",COUNTIF(tblEntradas[SKU],tblProductos[[#This Row],[SKU]])+COUNTIF(tblSalidas[SKU],tblProductos[[#This Row],[SKU]]))</f>
        <v/>
      </c>
      <c r="N24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7" spans="2:14" x14ac:dyDescent="0.25">
      <c r="B247" s="41"/>
      <c r="C247" s="41"/>
      <c r="D247" s="41"/>
      <c r="E247" s="42"/>
      <c r="F247" s="48"/>
      <c r="G247" s="48"/>
      <c r="H247" s="49"/>
      <c r="I247" s="41"/>
      <c r="J247" s="42"/>
      <c r="K247" s="42"/>
      <c r="L24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7" s="43" t="str">
        <f>IF(tblProductos[[#This Row],[SKU]]="","",COUNTIF(tblEntradas[SKU],tblProductos[[#This Row],[SKU]])+COUNTIF(tblSalidas[SKU],tblProductos[[#This Row],[SKU]]))</f>
        <v/>
      </c>
      <c r="N24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8" spans="2:14" x14ac:dyDescent="0.25">
      <c r="B248" s="41"/>
      <c r="C248" s="41"/>
      <c r="D248" s="41"/>
      <c r="E248" s="42"/>
      <c r="F248" s="48"/>
      <c r="G248" s="48"/>
      <c r="H248" s="49"/>
      <c r="I248" s="41"/>
      <c r="J248" s="42"/>
      <c r="K248" s="42"/>
      <c r="L24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8" s="43" t="str">
        <f>IF(tblProductos[[#This Row],[SKU]]="","",COUNTIF(tblEntradas[SKU],tblProductos[[#This Row],[SKU]])+COUNTIF(tblSalidas[SKU],tblProductos[[#This Row],[SKU]]))</f>
        <v/>
      </c>
      <c r="N24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9" spans="2:14" x14ac:dyDescent="0.25">
      <c r="B249" s="41"/>
      <c r="C249" s="41"/>
      <c r="D249" s="41"/>
      <c r="E249" s="42"/>
      <c r="F249" s="48"/>
      <c r="G249" s="48"/>
      <c r="H249" s="49"/>
      <c r="I249" s="41"/>
      <c r="J249" s="42"/>
      <c r="K249" s="42"/>
      <c r="L24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49" s="43" t="str">
        <f>IF(tblProductos[[#This Row],[SKU]]="","",COUNTIF(tblEntradas[SKU],tblProductos[[#This Row],[SKU]])+COUNTIF(tblSalidas[SKU],tblProductos[[#This Row],[SKU]]))</f>
        <v/>
      </c>
      <c r="N24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0" spans="2:14" x14ac:dyDescent="0.25">
      <c r="B250" s="41"/>
      <c r="C250" s="41"/>
      <c r="D250" s="41"/>
      <c r="E250" s="42"/>
      <c r="F250" s="48"/>
      <c r="G250" s="48"/>
      <c r="H250" s="49"/>
      <c r="I250" s="41"/>
      <c r="J250" s="42"/>
      <c r="K250" s="42"/>
      <c r="L25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0" s="43" t="str">
        <f>IF(tblProductos[[#This Row],[SKU]]="","",COUNTIF(tblEntradas[SKU],tblProductos[[#This Row],[SKU]])+COUNTIF(tblSalidas[SKU],tblProductos[[#This Row],[SKU]]))</f>
        <v/>
      </c>
      <c r="N25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1" spans="2:14" x14ac:dyDescent="0.25">
      <c r="B251" s="41"/>
      <c r="C251" s="41"/>
      <c r="D251" s="41"/>
      <c r="E251" s="42"/>
      <c r="F251" s="48"/>
      <c r="G251" s="48"/>
      <c r="H251" s="49"/>
      <c r="I251" s="41"/>
      <c r="J251" s="42"/>
      <c r="K251" s="42"/>
      <c r="L25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1" s="43" t="str">
        <f>IF(tblProductos[[#This Row],[SKU]]="","",COUNTIF(tblEntradas[SKU],tblProductos[[#This Row],[SKU]])+COUNTIF(tblSalidas[SKU],tblProductos[[#This Row],[SKU]]))</f>
        <v/>
      </c>
      <c r="N25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2" spans="2:14" x14ac:dyDescent="0.25">
      <c r="B252" s="41"/>
      <c r="C252" s="41"/>
      <c r="D252" s="41"/>
      <c r="E252" s="42"/>
      <c r="F252" s="48"/>
      <c r="G252" s="48"/>
      <c r="H252" s="49"/>
      <c r="I252" s="41"/>
      <c r="J252" s="42"/>
      <c r="K252" s="42"/>
      <c r="L25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2" s="43" t="str">
        <f>IF(tblProductos[[#This Row],[SKU]]="","",COUNTIF(tblEntradas[SKU],tblProductos[[#This Row],[SKU]])+COUNTIF(tblSalidas[SKU],tblProductos[[#This Row],[SKU]]))</f>
        <v/>
      </c>
      <c r="N25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3" spans="2:14" x14ac:dyDescent="0.25">
      <c r="B253" s="41"/>
      <c r="C253" s="41"/>
      <c r="D253" s="41"/>
      <c r="E253" s="42"/>
      <c r="F253" s="48"/>
      <c r="G253" s="48"/>
      <c r="H253" s="49"/>
      <c r="I253" s="41"/>
      <c r="J253" s="42"/>
      <c r="K253" s="42"/>
      <c r="L25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3" s="43" t="str">
        <f>IF(tblProductos[[#This Row],[SKU]]="","",COUNTIF(tblEntradas[SKU],tblProductos[[#This Row],[SKU]])+COUNTIF(tblSalidas[SKU],tblProductos[[#This Row],[SKU]]))</f>
        <v/>
      </c>
      <c r="N25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4" spans="2:14" x14ac:dyDescent="0.25">
      <c r="B254" s="41"/>
      <c r="C254" s="41"/>
      <c r="D254" s="41"/>
      <c r="E254" s="42"/>
      <c r="F254" s="48"/>
      <c r="G254" s="48"/>
      <c r="H254" s="49"/>
      <c r="I254" s="41"/>
      <c r="J254" s="42"/>
      <c r="K254" s="42"/>
      <c r="L25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4" s="43" t="str">
        <f>IF(tblProductos[[#This Row],[SKU]]="","",COUNTIF(tblEntradas[SKU],tblProductos[[#This Row],[SKU]])+COUNTIF(tblSalidas[SKU],tblProductos[[#This Row],[SKU]]))</f>
        <v/>
      </c>
      <c r="N25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5" spans="2:14" x14ac:dyDescent="0.25">
      <c r="B255" s="41"/>
      <c r="C255" s="41"/>
      <c r="D255" s="41"/>
      <c r="E255" s="42"/>
      <c r="F255" s="48"/>
      <c r="G255" s="48"/>
      <c r="H255" s="49"/>
      <c r="I255" s="41"/>
      <c r="J255" s="42"/>
      <c r="K255" s="42"/>
      <c r="L25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5" s="43" t="str">
        <f>IF(tblProductos[[#This Row],[SKU]]="","",COUNTIF(tblEntradas[SKU],tblProductos[[#This Row],[SKU]])+COUNTIF(tblSalidas[SKU],tblProductos[[#This Row],[SKU]]))</f>
        <v/>
      </c>
      <c r="N25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6" spans="2:14" x14ac:dyDescent="0.25">
      <c r="B256" s="41"/>
      <c r="C256" s="41"/>
      <c r="D256" s="41"/>
      <c r="E256" s="42"/>
      <c r="F256" s="48"/>
      <c r="G256" s="48"/>
      <c r="H256" s="49"/>
      <c r="I256" s="41"/>
      <c r="J256" s="42"/>
      <c r="K256" s="42"/>
      <c r="L25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6" s="43" t="str">
        <f>IF(tblProductos[[#This Row],[SKU]]="","",COUNTIF(tblEntradas[SKU],tblProductos[[#This Row],[SKU]])+COUNTIF(tblSalidas[SKU],tblProductos[[#This Row],[SKU]]))</f>
        <v/>
      </c>
      <c r="N25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7" spans="2:14" x14ac:dyDescent="0.25">
      <c r="B257" s="41"/>
      <c r="C257" s="41"/>
      <c r="D257" s="41"/>
      <c r="E257" s="42"/>
      <c r="F257" s="48"/>
      <c r="G257" s="48"/>
      <c r="H257" s="49"/>
      <c r="I257" s="41"/>
      <c r="J257" s="42"/>
      <c r="K257" s="42"/>
      <c r="L25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7" s="43" t="str">
        <f>IF(tblProductos[[#This Row],[SKU]]="","",COUNTIF(tblEntradas[SKU],tblProductos[[#This Row],[SKU]])+COUNTIF(tblSalidas[SKU],tblProductos[[#This Row],[SKU]]))</f>
        <v/>
      </c>
      <c r="N25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8" spans="2:14" x14ac:dyDescent="0.25">
      <c r="B258" s="41"/>
      <c r="C258" s="41"/>
      <c r="D258" s="41"/>
      <c r="E258" s="42"/>
      <c r="F258" s="48"/>
      <c r="G258" s="48"/>
      <c r="H258" s="49"/>
      <c r="I258" s="41"/>
      <c r="J258" s="42"/>
      <c r="K258" s="42"/>
      <c r="L25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8" s="43" t="str">
        <f>IF(tblProductos[[#This Row],[SKU]]="","",COUNTIF(tblEntradas[SKU],tblProductos[[#This Row],[SKU]])+COUNTIF(tblSalidas[SKU],tblProductos[[#This Row],[SKU]]))</f>
        <v/>
      </c>
      <c r="N25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9" spans="2:14" x14ac:dyDescent="0.25">
      <c r="B259" s="41"/>
      <c r="C259" s="41"/>
      <c r="D259" s="41"/>
      <c r="E259" s="42"/>
      <c r="F259" s="48"/>
      <c r="G259" s="48"/>
      <c r="H259" s="49"/>
      <c r="I259" s="41"/>
      <c r="J259" s="42"/>
      <c r="K259" s="42"/>
      <c r="L25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59" s="43" t="str">
        <f>IF(tblProductos[[#This Row],[SKU]]="","",COUNTIF(tblEntradas[SKU],tblProductos[[#This Row],[SKU]])+COUNTIF(tblSalidas[SKU],tblProductos[[#This Row],[SKU]]))</f>
        <v/>
      </c>
      <c r="N25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0" spans="2:14" x14ac:dyDescent="0.25">
      <c r="B260" s="41"/>
      <c r="C260" s="41"/>
      <c r="D260" s="41"/>
      <c r="E260" s="42"/>
      <c r="F260" s="48"/>
      <c r="G260" s="48"/>
      <c r="H260" s="49"/>
      <c r="I260" s="41"/>
      <c r="J260" s="42"/>
      <c r="K260" s="42"/>
      <c r="L26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0" s="43" t="str">
        <f>IF(tblProductos[[#This Row],[SKU]]="","",COUNTIF(tblEntradas[SKU],tblProductos[[#This Row],[SKU]])+COUNTIF(tblSalidas[SKU],tblProductos[[#This Row],[SKU]]))</f>
        <v/>
      </c>
      <c r="N26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1" spans="2:14" x14ac:dyDescent="0.25">
      <c r="B261" s="41"/>
      <c r="C261" s="41"/>
      <c r="D261" s="41"/>
      <c r="E261" s="42"/>
      <c r="F261" s="48"/>
      <c r="G261" s="48"/>
      <c r="H261" s="49"/>
      <c r="I261" s="41"/>
      <c r="J261" s="42"/>
      <c r="K261" s="42"/>
      <c r="L26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1" s="43" t="str">
        <f>IF(tblProductos[[#This Row],[SKU]]="","",COUNTIF(tblEntradas[SKU],tblProductos[[#This Row],[SKU]])+COUNTIF(tblSalidas[SKU],tblProductos[[#This Row],[SKU]]))</f>
        <v/>
      </c>
      <c r="N26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2" spans="2:14" x14ac:dyDescent="0.25">
      <c r="B262" s="41"/>
      <c r="C262" s="41"/>
      <c r="D262" s="41"/>
      <c r="E262" s="42"/>
      <c r="F262" s="48"/>
      <c r="G262" s="48"/>
      <c r="H262" s="49"/>
      <c r="I262" s="41"/>
      <c r="J262" s="42"/>
      <c r="K262" s="42"/>
      <c r="L26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2" s="43" t="str">
        <f>IF(tblProductos[[#This Row],[SKU]]="","",COUNTIF(tblEntradas[SKU],tblProductos[[#This Row],[SKU]])+COUNTIF(tblSalidas[SKU],tblProductos[[#This Row],[SKU]]))</f>
        <v/>
      </c>
      <c r="N26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3" spans="2:14" x14ac:dyDescent="0.25">
      <c r="B263" s="41"/>
      <c r="C263" s="41"/>
      <c r="D263" s="41"/>
      <c r="E263" s="42"/>
      <c r="F263" s="48"/>
      <c r="G263" s="48"/>
      <c r="H263" s="49"/>
      <c r="I263" s="41"/>
      <c r="J263" s="42"/>
      <c r="K263" s="42"/>
      <c r="L26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3" s="43" t="str">
        <f>IF(tblProductos[[#This Row],[SKU]]="","",COUNTIF(tblEntradas[SKU],tblProductos[[#This Row],[SKU]])+COUNTIF(tblSalidas[SKU],tblProductos[[#This Row],[SKU]]))</f>
        <v/>
      </c>
      <c r="N26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4" spans="2:14" x14ac:dyDescent="0.25">
      <c r="B264" s="41"/>
      <c r="C264" s="41"/>
      <c r="D264" s="41"/>
      <c r="E264" s="42"/>
      <c r="F264" s="48"/>
      <c r="G264" s="48"/>
      <c r="H264" s="49"/>
      <c r="I264" s="41"/>
      <c r="J264" s="42"/>
      <c r="K264" s="42"/>
      <c r="L26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4" s="43" t="str">
        <f>IF(tblProductos[[#This Row],[SKU]]="","",COUNTIF(tblEntradas[SKU],tblProductos[[#This Row],[SKU]])+COUNTIF(tblSalidas[SKU],tblProductos[[#This Row],[SKU]]))</f>
        <v/>
      </c>
      <c r="N26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5" spans="2:14" x14ac:dyDescent="0.25">
      <c r="B265" s="41"/>
      <c r="C265" s="41"/>
      <c r="D265" s="41"/>
      <c r="E265" s="42"/>
      <c r="F265" s="48"/>
      <c r="G265" s="48"/>
      <c r="H265" s="49"/>
      <c r="I265" s="41"/>
      <c r="J265" s="42"/>
      <c r="K265" s="42"/>
      <c r="L26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5" s="43" t="str">
        <f>IF(tblProductos[[#This Row],[SKU]]="","",COUNTIF(tblEntradas[SKU],tblProductos[[#This Row],[SKU]])+COUNTIF(tblSalidas[SKU],tblProductos[[#This Row],[SKU]]))</f>
        <v/>
      </c>
      <c r="N26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6" spans="2:14" x14ac:dyDescent="0.25">
      <c r="B266" s="41"/>
      <c r="C266" s="41"/>
      <c r="D266" s="41"/>
      <c r="E266" s="42"/>
      <c r="F266" s="48"/>
      <c r="G266" s="48"/>
      <c r="H266" s="49"/>
      <c r="I266" s="41"/>
      <c r="J266" s="42"/>
      <c r="K266" s="42"/>
      <c r="L26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6" s="43" t="str">
        <f>IF(tblProductos[[#This Row],[SKU]]="","",COUNTIF(tblEntradas[SKU],tblProductos[[#This Row],[SKU]])+COUNTIF(tblSalidas[SKU],tblProductos[[#This Row],[SKU]]))</f>
        <v/>
      </c>
      <c r="N26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7" spans="2:14" x14ac:dyDescent="0.25">
      <c r="B267" s="41"/>
      <c r="C267" s="41"/>
      <c r="D267" s="41"/>
      <c r="E267" s="42"/>
      <c r="F267" s="48"/>
      <c r="G267" s="48"/>
      <c r="H267" s="49"/>
      <c r="I267" s="41"/>
      <c r="J267" s="42"/>
      <c r="K267" s="42"/>
      <c r="L26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7" s="43" t="str">
        <f>IF(tblProductos[[#This Row],[SKU]]="","",COUNTIF(tblEntradas[SKU],tblProductos[[#This Row],[SKU]])+COUNTIF(tblSalidas[SKU],tblProductos[[#This Row],[SKU]]))</f>
        <v/>
      </c>
      <c r="N26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8" spans="2:14" x14ac:dyDescent="0.25">
      <c r="B268" s="41"/>
      <c r="C268" s="41"/>
      <c r="D268" s="41"/>
      <c r="E268" s="42"/>
      <c r="F268" s="48"/>
      <c r="G268" s="48"/>
      <c r="H268" s="49"/>
      <c r="I268" s="41"/>
      <c r="J268" s="42"/>
      <c r="K268" s="42"/>
      <c r="L26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8" s="43" t="str">
        <f>IF(tblProductos[[#This Row],[SKU]]="","",COUNTIF(tblEntradas[SKU],tblProductos[[#This Row],[SKU]])+COUNTIF(tblSalidas[SKU],tblProductos[[#This Row],[SKU]]))</f>
        <v/>
      </c>
      <c r="N26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9" spans="2:14" x14ac:dyDescent="0.25">
      <c r="B269" s="41"/>
      <c r="C269" s="41"/>
      <c r="D269" s="41"/>
      <c r="E269" s="42"/>
      <c r="F269" s="48"/>
      <c r="G269" s="48"/>
      <c r="H269" s="49"/>
      <c r="I269" s="41"/>
      <c r="J269" s="42"/>
      <c r="K269" s="42"/>
      <c r="L26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69" s="43" t="str">
        <f>IF(tblProductos[[#This Row],[SKU]]="","",COUNTIF(tblEntradas[SKU],tblProductos[[#This Row],[SKU]])+COUNTIF(tblSalidas[SKU],tblProductos[[#This Row],[SKU]]))</f>
        <v/>
      </c>
      <c r="N26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0" spans="2:14" x14ac:dyDescent="0.25">
      <c r="B270" s="41"/>
      <c r="C270" s="41"/>
      <c r="D270" s="41"/>
      <c r="E270" s="42"/>
      <c r="F270" s="48"/>
      <c r="G270" s="48"/>
      <c r="H270" s="49"/>
      <c r="I270" s="41"/>
      <c r="J270" s="42"/>
      <c r="K270" s="42"/>
      <c r="L27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0" s="43" t="str">
        <f>IF(tblProductos[[#This Row],[SKU]]="","",COUNTIF(tblEntradas[SKU],tblProductos[[#This Row],[SKU]])+COUNTIF(tblSalidas[SKU],tblProductos[[#This Row],[SKU]]))</f>
        <v/>
      </c>
      <c r="N27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1" spans="2:14" x14ac:dyDescent="0.25">
      <c r="B271" s="41"/>
      <c r="C271" s="41"/>
      <c r="D271" s="41"/>
      <c r="E271" s="42"/>
      <c r="F271" s="48"/>
      <c r="G271" s="48"/>
      <c r="H271" s="49"/>
      <c r="I271" s="41"/>
      <c r="J271" s="42"/>
      <c r="K271" s="42"/>
      <c r="L27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1" s="43" t="str">
        <f>IF(tblProductos[[#This Row],[SKU]]="","",COUNTIF(tblEntradas[SKU],tblProductos[[#This Row],[SKU]])+COUNTIF(tblSalidas[SKU],tblProductos[[#This Row],[SKU]]))</f>
        <v/>
      </c>
      <c r="N27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2" spans="2:14" x14ac:dyDescent="0.25">
      <c r="B272" s="41"/>
      <c r="C272" s="41"/>
      <c r="D272" s="41"/>
      <c r="E272" s="42"/>
      <c r="F272" s="48"/>
      <c r="G272" s="48"/>
      <c r="H272" s="49"/>
      <c r="I272" s="41"/>
      <c r="J272" s="42"/>
      <c r="K272" s="42"/>
      <c r="L27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2" s="43" t="str">
        <f>IF(tblProductos[[#This Row],[SKU]]="","",COUNTIF(tblEntradas[SKU],tblProductos[[#This Row],[SKU]])+COUNTIF(tblSalidas[SKU],tblProductos[[#This Row],[SKU]]))</f>
        <v/>
      </c>
      <c r="N27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3" spans="2:14" x14ac:dyDescent="0.25">
      <c r="B273" s="41"/>
      <c r="C273" s="41"/>
      <c r="D273" s="41"/>
      <c r="E273" s="42"/>
      <c r="F273" s="48"/>
      <c r="G273" s="48"/>
      <c r="H273" s="49"/>
      <c r="I273" s="41"/>
      <c r="J273" s="42"/>
      <c r="K273" s="42"/>
      <c r="L27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3" s="43" t="str">
        <f>IF(tblProductos[[#This Row],[SKU]]="","",COUNTIF(tblEntradas[SKU],tblProductos[[#This Row],[SKU]])+COUNTIF(tblSalidas[SKU],tblProductos[[#This Row],[SKU]]))</f>
        <v/>
      </c>
      <c r="N27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4" spans="2:14" x14ac:dyDescent="0.25">
      <c r="B274" s="41"/>
      <c r="C274" s="41"/>
      <c r="D274" s="41"/>
      <c r="E274" s="42"/>
      <c r="F274" s="48"/>
      <c r="G274" s="48"/>
      <c r="H274" s="49"/>
      <c r="I274" s="41"/>
      <c r="J274" s="42"/>
      <c r="K274" s="42"/>
      <c r="L27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4" s="43" t="str">
        <f>IF(tblProductos[[#This Row],[SKU]]="","",COUNTIF(tblEntradas[SKU],tblProductos[[#This Row],[SKU]])+COUNTIF(tblSalidas[SKU],tblProductos[[#This Row],[SKU]]))</f>
        <v/>
      </c>
      <c r="N27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5" spans="2:14" x14ac:dyDescent="0.25">
      <c r="B275" s="41"/>
      <c r="C275" s="41"/>
      <c r="D275" s="41"/>
      <c r="E275" s="42"/>
      <c r="F275" s="48"/>
      <c r="G275" s="48"/>
      <c r="H275" s="49"/>
      <c r="I275" s="41"/>
      <c r="J275" s="42"/>
      <c r="K275" s="42"/>
      <c r="L27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5" s="43" t="str">
        <f>IF(tblProductos[[#This Row],[SKU]]="","",COUNTIF(tblEntradas[SKU],tblProductos[[#This Row],[SKU]])+COUNTIF(tblSalidas[SKU],tblProductos[[#This Row],[SKU]]))</f>
        <v/>
      </c>
      <c r="N27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6" spans="2:14" x14ac:dyDescent="0.25">
      <c r="B276" s="41"/>
      <c r="C276" s="41"/>
      <c r="D276" s="41"/>
      <c r="E276" s="42"/>
      <c r="F276" s="48"/>
      <c r="G276" s="48"/>
      <c r="H276" s="49"/>
      <c r="I276" s="41"/>
      <c r="J276" s="42"/>
      <c r="K276" s="42"/>
      <c r="L27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6" s="43" t="str">
        <f>IF(tblProductos[[#This Row],[SKU]]="","",COUNTIF(tblEntradas[SKU],tblProductos[[#This Row],[SKU]])+COUNTIF(tblSalidas[SKU],tblProductos[[#This Row],[SKU]]))</f>
        <v/>
      </c>
      <c r="N27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7" spans="2:14" x14ac:dyDescent="0.25">
      <c r="B277" s="41"/>
      <c r="C277" s="41"/>
      <c r="D277" s="41"/>
      <c r="E277" s="42"/>
      <c r="F277" s="48"/>
      <c r="G277" s="48"/>
      <c r="H277" s="49"/>
      <c r="I277" s="41"/>
      <c r="J277" s="42"/>
      <c r="K277" s="42"/>
      <c r="L27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7" s="43" t="str">
        <f>IF(tblProductos[[#This Row],[SKU]]="","",COUNTIF(tblEntradas[SKU],tblProductos[[#This Row],[SKU]])+COUNTIF(tblSalidas[SKU],tblProductos[[#This Row],[SKU]]))</f>
        <v/>
      </c>
      <c r="N27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8" spans="2:14" x14ac:dyDescent="0.25">
      <c r="B278" s="41"/>
      <c r="C278" s="41"/>
      <c r="D278" s="41"/>
      <c r="E278" s="42"/>
      <c r="F278" s="48"/>
      <c r="G278" s="48"/>
      <c r="H278" s="49"/>
      <c r="I278" s="41"/>
      <c r="J278" s="42"/>
      <c r="K278" s="42"/>
      <c r="L27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8" s="43" t="str">
        <f>IF(tblProductos[[#This Row],[SKU]]="","",COUNTIF(tblEntradas[SKU],tblProductos[[#This Row],[SKU]])+COUNTIF(tblSalidas[SKU],tblProductos[[#This Row],[SKU]]))</f>
        <v/>
      </c>
      <c r="N27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9" spans="2:14" x14ac:dyDescent="0.25">
      <c r="B279" s="41"/>
      <c r="C279" s="41"/>
      <c r="D279" s="41"/>
      <c r="E279" s="42"/>
      <c r="F279" s="48"/>
      <c r="G279" s="48"/>
      <c r="H279" s="49"/>
      <c r="I279" s="41"/>
      <c r="J279" s="42"/>
      <c r="K279" s="42"/>
      <c r="L27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79" s="43" t="str">
        <f>IF(tblProductos[[#This Row],[SKU]]="","",COUNTIF(tblEntradas[SKU],tblProductos[[#This Row],[SKU]])+COUNTIF(tblSalidas[SKU],tblProductos[[#This Row],[SKU]]))</f>
        <v/>
      </c>
      <c r="N27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0" spans="2:14" x14ac:dyDescent="0.25">
      <c r="B280" s="41"/>
      <c r="C280" s="41"/>
      <c r="D280" s="41"/>
      <c r="E280" s="42"/>
      <c r="F280" s="48"/>
      <c r="G280" s="48"/>
      <c r="H280" s="49"/>
      <c r="I280" s="41"/>
      <c r="J280" s="42"/>
      <c r="K280" s="42"/>
      <c r="L28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0" s="43" t="str">
        <f>IF(tblProductos[[#This Row],[SKU]]="","",COUNTIF(tblEntradas[SKU],tblProductos[[#This Row],[SKU]])+COUNTIF(tblSalidas[SKU],tblProductos[[#This Row],[SKU]]))</f>
        <v/>
      </c>
      <c r="N28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1" spans="2:14" x14ac:dyDescent="0.25">
      <c r="B281" s="41"/>
      <c r="C281" s="41"/>
      <c r="D281" s="41"/>
      <c r="E281" s="42"/>
      <c r="F281" s="48"/>
      <c r="G281" s="48"/>
      <c r="H281" s="49"/>
      <c r="I281" s="41"/>
      <c r="J281" s="42"/>
      <c r="K281" s="42"/>
      <c r="L28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1" s="43" t="str">
        <f>IF(tblProductos[[#This Row],[SKU]]="","",COUNTIF(tblEntradas[SKU],tblProductos[[#This Row],[SKU]])+COUNTIF(tblSalidas[SKU],tblProductos[[#This Row],[SKU]]))</f>
        <v/>
      </c>
      <c r="N28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2" spans="2:14" x14ac:dyDescent="0.25">
      <c r="B282" s="41"/>
      <c r="C282" s="41"/>
      <c r="D282" s="41"/>
      <c r="E282" s="42"/>
      <c r="F282" s="48"/>
      <c r="G282" s="48"/>
      <c r="H282" s="49"/>
      <c r="I282" s="41"/>
      <c r="J282" s="42"/>
      <c r="K282" s="42"/>
      <c r="L28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2" s="43" t="str">
        <f>IF(tblProductos[[#This Row],[SKU]]="","",COUNTIF(tblEntradas[SKU],tblProductos[[#This Row],[SKU]])+COUNTIF(tblSalidas[SKU],tblProductos[[#This Row],[SKU]]))</f>
        <v/>
      </c>
      <c r="N28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3" spans="2:14" x14ac:dyDescent="0.25">
      <c r="B283" s="41"/>
      <c r="C283" s="41"/>
      <c r="D283" s="41"/>
      <c r="E283" s="42"/>
      <c r="F283" s="48"/>
      <c r="G283" s="48"/>
      <c r="H283" s="49"/>
      <c r="I283" s="41"/>
      <c r="J283" s="42"/>
      <c r="K283" s="42"/>
      <c r="L28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3" s="43" t="str">
        <f>IF(tblProductos[[#This Row],[SKU]]="","",COUNTIF(tblEntradas[SKU],tblProductos[[#This Row],[SKU]])+COUNTIF(tblSalidas[SKU],tblProductos[[#This Row],[SKU]]))</f>
        <v/>
      </c>
      <c r="N28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4" spans="2:14" x14ac:dyDescent="0.25">
      <c r="B284" s="41"/>
      <c r="C284" s="41"/>
      <c r="D284" s="41"/>
      <c r="E284" s="42"/>
      <c r="F284" s="48"/>
      <c r="G284" s="48"/>
      <c r="H284" s="49"/>
      <c r="I284" s="41"/>
      <c r="J284" s="42"/>
      <c r="K284" s="42"/>
      <c r="L28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4" s="43" t="str">
        <f>IF(tblProductos[[#This Row],[SKU]]="","",COUNTIF(tblEntradas[SKU],tblProductos[[#This Row],[SKU]])+COUNTIF(tblSalidas[SKU],tblProductos[[#This Row],[SKU]]))</f>
        <v/>
      </c>
      <c r="N28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5" spans="2:14" x14ac:dyDescent="0.25">
      <c r="B285" s="41"/>
      <c r="C285" s="41"/>
      <c r="D285" s="41"/>
      <c r="E285" s="42"/>
      <c r="F285" s="48"/>
      <c r="G285" s="48"/>
      <c r="H285" s="49"/>
      <c r="I285" s="41"/>
      <c r="J285" s="42"/>
      <c r="K285" s="42"/>
      <c r="L28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5" s="43" t="str">
        <f>IF(tblProductos[[#This Row],[SKU]]="","",COUNTIF(tblEntradas[SKU],tblProductos[[#This Row],[SKU]])+COUNTIF(tblSalidas[SKU],tblProductos[[#This Row],[SKU]]))</f>
        <v/>
      </c>
      <c r="N28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6" spans="2:14" x14ac:dyDescent="0.25">
      <c r="B286" s="41"/>
      <c r="C286" s="41"/>
      <c r="D286" s="41"/>
      <c r="E286" s="42"/>
      <c r="F286" s="48"/>
      <c r="G286" s="48"/>
      <c r="H286" s="49"/>
      <c r="I286" s="41"/>
      <c r="J286" s="42"/>
      <c r="K286" s="42"/>
      <c r="L28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6" s="43" t="str">
        <f>IF(tblProductos[[#This Row],[SKU]]="","",COUNTIF(tblEntradas[SKU],tblProductos[[#This Row],[SKU]])+COUNTIF(tblSalidas[SKU],tblProductos[[#This Row],[SKU]]))</f>
        <v/>
      </c>
      <c r="N28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7" spans="2:14" x14ac:dyDescent="0.25">
      <c r="B287" s="41"/>
      <c r="C287" s="41"/>
      <c r="D287" s="41"/>
      <c r="E287" s="42"/>
      <c r="F287" s="48"/>
      <c r="G287" s="48"/>
      <c r="H287" s="49"/>
      <c r="I287" s="41"/>
      <c r="J287" s="42"/>
      <c r="K287" s="42"/>
      <c r="L28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7" s="43" t="str">
        <f>IF(tblProductos[[#This Row],[SKU]]="","",COUNTIF(tblEntradas[SKU],tblProductos[[#This Row],[SKU]])+COUNTIF(tblSalidas[SKU],tblProductos[[#This Row],[SKU]]))</f>
        <v/>
      </c>
      <c r="N28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8" spans="2:14" x14ac:dyDescent="0.25">
      <c r="B288" s="41"/>
      <c r="C288" s="41"/>
      <c r="D288" s="41"/>
      <c r="E288" s="42"/>
      <c r="F288" s="48"/>
      <c r="G288" s="48"/>
      <c r="H288" s="49"/>
      <c r="I288" s="41"/>
      <c r="J288" s="42"/>
      <c r="K288" s="42"/>
      <c r="L28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8" s="43" t="str">
        <f>IF(tblProductos[[#This Row],[SKU]]="","",COUNTIF(tblEntradas[SKU],tblProductos[[#This Row],[SKU]])+COUNTIF(tblSalidas[SKU],tblProductos[[#This Row],[SKU]]))</f>
        <v/>
      </c>
      <c r="N28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9" spans="2:14" x14ac:dyDescent="0.25">
      <c r="B289" s="41"/>
      <c r="C289" s="41"/>
      <c r="D289" s="41"/>
      <c r="E289" s="42"/>
      <c r="F289" s="48"/>
      <c r="G289" s="48"/>
      <c r="H289" s="49"/>
      <c r="I289" s="41"/>
      <c r="J289" s="42"/>
      <c r="K289" s="42"/>
      <c r="L28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89" s="43" t="str">
        <f>IF(tblProductos[[#This Row],[SKU]]="","",COUNTIF(tblEntradas[SKU],tblProductos[[#This Row],[SKU]])+COUNTIF(tblSalidas[SKU],tblProductos[[#This Row],[SKU]]))</f>
        <v/>
      </c>
      <c r="N28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0" spans="2:14" x14ac:dyDescent="0.25">
      <c r="B290" s="41"/>
      <c r="C290" s="41"/>
      <c r="D290" s="41"/>
      <c r="E290" s="42"/>
      <c r="F290" s="48"/>
      <c r="G290" s="48"/>
      <c r="H290" s="49"/>
      <c r="I290" s="41"/>
      <c r="J290" s="42"/>
      <c r="K290" s="42"/>
      <c r="L29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0" s="43" t="str">
        <f>IF(tblProductos[[#This Row],[SKU]]="","",COUNTIF(tblEntradas[SKU],tblProductos[[#This Row],[SKU]])+COUNTIF(tblSalidas[SKU],tblProductos[[#This Row],[SKU]]))</f>
        <v/>
      </c>
      <c r="N29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1" spans="2:14" x14ac:dyDescent="0.25">
      <c r="B291" s="41"/>
      <c r="C291" s="41"/>
      <c r="D291" s="41"/>
      <c r="E291" s="42"/>
      <c r="F291" s="48"/>
      <c r="G291" s="48"/>
      <c r="H291" s="49"/>
      <c r="I291" s="41"/>
      <c r="J291" s="42"/>
      <c r="K291" s="42"/>
      <c r="L29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1" s="43" t="str">
        <f>IF(tblProductos[[#This Row],[SKU]]="","",COUNTIF(tblEntradas[SKU],tblProductos[[#This Row],[SKU]])+COUNTIF(tblSalidas[SKU],tblProductos[[#This Row],[SKU]]))</f>
        <v/>
      </c>
      <c r="N29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2" spans="2:14" x14ac:dyDescent="0.25">
      <c r="B292" s="41"/>
      <c r="C292" s="41"/>
      <c r="D292" s="41"/>
      <c r="E292" s="42"/>
      <c r="F292" s="48"/>
      <c r="G292" s="48"/>
      <c r="H292" s="49"/>
      <c r="I292" s="41"/>
      <c r="J292" s="42"/>
      <c r="K292" s="42"/>
      <c r="L29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2" s="43" t="str">
        <f>IF(tblProductos[[#This Row],[SKU]]="","",COUNTIF(tblEntradas[SKU],tblProductos[[#This Row],[SKU]])+COUNTIF(tblSalidas[SKU],tblProductos[[#This Row],[SKU]]))</f>
        <v/>
      </c>
      <c r="N29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3" spans="2:14" x14ac:dyDescent="0.25">
      <c r="B293" s="41"/>
      <c r="C293" s="41"/>
      <c r="D293" s="41"/>
      <c r="E293" s="42"/>
      <c r="F293" s="48"/>
      <c r="G293" s="48"/>
      <c r="H293" s="49"/>
      <c r="I293" s="41"/>
      <c r="J293" s="42"/>
      <c r="K293" s="42"/>
      <c r="L29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3" s="43" t="str">
        <f>IF(tblProductos[[#This Row],[SKU]]="","",COUNTIF(tblEntradas[SKU],tblProductos[[#This Row],[SKU]])+COUNTIF(tblSalidas[SKU],tblProductos[[#This Row],[SKU]]))</f>
        <v/>
      </c>
      <c r="N29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4" spans="2:14" x14ac:dyDescent="0.25">
      <c r="B294" s="41"/>
      <c r="C294" s="41"/>
      <c r="D294" s="41"/>
      <c r="E294" s="42"/>
      <c r="F294" s="48"/>
      <c r="G294" s="48"/>
      <c r="H294" s="49"/>
      <c r="I294" s="41"/>
      <c r="J294" s="42"/>
      <c r="K294" s="42"/>
      <c r="L29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4" s="43" t="str">
        <f>IF(tblProductos[[#This Row],[SKU]]="","",COUNTIF(tblEntradas[SKU],tblProductos[[#This Row],[SKU]])+COUNTIF(tblSalidas[SKU],tblProductos[[#This Row],[SKU]]))</f>
        <v/>
      </c>
      <c r="N29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5" spans="2:14" x14ac:dyDescent="0.25">
      <c r="B295" s="41"/>
      <c r="C295" s="41"/>
      <c r="D295" s="41"/>
      <c r="E295" s="42"/>
      <c r="F295" s="48"/>
      <c r="G295" s="48"/>
      <c r="H295" s="49"/>
      <c r="I295" s="41"/>
      <c r="J295" s="42"/>
      <c r="K295" s="42"/>
      <c r="L29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5" s="43" t="str">
        <f>IF(tblProductos[[#This Row],[SKU]]="","",COUNTIF(tblEntradas[SKU],tblProductos[[#This Row],[SKU]])+COUNTIF(tblSalidas[SKU],tblProductos[[#This Row],[SKU]]))</f>
        <v/>
      </c>
      <c r="N29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6" spans="2:14" x14ac:dyDescent="0.25">
      <c r="B296" s="41"/>
      <c r="C296" s="41"/>
      <c r="D296" s="41"/>
      <c r="E296" s="42"/>
      <c r="F296" s="48"/>
      <c r="G296" s="48"/>
      <c r="H296" s="49"/>
      <c r="I296" s="41"/>
      <c r="J296" s="42"/>
      <c r="K296" s="42"/>
      <c r="L29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6" s="43" t="str">
        <f>IF(tblProductos[[#This Row],[SKU]]="","",COUNTIF(tblEntradas[SKU],tblProductos[[#This Row],[SKU]])+COUNTIF(tblSalidas[SKU],tblProductos[[#This Row],[SKU]]))</f>
        <v/>
      </c>
      <c r="N29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7" spans="2:14" x14ac:dyDescent="0.25">
      <c r="B297" s="41"/>
      <c r="C297" s="41"/>
      <c r="D297" s="41"/>
      <c r="E297" s="42"/>
      <c r="F297" s="48"/>
      <c r="G297" s="48"/>
      <c r="H297" s="49"/>
      <c r="I297" s="41"/>
      <c r="J297" s="42"/>
      <c r="K297" s="42"/>
      <c r="L29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7" s="43" t="str">
        <f>IF(tblProductos[[#This Row],[SKU]]="","",COUNTIF(tblEntradas[SKU],tblProductos[[#This Row],[SKU]])+COUNTIF(tblSalidas[SKU],tblProductos[[#This Row],[SKU]]))</f>
        <v/>
      </c>
      <c r="N29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8" spans="2:14" x14ac:dyDescent="0.25">
      <c r="B298" s="41"/>
      <c r="C298" s="41"/>
      <c r="D298" s="41"/>
      <c r="E298" s="42"/>
      <c r="F298" s="48"/>
      <c r="G298" s="48"/>
      <c r="H298" s="49"/>
      <c r="I298" s="41"/>
      <c r="J298" s="42"/>
      <c r="K298" s="42"/>
      <c r="L29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8" s="43" t="str">
        <f>IF(tblProductos[[#This Row],[SKU]]="","",COUNTIF(tblEntradas[SKU],tblProductos[[#This Row],[SKU]])+COUNTIF(tblSalidas[SKU],tblProductos[[#This Row],[SKU]]))</f>
        <v/>
      </c>
      <c r="N29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9" spans="2:14" x14ac:dyDescent="0.25">
      <c r="B299" s="41"/>
      <c r="C299" s="41"/>
      <c r="D299" s="41"/>
      <c r="E299" s="42"/>
      <c r="F299" s="48"/>
      <c r="G299" s="48"/>
      <c r="H299" s="49"/>
      <c r="I299" s="41"/>
      <c r="J299" s="42"/>
      <c r="K299" s="42"/>
      <c r="L29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299" s="43" t="str">
        <f>IF(tblProductos[[#This Row],[SKU]]="","",COUNTIF(tblEntradas[SKU],tblProductos[[#This Row],[SKU]])+COUNTIF(tblSalidas[SKU],tblProductos[[#This Row],[SKU]]))</f>
        <v/>
      </c>
      <c r="N29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0" spans="2:14" x14ac:dyDescent="0.25">
      <c r="B300" s="41"/>
      <c r="C300" s="41"/>
      <c r="D300" s="41"/>
      <c r="E300" s="42"/>
      <c r="F300" s="48"/>
      <c r="G300" s="48"/>
      <c r="H300" s="49"/>
      <c r="I300" s="41"/>
      <c r="J300" s="42"/>
      <c r="K300" s="42"/>
      <c r="L30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0" s="43" t="str">
        <f>IF(tblProductos[[#This Row],[SKU]]="","",COUNTIF(tblEntradas[SKU],tblProductos[[#This Row],[SKU]])+COUNTIF(tblSalidas[SKU],tblProductos[[#This Row],[SKU]]))</f>
        <v/>
      </c>
      <c r="N30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1" spans="2:14" x14ac:dyDescent="0.25">
      <c r="B301" s="41"/>
      <c r="C301" s="41"/>
      <c r="D301" s="41"/>
      <c r="E301" s="42"/>
      <c r="F301" s="48"/>
      <c r="G301" s="48"/>
      <c r="H301" s="49"/>
      <c r="I301" s="41"/>
      <c r="J301" s="42"/>
      <c r="K301" s="42"/>
      <c r="L30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1" s="43" t="str">
        <f>IF(tblProductos[[#This Row],[SKU]]="","",COUNTIF(tblEntradas[SKU],tblProductos[[#This Row],[SKU]])+COUNTIF(tblSalidas[SKU],tblProductos[[#This Row],[SKU]]))</f>
        <v/>
      </c>
      <c r="N30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2" spans="2:14" x14ac:dyDescent="0.25">
      <c r="B302" s="41"/>
      <c r="C302" s="41"/>
      <c r="D302" s="41"/>
      <c r="E302" s="42"/>
      <c r="F302" s="48"/>
      <c r="G302" s="48"/>
      <c r="H302" s="49"/>
      <c r="I302" s="41"/>
      <c r="J302" s="42"/>
      <c r="K302" s="42"/>
      <c r="L30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2" s="43" t="str">
        <f>IF(tblProductos[[#This Row],[SKU]]="","",COUNTIF(tblEntradas[SKU],tblProductos[[#This Row],[SKU]])+COUNTIF(tblSalidas[SKU],tblProductos[[#This Row],[SKU]]))</f>
        <v/>
      </c>
      <c r="N30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3" spans="2:14" x14ac:dyDescent="0.25">
      <c r="B303" s="41"/>
      <c r="C303" s="41"/>
      <c r="D303" s="41"/>
      <c r="E303" s="42"/>
      <c r="F303" s="48"/>
      <c r="G303" s="48"/>
      <c r="H303" s="49"/>
      <c r="I303" s="41"/>
      <c r="J303" s="42"/>
      <c r="K303" s="42"/>
      <c r="L30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3" s="43" t="str">
        <f>IF(tblProductos[[#This Row],[SKU]]="","",COUNTIF(tblEntradas[SKU],tblProductos[[#This Row],[SKU]])+COUNTIF(tblSalidas[SKU],tblProductos[[#This Row],[SKU]]))</f>
        <v/>
      </c>
      <c r="N30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4" spans="2:14" x14ac:dyDescent="0.25">
      <c r="B304" s="41"/>
      <c r="C304" s="41"/>
      <c r="D304" s="41"/>
      <c r="E304" s="42"/>
      <c r="F304" s="48"/>
      <c r="G304" s="48"/>
      <c r="H304" s="49"/>
      <c r="I304" s="41"/>
      <c r="J304" s="42"/>
      <c r="K304" s="42"/>
      <c r="L30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4" s="43" t="str">
        <f>IF(tblProductos[[#This Row],[SKU]]="","",COUNTIF(tblEntradas[SKU],tblProductos[[#This Row],[SKU]])+COUNTIF(tblSalidas[SKU],tblProductos[[#This Row],[SKU]]))</f>
        <v/>
      </c>
      <c r="N30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5" spans="2:14" x14ac:dyDescent="0.25">
      <c r="B305" s="41"/>
      <c r="C305" s="41"/>
      <c r="D305" s="41"/>
      <c r="E305" s="42"/>
      <c r="F305" s="48"/>
      <c r="G305" s="48"/>
      <c r="H305" s="49"/>
      <c r="I305" s="41"/>
      <c r="J305" s="42"/>
      <c r="K305" s="42"/>
      <c r="L30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5" s="43" t="str">
        <f>IF(tblProductos[[#This Row],[SKU]]="","",COUNTIF(tblEntradas[SKU],tblProductos[[#This Row],[SKU]])+COUNTIF(tblSalidas[SKU],tblProductos[[#This Row],[SKU]]))</f>
        <v/>
      </c>
      <c r="N30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6" spans="2:14" x14ac:dyDescent="0.25">
      <c r="B306" s="41"/>
      <c r="C306" s="41"/>
      <c r="D306" s="41"/>
      <c r="E306" s="42"/>
      <c r="F306" s="48"/>
      <c r="G306" s="48"/>
      <c r="H306" s="49"/>
      <c r="I306" s="41"/>
      <c r="J306" s="42"/>
      <c r="K306" s="42"/>
      <c r="L30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6" s="43" t="str">
        <f>IF(tblProductos[[#This Row],[SKU]]="","",COUNTIF(tblEntradas[SKU],tblProductos[[#This Row],[SKU]])+COUNTIF(tblSalidas[SKU],tblProductos[[#This Row],[SKU]]))</f>
        <v/>
      </c>
      <c r="N30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7" spans="2:14" x14ac:dyDescent="0.25">
      <c r="B307" s="41"/>
      <c r="C307" s="41"/>
      <c r="D307" s="41"/>
      <c r="E307" s="42"/>
      <c r="F307" s="48"/>
      <c r="G307" s="48"/>
      <c r="H307" s="49"/>
      <c r="I307" s="41"/>
      <c r="J307" s="42"/>
      <c r="K307" s="42"/>
      <c r="L30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7" s="43" t="str">
        <f>IF(tblProductos[[#This Row],[SKU]]="","",COUNTIF(tblEntradas[SKU],tblProductos[[#This Row],[SKU]])+COUNTIF(tblSalidas[SKU],tblProductos[[#This Row],[SKU]]))</f>
        <v/>
      </c>
      <c r="N30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8" spans="2:14" x14ac:dyDescent="0.25">
      <c r="B308" s="41"/>
      <c r="C308" s="41"/>
      <c r="D308" s="41"/>
      <c r="E308" s="42"/>
      <c r="F308" s="48"/>
      <c r="G308" s="48"/>
      <c r="H308" s="49"/>
      <c r="I308" s="41"/>
      <c r="J308" s="42"/>
      <c r="K308" s="42"/>
      <c r="L30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8" s="43" t="str">
        <f>IF(tblProductos[[#This Row],[SKU]]="","",COUNTIF(tblEntradas[SKU],tblProductos[[#This Row],[SKU]])+COUNTIF(tblSalidas[SKU],tblProductos[[#This Row],[SKU]]))</f>
        <v/>
      </c>
      <c r="N30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9" spans="2:14" x14ac:dyDescent="0.25">
      <c r="B309" s="41"/>
      <c r="C309" s="41"/>
      <c r="D309" s="41"/>
      <c r="E309" s="42"/>
      <c r="F309" s="48"/>
      <c r="G309" s="48"/>
      <c r="H309" s="49"/>
      <c r="I309" s="41"/>
      <c r="J309" s="42"/>
      <c r="K309" s="42"/>
      <c r="L30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09" s="43" t="str">
        <f>IF(tblProductos[[#This Row],[SKU]]="","",COUNTIF(tblEntradas[SKU],tblProductos[[#This Row],[SKU]])+COUNTIF(tblSalidas[SKU],tblProductos[[#This Row],[SKU]]))</f>
        <v/>
      </c>
      <c r="N30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0" spans="2:14" x14ac:dyDescent="0.25">
      <c r="B310" s="41"/>
      <c r="C310" s="41"/>
      <c r="D310" s="41"/>
      <c r="E310" s="42"/>
      <c r="F310" s="48"/>
      <c r="G310" s="48"/>
      <c r="H310" s="49"/>
      <c r="I310" s="41"/>
      <c r="J310" s="42"/>
      <c r="K310" s="42"/>
      <c r="L31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0" s="43" t="str">
        <f>IF(tblProductos[[#This Row],[SKU]]="","",COUNTIF(tblEntradas[SKU],tblProductos[[#This Row],[SKU]])+COUNTIF(tblSalidas[SKU],tblProductos[[#This Row],[SKU]]))</f>
        <v/>
      </c>
      <c r="N31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1" spans="2:14" x14ac:dyDescent="0.25">
      <c r="B311" s="41"/>
      <c r="C311" s="41"/>
      <c r="D311" s="41"/>
      <c r="E311" s="42"/>
      <c r="F311" s="48"/>
      <c r="G311" s="48"/>
      <c r="H311" s="49"/>
      <c r="I311" s="41"/>
      <c r="J311" s="42"/>
      <c r="K311" s="42"/>
      <c r="L31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1" s="43" t="str">
        <f>IF(tblProductos[[#This Row],[SKU]]="","",COUNTIF(tblEntradas[SKU],tblProductos[[#This Row],[SKU]])+COUNTIF(tblSalidas[SKU],tblProductos[[#This Row],[SKU]]))</f>
        <v/>
      </c>
      <c r="N31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2" spans="2:14" x14ac:dyDescent="0.25">
      <c r="B312" s="41"/>
      <c r="C312" s="41"/>
      <c r="D312" s="41"/>
      <c r="E312" s="42"/>
      <c r="F312" s="48"/>
      <c r="G312" s="48"/>
      <c r="H312" s="49"/>
      <c r="I312" s="41"/>
      <c r="J312" s="42"/>
      <c r="K312" s="42"/>
      <c r="L31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2" s="43" t="str">
        <f>IF(tblProductos[[#This Row],[SKU]]="","",COUNTIF(tblEntradas[SKU],tblProductos[[#This Row],[SKU]])+COUNTIF(tblSalidas[SKU],tblProductos[[#This Row],[SKU]]))</f>
        <v/>
      </c>
      <c r="N31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3" spans="2:14" x14ac:dyDescent="0.25">
      <c r="B313" s="41"/>
      <c r="C313" s="41"/>
      <c r="D313" s="41"/>
      <c r="E313" s="42"/>
      <c r="F313" s="48"/>
      <c r="G313" s="48"/>
      <c r="H313" s="49"/>
      <c r="I313" s="41"/>
      <c r="J313" s="42"/>
      <c r="K313" s="42"/>
      <c r="L31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3" s="43" t="str">
        <f>IF(tblProductos[[#This Row],[SKU]]="","",COUNTIF(tblEntradas[SKU],tblProductos[[#This Row],[SKU]])+COUNTIF(tblSalidas[SKU],tblProductos[[#This Row],[SKU]]))</f>
        <v/>
      </c>
      <c r="N31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4" spans="2:14" x14ac:dyDescent="0.25">
      <c r="B314" s="41"/>
      <c r="C314" s="41"/>
      <c r="D314" s="41"/>
      <c r="E314" s="42"/>
      <c r="F314" s="48"/>
      <c r="G314" s="48"/>
      <c r="H314" s="49"/>
      <c r="I314" s="41"/>
      <c r="J314" s="42"/>
      <c r="K314" s="42"/>
      <c r="L31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4" s="43" t="str">
        <f>IF(tblProductos[[#This Row],[SKU]]="","",COUNTIF(tblEntradas[SKU],tblProductos[[#This Row],[SKU]])+COUNTIF(tblSalidas[SKU],tblProductos[[#This Row],[SKU]]))</f>
        <v/>
      </c>
      <c r="N31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5" spans="2:14" x14ac:dyDescent="0.25">
      <c r="B315" s="41"/>
      <c r="C315" s="41"/>
      <c r="D315" s="41"/>
      <c r="E315" s="42"/>
      <c r="F315" s="48"/>
      <c r="G315" s="48"/>
      <c r="H315" s="49"/>
      <c r="I315" s="41"/>
      <c r="J315" s="42"/>
      <c r="K315" s="42"/>
      <c r="L31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5" s="43" t="str">
        <f>IF(tblProductos[[#This Row],[SKU]]="","",COUNTIF(tblEntradas[SKU],tblProductos[[#This Row],[SKU]])+COUNTIF(tblSalidas[SKU],tblProductos[[#This Row],[SKU]]))</f>
        <v/>
      </c>
      <c r="N31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6" spans="2:14" x14ac:dyDescent="0.25">
      <c r="B316" s="41"/>
      <c r="C316" s="41"/>
      <c r="D316" s="41"/>
      <c r="E316" s="42"/>
      <c r="F316" s="48"/>
      <c r="G316" s="48"/>
      <c r="H316" s="49"/>
      <c r="I316" s="41"/>
      <c r="J316" s="42"/>
      <c r="K316" s="42"/>
      <c r="L31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6" s="43" t="str">
        <f>IF(tblProductos[[#This Row],[SKU]]="","",COUNTIF(tblEntradas[SKU],tblProductos[[#This Row],[SKU]])+COUNTIF(tblSalidas[SKU],tblProductos[[#This Row],[SKU]]))</f>
        <v/>
      </c>
      <c r="N31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7" spans="2:14" x14ac:dyDescent="0.25">
      <c r="B317" s="41"/>
      <c r="C317" s="41"/>
      <c r="D317" s="41"/>
      <c r="E317" s="42"/>
      <c r="F317" s="48"/>
      <c r="G317" s="48"/>
      <c r="H317" s="49"/>
      <c r="I317" s="41"/>
      <c r="J317" s="42"/>
      <c r="K317" s="42"/>
      <c r="L31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7" s="43" t="str">
        <f>IF(tblProductos[[#This Row],[SKU]]="","",COUNTIF(tblEntradas[SKU],tblProductos[[#This Row],[SKU]])+COUNTIF(tblSalidas[SKU],tblProductos[[#This Row],[SKU]]))</f>
        <v/>
      </c>
      <c r="N31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8" spans="2:14" x14ac:dyDescent="0.25">
      <c r="B318" s="41"/>
      <c r="C318" s="41"/>
      <c r="D318" s="41"/>
      <c r="E318" s="42"/>
      <c r="F318" s="48"/>
      <c r="G318" s="48"/>
      <c r="H318" s="49"/>
      <c r="I318" s="41"/>
      <c r="J318" s="42"/>
      <c r="K318" s="42"/>
      <c r="L31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8" s="43" t="str">
        <f>IF(tblProductos[[#This Row],[SKU]]="","",COUNTIF(tblEntradas[SKU],tblProductos[[#This Row],[SKU]])+COUNTIF(tblSalidas[SKU],tblProductos[[#This Row],[SKU]]))</f>
        <v/>
      </c>
      <c r="N31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9" spans="2:14" x14ac:dyDescent="0.25">
      <c r="B319" s="41"/>
      <c r="C319" s="41"/>
      <c r="D319" s="41"/>
      <c r="E319" s="42"/>
      <c r="F319" s="48"/>
      <c r="G319" s="48"/>
      <c r="H319" s="49"/>
      <c r="I319" s="41"/>
      <c r="J319" s="42"/>
      <c r="K319" s="42"/>
      <c r="L31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19" s="43" t="str">
        <f>IF(tblProductos[[#This Row],[SKU]]="","",COUNTIF(tblEntradas[SKU],tblProductos[[#This Row],[SKU]])+COUNTIF(tblSalidas[SKU],tblProductos[[#This Row],[SKU]]))</f>
        <v/>
      </c>
      <c r="N31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0" spans="2:14" x14ac:dyDescent="0.25">
      <c r="B320" s="41"/>
      <c r="C320" s="41"/>
      <c r="D320" s="41"/>
      <c r="E320" s="42"/>
      <c r="F320" s="48"/>
      <c r="G320" s="48"/>
      <c r="H320" s="49"/>
      <c r="I320" s="41"/>
      <c r="J320" s="42"/>
      <c r="K320" s="42"/>
      <c r="L32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0" s="43" t="str">
        <f>IF(tblProductos[[#This Row],[SKU]]="","",COUNTIF(tblEntradas[SKU],tblProductos[[#This Row],[SKU]])+COUNTIF(tblSalidas[SKU],tblProductos[[#This Row],[SKU]]))</f>
        <v/>
      </c>
      <c r="N32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1" spans="2:14" x14ac:dyDescent="0.25">
      <c r="B321" s="41"/>
      <c r="C321" s="41"/>
      <c r="D321" s="41"/>
      <c r="E321" s="42"/>
      <c r="F321" s="48"/>
      <c r="G321" s="48"/>
      <c r="H321" s="49"/>
      <c r="I321" s="41"/>
      <c r="J321" s="42"/>
      <c r="K321" s="42"/>
      <c r="L32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1" s="43" t="str">
        <f>IF(tblProductos[[#This Row],[SKU]]="","",COUNTIF(tblEntradas[SKU],tblProductos[[#This Row],[SKU]])+COUNTIF(tblSalidas[SKU],tblProductos[[#This Row],[SKU]]))</f>
        <v/>
      </c>
      <c r="N32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2" spans="2:14" x14ac:dyDescent="0.25">
      <c r="B322" s="41"/>
      <c r="C322" s="41"/>
      <c r="D322" s="41"/>
      <c r="E322" s="42"/>
      <c r="F322" s="48"/>
      <c r="G322" s="48"/>
      <c r="H322" s="49"/>
      <c r="I322" s="41"/>
      <c r="J322" s="42"/>
      <c r="K322" s="42"/>
      <c r="L32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2" s="43" t="str">
        <f>IF(tblProductos[[#This Row],[SKU]]="","",COUNTIF(tblEntradas[SKU],tblProductos[[#This Row],[SKU]])+COUNTIF(tblSalidas[SKU],tblProductos[[#This Row],[SKU]]))</f>
        <v/>
      </c>
      <c r="N32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3" spans="2:14" x14ac:dyDescent="0.25">
      <c r="B323" s="41"/>
      <c r="C323" s="41"/>
      <c r="D323" s="41"/>
      <c r="E323" s="42"/>
      <c r="F323" s="48"/>
      <c r="G323" s="48"/>
      <c r="H323" s="49"/>
      <c r="I323" s="41"/>
      <c r="J323" s="42"/>
      <c r="K323" s="42"/>
      <c r="L32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3" s="43" t="str">
        <f>IF(tblProductos[[#This Row],[SKU]]="","",COUNTIF(tblEntradas[SKU],tblProductos[[#This Row],[SKU]])+COUNTIF(tblSalidas[SKU],tblProductos[[#This Row],[SKU]]))</f>
        <v/>
      </c>
      <c r="N32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4" spans="2:14" x14ac:dyDescent="0.25">
      <c r="B324" s="41"/>
      <c r="C324" s="41"/>
      <c r="D324" s="41"/>
      <c r="E324" s="42"/>
      <c r="F324" s="48"/>
      <c r="G324" s="48"/>
      <c r="H324" s="49"/>
      <c r="I324" s="41"/>
      <c r="J324" s="42"/>
      <c r="K324" s="42"/>
      <c r="L32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4" s="43" t="str">
        <f>IF(tblProductos[[#This Row],[SKU]]="","",COUNTIF(tblEntradas[SKU],tblProductos[[#This Row],[SKU]])+COUNTIF(tblSalidas[SKU],tblProductos[[#This Row],[SKU]]))</f>
        <v/>
      </c>
      <c r="N32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5" spans="2:14" x14ac:dyDescent="0.25">
      <c r="B325" s="41"/>
      <c r="C325" s="41"/>
      <c r="D325" s="41"/>
      <c r="E325" s="42"/>
      <c r="F325" s="48"/>
      <c r="G325" s="48"/>
      <c r="H325" s="49"/>
      <c r="I325" s="41"/>
      <c r="J325" s="42"/>
      <c r="K325" s="42"/>
      <c r="L32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5" s="43" t="str">
        <f>IF(tblProductos[[#This Row],[SKU]]="","",COUNTIF(tblEntradas[SKU],tblProductos[[#This Row],[SKU]])+COUNTIF(tblSalidas[SKU],tblProductos[[#This Row],[SKU]]))</f>
        <v/>
      </c>
      <c r="N32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6" spans="2:14" x14ac:dyDescent="0.25">
      <c r="B326" s="41"/>
      <c r="C326" s="41"/>
      <c r="D326" s="41"/>
      <c r="E326" s="42"/>
      <c r="F326" s="48"/>
      <c r="G326" s="48"/>
      <c r="H326" s="49"/>
      <c r="I326" s="41"/>
      <c r="J326" s="42"/>
      <c r="K326" s="42"/>
      <c r="L32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6" s="43" t="str">
        <f>IF(tblProductos[[#This Row],[SKU]]="","",COUNTIF(tblEntradas[SKU],tblProductos[[#This Row],[SKU]])+COUNTIF(tblSalidas[SKU],tblProductos[[#This Row],[SKU]]))</f>
        <v/>
      </c>
      <c r="N32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7" spans="2:14" x14ac:dyDescent="0.25">
      <c r="B327" s="41"/>
      <c r="C327" s="41"/>
      <c r="D327" s="41"/>
      <c r="E327" s="42"/>
      <c r="F327" s="48"/>
      <c r="G327" s="48"/>
      <c r="H327" s="49"/>
      <c r="I327" s="41"/>
      <c r="J327" s="42"/>
      <c r="K327" s="42"/>
      <c r="L32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7" s="43" t="str">
        <f>IF(tblProductos[[#This Row],[SKU]]="","",COUNTIF(tblEntradas[SKU],tblProductos[[#This Row],[SKU]])+COUNTIF(tblSalidas[SKU],tblProductos[[#This Row],[SKU]]))</f>
        <v/>
      </c>
      <c r="N32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8" spans="2:14" x14ac:dyDescent="0.25">
      <c r="B328" s="41"/>
      <c r="C328" s="41"/>
      <c r="D328" s="41"/>
      <c r="E328" s="42"/>
      <c r="F328" s="48"/>
      <c r="G328" s="48"/>
      <c r="H328" s="49"/>
      <c r="I328" s="41"/>
      <c r="J328" s="42"/>
      <c r="K328" s="42"/>
      <c r="L32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8" s="43" t="str">
        <f>IF(tblProductos[[#This Row],[SKU]]="","",COUNTIF(tblEntradas[SKU],tblProductos[[#This Row],[SKU]])+COUNTIF(tblSalidas[SKU],tblProductos[[#This Row],[SKU]]))</f>
        <v/>
      </c>
      <c r="N32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9" spans="2:14" x14ac:dyDescent="0.25">
      <c r="B329" s="41"/>
      <c r="C329" s="41"/>
      <c r="D329" s="41"/>
      <c r="E329" s="42"/>
      <c r="F329" s="48"/>
      <c r="G329" s="48"/>
      <c r="H329" s="49"/>
      <c r="I329" s="41"/>
      <c r="J329" s="42"/>
      <c r="K329" s="42"/>
      <c r="L32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29" s="43" t="str">
        <f>IF(tblProductos[[#This Row],[SKU]]="","",COUNTIF(tblEntradas[SKU],tblProductos[[#This Row],[SKU]])+COUNTIF(tblSalidas[SKU],tblProductos[[#This Row],[SKU]]))</f>
        <v/>
      </c>
      <c r="N32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0" spans="2:14" x14ac:dyDescent="0.25">
      <c r="B330" s="41"/>
      <c r="C330" s="41"/>
      <c r="D330" s="41"/>
      <c r="E330" s="42"/>
      <c r="F330" s="48"/>
      <c r="G330" s="48"/>
      <c r="H330" s="49"/>
      <c r="I330" s="41"/>
      <c r="J330" s="42"/>
      <c r="K330" s="42"/>
      <c r="L33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0" s="43" t="str">
        <f>IF(tblProductos[[#This Row],[SKU]]="","",COUNTIF(tblEntradas[SKU],tblProductos[[#This Row],[SKU]])+COUNTIF(tblSalidas[SKU],tblProductos[[#This Row],[SKU]]))</f>
        <v/>
      </c>
      <c r="N33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1" spans="2:14" x14ac:dyDescent="0.25">
      <c r="B331" s="41"/>
      <c r="C331" s="41"/>
      <c r="D331" s="41"/>
      <c r="E331" s="42"/>
      <c r="F331" s="48"/>
      <c r="G331" s="48"/>
      <c r="H331" s="49"/>
      <c r="I331" s="41"/>
      <c r="J331" s="42"/>
      <c r="K331" s="42"/>
      <c r="L33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1" s="43" t="str">
        <f>IF(tblProductos[[#This Row],[SKU]]="","",COUNTIF(tblEntradas[SKU],tblProductos[[#This Row],[SKU]])+COUNTIF(tblSalidas[SKU],tblProductos[[#This Row],[SKU]]))</f>
        <v/>
      </c>
      <c r="N33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2" spans="2:14" x14ac:dyDescent="0.25">
      <c r="B332" s="41"/>
      <c r="C332" s="41"/>
      <c r="D332" s="41"/>
      <c r="E332" s="42"/>
      <c r="F332" s="48"/>
      <c r="G332" s="48"/>
      <c r="H332" s="49"/>
      <c r="I332" s="41"/>
      <c r="J332" s="42"/>
      <c r="K332" s="42"/>
      <c r="L33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2" s="43" t="str">
        <f>IF(tblProductos[[#This Row],[SKU]]="","",COUNTIF(tblEntradas[SKU],tblProductos[[#This Row],[SKU]])+COUNTIF(tblSalidas[SKU],tblProductos[[#This Row],[SKU]]))</f>
        <v/>
      </c>
      <c r="N33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3" spans="2:14" x14ac:dyDescent="0.25">
      <c r="B333" s="41"/>
      <c r="C333" s="41"/>
      <c r="D333" s="41"/>
      <c r="E333" s="42"/>
      <c r="F333" s="48"/>
      <c r="G333" s="48"/>
      <c r="H333" s="49"/>
      <c r="I333" s="41"/>
      <c r="J333" s="42"/>
      <c r="K333" s="42"/>
      <c r="L33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3" s="43" t="str">
        <f>IF(tblProductos[[#This Row],[SKU]]="","",COUNTIF(tblEntradas[SKU],tblProductos[[#This Row],[SKU]])+COUNTIF(tblSalidas[SKU],tblProductos[[#This Row],[SKU]]))</f>
        <v/>
      </c>
      <c r="N33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4" spans="2:14" x14ac:dyDescent="0.25">
      <c r="B334" s="41"/>
      <c r="C334" s="41"/>
      <c r="D334" s="41"/>
      <c r="E334" s="42"/>
      <c r="F334" s="48"/>
      <c r="G334" s="48"/>
      <c r="H334" s="49"/>
      <c r="I334" s="41"/>
      <c r="J334" s="42"/>
      <c r="K334" s="42"/>
      <c r="L33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4" s="43" t="str">
        <f>IF(tblProductos[[#This Row],[SKU]]="","",COUNTIF(tblEntradas[SKU],tblProductos[[#This Row],[SKU]])+COUNTIF(tblSalidas[SKU],tblProductos[[#This Row],[SKU]]))</f>
        <v/>
      </c>
      <c r="N33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5" spans="2:14" x14ac:dyDescent="0.25">
      <c r="B335" s="41"/>
      <c r="C335" s="41"/>
      <c r="D335" s="41"/>
      <c r="E335" s="42"/>
      <c r="F335" s="48"/>
      <c r="G335" s="48"/>
      <c r="H335" s="49"/>
      <c r="I335" s="41"/>
      <c r="J335" s="42"/>
      <c r="K335" s="42"/>
      <c r="L33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5" s="43" t="str">
        <f>IF(tblProductos[[#This Row],[SKU]]="","",COUNTIF(tblEntradas[SKU],tblProductos[[#This Row],[SKU]])+COUNTIF(tblSalidas[SKU],tblProductos[[#This Row],[SKU]]))</f>
        <v/>
      </c>
      <c r="N33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6" spans="2:14" x14ac:dyDescent="0.25">
      <c r="B336" s="41"/>
      <c r="C336" s="41"/>
      <c r="D336" s="41"/>
      <c r="E336" s="42"/>
      <c r="F336" s="48"/>
      <c r="G336" s="48"/>
      <c r="H336" s="49"/>
      <c r="I336" s="41"/>
      <c r="J336" s="42"/>
      <c r="K336" s="42"/>
      <c r="L33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6" s="43" t="str">
        <f>IF(tblProductos[[#This Row],[SKU]]="","",COUNTIF(tblEntradas[SKU],tblProductos[[#This Row],[SKU]])+COUNTIF(tblSalidas[SKU],tblProductos[[#This Row],[SKU]]))</f>
        <v/>
      </c>
      <c r="N33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7" spans="2:14" x14ac:dyDescent="0.25">
      <c r="B337" s="41"/>
      <c r="C337" s="41"/>
      <c r="D337" s="41"/>
      <c r="E337" s="42"/>
      <c r="F337" s="48"/>
      <c r="G337" s="48"/>
      <c r="H337" s="49"/>
      <c r="I337" s="41"/>
      <c r="J337" s="42"/>
      <c r="K337" s="42"/>
      <c r="L33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7" s="43" t="str">
        <f>IF(tblProductos[[#This Row],[SKU]]="","",COUNTIF(tblEntradas[SKU],tblProductos[[#This Row],[SKU]])+COUNTIF(tblSalidas[SKU],tblProductos[[#This Row],[SKU]]))</f>
        <v/>
      </c>
      <c r="N33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8" spans="2:14" x14ac:dyDescent="0.25">
      <c r="B338" s="41"/>
      <c r="C338" s="41"/>
      <c r="D338" s="41"/>
      <c r="E338" s="42"/>
      <c r="F338" s="48"/>
      <c r="G338" s="48"/>
      <c r="H338" s="49"/>
      <c r="I338" s="41"/>
      <c r="J338" s="42"/>
      <c r="K338" s="42"/>
      <c r="L33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8" s="43" t="str">
        <f>IF(tblProductos[[#This Row],[SKU]]="","",COUNTIF(tblEntradas[SKU],tblProductos[[#This Row],[SKU]])+COUNTIF(tblSalidas[SKU],tblProductos[[#This Row],[SKU]]))</f>
        <v/>
      </c>
      <c r="N33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9" spans="2:14" x14ac:dyDescent="0.25">
      <c r="B339" s="41"/>
      <c r="C339" s="41"/>
      <c r="D339" s="41"/>
      <c r="E339" s="42"/>
      <c r="F339" s="48"/>
      <c r="G339" s="48"/>
      <c r="H339" s="49"/>
      <c r="I339" s="41"/>
      <c r="J339" s="42"/>
      <c r="K339" s="42"/>
      <c r="L33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39" s="43" t="str">
        <f>IF(tblProductos[[#This Row],[SKU]]="","",COUNTIF(tblEntradas[SKU],tblProductos[[#This Row],[SKU]])+COUNTIF(tblSalidas[SKU],tblProductos[[#This Row],[SKU]]))</f>
        <v/>
      </c>
      <c r="N33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0" spans="2:14" x14ac:dyDescent="0.25">
      <c r="B340" s="41"/>
      <c r="C340" s="41"/>
      <c r="D340" s="41"/>
      <c r="E340" s="42"/>
      <c r="F340" s="48"/>
      <c r="G340" s="48"/>
      <c r="H340" s="49"/>
      <c r="I340" s="41"/>
      <c r="J340" s="42"/>
      <c r="K340" s="42"/>
      <c r="L34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0" s="43" t="str">
        <f>IF(tblProductos[[#This Row],[SKU]]="","",COUNTIF(tblEntradas[SKU],tblProductos[[#This Row],[SKU]])+COUNTIF(tblSalidas[SKU],tblProductos[[#This Row],[SKU]]))</f>
        <v/>
      </c>
      <c r="N34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1" spans="2:14" x14ac:dyDescent="0.25">
      <c r="B341" s="41"/>
      <c r="C341" s="41"/>
      <c r="D341" s="41"/>
      <c r="E341" s="42"/>
      <c r="F341" s="48"/>
      <c r="G341" s="48"/>
      <c r="H341" s="49"/>
      <c r="I341" s="41"/>
      <c r="J341" s="42"/>
      <c r="K341" s="42"/>
      <c r="L34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1" s="43" t="str">
        <f>IF(tblProductos[[#This Row],[SKU]]="","",COUNTIF(tblEntradas[SKU],tblProductos[[#This Row],[SKU]])+COUNTIF(tblSalidas[SKU],tblProductos[[#This Row],[SKU]]))</f>
        <v/>
      </c>
      <c r="N34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2" spans="2:14" x14ac:dyDescent="0.25">
      <c r="B342" s="41"/>
      <c r="C342" s="41"/>
      <c r="D342" s="41"/>
      <c r="E342" s="42"/>
      <c r="F342" s="48"/>
      <c r="G342" s="48"/>
      <c r="H342" s="49"/>
      <c r="I342" s="41"/>
      <c r="J342" s="42"/>
      <c r="K342" s="42"/>
      <c r="L34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2" s="43" t="str">
        <f>IF(tblProductos[[#This Row],[SKU]]="","",COUNTIF(tblEntradas[SKU],tblProductos[[#This Row],[SKU]])+COUNTIF(tblSalidas[SKU],tblProductos[[#This Row],[SKU]]))</f>
        <v/>
      </c>
      <c r="N34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3" spans="2:14" x14ac:dyDescent="0.25">
      <c r="B343" s="41"/>
      <c r="C343" s="41"/>
      <c r="D343" s="41"/>
      <c r="E343" s="42"/>
      <c r="F343" s="48"/>
      <c r="G343" s="48"/>
      <c r="H343" s="49"/>
      <c r="I343" s="41"/>
      <c r="J343" s="42"/>
      <c r="K343" s="42"/>
      <c r="L34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3" s="43" t="str">
        <f>IF(tblProductos[[#This Row],[SKU]]="","",COUNTIF(tblEntradas[SKU],tblProductos[[#This Row],[SKU]])+COUNTIF(tblSalidas[SKU],tblProductos[[#This Row],[SKU]]))</f>
        <v/>
      </c>
      <c r="N34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4" spans="2:14" x14ac:dyDescent="0.25">
      <c r="B344" s="41"/>
      <c r="C344" s="41"/>
      <c r="D344" s="41"/>
      <c r="E344" s="42"/>
      <c r="F344" s="48"/>
      <c r="G344" s="48"/>
      <c r="H344" s="49"/>
      <c r="I344" s="41"/>
      <c r="J344" s="42"/>
      <c r="K344" s="42"/>
      <c r="L34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4" s="43" t="str">
        <f>IF(tblProductos[[#This Row],[SKU]]="","",COUNTIF(tblEntradas[SKU],tblProductos[[#This Row],[SKU]])+COUNTIF(tblSalidas[SKU],tblProductos[[#This Row],[SKU]]))</f>
        <v/>
      </c>
      <c r="N34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5" spans="2:14" x14ac:dyDescent="0.25">
      <c r="B345" s="41"/>
      <c r="C345" s="41"/>
      <c r="D345" s="41"/>
      <c r="E345" s="42"/>
      <c r="F345" s="48"/>
      <c r="G345" s="48"/>
      <c r="H345" s="49"/>
      <c r="I345" s="41"/>
      <c r="J345" s="42"/>
      <c r="K345" s="42"/>
      <c r="L34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5" s="43" t="str">
        <f>IF(tblProductos[[#This Row],[SKU]]="","",COUNTIF(tblEntradas[SKU],tblProductos[[#This Row],[SKU]])+COUNTIF(tblSalidas[SKU],tblProductos[[#This Row],[SKU]]))</f>
        <v/>
      </c>
      <c r="N34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6" spans="2:14" x14ac:dyDescent="0.25">
      <c r="B346" s="41"/>
      <c r="C346" s="41"/>
      <c r="D346" s="41"/>
      <c r="E346" s="42"/>
      <c r="F346" s="48"/>
      <c r="G346" s="48"/>
      <c r="H346" s="49"/>
      <c r="I346" s="41"/>
      <c r="J346" s="42"/>
      <c r="K346" s="42"/>
      <c r="L34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6" s="43" t="str">
        <f>IF(tblProductos[[#This Row],[SKU]]="","",COUNTIF(tblEntradas[SKU],tblProductos[[#This Row],[SKU]])+COUNTIF(tblSalidas[SKU],tblProductos[[#This Row],[SKU]]))</f>
        <v/>
      </c>
      <c r="N34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7" spans="2:14" x14ac:dyDescent="0.25">
      <c r="B347" s="41"/>
      <c r="C347" s="41"/>
      <c r="D347" s="41"/>
      <c r="E347" s="42"/>
      <c r="F347" s="48"/>
      <c r="G347" s="48"/>
      <c r="H347" s="49"/>
      <c r="I347" s="41"/>
      <c r="J347" s="42"/>
      <c r="K347" s="42"/>
      <c r="L34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7" s="43" t="str">
        <f>IF(tblProductos[[#This Row],[SKU]]="","",COUNTIF(tblEntradas[SKU],tblProductos[[#This Row],[SKU]])+COUNTIF(tblSalidas[SKU],tblProductos[[#This Row],[SKU]]))</f>
        <v/>
      </c>
      <c r="N34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8" spans="2:14" x14ac:dyDescent="0.25">
      <c r="B348" s="41"/>
      <c r="C348" s="41"/>
      <c r="D348" s="41"/>
      <c r="E348" s="42"/>
      <c r="F348" s="48"/>
      <c r="G348" s="48"/>
      <c r="H348" s="49"/>
      <c r="I348" s="41"/>
      <c r="J348" s="42"/>
      <c r="K348" s="42"/>
      <c r="L34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8" s="43" t="str">
        <f>IF(tblProductos[[#This Row],[SKU]]="","",COUNTIF(tblEntradas[SKU],tblProductos[[#This Row],[SKU]])+COUNTIF(tblSalidas[SKU],tblProductos[[#This Row],[SKU]]))</f>
        <v/>
      </c>
      <c r="N34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9" spans="2:14" x14ac:dyDescent="0.25">
      <c r="B349" s="41"/>
      <c r="C349" s="41"/>
      <c r="D349" s="41"/>
      <c r="E349" s="42"/>
      <c r="F349" s="48"/>
      <c r="G349" s="48"/>
      <c r="H349" s="49"/>
      <c r="I349" s="41"/>
      <c r="J349" s="42"/>
      <c r="K349" s="42"/>
      <c r="L34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49" s="43" t="str">
        <f>IF(tblProductos[[#This Row],[SKU]]="","",COUNTIF(tblEntradas[SKU],tblProductos[[#This Row],[SKU]])+COUNTIF(tblSalidas[SKU],tblProductos[[#This Row],[SKU]]))</f>
        <v/>
      </c>
      <c r="N34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0" spans="2:14" x14ac:dyDescent="0.25">
      <c r="B350" s="41"/>
      <c r="C350" s="41"/>
      <c r="D350" s="41"/>
      <c r="E350" s="42"/>
      <c r="F350" s="48"/>
      <c r="G350" s="48"/>
      <c r="H350" s="49"/>
      <c r="I350" s="41"/>
      <c r="J350" s="42"/>
      <c r="K350" s="42"/>
      <c r="L35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0" s="43" t="str">
        <f>IF(tblProductos[[#This Row],[SKU]]="","",COUNTIF(tblEntradas[SKU],tblProductos[[#This Row],[SKU]])+COUNTIF(tblSalidas[SKU],tblProductos[[#This Row],[SKU]]))</f>
        <v/>
      </c>
      <c r="N35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1" spans="2:14" x14ac:dyDescent="0.25">
      <c r="B351" s="41"/>
      <c r="C351" s="41"/>
      <c r="D351" s="41"/>
      <c r="E351" s="42"/>
      <c r="F351" s="48"/>
      <c r="G351" s="48"/>
      <c r="H351" s="49"/>
      <c r="I351" s="41"/>
      <c r="J351" s="42"/>
      <c r="K351" s="42"/>
      <c r="L35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1" s="43" t="str">
        <f>IF(tblProductos[[#This Row],[SKU]]="","",COUNTIF(tblEntradas[SKU],tblProductos[[#This Row],[SKU]])+COUNTIF(tblSalidas[SKU],tblProductos[[#This Row],[SKU]]))</f>
        <v/>
      </c>
      <c r="N35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2" spans="2:14" x14ac:dyDescent="0.25">
      <c r="B352" s="41"/>
      <c r="C352" s="41"/>
      <c r="D352" s="41"/>
      <c r="E352" s="42"/>
      <c r="F352" s="48"/>
      <c r="G352" s="48"/>
      <c r="H352" s="49"/>
      <c r="I352" s="41"/>
      <c r="J352" s="42"/>
      <c r="K352" s="42"/>
      <c r="L35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2" s="43" t="str">
        <f>IF(tblProductos[[#This Row],[SKU]]="","",COUNTIF(tblEntradas[SKU],tblProductos[[#This Row],[SKU]])+COUNTIF(tblSalidas[SKU],tblProductos[[#This Row],[SKU]]))</f>
        <v/>
      </c>
      <c r="N35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3" spans="2:14" x14ac:dyDescent="0.25">
      <c r="B353" s="41"/>
      <c r="C353" s="41"/>
      <c r="D353" s="41"/>
      <c r="E353" s="42"/>
      <c r="F353" s="48"/>
      <c r="G353" s="48"/>
      <c r="H353" s="49"/>
      <c r="I353" s="41"/>
      <c r="J353" s="42"/>
      <c r="K353" s="42"/>
      <c r="L35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3" s="43" t="str">
        <f>IF(tblProductos[[#This Row],[SKU]]="","",COUNTIF(tblEntradas[SKU],tblProductos[[#This Row],[SKU]])+COUNTIF(tblSalidas[SKU],tblProductos[[#This Row],[SKU]]))</f>
        <v/>
      </c>
      <c r="N35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4" spans="2:14" x14ac:dyDescent="0.25">
      <c r="B354" s="41"/>
      <c r="C354" s="41"/>
      <c r="D354" s="41"/>
      <c r="E354" s="42"/>
      <c r="F354" s="48"/>
      <c r="G354" s="48"/>
      <c r="H354" s="49"/>
      <c r="I354" s="41"/>
      <c r="J354" s="42"/>
      <c r="K354" s="42"/>
      <c r="L35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4" s="43" t="str">
        <f>IF(tblProductos[[#This Row],[SKU]]="","",COUNTIF(tblEntradas[SKU],tblProductos[[#This Row],[SKU]])+COUNTIF(tblSalidas[SKU],tblProductos[[#This Row],[SKU]]))</f>
        <v/>
      </c>
      <c r="N35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5" spans="2:14" x14ac:dyDescent="0.25">
      <c r="B355" s="41"/>
      <c r="C355" s="41"/>
      <c r="D355" s="41"/>
      <c r="E355" s="42"/>
      <c r="F355" s="48"/>
      <c r="G355" s="48"/>
      <c r="H355" s="49"/>
      <c r="I355" s="41"/>
      <c r="J355" s="42"/>
      <c r="K355" s="42"/>
      <c r="L35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5" s="43" t="str">
        <f>IF(tblProductos[[#This Row],[SKU]]="","",COUNTIF(tblEntradas[SKU],tblProductos[[#This Row],[SKU]])+COUNTIF(tblSalidas[SKU],tblProductos[[#This Row],[SKU]]))</f>
        <v/>
      </c>
      <c r="N35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6" spans="2:14" x14ac:dyDescent="0.25">
      <c r="B356" s="41"/>
      <c r="C356" s="41"/>
      <c r="D356" s="41"/>
      <c r="E356" s="42"/>
      <c r="F356" s="48"/>
      <c r="G356" s="48"/>
      <c r="H356" s="49"/>
      <c r="I356" s="41"/>
      <c r="J356" s="42"/>
      <c r="K356" s="42"/>
      <c r="L35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6" s="43" t="str">
        <f>IF(tblProductos[[#This Row],[SKU]]="","",COUNTIF(tblEntradas[SKU],tblProductos[[#This Row],[SKU]])+COUNTIF(tblSalidas[SKU],tblProductos[[#This Row],[SKU]]))</f>
        <v/>
      </c>
      <c r="N35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7" spans="2:14" x14ac:dyDescent="0.25">
      <c r="B357" s="41"/>
      <c r="C357" s="41"/>
      <c r="D357" s="41"/>
      <c r="E357" s="42"/>
      <c r="F357" s="48"/>
      <c r="G357" s="48"/>
      <c r="H357" s="49"/>
      <c r="I357" s="41"/>
      <c r="J357" s="42"/>
      <c r="K357" s="42"/>
      <c r="L35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7" s="43" t="str">
        <f>IF(tblProductos[[#This Row],[SKU]]="","",COUNTIF(tblEntradas[SKU],tblProductos[[#This Row],[SKU]])+COUNTIF(tblSalidas[SKU],tblProductos[[#This Row],[SKU]]))</f>
        <v/>
      </c>
      <c r="N35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8" spans="2:14" x14ac:dyDescent="0.25">
      <c r="B358" s="41"/>
      <c r="C358" s="41"/>
      <c r="D358" s="41"/>
      <c r="E358" s="42"/>
      <c r="F358" s="48"/>
      <c r="G358" s="48"/>
      <c r="H358" s="49"/>
      <c r="I358" s="41"/>
      <c r="J358" s="42"/>
      <c r="K358" s="42"/>
      <c r="L35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8" s="43" t="str">
        <f>IF(tblProductos[[#This Row],[SKU]]="","",COUNTIF(tblEntradas[SKU],tblProductos[[#This Row],[SKU]])+COUNTIF(tblSalidas[SKU],tblProductos[[#This Row],[SKU]]))</f>
        <v/>
      </c>
      <c r="N35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9" spans="2:14" x14ac:dyDescent="0.25">
      <c r="B359" s="41"/>
      <c r="C359" s="41"/>
      <c r="D359" s="41"/>
      <c r="E359" s="42"/>
      <c r="F359" s="48"/>
      <c r="G359" s="48"/>
      <c r="H359" s="49"/>
      <c r="I359" s="41"/>
      <c r="J359" s="42"/>
      <c r="K359" s="42"/>
      <c r="L35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59" s="43" t="str">
        <f>IF(tblProductos[[#This Row],[SKU]]="","",COUNTIF(tblEntradas[SKU],tblProductos[[#This Row],[SKU]])+COUNTIF(tblSalidas[SKU],tblProductos[[#This Row],[SKU]]))</f>
        <v/>
      </c>
      <c r="N35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0" spans="2:14" x14ac:dyDescent="0.25">
      <c r="B360" s="41"/>
      <c r="C360" s="41"/>
      <c r="D360" s="41"/>
      <c r="E360" s="42"/>
      <c r="F360" s="48"/>
      <c r="G360" s="48"/>
      <c r="H360" s="49"/>
      <c r="I360" s="41"/>
      <c r="J360" s="42"/>
      <c r="K360" s="42"/>
      <c r="L36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0" s="43" t="str">
        <f>IF(tblProductos[[#This Row],[SKU]]="","",COUNTIF(tblEntradas[SKU],tblProductos[[#This Row],[SKU]])+COUNTIF(tblSalidas[SKU],tblProductos[[#This Row],[SKU]]))</f>
        <v/>
      </c>
      <c r="N36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1" spans="2:14" x14ac:dyDescent="0.25">
      <c r="B361" s="41"/>
      <c r="C361" s="41"/>
      <c r="D361" s="41"/>
      <c r="E361" s="42"/>
      <c r="F361" s="48"/>
      <c r="G361" s="48"/>
      <c r="H361" s="49"/>
      <c r="I361" s="41"/>
      <c r="J361" s="42"/>
      <c r="K361" s="42"/>
      <c r="L36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1" s="43" t="str">
        <f>IF(tblProductos[[#This Row],[SKU]]="","",COUNTIF(tblEntradas[SKU],tblProductos[[#This Row],[SKU]])+COUNTIF(tblSalidas[SKU],tblProductos[[#This Row],[SKU]]))</f>
        <v/>
      </c>
      <c r="N36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2" spans="2:14" x14ac:dyDescent="0.25">
      <c r="B362" s="41"/>
      <c r="C362" s="41"/>
      <c r="D362" s="41"/>
      <c r="E362" s="42"/>
      <c r="F362" s="48"/>
      <c r="G362" s="48"/>
      <c r="H362" s="49"/>
      <c r="I362" s="41"/>
      <c r="J362" s="42"/>
      <c r="K362" s="42"/>
      <c r="L36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2" s="43" t="str">
        <f>IF(tblProductos[[#This Row],[SKU]]="","",COUNTIF(tblEntradas[SKU],tblProductos[[#This Row],[SKU]])+COUNTIF(tblSalidas[SKU],tblProductos[[#This Row],[SKU]]))</f>
        <v/>
      </c>
      <c r="N36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3" spans="2:14" x14ac:dyDescent="0.25">
      <c r="B363" s="41"/>
      <c r="C363" s="41"/>
      <c r="D363" s="41"/>
      <c r="E363" s="42"/>
      <c r="F363" s="48"/>
      <c r="G363" s="48"/>
      <c r="H363" s="49"/>
      <c r="I363" s="41"/>
      <c r="J363" s="42"/>
      <c r="K363" s="42"/>
      <c r="L36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3" s="43" t="str">
        <f>IF(tblProductos[[#This Row],[SKU]]="","",COUNTIF(tblEntradas[SKU],tblProductos[[#This Row],[SKU]])+COUNTIF(tblSalidas[SKU],tblProductos[[#This Row],[SKU]]))</f>
        <v/>
      </c>
      <c r="N36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4" spans="2:14" x14ac:dyDescent="0.25">
      <c r="B364" s="41"/>
      <c r="C364" s="41"/>
      <c r="D364" s="41"/>
      <c r="E364" s="42"/>
      <c r="F364" s="48"/>
      <c r="G364" s="48"/>
      <c r="H364" s="49"/>
      <c r="I364" s="41"/>
      <c r="J364" s="42"/>
      <c r="K364" s="42"/>
      <c r="L36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4" s="43" t="str">
        <f>IF(tblProductos[[#This Row],[SKU]]="","",COUNTIF(tblEntradas[SKU],tblProductos[[#This Row],[SKU]])+COUNTIF(tblSalidas[SKU],tblProductos[[#This Row],[SKU]]))</f>
        <v/>
      </c>
      <c r="N36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5" spans="2:14" x14ac:dyDescent="0.25">
      <c r="B365" s="41"/>
      <c r="C365" s="41"/>
      <c r="D365" s="41"/>
      <c r="E365" s="42"/>
      <c r="F365" s="48"/>
      <c r="G365" s="48"/>
      <c r="H365" s="49"/>
      <c r="I365" s="41"/>
      <c r="J365" s="42"/>
      <c r="K365" s="42"/>
      <c r="L36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5" s="43" t="str">
        <f>IF(tblProductos[[#This Row],[SKU]]="","",COUNTIF(tblEntradas[SKU],tblProductos[[#This Row],[SKU]])+COUNTIF(tblSalidas[SKU],tblProductos[[#This Row],[SKU]]))</f>
        <v/>
      </c>
      <c r="N36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6" spans="2:14" x14ac:dyDescent="0.25">
      <c r="B366" s="41"/>
      <c r="C366" s="41"/>
      <c r="D366" s="41"/>
      <c r="E366" s="42"/>
      <c r="F366" s="48"/>
      <c r="G366" s="48"/>
      <c r="H366" s="49"/>
      <c r="I366" s="41"/>
      <c r="J366" s="42"/>
      <c r="K366" s="42"/>
      <c r="L36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6" s="43" t="str">
        <f>IF(tblProductos[[#This Row],[SKU]]="","",COUNTIF(tblEntradas[SKU],tblProductos[[#This Row],[SKU]])+COUNTIF(tblSalidas[SKU],tblProductos[[#This Row],[SKU]]))</f>
        <v/>
      </c>
      <c r="N36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7" spans="2:14" x14ac:dyDescent="0.25">
      <c r="B367" s="41"/>
      <c r="C367" s="41"/>
      <c r="D367" s="41"/>
      <c r="E367" s="42"/>
      <c r="F367" s="48"/>
      <c r="G367" s="48"/>
      <c r="H367" s="49"/>
      <c r="I367" s="41"/>
      <c r="J367" s="42"/>
      <c r="K367" s="42"/>
      <c r="L36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7" s="43" t="str">
        <f>IF(tblProductos[[#This Row],[SKU]]="","",COUNTIF(tblEntradas[SKU],tblProductos[[#This Row],[SKU]])+COUNTIF(tblSalidas[SKU],tblProductos[[#This Row],[SKU]]))</f>
        <v/>
      </c>
      <c r="N36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8" spans="2:14" x14ac:dyDescent="0.25">
      <c r="B368" s="41"/>
      <c r="C368" s="41"/>
      <c r="D368" s="41"/>
      <c r="E368" s="42"/>
      <c r="F368" s="48"/>
      <c r="G368" s="48"/>
      <c r="H368" s="49"/>
      <c r="I368" s="41"/>
      <c r="J368" s="42"/>
      <c r="K368" s="42"/>
      <c r="L36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8" s="43" t="str">
        <f>IF(tblProductos[[#This Row],[SKU]]="","",COUNTIF(tblEntradas[SKU],tblProductos[[#This Row],[SKU]])+COUNTIF(tblSalidas[SKU],tblProductos[[#This Row],[SKU]]))</f>
        <v/>
      </c>
      <c r="N36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9" spans="2:14" x14ac:dyDescent="0.25">
      <c r="B369" s="41"/>
      <c r="C369" s="41"/>
      <c r="D369" s="41"/>
      <c r="E369" s="42"/>
      <c r="F369" s="48"/>
      <c r="G369" s="48"/>
      <c r="H369" s="49"/>
      <c r="I369" s="41"/>
      <c r="J369" s="42"/>
      <c r="K369" s="42"/>
      <c r="L36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69" s="43" t="str">
        <f>IF(tblProductos[[#This Row],[SKU]]="","",COUNTIF(tblEntradas[SKU],tblProductos[[#This Row],[SKU]])+COUNTIF(tblSalidas[SKU],tblProductos[[#This Row],[SKU]]))</f>
        <v/>
      </c>
      <c r="N36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0" spans="2:14" x14ac:dyDescent="0.25">
      <c r="B370" s="41"/>
      <c r="C370" s="41"/>
      <c r="D370" s="41"/>
      <c r="E370" s="42"/>
      <c r="F370" s="48"/>
      <c r="G370" s="48"/>
      <c r="H370" s="49"/>
      <c r="I370" s="41"/>
      <c r="J370" s="42"/>
      <c r="K370" s="42"/>
      <c r="L37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0" s="43" t="str">
        <f>IF(tblProductos[[#This Row],[SKU]]="","",COUNTIF(tblEntradas[SKU],tblProductos[[#This Row],[SKU]])+COUNTIF(tblSalidas[SKU],tblProductos[[#This Row],[SKU]]))</f>
        <v/>
      </c>
      <c r="N37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1" spans="2:14" x14ac:dyDescent="0.25">
      <c r="B371" s="41"/>
      <c r="C371" s="41"/>
      <c r="D371" s="41"/>
      <c r="E371" s="42"/>
      <c r="F371" s="48"/>
      <c r="G371" s="48"/>
      <c r="H371" s="49"/>
      <c r="I371" s="41"/>
      <c r="J371" s="42"/>
      <c r="K371" s="42"/>
      <c r="L37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1" s="43" t="str">
        <f>IF(tblProductos[[#This Row],[SKU]]="","",COUNTIF(tblEntradas[SKU],tblProductos[[#This Row],[SKU]])+COUNTIF(tblSalidas[SKU],tblProductos[[#This Row],[SKU]]))</f>
        <v/>
      </c>
      <c r="N37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2" spans="2:14" x14ac:dyDescent="0.25">
      <c r="B372" s="41"/>
      <c r="C372" s="41"/>
      <c r="D372" s="41"/>
      <c r="E372" s="42"/>
      <c r="F372" s="48"/>
      <c r="G372" s="48"/>
      <c r="H372" s="49"/>
      <c r="I372" s="41"/>
      <c r="J372" s="42"/>
      <c r="K372" s="42"/>
      <c r="L37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2" s="43" t="str">
        <f>IF(tblProductos[[#This Row],[SKU]]="","",COUNTIF(tblEntradas[SKU],tblProductos[[#This Row],[SKU]])+COUNTIF(tblSalidas[SKU],tblProductos[[#This Row],[SKU]]))</f>
        <v/>
      </c>
      <c r="N37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3" spans="2:14" x14ac:dyDescent="0.25">
      <c r="B373" s="41"/>
      <c r="C373" s="41"/>
      <c r="D373" s="41"/>
      <c r="E373" s="42"/>
      <c r="F373" s="48"/>
      <c r="G373" s="48"/>
      <c r="H373" s="49"/>
      <c r="I373" s="41"/>
      <c r="J373" s="42"/>
      <c r="K373" s="42"/>
      <c r="L37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3" s="43" t="str">
        <f>IF(tblProductos[[#This Row],[SKU]]="","",COUNTIF(tblEntradas[SKU],tblProductos[[#This Row],[SKU]])+COUNTIF(tblSalidas[SKU],tblProductos[[#This Row],[SKU]]))</f>
        <v/>
      </c>
      <c r="N37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4" spans="2:14" x14ac:dyDescent="0.25">
      <c r="B374" s="41"/>
      <c r="C374" s="41"/>
      <c r="D374" s="41"/>
      <c r="E374" s="42"/>
      <c r="F374" s="48"/>
      <c r="G374" s="48"/>
      <c r="H374" s="49"/>
      <c r="I374" s="41"/>
      <c r="J374" s="42"/>
      <c r="K374" s="42"/>
      <c r="L37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4" s="43" t="str">
        <f>IF(tblProductos[[#This Row],[SKU]]="","",COUNTIF(tblEntradas[SKU],tblProductos[[#This Row],[SKU]])+COUNTIF(tblSalidas[SKU],tblProductos[[#This Row],[SKU]]))</f>
        <v/>
      </c>
      <c r="N37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5" spans="2:14" x14ac:dyDescent="0.25">
      <c r="B375" s="41"/>
      <c r="C375" s="41"/>
      <c r="D375" s="41"/>
      <c r="E375" s="42"/>
      <c r="F375" s="48"/>
      <c r="G375" s="48"/>
      <c r="H375" s="49"/>
      <c r="I375" s="41"/>
      <c r="J375" s="42"/>
      <c r="K375" s="42"/>
      <c r="L37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5" s="43" t="str">
        <f>IF(tblProductos[[#This Row],[SKU]]="","",COUNTIF(tblEntradas[SKU],tblProductos[[#This Row],[SKU]])+COUNTIF(tblSalidas[SKU],tblProductos[[#This Row],[SKU]]))</f>
        <v/>
      </c>
      <c r="N37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6" spans="2:14" x14ac:dyDescent="0.25">
      <c r="B376" s="41"/>
      <c r="C376" s="41"/>
      <c r="D376" s="41"/>
      <c r="E376" s="42"/>
      <c r="F376" s="48"/>
      <c r="G376" s="48"/>
      <c r="H376" s="49"/>
      <c r="I376" s="41"/>
      <c r="J376" s="42"/>
      <c r="K376" s="42"/>
      <c r="L37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6" s="43" t="str">
        <f>IF(tblProductos[[#This Row],[SKU]]="","",COUNTIF(tblEntradas[SKU],tblProductos[[#This Row],[SKU]])+COUNTIF(tblSalidas[SKU],tblProductos[[#This Row],[SKU]]))</f>
        <v/>
      </c>
      <c r="N37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7" spans="2:14" x14ac:dyDescent="0.25">
      <c r="B377" s="41"/>
      <c r="C377" s="41"/>
      <c r="D377" s="41"/>
      <c r="E377" s="42"/>
      <c r="F377" s="48"/>
      <c r="G377" s="48"/>
      <c r="H377" s="49"/>
      <c r="I377" s="41"/>
      <c r="J377" s="42"/>
      <c r="K377" s="42"/>
      <c r="L37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7" s="43" t="str">
        <f>IF(tblProductos[[#This Row],[SKU]]="","",COUNTIF(tblEntradas[SKU],tblProductos[[#This Row],[SKU]])+COUNTIF(tblSalidas[SKU],tblProductos[[#This Row],[SKU]]))</f>
        <v/>
      </c>
      <c r="N37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8" spans="2:14" x14ac:dyDescent="0.25">
      <c r="B378" s="41"/>
      <c r="C378" s="41"/>
      <c r="D378" s="41"/>
      <c r="E378" s="42"/>
      <c r="F378" s="48"/>
      <c r="G378" s="48"/>
      <c r="H378" s="49"/>
      <c r="I378" s="41"/>
      <c r="J378" s="42"/>
      <c r="K378" s="42"/>
      <c r="L37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8" s="43" t="str">
        <f>IF(tblProductos[[#This Row],[SKU]]="","",COUNTIF(tblEntradas[SKU],tblProductos[[#This Row],[SKU]])+COUNTIF(tblSalidas[SKU],tblProductos[[#This Row],[SKU]]))</f>
        <v/>
      </c>
      <c r="N37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9" spans="2:14" x14ac:dyDescent="0.25">
      <c r="B379" s="41"/>
      <c r="C379" s="41"/>
      <c r="D379" s="41"/>
      <c r="E379" s="42"/>
      <c r="F379" s="48"/>
      <c r="G379" s="48"/>
      <c r="H379" s="49"/>
      <c r="I379" s="41"/>
      <c r="J379" s="42"/>
      <c r="K379" s="42"/>
      <c r="L37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79" s="43" t="str">
        <f>IF(tblProductos[[#This Row],[SKU]]="","",COUNTIF(tblEntradas[SKU],tblProductos[[#This Row],[SKU]])+COUNTIF(tblSalidas[SKU],tblProductos[[#This Row],[SKU]]))</f>
        <v/>
      </c>
      <c r="N37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0" spans="2:14" x14ac:dyDescent="0.25">
      <c r="B380" s="41"/>
      <c r="C380" s="41"/>
      <c r="D380" s="41"/>
      <c r="E380" s="42"/>
      <c r="F380" s="48"/>
      <c r="G380" s="48"/>
      <c r="H380" s="49"/>
      <c r="I380" s="41"/>
      <c r="J380" s="42"/>
      <c r="K380" s="42"/>
      <c r="L38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0" s="43" t="str">
        <f>IF(tblProductos[[#This Row],[SKU]]="","",COUNTIF(tblEntradas[SKU],tblProductos[[#This Row],[SKU]])+COUNTIF(tblSalidas[SKU],tblProductos[[#This Row],[SKU]]))</f>
        <v/>
      </c>
      <c r="N38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1" spans="2:14" x14ac:dyDescent="0.25">
      <c r="B381" s="41"/>
      <c r="C381" s="41"/>
      <c r="D381" s="41"/>
      <c r="E381" s="42"/>
      <c r="F381" s="48"/>
      <c r="G381" s="48"/>
      <c r="H381" s="49"/>
      <c r="I381" s="41"/>
      <c r="J381" s="42"/>
      <c r="K381" s="42"/>
      <c r="L38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1" s="43" t="str">
        <f>IF(tblProductos[[#This Row],[SKU]]="","",COUNTIF(tblEntradas[SKU],tblProductos[[#This Row],[SKU]])+COUNTIF(tblSalidas[SKU],tblProductos[[#This Row],[SKU]]))</f>
        <v/>
      </c>
      <c r="N38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2" spans="2:14" x14ac:dyDescent="0.25">
      <c r="B382" s="41"/>
      <c r="C382" s="41"/>
      <c r="D382" s="41"/>
      <c r="E382" s="42"/>
      <c r="F382" s="48"/>
      <c r="G382" s="48"/>
      <c r="H382" s="49"/>
      <c r="I382" s="41"/>
      <c r="J382" s="42"/>
      <c r="K382" s="42"/>
      <c r="L38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2" s="43" t="str">
        <f>IF(tblProductos[[#This Row],[SKU]]="","",COUNTIF(tblEntradas[SKU],tblProductos[[#This Row],[SKU]])+COUNTIF(tblSalidas[SKU],tblProductos[[#This Row],[SKU]]))</f>
        <v/>
      </c>
      <c r="N38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3" spans="2:14" x14ac:dyDescent="0.25">
      <c r="B383" s="41"/>
      <c r="C383" s="41"/>
      <c r="D383" s="41"/>
      <c r="E383" s="42"/>
      <c r="F383" s="48"/>
      <c r="G383" s="48"/>
      <c r="H383" s="49"/>
      <c r="I383" s="41"/>
      <c r="J383" s="42"/>
      <c r="K383" s="42"/>
      <c r="L38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3" s="43" t="str">
        <f>IF(tblProductos[[#This Row],[SKU]]="","",COUNTIF(tblEntradas[SKU],tblProductos[[#This Row],[SKU]])+COUNTIF(tblSalidas[SKU],tblProductos[[#This Row],[SKU]]))</f>
        <v/>
      </c>
      <c r="N38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4" spans="2:14" x14ac:dyDescent="0.25">
      <c r="B384" s="41"/>
      <c r="C384" s="41"/>
      <c r="D384" s="41"/>
      <c r="E384" s="42"/>
      <c r="F384" s="48"/>
      <c r="G384" s="48"/>
      <c r="H384" s="49"/>
      <c r="I384" s="41"/>
      <c r="J384" s="42"/>
      <c r="K384" s="42"/>
      <c r="L38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4" s="43" t="str">
        <f>IF(tblProductos[[#This Row],[SKU]]="","",COUNTIF(tblEntradas[SKU],tblProductos[[#This Row],[SKU]])+COUNTIF(tblSalidas[SKU],tblProductos[[#This Row],[SKU]]))</f>
        <v/>
      </c>
      <c r="N38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5" spans="2:14" x14ac:dyDescent="0.25">
      <c r="B385" s="41"/>
      <c r="C385" s="41"/>
      <c r="D385" s="41"/>
      <c r="E385" s="42"/>
      <c r="F385" s="48"/>
      <c r="G385" s="48"/>
      <c r="H385" s="49"/>
      <c r="I385" s="41"/>
      <c r="J385" s="42"/>
      <c r="K385" s="42"/>
      <c r="L38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5" s="43" t="str">
        <f>IF(tblProductos[[#This Row],[SKU]]="","",COUNTIF(tblEntradas[SKU],tblProductos[[#This Row],[SKU]])+COUNTIF(tblSalidas[SKU],tblProductos[[#This Row],[SKU]]))</f>
        <v/>
      </c>
      <c r="N38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6" spans="2:14" x14ac:dyDescent="0.25">
      <c r="B386" s="41"/>
      <c r="C386" s="41"/>
      <c r="D386" s="41"/>
      <c r="E386" s="42"/>
      <c r="F386" s="48"/>
      <c r="G386" s="48"/>
      <c r="H386" s="49"/>
      <c r="I386" s="41"/>
      <c r="J386" s="42"/>
      <c r="K386" s="42"/>
      <c r="L38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6" s="43" t="str">
        <f>IF(tblProductos[[#This Row],[SKU]]="","",COUNTIF(tblEntradas[SKU],tblProductos[[#This Row],[SKU]])+COUNTIF(tblSalidas[SKU],tblProductos[[#This Row],[SKU]]))</f>
        <v/>
      </c>
      <c r="N38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7" spans="2:14" x14ac:dyDescent="0.25">
      <c r="B387" s="41"/>
      <c r="C387" s="41"/>
      <c r="D387" s="41"/>
      <c r="E387" s="42"/>
      <c r="F387" s="48"/>
      <c r="G387" s="48"/>
      <c r="H387" s="49"/>
      <c r="I387" s="41"/>
      <c r="J387" s="42"/>
      <c r="K387" s="42"/>
      <c r="L38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7" s="43" t="str">
        <f>IF(tblProductos[[#This Row],[SKU]]="","",COUNTIF(tblEntradas[SKU],tblProductos[[#This Row],[SKU]])+COUNTIF(tblSalidas[SKU],tblProductos[[#This Row],[SKU]]))</f>
        <v/>
      </c>
      <c r="N38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8" spans="2:14" x14ac:dyDescent="0.25">
      <c r="B388" s="41"/>
      <c r="C388" s="41"/>
      <c r="D388" s="41"/>
      <c r="E388" s="42"/>
      <c r="F388" s="48"/>
      <c r="G388" s="48"/>
      <c r="H388" s="49"/>
      <c r="I388" s="41"/>
      <c r="J388" s="42"/>
      <c r="K388" s="42"/>
      <c r="L38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8" s="43" t="str">
        <f>IF(tblProductos[[#This Row],[SKU]]="","",COUNTIF(tblEntradas[SKU],tblProductos[[#This Row],[SKU]])+COUNTIF(tblSalidas[SKU],tblProductos[[#This Row],[SKU]]))</f>
        <v/>
      </c>
      <c r="N38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9" spans="2:14" x14ac:dyDescent="0.25">
      <c r="B389" s="41"/>
      <c r="C389" s="41"/>
      <c r="D389" s="41"/>
      <c r="E389" s="42"/>
      <c r="F389" s="48"/>
      <c r="G389" s="48"/>
      <c r="H389" s="49"/>
      <c r="I389" s="41"/>
      <c r="J389" s="42"/>
      <c r="K389" s="42"/>
      <c r="L38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89" s="43" t="str">
        <f>IF(tblProductos[[#This Row],[SKU]]="","",COUNTIF(tblEntradas[SKU],tblProductos[[#This Row],[SKU]])+COUNTIF(tblSalidas[SKU],tblProductos[[#This Row],[SKU]]))</f>
        <v/>
      </c>
      <c r="N38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0" spans="2:14" x14ac:dyDescent="0.25">
      <c r="B390" s="41"/>
      <c r="C390" s="41"/>
      <c r="D390" s="41"/>
      <c r="E390" s="42"/>
      <c r="F390" s="48"/>
      <c r="G390" s="48"/>
      <c r="H390" s="49"/>
      <c r="I390" s="41"/>
      <c r="J390" s="42"/>
      <c r="K390" s="42"/>
      <c r="L39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0" s="43" t="str">
        <f>IF(tblProductos[[#This Row],[SKU]]="","",COUNTIF(tblEntradas[SKU],tblProductos[[#This Row],[SKU]])+COUNTIF(tblSalidas[SKU],tblProductos[[#This Row],[SKU]]))</f>
        <v/>
      </c>
      <c r="N39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1" spans="2:14" x14ac:dyDescent="0.25">
      <c r="B391" s="41"/>
      <c r="C391" s="41"/>
      <c r="D391" s="41"/>
      <c r="E391" s="42"/>
      <c r="F391" s="48"/>
      <c r="G391" s="48"/>
      <c r="H391" s="49"/>
      <c r="I391" s="41"/>
      <c r="J391" s="42"/>
      <c r="K391" s="42"/>
      <c r="L39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1" s="43" t="str">
        <f>IF(tblProductos[[#This Row],[SKU]]="","",COUNTIF(tblEntradas[SKU],tblProductos[[#This Row],[SKU]])+COUNTIF(tblSalidas[SKU],tblProductos[[#This Row],[SKU]]))</f>
        <v/>
      </c>
      <c r="N39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2" spans="2:14" x14ac:dyDescent="0.25">
      <c r="B392" s="41"/>
      <c r="C392" s="41"/>
      <c r="D392" s="41"/>
      <c r="E392" s="42"/>
      <c r="F392" s="48"/>
      <c r="G392" s="48"/>
      <c r="H392" s="49"/>
      <c r="I392" s="41"/>
      <c r="J392" s="42"/>
      <c r="K392" s="42"/>
      <c r="L39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2" s="43" t="str">
        <f>IF(tblProductos[[#This Row],[SKU]]="","",COUNTIF(tblEntradas[SKU],tblProductos[[#This Row],[SKU]])+COUNTIF(tblSalidas[SKU],tblProductos[[#This Row],[SKU]]))</f>
        <v/>
      </c>
      <c r="N39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3" spans="2:14" x14ac:dyDescent="0.25">
      <c r="B393" s="41"/>
      <c r="C393" s="41"/>
      <c r="D393" s="41"/>
      <c r="E393" s="42"/>
      <c r="F393" s="48"/>
      <c r="G393" s="48"/>
      <c r="H393" s="49"/>
      <c r="I393" s="41"/>
      <c r="J393" s="42"/>
      <c r="K393" s="42"/>
      <c r="L39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3" s="43" t="str">
        <f>IF(tblProductos[[#This Row],[SKU]]="","",COUNTIF(tblEntradas[SKU],tblProductos[[#This Row],[SKU]])+COUNTIF(tblSalidas[SKU],tblProductos[[#This Row],[SKU]]))</f>
        <v/>
      </c>
      <c r="N39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4" spans="2:14" x14ac:dyDescent="0.25">
      <c r="B394" s="41"/>
      <c r="C394" s="41"/>
      <c r="D394" s="41"/>
      <c r="E394" s="42"/>
      <c r="F394" s="48"/>
      <c r="G394" s="48"/>
      <c r="H394" s="49"/>
      <c r="I394" s="41"/>
      <c r="J394" s="42"/>
      <c r="K394" s="42"/>
      <c r="L39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4" s="43" t="str">
        <f>IF(tblProductos[[#This Row],[SKU]]="","",COUNTIF(tblEntradas[SKU],tblProductos[[#This Row],[SKU]])+COUNTIF(tblSalidas[SKU],tblProductos[[#This Row],[SKU]]))</f>
        <v/>
      </c>
      <c r="N39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5" spans="2:14" x14ac:dyDescent="0.25">
      <c r="B395" s="41"/>
      <c r="C395" s="41"/>
      <c r="D395" s="41"/>
      <c r="E395" s="42"/>
      <c r="F395" s="48"/>
      <c r="G395" s="48"/>
      <c r="H395" s="49"/>
      <c r="I395" s="41"/>
      <c r="J395" s="42"/>
      <c r="K395" s="42"/>
      <c r="L39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5" s="43" t="str">
        <f>IF(tblProductos[[#This Row],[SKU]]="","",COUNTIF(tblEntradas[SKU],tblProductos[[#This Row],[SKU]])+COUNTIF(tblSalidas[SKU],tblProductos[[#This Row],[SKU]]))</f>
        <v/>
      </c>
      <c r="N39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6" spans="2:14" x14ac:dyDescent="0.25">
      <c r="B396" s="41"/>
      <c r="C396" s="41"/>
      <c r="D396" s="41"/>
      <c r="E396" s="42"/>
      <c r="F396" s="48"/>
      <c r="G396" s="48"/>
      <c r="H396" s="49"/>
      <c r="I396" s="41"/>
      <c r="J396" s="42"/>
      <c r="K396" s="42"/>
      <c r="L39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6" s="43" t="str">
        <f>IF(tblProductos[[#This Row],[SKU]]="","",COUNTIF(tblEntradas[SKU],tblProductos[[#This Row],[SKU]])+COUNTIF(tblSalidas[SKU],tblProductos[[#This Row],[SKU]]))</f>
        <v/>
      </c>
      <c r="N39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7" spans="2:14" x14ac:dyDescent="0.25">
      <c r="B397" s="41"/>
      <c r="C397" s="41"/>
      <c r="D397" s="41"/>
      <c r="E397" s="42"/>
      <c r="F397" s="48"/>
      <c r="G397" s="48"/>
      <c r="H397" s="49"/>
      <c r="I397" s="41"/>
      <c r="J397" s="42"/>
      <c r="K397" s="42"/>
      <c r="L39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7" s="43" t="str">
        <f>IF(tblProductos[[#This Row],[SKU]]="","",COUNTIF(tblEntradas[SKU],tblProductos[[#This Row],[SKU]])+COUNTIF(tblSalidas[SKU],tblProductos[[#This Row],[SKU]]))</f>
        <v/>
      </c>
      <c r="N39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8" spans="2:14" x14ac:dyDescent="0.25">
      <c r="B398" s="41"/>
      <c r="C398" s="41"/>
      <c r="D398" s="41"/>
      <c r="E398" s="42"/>
      <c r="F398" s="48"/>
      <c r="G398" s="48"/>
      <c r="H398" s="49"/>
      <c r="I398" s="41"/>
      <c r="J398" s="42"/>
      <c r="K398" s="42"/>
      <c r="L39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8" s="43" t="str">
        <f>IF(tblProductos[[#This Row],[SKU]]="","",COUNTIF(tblEntradas[SKU],tblProductos[[#This Row],[SKU]])+COUNTIF(tblSalidas[SKU],tblProductos[[#This Row],[SKU]]))</f>
        <v/>
      </c>
      <c r="N39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9" spans="2:14" x14ac:dyDescent="0.25">
      <c r="B399" s="41"/>
      <c r="C399" s="41"/>
      <c r="D399" s="41"/>
      <c r="E399" s="42"/>
      <c r="F399" s="48"/>
      <c r="G399" s="48"/>
      <c r="H399" s="49"/>
      <c r="I399" s="41"/>
      <c r="J399" s="42"/>
      <c r="K399" s="42"/>
      <c r="L39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399" s="43" t="str">
        <f>IF(tblProductos[[#This Row],[SKU]]="","",COUNTIF(tblEntradas[SKU],tblProductos[[#This Row],[SKU]])+COUNTIF(tblSalidas[SKU],tblProductos[[#This Row],[SKU]]))</f>
        <v/>
      </c>
      <c r="N39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0" spans="2:14" x14ac:dyDescent="0.25">
      <c r="B400" s="41"/>
      <c r="C400" s="41"/>
      <c r="D400" s="41"/>
      <c r="E400" s="42"/>
      <c r="F400" s="48"/>
      <c r="G400" s="48"/>
      <c r="H400" s="49"/>
      <c r="I400" s="41"/>
      <c r="J400" s="42"/>
      <c r="K400" s="42"/>
      <c r="L40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0" s="43" t="str">
        <f>IF(tblProductos[[#This Row],[SKU]]="","",COUNTIF(tblEntradas[SKU],tblProductos[[#This Row],[SKU]])+COUNTIF(tblSalidas[SKU],tblProductos[[#This Row],[SKU]]))</f>
        <v/>
      </c>
      <c r="N40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1" spans="2:14" x14ac:dyDescent="0.25">
      <c r="B401" s="41"/>
      <c r="C401" s="41"/>
      <c r="D401" s="41"/>
      <c r="E401" s="42"/>
      <c r="F401" s="48"/>
      <c r="G401" s="48"/>
      <c r="H401" s="49"/>
      <c r="I401" s="41"/>
      <c r="J401" s="42"/>
      <c r="K401" s="42"/>
      <c r="L40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1" s="43" t="str">
        <f>IF(tblProductos[[#This Row],[SKU]]="","",COUNTIF(tblEntradas[SKU],tblProductos[[#This Row],[SKU]])+COUNTIF(tblSalidas[SKU],tblProductos[[#This Row],[SKU]]))</f>
        <v/>
      </c>
      <c r="N40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2" spans="2:14" x14ac:dyDescent="0.25">
      <c r="B402" s="41"/>
      <c r="C402" s="41"/>
      <c r="D402" s="41"/>
      <c r="E402" s="42"/>
      <c r="F402" s="48"/>
      <c r="G402" s="48"/>
      <c r="H402" s="49"/>
      <c r="I402" s="41"/>
      <c r="J402" s="42"/>
      <c r="K402" s="42"/>
      <c r="L40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2" s="43" t="str">
        <f>IF(tblProductos[[#This Row],[SKU]]="","",COUNTIF(tblEntradas[SKU],tblProductos[[#This Row],[SKU]])+COUNTIF(tblSalidas[SKU],tblProductos[[#This Row],[SKU]]))</f>
        <v/>
      </c>
      <c r="N40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3" spans="2:14" x14ac:dyDescent="0.25">
      <c r="B403" s="41"/>
      <c r="C403" s="41"/>
      <c r="D403" s="41"/>
      <c r="E403" s="42"/>
      <c r="F403" s="48"/>
      <c r="G403" s="48"/>
      <c r="H403" s="49"/>
      <c r="I403" s="41"/>
      <c r="J403" s="42"/>
      <c r="K403" s="42"/>
      <c r="L40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3" s="43" t="str">
        <f>IF(tblProductos[[#This Row],[SKU]]="","",COUNTIF(tblEntradas[SKU],tblProductos[[#This Row],[SKU]])+COUNTIF(tblSalidas[SKU],tblProductos[[#This Row],[SKU]]))</f>
        <v/>
      </c>
      <c r="N40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4" spans="2:14" x14ac:dyDescent="0.25">
      <c r="B404" s="41"/>
      <c r="C404" s="41"/>
      <c r="D404" s="41"/>
      <c r="E404" s="42"/>
      <c r="F404" s="48"/>
      <c r="G404" s="48"/>
      <c r="H404" s="49"/>
      <c r="I404" s="41"/>
      <c r="J404" s="42"/>
      <c r="K404" s="42"/>
      <c r="L40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4" s="43" t="str">
        <f>IF(tblProductos[[#This Row],[SKU]]="","",COUNTIF(tblEntradas[SKU],tblProductos[[#This Row],[SKU]])+COUNTIF(tblSalidas[SKU],tblProductos[[#This Row],[SKU]]))</f>
        <v/>
      </c>
      <c r="N40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5" spans="2:14" x14ac:dyDescent="0.25">
      <c r="B405" s="41"/>
      <c r="C405" s="41"/>
      <c r="D405" s="41"/>
      <c r="E405" s="42"/>
      <c r="F405" s="48"/>
      <c r="G405" s="48"/>
      <c r="H405" s="49"/>
      <c r="I405" s="41"/>
      <c r="J405" s="42"/>
      <c r="K405" s="42"/>
      <c r="L40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5" s="43" t="str">
        <f>IF(tblProductos[[#This Row],[SKU]]="","",COUNTIF(tblEntradas[SKU],tblProductos[[#This Row],[SKU]])+COUNTIF(tblSalidas[SKU],tblProductos[[#This Row],[SKU]]))</f>
        <v/>
      </c>
      <c r="N40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6" spans="2:14" x14ac:dyDescent="0.25">
      <c r="B406" s="41"/>
      <c r="C406" s="41"/>
      <c r="D406" s="41"/>
      <c r="E406" s="42"/>
      <c r="F406" s="48"/>
      <c r="G406" s="48"/>
      <c r="H406" s="49"/>
      <c r="I406" s="41"/>
      <c r="J406" s="42"/>
      <c r="K406" s="42"/>
      <c r="L40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6" s="43" t="str">
        <f>IF(tblProductos[[#This Row],[SKU]]="","",COUNTIF(tblEntradas[SKU],tblProductos[[#This Row],[SKU]])+COUNTIF(tblSalidas[SKU],tblProductos[[#This Row],[SKU]]))</f>
        <v/>
      </c>
      <c r="N40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7" spans="2:14" x14ac:dyDescent="0.25">
      <c r="B407" s="41"/>
      <c r="C407" s="41"/>
      <c r="D407" s="41"/>
      <c r="E407" s="42"/>
      <c r="F407" s="48"/>
      <c r="G407" s="48"/>
      <c r="H407" s="49"/>
      <c r="I407" s="41"/>
      <c r="J407" s="42"/>
      <c r="K407" s="42"/>
      <c r="L40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7" s="43" t="str">
        <f>IF(tblProductos[[#This Row],[SKU]]="","",COUNTIF(tblEntradas[SKU],tblProductos[[#This Row],[SKU]])+COUNTIF(tblSalidas[SKU],tblProductos[[#This Row],[SKU]]))</f>
        <v/>
      </c>
      <c r="N40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8" spans="2:14" x14ac:dyDescent="0.25">
      <c r="B408" s="41"/>
      <c r="C408" s="41"/>
      <c r="D408" s="41"/>
      <c r="E408" s="42"/>
      <c r="F408" s="48"/>
      <c r="G408" s="48"/>
      <c r="H408" s="49"/>
      <c r="I408" s="41"/>
      <c r="J408" s="42"/>
      <c r="K408" s="42"/>
      <c r="L40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8" s="43" t="str">
        <f>IF(tblProductos[[#This Row],[SKU]]="","",COUNTIF(tblEntradas[SKU],tblProductos[[#This Row],[SKU]])+COUNTIF(tblSalidas[SKU],tblProductos[[#This Row],[SKU]]))</f>
        <v/>
      </c>
      <c r="N40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9" spans="2:14" x14ac:dyDescent="0.25">
      <c r="B409" s="41"/>
      <c r="C409" s="41"/>
      <c r="D409" s="41"/>
      <c r="E409" s="42"/>
      <c r="F409" s="48"/>
      <c r="G409" s="48"/>
      <c r="H409" s="49"/>
      <c r="I409" s="41"/>
      <c r="J409" s="42"/>
      <c r="K409" s="42"/>
      <c r="L40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09" s="43" t="str">
        <f>IF(tblProductos[[#This Row],[SKU]]="","",COUNTIF(tblEntradas[SKU],tblProductos[[#This Row],[SKU]])+COUNTIF(tblSalidas[SKU],tblProductos[[#This Row],[SKU]]))</f>
        <v/>
      </c>
      <c r="N40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0" spans="2:14" x14ac:dyDescent="0.25">
      <c r="B410" s="41"/>
      <c r="C410" s="41"/>
      <c r="D410" s="41"/>
      <c r="E410" s="42"/>
      <c r="F410" s="48"/>
      <c r="G410" s="48"/>
      <c r="H410" s="49"/>
      <c r="I410" s="41"/>
      <c r="J410" s="42"/>
      <c r="K410" s="42"/>
      <c r="L41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0" s="43" t="str">
        <f>IF(tblProductos[[#This Row],[SKU]]="","",COUNTIF(tblEntradas[SKU],tblProductos[[#This Row],[SKU]])+COUNTIF(tblSalidas[SKU],tblProductos[[#This Row],[SKU]]))</f>
        <v/>
      </c>
      <c r="N41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1" spans="2:14" x14ac:dyDescent="0.25">
      <c r="B411" s="41"/>
      <c r="C411" s="41"/>
      <c r="D411" s="41"/>
      <c r="E411" s="42"/>
      <c r="F411" s="48"/>
      <c r="G411" s="48"/>
      <c r="H411" s="49"/>
      <c r="I411" s="41"/>
      <c r="J411" s="42"/>
      <c r="K411" s="42"/>
      <c r="L41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1" s="43" t="str">
        <f>IF(tblProductos[[#This Row],[SKU]]="","",COUNTIF(tblEntradas[SKU],tblProductos[[#This Row],[SKU]])+COUNTIF(tblSalidas[SKU],tblProductos[[#This Row],[SKU]]))</f>
        <v/>
      </c>
      <c r="N41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2" spans="2:14" x14ac:dyDescent="0.25">
      <c r="B412" s="41"/>
      <c r="C412" s="41"/>
      <c r="D412" s="41"/>
      <c r="E412" s="42"/>
      <c r="F412" s="48"/>
      <c r="G412" s="48"/>
      <c r="H412" s="49"/>
      <c r="I412" s="41"/>
      <c r="J412" s="42"/>
      <c r="K412" s="42"/>
      <c r="L41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2" s="43" t="str">
        <f>IF(tblProductos[[#This Row],[SKU]]="","",COUNTIF(tblEntradas[SKU],tblProductos[[#This Row],[SKU]])+COUNTIF(tblSalidas[SKU],tblProductos[[#This Row],[SKU]]))</f>
        <v/>
      </c>
      <c r="N41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3" spans="2:14" x14ac:dyDescent="0.25">
      <c r="B413" s="41"/>
      <c r="C413" s="41"/>
      <c r="D413" s="41"/>
      <c r="E413" s="42"/>
      <c r="F413" s="48"/>
      <c r="G413" s="48"/>
      <c r="H413" s="49"/>
      <c r="I413" s="41"/>
      <c r="J413" s="42"/>
      <c r="K413" s="42"/>
      <c r="L41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3" s="43" t="str">
        <f>IF(tblProductos[[#This Row],[SKU]]="","",COUNTIF(tblEntradas[SKU],tblProductos[[#This Row],[SKU]])+COUNTIF(tblSalidas[SKU],tblProductos[[#This Row],[SKU]]))</f>
        <v/>
      </c>
      <c r="N41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4" spans="2:14" x14ac:dyDescent="0.25">
      <c r="B414" s="41"/>
      <c r="C414" s="41"/>
      <c r="D414" s="41"/>
      <c r="E414" s="42"/>
      <c r="F414" s="48"/>
      <c r="G414" s="48"/>
      <c r="H414" s="49"/>
      <c r="I414" s="41"/>
      <c r="J414" s="42"/>
      <c r="K414" s="42"/>
      <c r="L41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4" s="43" t="str">
        <f>IF(tblProductos[[#This Row],[SKU]]="","",COUNTIF(tblEntradas[SKU],tblProductos[[#This Row],[SKU]])+COUNTIF(tblSalidas[SKU],tblProductos[[#This Row],[SKU]]))</f>
        <v/>
      </c>
      <c r="N41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5" spans="2:14" x14ac:dyDescent="0.25">
      <c r="B415" s="41"/>
      <c r="C415" s="41"/>
      <c r="D415" s="41"/>
      <c r="E415" s="42"/>
      <c r="F415" s="48"/>
      <c r="G415" s="48"/>
      <c r="H415" s="49"/>
      <c r="I415" s="41"/>
      <c r="J415" s="42"/>
      <c r="K415" s="42"/>
      <c r="L41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5" s="43" t="str">
        <f>IF(tblProductos[[#This Row],[SKU]]="","",COUNTIF(tblEntradas[SKU],tblProductos[[#This Row],[SKU]])+COUNTIF(tblSalidas[SKU],tblProductos[[#This Row],[SKU]]))</f>
        <v/>
      </c>
      <c r="N41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6" spans="2:14" x14ac:dyDescent="0.25">
      <c r="B416" s="41"/>
      <c r="C416" s="41"/>
      <c r="D416" s="41"/>
      <c r="E416" s="42"/>
      <c r="F416" s="48"/>
      <c r="G416" s="48"/>
      <c r="H416" s="49"/>
      <c r="I416" s="41"/>
      <c r="J416" s="42"/>
      <c r="K416" s="42"/>
      <c r="L41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6" s="43" t="str">
        <f>IF(tblProductos[[#This Row],[SKU]]="","",COUNTIF(tblEntradas[SKU],tblProductos[[#This Row],[SKU]])+COUNTIF(tblSalidas[SKU],tblProductos[[#This Row],[SKU]]))</f>
        <v/>
      </c>
      <c r="N41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7" spans="2:14" x14ac:dyDescent="0.25">
      <c r="B417" s="41"/>
      <c r="C417" s="41"/>
      <c r="D417" s="41"/>
      <c r="E417" s="42"/>
      <c r="F417" s="48"/>
      <c r="G417" s="48"/>
      <c r="H417" s="49"/>
      <c r="I417" s="41"/>
      <c r="J417" s="42"/>
      <c r="K417" s="42"/>
      <c r="L41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7" s="43" t="str">
        <f>IF(tblProductos[[#This Row],[SKU]]="","",COUNTIF(tblEntradas[SKU],tblProductos[[#This Row],[SKU]])+COUNTIF(tblSalidas[SKU],tblProductos[[#This Row],[SKU]]))</f>
        <v/>
      </c>
      <c r="N41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8" spans="2:14" x14ac:dyDescent="0.25">
      <c r="B418" s="41"/>
      <c r="C418" s="41"/>
      <c r="D418" s="41"/>
      <c r="E418" s="42"/>
      <c r="F418" s="48"/>
      <c r="G418" s="48"/>
      <c r="H418" s="49"/>
      <c r="I418" s="41"/>
      <c r="J418" s="42"/>
      <c r="K418" s="42"/>
      <c r="L41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8" s="43" t="str">
        <f>IF(tblProductos[[#This Row],[SKU]]="","",COUNTIF(tblEntradas[SKU],tblProductos[[#This Row],[SKU]])+COUNTIF(tblSalidas[SKU],tblProductos[[#This Row],[SKU]]))</f>
        <v/>
      </c>
      <c r="N41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9" spans="2:14" x14ac:dyDescent="0.25">
      <c r="B419" s="41"/>
      <c r="C419" s="41"/>
      <c r="D419" s="41"/>
      <c r="E419" s="42"/>
      <c r="F419" s="48"/>
      <c r="G419" s="48"/>
      <c r="H419" s="49"/>
      <c r="I419" s="41"/>
      <c r="J419" s="42"/>
      <c r="K419" s="42"/>
      <c r="L41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19" s="43" t="str">
        <f>IF(tblProductos[[#This Row],[SKU]]="","",COUNTIF(tblEntradas[SKU],tblProductos[[#This Row],[SKU]])+COUNTIF(tblSalidas[SKU],tblProductos[[#This Row],[SKU]]))</f>
        <v/>
      </c>
      <c r="N41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0" spans="2:14" x14ac:dyDescent="0.25">
      <c r="B420" s="41"/>
      <c r="C420" s="41"/>
      <c r="D420" s="41"/>
      <c r="E420" s="42"/>
      <c r="F420" s="48"/>
      <c r="G420" s="48"/>
      <c r="H420" s="49"/>
      <c r="I420" s="41"/>
      <c r="J420" s="42"/>
      <c r="K420" s="42"/>
      <c r="L42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0" s="43" t="str">
        <f>IF(tblProductos[[#This Row],[SKU]]="","",COUNTIF(tblEntradas[SKU],tblProductos[[#This Row],[SKU]])+COUNTIF(tblSalidas[SKU],tblProductos[[#This Row],[SKU]]))</f>
        <v/>
      </c>
      <c r="N42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1" spans="2:14" x14ac:dyDescent="0.25">
      <c r="B421" s="41"/>
      <c r="C421" s="41"/>
      <c r="D421" s="41"/>
      <c r="E421" s="42"/>
      <c r="F421" s="48"/>
      <c r="G421" s="48"/>
      <c r="H421" s="49"/>
      <c r="I421" s="41"/>
      <c r="J421" s="42"/>
      <c r="K421" s="42"/>
      <c r="L42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1" s="43" t="str">
        <f>IF(tblProductos[[#This Row],[SKU]]="","",COUNTIF(tblEntradas[SKU],tblProductos[[#This Row],[SKU]])+COUNTIF(tblSalidas[SKU],tblProductos[[#This Row],[SKU]]))</f>
        <v/>
      </c>
      <c r="N42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2" spans="2:14" x14ac:dyDescent="0.25">
      <c r="B422" s="41"/>
      <c r="C422" s="41"/>
      <c r="D422" s="41"/>
      <c r="E422" s="42"/>
      <c r="F422" s="48"/>
      <c r="G422" s="48"/>
      <c r="H422" s="49"/>
      <c r="I422" s="41"/>
      <c r="J422" s="42"/>
      <c r="K422" s="42"/>
      <c r="L42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2" s="43" t="str">
        <f>IF(tblProductos[[#This Row],[SKU]]="","",COUNTIF(tblEntradas[SKU],tblProductos[[#This Row],[SKU]])+COUNTIF(tblSalidas[SKU],tblProductos[[#This Row],[SKU]]))</f>
        <v/>
      </c>
      <c r="N42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3" spans="2:14" x14ac:dyDescent="0.25">
      <c r="B423" s="41"/>
      <c r="C423" s="41"/>
      <c r="D423" s="41"/>
      <c r="E423" s="42"/>
      <c r="F423" s="48"/>
      <c r="G423" s="48"/>
      <c r="H423" s="49"/>
      <c r="I423" s="41"/>
      <c r="J423" s="42"/>
      <c r="K423" s="42"/>
      <c r="L42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3" s="43" t="str">
        <f>IF(tblProductos[[#This Row],[SKU]]="","",COUNTIF(tblEntradas[SKU],tblProductos[[#This Row],[SKU]])+COUNTIF(tblSalidas[SKU],tblProductos[[#This Row],[SKU]]))</f>
        <v/>
      </c>
      <c r="N42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4" spans="2:14" x14ac:dyDescent="0.25">
      <c r="B424" s="41"/>
      <c r="C424" s="41"/>
      <c r="D424" s="41"/>
      <c r="E424" s="42"/>
      <c r="F424" s="48"/>
      <c r="G424" s="48"/>
      <c r="H424" s="49"/>
      <c r="I424" s="41"/>
      <c r="J424" s="42"/>
      <c r="K424" s="42"/>
      <c r="L42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4" s="43" t="str">
        <f>IF(tblProductos[[#This Row],[SKU]]="","",COUNTIF(tblEntradas[SKU],tblProductos[[#This Row],[SKU]])+COUNTIF(tblSalidas[SKU],tblProductos[[#This Row],[SKU]]))</f>
        <v/>
      </c>
      <c r="N42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5" spans="2:14" x14ac:dyDescent="0.25">
      <c r="B425" s="41"/>
      <c r="C425" s="41"/>
      <c r="D425" s="41"/>
      <c r="E425" s="42"/>
      <c r="F425" s="48"/>
      <c r="G425" s="48"/>
      <c r="H425" s="49"/>
      <c r="I425" s="41"/>
      <c r="J425" s="42"/>
      <c r="K425" s="42"/>
      <c r="L42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5" s="43" t="str">
        <f>IF(tblProductos[[#This Row],[SKU]]="","",COUNTIF(tblEntradas[SKU],tblProductos[[#This Row],[SKU]])+COUNTIF(tblSalidas[SKU],tblProductos[[#This Row],[SKU]]))</f>
        <v/>
      </c>
      <c r="N42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6" spans="2:14" x14ac:dyDescent="0.25">
      <c r="B426" s="41"/>
      <c r="C426" s="41"/>
      <c r="D426" s="41"/>
      <c r="E426" s="42"/>
      <c r="F426" s="48"/>
      <c r="G426" s="48"/>
      <c r="H426" s="49"/>
      <c r="I426" s="41"/>
      <c r="J426" s="42"/>
      <c r="K426" s="42"/>
      <c r="L42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6" s="43" t="str">
        <f>IF(tblProductos[[#This Row],[SKU]]="","",COUNTIF(tblEntradas[SKU],tblProductos[[#This Row],[SKU]])+COUNTIF(tblSalidas[SKU],tblProductos[[#This Row],[SKU]]))</f>
        <v/>
      </c>
      <c r="N42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7" spans="2:14" x14ac:dyDescent="0.25">
      <c r="B427" s="41"/>
      <c r="C427" s="41"/>
      <c r="D427" s="41"/>
      <c r="E427" s="42"/>
      <c r="F427" s="48"/>
      <c r="G427" s="48"/>
      <c r="H427" s="49"/>
      <c r="I427" s="41"/>
      <c r="J427" s="42"/>
      <c r="K427" s="42"/>
      <c r="L42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7" s="43" t="str">
        <f>IF(tblProductos[[#This Row],[SKU]]="","",COUNTIF(tblEntradas[SKU],tblProductos[[#This Row],[SKU]])+COUNTIF(tblSalidas[SKU],tblProductos[[#This Row],[SKU]]))</f>
        <v/>
      </c>
      <c r="N42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8" spans="2:14" x14ac:dyDescent="0.25">
      <c r="B428" s="41"/>
      <c r="C428" s="41"/>
      <c r="D428" s="41"/>
      <c r="E428" s="42"/>
      <c r="F428" s="48"/>
      <c r="G428" s="48"/>
      <c r="H428" s="49"/>
      <c r="I428" s="41"/>
      <c r="J428" s="42"/>
      <c r="K428" s="42"/>
      <c r="L42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8" s="43" t="str">
        <f>IF(tblProductos[[#This Row],[SKU]]="","",COUNTIF(tblEntradas[SKU],tblProductos[[#This Row],[SKU]])+COUNTIF(tblSalidas[SKU],tblProductos[[#This Row],[SKU]]))</f>
        <v/>
      </c>
      <c r="N42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9" spans="2:14" x14ac:dyDescent="0.25">
      <c r="B429" s="41"/>
      <c r="C429" s="41"/>
      <c r="D429" s="41"/>
      <c r="E429" s="42"/>
      <c r="F429" s="48"/>
      <c r="G429" s="48"/>
      <c r="H429" s="49"/>
      <c r="I429" s="41"/>
      <c r="J429" s="42"/>
      <c r="K429" s="42"/>
      <c r="L42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29" s="43" t="str">
        <f>IF(tblProductos[[#This Row],[SKU]]="","",COUNTIF(tblEntradas[SKU],tblProductos[[#This Row],[SKU]])+COUNTIF(tblSalidas[SKU],tblProductos[[#This Row],[SKU]]))</f>
        <v/>
      </c>
      <c r="N42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0" spans="2:14" x14ac:dyDescent="0.25">
      <c r="B430" s="41"/>
      <c r="C430" s="41"/>
      <c r="D430" s="41"/>
      <c r="E430" s="42"/>
      <c r="F430" s="48"/>
      <c r="G430" s="48"/>
      <c r="H430" s="49"/>
      <c r="I430" s="41"/>
      <c r="J430" s="42"/>
      <c r="K430" s="42"/>
      <c r="L43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0" s="43" t="str">
        <f>IF(tblProductos[[#This Row],[SKU]]="","",COUNTIF(tblEntradas[SKU],tblProductos[[#This Row],[SKU]])+COUNTIF(tblSalidas[SKU],tblProductos[[#This Row],[SKU]]))</f>
        <v/>
      </c>
      <c r="N43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1" spans="2:14" x14ac:dyDescent="0.25">
      <c r="B431" s="41"/>
      <c r="C431" s="41"/>
      <c r="D431" s="41"/>
      <c r="E431" s="42"/>
      <c r="F431" s="48"/>
      <c r="G431" s="48"/>
      <c r="H431" s="49"/>
      <c r="I431" s="41"/>
      <c r="J431" s="42"/>
      <c r="K431" s="42"/>
      <c r="L43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1" s="43" t="str">
        <f>IF(tblProductos[[#This Row],[SKU]]="","",COUNTIF(tblEntradas[SKU],tblProductos[[#This Row],[SKU]])+COUNTIF(tblSalidas[SKU],tblProductos[[#This Row],[SKU]]))</f>
        <v/>
      </c>
      <c r="N43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2" spans="2:14" x14ac:dyDescent="0.25">
      <c r="B432" s="41"/>
      <c r="C432" s="41"/>
      <c r="D432" s="41"/>
      <c r="E432" s="42"/>
      <c r="F432" s="48"/>
      <c r="G432" s="48"/>
      <c r="H432" s="49"/>
      <c r="I432" s="41"/>
      <c r="J432" s="42"/>
      <c r="K432" s="42"/>
      <c r="L43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2" s="43" t="str">
        <f>IF(tblProductos[[#This Row],[SKU]]="","",COUNTIF(tblEntradas[SKU],tblProductos[[#This Row],[SKU]])+COUNTIF(tblSalidas[SKU],tblProductos[[#This Row],[SKU]]))</f>
        <v/>
      </c>
      <c r="N43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3" spans="2:14" x14ac:dyDescent="0.25">
      <c r="B433" s="41"/>
      <c r="C433" s="41"/>
      <c r="D433" s="41"/>
      <c r="E433" s="42"/>
      <c r="F433" s="48"/>
      <c r="G433" s="48"/>
      <c r="H433" s="49"/>
      <c r="I433" s="41"/>
      <c r="J433" s="42"/>
      <c r="K433" s="42"/>
      <c r="L43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3" s="43" t="str">
        <f>IF(tblProductos[[#This Row],[SKU]]="","",COUNTIF(tblEntradas[SKU],tblProductos[[#This Row],[SKU]])+COUNTIF(tblSalidas[SKU],tblProductos[[#This Row],[SKU]]))</f>
        <v/>
      </c>
      <c r="N43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4" spans="2:14" x14ac:dyDescent="0.25">
      <c r="B434" s="41"/>
      <c r="C434" s="41"/>
      <c r="D434" s="41"/>
      <c r="E434" s="42"/>
      <c r="F434" s="48"/>
      <c r="G434" s="48"/>
      <c r="H434" s="49"/>
      <c r="I434" s="41"/>
      <c r="J434" s="42"/>
      <c r="K434" s="42"/>
      <c r="L43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4" s="43" t="str">
        <f>IF(tblProductos[[#This Row],[SKU]]="","",COUNTIF(tblEntradas[SKU],tblProductos[[#This Row],[SKU]])+COUNTIF(tblSalidas[SKU],tblProductos[[#This Row],[SKU]]))</f>
        <v/>
      </c>
      <c r="N43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5" spans="2:14" x14ac:dyDescent="0.25">
      <c r="B435" s="41"/>
      <c r="C435" s="41"/>
      <c r="D435" s="41"/>
      <c r="E435" s="42"/>
      <c r="F435" s="48"/>
      <c r="G435" s="48"/>
      <c r="H435" s="49"/>
      <c r="I435" s="41"/>
      <c r="J435" s="42"/>
      <c r="K435" s="42"/>
      <c r="L43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5" s="43" t="str">
        <f>IF(tblProductos[[#This Row],[SKU]]="","",COUNTIF(tblEntradas[SKU],tblProductos[[#This Row],[SKU]])+COUNTIF(tblSalidas[SKU],tblProductos[[#This Row],[SKU]]))</f>
        <v/>
      </c>
      <c r="N43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6" spans="2:14" x14ac:dyDescent="0.25">
      <c r="B436" s="41"/>
      <c r="C436" s="41"/>
      <c r="D436" s="41"/>
      <c r="E436" s="42"/>
      <c r="F436" s="48"/>
      <c r="G436" s="48"/>
      <c r="H436" s="49"/>
      <c r="I436" s="41"/>
      <c r="J436" s="42"/>
      <c r="K436" s="42"/>
      <c r="L43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6" s="43" t="str">
        <f>IF(tblProductos[[#This Row],[SKU]]="","",COUNTIF(tblEntradas[SKU],tblProductos[[#This Row],[SKU]])+COUNTIF(tblSalidas[SKU],tblProductos[[#This Row],[SKU]]))</f>
        <v/>
      </c>
      <c r="N43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7" spans="2:14" x14ac:dyDescent="0.25">
      <c r="B437" s="41"/>
      <c r="C437" s="41"/>
      <c r="D437" s="41"/>
      <c r="E437" s="42"/>
      <c r="F437" s="48"/>
      <c r="G437" s="48"/>
      <c r="H437" s="49"/>
      <c r="I437" s="41"/>
      <c r="J437" s="42"/>
      <c r="K437" s="42"/>
      <c r="L43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7" s="43" t="str">
        <f>IF(tblProductos[[#This Row],[SKU]]="","",COUNTIF(tblEntradas[SKU],tblProductos[[#This Row],[SKU]])+COUNTIF(tblSalidas[SKU],tblProductos[[#This Row],[SKU]]))</f>
        <v/>
      </c>
      <c r="N43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8" spans="2:14" x14ac:dyDescent="0.25">
      <c r="B438" s="41"/>
      <c r="C438" s="41"/>
      <c r="D438" s="41"/>
      <c r="E438" s="42"/>
      <c r="F438" s="48"/>
      <c r="G438" s="48"/>
      <c r="H438" s="49"/>
      <c r="I438" s="41"/>
      <c r="J438" s="42"/>
      <c r="K438" s="42"/>
      <c r="L43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8" s="43" t="str">
        <f>IF(tblProductos[[#This Row],[SKU]]="","",COUNTIF(tblEntradas[SKU],tblProductos[[#This Row],[SKU]])+COUNTIF(tblSalidas[SKU],tblProductos[[#This Row],[SKU]]))</f>
        <v/>
      </c>
      <c r="N43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9" spans="2:14" x14ac:dyDescent="0.25">
      <c r="B439" s="41"/>
      <c r="C439" s="41"/>
      <c r="D439" s="41"/>
      <c r="E439" s="42"/>
      <c r="F439" s="48"/>
      <c r="G439" s="48"/>
      <c r="H439" s="49"/>
      <c r="I439" s="41"/>
      <c r="J439" s="42"/>
      <c r="K439" s="42"/>
      <c r="L43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39" s="43" t="str">
        <f>IF(tblProductos[[#This Row],[SKU]]="","",COUNTIF(tblEntradas[SKU],tblProductos[[#This Row],[SKU]])+COUNTIF(tblSalidas[SKU],tblProductos[[#This Row],[SKU]]))</f>
        <v/>
      </c>
      <c r="N43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0" spans="2:14" x14ac:dyDescent="0.25">
      <c r="B440" s="41"/>
      <c r="C440" s="41"/>
      <c r="D440" s="41"/>
      <c r="E440" s="42"/>
      <c r="F440" s="48"/>
      <c r="G440" s="48"/>
      <c r="H440" s="49"/>
      <c r="I440" s="41"/>
      <c r="J440" s="42"/>
      <c r="K440" s="42"/>
      <c r="L44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0" s="43" t="str">
        <f>IF(tblProductos[[#This Row],[SKU]]="","",COUNTIF(tblEntradas[SKU],tblProductos[[#This Row],[SKU]])+COUNTIF(tblSalidas[SKU],tblProductos[[#This Row],[SKU]]))</f>
        <v/>
      </c>
      <c r="N44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1" spans="2:14" x14ac:dyDescent="0.25">
      <c r="B441" s="41"/>
      <c r="C441" s="41"/>
      <c r="D441" s="41"/>
      <c r="E441" s="42"/>
      <c r="F441" s="48"/>
      <c r="G441" s="48"/>
      <c r="H441" s="49"/>
      <c r="I441" s="41"/>
      <c r="J441" s="42"/>
      <c r="K441" s="42"/>
      <c r="L44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1" s="43" t="str">
        <f>IF(tblProductos[[#This Row],[SKU]]="","",COUNTIF(tblEntradas[SKU],tblProductos[[#This Row],[SKU]])+COUNTIF(tblSalidas[SKU],tblProductos[[#This Row],[SKU]]))</f>
        <v/>
      </c>
      <c r="N44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2" spans="2:14" x14ac:dyDescent="0.25">
      <c r="B442" s="41"/>
      <c r="C442" s="41"/>
      <c r="D442" s="41"/>
      <c r="E442" s="42"/>
      <c r="F442" s="48"/>
      <c r="G442" s="48"/>
      <c r="H442" s="49"/>
      <c r="I442" s="41"/>
      <c r="J442" s="42"/>
      <c r="K442" s="42"/>
      <c r="L44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2" s="43" t="str">
        <f>IF(tblProductos[[#This Row],[SKU]]="","",COUNTIF(tblEntradas[SKU],tblProductos[[#This Row],[SKU]])+COUNTIF(tblSalidas[SKU],tblProductos[[#This Row],[SKU]]))</f>
        <v/>
      </c>
      <c r="N44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3" spans="2:14" x14ac:dyDescent="0.25">
      <c r="B443" s="41"/>
      <c r="C443" s="41"/>
      <c r="D443" s="41"/>
      <c r="E443" s="42"/>
      <c r="F443" s="48"/>
      <c r="G443" s="48"/>
      <c r="H443" s="49"/>
      <c r="I443" s="41"/>
      <c r="J443" s="42"/>
      <c r="K443" s="42"/>
      <c r="L44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3" s="43" t="str">
        <f>IF(tblProductos[[#This Row],[SKU]]="","",COUNTIF(tblEntradas[SKU],tblProductos[[#This Row],[SKU]])+COUNTIF(tblSalidas[SKU],tblProductos[[#This Row],[SKU]]))</f>
        <v/>
      </c>
      <c r="N44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4" spans="2:14" x14ac:dyDescent="0.25">
      <c r="B444" s="41"/>
      <c r="C444" s="41"/>
      <c r="D444" s="41"/>
      <c r="E444" s="42"/>
      <c r="F444" s="48"/>
      <c r="G444" s="48"/>
      <c r="H444" s="49"/>
      <c r="I444" s="41"/>
      <c r="J444" s="42"/>
      <c r="K444" s="42"/>
      <c r="L44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4" s="43" t="str">
        <f>IF(tblProductos[[#This Row],[SKU]]="","",COUNTIF(tblEntradas[SKU],tblProductos[[#This Row],[SKU]])+COUNTIF(tblSalidas[SKU],tblProductos[[#This Row],[SKU]]))</f>
        <v/>
      </c>
      <c r="N44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5" spans="2:14" x14ac:dyDescent="0.25">
      <c r="B445" s="41"/>
      <c r="C445" s="41"/>
      <c r="D445" s="41"/>
      <c r="E445" s="42"/>
      <c r="F445" s="48"/>
      <c r="G445" s="48"/>
      <c r="H445" s="49"/>
      <c r="I445" s="41"/>
      <c r="J445" s="42"/>
      <c r="K445" s="42"/>
      <c r="L44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5" s="43" t="str">
        <f>IF(tblProductos[[#This Row],[SKU]]="","",COUNTIF(tblEntradas[SKU],tblProductos[[#This Row],[SKU]])+COUNTIF(tblSalidas[SKU],tblProductos[[#This Row],[SKU]]))</f>
        <v/>
      </c>
      <c r="N44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6" spans="2:14" x14ac:dyDescent="0.25">
      <c r="B446" s="41"/>
      <c r="C446" s="41"/>
      <c r="D446" s="41"/>
      <c r="E446" s="42"/>
      <c r="F446" s="48"/>
      <c r="G446" s="48"/>
      <c r="H446" s="49"/>
      <c r="I446" s="41"/>
      <c r="J446" s="42"/>
      <c r="K446" s="42"/>
      <c r="L44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6" s="43" t="str">
        <f>IF(tblProductos[[#This Row],[SKU]]="","",COUNTIF(tblEntradas[SKU],tblProductos[[#This Row],[SKU]])+COUNTIF(tblSalidas[SKU],tblProductos[[#This Row],[SKU]]))</f>
        <v/>
      </c>
      <c r="N44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7" spans="2:14" x14ac:dyDescent="0.25">
      <c r="B447" s="41"/>
      <c r="C447" s="41"/>
      <c r="D447" s="41"/>
      <c r="E447" s="42"/>
      <c r="F447" s="48"/>
      <c r="G447" s="48"/>
      <c r="H447" s="49"/>
      <c r="I447" s="41"/>
      <c r="J447" s="42"/>
      <c r="K447" s="42"/>
      <c r="L44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7" s="43" t="str">
        <f>IF(tblProductos[[#This Row],[SKU]]="","",COUNTIF(tblEntradas[SKU],tblProductos[[#This Row],[SKU]])+COUNTIF(tblSalidas[SKU],tblProductos[[#This Row],[SKU]]))</f>
        <v/>
      </c>
      <c r="N44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8" spans="2:14" x14ac:dyDescent="0.25">
      <c r="B448" s="41"/>
      <c r="C448" s="41"/>
      <c r="D448" s="41"/>
      <c r="E448" s="42"/>
      <c r="F448" s="48"/>
      <c r="G448" s="48"/>
      <c r="H448" s="49"/>
      <c r="I448" s="41"/>
      <c r="J448" s="42"/>
      <c r="K448" s="42"/>
      <c r="L44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8" s="43" t="str">
        <f>IF(tblProductos[[#This Row],[SKU]]="","",COUNTIF(tblEntradas[SKU],tblProductos[[#This Row],[SKU]])+COUNTIF(tblSalidas[SKU],tblProductos[[#This Row],[SKU]]))</f>
        <v/>
      </c>
      <c r="N44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9" spans="2:14" x14ac:dyDescent="0.25">
      <c r="B449" s="41"/>
      <c r="C449" s="41"/>
      <c r="D449" s="41"/>
      <c r="E449" s="42"/>
      <c r="F449" s="48"/>
      <c r="G449" s="48"/>
      <c r="H449" s="49"/>
      <c r="I449" s="41"/>
      <c r="J449" s="42"/>
      <c r="K449" s="42"/>
      <c r="L44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49" s="43" t="str">
        <f>IF(tblProductos[[#This Row],[SKU]]="","",COUNTIF(tblEntradas[SKU],tblProductos[[#This Row],[SKU]])+COUNTIF(tblSalidas[SKU],tblProductos[[#This Row],[SKU]]))</f>
        <v/>
      </c>
      <c r="N44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0" spans="2:14" x14ac:dyDescent="0.25">
      <c r="B450" s="41"/>
      <c r="C450" s="41"/>
      <c r="D450" s="41"/>
      <c r="E450" s="42"/>
      <c r="F450" s="48"/>
      <c r="G450" s="48"/>
      <c r="H450" s="49"/>
      <c r="I450" s="41"/>
      <c r="J450" s="42"/>
      <c r="K450" s="42"/>
      <c r="L45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0" s="43" t="str">
        <f>IF(tblProductos[[#This Row],[SKU]]="","",COUNTIF(tblEntradas[SKU],tblProductos[[#This Row],[SKU]])+COUNTIF(tblSalidas[SKU],tblProductos[[#This Row],[SKU]]))</f>
        <v/>
      </c>
      <c r="N45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1" spans="2:14" x14ac:dyDescent="0.25">
      <c r="B451" s="41"/>
      <c r="C451" s="41"/>
      <c r="D451" s="41"/>
      <c r="E451" s="42"/>
      <c r="F451" s="48"/>
      <c r="G451" s="48"/>
      <c r="H451" s="49"/>
      <c r="I451" s="41"/>
      <c r="J451" s="42"/>
      <c r="K451" s="42"/>
      <c r="L45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1" s="43" t="str">
        <f>IF(tblProductos[[#This Row],[SKU]]="","",COUNTIF(tblEntradas[SKU],tblProductos[[#This Row],[SKU]])+COUNTIF(tblSalidas[SKU],tblProductos[[#This Row],[SKU]]))</f>
        <v/>
      </c>
      <c r="N45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2" spans="2:14" x14ac:dyDescent="0.25">
      <c r="B452" s="41"/>
      <c r="C452" s="41"/>
      <c r="D452" s="41"/>
      <c r="E452" s="42"/>
      <c r="F452" s="48"/>
      <c r="G452" s="48"/>
      <c r="H452" s="49"/>
      <c r="I452" s="41"/>
      <c r="J452" s="42"/>
      <c r="K452" s="42"/>
      <c r="L45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2" s="43" t="str">
        <f>IF(tblProductos[[#This Row],[SKU]]="","",COUNTIF(tblEntradas[SKU],tblProductos[[#This Row],[SKU]])+COUNTIF(tblSalidas[SKU],tblProductos[[#This Row],[SKU]]))</f>
        <v/>
      </c>
      <c r="N45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3" spans="2:14" x14ac:dyDescent="0.25">
      <c r="B453" s="41"/>
      <c r="C453" s="41"/>
      <c r="D453" s="41"/>
      <c r="E453" s="42"/>
      <c r="F453" s="48"/>
      <c r="G453" s="48"/>
      <c r="H453" s="49"/>
      <c r="I453" s="41"/>
      <c r="J453" s="42"/>
      <c r="K453" s="42"/>
      <c r="L45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3" s="43" t="str">
        <f>IF(tblProductos[[#This Row],[SKU]]="","",COUNTIF(tblEntradas[SKU],tblProductos[[#This Row],[SKU]])+COUNTIF(tblSalidas[SKU],tblProductos[[#This Row],[SKU]]))</f>
        <v/>
      </c>
      <c r="N45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4" spans="2:14" x14ac:dyDescent="0.25">
      <c r="B454" s="41"/>
      <c r="C454" s="41"/>
      <c r="D454" s="41"/>
      <c r="E454" s="42"/>
      <c r="F454" s="48"/>
      <c r="G454" s="48"/>
      <c r="H454" s="49"/>
      <c r="I454" s="41"/>
      <c r="J454" s="42"/>
      <c r="K454" s="42"/>
      <c r="L45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4" s="43" t="str">
        <f>IF(tblProductos[[#This Row],[SKU]]="","",COUNTIF(tblEntradas[SKU],tblProductos[[#This Row],[SKU]])+COUNTIF(tblSalidas[SKU],tblProductos[[#This Row],[SKU]]))</f>
        <v/>
      </c>
      <c r="N45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5" spans="2:14" x14ac:dyDescent="0.25">
      <c r="B455" s="41"/>
      <c r="C455" s="41"/>
      <c r="D455" s="41"/>
      <c r="E455" s="42"/>
      <c r="F455" s="48"/>
      <c r="G455" s="48"/>
      <c r="H455" s="49"/>
      <c r="I455" s="41"/>
      <c r="J455" s="42"/>
      <c r="K455" s="42"/>
      <c r="L45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5" s="43" t="str">
        <f>IF(tblProductos[[#This Row],[SKU]]="","",COUNTIF(tblEntradas[SKU],tblProductos[[#This Row],[SKU]])+COUNTIF(tblSalidas[SKU],tblProductos[[#This Row],[SKU]]))</f>
        <v/>
      </c>
      <c r="N45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6" spans="2:14" x14ac:dyDescent="0.25">
      <c r="B456" s="41"/>
      <c r="C456" s="41"/>
      <c r="D456" s="41"/>
      <c r="E456" s="42"/>
      <c r="F456" s="48"/>
      <c r="G456" s="48"/>
      <c r="H456" s="49"/>
      <c r="I456" s="41"/>
      <c r="J456" s="42"/>
      <c r="K456" s="42"/>
      <c r="L45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6" s="43" t="str">
        <f>IF(tblProductos[[#This Row],[SKU]]="","",COUNTIF(tblEntradas[SKU],tblProductos[[#This Row],[SKU]])+COUNTIF(tblSalidas[SKU],tblProductos[[#This Row],[SKU]]))</f>
        <v/>
      </c>
      <c r="N45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7" spans="2:14" x14ac:dyDescent="0.25">
      <c r="B457" s="41"/>
      <c r="C457" s="41"/>
      <c r="D457" s="41"/>
      <c r="E457" s="42"/>
      <c r="F457" s="48"/>
      <c r="G457" s="48"/>
      <c r="H457" s="49"/>
      <c r="I457" s="41"/>
      <c r="J457" s="42"/>
      <c r="K457" s="42"/>
      <c r="L45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7" s="43" t="str">
        <f>IF(tblProductos[[#This Row],[SKU]]="","",COUNTIF(tblEntradas[SKU],tblProductos[[#This Row],[SKU]])+COUNTIF(tblSalidas[SKU],tblProductos[[#This Row],[SKU]]))</f>
        <v/>
      </c>
      <c r="N45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8" spans="2:14" x14ac:dyDescent="0.25">
      <c r="B458" s="41"/>
      <c r="C458" s="41"/>
      <c r="D458" s="41"/>
      <c r="E458" s="42"/>
      <c r="F458" s="48"/>
      <c r="G458" s="48"/>
      <c r="H458" s="49"/>
      <c r="I458" s="41"/>
      <c r="J458" s="42"/>
      <c r="K458" s="42"/>
      <c r="L45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8" s="43" t="str">
        <f>IF(tblProductos[[#This Row],[SKU]]="","",COUNTIF(tblEntradas[SKU],tblProductos[[#This Row],[SKU]])+COUNTIF(tblSalidas[SKU],tblProductos[[#This Row],[SKU]]))</f>
        <v/>
      </c>
      <c r="N45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9" spans="2:14" x14ac:dyDescent="0.25">
      <c r="B459" s="41"/>
      <c r="C459" s="41"/>
      <c r="D459" s="41"/>
      <c r="E459" s="42"/>
      <c r="F459" s="48"/>
      <c r="G459" s="48"/>
      <c r="H459" s="49"/>
      <c r="I459" s="41"/>
      <c r="J459" s="42"/>
      <c r="K459" s="42"/>
      <c r="L45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59" s="43" t="str">
        <f>IF(tblProductos[[#This Row],[SKU]]="","",COUNTIF(tblEntradas[SKU],tblProductos[[#This Row],[SKU]])+COUNTIF(tblSalidas[SKU],tblProductos[[#This Row],[SKU]]))</f>
        <v/>
      </c>
      <c r="N45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0" spans="2:14" x14ac:dyDescent="0.25">
      <c r="B460" s="41"/>
      <c r="C460" s="41"/>
      <c r="D460" s="41"/>
      <c r="E460" s="42"/>
      <c r="F460" s="48"/>
      <c r="G460" s="48"/>
      <c r="H460" s="49"/>
      <c r="I460" s="41"/>
      <c r="J460" s="42"/>
      <c r="K460" s="42"/>
      <c r="L46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0" s="43" t="str">
        <f>IF(tblProductos[[#This Row],[SKU]]="","",COUNTIF(tblEntradas[SKU],tblProductos[[#This Row],[SKU]])+COUNTIF(tblSalidas[SKU],tblProductos[[#This Row],[SKU]]))</f>
        <v/>
      </c>
      <c r="N46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1" spans="2:14" x14ac:dyDescent="0.25">
      <c r="B461" s="41"/>
      <c r="C461" s="41"/>
      <c r="D461" s="41"/>
      <c r="E461" s="42"/>
      <c r="F461" s="48"/>
      <c r="G461" s="48"/>
      <c r="H461" s="49"/>
      <c r="I461" s="41"/>
      <c r="J461" s="42"/>
      <c r="K461" s="42"/>
      <c r="L46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1" s="43" t="str">
        <f>IF(tblProductos[[#This Row],[SKU]]="","",COUNTIF(tblEntradas[SKU],tblProductos[[#This Row],[SKU]])+COUNTIF(tblSalidas[SKU],tblProductos[[#This Row],[SKU]]))</f>
        <v/>
      </c>
      <c r="N46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2" spans="2:14" x14ac:dyDescent="0.25">
      <c r="B462" s="41"/>
      <c r="C462" s="41"/>
      <c r="D462" s="41"/>
      <c r="E462" s="42"/>
      <c r="F462" s="48"/>
      <c r="G462" s="48"/>
      <c r="H462" s="49"/>
      <c r="I462" s="41"/>
      <c r="J462" s="42"/>
      <c r="K462" s="42"/>
      <c r="L46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2" s="43" t="str">
        <f>IF(tblProductos[[#This Row],[SKU]]="","",COUNTIF(tblEntradas[SKU],tblProductos[[#This Row],[SKU]])+COUNTIF(tblSalidas[SKU],tblProductos[[#This Row],[SKU]]))</f>
        <v/>
      </c>
      <c r="N46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3" spans="2:14" x14ac:dyDescent="0.25">
      <c r="B463" s="41"/>
      <c r="C463" s="41"/>
      <c r="D463" s="41"/>
      <c r="E463" s="42"/>
      <c r="F463" s="48"/>
      <c r="G463" s="48"/>
      <c r="H463" s="49"/>
      <c r="I463" s="41"/>
      <c r="J463" s="42"/>
      <c r="K463" s="42"/>
      <c r="L46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3" s="43" t="str">
        <f>IF(tblProductos[[#This Row],[SKU]]="","",COUNTIF(tblEntradas[SKU],tblProductos[[#This Row],[SKU]])+COUNTIF(tblSalidas[SKU],tblProductos[[#This Row],[SKU]]))</f>
        <v/>
      </c>
      <c r="N46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4" spans="2:14" x14ac:dyDescent="0.25">
      <c r="B464" s="41"/>
      <c r="C464" s="41"/>
      <c r="D464" s="41"/>
      <c r="E464" s="42"/>
      <c r="F464" s="48"/>
      <c r="G464" s="48"/>
      <c r="H464" s="49"/>
      <c r="I464" s="41"/>
      <c r="J464" s="42"/>
      <c r="K464" s="42"/>
      <c r="L46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4" s="43" t="str">
        <f>IF(tblProductos[[#This Row],[SKU]]="","",COUNTIF(tblEntradas[SKU],tblProductos[[#This Row],[SKU]])+COUNTIF(tblSalidas[SKU],tblProductos[[#This Row],[SKU]]))</f>
        <v/>
      </c>
      <c r="N46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5" spans="2:14" x14ac:dyDescent="0.25">
      <c r="B465" s="41"/>
      <c r="C465" s="41"/>
      <c r="D465" s="41"/>
      <c r="E465" s="42"/>
      <c r="F465" s="48"/>
      <c r="G465" s="48"/>
      <c r="H465" s="49"/>
      <c r="I465" s="41"/>
      <c r="J465" s="42"/>
      <c r="K465" s="42"/>
      <c r="L46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5" s="43" t="str">
        <f>IF(tblProductos[[#This Row],[SKU]]="","",COUNTIF(tblEntradas[SKU],tblProductos[[#This Row],[SKU]])+COUNTIF(tblSalidas[SKU],tblProductos[[#This Row],[SKU]]))</f>
        <v/>
      </c>
      <c r="N46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6" spans="2:14" x14ac:dyDescent="0.25">
      <c r="B466" s="41"/>
      <c r="C466" s="41"/>
      <c r="D466" s="41"/>
      <c r="E466" s="42"/>
      <c r="F466" s="48"/>
      <c r="G466" s="48"/>
      <c r="H466" s="49"/>
      <c r="I466" s="41"/>
      <c r="J466" s="42"/>
      <c r="K466" s="42"/>
      <c r="L46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6" s="43" t="str">
        <f>IF(tblProductos[[#This Row],[SKU]]="","",COUNTIF(tblEntradas[SKU],tblProductos[[#This Row],[SKU]])+COUNTIF(tblSalidas[SKU],tblProductos[[#This Row],[SKU]]))</f>
        <v/>
      </c>
      <c r="N46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7" spans="2:14" x14ac:dyDescent="0.25">
      <c r="B467" s="41"/>
      <c r="C467" s="41"/>
      <c r="D467" s="41"/>
      <c r="E467" s="42"/>
      <c r="F467" s="48"/>
      <c r="G467" s="48"/>
      <c r="H467" s="49"/>
      <c r="I467" s="41"/>
      <c r="J467" s="42"/>
      <c r="K467" s="42"/>
      <c r="L46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7" s="43" t="str">
        <f>IF(tblProductos[[#This Row],[SKU]]="","",COUNTIF(tblEntradas[SKU],tblProductos[[#This Row],[SKU]])+COUNTIF(tblSalidas[SKU],tblProductos[[#This Row],[SKU]]))</f>
        <v/>
      </c>
      <c r="N46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8" spans="2:14" x14ac:dyDescent="0.25">
      <c r="B468" s="41"/>
      <c r="C468" s="41"/>
      <c r="D468" s="41"/>
      <c r="E468" s="42"/>
      <c r="F468" s="48"/>
      <c r="G468" s="48"/>
      <c r="H468" s="49"/>
      <c r="I468" s="41"/>
      <c r="J468" s="42"/>
      <c r="K468" s="42"/>
      <c r="L46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8" s="43" t="str">
        <f>IF(tblProductos[[#This Row],[SKU]]="","",COUNTIF(tblEntradas[SKU],tblProductos[[#This Row],[SKU]])+COUNTIF(tblSalidas[SKU],tblProductos[[#This Row],[SKU]]))</f>
        <v/>
      </c>
      <c r="N46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9" spans="2:14" x14ac:dyDescent="0.25">
      <c r="B469" s="41"/>
      <c r="C469" s="41"/>
      <c r="D469" s="41"/>
      <c r="E469" s="42"/>
      <c r="F469" s="48"/>
      <c r="G469" s="48"/>
      <c r="H469" s="49"/>
      <c r="I469" s="41"/>
      <c r="J469" s="42"/>
      <c r="K469" s="42"/>
      <c r="L46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69" s="43" t="str">
        <f>IF(tblProductos[[#This Row],[SKU]]="","",COUNTIF(tblEntradas[SKU],tblProductos[[#This Row],[SKU]])+COUNTIF(tblSalidas[SKU],tblProductos[[#This Row],[SKU]]))</f>
        <v/>
      </c>
      <c r="N46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0" spans="2:14" x14ac:dyDescent="0.25">
      <c r="B470" s="41"/>
      <c r="C470" s="41"/>
      <c r="D470" s="41"/>
      <c r="E470" s="42"/>
      <c r="F470" s="48"/>
      <c r="G470" s="48"/>
      <c r="H470" s="49"/>
      <c r="I470" s="41"/>
      <c r="J470" s="42"/>
      <c r="K470" s="42"/>
      <c r="L47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0" s="43" t="str">
        <f>IF(tblProductos[[#This Row],[SKU]]="","",COUNTIF(tblEntradas[SKU],tblProductos[[#This Row],[SKU]])+COUNTIF(tblSalidas[SKU],tblProductos[[#This Row],[SKU]]))</f>
        <v/>
      </c>
      <c r="N47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1" spans="2:14" x14ac:dyDescent="0.25">
      <c r="B471" s="41"/>
      <c r="C471" s="41"/>
      <c r="D471" s="41"/>
      <c r="E471" s="42"/>
      <c r="F471" s="48"/>
      <c r="G471" s="48"/>
      <c r="H471" s="49"/>
      <c r="I471" s="41"/>
      <c r="J471" s="42"/>
      <c r="K471" s="42"/>
      <c r="L47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1" s="43" t="str">
        <f>IF(tblProductos[[#This Row],[SKU]]="","",COUNTIF(tblEntradas[SKU],tblProductos[[#This Row],[SKU]])+COUNTIF(tblSalidas[SKU],tblProductos[[#This Row],[SKU]]))</f>
        <v/>
      </c>
      <c r="N47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2" spans="2:14" x14ac:dyDescent="0.25">
      <c r="B472" s="41"/>
      <c r="C472" s="41"/>
      <c r="D472" s="41"/>
      <c r="E472" s="42"/>
      <c r="F472" s="48"/>
      <c r="G472" s="48"/>
      <c r="H472" s="49"/>
      <c r="I472" s="41"/>
      <c r="J472" s="42"/>
      <c r="K472" s="42"/>
      <c r="L47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2" s="43" t="str">
        <f>IF(tblProductos[[#This Row],[SKU]]="","",COUNTIF(tblEntradas[SKU],tblProductos[[#This Row],[SKU]])+COUNTIF(tblSalidas[SKU],tblProductos[[#This Row],[SKU]]))</f>
        <v/>
      </c>
      <c r="N47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3" spans="2:14" x14ac:dyDescent="0.25">
      <c r="B473" s="41"/>
      <c r="C473" s="41"/>
      <c r="D473" s="41"/>
      <c r="E473" s="42"/>
      <c r="F473" s="48"/>
      <c r="G473" s="48"/>
      <c r="H473" s="49"/>
      <c r="I473" s="41"/>
      <c r="J473" s="42"/>
      <c r="K473" s="42"/>
      <c r="L47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3" s="43" t="str">
        <f>IF(tblProductos[[#This Row],[SKU]]="","",COUNTIF(tblEntradas[SKU],tblProductos[[#This Row],[SKU]])+COUNTIF(tblSalidas[SKU],tblProductos[[#This Row],[SKU]]))</f>
        <v/>
      </c>
      <c r="N47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4" spans="2:14" x14ac:dyDescent="0.25">
      <c r="B474" s="41"/>
      <c r="C474" s="41"/>
      <c r="D474" s="41"/>
      <c r="E474" s="42"/>
      <c r="F474" s="48"/>
      <c r="G474" s="48"/>
      <c r="H474" s="49"/>
      <c r="I474" s="41"/>
      <c r="J474" s="42"/>
      <c r="K474" s="42"/>
      <c r="L47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4" s="43" t="str">
        <f>IF(tblProductos[[#This Row],[SKU]]="","",COUNTIF(tblEntradas[SKU],tblProductos[[#This Row],[SKU]])+COUNTIF(tblSalidas[SKU],tblProductos[[#This Row],[SKU]]))</f>
        <v/>
      </c>
      <c r="N47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5" spans="2:14" x14ac:dyDescent="0.25">
      <c r="B475" s="41"/>
      <c r="C475" s="41"/>
      <c r="D475" s="41"/>
      <c r="E475" s="42"/>
      <c r="F475" s="48"/>
      <c r="G475" s="48"/>
      <c r="H475" s="49"/>
      <c r="I475" s="41"/>
      <c r="J475" s="42"/>
      <c r="K475" s="42"/>
      <c r="L47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5" s="43" t="str">
        <f>IF(tblProductos[[#This Row],[SKU]]="","",COUNTIF(tblEntradas[SKU],tblProductos[[#This Row],[SKU]])+COUNTIF(tblSalidas[SKU],tblProductos[[#This Row],[SKU]]))</f>
        <v/>
      </c>
      <c r="N47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6" spans="2:14" x14ac:dyDescent="0.25">
      <c r="B476" s="41"/>
      <c r="C476" s="41"/>
      <c r="D476" s="41"/>
      <c r="E476" s="42"/>
      <c r="F476" s="48"/>
      <c r="G476" s="48"/>
      <c r="H476" s="49"/>
      <c r="I476" s="41"/>
      <c r="J476" s="42"/>
      <c r="K476" s="42"/>
      <c r="L47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6" s="43" t="str">
        <f>IF(tblProductos[[#This Row],[SKU]]="","",COUNTIF(tblEntradas[SKU],tblProductos[[#This Row],[SKU]])+COUNTIF(tblSalidas[SKU],tblProductos[[#This Row],[SKU]]))</f>
        <v/>
      </c>
      <c r="N47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7" spans="2:14" x14ac:dyDescent="0.25">
      <c r="B477" s="41"/>
      <c r="C477" s="41"/>
      <c r="D477" s="41"/>
      <c r="E477" s="42"/>
      <c r="F477" s="48"/>
      <c r="G477" s="48"/>
      <c r="H477" s="49"/>
      <c r="I477" s="41"/>
      <c r="J477" s="42"/>
      <c r="K477" s="42"/>
      <c r="L47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7" s="43" t="str">
        <f>IF(tblProductos[[#This Row],[SKU]]="","",COUNTIF(tblEntradas[SKU],tblProductos[[#This Row],[SKU]])+COUNTIF(tblSalidas[SKU],tblProductos[[#This Row],[SKU]]))</f>
        <v/>
      </c>
      <c r="N47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8" spans="2:14" x14ac:dyDescent="0.25">
      <c r="B478" s="41"/>
      <c r="C478" s="41"/>
      <c r="D478" s="41"/>
      <c r="E478" s="42"/>
      <c r="F478" s="48"/>
      <c r="G478" s="48"/>
      <c r="H478" s="49"/>
      <c r="I478" s="41"/>
      <c r="J478" s="42"/>
      <c r="K478" s="42"/>
      <c r="L47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8" s="43" t="str">
        <f>IF(tblProductos[[#This Row],[SKU]]="","",COUNTIF(tblEntradas[SKU],tblProductos[[#This Row],[SKU]])+COUNTIF(tblSalidas[SKU],tblProductos[[#This Row],[SKU]]))</f>
        <v/>
      </c>
      <c r="N47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9" spans="2:14" x14ac:dyDescent="0.25">
      <c r="B479" s="41"/>
      <c r="C479" s="41"/>
      <c r="D479" s="41"/>
      <c r="E479" s="42"/>
      <c r="F479" s="48"/>
      <c r="G479" s="48"/>
      <c r="H479" s="49"/>
      <c r="I479" s="41"/>
      <c r="J479" s="42"/>
      <c r="K479" s="42"/>
      <c r="L47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79" s="43" t="str">
        <f>IF(tblProductos[[#This Row],[SKU]]="","",COUNTIF(tblEntradas[SKU],tblProductos[[#This Row],[SKU]])+COUNTIF(tblSalidas[SKU],tblProductos[[#This Row],[SKU]]))</f>
        <v/>
      </c>
      <c r="N47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0" spans="2:14" x14ac:dyDescent="0.25">
      <c r="B480" s="41"/>
      <c r="C480" s="41"/>
      <c r="D480" s="41"/>
      <c r="E480" s="42"/>
      <c r="F480" s="48"/>
      <c r="G480" s="48"/>
      <c r="H480" s="49"/>
      <c r="I480" s="41"/>
      <c r="J480" s="42"/>
      <c r="K480" s="42"/>
      <c r="L48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0" s="43" t="str">
        <f>IF(tblProductos[[#This Row],[SKU]]="","",COUNTIF(tblEntradas[SKU],tblProductos[[#This Row],[SKU]])+COUNTIF(tblSalidas[SKU],tblProductos[[#This Row],[SKU]]))</f>
        <v/>
      </c>
      <c r="N48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1" spans="2:14" x14ac:dyDescent="0.25">
      <c r="B481" s="41"/>
      <c r="C481" s="41"/>
      <c r="D481" s="41"/>
      <c r="E481" s="42"/>
      <c r="F481" s="48"/>
      <c r="G481" s="48"/>
      <c r="H481" s="49"/>
      <c r="I481" s="41"/>
      <c r="J481" s="42"/>
      <c r="K481" s="42"/>
      <c r="L48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1" s="43" t="str">
        <f>IF(tblProductos[[#This Row],[SKU]]="","",COUNTIF(tblEntradas[SKU],tblProductos[[#This Row],[SKU]])+COUNTIF(tblSalidas[SKU],tblProductos[[#This Row],[SKU]]))</f>
        <v/>
      </c>
      <c r="N48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2" spans="2:14" x14ac:dyDescent="0.25">
      <c r="B482" s="41"/>
      <c r="C482" s="41"/>
      <c r="D482" s="41"/>
      <c r="E482" s="42"/>
      <c r="F482" s="48"/>
      <c r="G482" s="48"/>
      <c r="H482" s="49"/>
      <c r="I482" s="41"/>
      <c r="J482" s="42"/>
      <c r="K482" s="42"/>
      <c r="L48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2" s="43" t="str">
        <f>IF(tblProductos[[#This Row],[SKU]]="","",COUNTIF(tblEntradas[SKU],tblProductos[[#This Row],[SKU]])+COUNTIF(tblSalidas[SKU],tblProductos[[#This Row],[SKU]]))</f>
        <v/>
      </c>
      <c r="N48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3" spans="2:14" x14ac:dyDescent="0.25">
      <c r="B483" s="41"/>
      <c r="C483" s="41"/>
      <c r="D483" s="41"/>
      <c r="E483" s="42"/>
      <c r="F483" s="48"/>
      <c r="G483" s="48"/>
      <c r="H483" s="49"/>
      <c r="I483" s="41"/>
      <c r="J483" s="42"/>
      <c r="K483" s="42"/>
      <c r="L48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3" s="43" t="str">
        <f>IF(tblProductos[[#This Row],[SKU]]="","",COUNTIF(tblEntradas[SKU],tblProductos[[#This Row],[SKU]])+COUNTIF(tblSalidas[SKU],tblProductos[[#This Row],[SKU]]))</f>
        <v/>
      </c>
      <c r="N48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4" spans="2:14" x14ac:dyDescent="0.25">
      <c r="B484" s="41"/>
      <c r="C484" s="41"/>
      <c r="D484" s="41"/>
      <c r="E484" s="42"/>
      <c r="F484" s="48"/>
      <c r="G484" s="48"/>
      <c r="H484" s="49"/>
      <c r="I484" s="41"/>
      <c r="J484" s="42"/>
      <c r="K484" s="42"/>
      <c r="L48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4" s="43" t="str">
        <f>IF(tblProductos[[#This Row],[SKU]]="","",COUNTIF(tblEntradas[SKU],tblProductos[[#This Row],[SKU]])+COUNTIF(tblSalidas[SKU],tblProductos[[#This Row],[SKU]]))</f>
        <v/>
      </c>
      <c r="N48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5" spans="2:14" x14ac:dyDescent="0.25">
      <c r="B485" s="41"/>
      <c r="C485" s="41"/>
      <c r="D485" s="41"/>
      <c r="E485" s="42"/>
      <c r="F485" s="48"/>
      <c r="G485" s="48"/>
      <c r="H485" s="49"/>
      <c r="I485" s="41"/>
      <c r="J485" s="42"/>
      <c r="K485" s="42"/>
      <c r="L48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5" s="43" t="str">
        <f>IF(tblProductos[[#This Row],[SKU]]="","",COUNTIF(tblEntradas[SKU],tblProductos[[#This Row],[SKU]])+COUNTIF(tblSalidas[SKU],tblProductos[[#This Row],[SKU]]))</f>
        <v/>
      </c>
      <c r="N48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6" spans="2:14" x14ac:dyDescent="0.25">
      <c r="B486" s="41"/>
      <c r="C486" s="41"/>
      <c r="D486" s="41"/>
      <c r="E486" s="42"/>
      <c r="F486" s="48"/>
      <c r="G486" s="48"/>
      <c r="H486" s="49"/>
      <c r="I486" s="41"/>
      <c r="J486" s="42"/>
      <c r="K486" s="42"/>
      <c r="L48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6" s="43" t="str">
        <f>IF(tblProductos[[#This Row],[SKU]]="","",COUNTIF(tblEntradas[SKU],tblProductos[[#This Row],[SKU]])+COUNTIF(tblSalidas[SKU],tblProductos[[#This Row],[SKU]]))</f>
        <v/>
      </c>
      <c r="N48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7" spans="2:14" x14ac:dyDescent="0.25">
      <c r="B487" s="41"/>
      <c r="C487" s="41"/>
      <c r="D487" s="41"/>
      <c r="E487" s="42"/>
      <c r="F487" s="48"/>
      <c r="G487" s="48"/>
      <c r="H487" s="49"/>
      <c r="I487" s="41"/>
      <c r="J487" s="42"/>
      <c r="K487" s="42"/>
      <c r="L48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7" s="43" t="str">
        <f>IF(tblProductos[[#This Row],[SKU]]="","",COUNTIF(tblEntradas[SKU],tblProductos[[#This Row],[SKU]])+COUNTIF(tblSalidas[SKU],tblProductos[[#This Row],[SKU]]))</f>
        <v/>
      </c>
      <c r="N48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8" spans="2:14" x14ac:dyDescent="0.25">
      <c r="B488" s="41"/>
      <c r="C488" s="41"/>
      <c r="D488" s="41"/>
      <c r="E488" s="42"/>
      <c r="F488" s="48"/>
      <c r="G488" s="48"/>
      <c r="H488" s="49"/>
      <c r="I488" s="41"/>
      <c r="J488" s="42"/>
      <c r="K488" s="42"/>
      <c r="L48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8" s="43" t="str">
        <f>IF(tblProductos[[#This Row],[SKU]]="","",COUNTIF(tblEntradas[SKU],tblProductos[[#This Row],[SKU]])+COUNTIF(tblSalidas[SKU],tblProductos[[#This Row],[SKU]]))</f>
        <v/>
      </c>
      <c r="N48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9" spans="2:14" x14ac:dyDescent="0.25">
      <c r="B489" s="41"/>
      <c r="C489" s="41"/>
      <c r="D489" s="41"/>
      <c r="E489" s="42"/>
      <c r="F489" s="48"/>
      <c r="G489" s="48"/>
      <c r="H489" s="49"/>
      <c r="I489" s="41"/>
      <c r="J489" s="42"/>
      <c r="K489" s="42"/>
      <c r="L48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89" s="43" t="str">
        <f>IF(tblProductos[[#This Row],[SKU]]="","",COUNTIF(tblEntradas[SKU],tblProductos[[#This Row],[SKU]])+COUNTIF(tblSalidas[SKU],tblProductos[[#This Row],[SKU]]))</f>
        <v/>
      </c>
      <c r="N48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0" spans="2:14" x14ac:dyDescent="0.25">
      <c r="B490" s="41"/>
      <c r="C490" s="41"/>
      <c r="D490" s="41"/>
      <c r="E490" s="42"/>
      <c r="F490" s="48"/>
      <c r="G490" s="48"/>
      <c r="H490" s="49"/>
      <c r="I490" s="41"/>
      <c r="J490" s="42"/>
      <c r="K490" s="42"/>
      <c r="L49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0" s="43" t="str">
        <f>IF(tblProductos[[#This Row],[SKU]]="","",COUNTIF(tblEntradas[SKU],tblProductos[[#This Row],[SKU]])+COUNTIF(tblSalidas[SKU],tblProductos[[#This Row],[SKU]]))</f>
        <v/>
      </c>
      <c r="N49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1" spans="2:14" x14ac:dyDescent="0.25">
      <c r="B491" s="41"/>
      <c r="C491" s="41"/>
      <c r="D491" s="41"/>
      <c r="E491" s="42"/>
      <c r="F491" s="48"/>
      <c r="G491" s="48"/>
      <c r="H491" s="49"/>
      <c r="I491" s="41"/>
      <c r="J491" s="42"/>
      <c r="K491" s="42"/>
      <c r="L49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1" s="43" t="str">
        <f>IF(tblProductos[[#This Row],[SKU]]="","",COUNTIF(tblEntradas[SKU],tblProductos[[#This Row],[SKU]])+COUNTIF(tblSalidas[SKU],tblProductos[[#This Row],[SKU]]))</f>
        <v/>
      </c>
      <c r="N49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2" spans="2:14" x14ac:dyDescent="0.25">
      <c r="B492" s="41"/>
      <c r="C492" s="41"/>
      <c r="D492" s="41"/>
      <c r="E492" s="42"/>
      <c r="F492" s="48"/>
      <c r="G492" s="48"/>
      <c r="H492" s="49"/>
      <c r="I492" s="41"/>
      <c r="J492" s="42"/>
      <c r="K492" s="42"/>
      <c r="L49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2" s="43" t="str">
        <f>IF(tblProductos[[#This Row],[SKU]]="","",COUNTIF(tblEntradas[SKU],tblProductos[[#This Row],[SKU]])+COUNTIF(tblSalidas[SKU],tblProductos[[#This Row],[SKU]]))</f>
        <v/>
      </c>
      <c r="N49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3" spans="2:14" x14ac:dyDescent="0.25">
      <c r="B493" s="41"/>
      <c r="C493" s="41"/>
      <c r="D493" s="41"/>
      <c r="E493" s="42"/>
      <c r="F493" s="48"/>
      <c r="G493" s="48"/>
      <c r="H493" s="49"/>
      <c r="I493" s="41"/>
      <c r="J493" s="42"/>
      <c r="K493" s="42"/>
      <c r="L49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3" s="43" t="str">
        <f>IF(tblProductos[[#This Row],[SKU]]="","",COUNTIF(tblEntradas[SKU],tblProductos[[#This Row],[SKU]])+COUNTIF(tblSalidas[SKU],tblProductos[[#This Row],[SKU]]))</f>
        <v/>
      </c>
      <c r="N49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4" spans="2:14" x14ac:dyDescent="0.25">
      <c r="B494" s="41"/>
      <c r="C494" s="41"/>
      <c r="D494" s="41"/>
      <c r="E494" s="42"/>
      <c r="F494" s="48"/>
      <c r="G494" s="48"/>
      <c r="H494" s="49"/>
      <c r="I494" s="41"/>
      <c r="J494" s="42"/>
      <c r="K494" s="42"/>
      <c r="L49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4" s="43" t="str">
        <f>IF(tblProductos[[#This Row],[SKU]]="","",COUNTIF(tblEntradas[SKU],tblProductos[[#This Row],[SKU]])+COUNTIF(tblSalidas[SKU],tblProductos[[#This Row],[SKU]]))</f>
        <v/>
      </c>
      <c r="N49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5" spans="2:14" x14ac:dyDescent="0.25">
      <c r="B495" s="41"/>
      <c r="C495" s="41"/>
      <c r="D495" s="41"/>
      <c r="E495" s="42"/>
      <c r="F495" s="48"/>
      <c r="G495" s="48"/>
      <c r="H495" s="49"/>
      <c r="I495" s="41"/>
      <c r="J495" s="42"/>
      <c r="K495" s="42"/>
      <c r="L49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5" s="43" t="str">
        <f>IF(tblProductos[[#This Row],[SKU]]="","",COUNTIF(tblEntradas[SKU],tblProductos[[#This Row],[SKU]])+COUNTIF(tblSalidas[SKU],tblProductos[[#This Row],[SKU]]))</f>
        <v/>
      </c>
      <c r="N49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6" spans="2:14" x14ac:dyDescent="0.25">
      <c r="B496" s="41"/>
      <c r="C496" s="41"/>
      <c r="D496" s="41"/>
      <c r="E496" s="42"/>
      <c r="F496" s="48"/>
      <c r="G496" s="48"/>
      <c r="H496" s="49"/>
      <c r="I496" s="41"/>
      <c r="J496" s="42"/>
      <c r="K496" s="42"/>
      <c r="L49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6" s="43" t="str">
        <f>IF(tblProductos[[#This Row],[SKU]]="","",COUNTIF(tblEntradas[SKU],tblProductos[[#This Row],[SKU]])+COUNTIF(tblSalidas[SKU],tblProductos[[#This Row],[SKU]]))</f>
        <v/>
      </c>
      <c r="N49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7" spans="2:14" x14ac:dyDescent="0.25">
      <c r="B497" s="41"/>
      <c r="C497" s="41"/>
      <c r="D497" s="41"/>
      <c r="E497" s="42"/>
      <c r="F497" s="48"/>
      <c r="G497" s="48"/>
      <c r="H497" s="49"/>
      <c r="I497" s="41"/>
      <c r="J497" s="42"/>
      <c r="K497" s="42"/>
      <c r="L49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7" s="43" t="str">
        <f>IF(tblProductos[[#This Row],[SKU]]="","",COUNTIF(tblEntradas[SKU],tblProductos[[#This Row],[SKU]])+COUNTIF(tblSalidas[SKU],tblProductos[[#This Row],[SKU]]))</f>
        <v/>
      </c>
      <c r="N49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8" spans="2:14" x14ac:dyDescent="0.25">
      <c r="B498" s="41"/>
      <c r="C498" s="41"/>
      <c r="D498" s="41"/>
      <c r="E498" s="42"/>
      <c r="F498" s="48"/>
      <c r="G498" s="48"/>
      <c r="H498" s="49"/>
      <c r="I498" s="41"/>
      <c r="J498" s="42"/>
      <c r="K498" s="42"/>
      <c r="L498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8" s="43" t="str">
        <f>IF(tblProductos[[#This Row],[SKU]]="","",COUNTIF(tblEntradas[SKU],tblProductos[[#This Row],[SKU]])+COUNTIF(tblSalidas[SKU],tblProductos[[#This Row],[SKU]]))</f>
        <v/>
      </c>
      <c r="N498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9" spans="2:14" x14ac:dyDescent="0.25">
      <c r="B499" s="41"/>
      <c r="C499" s="41"/>
      <c r="D499" s="41"/>
      <c r="E499" s="42"/>
      <c r="F499" s="48"/>
      <c r="G499" s="48"/>
      <c r="H499" s="49"/>
      <c r="I499" s="41"/>
      <c r="J499" s="42"/>
      <c r="K499" s="42"/>
      <c r="L499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499" s="43" t="str">
        <f>IF(tblProductos[[#This Row],[SKU]]="","",COUNTIF(tblEntradas[SKU],tblProductos[[#This Row],[SKU]])+COUNTIF(tblSalidas[SKU],tblProductos[[#This Row],[SKU]]))</f>
        <v/>
      </c>
      <c r="N499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0" spans="2:14" x14ac:dyDescent="0.25">
      <c r="B500" s="41"/>
      <c r="C500" s="41"/>
      <c r="D500" s="41"/>
      <c r="E500" s="42"/>
      <c r="F500" s="48"/>
      <c r="G500" s="48"/>
      <c r="H500" s="49"/>
      <c r="I500" s="41"/>
      <c r="J500" s="42"/>
      <c r="K500" s="42"/>
      <c r="L500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0" s="43" t="str">
        <f>IF(tblProductos[[#This Row],[SKU]]="","",COUNTIF(tblEntradas[SKU],tblProductos[[#This Row],[SKU]])+COUNTIF(tblSalidas[SKU],tblProductos[[#This Row],[SKU]]))</f>
        <v/>
      </c>
      <c r="N500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1" spans="2:14" x14ac:dyDescent="0.25">
      <c r="B501" s="41"/>
      <c r="C501" s="41"/>
      <c r="D501" s="41"/>
      <c r="E501" s="42"/>
      <c r="F501" s="48"/>
      <c r="G501" s="48"/>
      <c r="H501" s="49"/>
      <c r="I501" s="41"/>
      <c r="J501" s="42"/>
      <c r="K501" s="42"/>
      <c r="L501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1" s="43" t="str">
        <f>IF(tblProductos[[#This Row],[SKU]]="","",COUNTIF(tblEntradas[SKU],tblProductos[[#This Row],[SKU]])+COUNTIF(tblSalidas[SKU],tblProductos[[#This Row],[SKU]]))</f>
        <v/>
      </c>
      <c r="N501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2" spans="2:14" x14ac:dyDescent="0.25">
      <c r="B502" s="41"/>
      <c r="C502" s="41"/>
      <c r="D502" s="41"/>
      <c r="E502" s="42"/>
      <c r="F502" s="48"/>
      <c r="G502" s="48"/>
      <c r="H502" s="49"/>
      <c r="I502" s="41"/>
      <c r="J502" s="42"/>
      <c r="K502" s="42"/>
      <c r="L502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2" s="43" t="str">
        <f>IF(tblProductos[[#This Row],[SKU]]="","",COUNTIF(tblEntradas[SKU],tblProductos[[#This Row],[SKU]])+COUNTIF(tblSalidas[SKU],tblProductos[[#This Row],[SKU]]))</f>
        <v/>
      </c>
      <c r="N502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3" spans="2:14" x14ac:dyDescent="0.25">
      <c r="B503" s="41"/>
      <c r="C503" s="41"/>
      <c r="D503" s="41"/>
      <c r="E503" s="42"/>
      <c r="F503" s="48"/>
      <c r="G503" s="48"/>
      <c r="H503" s="49"/>
      <c r="I503" s="41"/>
      <c r="J503" s="42"/>
      <c r="K503" s="42"/>
      <c r="L503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3" s="43" t="str">
        <f>IF(tblProductos[[#This Row],[SKU]]="","",COUNTIF(tblEntradas[SKU],tblProductos[[#This Row],[SKU]])+COUNTIF(tblSalidas[SKU],tblProductos[[#This Row],[SKU]]))</f>
        <v/>
      </c>
      <c r="N503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4" spans="2:14" x14ac:dyDescent="0.25">
      <c r="B504" s="41"/>
      <c r="C504" s="41"/>
      <c r="D504" s="41"/>
      <c r="E504" s="42"/>
      <c r="F504" s="48"/>
      <c r="G504" s="48"/>
      <c r="H504" s="49"/>
      <c r="I504" s="41"/>
      <c r="J504" s="42"/>
      <c r="K504" s="42"/>
      <c r="L504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4" s="43" t="str">
        <f>IF(tblProductos[[#This Row],[SKU]]="","",COUNTIF(tblEntradas[SKU],tblProductos[[#This Row],[SKU]])+COUNTIF(tblSalidas[SKU],tblProductos[[#This Row],[SKU]]))</f>
        <v/>
      </c>
      <c r="N504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5" spans="2:14" x14ac:dyDescent="0.25">
      <c r="B505" s="41"/>
      <c r="C505" s="41"/>
      <c r="D505" s="41"/>
      <c r="E505" s="42"/>
      <c r="F505" s="48"/>
      <c r="G505" s="48"/>
      <c r="H505" s="49"/>
      <c r="I505" s="41"/>
      <c r="J505" s="42"/>
      <c r="K505" s="42"/>
      <c r="L505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5" s="43" t="str">
        <f>IF(tblProductos[[#This Row],[SKU]]="","",COUNTIF(tblEntradas[SKU],tblProductos[[#This Row],[SKU]])+COUNTIF(tblSalidas[SKU],tblProductos[[#This Row],[SKU]]))</f>
        <v/>
      </c>
      <c r="N505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6" spans="2:14" x14ac:dyDescent="0.25">
      <c r="B506" s="41"/>
      <c r="C506" s="41"/>
      <c r="D506" s="41"/>
      <c r="E506" s="42"/>
      <c r="F506" s="48"/>
      <c r="G506" s="48"/>
      <c r="H506" s="49"/>
      <c r="I506" s="41"/>
      <c r="J506" s="42"/>
      <c r="K506" s="42"/>
      <c r="L506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6" s="43" t="str">
        <f>IF(tblProductos[[#This Row],[SKU]]="","",COUNTIF(tblEntradas[SKU],tblProductos[[#This Row],[SKU]])+COUNTIF(tblSalidas[SKU],tblProductos[[#This Row],[SKU]]))</f>
        <v/>
      </c>
      <c r="N506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7" spans="2:14" x14ac:dyDescent="0.25">
      <c r="B507" s="41"/>
      <c r="C507" s="41"/>
      <c r="D507" s="41"/>
      <c r="E507" s="42"/>
      <c r="F507" s="48"/>
      <c r="G507" s="48"/>
      <c r="H507" s="49"/>
      <c r="I507" s="41"/>
      <c r="J507" s="42"/>
      <c r="K507" s="42"/>
      <c r="L507" s="50" t="str">
        <f>IF(OR(tblProductos[[#This Row],[SKU]]="",tblProductos[[#This Row],[Producto]]=""),"",tblProductos[[#This Row],[SKU]]&amp;" · "&amp;tblProductos[[#This Row],[Producto]]&amp;IF(tblProductos[[#This Row],[Activo]]="NO","  (inactivo)",""))</f>
        <v/>
      </c>
      <c r="M507" s="43" t="str">
        <f>IF(tblProductos[[#This Row],[SKU]]="","",COUNTIF(tblEntradas[SKU],tblProductos[[#This Row],[SKU]])+COUNTIF(tblSalidas[SKU],tblProductos[[#This Row],[SKU]]))</f>
        <v/>
      </c>
      <c r="N507" s="44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</sheetData>
  <sheetProtection password="930D" sheet="1" objects="1" scenarios="1" formatColumns="0" autoFilter="0"/>
  <mergeCells count="1">
    <mergeCell ref="K5:L5"/>
  </mergeCells>
  <conditionalFormatting sqref="B8:K507">
    <cfRule type="expression" dxfId="168" priority="1">
      <formula>AND($B8="",$C8="",$B7&lt;&gt;"")</formula>
    </cfRule>
  </conditionalFormatting>
  <conditionalFormatting sqref="B8:L507">
    <cfRule type="expression" dxfId="167" priority="2">
      <formula>$K8="NO"</formula>
    </cfRule>
  </conditionalFormatting>
  <conditionalFormatting sqref="F8:F507">
    <cfRule type="expression" dxfId="166" priority="8">
      <formula>AND(ISNUMBER(F8),F8&lt;&gt;INT(F8))</formula>
    </cfRule>
  </conditionalFormatting>
  <conditionalFormatting sqref="G8:G507">
    <cfRule type="expression" dxfId="165" priority="9">
      <formula>AND(ISNUMBER(G8),G8&lt;&gt;INT(G8))</formula>
    </cfRule>
  </conditionalFormatting>
  <conditionalFormatting sqref="N8:N507">
    <cfRule type="expression" dxfId="164" priority="3">
      <formula>LEFT($N8,1)="✖"</formula>
    </cfRule>
    <cfRule type="expression" dxfId="163" priority="4">
      <formula>LEFT($N8,1)="⚠"</formula>
    </cfRule>
    <cfRule type="expression" dxfId="162" priority="5">
      <formula>LEFT($N8,1)="✔"</formula>
    </cfRule>
    <cfRule type="expression" dxfId="161" priority="6">
      <formula>LEFT($N8,1)="●"</formula>
    </cfRule>
    <cfRule type="expression" dxfId="160" priority="7">
      <formula>LEFT($N8,1)="○"</formula>
    </cfRule>
  </conditionalFormatting>
  <dataValidations count="23">
    <dataValidation allowBlank="1" showInputMessage="1" showErrorMessage="1" promptTitle="✎ SKU" prompt="Código único del producto, sin espacios (ej: FER-001). No lo cambie si ya tiene movimientos: cree uno nuevo y desactive el anterior." sqref="B7" xr:uid="{00000000-0002-0000-0700-000000000000}"/>
    <dataValidation allowBlank="1" showInputMessage="1" showErrorMessage="1" promptTitle="✎ Producto" prompt="Nombre descriptivo (3 a 60 caracteres). Es lo que el operador verá en la lista junto al SKU." sqref="C7" xr:uid="{00000000-0002-0000-0700-000001000000}"/>
    <dataValidation allowBlank="1" showInputMessage="1" showErrorMessage="1" promptTitle="✎ Categoría" prompt="Seleccione la categoría (Alt + ↓). Las categorías se administran en 03_CATEGORIAS." sqref="D7" xr:uid="{00000000-0002-0000-0700-000002000000}"/>
    <dataValidation allowBlank="1" showInputMessage="1" showErrorMessage="1" promptTitle="✎ Unidad" prompt="Unidad de medida (UND, CAJA, KG...). Define si se admiten decimales." sqref="E7" xr:uid="{00000000-0002-0000-0700-000003000000}"/>
    <dataValidation allowBlank="1" showInputMessage="1" showErrorMessage="1" promptTitle="✎ StockMin" prompt="Punto de reorden. En o por debajo de este valor el producto queda CRÍTICO." sqref="F7" xr:uid="{00000000-0002-0000-0700-000004000000}"/>
    <dataValidation allowBlank="1" showInputMessage="1" showErrorMessage="1" promptTitle="✎ StockMax" prompt="Nivel máximo deseado. Por encima: SOBRESTOCK. 0 = sin máximo." sqref="G7" xr:uid="{00000000-0002-0000-0700-000005000000}"/>
    <dataValidation allowBlank="1" showInputMessage="1" showErrorMessage="1" promptTitle="✎ CostoUnitario" prompt="Costo por unidad (moneda local). Se usa para valorizar el inventario." sqref="H7" xr:uid="{00000000-0002-0000-0700-000006000000}"/>
    <dataValidation allowBlank="1" showInputMessage="1" showErrorMessage="1" promptTitle="✎ Proveedor" prompt="Proveedor habitual (lista de 04_PROVEEDORES). Agrupa las alertas por proveedor." sqref="I7" xr:uid="{00000000-0002-0000-0700-000007000000}"/>
    <dataValidation allowBlank="1" showInputMessage="1" showErrorMessage="1" promptTitle="✎ Ubicación" prompt="Ubicación física en bodega (opcional). Ej: A-01-03." sqref="J7" xr:uid="{00000000-0002-0000-0700-000008000000}"/>
    <dataValidation allowBlank="1" showInputMessage="1" showErrorMessage="1" promptTitle="✎ Activo" prompt="Escriba NO para descontinuar: desaparece de las listas pero conserva su historial. Vacío = SI." sqref="K7" xr:uid="{00000000-0002-0000-0700-000009000000}"/>
    <dataValidation allowBlank="1" showInputMessage="1" showErrorMessage="1" promptTitle="ƒx Etiqueta" prompt="Texto de la lista de productos de la captura: SKU · Producto (marca los inactivos)." sqref="L7" xr:uid="{00000000-0002-0000-0700-00000A000000}"/>
    <dataValidation allowBlank="1" showInputMessage="1" showErrorMessage="1" promptTitle="ƒx Movimientos" prompt="Registros de este SKU en las dos bitácoras oficiales (10A y 10B)." sqref="M7" xr:uid="{00000000-0002-0000-0700-00000B000000}"/>
    <dataValidation allowBlank="1" showInputMessage="1" showErrorMessage="1" promptTitle="ƒx Validación" prompt="Control de calidad del registro maestro." sqref="N7" xr:uid="{00000000-0002-0000-0700-00000C000000}"/>
    <dataValidation type="custom" allowBlank="1" showInputMessage="1" showErrorMessage="1" errorTitle="SKU no válido" error="El SKU debe tener 2 a 20 caracteres, no llevar espacios y no existir ya en el catálogo." promptTitle="SKU (código único)" prompt="2 a 20 caracteres, sin espacios, sin repetir. Ej: FER-001." sqref="B8:B507" xr:uid="{00000000-0002-0000-0700-00000D000000}">
      <formula1>AND(LEN(B8)&gt;=2,LEN(B8)&lt;=20,ISERROR(FIND(" ",B8)),COUNTIF($B$8:$B$507,B8)=1)</formula1>
    </dataValidation>
    <dataValidation type="textLength" allowBlank="1" showInputMessage="1" showErrorMessage="1" errorTitle="Nombre no válido" error="El nombre debe tener entre 3 y 60 caracteres." promptTitle="Nombre del producto" prompt="Descripción clara, de 3 a 60 caracteres." sqref="C8:C507" xr:uid="{00000000-0002-0000-0700-00000E000000}">
      <formula1>3</formula1>
      <formula2>60</formula2>
    </dataValidation>
    <dataValidation type="list" allowBlank="1" showInputMessage="1" showErrorMessage="1" errorTitle="Categoría no válida" error="Elija una categoría de la lista. Para crear una nueva contacte al administrador." promptTitle="Categoría" prompt="Seleccione de la lista (Alt + ↓)." sqref="D8:D507" xr:uid="{00000000-0002-0000-0700-00000F000000}">
      <formula1>lstCategorias</formula1>
    </dataValidation>
    <dataValidation type="list" allowBlank="1" showInputMessage="1" showErrorMessage="1" errorTitle="Unidad no válida" error="Elija una unidad de la lista." promptTitle="Unidad de medida" prompt="Seleccione de la lista (Alt + ↓)." sqref="E8:E507" xr:uid="{00000000-0002-0000-0700-000010000000}">
      <formula1>lstUniCod</formula1>
    </dataValidation>
    <dataValidation type="decimal" operator="greaterThanOrEqual" allowBlank="1" showInputMessage="1" showErrorMessage="1" errorTitle="Valor no válido" error="Escriba un número mayor o igual a 0." promptTitle="StockMin" prompt="Número mayor o igual a 0." sqref="F8:F507" xr:uid="{00000000-0002-0000-0700-000011000000}">
      <formula1>0</formula1>
    </dataValidation>
    <dataValidation type="decimal" operator="greaterThanOrEqual" allowBlank="1" showInputMessage="1" showErrorMessage="1" errorTitle="Valor no válido" error="Escriba un número mayor o igual a 0." promptTitle="StockMax" prompt="Número mayor o igual a 0." sqref="G8:G507" xr:uid="{00000000-0002-0000-0700-000012000000}">
      <formula1>0</formula1>
    </dataValidation>
    <dataValidation type="decimal" operator="greaterThanOrEqual" allowBlank="1" showInputMessage="1" showErrorMessage="1" errorTitle="Valor no válido" error="Escriba un número mayor o igual a 0." promptTitle="CostoUnitario" prompt="Número mayor o igual a 0." sqref="H8:H507" xr:uid="{00000000-0002-0000-0700-000013000000}">
      <formula1>0</formula1>
    </dataValidation>
    <dataValidation type="list" allowBlank="1" showInputMessage="1" showErrorMessage="1" errorTitle="Proveedor no válido" error="Elija un proveedor de la lista o regístrelo primero en 04_PROVEEDORES." promptTitle="Proveedor" prompt="Seleccione de la lista (Alt + ↓). Se administran en 04_PROVEEDORES." sqref="I8:I507" xr:uid="{00000000-0002-0000-0700-000014000000}">
      <formula1>lstProveedores</formula1>
    </dataValidation>
    <dataValidation type="textLength" operator="lessThanOrEqual" allowBlank="1" showInputMessage="1" showErrorMessage="1" errorTitle="Texto muy largo" error="Máximo 20 caracteres." promptTitle="Ubicación (opcional)" prompt="Pasillo-estante-nivel. Máximo 20 caracteres." sqref="J8:J507" xr:uid="{00000000-0002-0000-0700-000015000000}">
      <formula1>20</formula1>
    </dataValidation>
    <dataValidation type="list" allowBlank="1" showInputMessage="1" showErrorMessage="1" errorTitle="Valor no válido" error="Escriba SI o NO." promptTitle="¿Producto activo?" prompt="NO = descontinuado (sale de las listas). Vacío = SI." sqref="K8:K507" xr:uid="{00000000-0002-0000-0700-000016000000}">
      <formula1>"SI,NO"</formula1>
    </dataValidation>
  </dataValidations>
  <hyperlinks>
    <hyperlink ref="B5" location="'00_PORTADA_BODEGA'!A1" tooltip="Portada de Bodega" display="⌂ Bodega" xr:uid="{00000000-0004-0000-0700-000000000000}"/>
    <hyperlink ref="C5" location="'00_PORTADA_VENTAS'!A1" tooltip="Portada de Ventas" display="⌂ Ventas" xr:uid="{00000000-0004-0000-0700-000001000000}"/>
    <hyperlink ref="D5" location="'00_PORTADA_GERENCIA'!A1" tooltip="Portada de Gerencia: indicadores, pedido y actividad" display="◈ Gerencia" xr:uid="{00000000-0004-0000-0700-000002000000}"/>
    <hyperlink ref="E5" location="'10A_ENTRADAS'!C9" tooltip="Registrar entradas y ajustes (Bodega)" display="⇩ Entradas" xr:uid="{00000000-0004-0000-0700-000003000000}"/>
    <hyperlink ref="F5" location="'10B_SALIDAS'!E9" tooltip="Registrar salidas (Ventas)" display="⇧ Salidas" xr:uid="{00000000-0004-0000-0700-000004000000}"/>
    <hyperlink ref="G5" location="'17_CONSULTA'!C9" tooltip="Consultar un producto en su fila" display="⌕ Consulta" xr:uid="{00000000-0004-0000-0700-000005000000}"/>
    <hyperlink ref="H5" location="'15_STOCK'!A1" tooltip="Stock (instantánea recalculada a demanda)" display="▦ Stock" xr:uid="{00000000-0004-0000-0700-000006000000}"/>
    <hyperlink ref="I5" location="'18_PEDIDO'!A1" tooltip="Pedido sugerido por proveedor" display="✚ Pedido" xr:uid="{00000000-0004-0000-0700-000007000000}"/>
    <hyperlink ref="J5" location="'13_CONTEO'!I9" tooltip="Toma física (conteo) colaborativa" display="✓ Conteo" xr:uid="{00000000-0004-0000-0700-000008000000}"/>
    <hyperlink ref="K5" location="'99_AYUDA'!A1" tooltip="Guía de uso, acceso e instalación" display="? Guía" xr:uid="{00000000-0004-0000-0700-000009000000}"/>
  </hyperlinks>
  <pageMargins left="0.4" right="0.4" top="0.7" bottom="0.6" header="0.3" footer="0.3"/>
  <pageSetup fitToHeight="0" orientation="landscape"/>
  <headerFooter>
    <oddHeader>&amp;L&amp;"Segoe UI,Bold"&amp;9M-INV · Catálogo de productos&amp;R&amp;"Segoe UI,Regular"&amp;8&amp;D</oddHeader>
    <oddFooter>&amp;L&amp;"Segoe UI,Regular"&amp;8Z&amp;&amp;P Software Fast Solutions&amp;R&amp;"Segoe UI,Regular"&amp;8Página &amp;P de &amp;N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4A3B8"/>
  </sheetPr>
  <dimension ref="B1:E16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12.85546875" customWidth="1"/>
    <col min="3" max="3" width="22.85546875" customWidth="1"/>
    <col min="4" max="4" width="15.7109375" customWidth="1"/>
    <col min="5" max="5" width="45.7109375" customWidth="1"/>
    <col min="6" max="6" width="3.42578125" customWidth="1"/>
  </cols>
  <sheetData>
    <row r="1" spans="2:5" s="1" customFormat="1" ht="6" customHeight="1" x14ac:dyDescent="0.25"/>
    <row r="2" spans="2:5" s="1" customFormat="1" ht="24" customHeight="1" x14ac:dyDescent="0.25">
      <c r="B2" s="2" t="s">
        <v>145</v>
      </c>
    </row>
    <row r="3" spans="2:5" s="1" customFormat="1" ht="14.25" x14ac:dyDescent="0.25">
      <c r="B3" s="16" t="s">
        <v>146</v>
      </c>
    </row>
    <row r="4" spans="2:5" s="1" customFormat="1" ht="7.5" customHeight="1" x14ac:dyDescent="0.25"/>
    <row r="5" spans="2:5" s="7" customFormat="1" ht="18" customHeight="1" x14ac:dyDescent="0.25"/>
    <row r="6" spans="2:5" s="7" customFormat="1" ht="12" customHeight="1" x14ac:dyDescent="0.25"/>
    <row r="7" spans="2:5" ht="22.5" customHeight="1" x14ac:dyDescent="0.25">
      <c r="B7" s="18" t="s">
        <v>126</v>
      </c>
      <c r="C7" s="18" t="s">
        <v>117</v>
      </c>
      <c r="D7" s="18" t="s">
        <v>147</v>
      </c>
      <c r="E7" s="18" t="s">
        <v>5</v>
      </c>
    </row>
    <row r="8" spans="2:5" x14ac:dyDescent="0.25">
      <c r="B8" s="32" t="s">
        <v>148</v>
      </c>
      <c r="C8" s="45" t="s">
        <v>117</v>
      </c>
      <c r="D8" s="29" t="s">
        <v>149</v>
      </c>
      <c r="E8" s="45" t="s">
        <v>150</v>
      </c>
    </row>
    <row r="9" spans="2:5" x14ac:dyDescent="0.25">
      <c r="B9" s="32" t="s">
        <v>151</v>
      </c>
      <c r="C9" s="45" t="s">
        <v>152</v>
      </c>
      <c r="D9" s="29" t="s">
        <v>149</v>
      </c>
      <c r="E9" s="45" t="s">
        <v>153</v>
      </c>
    </row>
    <row r="10" spans="2:5" x14ac:dyDescent="0.25">
      <c r="B10" s="32" t="s">
        <v>154</v>
      </c>
      <c r="C10" s="45" t="s">
        <v>155</v>
      </c>
      <c r="D10" s="29" t="s">
        <v>149</v>
      </c>
      <c r="E10" s="45" t="s">
        <v>156</v>
      </c>
    </row>
    <row r="11" spans="2:5" x14ac:dyDescent="0.25">
      <c r="B11" s="32" t="s">
        <v>157</v>
      </c>
      <c r="C11" s="45" t="s">
        <v>158</v>
      </c>
      <c r="D11" s="29" t="s">
        <v>149</v>
      </c>
      <c r="E11" s="45" t="s">
        <v>159</v>
      </c>
    </row>
    <row r="12" spans="2:5" x14ac:dyDescent="0.25">
      <c r="B12" s="32" t="s">
        <v>160</v>
      </c>
      <c r="C12" s="45" t="s">
        <v>161</v>
      </c>
      <c r="D12" s="29" t="s">
        <v>149</v>
      </c>
      <c r="E12" s="45" t="s">
        <v>162</v>
      </c>
    </row>
    <row r="13" spans="2:5" x14ac:dyDescent="0.25">
      <c r="B13" s="32" t="s">
        <v>163</v>
      </c>
      <c r="C13" s="45" t="s">
        <v>164</v>
      </c>
      <c r="D13" s="29" t="s">
        <v>165</v>
      </c>
      <c r="E13" s="45" t="s">
        <v>166</v>
      </c>
    </row>
    <row r="14" spans="2:5" x14ac:dyDescent="0.25">
      <c r="B14" s="32" t="s">
        <v>167</v>
      </c>
      <c r="C14" s="45" t="s">
        <v>168</v>
      </c>
      <c r="D14" s="29" t="s">
        <v>165</v>
      </c>
      <c r="E14" s="45" t="s">
        <v>169</v>
      </c>
    </row>
    <row r="15" spans="2:5" x14ac:dyDescent="0.25">
      <c r="B15" s="32" t="s">
        <v>170</v>
      </c>
      <c r="C15" s="45" t="s">
        <v>171</v>
      </c>
      <c r="D15" s="29" t="s">
        <v>165</v>
      </c>
      <c r="E15" s="45" t="s">
        <v>172</v>
      </c>
    </row>
    <row r="16" spans="2:5" x14ac:dyDescent="0.25">
      <c r="B16" s="32" t="s">
        <v>173</v>
      </c>
      <c r="C16" s="45" t="s">
        <v>174</v>
      </c>
      <c r="D16" s="29" t="s">
        <v>165</v>
      </c>
      <c r="E16" s="45" t="s">
        <v>175</v>
      </c>
    </row>
  </sheetData>
  <sheetProtection password="930D" sheet="1" objects="1" scenarios="1"/>
  <dataValidations count="4">
    <dataValidation allowBlank="1" showInputMessage="1" showErrorMessage="1" promptTitle="Código" prompt="Abreviatura que ve el operador (UND, KG...)." sqref="B7" xr:uid="{00000000-0002-0000-0800-000000000000}"/>
    <dataValidation allowBlank="1" showInputMessage="1" showErrorMessage="1" promptTitle="Unidad" prompt="Nombre completo de la unidad." sqref="C7" xr:uid="{00000000-0002-0000-0800-000001000000}"/>
    <dataValidation allowBlank="1" showInputMessage="1" showErrorMessage="1" promptTitle="Decimales" prompt="SI = admite fracciones (KG, LT...). NO = solo enteros." sqref="D7" xr:uid="{00000000-0002-0000-0800-000002000000}"/>
    <dataValidation allowBlank="1" showInputMessage="1" showErrorMessage="1" promptTitle="Descripción" prompt="Texto de apoyo." sqref="E7" xr:uid="{00000000-0002-0000-0800-000003000000}"/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E7D32"/>
    <pageSetUpPr fitToPage="1"/>
  </sheetPr>
  <dimension ref="B1:P28"/>
  <sheetViews>
    <sheetView showGridLines="0" showRowColHeaders="0" zoomScale="85" zoomScaleNormal="85" workbookViewId="0">
      <pane ySplit="6" topLeftCell="A7" activePane="bottomLeft" state="frozen"/>
      <selection pane="bottomLeft" activeCell="C9" sqref="C9"/>
    </sheetView>
  </sheetViews>
  <sheetFormatPr baseColWidth="10" defaultColWidth="0" defaultRowHeight="15" zeroHeight="1" x14ac:dyDescent="0.25"/>
  <cols>
    <col min="1" max="1" width="2.28515625" customWidth="1"/>
    <col min="2" max="2" width="24" customWidth="1"/>
    <col min="3" max="3" width="16" customWidth="1"/>
    <col min="4" max="4" width="13.140625" customWidth="1"/>
    <col min="5" max="5" width="38.5703125" customWidth="1"/>
    <col min="6" max="6" width="13.7109375" customWidth="1"/>
    <col min="7" max="7" width="16.85546875" customWidth="1"/>
    <col min="8" max="8" width="25.7109375" customWidth="1"/>
    <col min="9" max="9" width="17.140625" customWidth="1"/>
    <col min="10" max="11" width="34.28515625" customWidth="1"/>
    <col min="12" max="12" width="10.5703125" customWidth="1"/>
    <col min="13" max="13" width="15.140625" customWidth="1"/>
    <col min="14" max="14" width="32.85546875" hidden="1" customWidth="1"/>
    <col min="15" max="15" width="12.85546875" hidden="1" customWidth="1"/>
    <col min="16" max="16" width="20" hidden="1" customWidth="1"/>
    <col min="17" max="17" width="2.28515625" customWidth="1"/>
    <col min="18" max="18" width="0" hidden="1" customWidth="1"/>
  </cols>
  <sheetData>
    <row r="1" spans="2:16" s="1" customFormat="1" ht="4.5" customHeight="1" x14ac:dyDescent="0.25"/>
    <row r="2" spans="2:16" s="1" customFormat="1" ht="22.5" customHeight="1" x14ac:dyDescent="0.25">
      <c r="B2" s="2" t="s">
        <v>176</v>
      </c>
    </row>
    <row r="3" spans="2:16" s="1" customFormat="1" ht="14.25" x14ac:dyDescent="0.25">
      <c r="B3" s="16" t="s">
        <v>177</v>
      </c>
    </row>
    <row r="4" spans="2:16" s="1" customFormat="1" ht="4.5" customHeight="1" x14ac:dyDescent="0.25"/>
    <row r="5" spans="2:16" s="4" customFormat="1" ht="21" customHeight="1" x14ac:dyDescent="0.25">
      <c r="B5" s="6" t="s">
        <v>82</v>
      </c>
      <c r="C5" s="6" t="s">
        <v>83</v>
      </c>
      <c r="D5" s="6" t="s">
        <v>84</v>
      </c>
      <c r="E5" s="5" t="s">
        <v>85</v>
      </c>
      <c r="F5" s="6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6" t="s">
        <v>91</v>
      </c>
    </row>
    <row r="6" spans="2:16" s="7" customFormat="1" ht="22.5" customHeight="1" x14ac:dyDescent="0.25">
      <c r="B6" s="39" t="str">
        <f>"Registros: "&amp;FIXED(kpiRegEnt,0)</f>
        <v>Registros: 0</v>
      </c>
      <c r="C6" s="129" t="str">
        <f>IF(kpiRechEnt=0,"✔ Sin rechazos","✖ Rechazados: "&amp;kpiRechEnt)</f>
        <v>✔ Sin rechazos</v>
      </c>
      <c r="D6" s="129"/>
      <c r="E6" s="39" t="str">
        <f ca="1">"Pendientes en captura: "&amp;kpiPendEnt</f>
        <v>Pendientes en captura: 0</v>
      </c>
      <c r="F6" s="130" t="s">
        <v>196</v>
      </c>
      <c r="G6" s="130"/>
      <c r="H6" s="130"/>
      <c r="I6" s="130"/>
      <c r="J6" s="95" t="s">
        <v>195</v>
      </c>
      <c r="K6" s="95"/>
    </row>
    <row r="7" spans="2:16" s="7" customFormat="1" ht="16.5" customHeight="1" x14ac:dyDescent="0.25">
      <c r="B7" s="7" t="s">
        <v>178</v>
      </c>
    </row>
    <row r="8" spans="2:16" ht="25.5" customHeight="1" x14ac:dyDescent="0.25">
      <c r="B8" s="18" t="s">
        <v>179</v>
      </c>
      <c r="C8" s="19" t="s">
        <v>40</v>
      </c>
      <c r="D8" s="19" t="s">
        <v>180</v>
      </c>
      <c r="E8" s="19" t="s">
        <v>115</v>
      </c>
      <c r="F8" s="19" t="s">
        <v>181</v>
      </c>
      <c r="G8" s="19" t="s">
        <v>182</v>
      </c>
      <c r="H8" s="19" t="s">
        <v>183</v>
      </c>
      <c r="I8" s="18" t="s">
        <v>184</v>
      </c>
      <c r="J8" s="18" t="s">
        <v>99</v>
      </c>
      <c r="K8" s="18" t="s">
        <v>185</v>
      </c>
      <c r="L8" s="18" t="s">
        <v>117</v>
      </c>
      <c r="M8" s="18" t="s">
        <v>186</v>
      </c>
      <c r="N8" s="18" t="s">
        <v>92</v>
      </c>
      <c r="O8" s="18" t="s">
        <v>114</v>
      </c>
      <c r="P8" s="18" t="s">
        <v>187</v>
      </c>
    </row>
    <row r="9" spans="2:16" ht="18" customHeight="1" x14ac:dyDescent="0.25">
      <c r="B9" s="50" t="str">
        <f>IFERROR(INDEX(tblUsuarios[Nombre],MATCH(ROW()-ROW(tblCapturaEntradas[#Headers]),tblUsuarios[OrdenBodega],0)),"")</f>
        <v/>
      </c>
      <c r="C9" s="51"/>
      <c r="D9" s="52"/>
      <c r="E9" s="51"/>
      <c r="F9" s="53"/>
      <c r="G9" s="51"/>
      <c r="H9" s="51"/>
      <c r="I9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9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9" s="55"/>
      <c r="L9" s="43" t="str">
        <f>IF(tblCapturaEntradas[[#This Row],[SKU]]="","",IFERROR(INDEX(tblProductos[Unidad],MATCH(tblCapturaEntradas[[#This Row],[SKU]],tblProductos[SKU],0)),"?"))</f>
        <v/>
      </c>
      <c r="M9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9" s="50" t="str">
        <f>IFERROR(INDEX(tblUsuarios[Correo],MATCH(ROW()-ROW(tblCapturaEntradas[#Headers]),tblUsuarios[OrdenBodega],0)),"")</f>
        <v/>
      </c>
      <c r="O9" s="43" t="str">
        <f>IF(tblCapturaEntradas[[#This Row],[Producto]]="","",TRIM(LEFT(tblCapturaEntradas[[#This Row],[Producto]],FIND(" · ",tblCapturaEntradas[[#This Row],[Producto]]&amp;" · ")-1)))</f>
        <v/>
      </c>
      <c r="P9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0" spans="2:16" ht="18" customHeight="1" x14ac:dyDescent="0.25">
      <c r="B10" s="50" t="str">
        <f>IFERROR(INDEX(tblUsuarios[Nombre],MATCH(ROW()-ROW(tblCapturaEntradas[#Headers]),tblUsuarios[OrdenBodega],0)),"")</f>
        <v/>
      </c>
      <c r="C10" s="51"/>
      <c r="D10" s="52"/>
      <c r="E10" s="51"/>
      <c r="F10" s="53"/>
      <c r="G10" s="51"/>
      <c r="H10" s="51"/>
      <c r="I10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0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0" s="55"/>
      <c r="L10" s="43" t="str">
        <f>IF(tblCapturaEntradas[[#This Row],[SKU]]="","",IFERROR(INDEX(tblProductos[Unidad],MATCH(tblCapturaEntradas[[#This Row],[SKU]],tblProductos[SKU],0)),"?"))</f>
        <v/>
      </c>
      <c r="M10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0" s="50" t="str">
        <f>IFERROR(INDEX(tblUsuarios[Correo],MATCH(ROW()-ROW(tblCapturaEntradas[#Headers]),tblUsuarios[OrdenBodega],0)),"")</f>
        <v/>
      </c>
      <c r="O10" s="43" t="str">
        <f>IF(tblCapturaEntradas[[#This Row],[Producto]]="","",TRIM(LEFT(tblCapturaEntradas[[#This Row],[Producto]],FIND(" · ",tblCapturaEntradas[[#This Row],[Producto]]&amp;" · ")-1)))</f>
        <v/>
      </c>
      <c r="P10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1" spans="2:16" ht="18" customHeight="1" x14ac:dyDescent="0.25">
      <c r="B11" s="50" t="str">
        <f>IFERROR(INDEX(tblUsuarios[Nombre],MATCH(ROW()-ROW(tblCapturaEntradas[#Headers]),tblUsuarios[OrdenBodega],0)),"")</f>
        <v/>
      </c>
      <c r="C11" s="51"/>
      <c r="D11" s="52"/>
      <c r="E11" s="51"/>
      <c r="F11" s="53"/>
      <c r="G11" s="51"/>
      <c r="H11" s="51"/>
      <c r="I11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1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1" s="55"/>
      <c r="L11" s="43" t="str">
        <f>IF(tblCapturaEntradas[[#This Row],[SKU]]="","",IFERROR(INDEX(tblProductos[Unidad],MATCH(tblCapturaEntradas[[#This Row],[SKU]],tblProductos[SKU],0)),"?"))</f>
        <v/>
      </c>
      <c r="M11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1" s="50" t="str">
        <f>IFERROR(INDEX(tblUsuarios[Correo],MATCH(ROW()-ROW(tblCapturaEntradas[#Headers]),tblUsuarios[OrdenBodega],0)),"")</f>
        <v/>
      </c>
      <c r="O11" s="43" t="str">
        <f>IF(tblCapturaEntradas[[#This Row],[Producto]]="","",TRIM(LEFT(tblCapturaEntradas[[#This Row],[Producto]],FIND(" · ",tblCapturaEntradas[[#This Row],[Producto]]&amp;" · ")-1)))</f>
        <v/>
      </c>
      <c r="P11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2" spans="2:16" ht="18" customHeight="1" x14ac:dyDescent="0.25">
      <c r="B12" s="50" t="str">
        <f>IFERROR(INDEX(tblUsuarios[Nombre],MATCH(ROW()-ROW(tblCapturaEntradas[#Headers]),tblUsuarios[OrdenBodega],0)),"")</f>
        <v/>
      </c>
      <c r="C12" s="51"/>
      <c r="D12" s="52"/>
      <c r="E12" s="51"/>
      <c r="F12" s="53"/>
      <c r="G12" s="51"/>
      <c r="H12" s="51"/>
      <c r="I12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2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2" s="55"/>
      <c r="L12" s="43" t="str">
        <f>IF(tblCapturaEntradas[[#This Row],[SKU]]="","",IFERROR(INDEX(tblProductos[Unidad],MATCH(tblCapturaEntradas[[#This Row],[SKU]],tblProductos[SKU],0)),"?"))</f>
        <v/>
      </c>
      <c r="M12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2" s="50" t="str">
        <f>IFERROR(INDEX(tblUsuarios[Correo],MATCH(ROW()-ROW(tblCapturaEntradas[#Headers]),tblUsuarios[OrdenBodega],0)),"")</f>
        <v/>
      </c>
      <c r="O12" s="43" t="str">
        <f>IF(tblCapturaEntradas[[#This Row],[Producto]]="","",TRIM(LEFT(tblCapturaEntradas[[#This Row],[Producto]],FIND(" · ",tblCapturaEntradas[[#This Row],[Producto]]&amp;" · ")-1)))</f>
        <v/>
      </c>
      <c r="P12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3" spans="2:16" ht="18" customHeight="1" x14ac:dyDescent="0.25">
      <c r="B13" s="50" t="str">
        <f>IFERROR(INDEX(tblUsuarios[Nombre],MATCH(ROW()-ROW(tblCapturaEntradas[#Headers]),tblUsuarios[OrdenBodega],0)),"")</f>
        <v/>
      </c>
      <c r="C13" s="51"/>
      <c r="D13" s="52"/>
      <c r="E13" s="51"/>
      <c r="F13" s="53"/>
      <c r="G13" s="51"/>
      <c r="H13" s="51"/>
      <c r="I13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3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3" s="55"/>
      <c r="L13" s="43" t="str">
        <f>IF(tblCapturaEntradas[[#This Row],[SKU]]="","",IFERROR(INDEX(tblProductos[Unidad],MATCH(tblCapturaEntradas[[#This Row],[SKU]],tblProductos[SKU],0)),"?"))</f>
        <v/>
      </c>
      <c r="M13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3" s="50" t="str">
        <f>IFERROR(INDEX(tblUsuarios[Correo],MATCH(ROW()-ROW(tblCapturaEntradas[#Headers]),tblUsuarios[OrdenBodega],0)),"")</f>
        <v/>
      </c>
      <c r="O13" s="43" t="str">
        <f>IF(tblCapturaEntradas[[#This Row],[Producto]]="","",TRIM(LEFT(tblCapturaEntradas[[#This Row],[Producto]],FIND(" · ",tblCapturaEntradas[[#This Row],[Producto]]&amp;" · ")-1)))</f>
        <v/>
      </c>
      <c r="P13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4" spans="2:16" ht="18" customHeight="1" x14ac:dyDescent="0.25">
      <c r="B14" s="50" t="str">
        <f>IFERROR(INDEX(tblUsuarios[Nombre],MATCH(ROW()-ROW(tblCapturaEntradas[#Headers]),tblUsuarios[OrdenBodega],0)),"")</f>
        <v/>
      </c>
      <c r="C14" s="51"/>
      <c r="D14" s="52"/>
      <c r="E14" s="51"/>
      <c r="F14" s="53"/>
      <c r="G14" s="51"/>
      <c r="H14" s="51"/>
      <c r="I14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4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4" s="55"/>
      <c r="L14" s="43" t="str">
        <f>IF(tblCapturaEntradas[[#This Row],[SKU]]="","",IFERROR(INDEX(tblProductos[Unidad],MATCH(tblCapturaEntradas[[#This Row],[SKU]],tblProductos[SKU],0)),"?"))</f>
        <v/>
      </c>
      <c r="M14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4" s="50" t="str">
        <f>IFERROR(INDEX(tblUsuarios[Correo],MATCH(ROW()-ROW(tblCapturaEntradas[#Headers]),tblUsuarios[OrdenBodega],0)),"")</f>
        <v/>
      </c>
      <c r="O14" s="43" t="str">
        <f>IF(tblCapturaEntradas[[#This Row],[Producto]]="","",TRIM(LEFT(tblCapturaEntradas[[#This Row],[Producto]],FIND(" · ",tblCapturaEntradas[[#This Row],[Producto]]&amp;" · ")-1)))</f>
        <v/>
      </c>
      <c r="P14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5" spans="2:16" ht="18" customHeight="1" x14ac:dyDescent="0.25">
      <c r="B15" s="50" t="str">
        <f>IFERROR(INDEX(tblUsuarios[Nombre],MATCH(ROW()-ROW(tblCapturaEntradas[#Headers]),tblUsuarios[OrdenBodega],0)),"")</f>
        <v/>
      </c>
      <c r="C15" s="51"/>
      <c r="D15" s="52"/>
      <c r="E15" s="51"/>
      <c r="F15" s="53"/>
      <c r="G15" s="51"/>
      <c r="H15" s="51"/>
      <c r="I15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5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5" s="55"/>
      <c r="L15" s="43" t="str">
        <f>IF(tblCapturaEntradas[[#This Row],[SKU]]="","",IFERROR(INDEX(tblProductos[Unidad],MATCH(tblCapturaEntradas[[#This Row],[SKU]],tblProductos[SKU],0)),"?"))</f>
        <v/>
      </c>
      <c r="M15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5" s="50" t="str">
        <f>IFERROR(INDEX(tblUsuarios[Correo],MATCH(ROW()-ROW(tblCapturaEntradas[#Headers]),tblUsuarios[OrdenBodega],0)),"")</f>
        <v/>
      </c>
      <c r="O15" s="43" t="str">
        <f>IF(tblCapturaEntradas[[#This Row],[Producto]]="","",TRIM(LEFT(tblCapturaEntradas[[#This Row],[Producto]],FIND(" · ",tblCapturaEntradas[[#This Row],[Producto]]&amp;" · ")-1)))</f>
        <v/>
      </c>
      <c r="P15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6" spans="2:16" ht="18" customHeight="1" x14ac:dyDescent="0.25">
      <c r="B16" s="50" t="str">
        <f>IFERROR(INDEX(tblUsuarios[Nombre],MATCH(ROW()-ROW(tblCapturaEntradas[#Headers]),tblUsuarios[OrdenBodega],0)),"")</f>
        <v/>
      </c>
      <c r="C16" s="51"/>
      <c r="D16" s="52"/>
      <c r="E16" s="51"/>
      <c r="F16" s="53"/>
      <c r="G16" s="51"/>
      <c r="H16" s="51"/>
      <c r="I16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6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6" s="55"/>
      <c r="L16" s="43" t="str">
        <f>IF(tblCapturaEntradas[[#This Row],[SKU]]="","",IFERROR(INDEX(tblProductos[Unidad],MATCH(tblCapturaEntradas[[#This Row],[SKU]],tblProductos[SKU],0)),"?"))</f>
        <v/>
      </c>
      <c r="M16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6" s="50" t="str">
        <f>IFERROR(INDEX(tblUsuarios[Correo],MATCH(ROW()-ROW(tblCapturaEntradas[#Headers]),tblUsuarios[OrdenBodega],0)),"")</f>
        <v/>
      </c>
      <c r="O16" s="43" t="str">
        <f>IF(tblCapturaEntradas[[#This Row],[Producto]]="","",TRIM(LEFT(tblCapturaEntradas[[#This Row],[Producto]],FIND(" · ",tblCapturaEntradas[[#This Row],[Producto]]&amp;" · ")-1)))</f>
        <v/>
      </c>
      <c r="P16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7" spans="2:16" ht="18" customHeight="1" x14ac:dyDescent="0.25">
      <c r="B17" s="50" t="str">
        <f>IFERROR(INDEX(tblUsuarios[Nombre],MATCH(ROW()-ROW(tblCapturaEntradas[#Headers]),tblUsuarios[OrdenBodega],0)),"")</f>
        <v/>
      </c>
      <c r="C17" s="51"/>
      <c r="D17" s="52"/>
      <c r="E17" s="51"/>
      <c r="F17" s="53"/>
      <c r="G17" s="51"/>
      <c r="H17" s="51"/>
      <c r="I17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7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7" s="55"/>
      <c r="L17" s="43" t="str">
        <f>IF(tblCapturaEntradas[[#This Row],[SKU]]="","",IFERROR(INDEX(tblProductos[Unidad],MATCH(tblCapturaEntradas[[#This Row],[SKU]],tblProductos[SKU],0)),"?"))</f>
        <v/>
      </c>
      <c r="M17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7" s="50" t="str">
        <f>IFERROR(INDEX(tblUsuarios[Correo],MATCH(ROW()-ROW(tblCapturaEntradas[#Headers]),tblUsuarios[OrdenBodega],0)),"")</f>
        <v/>
      </c>
      <c r="O17" s="43" t="str">
        <f>IF(tblCapturaEntradas[[#This Row],[Producto]]="","",TRIM(LEFT(tblCapturaEntradas[[#This Row],[Producto]],FIND(" · ",tblCapturaEntradas[[#This Row],[Producto]]&amp;" · ")-1)))</f>
        <v/>
      </c>
      <c r="P17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8" spans="2:16" ht="18" customHeight="1" x14ac:dyDescent="0.25">
      <c r="B18" s="50" t="str">
        <f>IFERROR(INDEX(tblUsuarios[Nombre],MATCH(ROW()-ROW(tblCapturaEntradas[#Headers]),tblUsuarios[OrdenBodega],0)),"")</f>
        <v/>
      </c>
      <c r="C18" s="51"/>
      <c r="D18" s="52"/>
      <c r="E18" s="51"/>
      <c r="F18" s="53"/>
      <c r="G18" s="51"/>
      <c r="H18" s="51"/>
      <c r="I18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8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8" s="55"/>
      <c r="L18" s="43" t="str">
        <f>IF(tblCapturaEntradas[[#This Row],[SKU]]="","",IFERROR(INDEX(tblProductos[Unidad],MATCH(tblCapturaEntradas[[#This Row],[SKU]],tblProductos[SKU],0)),"?"))</f>
        <v/>
      </c>
      <c r="M18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8" s="50" t="str">
        <f>IFERROR(INDEX(tblUsuarios[Correo],MATCH(ROW()-ROW(tblCapturaEntradas[#Headers]),tblUsuarios[OrdenBodega],0)),"")</f>
        <v/>
      </c>
      <c r="O18" s="43" t="str">
        <f>IF(tblCapturaEntradas[[#This Row],[Producto]]="","",TRIM(LEFT(tblCapturaEntradas[[#This Row],[Producto]],FIND(" · ",tblCapturaEntradas[[#This Row],[Producto]]&amp;" · ")-1)))</f>
        <v/>
      </c>
      <c r="P18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19" spans="2:16" ht="18" customHeight="1" x14ac:dyDescent="0.25">
      <c r="B19" s="50" t="str">
        <f>IFERROR(INDEX(tblUsuarios[Nombre],MATCH(ROW()-ROW(tblCapturaEntradas[#Headers]),tblUsuarios[OrdenBodega],0)),"")</f>
        <v/>
      </c>
      <c r="C19" s="51"/>
      <c r="D19" s="52"/>
      <c r="E19" s="51"/>
      <c r="F19" s="53"/>
      <c r="G19" s="51"/>
      <c r="H19" s="51"/>
      <c r="I19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19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19" s="55"/>
      <c r="L19" s="43" t="str">
        <f>IF(tblCapturaEntradas[[#This Row],[SKU]]="","",IFERROR(INDEX(tblProductos[Unidad],MATCH(tblCapturaEntradas[[#This Row],[SKU]],tblProductos[SKU],0)),"?"))</f>
        <v/>
      </c>
      <c r="M19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19" s="50" t="str">
        <f>IFERROR(INDEX(tblUsuarios[Correo],MATCH(ROW()-ROW(tblCapturaEntradas[#Headers]),tblUsuarios[OrdenBodega],0)),"")</f>
        <v/>
      </c>
      <c r="O19" s="43" t="str">
        <f>IF(tblCapturaEntradas[[#This Row],[Producto]]="","",TRIM(LEFT(tblCapturaEntradas[[#This Row],[Producto]],FIND(" · ",tblCapturaEntradas[[#This Row],[Producto]]&amp;" · ")-1)))</f>
        <v/>
      </c>
      <c r="P19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0" spans="2:16" ht="18" customHeight="1" x14ac:dyDescent="0.25">
      <c r="B20" s="50" t="str">
        <f>IFERROR(INDEX(tblUsuarios[Nombre],MATCH(ROW()-ROW(tblCapturaEntradas[#Headers]),tblUsuarios[OrdenBodega],0)),"")</f>
        <v/>
      </c>
      <c r="C20" s="51"/>
      <c r="D20" s="52"/>
      <c r="E20" s="51"/>
      <c r="F20" s="53"/>
      <c r="G20" s="51"/>
      <c r="H20" s="51"/>
      <c r="I20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20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20" s="55"/>
      <c r="L20" s="43" t="str">
        <f>IF(tblCapturaEntradas[[#This Row],[SKU]]="","",IFERROR(INDEX(tblProductos[Unidad],MATCH(tblCapturaEntradas[[#This Row],[SKU]],tblProductos[SKU],0)),"?"))</f>
        <v/>
      </c>
      <c r="M20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20" s="50" t="str">
        <f>IFERROR(INDEX(tblUsuarios[Correo],MATCH(ROW()-ROW(tblCapturaEntradas[#Headers]),tblUsuarios[OrdenBodega],0)),"")</f>
        <v/>
      </c>
      <c r="O20" s="43" t="str">
        <f>IF(tblCapturaEntradas[[#This Row],[Producto]]="","",TRIM(LEFT(tblCapturaEntradas[[#This Row],[Producto]],FIND(" · ",tblCapturaEntradas[[#This Row],[Producto]]&amp;" · ")-1)))</f>
        <v/>
      </c>
      <c r="P20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1" spans="2:16" ht="18" customHeight="1" x14ac:dyDescent="0.25">
      <c r="B21" s="50" t="str">
        <f>IFERROR(INDEX(tblUsuarios[Nombre],MATCH(ROW()-ROW(tblCapturaEntradas[#Headers]),tblUsuarios[OrdenBodega],0)),"")</f>
        <v/>
      </c>
      <c r="C21" s="51"/>
      <c r="D21" s="52"/>
      <c r="E21" s="51"/>
      <c r="F21" s="53"/>
      <c r="G21" s="51"/>
      <c r="H21" s="51"/>
      <c r="I21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21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21" s="55"/>
      <c r="L21" s="43" t="str">
        <f>IF(tblCapturaEntradas[[#This Row],[SKU]]="","",IFERROR(INDEX(tblProductos[Unidad],MATCH(tblCapturaEntradas[[#This Row],[SKU]],tblProductos[SKU],0)),"?"))</f>
        <v/>
      </c>
      <c r="M21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21" s="50" t="str">
        <f>IFERROR(INDEX(tblUsuarios[Correo],MATCH(ROW()-ROW(tblCapturaEntradas[#Headers]),tblUsuarios[OrdenBodega],0)),"")</f>
        <v/>
      </c>
      <c r="O21" s="43" t="str">
        <f>IF(tblCapturaEntradas[[#This Row],[Producto]]="","",TRIM(LEFT(tblCapturaEntradas[[#This Row],[Producto]],FIND(" · ",tblCapturaEntradas[[#This Row],[Producto]]&amp;" · ")-1)))</f>
        <v/>
      </c>
      <c r="P21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2" spans="2:16" ht="18" customHeight="1" x14ac:dyDescent="0.25">
      <c r="B22" s="50" t="str">
        <f>IFERROR(INDEX(tblUsuarios[Nombre],MATCH(ROW()-ROW(tblCapturaEntradas[#Headers]),tblUsuarios[OrdenBodega],0)),"")</f>
        <v/>
      </c>
      <c r="C22" s="51"/>
      <c r="D22" s="52"/>
      <c r="E22" s="51"/>
      <c r="F22" s="53"/>
      <c r="G22" s="51"/>
      <c r="H22" s="51"/>
      <c r="I22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22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22" s="55"/>
      <c r="L22" s="43" t="str">
        <f>IF(tblCapturaEntradas[[#This Row],[SKU]]="","",IFERROR(INDEX(tblProductos[Unidad],MATCH(tblCapturaEntradas[[#This Row],[SKU]],tblProductos[SKU],0)),"?"))</f>
        <v/>
      </c>
      <c r="M22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22" s="50" t="str">
        <f>IFERROR(INDEX(tblUsuarios[Correo],MATCH(ROW()-ROW(tblCapturaEntradas[#Headers]),tblUsuarios[OrdenBodega],0)),"")</f>
        <v/>
      </c>
      <c r="O22" s="43" t="str">
        <f>IF(tblCapturaEntradas[[#This Row],[Producto]]="","",TRIM(LEFT(tblCapturaEntradas[[#This Row],[Producto]],FIND(" · ",tblCapturaEntradas[[#This Row],[Producto]]&amp;" · ")-1)))</f>
        <v/>
      </c>
      <c r="P22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3" spans="2:16" ht="18" customHeight="1" x14ac:dyDescent="0.25">
      <c r="B23" s="50" t="str">
        <f>IFERROR(INDEX(tblUsuarios[Nombre],MATCH(ROW()-ROW(tblCapturaEntradas[#Headers]),tblUsuarios[OrdenBodega],0)),"")</f>
        <v/>
      </c>
      <c r="C23" s="51"/>
      <c r="D23" s="52"/>
      <c r="E23" s="51"/>
      <c r="F23" s="53"/>
      <c r="G23" s="51"/>
      <c r="H23" s="51"/>
      <c r="I23" s="54" t="str">
        <f>IF(OR(tblCapturaEntradas[[#This Row],[SKU]]="",tblCapturaEntradas[[#This Row],[Unidad]]="?"),"",SUMIFS(tblEntradas[CantidadNeta],tblEntradas[SKU],tblCapturaEntradas[[#This Row],[SKU]],tblEntradas[Estado],"✔*")+SUMIFS(tblSalidas[CantidadNeta],tblSalidas[SKU],tblCapturaEntradas[[#This Row],[SKU]],tblSalidas[Estado],"✔*"))</f>
        <v/>
      </c>
      <c r="J23" s="44" t="str">
        <f ca="1">IF(AND(tblCapturaEntradas[[#This Row],[Tipo]]="",tblCapturaEntradas[[#This Row],[Fecha]]="",tblCapturaEntradas[[#This Row],[Producto]]="",tblCapturaEntradas[[#This Row],[Cantidad]]="",tblCapturaEntradas[[#This Row],[Documento]]="",tblCapturaEntradas[[#This Row],[Observaciones]]=""),"",IF(tblCapturaEntradas[[#This Row],[Correo]]="","✖ Fila sin usuario asignado (02_USUARIOS)",IF(tblCapturaEntradas[[#This Row],[Tipo]]="","○ Elija el tipo de movimiento",IF(tblCapturaEntradas[[#This Row],[Producto]]="","○ Elija el producto",IF(tblCapturaEntradas[[#This Row],[Unidad]]="?","✖ El producto no existe en el catálogo",IF(IFERROR(INDEX(tblProductos[Activo],MATCH(tblCapturaEntradas[[#This Row],[SKU]],tblProductos[SKU],0)),"")="NO","✖ Producto inactivo (descontinuado)",IF(tblCapturaEntradas[[#This Row],[Cantidad]]="","○ Escriba la cantidad",IF(OR(NOT(ISNUMBER(tblCapturaEntradas[[#This Row],[Cantidad]])),N(tblCapturaEntradas[[#This Row],[Cantidad]])&lt;=0),"✖ Cantidad no válida: debe ser mayor que 0",IF(AND(tblCapturaEntradas[[#This Row],[Cantidad]]&lt;&gt;INT(tblCapturaEntradas[[#This Row],[Cantidad]]),IFERROR(INDEX(lstUniDec,MATCH(tblCapturaEntradas[[#This Row],[Unidad]],lstUniCod,0)),"SI")="NO"),"✖ "&amp;tblCapturaEntradas[[#This Row],[Unidad]]&amp;" no admite decimales",IF(AND(tblCapturaEntradas[[#This Row],[Fecha]]&lt;&gt;"",OR(NOT(ISNUMBER(tblCapturaEntradas[[#This Row],[Fecha]])),N(tblCapturaEntradas[[#This Row],[Fecha]])&gt;TODAY(),N(tblCapturaEntradas[[#This Row],[Fecha]])&lt;cfgFechaMin)),"✖ Fecha no válida (futura o anterior a la mínima)",IF(N(tblCapturaEntradas[[#This Row],[Factor]])=0,"✖ Tipo no válido para Bodega",IF(AND(LEFT(tblCapturaEntradas[[#This Row],[Tipo]],6)="AJUSTE",tblCapturaEntradas[[#This Row],[Observaciones]]=""),"✖ Los ajustes exigen observación",IF(AND(tblCapturaEntradas[[#This Row],[Tipo]]="SALDO INICIAL",COUNTIFS(tblEntradas[SKU],tblCapturaEntradas[[#This Row],[SKU]],tblEntradas[Tipo],"SALDO INICIAL",tblEntradas[Estado],"✔*")&gt;0),"✖ Ya tiene SALDO INICIAL: use un AJUSTE",IF(AND(ISNUMBER(tblCapturaEntradas[[#This Row],[Queda]]),tblCapturaEntradas[[#This Row],[Queda]]&lt;0),"✖ Stock insuficiente: disponible "&amp;tblCapturaEntradas[[#This Row],[Disponible]]&amp;" "&amp;tblCapturaEntradas[[#This Row],[Unidad]],"✔ Lista · quedarán "&amp;tblCapturaEntradas[[#This Row],[Queda]]&amp;" "&amp;tblCapturaEntradas[[#This Row],[Unidad]]&amp;" · pulse Registrar"))))))))))))))</f>
        <v/>
      </c>
      <c r="K23" s="55"/>
      <c r="L23" s="43" t="str">
        <f>IF(tblCapturaEntradas[[#This Row],[SKU]]="","",IFERROR(INDEX(tblProductos[Unidad],MATCH(tblCapturaEntradas[[#This Row],[SKU]],tblProductos[SKU],0)),"?"))</f>
        <v/>
      </c>
      <c r="M23" s="56" t="str">
        <f>IF(tblCapturaEntradas[[#This Row],[Tipo]]="","",IFERROR(INDEX(tblTiposMov[FactorStock],MATCH(tblCapturaEntradas[[#This Row],[Tipo]],tblTiposMov[Tipo],0))*(INDEX(tblTiposMov[Dominio],MATCH(tblCapturaEntradas[[#This Row],[Tipo]],tblTiposMov[Tipo],0))="BODEGA"),0))</f>
        <v/>
      </c>
      <c r="N23" s="50" t="str">
        <f>IFERROR(INDEX(tblUsuarios[Correo],MATCH(ROW()-ROW(tblCapturaEntradas[#Headers]),tblUsuarios[OrdenBodega],0)),"")</f>
        <v/>
      </c>
      <c r="O23" s="43" t="str">
        <f>IF(tblCapturaEntradas[[#This Row],[Producto]]="","",TRIM(LEFT(tblCapturaEntradas[[#This Row],[Producto]],FIND(" · ",tblCapturaEntradas[[#This Row],[Producto]]&amp;" · ")-1)))</f>
        <v/>
      </c>
      <c r="P23" s="57" t="str">
        <f>IF(OR(tblCapturaEntradas[[#This Row],[Disponible]]="",NOT(ISNUMBER(tblCapturaEntradas[[#This Row],[Cantidad]])),N(tblCapturaEntradas[[#This Row],[Factor]])=0),"",tblCapturaEntradas[[#This Row],[Disponible]]+tblCapturaEntradas[[#This Row],[Cantidad]]*tblCapturaEntradas[[#This Row],[Factor]])</f>
        <v/>
      </c>
    </row>
    <row r="24" spans="2:16" s="7" customFormat="1" ht="9" customHeight="1" x14ac:dyDescent="0.25"/>
    <row r="25" spans="2:16" s="7" customFormat="1" ht="16.5" customHeight="1" x14ac:dyDescent="0.25">
      <c r="B25" s="7" t="s">
        <v>188</v>
      </c>
    </row>
    <row r="26" spans="2:16" s="7" customFormat="1" ht="14.25" x14ac:dyDescent="0.25">
      <c r="B26" s="40" t="s">
        <v>189</v>
      </c>
    </row>
    <row r="27" spans="2:16" ht="24" customHeight="1" x14ac:dyDescent="0.25">
      <c r="B27" s="18" t="s">
        <v>190</v>
      </c>
      <c r="C27" s="18" t="s">
        <v>40</v>
      </c>
      <c r="D27" s="18" t="s">
        <v>180</v>
      </c>
      <c r="E27" s="18" t="s">
        <v>115</v>
      </c>
      <c r="F27" s="18" t="s">
        <v>181</v>
      </c>
      <c r="G27" s="18" t="s">
        <v>182</v>
      </c>
      <c r="H27" s="18" t="s">
        <v>183</v>
      </c>
      <c r="I27" s="18" t="s">
        <v>191</v>
      </c>
      <c r="J27" s="18" t="s">
        <v>56</v>
      </c>
      <c r="K27" s="18" t="s">
        <v>192</v>
      </c>
      <c r="L27" s="18" t="s">
        <v>117</v>
      </c>
      <c r="M27" s="18" t="s">
        <v>41</v>
      </c>
      <c r="N27" s="18" t="s">
        <v>193</v>
      </c>
      <c r="O27" s="18" t="s">
        <v>114</v>
      </c>
      <c r="P27" s="18" t="s">
        <v>194</v>
      </c>
    </row>
    <row r="28" spans="2:16" x14ac:dyDescent="0.25">
      <c r="B28" s="58"/>
      <c r="C28" s="50"/>
      <c r="D28" s="59"/>
      <c r="E28" s="50"/>
      <c r="F28" s="57"/>
      <c r="G28" s="43"/>
      <c r="H28" s="50"/>
      <c r="I28" s="60"/>
      <c r="J28" s="44"/>
      <c r="K28" s="50"/>
      <c r="L28" s="43"/>
      <c r="M28" s="56"/>
      <c r="N28" s="50"/>
      <c r="O28" s="43"/>
      <c r="P28" s="61"/>
    </row>
  </sheetData>
  <sheetProtection password="930D" sheet="1" objects="1" scenarios="1" formatColumns="0" autoFilter="0"/>
  <protectedRanges>
    <protectedRange sqref="C9:H23" name="Captura Bodega"/>
  </protectedRanges>
  <mergeCells count="3">
    <mergeCell ref="C6:D6"/>
    <mergeCell ref="J6:K6"/>
    <mergeCell ref="F6:I6"/>
  </mergeCells>
  <conditionalFormatting sqref="B9:B23">
    <cfRule type="expression" dxfId="159" priority="17">
      <formula>$N9=""</formula>
    </cfRule>
    <cfRule type="expression" dxfId="158" priority="14">
      <formula>$N9&lt;&gt;""</formula>
    </cfRule>
  </conditionalFormatting>
  <conditionalFormatting sqref="B9:P23">
    <cfRule type="expression" dxfId="157" priority="3">
      <formula>$N9=""</formula>
    </cfRule>
  </conditionalFormatting>
  <conditionalFormatting sqref="B28:P20028">
    <cfRule type="expression" dxfId="156" priority="34">
      <formula>AND($B28&lt;&gt;"",MOD(ROW(),2)=0)</formula>
    </cfRule>
  </conditionalFormatting>
  <conditionalFormatting sqref="C28:C20028">
    <cfRule type="expression" dxfId="155" priority="26">
      <formula>$M28=1</formula>
    </cfRule>
    <cfRule type="expression" dxfId="154" priority="27">
      <formula>$M28=-1</formula>
    </cfRule>
  </conditionalFormatting>
  <conditionalFormatting sqref="F9:F23">
    <cfRule type="expression" dxfId="153" priority="15">
      <formula>AND(ISNUMBER(F9),F9&lt;&gt;INT(F9))</formula>
    </cfRule>
    <cfRule type="expression" dxfId="152" priority="1" stopIfTrue="1">
      <formula>AND(ISNUMBER($P9),$P9&lt;0)</formula>
    </cfRule>
  </conditionalFormatting>
  <conditionalFormatting sqref="F28:F20028">
    <cfRule type="expression" dxfId="151" priority="32">
      <formula>AND(ISNUMBER(F28),F28&lt;&gt;INT(F28))</formula>
    </cfRule>
    <cfRule type="expression" dxfId="150" priority="18" stopIfTrue="1">
      <formula>LEFT($J28,1)="✖"</formula>
    </cfRule>
  </conditionalFormatting>
  <conditionalFormatting sqref="I9:I23">
    <cfRule type="expression" dxfId="149" priority="2" stopIfTrue="1">
      <formula>AND(ISNUMBER($P9),$P9&lt;0)</formula>
    </cfRule>
    <cfRule type="expression" dxfId="148" priority="16">
      <formula>AND(ISNUMBER(I9),I9&lt;&gt;INT(I9))</formula>
    </cfRule>
  </conditionalFormatting>
  <conditionalFormatting sqref="I28:I20028">
    <cfRule type="expression" dxfId="147" priority="28">
      <formula>$M28=1</formula>
    </cfRule>
    <cfRule type="expression" dxfId="146" priority="29">
      <formula>$M28=-1</formula>
    </cfRule>
    <cfRule type="expression" dxfId="145" priority="33">
      <formula>AND(ISNUMBER(I28),I28&lt;&gt;INT(I28))</formula>
    </cfRule>
  </conditionalFormatting>
  <conditionalFormatting sqref="I28:J20028">
    <cfRule type="expression" dxfId="144" priority="19" stopIfTrue="1">
      <formula>LEFT($J28,1)="✖"</formula>
    </cfRule>
  </conditionalFormatting>
  <conditionalFormatting sqref="J9:J23">
    <cfRule type="expression" dxfId="143" priority="4">
      <formula>LEFT($J9,1)="✖"</formula>
    </cfRule>
    <cfRule type="expression" dxfId="142" priority="5">
      <formula>LEFT($J9,1)="⚠"</formula>
    </cfRule>
    <cfRule type="expression" dxfId="141" priority="6">
      <formula>LEFT($J9,1)="✔"</formula>
    </cfRule>
    <cfRule type="expression" dxfId="140" priority="7">
      <formula>LEFT($J9,1)="●"</formula>
    </cfRule>
    <cfRule type="expression" dxfId="139" priority="8">
      <formula>LEFT($J9,1)="○"</formula>
    </cfRule>
  </conditionalFormatting>
  <conditionalFormatting sqref="J28:J20028">
    <cfRule type="expression" dxfId="138" priority="21">
      <formula>LEFT($J28,1)="✖"</formula>
    </cfRule>
    <cfRule type="expression" dxfId="137" priority="22">
      <formula>LEFT($J28,1)="⚠"</formula>
    </cfRule>
    <cfRule type="expression" dxfId="136" priority="23">
      <formula>LEFT($J28,1)="✔"</formula>
    </cfRule>
    <cfRule type="expression" dxfId="135" priority="24">
      <formula>LEFT($J28,1)="●"</formula>
    </cfRule>
    <cfRule type="expression" dxfId="134" priority="25">
      <formula>LEFT($J28,1)="○"</formula>
    </cfRule>
  </conditionalFormatting>
  <conditionalFormatting sqref="K9:K23">
    <cfRule type="expression" dxfId="133" priority="9">
      <formula>LEFT($K9,1)="✖"</formula>
    </cfRule>
    <cfRule type="expression" dxfId="132" priority="10">
      <formula>LEFT($K9,1)="⚠"</formula>
    </cfRule>
    <cfRule type="expression" dxfId="131" priority="11">
      <formula>LEFT($K9,1)="✔"</formula>
    </cfRule>
    <cfRule type="expression" dxfId="130" priority="12">
      <formula>LEFT($K9,1)="●"</formula>
    </cfRule>
    <cfRule type="expression" dxfId="129" priority="13">
      <formula>LEFT($K9,1)="○"</formula>
    </cfRule>
  </conditionalFormatting>
  <conditionalFormatting sqref="M28:M20028">
    <cfRule type="expression" dxfId="128" priority="30">
      <formula>$M28=1</formula>
    </cfRule>
    <cfRule type="expression" dxfId="127" priority="31">
      <formula>$M28=-1</formula>
    </cfRule>
  </conditionalFormatting>
  <dataValidations count="36">
    <dataValidation allowBlank="1" showInputMessage="1" showErrorMessage="1" promptTitle="ƒx Usuario" prompt="Persona dueña de esta fila (según 02_USUARIOS). Escriba solo en SU fila." sqref="B8" xr:uid="{00000000-0002-0000-0900-000000000000}"/>
    <dataValidation allowBlank="1" showInputMessage="1" showErrorMessage="1" promptTitle="✎ Tipo" prompt="ENTRADA, SALDO INICIAL, AJUSTE (+) o AJUSTE (-). Alt + ↓ abre la lista." sqref="C8" xr:uid="{00000000-0002-0000-0900-000001000000}"/>
    <dataValidation allowBlank="1" showInputMessage="1" showErrorMessage="1" promptTitle="✎ Fecha" prompt="Opcional. Vacía = hoy. Para registrar un movimiento de otro día: dd/mm/aaaa." sqref="D8" xr:uid="{00000000-0002-0000-0900-000002000000}"/>
    <dataValidation allowBlank="1" showInputMessage="1" showErrorMessage="1" promptTitle="✎ Producto" prompt="Elija de la lista. Escriba parte del nombre o del SKU para filtrarla." sqref="E8" xr:uid="{00000000-0002-0000-0900-000003000000}"/>
    <dataValidation allowBlank="1" showInputMessage="1" showErrorMessage="1" promptTitle="✎ Cantidad" prompt="Siempre positiva, en la unidad del producto. El signo lo pone el tipo." sqref="F8" xr:uid="{00000000-0002-0000-0900-000004000000}"/>
    <dataValidation allowBlank="1" showInputMessage="1" showErrorMessage="1" promptTitle="✎ Documento" prompt="Opcional: factura, remisión, orden o cliente. Máximo 30 caracteres." sqref="G8" xr:uid="{00000000-0002-0000-0900-000005000000}"/>
    <dataValidation allowBlank="1" showInputMessage="1" showErrorMessage="1" promptTitle="✎ Observaciones" prompt="Obligatoria en los AJUSTES (motivo). Máximo 250 caracteres." sqref="H8" xr:uid="{00000000-0002-0000-0900-000006000000}"/>
    <dataValidation allowBlank="1" showInputMessage="1" showErrorMessage="1" promptTitle="ƒx Disponible" prompt="Stock exacto en este instante: suma de las dos bitácoras oficiales." sqref="I8" xr:uid="{00000000-0002-0000-0900-000007000000}"/>
    <dataValidation allowBlank="1" showInputMessage="1" showErrorMessage="1" promptTitle="ƒx Validación" prompt="✔ lista para registrar · ○ falta un dato · ✖ error que impide registrar." sqref="J8" xr:uid="{00000000-0002-0000-0900-000008000000}"/>
    <dataValidation allowBlank="1" showInputMessage="1" showErrorMessage="1" promptTitle="ƒx Resultado" prompt="Lo escribe el script al pulsar el botón: ✔ registrado (con ID) o ✖ bloqueado." sqref="K8" xr:uid="{00000000-0002-0000-0900-000009000000}"/>
    <dataValidation allowBlank="1" showInputMessage="1" showErrorMessage="1" promptTitle="ƒx Unidad" prompt="Unidad de medida del producto." sqref="L8" xr:uid="{00000000-0002-0000-0900-00000A000000}"/>
    <dataValidation allowBlank="1" showInputMessage="1" showErrorMessage="1" promptTitle="ƒx Factor" prompt="+1 suma al inventario, −1 resta." sqref="M8" xr:uid="{00000000-0002-0000-0900-00000B000000}"/>
    <dataValidation allowBlank="1" showInputMessage="1" showErrorMessage="1" promptTitle="ƒx Correo" prompt="Técnica (oculta): correo de Microsoft 365 del dueño de la fila." sqref="N8" xr:uid="{00000000-0002-0000-0900-00000C000000}"/>
    <dataValidation allowBlank="1" showInputMessage="1" showErrorMessage="1" promptTitle="ƒx SKU" prompt="Técnica (oculta): código extraído del producto." sqref="O8" xr:uid="{00000000-0002-0000-0900-00000D000000}"/>
    <dataValidation allowBlank="1" showInputMessage="1" showErrorMessage="1" promptTitle="ƒx Queda" prompt="Técnica (oculta): stock resultante si se registra." sqref="P8" xr:uid="{00000000-0002-0000-0900-00000E000000}"/>
    <dataValidation type="list" allowBlank="1" showInputMessage="1" showErrorMessage="1" errorTitle="Tipo no válido" error="Elija un tipo de la lista. Las salidas se registran en 10B_SALIDAS." promptTitle="Tipo de movimiento" prompt="ENTRADA, SALDO INICIAL, AJUSTE (+) o AJUSTE (-). Alt + ↓ abre la lista." sqref="C9:C23" xr:uid="{00000000-0002-0000-0900-00000F000000}">
      <formula1>lstTiposBodega</formula1>
    </dataValidation>
    <dataValidation type="date" allowBlank="1" showInputMessage="1" showErrorMessage="1" errorTitle="Fecha no válida" error="Use dd/mm/aaaa, sin fechas futuras ni anteriores a la mínima." promptTitle="Fecha (opcional)" prompt="Vacía = hoy. Otro día: dd/mm/aaaa. No se admiten fechas futuras." sqref="D9:D23" xr:uid="{00000000-0002-0000-0900-000010000000}">
      <formula1>cfgFechaMin</formula1>
      <formula2>TODAY()</formula2>
    </dataValidation>
    <dataValidation type="list" allowBlank="1" showInputMessage="1" showErrorMessage="1" errorTitle="Producto no válido" error="Elija un producto de la lista del catálogo." promptTitle="Producto" prompt="Elija de la lista. Escriba parte del nombre o del SKU para filtrarla. Nunca lo escriba completo a mano." sqref="E9:E23" xr:uid="{00000000-0002-0000-0900-000011000000}">
      <formula1>lstProductos</formula1>
    </dataValidation>
    <dataValidation type="custom" allowBlank="1" showInputMessage="1" showErrorMessage="1" errorTitle="Cantidad no válida" error="Debe ser mayor que 0. Si la unidad no admite decimales, use un entero." promptTitle="Cantidad" prompt="Mayor que 0, en la unidad del producto. UND, CAJA, PAQ, PAR y ROLLO: solo enteros." sqref="F9:F23" xr:uid="{00000000-0002-0000-0900-000012000000}">
      <formula1>AND(ISNUMBER(F9),F9&gt;0,IFERROR(OR(INDEX(lstUniDec,MATCH($L9,lstUniCod,0))="SI",F9=INT(F9)),TRUE))</formula1>
    </dataValidation>
    <dataValidation type="textLength" operator="lessThanOrEqual" allowBlank="1" showInputMessage="1" showErrorMessage="1" errorTitle="Texto muy largo" error="Máximo 30 caracteres." promptTitle="Documento (opcional)" prompt="Factura, remisión, orden o cliente." sqref="G9:G23" xr:uid="{00000000-0002-0000-0900-000013000000}">
      <formula1>30</formula1>
    </dataValidation>
    <dataValidation type="textLength" operator="lessThanOrEqual" allowBlank="1" showInputMessage="1" showErrorMessage="1" errorTitle="Texto muy largo" error="Máximo 250 caracteres." promptTitle="Observaciones" prompt="Obligatoria en los AJUSTES: explique el motivo." sqref="H9:H23" xr:uid="{00000000-0002-0000-0900-000014000000}">
      <formula1>250</formula1>
    </dataValidation>
    <dataValidation allowBlank="1" showInputMessage="1" showErrorMessage="1" promptTitle="ƒx ID" prompt="Identificador único generado por el script (fragmento-fecha-hora-aleatorio): no requiere coordinación." sqref="B27" xr:uid="{00000000-0002-0000-0900-000015000000}"/>
    <dataValidation allowBlank="1" showInputMessage="1" showErrorMessage="1" promptTitle="ƒx Tipo" prompt="Tipo de movimiento." sqref="C27" xr:uid="{00000000-0002-0000-0900-000016000000}"/>
    <dataValidation allowBlank="1" showInputMessage="1" showErrorMessage="1" promptTitle="ƒx Fecha" prompt="Fecha del movimiento (negocio)." sqref="D27" xr:uid="{00000000-0002-0000-0900-000017000000}"/>
    <dataValidation allowBlank="1" showInputMessage="1" showErrorMessage="1" promptTitle="ƒx Producto" prompt="Etiqueta SKU · Nombre al momento del registro." sqref="E27" xr:uid="{00000000-0002-0000-0900-000018000000}"/>
    <dataValidation allowBlank="1" showInputMessage="1" showErrorMessage="1" promptTitle="ƒx Cantidad" prompt="Cantidad positiva." sqref="F27" xr:uid="{00000000-0002-0000-0900-000019000000}"/>
    <dataValidation allowBlank="1" showInputMessage="1" showErrorMessage="1" promptTitle="ƒx Documento" prompt="Soporte del movimiento." sqref="G27" xr:uid="{00000000-0002-0000-0900-00001A000000}"/>
    <dataValidation allowBlank="1" showInputMessage="1" showErrorMessage="1" promptTitle="ƒx Observaciones" prompt="Detalle o motivo." sqref="H27" xr:uid="{00000000-0002-0000-0900-00001B000000}"/>
    <dataValidation allowBlank="1" showInputMessage="1" showErrorMessage="1" promptTitle="ƒx CantidadNeta" prompt="Cantidad × FactorStock: lo único que suma el stock." sqref="I27" xr:uid="{00000000-0002-0000-0900-00001C000000}"/>
    <dataValidation allowBlank="1" showInputMessage="1" showErrorMessage="1" promptTitle="ƒx Estado" prompt="✔ Consolidado o ✖ Rechazado (con motivo). Los rechazados no suman." sqref="J27" xr:uid="{00000000-0002-0000-0900-00001D000000}"/>
    <dataValidation allowBlank="1" showInputMessage="1" showErrorMessage="1" promptTitle="ƒx Registró" prompt="Nombre de quien ejecutó el script." sqref="K27" xr:uid="{00000000-0002-0000-0900-00001E000000}"/>
    <dataValidation allowBlank="1" showInputMessage="1" showErrorMessage="1" promptTitle="ƒx Unidad" prompt="Unidad de medida." sqref="L27" xr:uid="{00000000-0002-0000-0900-00001F000000}"/>
    <dataValidation allowBlank="1" showInputMessage="1" showErrorMessage="1" promptTitle="ƒx FactorStock" prompt="+1 o −1 según el tipo." sqref="M27" xr:uid="{00000000-0002-0000-0900-000020000000}"/>
    <dataValidation allowBlank="1" showInputMessage="1" showErrorMessage="1" promptTitle="ƒx Usuario_O365" prompt="Auditoría (oculta): correo de Microsoft 365 que ejecutó el script." sqref="N27" xr:uid="{00000000-0002-0000-0900-000021000000}"/>
    <dataValidation allowBlank="1" showInputMessage="1" showErrorMessage="1" promptTitle="ƒx SKU" prompt="Técnica (oculta): clave del producto." sqref="O27" xr:uid="{00000000-0002-0000-0900-000022000000}"/>
    <dataValidation allowBlank="1" showInputMessage="1" showErrorMessage="1" promptTitle="ƒx Timestamp" prompt="Auditoría (oculta): fecha y hora exactas del registro." sqref="P27" xr:uid="{00000000-0002-0000-0900-000023000000}"/>
  </dataValidations>
  <hyperlinks>
    <hyperlink ref="B5" location="'00_PORTADA_BODEGA'!A1" tooltip="Portada de Bodega" display="⌂ Bodega" xr:uid="{00000000-0004-0000-0900-000000000000}"/>
    <hyperlink ref="C5" location="'00_PORTADA_VENTAS'!A1" tooltip="Portada de Ventas" display="⌂ Ventas" xr:uid="{00000000-0004-0000-0900-000001000000}"/>
    <hyperlink ref="D5" location="'00_PORTADA_GERENCIA'!A1" tooltip="Portada de Gerencia: indicadores, pedido y actividad" display="◈ Gerencia" xr:uid="{00000000-0004-0000-0900-000002000000}"/>
    <hyperlink ref="E5" location="'10A_ENTRADAS'!C9" tooltip="Registrar entradas y ajustes (Bodega)" display="⇩ Entradas" xr:uid="{00000000-0004-0000-0900-000003000000}"/>
    <hyperlink ref="F5" location="'10B_SALIDAS'!E9" tooltip="Registrar salidas (Ventas)" display="⇧ Salidas" xr:uid="{00000000-0004-0000-0900-000004000000}"/>
    <hyperlink ref="G5" location="'17_CONSULTA'!C9" tooltip="Consultar un producto en su fila" display="⌕ Consulta" xr:uid="{00000000-0004-0000-0900-000005000000}"/>
    <hyperlink ref="H5" location="'15_STOCK'!A1" tooltip="Stock (instantánea recalculada a demanda)" display="▦ Stock" xr:uid="{00000000-0004-0000-0900-000006000000}"/>
    <hyperlink ref="I5" location="'18_PEDIDO'!A1" tooltip="Pedido sugerido por proveedor" display="✚ Pedido" xr:uid="{00000000-0004-0000-0900-000007000000}"/>
    <hyperlink ref="J5" location="'13_CONTEO'!I9" tooltip="Toma física (conteo) colaborativa" display="✓ Conteo" xr:uid="{00000000-0004-0000-0900-000008000000}"/>
    <hyperlink ref="K5" location="'99_AYUDA'!A1" tooltip="Guía de uso, acceso e instalación" display="? Guía" xr:uid="{00000000-0004-0000-0900-000009000000}"/>
  </hyperlinks>
  <pageMargins left="0.7" right="0.7" top="0.75" bottom="0.75" header="0.3" footer="0.3"/>
  <pageSetup fitToHeight="0" orientation="landscape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D47A1"/>
    <pageSetUpPr fitToPage="1"/>
  </sheetPr>
  <dimension ref="B1:P28"/>
  <sheetViews>
    <sheetView showGridLines="0" showRowColHeaders="0" zoomScale="85" zoomScaleNormal="85" workbookViewId="0">
      <pane ySplit="6" topLeftCell="A7" activePane="bottomLeft" state="frozen"/>
      <selection pane="bottomLeft" activeCell="D9" sqref="D9"/>
    </sheetView>
  </sheetViews>
  <sheetFormatPr baseColWidth="10" defaultColWidth="0" defaultRowHeight="15" zeroHeight="1" x14ac:dyDescent="0.25"/>
  <cols>
    <col min="1" max="1" width="2.28515625" customWidth="1"/>
    <col min="2" max="2" width="24" customWidth="1"/>
    <col min="3" max="3" width="16" customWidth="1"/>
    <col min="4" max="4" width="13.140625" customWidth="1"/>
    <col min="5" max="5" width="38.5703125" customWidth="1"/>
    <col min="6" max="6" width="13.7109375" customWidth="1"/>
    <col min="7" max="7" width="16.85546875" customWidth="1"/>
    <col min="8" max="8" width="25.7109375" customWidth="1"/>
    <col min="9" max="9" width="17.140625" customWidth="1"/>
    <col min="10" max="11" width="34.28515625" customWidth="1"/>
    <col min="12" max="12" width="10.5703125" customWidth="1"/>
    <col min="13" max="13" width="15.140625" customWidth="1"/>
    <col min="14" max="14" width="32.85546875" hidden="1" customWidth="1"/>
    <col min="15" max="15" width="12.85546875" hidden="1" customWidth="1"/>
    <col min="16" max="16" width="20" hidden="1" customWidth="1"/>
    <col min="17" max="17" width="2.28515625" customWidth="1"/>
    <col min="18" max="18" width="0" hidden="1" customWidth="1"/>
  </cols>
  <sheetData>
    <row r="1" spans="2:16" s="1" customFormat="1" ht="4.5" customHeight="1" x14ac:dyDescent="0.25"/>
    <row r="2" spans="2:16" s="1" customFormat="1" ht="22.5" customHeight="1" x14ac:dyDescent="0.25">
      <c r="B2" s="2" t="s">
        <v>197</v>
      </c>
    </row>
    <row r="3" spans="2:16" s="1" customFormat="1" ht="14.25" x14ac:dyDescent="0.25">
      <c r="B3" s="16" t="s">
        <v>198</v>
      </c>
    </row>
    <row r="4" spans="2:16" s="1" customFormat="1" ht="4.5" customHeight="1" x14ac:dyDescent="0.25"/>
    <row r="5" spans="2:16" s="4" customFormat="1" ht="21" customHeight="1" x14ac:dyDescent="0.25">
      <c r="B5" s="6" t="s">
        <v>82</v>
      </c>
      <c r="C5" s="6" t="s">
        <v>83</v>
      </c>
      <c r="D5" s="6" t="s">
        <v>84</v>
      </c>
      <c r="E5" s="6" t="s">
        <v>85</v>
      </c>
      <c r="F5" s="5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6" t="s">
        <v>91</v>
      </c>
    </row>
    <row r="6" spans="2:16" s="7" customFormat="1" ht="22.5" customHeight="1" x14ac:dyDescent="0.25">
      <c r="B6" s="39" t="str">
        <f>"Registros: "&amp;FIXED(kpiRegSal,0)</f>
        <v>Registros: 0</v>
      </c>
      <c r="C6" s="129" t="str">
        <f>IF(kpiRechSal=0,"✔ Sin rechazos","✖ Rechazados: "&amp;kpiRechSal)</f>
        <v>✔ Sin rechazos</v>
      </c>
      <c r="D6" s="129"/>
      <c r="E6" s="39" t="str">
        <f ca="1">"Pendientes en captura: "&amp;kpiPendSal</f>
        <v>Pendientes en captura: 0</v>
      </c>
      <c r="F6" s="130" t="s">
        <v>196</v>
      </c>
      <c r="G6" s="130"/>
      <c r="H6" s="130"/>
      <c r="I6" s="130"/>
      <c r="J6" s="95" t="s">
        <v>199</v>
      </c>
      <c r="K6" s="95"/>
    </row>
    <row r="7" spans="2:16" s="7" customFormat="1" ht="16.5" customHeight="1" x14ac:dyDescent="0.25">
      <c r="B7" s="7" t="s">
        <v>178</v>
      </c>
    </row>
    <row r="8" spans="2:16" ht="25.5" customHeight="1" x14ac:dyDescent="0.25">
      <c r="B8" s="18" t="s">
        <v>179</v>
      </c>
      <c r="C8" s="18" t="s">
        <v>40</v>
      </c>
      <c r="D8" s="19" t="s">
        <v>180</v>
      </c>
      <c r="E8" s="19" t="s">
        <v>115</v>
      </c>
      <c r="F8" s="19" t="s">
        <v>181</v>
      </c>
      <c r="G8" s="19" t="s">
        <v>182</v>
      </c>
      <c r="H8" s="19" t="s">
        <v>183</v>
      </c>
      <c r="I8" s="18" t="s">
        <v>184</v>
      </c>
      <c r="J8" s="18" t="s">
        <v>99</v>
      </c>
      <c r="K8" s="18" t="s">
        <v>185</v>
      </c>
      <c r="L8" s="18" t="s">
        <v>117</v>
      </c>
      <c r="M8" s="18" t="s">
        <v>186</v>
      </c>
      <c r="N8" s="18" t="s">
        <v>92</v>
      </c>
      <c r="O8" s="18" t="s">
        <v>114</v>
      </c>
      <c r="P8" s="18" t="s">
        <v>187</v>
      </c>
    </row>
    <row r="9" spans="2:16" ht="18" customHeight="1" x14ac:dyDescent="0.25">
      <c r="B9" s="50" t="str">
        <f>IFERROR(INDEX(tblUsuarios[Nombre],MATCH(ROW()-ROW(tblCapturaSalidas[#Headers]),tblUsuarios[OrdenVentas],0)),"")</f>
        <v/>
      </c>
      <c r="C9" s="50" t="str">
        <f>IF(tblCapturaSalidas[[#This Row],[Correo]]="","","SALIDA")</f>
        <v/>
      </c>
      <c r="D9" s="52"/>
      <c r="E9" s="51"/>
      <c r="F9" s="53"/>
      <c r="G9" s="51"/>
      <c r="H9" s="51"/>
      <c r="I9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9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9" s="55"/>
      <c r="L9" s="43" t="str">
        <f>IF(tblCapturaSalidas[[#This Row],[SKU]]="","",IFERROR(INDEX(tblProductos[Unidad],MATCH(tblCapturaSalidas[[#This Row],[SKU]],tblProductos[SKU],0)),"?"))</f>
        <v/>
      </c>
      <c r="M9" s="56" t="str">
        <f>IF(tblCapturaSalidas[[#This Row],[Correo]]="","",-1)</f>
        <v/>
      </c>
      <c r="N9" s="50" t="str">
        <f>IFERROR(INDEX(tblUsuarios[Correo],MATCH(ROW()-ROW(tblCapturaSalidas[#Headers]),tblUsuarios[OrdenVentas],0)),"")</f>
        <v/>
      </c>
      <c r="O9" s="43" t="str">
        <f>IF(tblCapturaSalidas[[#This Row],[Producto]]="","",TRIM(LEFT(tblCapturaSalidas[[#This Row],[Producto]],FIND(" · ",tblCapturaSalidas[[#This Row],[Producto]]&amp;" · ")-1)))</f>
        <v/>
      </c>
      <c r="P9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0" spans="2:16" ht="18" customHeight="1" x14ac:dyDescent="0.25">
      <c r="B10" s="50" t="str">
        <f>IFERROR(INDEX(tblUsuarios[Nombre],MATCH(ROW()-ROW(tblCapturaSalidas[#Headers]),tblUsuarios[OrdenVentas],0)),"")</f>
        <v/>
      </c>
      <c r="C10" s="50" t="str">
        <f>IF(tblCapturaSalidas[[#This Row],[Correo]]="","","SALIDA")</f>
        <v/>
      </c>
      <c r="D10" s="52"/>
      <c r="E10" s="51"/>
      <c r="F10" s="53"/>
      <c r="G10" s="51"/>
      <c r="H10" s="51"/>
      <c r="I10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0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0" s="55"/>
      <c r="L10" s="43" t="str">
        <f>IF(tblCapturaSalidas[[#This Row],[SKU]]="","",IFERROR(INDEX(tblProductos[Unidad],MATCH(tblCapturaSalidas[[#This Row],[SKU]],tblProductos[SKU],0)),"?"))</f>
        <v/>
      </c>
      <c r="M10" s="56" t="str">
        <f>IF(tblCapturaSalidas[[#This Row],[Correo]]="","",-1)</f>
        <v/>
      </c>
      <c r="N10" s="50" t="str">
        <f>IFERROR(INDEX(tblUsuarios[Correo],MATCH(ROW()-ROW(tblCapturaSalidas[#Headers]),tblUsuarios[OrdenVentas],0)),"")</f>
        <v/>
      </c>
      <c r="O10" s="43" t="str">
        <f>IF(tblCapturaSalidas[[#This Row],[Producto]]="","",TRIM(LEFT(tblCapturaSalidas[[#This Row],[Producto]],FIND(" · ",tblCapturaSalidas[[#This Row],[Producto]]&amp;" · ")-1)))</f>
        <v/>
      </c>
      <c r="P10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1" spans="2:16" ht="18" customHeight="1" x14ac:dyDescent="0.25">
      <c r="B11" s="50" t="str">
        <f>IFERROR(INDEX(tblUsuarios[Nombre],MATCH(ROW()-ROW(tblCapturaSalidas[#Headers]),tblUsuarios[OrdenVentas],0)),"")</f>
        <v/>
      </c>
      <c r="C11" s="50" t="str">
        <f>IF(tblCapturaSalidas[[#This Row],[Correo]]="","","SALIDA")</f>
        <v/>
      </c>
      <c r="D11" s="52"/>
      <c r="E11" s="51"/>
      <c r="F11" s="53"/>
      <c r="G11" s="51"/>
      <c r="H11" s="51"/>
      <c r="I11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1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1" s="55"/>
      <c r="L11" s="43" t="str">
        <f>IF(tblCapturaSalidas[[#This Row],[SKU]]="","",IFERROR(INDEX(tblProductos[Unidad],MATCH(tblCapturaSalidas[[#This Row],[SKU]],tblProductos[SKU],0)),"?"))</f>
        <v/>
      </c>
      <c r="M11" s="56" t="str">
        <f>IF(tblCapturaSalidas[[#This Row],[Correo]]="","",-1)</f>
        <v/>
      </c>
      <c r="N11" s="50" t="str">
        <f>IFERROR(INDEX(tblUsuarios[Correo],MATCH(ROW()-ROW(tblCapturaSalidas[#Headers]),tblUsuarios[OrdenVentas],0)),"")</f>
        <v/>
      </c>
      <c r="O11" s="43" t="str">
        <f>IF(tblCapturaSalidas[[#This Row],[Producto]]="","",TRIM(LEFT(tblCapturaSalidas[[#This Row],[Producto]],FIND(" · ",tblCapturaSalidas[[#This Row],[Producto]]&amp;" · ")-1)))</f>
        <v/>
      </c>
      <c r="P11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2" spans="2:16" ht="18" customHeight="1" x14ac:dyDescent="0.25">
      <c r="B12" s="50" t="str">
        <f>IFERROR(INDEX(tblUsuarios[Nombre],MATCH(ROW()-ROW(tblCapturaSalidas[#Headers]),tblUsuarios[OrdenVentas],0)),"")</f>
        <v/>
      </c>
      <c r="C12" s="50" t="str">
        <f>IF(tblCapturaSalidas[[#This Row],[Correo]]="","","SALIDA")</f>
        <v/>
      </c>
      <c r="D12" s="52"/>
      <c r="E12" s="51"/>
      <c r="F12" s="53"/>
      <c r="G12" s="51"/>
      <c r="H12" s="51"/>
      <c r="I12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2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2" s="55"/>
      <c r="L12" s="43" t="str">
        <f>IF(tblCapturaSalidas[[#This Row],[SKU]]="","",IFERROR(INDEX(tblProductos[Unidad],MATCH(tblCapturaSalidas[[#This Row],[SKU]],tblProductos[SKU],0)),"?"))</f>
        <v/>
      </c>
      <c r="M12" s="56" t="str">
        <f>IF(tblCapturaSalidas[[#This Row],[Correo]]="","",-1)</f>
        <v/>
      </c>
      <c r="N12" s="50" t="str">
        <f>IFERROR(INDEX(tblUsuarios[Correo],MATCH(ROW()-ROW(tblCapturaSalidas[#Headers]),tblUsuarios[OrdenVentas],0)),"")</f>
        <v/>
      </c>
      <c r="O12" s="43" t="str">
        <f>IF(tblCapturaSalidas[[#This Row],[Producto]]="","",TRIM(LEFT(tblCapturaSalidas[[#This Row],[Producto]],FIND(" · ",tblCapturaSalidas[[#This Row],[Producto]]&amp;" · ")-1)))</f>
        <v/>
      </c>
      <c r="P12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3" spans="2:16" ht="18" customHeight="1" x14ac:dyDescent="0.25">
      <c r="B13" s="50" t="str">
        <f>IFERROR(INDEX(tblUsuarios[Nombre],MATCH(ROW()-ROW(tblCapturaSalidas[#Headers]),tblUsuarios[OrdenVentas],0)),"")</f>
        <v/>
      </c>
      <c r="C13" s="50" t="str">
        <f>IF(tblCapturaSalidas[[#This Row],[Correo]]="","","SALIDA")</f>
        <v/>
      </c>
      <c r="D13" s="52"/>
      <c r="E13" s="51"/>
      <c r="F13" s="53"/>
      <c r="G13" s="51"/>
      <c r="H13" s="51"/>
      <c r="I13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3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3" s="55"/>
      <c r="L13" s="43" t="str">
        <f>IF(tblCapturaSalidas[[#This Row],[SKU]]="","",IFERROR(INDEX(tblProductos[Unidad],MATCH(tblCapturaSalidas[[#This Row],[SKU]],tblProductos[SKU],0)),"?"))</f>
        <v/>
      </c>
      <c r="M13" s="56" t="str">
        <f>IF(tblCapturaSalidas[[#This Row],[Correo]]="","",-1)</f>
        <v/>
      </c>
      <c r="N13" s="50" t="str">
        <f>IFERROR(INDEX(tblUsuarios[Correo],MATCH(ROW()-ROW(tblCapturaSalidas[#Headers]),tblUsuarios[OrdenVentas],0)),"")</f>
        <v/>
      </c>
      <c r="O13" s="43" t="str">
        <f>IF(tblCapturaSalidas[[#This Row],[Producto]]="","",TRIM(LEFT(tblCapturaSalidas[[#This Row],[Producto]],FIND(" · ",tblCapturaSalidas[[#This Row],[Producto]]&amp;" · ")-1)))</f>
        <v/>
      </c>
      <c r="P13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4" spans="2:16" ht="18" customHeight="1" x14ac:dyDescent="0.25">
      <c r="B14" s="50" t="str">
        <f>IFERROR(INDEX(tblUsuarios[Nombre],MATCH(ROW()-ROW(tblCapturaSalidas[#Headers]),tblUsuarios[OrdenVentas],0)),"")</f>
        <v/>
      </c>
      <c r="C14" s="50" t="str">
        <f>IF(tblCapturaSalidas[[#This Row],[Correo]]="","","SALIDA")</f>
        <v/>
      </c>
      <c r="D14" s="52"/>
      <c r="E14" s="51"/>
      <c r="F14" s="53"/>
      <c r="G14" s="51"/>
      <c r="H14" s="51"/>
      <c r="I14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4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4" s="55"/>
      <c r="L14" s="43" t="str">
        <f>IF(tblCapturaSalidas[[#This Row],[SKU]]="","",IFERROR(INDEX(tblProductos[Unidad],MATCH(tblCapturaSalidas[[#This Row],[SKU]],tblProductos[SKU],0)),"?"))</f>
        <v/>
      </c>
      <c r="M14" s="56" t="str">
        <f>IF(tblCapturaSalidas[[#This Row],[Correo]]="","",-1)</f>
        <v/>
      </c>
      <c r="N14" s="50" t="str">
        <f>IFERROR(INDEX(tblUsuarios[Correo],MATCH(ROW()-ROW(tblCapturaSalidas[#Headers]),tblUsuarios[OrdenVentas],0)),"")</f>
        <v/>
      </c>
      <c r="O14" s="43" t="str">
        <f>IF(tblCapturaSalidas[[#This Row],[Producto]]="","",TRIM(LEFT(tblCapturaSalidas[[#This Row],[Producto]],FIND(" · ",tblCapturaSalidas[[#This Row],[Producto]]&amp;" · ")-1)))</f>
        <v/>
      </c>
      <c r="P14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5" spans="2:16" ht="18" customHeight="1" x14ac:dyDescent="0.25">
      <c r="B15" s="50" t="str">
        <f>IFERROR(INDEX(tblUsuarios[Nombre],MATCH(ROW()-ROW(tblCapturaSalidas[#Headers]),tblUsuarios[OrdenVentas],0)),"")</f>
        <v/>
      </c>
      <c r="C15" s="50" t="str">
        <f>IF(tblCapturaSalidas[[#This Row],[Correo]]="","","SALIDA")</f>
        <v/>
      </c>
      <c r="D15" s="52"/>
      <c r="E15" s="51"/>
      <c r="F15" s="53"/>
      <c r="G15" s="51"/>
      <c r="H15" s="51"/>
      <c r="I15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5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5" s="55"/>
      <c r="L15" s="43" t="str">
        <f>IF(tblCapturaSalidas[[#This Row],[SKU]]="","",IFERROR(INDEX(tblProductos[Unidad],MATCH(tblCapturaSalidas[[#This Row],[SKU]],tblProductos[SKU],0)),"?"))</f>
        <v/>
      </c>
      <c r="M15" s="56" t="str">
        <f>IF(tblCapturaSalidas[[#This Row],[Correo]]="","",-1)</f>
        <v/>
      </c>
      <c r="N15" s="50" t="str">
        <f>IFERROR(INDEX(tblUsuarios[Correo],MATCH(ROW()-ROW(tblCapturaSalidas[#Headers]),tblUsuarios[OrdenVentas],0)),"")</f>
        <v/>
      </c>
      <c r="O15" s="43" t="str">
        <f>IF(tblCapturaSalidas[[#This Row],[Producto]]="","",TRIM(LEFT(tblCapturaSalidas[[#This Row],[Producto]],FIND(" · ",tblCapturaSalidas[[#This Row],[Producto]]&amp;" · ")-1)))</f>
        <v/>
      </c>
      <c r="P15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6" spans="2:16" ht="18" customHeight="1" x14ac:dyDescent="0.25">
      <c r="B16" s="50" t="str">
        <f>IFERROR(INDEX(tblUsuarios[Nombre],MATCH(ROW()-ROW(tblCapturaSalidas[#Headers]),tblUsuarios[OrdenVentas],0)),"")</f>
        <v/>
      </c>
      <c r="C16" s="50" t="str">
        <f>IF(tblCapturaSalidas[[#This Row],[Correo]]="","","SALIDA")</f>
        <v/>
      </c>
      <c r="D16" s="52"/>
      <c r="E16" s="51"/>
      <c r="F16" s="53"/>
      <c r="G16" s="51"/>
      <c r="H16" s="51"/>
      <c r="I16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6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6" s="55"/>
      <c r="L16" s="43" t="str">
        <f>IF(tblCapturaSalidas[[#This Row],[SKU]]="","",IFERROR(INDEX(tblProductos[Unidad],MATCH(tblCapturaSalidas[[#This Row],[SKU]],tblProductos[SKU],0)),"?"))</f>
        <v/>
      </c>
      <c r="M16" s="56" t="str">
        <f>IF(tblCapturaSalidas[[#This Row],[Correo]]="","",-1)</f>
        <v/>
      </c>
      <c r="N16" s="50" t="str">
        <f>IFERROR(INDEX(tblUsuarios[Correo],MATCH(ROW()-ROW(tblCapturaSalidas[#Headers]),tblUsuarios[OrdenVentas],0)),"")</f>
        <v/>
      </c>
      <c r="O16" s="43" t="str">
        <f>IF(tblCapturaSalidas[[#This Row],[Producto]]="","",TRIM(LEFT(tblCapturaSalidas[[#This Row],[Producto]],FIND(" · ",tblCapturaSalidas[[#This Row],[Producto]]&amp;" · ")-1)))</f>
        <v/>
      </c>
      <c r="P16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7" spans="2:16" ht="18" customHeight="1" x14ac:dyDescent="0.25">
      <c r="B17" s="50" t="str">
        <f>IFERROR(INDEX(tblUsuarios[Nombre],MATCH(ROW()-ROW(tblCapturaSalidas[#Headers]),tblUsuarios[OrdenVentas],0)),"")</f>
        <v/>
      </c>
      <c r="C17" s="50" t="str">
        <f>IF(tblCapturaSalidas[[#This Row],[Correo]]="","","SALIDA")</f>
        <v/>
      </c>
      <c r="D17" s="52"/>
      <c r="E17" s="51"/>
      <c r="F17" s="53"/>
      <c r="G17" s="51"/>
      <c r="H17" s="51"/>
      <c r="I17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7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7" s="55"/>
      <c r="L17" s="43" t="str">
        <f>IF(tblCapturaSalidas[[#This Row],[SKU]]="","",IFERROR(INDEX(tblProductos[Unidad],MATCH(tblCapturaSalidas[[#This Row],[SKU]],tblProductos[SKU],0)),"?"))</f>
        <v/>
      </c>
      <c r="M17" s="56" t="str">
        <f>IF(tblCapturaSalidas[[#This Row],[Correo]]="","",-1)</f>
        <v/>
      </c>
      <c r="N17" s="50" t="str">
        <f>IFERROR(INDEX(tblUsuarios[Correo],MATCH(ROW()-ROW(tblCapturaSalidas[#Headers]),tblUsuarios[OrdenVentas],0)),"")</f>
        <v/>
      </c>
      <c r="O17" s="43" t="str">
        <f>IF(tblCapturaSalidas[[#This Row],[Producto]]="","",TRIM(LEFT(tblCapturaSalidas[[#This Row],[Producto]],FIND(" · ",tblCapturaSalidas[[#This Row],[Producto]]&amp;" · ")-1)))</f>
        <v/>
      </c>
      <c r="P17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8" spans="2:16" ht="18" customHeight="1" x14ac:dyDescent="0.25">
      <c r="B18" s="50" t="str">
        <f>IFERROR(INDEX(tblUsuarios[Nombre],MATCH(ROW()-ROW(tblCapturaSalidas[#Headers]),tblUsuarios[OrdenVentas],0)),"")</f>
        <v/>
      </c>
      <c r="C18" s="50" t="str">
        <f>IF(tblCapturaSalidas[[#This Row],[Correo]]="","","SALIDA")</f>
        <v/>
      </c>
      <c r="D18" s="52"/>
      <c r="E18" s="51"/>
      <c r="F18" s="53"/>
      <c r="G18" s="51"/>
      <c r="H18" s="51"/>
      <c r="I18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8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8" s="55"/>
      <c r="L18" s="43" t="str">
        <f>IF(tblCapturaSalidas[[#This Row],[SKU]]="","",IFERROR(INDEX(tblProductos[Unidad],MATCH(tblCapturaSalidas[[#This Row],[SKU]],tblProductos[SKU],0)),"?"))</f>
        <v/>
      </c>
      <c r="M18" s="56" t="str">
        <f>IF(tblCapturaSalidas[[#This Row],[Correo]]="","",-1)</f>
        <v/>
      </c>
      <c r="N18" s="50" t="str">
        <f>IFERROR(INDEX(tblUsuarios[Correo],MATCH(ROW()-ROW(tblCapturaSalidas[#Headers]),tblUsuarios[OrdenVentas],0)),"")</f>
        <v/>
      </c>
      <c r="O18" s="43" t="str">
        <f>IF(tblCapturaSalidas[[#This Row],[Producto]]="","",TRIM(LEFT(tblCapturaSalidas[[#This Row],[Producto]],FIND(" · ",tblCapturaSalidas[[#This Row],[Producto]]&amp;" · ")-1)))</f>
        <v/>
      </c>
      <c r="P18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19" spans="2:16" ht="18" customHeight="1" x14ac:dyDescent="0.25">
      <c r="B19" s="50" t="str">
        <f>IFERROR(INDEX(tblUsuarios[Nombre],MATCH(ROW()-ROW(tblCapturaSalidas[#Headers]),tblUsuarios[OrdenVentas],0)),"")</f>
        <v/>
      </c>
      <c r="C19" s="50" t="str">
        <f>IF(tblCapturaSalidas[[#This Row],[Correo]]="","","SALIDA")</f>
        <v/>
      </c>
      <c r="D19" s="52"/>
      <c r="E19" s="51"/>
      <c r="F19" s="53"/>
      <c r="G19" s="51"/>
      <c r="H19" s="51"/>
      <c r="I19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19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19" s="55"/>
      <c r="L19" s="43" t="str">
        <f>IF(tblCapturaSalidas[[#This Row],[SKU]]="","",IFERROR(INDEX(tblProductos[Unidad],MATCH(tblCapturaSalidas[[#This Row],[SKU]],tblProductos[SKU],0)),"?"))</f>
        <v/>
      </c>
      <c r="M19" s="56" t="str">
        <f>IF(tblCapturaSalidas[[#This Row],[Correo]]="","",-1)</f>
        <v/>
      </c>
      <c r="N19" s="50" t="str">
        <f>IFERROR(INDEX(tblUsuarios[Correo],MATCH(ROW()-ROW(tblCapturaSalidas[#Headers]),tblUsuarios[OrdenVentas],0)),"")</f>
        <v/>
      </c>
      <c r="O19" s="43" t="str">
        <f>IF(tblCapturaSalidas[[#This Row],[Producto]]="","",TRIM(LEFT(tblCapturaSalidas[[#This Row],[Producto]],FIND(" · ",tblCapturaSalidas[[#This Row],[Producto]]&amp;" · ")-1)))</f>
        <v/>
      </c>
      <c r="P19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0" spans="2:16" ht="18" customHeight="1" x14ac:dyDescent="0.25">
      <c r="B20" s="50" t="str">
        <f>IFERROR(INDEX(tblUsuarios[Nombre],MATCH(ROW()-ROW(tblCapturaSalidas[#Headers]),tblUsuarios[OrdenVentas],0)),"")</f>
        <v/>
      </c>
      <c r="C20" s="50" t="str">
        <f>IF(tblCapturaSalidas[[#This Row],[Correo]]="","","SALIDA")</f>
        <v/>
      </c>
      <c r="D20" s="52"/>
      <c r="E20" s="51"/>
      <c r="F20" s="53"/>
      <c r="G20" s="51"/>
      <c r="H20" s="51"/>
      <c r="I20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20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20" s="55"/>
      <c r="L20" s="43" t="str">
        <f>IF(tblCapturaSalidas[[#This Row],[SKU]]="","",IFERROR(INDEX(tblProductos[Unidad],MATCH(tblCapturaSalidas[[#This Row],[SKU]],tblProductos[SKU],0)),"?"))</f>
        <v/>
      </c>
      <c r="M20" s="56" t="str">
        <f>IF(tblCapturaSalidas[[#This Row],[Correo]]="","",-1)</f>
        <v/>
      </c>
      <c r="N20" s="50" t="str">
        <f>IFERROR(INDEX(tblUsuarios[Correo],MATCH(ROW()-ROW(tblCapturaSalidas[#Headers]),tblUsuarios[OrdenVentas],0)),"")</f>
        <v/>
      </c>
      <c r="O20" s="43" t="str">
        <f>IF(tblCapturaSalidas[[#This Row],[Producto]]="","",TRIM(LEFT(tblCapturaSalidas[[#This Row],[Producto]],FIND(" · ",tblCapturaSalidas[[#This Row],[Producto]]&amp;" · ")-1)))</f>
        <v/>
      </c>
      <c r="P20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1" spans="2:16" ht="18" customHeight="1" x14ac:dyDescent="0.25">
      <c r="B21" s="50" t="str">
        <f>IFERROR(INDEX(tblUsuarios[Nombre],MATCH(ROW()-ROW(tblCapturaSalidas[#Headers]),tblUsuarios[OrdenVentas],0)),"")</f>
        <v/>
      </c>
      <c r="C21" s="50" t="str">
        <f>IF(tblCapturaSalidas[[#This Row],[Correo]]="","","SALIDA")</f>
        <v/>
      </c>
      <c r="D21" s="52"/>
      <c r="E21" s="51"/>
      <c r="F21" s="53"/>
      <c r="G21" s="51"/>
      <c r="H21" s="51"/>
      <c r="I21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21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21" s="55"/>
      <c r="L21" s="43" t="str">
        <f>IF(tblCapturaSalidas[[#This Row],[SKU]]="","",IFERROR(INDEX(tblProductos[Unidad],MATCH(tblCapturaSalidas[[#This Row],[SKU]],tblProductos[SKU],0)),"?"))</f>
        <v/>
      </c>
      <c r="M21" s="56" t="str">
        <f>IF(tblCapturaSalidas[[#This Row],[Correo]]="","",-1)</f>
        <v/>
      </c>
      <c r="N21" s="50" t="str">
        <f>IFERROR(INDEX(tblUsuarios[Correo],MATCH(ROW()-ROW(tblCapturaSalidas[#Headers]),tblUsuarios[OrdenVentas],0)),"")</f>
        <v/>
      </c>
      <c r="O21" s="43" t="str">
        <f>IF(tblCapturaSalidas[[#This Row],[Producto]]="","",TRIM(LEFT(tblCapturaSalidas[[#This Row],[Producto]],FIND(" · ",tblCapturaSalidas[[#This Row],[Producto]]&amp;" · ")-1)))</f>
        <v/>
      </c>
      <c r="P21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2" spans="2:16" ht="18" customHeight="1" x14ac:dyDescent="0.25">
      <c r="B22" s="50" t="str">
        <f>IFERROR(INDEX(tblUsuarios[Nombre],MATCH(ROW()-ROW(tblCapturaSalidas[#Headers]),tblUsuarios[OrdenVentas],0)),"")</f>
        <v/>
      </c>
      <c r="C22" s="50" t="str">
        <f>IF(tblCapturaSalidas[[#This Row],[Correo]]="","","SALIDA")</f>
        <v/>
      </c>
      <c r="D22" s="52"/>
      <c r="E22" s="51"/>
      <c r="F22" s="53"/>
      <c r="G22" s="51"/>
      <c r="H22" s="51"/>
      <c r="I22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22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22" s="55"/>
      <c r="L22" s="43" t="str">
        <f>IF(tblCapturaSalidas[[#This Row],[SKU]]="","",IFERROR(INDEX(tblProductos[Unidad],MATCH(tblCapturaSalidas[[#This Row],[SKU]],tblProductos[SKU],0)),"?"))</f>
        <v/>
      </c>
      <c r="M22" s="56" t="str">
        <f>IF(tblCapturaSalidas[[#This Row],[Correo]]="","",-1)</f>
        <v/>
      </c>
      <c r="N22" s="50" t="str">
        <f>IFERROR(INDEX(tblUsuarios[Correo],MATCH(ROW()-ROW(tblCapturaSalidas[#Headers]),tblUsuarios[OrdenVentas],0)),"")</f>
        <v/>
      </c>
      <c r="O22" s="43" t="str">
        <f>IF(tblCapturaSalidas[[#This Row],[Producto]]="","",TRIM(LEFT(tblCapturaSalidas[[#This Row],[Producto]],FIND(" · ",tblCapturaSalidas[[#This Row],[Producto]]&amp;" · ")-1)))</f>
        <v/>
      </c>
      <c r="P22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3" spans="2:16" ht="18" customHeight="1" x14ac:dyDescent="0.25">
      <c r="B23" s="50" t="str">
        <f>IFERROR(INDEX(tblUsuarios[Nombre],MATCH(ROW()-ROW(tblCapturaSalidas[#Headers]),tblUsuarios[OrdenVentas],0)),"")</f>
        <v/>
      </c>
      <c r="C23" s="50" t="str">
        <f>IF(tblCapturaSalidas[[#This Row],[Correo]]="","","SALIDA")</f>
        <v/>
      </c>
      <c r="D23" s="52"/>
      <c r="E23" s="51"/>
      <c r="F23" s="53"/>
      <c r="G23" s="51"/>
      <c r="H23" s="51"/>
      <c r="I23" s="54" t="str">
        <f>IF(OR(tblCapturaSalidas[[#This Row],[SKU]]="",tblCapturaSalidas[[#This Row],[Unidad]]="?"),"",SUMIFS(tblEntradas[CantidadNeta],tblEntradas[SKU],tblCapturaSalidas[[#This Row],[SKU]],tblEntradas[Estado],"✔*")+SUMIFS(tblSalidas[CantidadNeta],tblSalidas[SKU],tblCapturaSalidas[[#This Row],[SKU]],tblSalidas[Estado],"✔*"))</f>
        <v/>
      </c>
      <c r="J23" s="44" t="str">
        <f ca="1">IF(AND(tblCapturaSalidas[[#This Row],[Fecha]]="",tblCapturaSalidas[[#This Row],[Producto]]="",tblCapturaSalidas[[#This Row],[Cantidad]]="",tblCapturaSalidas[[#This Row],[Documento]]="",tblCapturaSalidas[[#This Row],[Observaciones]]=""),"",IF(tblCapturaSalidas[[#This Row],[Correo]]="","✖ Fila sin usuario asignado (02_USUARIOS)",IF(tblCapturaSalidas[[#This Row],[Producto]]="","○ Elija el producto",IF(tblCapturaSalidas[[#This Row],[Unidad]]="?","✖ El producto no existe en el catálogo",IF(IFERROR(INDEX(tblProductos[Activo],MATCH(tblCapturaSalidas[[#This Row],[SKU]],tblProductos[SKU],0)),"")="NO","✖ Producto inactivo (descontinuado)",IF(tblCapturaSalidas[[#This Row],[Cantidad]]="","○ Escriba la cantidad",IF(OR(NOT(ISNUMBER(tblCapturaSalidas[[#This Row],[Cantidad]])),N(tblCapturaSalidas[[#This Row],[Cantidad]])&lt;=0),"✖ Cantidad no válida: debe ser mayor que 0",IF(AND(tblCapturaSalidas[[#This Row],[Cantidad]]&lt;&gt;INT(tblCapturaSalidas[[#This Row],[Cantidad]]),IFERROR(INDEX(lstUniDec,MATCH(tblCapturaSalidas[[#This Row],[Unidad]],lstUniCod,0)),"SI")="NO"),"✖ "&amp;tblCapturaSalidas[[#This Row],[Unidad]]&amp;" no admite decimales",IF(AND(tblCapturaSalidas[[#This Row],[Fecha]]&lt;&gt;"",OR(NOT(ISNUMBER(tblCapturaSalidas[[#This Row],[Fecha]])),N(tblCapturaSalidas[[#This Row],[Fecha]])&gt;TODAY(),N(tblCapturaSalidas[[#This Row],[Fecha]])&lt;cfgFechaMin)),"✖ Fecha no válida (futura o anterior a la mínima)",IF(AND(ISNUMBER(tblCapturaSalidas[[#This Row],[Queda]]),tblCapturaSalidas[[#This Row],[Queda]]&lt;0),"✖ Stock insuficiente: disponible "&amp;tblCapturaSalidas[[#This Row],[Disponible]]&amp;" "&amp;tblCapturaSalidas[[#This Row],[Unidad]],"✔ Lista · quedarán "&amp;tblCapturaSalidas[[#This Row],[Queda]]&amp;" "&amp;tblCapturaSalidas[[#This Row],[Unidad]]&amp;" · pulse Registrar"))))))))))</f>
        <v/>
      </c>
      <c r="K23" s="55"/>
      <c r="L23" s="43" t="str">
        <f>IF(tblCapturaSalidas[[#This Row],[SKU]]="","",IFERROR(INDEX(tblProductos[Unidad],MATCH(tblCapturaSalidas[[#This Row],[SKU]],tblProductos[SKU],0)),"?"))</f>
        <v/>
      </c>
      <c r="M23" s="56" t="str">
        <f>IF(tblCapturaSalidas[[#This Row],[Correo]]="","",-1)</f>
        <v/>
      </c>
      <c r="N23" s="50" t="str">
        <f>IFERROR(INDEX(tblUsuarios[Correo],MATCH(ROW()-ROW(tblCapturaSalidas[#Headers]),tblUsuarios[OrdenVentas],0)),"")</f>
        <v/>
      </c>
      <c r="O23" s="43" t="str">
        <f>IF(tblCapturaSalidas[[#This Row],[Producto]]="","",TRIM(LEFT(tblCapturaSalidas[[#This Row],[Producto]],FIND(" · ",tblCapturaSalidas[[#This Row],[Producto]]&amp;" · ")-1)))</f>
        <v/>
      </c>
      <c r="P23" s="57" t="str">
        <f>IF(OR(tblCapturaSalidas[[#This Row],[Disponible]]="",NOT(ISNUMBER(tblCapturaSalidas[[#This Row],[Cantidad]])),N(tblCapturaSalidas[[#This Row],[Factor]])=0),"",tblCapturaSalidas[[#This Row],[Disponible]]+tblCapturaSalidas[[#This Row],[Cantidad]]*tblCapturaSalidas[[#This Row],[Factor]])</f>
        <v/>
      </c>
    </row>
    <row r="24" spans="2:16" s="7" customFormat="1" ht="9" customHeight="1" x14ac:dyDescent="0.25"/>
    <row r="25" spans="2:16" s="7" customFormat="1" ht="16.5" customHeight="1" x14ac:dyDescent="0.25">
      <c r="B25" s="7" t="s">
        <v>188</v>
      </c>
    </row>
    <row r="26" spans="2:16" s="7" customFormat="1" ht="14.25" x14ac:dyDescent="0.25">
      <c r="B26" s="40" t="s">
        <v>189</v>
      </c>
    </row>
    <row r="27" spans="2:16" ht="24" customHeight="1" x14ac:dyDescent="0.25">
      <c r="B27" s="18" t="s">
        <v>190</v>
      </c>
      <c r="C27" s="18" t="s">
        <v>40</v>
      </c>
      <c r="D27" s="18" t="s">
        <v>180</v>
      </c>
      <c r="E27" s="18" t="s">
        <v>115</v>
      </c>
      <c r="F27" s="18" t="s">
        <v>181</v>
      </c>
      <c r="G27" s="18" t="s">
        <v>182</v>
      </c>
      <c r="H27" s="18" t="s">
        <v>183</v>
      </c>
      <c r="I27" s="18" t="s">
        <v>191</v>
      </c>
      <c r="J27" s="18" t="s">
        <v>56</v>
      </c>
      <c r="K27" s="18" t="s">
        <v>192</v>
      </c>
      <c r="L27" s="18" t="s">
        <v>117</v>
      </c>
      <c r="M27" s="18" t="s">
        <v>41</v>
      </c>
      <c r="N27" s="18" t="s">
        <v>193</v>
      </c>
      <c r="O27" s="18" t="s">
        <v>114</v>
      </c>
      <c r="P27" s="18" t="s">
        <v>194</v>
      </c>
    </row>
    <row r="28" spans="2:16" x14ac:dyDescent="0.25">
      <c r="B28" s="58"/>
      <c r="C28" s="50"/>
      <c r="D28" s="59"/>
      <c r="E28" s="50"/>
      <c r="F28" s="57"/>
      <c r="G28" s="43"/>
      <c r="H28" s="50"/>
      <c r="I28" s="60"/>
      <c r="J28" s="44"/>
      <c r="K28" s="50"/>
      <c r="L28" s="43"/>
      <c r="M28" s="56"/>
      <c r="N28" s="50"/>
      <c r="O28" s="43"/>
      <c r="P28" s="61"/>
    </row>
  </sheetData>
  <sheetProtection password="930D" sheet="1" objects="1" scenarios="1" formatColumns="0" autoFilter="0"/>
  <protectedRanges>
    <protectedRange sqref="D9:H23" name="Captura Ventas"/>
  </protectedRanges>
  <mergeCells count="3">
    <mergeCell ref="C6:D6"/>
    <mergeCell ref="J6:K6"/>
    <mergeCell ref="F6:I6"/>
  </mergeCells>
  <conditionalFormatting sqref="B9:B23">
    <cfRule type="expression" dxfId="126" priority="17">
      <formula>$N9=""</formula>
    </cfRule>
    <cfRule type="expression" dxfId="125" priority="14">
      <formula>$N9&lt;&gt;""</formula>
    </cfRule>
  </conditionalFormatting>
  <conditionalFormatting sqref="B9:P23">
    <cfRule type="expression" dxfId="124" priority="3">
      <formula>$N9=""</formula>
    </cfRule>
  </conditionalFormatting>
  <conditionalFormatting sqref="B28:P20028">
    <cfRule type="expression" dxfId="123" priority="34">
      <formula>AND($B28&lt;&gt;"",MOD(ROW(),2)=0)</formula>
    </cfRule>
  </conditionalFormatting>
  <conditionalFormatting sqref="C28:C20028">
    <cfRule type="expression" dxfId="122" priority="26">
      <formula>$M28=1</formula>
    </cfRule>
    <cfRule type="expression" dxfId="121" priority="27">
      <formula>$M28=-1</formula>
    </cfRule>
  </conditionalFormatting>
  <conditionalFormatting sqref="F9:F23">
    <cfRule type="expression" dxfId="120" priority="15">
      <formula>AND(ISNUMBER(F9),F9&lt;&gt;INT(F9))</formula>
    </cfRule>
    <cfRule type="expression" dxfId="119" priority="1" stopIfTrue="1">
      <formula>AND(ISNUMBER($P9),$P9&lt;0)</formula>
    </cfRule>
  </conditionalFormatting>
  <conditionalFormatting sqref="F28:F20028">
    <cfRule type="expression" dxfId="118" priority="32">
      <formula>AND(ISNUMBER(F28),F28&lt;&gt;INT(F28))</formula>
    </cfRule>
    <cfRule type="expression" dxfId="117" priority="18" stopIfTrue="1">
      <formula>LEFT($J28,1)="✖"</formula>
    </cfRule>
  </conditionalFormatting>
  <conditionalFormatting sqref="I9:I23">
    <cfRule type="expression" dxfId="116" priority="2" stopIfTrue="1">
      <formula>AND(ISNUMBER($P9),$P9&lt;0)</formula>
    </cfRule>
    <cfRule type="expression" dxfId="115" priority="16">
      <formula>AND(ISNUMBER(I9),I9&lt;&gt;INT(I9))</formula>
    </cfRule>
  </conditionalFormatting>
  <conditionalFormatting sqref="I28:I20028">
    <cfRule type="expression" dxfId="114" priority="28">
      <formula>$M28=1</formula>
    </cfRule>
    <cfRule type="expression" dxfId="113" priority="29">
      <formula>$M28=-1</formula>
    </cfRule>
    <cfRule type="expression" dxfId="112" priority="33">
      <formula>AND(ISNUMBER(I28),I28&lt;&gt;INT(I28))</formula>
    </cfRule>
  </conditionalFormatting>
  <conditionalFormatting sqref="I28:J20028">
    <cfRule type="expression" dxfId="111" priority="19" stopIfTrue="1">
      <formula>LEFT($J28,1)="✖"</formula>
    </cfRule>
  </conditionalFormatting>
  <conditionalFormatting sqref="J9:J23">
    <cfRule type="expression" dxfId="110" priority="4">
      <formula>LEFT($J9,1)="✖"</formula>
    </cfRule>
    <cfRule type="expression" dxfId="109" priority="5">
      <formula>LEFT($J9,1)="⚠"</formula>
    </cfRule>
    <cfRule type="expression" dxfId="108" priority="6">
      <formula>LEFT($J9,1)="✔"</formula>
    </cfRule>
    <cfRule type="expression" dxfId="107" priority="7">
      <formula>LEFT($J9,1)="●"</formula>
    </cfRule>
    <cfRule type="expression" dxfId="106" priority="8">
      <formula>LEFT($J9,1)="○"</formula>
    </cfRule>
  </conditionalFormatting>
  <conditionalFormatting sqref="J28:J20028">
    <cfRule type="expression" dxfId="105" priority="21">
      <formula>LEFT($J28,1)="✖"</formula>
    </cfRule>
    <cfRule type="expression" dxfId="104" priority="22">
      <formula>LEFT($J28,1)="⚠"</formula>
    </cfRule>
    <cfRule type="expression" dxfId="103" priority="23">
      <formula>LEFT($J28,1)="✔"</formula>
    </cfRule>
    <cfRule type="expression" dxfId="102" priority="24">
      <formula>LEFT($J28,1)="●"</formula>
    </cfRule>
    <cfRule type="expression" dxfId="101" priority="25">
      <formula>LEFT($J28,1)="○"</formula>
    </cfRule>
  </conditionalFormatting>
  <conditionalFormatting sqref="K9:K23">
    <cfRule type="expression" dxfId="100" priority="9">
      <formula>LEFT($K9,1)="✖"</formula>
    </cfRule>
    <cfRule type="expression" dxfId="99" priority="10">
      <formula>LEFT($K9,1)="⚠"</formula>
    </cfRule>
    <cfRule type="expression" dxfId="98" priority="11">
      <formula>LEFT($K9,1)="✔"</formula>
    </cfRule>
    <cfRule type="expression" dxfId="97" priority="12">
      <formula>LEFT($K9,1)="●"</formula>
    </cfRule>
    <cfRule type="expression" dxfId="96" priority="13">
      <formula>LEFT($K9,1)="○"</formula>
    </cfRule>
  </conditionalFormatting>
  <conditionalFormatting sqref="M28:M20028">
    <cfRule type="expression" dxfId="95" priority="30">
      <formula>$M28=1</formula>
    </cfRule>
    <cfRule type="expression" dxfId="94" priority="31">
      <formula>$M28=-1</formula>
    </cfRule>
  </conditionalFormatting>
  <dataValidations count="35">
    <dataValidation allowBlank="1" showInputMessage="1" showErrorMessage="1" promptTitle="ƒx Usuario" prompt="Persona dueña de esta fila (según 02_USUARIOS). Escriba solo en SU fila." sqref="B8" xr:uid="{00000000-0002-0000-0A00-000000000000}"/>
    <dataValidation allowBlank="1" showInputMessage="1" showErrorMessage="1" promptTitle="ƒx Tipo" prompt="Siempre SALIDA en este fragmento." sqref="C8" xr:uid="{00000000-0002-0000-0A00-000001000000}"/>
    <dataValidation allowBlank="1" showInputMessage="1" showErrorMessage="1" promptTitle="✎ Fecha" prompt="Opcional. Vacía = hoy. Para registrar un movimiento de otro día: dd/mm/aaaa." sqref="D8" xr:uid="{00000000-0002-0000-0A00-000002000000}"/>
    <dataValidation allowBlank="1" showInputMessage="1" showErrorMessage="1" promptTitle="✎ Producto" prompt="Elija de la lista. Escriba parte del nombre o del SKU para filtrarla." sqref="E8" xr:uid="{00000000-0002-0000-0A00-000003000000}"/>
    <dataValidation allowBlank="1" showInputMessage="1" showErrorMessage="1" promptTitle="✎ Cantidad" prompt="Siempre positiva, en la unidad del producto. El signo lo pone el tipo." sqref="F8" xr:uid="{00000000-0002-0000-0A00-000004000000}"/>
    <dataValidation allowBlank="1" showInputMessage="1" showErrorMessage="1" promptTitle="✎ Documento" prompt="Opcional: factura, remisión, orden o cliente. Máximo 30 caracteres." sqref="G8" xr:uid="{00000000-0002-0000-0A00-000005000000}"/>
    <dataValidation allowBlank="1" showInputMessage="1" showErrorMessage="1" promptTitle="✎ Observaciones" prompt="Obligatoria en los AJUSTES (motivo). Máximo 250 caracteres." sqref="H8" xr:uid="{00000000-0002-0000-0A00-000006000000}"/>
    <dataValidation allowBlank="1" showInputMessage="1" showErrorMessage="1" promptTitle="ƒx Disponible" prompt="Stock exacto en este instante: suma de las dos bitácoras oficiales." sqref="I8" xr:uid="{00000000-0002-0000-0A00-000007000000}"/>
    <dataValidation allowBlank="1" showInputMessage="1" showErrorMessage="1" promptTitle="ƒx Validación" prompt="✔ lista para registrar · ○ falta un dato · ✖ error que impide registrar." sqref="J8" xr:uid="{00000000-0002-0000-0A00-000008000000}"/>
    <dataValidation allowBlank="1" showInputMessage="1" showErrorMessage="1" promptTitle="ƒx Resultado" prompt="Lo escribe el script al pulsar el botón: ✔ registrado (con ID) o ✖ bloqueado." sqref="K8" xr:uid="{00000000-0002-0000-0A00-000009000000}"/>
    <dataValidation allowBlank="1" showInputMessage="1" showErrorMessage="1" promptTitle="ƒx Unidad" prompt="Unidad de medida del producto." sqref="L8" xr:uid="{00000000-0002-0000-0A00-00000A000000}"/>
    <dataValidation allowBlank="1" showInputMessage="1" showErrorMessage="1" promptTitle="ƒx Factor" prompt="+1 suma al inventario, −1 resta." sqref="M8" xr:uid="{00000000-0002-0000-0A00-00000B000000}"/>
    <dataValidation allowBlank="1" showInputMessage="1" showErrorMessage="1" promptTitle="ƒx Correo" prompt="Técnica (oculta): correo de Microsoft 365 del dueño de la fila." sqref="N8" xr:uid="{00000000-0002-0000-0A00-00000C000000}"/>
    <dataValidation allowBlank="1" showInputMessage="1" showErrorMessage="1" promptTitle="ƒx SKU" prompt="Técnica (oculta): código extraído del producto." sqref="O8" xr:uid="{00000000-0002-0000-0A00-00000D000000}"/>
    <dataValidation allowBlank="1" showInputMessage="1" showErrorMessage="1" promptTitle="ƒx Queda" prompt="Técnica (oculta): stock resultante si se registra." sqref="P8" xr:uid="{00000000-0002-0000-0A00-00000E000000}"/>
    <dataValidation type="date" allowBlank="1" showInputMessage="1" showErrorMessage="1" errorTitle="Fecha no válida" error="Use dd/mm/aaaa, sin fechas futuras ni anteriores a la mínima." promptTitle="Fecha (opcional)" prompt="Vacía = hoy. Otro día: dd/mm/aaaa. No se admiten fechas futuras." sqref="D9:D23" xr:uid="{00000000-0002-0000-0A00-00000F000000}">
      <formula1>cfgFechaMin</formula1>
      <formula2>TODAY()</formula2>
    </dataValidation>
    <dataValidation type="list" allowBlank="1" showInputMessage="1" showErrorMessage="1" errorTitle="Producto no válido" error="Elija un producto de la lista del catálogo." promptTitle="Producto" prompt="Elija de la lista. Escriba parte del nombre o del SKU para filtrarla. Nunca lo escriba completo a mano." sqref="E9:E23" xr:uid="{00000000-0002-0000-0A00-000010000000}">
      <formula1>lstProductos</formula1>
    </dataValidation>
    <dataValidation type="custom" allowBlank="1" showInputMessage="1" showErrorMessage="1" errorTitle="Cantidad no válida" error="Debe ser mayor que 0. Si la unidad no admite decimales, use un entero." promptTitle="Cantidad" prompt="Mayor que 0, en la unidad del producto. UND, CAJA, PAQ, PAR y ROLLO: solo enteros." sqref="F9:F23" xr:uid="{00000000-0002-0000-0A00-000011000000}">
      <formula1>AND(ISNUMBER(F9),F9&gt;0,IFERROR(OR(INDEX(lstUniDec,MATCH($L9,lstUniCod,0))="SI",F9=INT(F9)),TRUE))</formula1>
    </dataValidation>
    <dataValidation type="textLength" operator="lessThanOrEqual" allowBlank="1" showInputMessage="1" showErrorMessage="1" errorTitle="Texto muy largo" error="Máximo 30 caracteres." promptTitle="Documento (opcional)" prompt="Factura, remisión, orden o cliente." sqref="G9:G23" xr:uid="{00000000-0002-0000-0A00-000012000000}">
      <formula1>30</formula1>
    </dataValidation>
    <dataValidation type="textLength" operator="lessThanOrEqual" allowBlank="1" showInputMessage="1" showErrorMessage="1" errorTitle="Texto muy largo" error="Máximo 250 caracteres." promptTitle="Observaciones" prompt="Obligatoria en los AJUSTES: explique el motivo." sqref="H9:H23" xr:uid="{00000000-0002-0000-0A00-000013000000}">
      <formula1>250</formula1>
    </dataValidation>
    <dataValidation allowBlank="1" showInputMessage="1" showErrorMessage="1" promptTitle="ƒx ID" prompt="Identificador único generado por el script (fragmento-fecha-hora-aleatorio): no requiere coordinación." sqref="B27" xr:uid="{00000000-0002-0000-0A00-000014000000}"/>
    <dataValidation allowBlank="1" showInputMessage="1" showErrorMessage="1" promptTitle="ƒx Tipo" prompt="Tipo de movimiento." sqref="C27" xr:uid="{00000000-0002-0000-0A00-000015000000}"/>
    <dataValidation allowBlank="1" showInputMessage="1" showErrorMessage="1" promptTitle="ƒx Fecha" prompt="Fecha del movimiento (negocio)." sqref="D27" xr:uid="{00000000-0002-0000-0A00-000016000000}"/>
    <dataValidation allowBlank="1" showInputMessage="1" showErrorMessage="1" promptTitle="ƒx Producto" prompt="Etiqueta SKU · Nombre al momento del registro." sqref="E27" xr:uid="{00000000-0002-0000-0A00-000017000000}"/>
    <dataValidation allowBlank="1" showInputMessage="1" showErrorMessage="1" promptTitle="ƒx Cantidad" prompt="Cantidad positiva." sqref="F27" xr:uid="{00000000-0002-0000-0A00-000018000000}"/>
    <dataValidation allowBlank="1" showInputMessage="1" showErrorMessage="1" promptTitle="ƒx Documento" prompt="Soporte del movimiento." sqref="G27" xr:uid="{00000000-0002-0000-0A00-000019000000}"/>
    <dataValidation allowBlank="1" showInputMessage="1" showErrorMessage="1" promptTitle="ƒx Observaciones" prompt="Detalle o motivo." sqref="H27" xr:uid="{00000000-0002-0000-0A00-00001A000000}"/>
    <dataValidation allowBlank="1" showInputMessage="1" showErrorMessage="1" promptTitle="ƒx CantidadNeta" prompt="Cantidad × FactorStock: lo único que suma el stock." sqref="I27" xr:uid="{00000000-0002-0000-0A00-00001B000000}"/>
    <dataValidation allowBlank="1" showInputMessage="1" showErrorMessage="1" promptTitle="ƒx Estado" prompt="✔ Consolidado o ✖ Rechazado (con motivo). Los rechazados no suman." sqref="J27" xr:uid="{00000000-0002-0000-0A00-00001C000000}"/>
    <dataValidation allowBlank="1" showInputMessage="1" showErrorMessage="1" promptTitle="ƒx Registró" prompt="Nombre de quien ejecutó el script." sqref="K27" xr:uid="{00000000-0002-0000-0A00-00001D000000}"/>
    <dataValidation allowBlank="1" showInputMessage="1" showErrorMessage="1" promptTitle="ƒx Unidad" prompt="Unidad de medida." sqref="L27" xr:uid="{00000000-0002-0000-0A00-00001E000000}"/>
    <dataValidation allowBlank="1" showInputMessage="1" showErrorMessage="1" promptTitle="ƒx FactorStock" prompt="+1 o −1 según el tipo." sqref="M27" xr:uid="{00000000-0002-0000-0A00-00001F000000}"/>
    <dataValidation allowBlank="1" showInputMessage="1" showErrorMessage="1" promptTitle="ƒx Usuario_O365" prompt="Auditoría (oculta): correo de Microsoft 365 que ejecutó el script." sqref="N27" xr:uid="{00000000-0002-0000-0A00-000020000000}"/>
    <dataValidation allowBlank="1" showInputMessage="1" showErrorMessage="1" promptTitle="ƒx SKU" prompt="Técnica (oculta): clave del producto." sqref="O27" xr:uid="{00000000-0002-0000-0A00-000021000000}"/>
    <dataValidation allowBlank="1" showInputMessage="1" showErrorMessage="1" promptTitle="ƒx Timestamp" prompt="Auditoría (oculta): fecha y hora exactas del registro." sqref="P27" xr:uid="{00000000-0002-0000-0A00-000022000000}"/>
  </dataValidations>
  <hyperlinks>
    <hyperlink ref="B5" location="'00_PORTADA_BODEGA'!A1" tooltip="Portada de Bodega" display="⌂ Bodega" xr:uid="{00000000-0004-0000-0A00-000000000000}"/>
    <hyperlink ref="C5" location="'00_PORTADA_VENTAS'!A1" tooltip="Portada de Ventas" display="⌂ Ventas" xr:uid="{00000000-0004-0000-0A00-000001000000}"/>
    <hyperlink ref="D5" location="'00_PORTADA_GERENCIA'!A1" tooltip="Portada de Gerencia: indicadores, pedido y actividad" display="◈ Gerencia" xr:uid="{00000000-0004-0000-0A00-000002000000}"/>
    <hyperlink ref="E5" location="'10A_ENTRADAS'!C9" tooltip="Registrar entradas y ajustes (Bodega)" display="⇩ Entradas" xr:uid="{00000000-0004-0000-0A00-000003000000}"/>
    <hyperlink ref="F5" location="'10B_SALIDAS'!E9" tooltip="Registrar salidas (Ventas)" display="⇧ Salidas" xr:uid="{00000000-0004-0000-0A00-000004000000}"/>
    <hyperlink ref="G5" location="'17_CONSULTA'!C9" tooltip="Consultar un producto en su fila" display="⌕ Consulta" xr:uid="{00000000-0004-0000-0A00-000005000000}"/>
    <hyperlink ref="H5" location="'15_STOCK'!A1" tooltip="Stock (instantánea recalculada a demanda)" display="▦ Stock" xr:uid="{00000000-0004-0000-0A00-000006000000}"/>
    <hyperlink ref="I5" location="'18_PEDIDO'!A1" tooltip="Pedido sugerido por proveedor" display="✚ Pedido" xr:uid="{00000000-0004-0000-0A00-000007000000}"/>
    <hyperlink ref="J5" location="'13_CONTEO'!I9" tooltip="Toma física (conteo) colaborativa" display="✓ Conteo" xr:uid="{00000000-0004-0000-0A00-000008000000}"/>
    <hyperlink ref="K5" location="'99_AYUDA'!A1" tooltip="Guía de uso, acceso e instalación" display="? Guía" xr:uid="{00000000-0004-0000-0A00-000009000000}"/>
  </hyperlinks>
  <pageMargins left="0.7" right="0.7" top="0.75" bottom="0.75" header="0.3" footer="0.3"/>
  <pageSetup fitToHeight="0" orientation="landscape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5E35B1"/>
    <pageSetUpPr fitToPage="1"/>
  </sheetPr>
  <dimension ref="B1:M508"/>
  <sheetViews>
    <sheetView showGridLines="0" showRowColHeaders="0" zoomScale="90" zoomScaleNormal="90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I9" sqref="I9"/>
    </sheetView>
  </sheetViews>
  <sheetFormatPr baseColWidth="10" defaultColWidth="0" defaultRowHeight="15" zeroHeight="1" x14ac:dyDescent="0.25"/>
  <cols>
    <col min="1" max="1" width="2.28515625" customWidth="1"/>
    <col min="2" max="2" width="12" customWidth="1"/>
    <col min="3" max="3" width="38.5703125" customWidth="1"/>
    <col min="4" max="4" width="22.85546875" customWidth="1"/>
    <col min="5" max="5" width="16" customWidth="1"/>
    <col min="6" max="6" width="12" customWidth="1"/>
    <col min="7" max="7" width="11.140625" customWidth="1"/>
    <col min="8" max="8" width="17.140625" customWidth="1"/>
    <col min="9" max="9" width="14.85546875" customWidth="1"/>
    <col min="10" max="10" width="15.7109375" customWidth="1"/>
    <col min="11" max="11" width="20.85546875" customWidth="1"/>
    <col min="12" max="12" width="21.42578125" customWidth="1"/>
    <col min="13" max="13" width="32.85546875" customWidth="1"/>
    <col min="14" max="14" width="2.28515625" customWidth="1"/>
    <col min="15" max="15" width="0" hidden="1" customWidth="1"/>
  </cols>
  <sheetData>
    <row r="1" spans="2:13" s="1" customFormat="1" ht="4.5" customHeight="1" x14ac:dyDescent="0.25"/>
    <row r="2" spans="2:13" s="1" customFormat="1" ht="22.5" customHeight="1" x14ac:dyDescent="0.25">
      <c r="B2" s="2" t="s">
        <v>200</v>
      </c>
    </row>
    <row r="3" spans="2:13" s="1" customFormat="1" ht="14.25" x14ac:dyDescent="0.25">
      <c r="B3" s="16" t="s">
        <v>201</v>
      </c>
    </row>
    <row r="4" spans="2:13" s="1" customFormat="1" ht="4.5" customHeight="1" x14ac:dyDescent="0.25"/>
    <row r="5" spans="2:13" s="4" customFormat="1" ht="21" customHeight="1" x14ac:dyDescent="0.25">
      <c r="B5" s="6" t="s">
        <v>82</v>
      </c>
      <c r="C5" s="6" t="s">
        <v>83</v>
      </c>
      <c r="D5" s="6" t="s">
        <v>84</v>
      </c>
      <c r="E5" s="6" t="s">
        <v>85</v>
      </c>
      <c r="F5" s="6" t="s">
        <v>86</v>
      </c>
      <c r="G5" s="128" t="s">
        <v>87</v>
      </c>
      <c r="H5" s="128"/>
      <c r="I5" s="6" t="s">
        <v>88</v>
      </c>
      <c r="J5" s="6" t="s">
        <v>89</v>
      </c>
      <c r="K5" s="5" t="s">
        <v>90</v>
      </c>
      <c r="L5" s="6" t="s">
        <v>91</v>
      </c>
    </row>
    <row r="6" spans="2:13" s="7" customFormat="1" ht="25.5" customHeight="1" x14ac:dyDescent="0.25">
      <c r="B6" s="129" t="str">
        <f>"Contados: "&amp;kpiConteoContados&amp;" de "&amp;kpiActivos</f>
        <v>Contados: 0 de 0</v>
      </c>
      <c r="C6" s="129"/>
      <c r="D6" s="129" t="str">
        <f>"Con diferencia: "&amp;kpiConteoDif</f>
        <v>Con diferencia: 0</v>
      </c>
      <c r="E6" s="129"/>
      <c r="F6" s="129" t="str">
        <f>"Valor neto de diferencias: $ "&amp;FIXED(kpiConteoValor,0)</f>
        <v>Valor neto de diferencias: $ 0</v>
      </c>
      <c r="G6" s="129"/>
      <c r="H6" s="129"/>
      <c r="J6" s="95" t="s">
        <v>202</v>
      </c>
      <c r="K6" s="95"/>
      <c r="L6" s="95"/>
      <c r="M6" s="95"/>
    </row>
    <row r="7" spans="2:13" s="7" customFormat="1" ht="22.5" customHeight="1" x14ac:dyDescent="0.25">
      <c r="B7" s="131" t="s">
        <v>203</v>
      </c>
      <c r="C7" s="131"/>
      <c r="D7" s="52"/>
      <c r="E7" s="131" t="s">
        <v>204</v>
      </c>
      <c r="F7" s="131"/>
      <c r="G7" s="131"/>
      <c r="H7" s="62"/>
      <c r="I7" s="132" t="s">
        <v>205</v>
      </c>
      <c r="J7" s="132"/>
      <c r="K7" s="132"/>
      <c r="L7" s="132"/>
      <c r="M7" s="132"/>
    </row>
    <row r="8" spans="2:13" ht="24" customHeight="1" x14ac:dyDescent="0.25">
      <c r="B8" s="18" t="s">
        <v>114</v>
      </c>
      <c r="C8" s="18" t="s">
        <v>115</v>
      </c>
      <c r="D8" s="18" t="s">
        <v>116</v>
      </c>
      <c r="E8" s="18" t="s">
        <v>121</v>
      </c>
      <c r="F8" s="18" t="s">
        <v>117</v>
      </c>
      <c r="G8" s="18" t="s">
        <v>95</v>
      </c>
      <c r="H8" s="18" t="s">
        <v>206</v>
      </c>
      <c r="I8" s="19" t="s">
        <v>207</v>
      </c>
      <c r="J8" s="18" t="s">
        <v>208</v>
      </c>
      <c r="K8" s="18" t="s">
        <v>209</v>
      </c>
      <c r="L8" s="18" t="s">
        <v>185</v>
      </c>
      <c r="M8" s="18" t="s">
        <v>210</v>
      </c>
    </row>
    <row r="9" spans="2:13" x14ac:dyDescent="0.25">
      <c r="B9" s="43" t="str">
        <f>IF(INDEX(tblProductos[SKU],ROW()-ROW(tblConteo[#Headers]))="","",INDEX(tblProductos[SKU],ROW()-ROW(tblConteo[#Headers])))</f>
        <v/>
      </c>
      <c r="C9" s="50" t="str">
        <f>IF(tblConteo[[#This Row],[SKU]]="","",INDEX(tblProductos[Producto],ROW()-ROW(tblConteo[#Headers])))</f>
        <v/>
      </c>
      <c r="D9" s="50" t="str">
        <f>IF(tblConteo[[#This Row],[SKU]]="","",INDEX(tblProductos[Categoría],ROW()-ROW(tblConteo[#Headers]))&amp;"")</f>
        <v/>
      </c>
      <c r="E9" s="43" t="str">
        <f>IF(tblConteo[[#This Row],[SKU]]="","",INDEX(tblProductos[Ubicación],ROW()-ROW(tblConteo[#Headers]))&amp;"")</f>
        <v/>
      </c>
      <c r="F9" s="43" t="str">
        <f>IF(tblConteo[[#This Row],[SKU]]="","",INDEX(tblProductos[Unidad],ROW()-ROW(tblConteo[#Headers]))&amp;"")</f>
        <v/>
      </c>
      <c r="G9" s="43" t="str">
        <f>IF(tblConteo[[#This Row],[SKU]]="","",IF(INDEX(tblProductos[Activo],ROW()-ROW(tblConteo[#Headers]))="NO","NO","SI"))</f>
        <v/>
      </c>
      <c r="H9" s="54" t="str">
        <f>IF(tblConteo[[#This Row],[SKU]]="","",IFERROR(N(INDEX(tblStock[StockActual],MATCH(tblConteo[[#This Row],[SKU]],tblStock[SKU],0))),0))</f>
        <v/>
      </c>
      <c r="I9" s="53"/>
      <c r="J9" s="60" t="str">
        <f>IF(OR(tblConteo[[#This Row],[SKU]]="",tblConteo[[#This Row],[Conteo]]=""),"",IF(ISNUMBER(tblConteo[[#This Row],[Conteo]]),tblConteo[[#This Row],[Conteo]]-N(tblConteo[[#This Row],[Sistema]]),""))</f>
        <v/>
      </c>
      <c r="K9" s="63" t="str">
        <f>IF(tblConteo[[#This Row],[Diferencia]]="","",tblConteo[[#This Row],[Diferencia]]*N(INDEX(tblProductos[CostoUnitario],ROW()-ROW(tblConteo[#Headers]))))</f>
        <v/>
      </c>
      <c r="L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" spans="2:13" x14ac:dyDescent="0.25">
      <c r="B10" s="43" t="str">
        <f>IF(INDEX(tblProductos[SKU],ROW()-ROW(tblConteo[#Headers]))="","",INDEX(tblProductos[SKU],ROW()-ROW(tblConteo[#Headers])))</f>
        <v/>
      </c>
      <c r="C10" s="50" t="str">
        <f>IF(tblConteo[[#This Row],[SKU]]="","",INDEX(tblProductos[Producto],ROW()-ROW(tblConteo[#Headers])))</f>
        <v/>
      </c>
      <c r="D10" s="50" t="str">
        <f>IF(tblConteo[[#This Row],[SKU]]="","",INDEX(tblProductos[Categoría],ROW()-ROW(tblConteo[#Headers]))&amp;"")</f>
        <v/>
      </c>
      <c r="E10" s="43" t="str">
        <f>IF(tblConteo[[#This Row],[SKU]]="","",INDEX(tblProductos[Ubicación],ROW()-ROW(tblConteo[#Headers]))&amp;"")</f>
        <v/>
      </c>
      <c r="F10" s="43" t="str">
        <f>IF(tblConteo[[#This Row],[SKU]]="","",INDEX(tblProductos[Unidad],ROW()-ROW(tblConteo[#Headers]))&amp;"")</f>
        <v/>
      </c>
      <c r="G10" s="43" t="str">
        <f>IF(tblConteo[[#This Row],[SKU]]="","",IF(INDEX(tblProductos[Activo],ROW()-ROW(tblConteo[#Headers]))="NO","NO","SI"))</f>
        <v/>
      </c>
      <c r="H10" s="54" t="str">
        <f>IF(tblConteo[[#This Row],[SKU]]="","",IFERROR(N(INDEX(tblStock[StockActual],MATCH(tblConteo[[#This Row],[SKU]],tblStock[SKU],0))),0))</f>
        <v/>
      </c>
      <c r="I10" s="53"/>
      <c r="J10" s="60" t="str">
        <f>IF(OR(tblConteo[[#This Row],[SKU]]="",tblConteo[[#This Row],[Conteo]]=""),"",IF(ISNUMBER(tblConteo[[#This Row],[Conteo]]),tblConteo[[#This Row],[Conteo]]-N(tblConteo[[#This Row],[Sistema]]),""))</f>
        <v/>
      </c>
      <c r="K10" s="63" t="str">
        <f>IF(tblConteo[[#This Row],[Diferencia]]="","",tblConteo[[#This Row],[Diferencia]]*N(INDEX(tblProductos[CostoUnitario],ROW()-ROW(tblConteo[#Headers]))))</f>
        <v/>
      </c>
      <c r="L1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" spans="2:13" x14ac:dyDescent="0.25">
      <c r="B11" s="43" t="str">
        <f>IF(INDEX(tblProductos[SKU],ROW()-ROW(tblConteo[#Headers]))="","",INDEX(tblProductos[SKU],ROW()-ROW(tblConteo[#Headers])))</f>
        <v/>
      </c>
      <c r="C11" s="50" t="str">
        <f>IF(tblConteo[[#This Row],[SKU]]="","",INDEX(tblProductos[Producto],ROW()-ROW(tblConteo[#Headers])))</f>
        <v/>
      </c>
      <c r="D11" s="50" t="str">
        <f>IF(tblConteo[[#This Row],[SKU]]="","",INDEX(tblProductos[Categoría],ROW()-ROW(tblConteo[#Headers]))&amp;"")</f>
        <v/>
      </c>
      <c r="E11" s="43" t="str">
        <f>IF(tblConteo[[#This Row],[SKU]]="","",INDEX(tblProductos[Ubicación],ROW()-ROW(tblConteo[#Headers]))&amp;"")</f>
        <v/>
      </c>
      <c r="F11" s="43" t="str">
        <f>IF(tblConteo[[#This Row],[SKU]]="","",INDEX(tblProductos[Unidad],ROW()-ROW(tblConteo[#Headers]))&amp;"")</f>
        <v/>
      </c>
      <c r="G11" s="43" t="str">
        <f>IF(tblConteo[[#This Row],[SKU]]="","",IF(INDEX(tblProductos[Activo],ROW()-ROW(tblConteo[#Headers]))="NO","NO","SI"))</f>
        <v/>
      </c>
      <c r="H11" s="54" t="str">
        <f>IF(tblConteo[[#This Row],[SKU]]="","",IFERROR(N(INDEX(tblStock[StockActual],MATCH(tblConteo[[#This Row],[SKU]],tblStock[SKU],0))),0))</f>
        <v/>
      </c>
      <c r="I11" s="53"/>
      <c r="J11" s="60" t="str">
        <f>IF(OR(tblConteo[[#This Row],[SKU]]="",tblConteo[[#This Row],[Conteo]]=""),"",IF(ISNUMBER(tblConteo[[#This Row],[Conteo]]),tblConteo[[#This Row],[Conteo]]-N(tblConteo[[#This Row],[Sistema]]),""))</f>
        <v/>
      </c>
      <c r="K11" s="63" t="str">
        <f>IF(tblConteo[[#This Row],[Diferencia]]="","",tblConteo[[#This Row],[Diferencia]]*N(INDEX(tblProductos[CostoUnitario],ROW()-ROW(tblConteo[#Headers]))))</f>
        <v/>
      </c>
      <c r="L1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" spans="2:13" x14ac:dyDescent="0.25">
      <c r="B12" s="43" t="str">
        <f>IF(INDEX(tblProductos[SKU],ROW()-ROW(tblConteo[#Headers]))="","",INDEX(tblProductos[SKU],ROW()-ROW(tblConteo[#Headers])))</f>
        <v/>
      </c>
      <c r="C12" s="50" t="str">
        <f>IF(tblConteo[[#This Row],[SKU]]="","",INDEX(tblProductos[Producto],ROW()-ROW(tblConteo[#Headers])))</f>
        <v/>
      </c>
      <c r="D12" s="50" t="str">
        <f>IF(tblConteo[[#This Row],[SKU]]="","",INDEX(tblProductos[Categoría],ROW()-ROW(tblConteo[#Headers]))&amp;"")</f>
        <v/>
      </c>
      <c r="E12" s="43" t="str">
        <f>IF(tblConteo[[#This Row],[SKU]]="","",INDEX(tblProductos[Ubicación],ROW()-ROW(tblConteo[#Headers]))&amp;"")</f>
        <v/>
      </c>
      <c r="F12" s="43" t="str">
        <f>IF(tblConteo[[#This Row],[SKU]]="","",INDEX(tblProductos[Unidad],ROW()-ROW(tblConteo[#Headers]))&amp;"")</f>
        <v/>
      </c>
      <c r="G12" s="43" t="str">
        <f>IF(tblConteo[[#This Row],[SKU]]="","",IF(INDEX(tblProductos[Activo],ROW()-ROW(tblConteo[#Headers]))="NO","NO","SI"))</f>
        <v/>
      </c>
      <c r="H12" s="54" t="str">
        <f>IF(tblConteo[[#This Row],[SKU]]="","",IFERROR(N(INDEX(tblStock[StockActual],MATCH(tblConteo[[#This Row],[SKU]],tblStock[SKU],0))),0))</f>
        <v/>
      </c>
      <c r="I12" s="53"/>
      <c r="J12" s="60" t="str">
        <f>IF(OR(tblConteo[[#This Row],[SKU]]="",tblConteo[[#This Row],[Conteo]]=""),"",IF(ISNUMBER(tblConteo[[#This Row],[Conteo]]),tblConteo[[#This Row],[Conteo]]-N(tblConteo[[#This Row],[Sistema]]),""))</f>
        <v/>
      </c>
      <c r="K12" s="63" t="str">
        <f>IF(tblConteo[[#This Row],[Diferencia]]="","",tblConteo[[#This Row],[Diferencia]]*N(INDEX(tblProductos[CostoUnitario],ROW()-ROW(tblConteo[#Headers]))))</f>
        <v/>
      </c>
      <c r="L1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" spans="2:13" x14ac:dyDescent="0.25">
      <c r="B13" s="43" t="str">
        <f>IF(INDEX(tblProductos[SKU],ROW()-ROW(tblConteo[#Headers]))="","",INDEX(tblProductos[SKU],ROW()-ROW(tblConteo[#Headers])))</f>
        <v/>
      </c>
      <c r="C13" s="50" t="str">
        <f>IF(tblConteo[[#This Row],[SKU]]="","",INDEX(tblProductos[Producto],ROW()-ROW(tblConteo[#Headers])))</f>
        <v/>
      </c>
      <c r="D13" s="50" t="str">
        <f>IF(tblConteo[[#This Row],[SKU]]="","",INDEX(tblProductos[Categoría],ROW()-ROW(tblConteo[#Headers]))&amp;"")</f>
        <v/>
      </c>
      <c r="E13" s="43" t="str">
        <f>IF(tblConteo[[#This Row],[SKU]]="","",INDEX(tblProductos[Ubicación],ROW()-ROW(tblConteo[#Headers]))&amp;"")</f>
        <v/>
      </c>
      <c r="F13" s="43" t="str">
        <f>IF(tblConteo[[#This Row],[SKU]]="","",INDEX(tblProductos[Unidad],ROW()-ROW(tblConteo[#Headers]))&amp;"")</f>
        <v/>
      </c>
      <c r="G13" s="43" t="str">
        <f>IF(tblConteo[[#This Row],[SKU]]="","",IF(INDEX(tblProductos[Activo],ROW()-ROW(tblConteo[#Headers]))="NO","NO","SI"))</f>
        <v/>
      </c>
      <c r="H13" s="54" t="str">
        <f>IF(tblConteo[[#This Row],[SKU]]="","",IFERROR(N(INDEX(tblStock[StockActual],MATCH(tblConteo[[#This Row],[SKU]],tblStock[SKU],0))),0))</f>
        <v/>
      </c>
      <c r="I13" s="53"/>
      <c r="J13" s="60" t="str">
        <f>IF(OR(tblConteo[[#This Row],[SKU]]="",tblConteo[[#This Row],[Conteo]]=""),"",IF(ISNUMBER(tblConteo[[#This Row],[Conteo]]),tblConteo[[#This Row],[Conteo]]-N(tblConteo[[#This Row],[Sistema]]),""))</f>
        <v/>
      </c>
      <c r="K13" s="63" t="str">
        <f>IF(tblConteo[[#This Row],[Diferencia]]="","",tblConteo[[#This Row],[Diferencia]]*N(INDEX(tblProductos[CostoUnitario],ROW()-ROW(tblConteo[#Headers]))))</f>
        <v/>
      </c>
      <c r="L1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" spans="2:13" x14ac:dyDescent="0.25">
      <c r="B14" s="43" t="str">
        <f>IF(INDEX(tblProductos[SKU],ROW()-ROW(tblConteo[#Headers]))="","",INDEX(tblProductos[SKU],ROW()-ROW(tblConteo[#Headers])))</f>
        <v/>
      </c>
      <c r="C14" s="50" t="str">
        <f>IF(tblConteo[[#This Row],[SKU]]="","",INDEX(tblProductos[Producto],ROW()-ROW(tblConteo[#Headers])))</f>
        <v/>
      </c>
      <c r="D14" s="50" t="str">
        <f>IF(tblConteo[[#This Row],[SKU]]="","",INDEX(tblProductos[Categoría],ROW()-ROW(tblConteo[#Headers]))&amp;"")</f>
        <v/>
      </c>
      <c r="E14" s="43" t="str">
        <f>IF(tblConteo[[#This Row],[SKU]]="","",INDEX(tblProductos[Ubicación],ROW()-ROW(tblConteo[#Headers]))&amp;"")</f>
        <v/>
      </c>
      <c r="F14" s="43" t="str">
        <f>IF(tblConteo[[#This Row],[SKU]]="","",INDEX(tblProductos[Unidad],ROW()-ROW(tblConteo[#Headers]))&amp;"")</f>
        <v/>
      </c>
      <c r="G14" s="43" t="str">
        <f>IF(tblConteo[[#This Row],[SKU]]="","",IF(INDEX(tblProductos[Activo],ROW()-ROW(tblConteo[#Headers]))="NO","NO","SI"))</f>
        <v/>
      </c>
      <c r="H14" s="54" t="str">
        <f>IF(tblConteo[[#This Row],[SKU]]="","",IFERROR(N(INDEX(tblStock[StockActual],MATCH(tblConteo[[#This Row],[SKU]],tblStock[SKU],0))),0))</f>
        <v/>
      </c>
      <c r="I14" s="53"/>
      <c r="J14" s="60" t="str">
        <f>IF(OR(tblConteo[[#This Row],[SKU]]="",tblConteo[[#This Row],[Conteo]]=""),"",IF(ISNUMBER(tblConteo[[#This Row],[Conteo]]),tblConteo[[#This Row],[Conteo]]-N(tblConteo[[#This Row],[Sistema]]),""))</f>
        <v/>
      </c>
      <c r="K14" s="63" t="str">
        <f>IF(tblConteo[[#This Row],[Diferencia]]="","",tblConteo[[#This Row],[Diferencia]]*N(INDEX(tblProductos[CostoUnitario],ROW()-ROW(tblConteo[#Headers]))))</f>
        <v/>
      </c>
      <c r="L1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" spans="2:13" x14ac:dyDescent="0.25">
      <c r="B15" s="43" t="str">
        <f>IF(INDEX(tblProductos[SKU],ROW()-ROW(tblConteo[#Headers]))="","",INDEX(tblProductos[SKU],ROW()-ROW(tblConteo[#Headers])))</f>
        <v/>
      </c>
      <c r="C15" s="50" t="str">
        <f>IF(tblConteo[[#This Row],[SKU]]="","",INDEX(tblProductos[Producto],ROW()-ROW(tblConteo[#Headers])))</f>
        <v/>
      </c>
      <c r="D15" s="50" t="str">
        <f>IF(tblConteo[[#This Row],[SKU]]="","",INDEX(tblProductos[Categoría],ROW()-ROW(tblConteo[#Headers]))&amp;"")</f>
        <v/>
      </c>
      <c r="E15" s="43" t="str">
        <f>IF(tblConteo[[#This Row],[SKU]]="","",INDEX(tblProductos[Ubicación],ROW()-ROW(tblConteo[#Headers]))&amp;"")</f>
        <v/>
      </c>
      <c r="F15" s="43" t="str">
        <f>IF(tblConteo[[#This Row],[SKU]]="","",INDEX(tblProductos[Unidad],ROW()-ROW(tblConteo[#Headers]))&amp;"")</f>
        <v/>
      </c>
      <c r="G15" s="43" t="str">
        <f>IF(tblConteo[[#This Row],[SKU]]="","",IF(INDEX(tblProductos[Activo],ROW()-ROW(tblConteo[#Headers]))="NO","NO","SI"))</f>
        <v/>
      </c>
      <c r="H15" s="54" t="str">
        <f>IF(tblConteo[[#This Row],[SKU]]="","",IFERROR(N(INDEX(tblStock[StockActual],MATCH(tblConteo[[#This Row],[SKU]],tblStock[SKU],0))),0))</f>
        <v/>
      </c>
      <c r="I15" s="53"/>
      <c r="J15" s="60" t="str">
        <f>IF(OR(tblConteo[[#This Row],[SKU]]="",tblConteo[[#This Row],[Conteo]]=""),"",IF(ISNUMBER(tblConteo[[#This Row],[Conteo]]),tblConteo[[#This Row],[Conteo]]-N(tblConteo[[#This Row],[Sistema]]),""))</f>
        <v/>
      </c>
      <c r="K15" s="63" t="str">
        <f>IF(tblConteo[[#This Row],[Diferencia]]="","",tblConteo[[#This Row],[Diferencia]]*N(INDEX(tblProductos[CostoUnitario],ROW()-ROW(tblConteo[#Headers]))))</f>
        <v/>
      </c>
      <c r="L1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" spans="2:13" x14ac:dyDescent="0.25">
      <c r="B16" s="43" t="str">
        <f>IF(INDEX(tblProductos[SKU],ROW()-ROW(tblConteo[#Headers]))="","",INDEX(tblProductos[SKU],ROW()-ROW(tblConteo[#Headers])))</f>
        <v/>
      </c>
      <c r="C16" s="50" t="str">
        <f>IF(tblConteo[[#This Row],[SKU]]="","",INDEX(tblProductos[Producto],ROW()-ROW(tblConteo[#Headers])))</f>
        <v/>
      </c>
      <c r="D16" s="50" t="str">
        <f>IF(tblConteo[[#This Row],[SKU]]="","",INDEX(tblProductos[Categoría],ROW()-ROW(tblConteo[#Headers]))&amp;"")</f>
        <v/>
      </c>
      <c r="E16" s="43" t="str">
        <f>IF(tblConteo[[#This Row],[SKU]]="","",INDEX(tblProductos[Ubicación],ROW()-ROW(tblConteo[#Headers]))&amp;"")</f>
        <v/>
      </c>
      <c r="F16" s="43" t="str">
        <f>IF(tblConteo[[#This Row],[SKU]]="","",INDEX(tblProductos[Unidad],ROW()-ROW(tblConteo[#Headers]))&amp;"")</f>
        <v/>
      </c>
      <c r="G16" s="43" t="str">
        <f>IF(tblConteo[[#This Row],[SKU]]="","",IF(INDEX(tblProductos[Activo],ROW()-ROW(tblConteo[#Headers]))="NO","NO","SI"))</f>
        <v/>
      </c>
      <c r="H16" s="54" t="str">
        <f>IF(tblConteo[[#This Row],[SKU]]="","",IFERROR(N(INDEX(tblStock[StockActual],MATCH(tblConteo[[#This Row],[SKU]],tblStock[SKU],0))),0))</f>
        <v/>
      </c>
      <c r="I16" s="53"/>
      <c r="J16" s="60" t="str">
        <f>IF(OR(tblConteo[[#This Row],[SKU]]="",tblConteo[[#This Row],[Conteo]]=""),"",IF(ISNUMBER(tblConteo[[#This Row],[Conteo]]),tblConteo[[#This Row],[Conteo]]-N(tblConteo[[#This Row],[Sistema]]),""))</f>
        <v/>
      </c>
      <c r="K16" s="63" t="str">
        <f>IF(tblConteo[[#This Row],[Diferencia]]="","",tblConteo[[#This Row],[Diferencia]]*N(INDEX(tblProductos[CostoUnitario],ROW()-ROW(tblConteo[#Headers]))))</f>
        <v/>
      </c>
      <c r="L1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" spans="2:13" x14ac:dyDescent="0.25">
      <c r="B17" s="43" t="str">
        <f>IF(INDEX(tblProductos[SKU],ROW()-ROW(tblConteo[#Headers]))="","",INDEX(tblProductos[SKU],ROW()-ROW(tblConteo[#Headers])))</f>
        <v/>
      </c>
      <c r="C17" s="50" t="str">
        <f>IF(tblConteo[[#This Row],[SKU]]="","",INDEX(tblProductos[Producto],ROW()-ROW(tblConteo[#Headers])))</f>
        <v/>
      </c>
      <c r="D17" s="50" t="str">
        <f>IF(tblConteo[[#This Row],[SKU]]="","",INDEX(tblProductos[Categoría],ROW()-ROW(tblConteo[#Headers]))&amp;"")</f>
        <v/>
      </c>
      <c r="E17" s="43" t="str">
        <f>IF(tblConteo[[#This Row],[SKU]]="","",INDEX(tblProductos[Ubicación],ROW()-ROW(tblConteo[#Headers]))&amp;"")</f>
        <v/>
      </c>
      <c r="F17" s="43" t="str">
        <f>IF(tblConteo[[#This Row],[SKU]]="","",INDEX(tblProductos[Unidad],ROW()-ROW(tblConteo[#Headers]))&amp;"")</f>
        <v/>
      </c>
      <c r="G17" s="43" t="str">
        <f>IF(tblConteo[[#This Row],[SKU]]="","",IF(INDEX(tblProductos[Activo],ROW()-ROW(tblConteo[#Headers]))="NO","NO","SI"))</f>
        <v/>
      </c>
      <c r="H17" s="54" t="str">
        <f>IF(tblConteo[[#This Row],[SKU]]="","",IFERROR(N(INDEX(tblStock[StockActual],MATCH(tblConteo[[#This Row],[SKU]],tblStock[SKU],0))),0))</f>
        <v/>
      </c>
      <c r="I17" s="53"/>
      <c r="J17" s="60" t="str">
        <f>IF(OR(tblConteo[[#This Row],[SKU]]="",tblConteo[[#This Row],[Conteo]]=""),"",IF(ISNUMBER(tblConteo[[#This Row],[Conteo]]),tblConteo[[#This Row],[Conteo]]-N(tblConteo[[#This Row],[Sistema]]),""))</f>
        <v/>
      </c>
      <c r="K17" s="63" t="str">
        <f>IF(tblConteo[[#This Row],[Diferencia]]="","",tblConteo[[#This Row],[Diferencia]]*N(INDEX(tblProductos[CostoUnitario],ROW()-ROW(tblConteo[#Headers]))))</f>
        <v/>
      </c>
      <c r="L1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" spans="2:13" x14ac:dyDescent="0.25">
      <c r="B18" s="43" t="str">
        <f>IF(INDEX(tblProductos[SKU],ROW()-ROW(tblConteo[#Headers]))="","",INDEX(tblProductos[SKU],ROW()-ROW(tblConteo[#Headers])))</f>
        <v/>
      </c>
      <c r="C18" s="50" t="str">
        <f>IF(tblConteo[[#This Row],[SKU]]="","",INDEX(tblProductos[Producto],ROW()-ROW(tblConteo[#Headers])))</f>
        <v/>
      </c>
      <c r="D18" s="50" t="str">
        <f>IF(tblConteo[[#This Row],[SKU]]="","",INDEX(tblProductos[Categoría],ROW()-ROW(tblConteo[#Headers]))&amp;"")</f>
        <v/>
      </c>
      <c r="E18" s="43" t="str">
        <f>IF(tblConteo[[#This Row],[SKU]]="","",INDEX(tblProductos[Ubicación],ROW()-ROW(tblConteo[#Headers]))&amp;"")</f>
        <v/>
      </c>
      <c r="F18" s="43" t="str">
        <f>IF(tblConteo[[#This Row],[SKU]]="","",INDEX(tblProductos[Unidad],ROW()-ROW(tblConteo[#Headers]))&amp;"")</f>
        <v/>
      </c>
      <c r="G18" s="43" t="str">
        <f>IF(tblConteo[[#This Row],[SKU]]="","",IF(INDEX(tblProductos[Activo],ROW()-ROW(tblConteo[#Headers]))="NO","NO","SI"))</f>
        <v/>
      </c>
      <c r="H18" s="54" t="str">
        <f>IF(tblConteo[[#This Row],[SKU]]="","",IFERROR(N(INDEX(tblStock[StockActual],MATCH(tblConteo[[#This Row],[SKU]],tblStock[SKU],0))),0))</f>
        <v/>
      </c>
      <c r="I18" s="53"/>
      <c r="J18" s="60" t="str">
        <f>IF(OR(tblConteo[[#This Row],[SKU]]="",tblConteo[[#This Row],[Conteo]]=""),"",IF(ISNUMBER(tblConteo[[#This Row],[Conteo]]),tblConteo[[#This Row],[Conteo]]-N(tblConteo[[#This Row],[Sistema]]),""))</f>
        <v/>
      </c>
      <c r="K18" s="63" t="str">
        <f>IF(tblConteo[[#This Row],[Diferencia]]="","",tblConteo[[#This Row],[Diferencia]]*N(INDEX(tblProductos[CostoUnitario],ROW()-ROW(tblConteo[#Headers]))))</f>
        <v/>
      </c>
      <c r="L1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" spans="2:13" x14ac:dyDescent="0.25">
      <c r="B19" s="43" t="str">
        <f>IF(INDEX(tblProductos[SKU],ROW()-ROW(tblConteo[#Headers]))="","",INDEX(tblProductos[SKU],ROW()-ROW(tblConteo[#Headers])))</f>
        <v/>
      </c>
      <c r="C19" s="50" t="str">
        <f>IF(tblConteo[[#This Row],[SKU]]="","",INDEX(tblProductos[Producto],ROW()-ROW(tblConteo[#Headers])))</f>
        <v/>
      </c>
      <c r="D19" s="50" t="str">
        <f>IF(tblConteo[[#This Row],[SKU]]="","",INDEX(tblProductos[Categoría],ROW()-ROW(tblConteo[#Headers]))&amp;"")</f>
        <v/>
      </c>
      <c r="E19" s="43" t="str">
        <f>IF(tblConteo[[#This Row],[SKU]]="","",INDEX(tblProductos[Ubicación],ROW()-ROW(tblConteo[#Headers]))&amp;"")</f>
        <v/>
      </c>
      <c r="F19" s="43" t="str">
        <f>IF(tblConteo[[#This Row],[SKU]]="","",INDEX(tblProductos[Unidad],ROW()-ROW(tblConteo[#Headers]))&amp;"")</f>
        <v/>
      </c>
      <c r="G19" s="43" t="str">
        <f>IF(tblConteo[[#This Row],[SKU]]="","",IF(INDEX(tblProductos[Activo],ROW()-ROW(tblConteo[#Headers]))="NO","NO","SI"))</f>
        <v/>
      </c>
      <c r="H19" s="54" t="str">
        <f>IF(tblConteo[[#This Row],[SKU]]="","",IFERROR(N(INDEX(tblStock[StockActual],MATCH(tblConteo[[#This Row],[SKU]],tblStock[SKU],0))),0))</f>
        <v/>
      </c>
      <c r="I19" s="53"/>
      <c r="J19" s="60" t="str">
        <f>IF(OR(tblConteo[[#This Row],[SKU]]="",tblConteo[[#This Row],[Conteo]]=""),"",IF(ISNUMBER(tblConteo[[#This Row],[Conteo]]),tblConteo[[#This Row],[Conteo]]-N(tblConteo[[#This Row],[Sistema]]),""))</f>
        <v/>
      </c>
      <c r="K19" s="63" t="str">
        <f>IF(tblConteo[[#This Row],[Diferencia]]="","",tblConteo[[#This Row],[Diferencia]]*N(INDEX(tblProductos[CostoUnitario],ROW()-ROW(tblConteo[#Headers]))))</f>
        <v/>
      </c>
      <c r="L1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" spans="2:13" x14ac:dyDescent="0.25">
      <c r="B20" s="43" t="str">
        <f>IF(INDEX(tblProductos[SKU],ROW()-ROW(tblConteo[#Headers]))="","",INDEX(tblProductos[SKU],ROW()-ROW(tblConteo[#Headers])))</f>
        <v/>
      </c>
      <c r="C20" s="50" t="str">
        <f>IF(tblConteo[[#This Row],[SKU]]="","",INDEX(tblProductos[Producto],ROW()-ROW(tblConteo[#Headers])))</f>
        <v/>
      </c>
      <c r="D20" s="50" t="str">
        <f>IF(tblConteo[[#This Row],[SKU]]="","",INDEX(tblProductos[Categoría],ROW()-ROW(tblConteo[#Headers]))&amp;"")</f>
        <v/>
      </c>
      <c r="E20" s="43" t="str">
        <f>IF(tblConteo[[#This Row],[SKU]]="","",INDEX(tblProductos[Ubicación],ROW()-ROW(tblConteo[#Headers]))&amp;"")</f>
        <v/>
      </c>
      <c r="F20" s="43" t="str">
        <f>IF(tblConteo[[#This Row],[SKU]]="","",INDEX(tblProductos[Unidad],ROW()-ROW(tblConteo[#Headers]))&amp;"")</f>
        <v/>
      </c>
      <c r="G20" s="43" t="str">
        <f>IF(tblConteo[[#This Row],[SKU]]="","",IF(INDEX(tblProductos[Activo],ROW()-ROW(tblConteo[#Headers]))="NO","NO","SI"))</f>
        <v/>
      </c>
      <c r="H20" s="54" t="str">
        <f>IF(tblConteo[[#This Row],[SKU]]="","",IFERROR(N(INDEX(tblStock[StockActual],MATCH(tblConteo[[#This Row],[SKU]],tblStock[SKU],0))),0))</f>
        <v/>
      </c>
      <c r="I20" s="53"/>
      <c r="J20" s="60" t="str">
        <f>IF(OR(tblConteo[[#This Row],[SKU]]="",tblConteo[[#This Row],[Conteo]]=""),"",IF(ISNUMBER(tblConteo[[#This Row],[Conteo]]),tblConteo[[#This Row],[Conteo]]-N(tblConteo[[#This Row],[Sistema]]),""))</f>
        <v/>
      </c>
      <c r="K20" s="63" t="str">
        <f>IF(tblConteo[[#This Row],[Diferencia]]="","",tblConteo[[#This Row],[Diferencia]]*N(INDEX(tblProductos[CostoUnitario],ROW()-ROW(tblConteo[#Headers]))))</f>
        <v/>
      </c>
      <c r="L2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" spans="2:13" x14ac:dyDescent="0.25">
      <c r="B21" s="43" t="str">
        <f>IF(INDEX(tblProductos[SKU],ROW()-ROW(tblConteo[#Headers]))="","",INDEX(tblProductos[SKU],ROW()-ROW(tblConteo[#Headers])))</f>
        <v/>
      </c>
      <c r="C21" s="50" t="str">
        <f>IF(tblConteo[[#This Row],[SKU]]="","",INDEX(tblProductos[Producto],ROW()-ROW(tblConteo[#Headers])))</f>
        <v/>
      </c>
      <c r="D21" s="50" t="str">
        <f>IF(tblConteo[[#This Row],[SKU]]="","",INDEX(tblProductos[Categoría],ROW()-ROW(tblConteo[#Headers]))&amp;"")</f>
        <v/>
      </c>
      <c r="E21" s="43" t="str">
        <f>IF(tblConteo[[#This Row],[SKU]]="","",INDEX(tblProductos[Ubicación],ROW()-ROW(tblConteo[#Headers]))&amp;"")</f>
        <v/>
      </c>
      <c r="F21" s="43" t="str">
        <f>IF(tblConteo[[#This Row],[SKU]]="","",INDEX(tblProductos[Unidad],ROW()-ROW(tblConteo[#Headers]))&amp;"")</f>
        <v/>
      </c>
      <c r="G21" s="43" t="str">
        <f>IF(tblConteo[[#This Row],[SKU]]="","",IF(INDEX(tblProductos[Activo],ROW()-ROW(tblConteo[#Headers]))="NO","NO","SI"))</f>
        <v/>
      </c>
      <c r="H21" s="54" t="str">
        <f>IF(tblConteo[[#This Row],[SKU]]="","",IFERROR(N(INDEX(tblStock[StockActual],MATCH(tblConteo[[#This Row],[SKU]],tblStock[SKU],0))),0))</f>
        <v/>
      </c>
      <c r="I21" s="53"/>
      <c r="J21" s="60" t="str">
        <f>IF(OR(tblConteo[[#This Row],[SKU]]="",tblConteo[[#This Row],[Conteo]]=""),"",IF(ISNUMBER(tblConteo[[#This Row],[Conteo]]),tblConteo[[#This Row],[Conteo]]-N(tblConteo[[#This Row],[Sistema]]),""))</f>
        <v/>
      </c>
      <c r="K21" s="63" t="str">
        <f>IF(tblConteo[[#This Row],[Diferencia]]="","",tblConteo[[#This Row],[Diferencia]]*N(INDEX(tblProductos[CostoUnitario],ROW()-ROW(tblConteo[#Headers]))))</f>
        <v/>
      </c>
      <c r="L2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" spans="2:13" x14ac:dyDescent="0.25">
      <c r="B22" s="43" t="str">
        <f>IF(INDEX(tblProductos[SKU],ROW()-ROW(tblConteo[#Headers]))="","",INDEX(tblProductos[SKU],ROW()-ROW(tblConteo[#Headers])))</f>
        <v/>
      </c>
      <c r="C22" s="50" t="str">
        <f>IF(tblConteo[[#This Row],[SKU]]="","",INDEX(tblProductos[Producto],ROW()-ROW(tblConteo[#Headers])))</f>
        <v/>
      </c>
      <c r="D22" s="50" t="str">
        <f>IF(tblConteo[[#This Row],[SKU]]="","",INDEX(tblProductos[Categoría],ROW()-ROW(tblConteo[#Headers]))&amp;"")</f>
        <v/>
      </c>
      <c r="E22" s="43" t="str">
        <f>IF(tblConteo[[#This Row],[SKU]]="","",INDEX(tblProductos[Ubicación],ROW()-ROW(tblConteo[#Headers]))&amp;"")</f>
        <v/>
      </c>
      <c r="F22" s="43" t="str">
        <f>IF(tblConteo[[#This Row],[SKU]]="","",INDEX(tblProductos[Unidad],ROW()-ROW(tblConteo[#Headers]))&amp;"")</f>
        <v/>
      </c>
      <c r="G22" s="43" t="str">
        <f>IF(tblConteo[[#This Row],[SKU]]="","",IF(INDEX(tblProductos[Activo],ROW()-ROW(tblConteo[#Headers]))="NO","NO","SI"))</f>
        <v/>
      </c>
      <c r="H22" s="54" t="str">
        <f>IF(tblConteo[[#This Row],[SKU]]="","",IFERROR(N(INDEX(tblStock[StockActual],MATCH(tblConteo[[#This Row],[SKU]],tblStock[SKU],0))),0))</f>
        <v/>
      </c>
      <c r="I22" s="53"/>
      <c r="J22" s="60" t="str">
        <f>IF(OR(tblConteo[[#This Row],[SKU]]="",tblConteo[[#This Row],[Conteo]]=""),"",IF(ISNUMBER(tblConteo[[#This Row],[Conteo]]),tblConteo[[#This Row],[Conteo]]-N(tblConteo[[#This Row],[Sistema]]),""))</f>
        <v/>
      </c>
      <c r="K22" s="63" t="str">
        <f>IF(tblConteo[[#This Row],[Diferencia]]="","",tblConteo[[#This Row],[Diferencia]]*N(INDEX(tblProductos[CostoUnitario],ROW()-ROW(tblConteo[#Headers]))))</f>
        <v/>
      </c>
      <c r="L2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" spans="2:13" x14ac:dyDescent="0.25">
      <c r="B23" s="43" t="str">
        <f>IF(INDEX(tblProductos[SKU],ROW()-ROW(tblConteo[#Headers]))="","",INDEX(tblProductos[SKU],ROW()-ROW(tblConteo[#Headers])))</f>
        <v/>
      </c>
      <c r="C23" s="50" t="str">
        <f>IF(tblConteo[[#This Row],[SKU]]="","",INDEX(tblProductos[Producto],ROW()-ROW(tblConteo[#Headers])))</f>
        <v/>
      </c>
      <c r="D23" s="50" t="str">
        <f>IF(tblConteo[[#This Row],[SKU]]="","",INDEX(tblProductos[Categoría],ROW()-ROW(tblConteo[#Headers]))&amp;"")</f>
        <v/>
      </c>
      <c r="E23" s="43" t="str">
        <f>IF(tblConteo[[#This Row],[SKU]]="","",INDEX(tblProductos[Ubicación],ROW()-ROW(tblConteo[#Headers]))&amp;"")</f>
        <v/>
      </c>
      <c r="F23" s="43" t="str">
        <f>IF(tblConteo[[#This Row],[SKU]]="","",INDEX(tblProductos[Unidad],ROW()-ROW(tblConteo[#Headers]))&amp;"")</f>
        <v/>
      </c>
      <c r="G23" s="43" t="str">
        <f>IF(tblConteo[[#This Row],[SKU]]="","",IF(INDEX(tblProductos[Activo],ROW()-ROW(tblConteo[#Headers]))="NO","NO","SI"))</f>
        <v/>
      </c>
      <c r="H23" s="54" t="str">
        <f>IF(tblConteo[[#This Row],[SKU]]="","",IFERROR(N(INDEX(tblStock[StockActual],MATCH(tblConteo[[#This Row],[SKU]],tblStock[SKU],0))),0))</f>
        <v/>
      </c>
      <c r="I23" s="53"/>
      <c r="J23" s="60" t="str">
        <f>IF(OR(tblConteo[[#This Row],[SKU]]="",tblConteo[[#This Row],[Conteo]]=""),"",IF(ISNUMBER(tblConteo[[#This Row],[Conteo]]),tblConteo[[#This Row],[Conteo]]-N(tblConteo[[#This Row],[Sistema]]),""))</f>
        <v/>
      </c>
      <c r="K23" s="63" t="str">
        <f>IF(tblConteo[[#This Row],[Diferencia]]="","",tblConteo[[#This Row],[Diferencia]]*N(INDEX(tblProductos[CostoUnitario],ROW()-ROW(tblConteo[#Headers]))))</f>
        <v/>
      </c>
      <c r="L2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" spans="2:13" x14ac:dyDescent="0.25">
      <c r="B24" s="43" t="str">
        <f>IF(INDEX(tblProductos[SKU],ROW()-ROW(tblConteo[#Headers]))="","",INDEX(tblProductos[SKU],ROW()-ROW(tblConteo[#Headers])))</f>
        <v/>
      </c>
      <c r="C24" s="50" t="str">
        <f>IF(tblConteo[[#This Row],[SKU]]="","",INDEX(tblProductos[Producto],ROW()-ROW(tblConteo[#Headers])))</f>
        <v/>
      </c>
      <c r="D24" s="50" t="str">
        <f>IF(tblConteo[[#This Row],[SKU]]="","",INDEX(tblProductos[Categoría],ROW()-ROW(tblConteo[#Headers]))&amp;"")</f>
        <v/>
      </c>
      <c r="E24" s="43" t="str">
        <f>IF(tblConteo[[#This Row],[SKU]]="","",INDEX(tblProductos[Ubicación],ROW()-ROW(tblConteo[#Headers]))&amp;"")</f>
        <v/>
      </c>
      <c r="F24" s="43" t="str">
        <f>IF(tblConteo[[#This Row],[SKU]]="","",INDEX(tblProductos[Unidad],ROW()-ROW(tblConteo[#Headers]))&amp;"")</f>
        <v/>
      </c>
      <c r="G24" s="43" t="str">
        <f>IF(tblConteo[[#This Row],[SKU]]="","",IF(INDEX(tblProductos[Activo],ROW()-ROW(tblConteo[#Headers]))="NO","NO","SI"))</f>
        <v/>
      </c>
      <c r="H24" s="54" t="str">
        <f>IF(tblConteo[[#This Row],[SKU]]="","",IFERROR(N(INDEX(tblStock[StockActual],MATCH(tblConteo[[#This Row],[SKU]],tblStock[SKU],0))),0))</f>
        <v/>
      </c>
      <c r="I24" s="53"/>
      <c r="J24" s="60" t="str">
        <f>IF(OR(tblConteo[[#This Row],[SKU]]="",tblConteo[[#This Row],[Conteo]]=""),"",IF(ISNUMBER(tblConteo[[#This Row],[Conteo]]),tblConteo[[#This Row],[Conteo]]-N(tblConteo[[#This Row],[Sistema]]),""))</f>
        <v/>
      </c>
      <c r="K24" s="63" t="str">
        <f>IF(tblConteo[[#This Row],[Diferencia]]="","",tblConteo[[#This Row],[Diferencia]]*N(INDEX(tblProductos[CostoUnitario],ROW()-ROW(tblConteo[#Headers]))))</f>
        <v/>
      </c>
      <c r="L2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" spans="2:13" x14ac:dyDescent="0.25">
      <c r="B25" s="43" t="str">
        <f>IF(INDEX(tblProductos[SKU],ROW()-ROW(tblConteo[#Headers]))="","",INDEX(tblProductos[SKU],ROW()-ROW(tblConteo[#Headers])))</f>
        <v/>
      </c>
      <c r="C25" s="50" t="str">
        <f>IF(tblConteo[[#This Row],[SKU]]="","",INDEX(tblProductos[Producto],ROW()-ROW(tblConteo[#Headers])))</f>
        <v/>
      </c>
      <c r="D25" s="50" t="str">
        <f>IF(tblConteo[[#This Row],[SKU]]="","",INDEX(tblProductos[Categoría],ROW()-ROW(tblConteo[#Headers]))&amp;"")</f>
        <v/>
      </c>
      <c r="E25" s="43" t="str">
        <f>IF(tblConteo[[#This Row],[SKU]]="","",INDEX(tblProductos[Ubicación],ROW()-ROW(tblConteo[#Headers]))&amp;"")</f>
        <v/>
      </c>
      <c r="F25" s="43" t="str">
        <f>IF(tblConteo[[#This Row],[SKU]]="","",INDEX(tblProductos[Unidad],ROW()-ROW(tblConteo[#Headers]))&amp;"")</f>
        <v/>
      </c>
      <c r="G25" s="43" t="str">
        <f>IF(tblConteo[[#This Row],[SKU]]="","",IF(INDEX(tblProductos[Activo],ROW()-ROW(tblConteo[#Headers]))="NO","NO","SI"))</f>
        <v/>
      </c>
      <c r="H25" s="54" t="str">
        <f>IF(tblConteo[[#This Row],[SKU]]="","",IFERROR(N(INDEX(tblStock[StockActual],MATCH(tblConteo[[#This Row],[SKU]],tblStock[SKU],0))),0))</f>
        <v/>
      </c>
      <c r="I25" s="53"/>
      <c r="J25" s="60" t="str">
        <f>IF(OR(tblConteo[[#This Row],[SKU]]="",tblConteo[[#This Row],[Conteo]]=""),"",IF(ISNUMBER(tblConteo[[#This Row],[Conteo]]),tblConteo[[#This Row],[Conteo]]-N(tblConteo[[#This Row],[Sistema]]),""))</f>
        <v/>
      </c>
      <c r="K25" s="63" t="str">
        <f>IF(tblConteo[[#This Row],[Diferencia]]="","",tblConteo[[#This Row],[Diferencia]]*N(INDEX(tblProductos[CostoUnitario],ROW()-ROW(tblConteo[#Headers]))))</f>
        <v/>
      </c>
      <c r="L2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" spans="2:13" x14ac:dyDescent="0.25">
      <c r="B26" s="43" t="str">
        <f>IF(INDEX(tblProductos[SKU],ROW()-ROW(tblConteo[#Headers]))="","",INDEX(tblProductos[SKU],ROW()-ROW(tblConteo[#Headers])))</f>
        <v/>
      </c>
      <c r="C26" s="50" t="str">
        <f>IF(tblConteo[[#This Row],[SKU]]="","",INDEX(tblProductos[Producto],ROW()-ROW(tblConteo[#Headers])))</f>
        <v/>
      </c>
      <c r="D26" s="50" t="str">
        <f>IF(tblConteo[[#This Row],[SKU]]="","",INDEX(tblProductos[Categoría],ROW()-ROW(tblConteo[#Headers]))&amp;"")</f>
        <v/>
      </c>
      <c r="E26" s="43" t="str">
        <f>IF(tblConteo[[#This Row],[SKU]]="","",INDEX(tblProductos[Ubicación],ROW()-ROW(tblConteo[#Headers]))&amp;"")</f>
        <v/>
      </c>
      <c r="F26" s="43" t="str">
        <f>IF(tblConteo[[#This Row],[SKU]]="","",INDEX(tblProductos[Unidad],ROW()-ROW(tblConteo[#Headers]))&amp;"")</f>
        <v/>
      </c>
      <c r="G26" s="43" t="str">
        <f>IF(tblConteo[[#This Row],[SKU]]="","",IF(INDEX(tblProductos[Activo],ROW()-ROW(tblConteo[#Headers]))="NO","NO","SI"))</f>
        <v/>
      </c>
      <c r="H26" s="54" t="str">
        <f>IF(tblConteo[[#This Row],[SKU]]="","",IFERROR(N(INDEX(tblStock[StockActual],MATCH(tblConteo[[#This Row],[SKU]],tblStock[SKU],0))),0))</f>
        <v/>
      </c>
      <c r="I26" s="53"/>
      <c r="J26" s="60" t="str">
        <f>IF(OR(tblConteo[[#This Row],[SKU]]="",tblConteo[[#This Row],[Conteo]]=""),"",IF(ISNUMBER(tblConteo[[#This Row],[Conteo]]),tblConteo[[#This Row],[Conteo]]-N(tblConteo[[#This Row],[Sistema]]),""))</f>
        <v/>
      </c>
      <c r="K26" s="63" t="str">
        <f>IF(tblConteo[[#This Row],[Diferencia]]="","",tblConteo[[#This Row],[Diferencia]]*N(INDEX(tblProductos[CostoUnitario],ROW()-ROW(tblConteo[#Headers]))))</f>
        <v/>
      </c>
      <c r="L2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" spans="2:13" x14ac:dyDescent="0.25">
      <c r="B27" s="43" t="str">
        <f>IF(INDEX(tblProductos[SKU],ROW()-ROW(tblConteo[#Headers]))="","",INDEX(tblProductos[SKU],ROW()-ROW(tblConteo[#Headers])))</f>
        <v/>
      </c>
      <c r="C27" s="50" t="str">
        <f>IF(tblConteo[[#This Row],[SKU]]="","",INDEX(tblProductos[Producto],ROW()-ROW(tblConteo[#Headers])))</f>
        <v/>
      </c>
      <c r="D27" s="50" t="str">
        <f>IF(tblConteo[[#This Row],[SKU]]="","",INDEX(tblProductos[Categoría],ROW()-ROW(tblConteo[#Headers]))&amp;"")</f>
        <v/>
      </c>
      <c r="E27" s="43" t="str">
        <f>IF(tblConteo[[#This Row],[SKU]]="","",INDEX(tblProductos[Ubicación],ROW()-ROW(tblConteo[#Headers]))&amp;"")</f>
        <v/>
      </c>
      <c r="F27" s="43" t="str">
        <f>IF(tblConteo[[#This Row],[SKU]]="","",INDEX(tblProductos[Unidad],ROW()-ROW(tblConteo[#Headers]))&amp;"")</f>
        <v/>
      </c>
      <c r="G27" s="43" t="str">
        <f>IF(tblConteo[[#This Row],[SKU]]="","",IF(INDEX(tblProductos[Activo],ROW()-ROW(tblConteo[#Headers]))="NO","NO","SI"))</f>
        <v/>
      </c>
      <c r="H27" s="54" t="str">
        <f>IF(tblConteo[[#This Row],[SKU]]="","",IFERROR(N(INDEX(tblStock[StockActual],MATCH(tblConteo[[#This Row],[SKU]],tblStock[SKU],0))),0))</f>
        <v/>
      </c>
      <c r="I27" s="53"/>
      <c r="J27" s="60" t="str">
        <f>IF(OR(tblConteo[[#This Row],[SKU]]="",tblConteo[[#This Row],[Conteo]]=""),"",IF(ISNUMBER(tblConteo[[#This Row],[Conteo]]),tblConteo[[#This Row],[Conteo]]-N(tblConteo[[#This Row],[Sistema]]),""))</f>
        <v/>
      </c>
      <c r="K27" s="63" t="str">
        <f>IF(tblConteo[[#This Row],[Diferencia]]="","",tblConteo[[#This Row],[Diferencia]]*N(INDEX(tblProductos[CostoUnitario],ROW()-ROW(tblConteo[#Headers]))))</f>
        <v/>
      </c>
      <c r="L2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" spans="2:13" x14ac:dyDescent="0.25">
      <c r="B28" s="43" t="str">
        <f>IF(INDEX(tblProductos[SKU],ROW()-ROW(tblConteo[#Headers]))="","",INDEX(tblProductos[SKU],ROW()-ROW(tblConteo[#Headers])))</f>
        <v/>
      </c>
      <c r="C28" s="50" t="str">
        <f>IF(tblConteo[[#This Row],[SKU]]="","",INDEX(tblProductos[Producto],ROW()-ROW(tblConteo[#Headers])))</f>
        <v/>
      </c>
      <c r="D28" s="50" t="str">
        <f>IF(tblConteo[[#This Row],[SKU]]="","",INDEX(tblProductos[Categoría],ROW()-ROW(tblConteo[#Headers]))&amp;"")</f>
        <v/>
      </c>
      <c r="E28" s="43" t="str">
        <f>IF(tblConteo[[#This Row],[SKU]]="","",INDEX(tblProductos[Ubicación],ROW()-ROW(tblConteo[#Headers]))&amp;"")</f>
        <v/>
      </c>
      <c r="F28" s="43" t="str">
        <f>IF(tblConteo[[#This Row],[SKU]]="","",INDEX(tblProductos[Unidad],ROW()-ROW(tblConteo[#Headers]))&amp;"")</f>
        <v/>
      </c>
      <c r="G28" s="43" t="str">
        <f>IF(tblConteo[[#This Row],[SKU]]="","",IF(INDEX(tblProductos[Activo],ROW()-ROW(tblConteo[#Headers]))="NO","NO","SI"))</f>
        <v/>
      </c>
      <c r="H28" s="54" t="str">
        <f>IF(tblConteo[[#This Row],[SKU]]="","",IFERROR(N(INDEX(tblStock[StockActual],MATCH(tblConteo[[#This Row],[SKU]],tblStock[SKU],0))),0))</f>
        <v/>
      </c>
      <c r="I28" s="53"/>
      <c r="J28" s="60" t="str">
        <f>IF(OR(tblConteo[[#This Row],[SKU]]="",tblConteo[[#This Row],[Conteo]]=""),"",IF(ISNUMBER(tblConteo[[#This Row],[Conteo]]),tblConteo[[#This Row],[Conteo]]-N(tblConteo[[#This Row],[Sistema]]),""))</f>
        <v/>
      </c>
      <c r="K28" s="63" t="str">
        <f>IF(tblConteo[[#This Row],[Diferencia]]="","",tblConteo[[#This Row],[Diferencia]]*N(INDEX(tblProductos[CostoUnitario],ROW()-ROW(tblConteo[#Headers]))))</f>
        <v/>
      </c>
      <c r="L2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" spans="2:13" x14ac:dyDescent="0.25">
      <c r="B29" s="43" t="str">
        <f>IF(INDEX(tblProductos[SKU],ROW()-ROW(tblConteo[#Headers]))="","",INDEX(tblProductos[SKU],ROW()-ROW(tblConteo[#Headers])))</f>
        <v/>
      </c>
      <c r="C29" s="50" t="str">
        <f>IF(tblConteo[[#This Row],[SKU]]="","",INDEX(tblProductos[Producto],ROW()-ROW(tblConteo[#Headers])))</f>
        <v/>
      </c>
      <c r="D29" s="50" t="str">
        <f>IF(tblConteo[[#This Row],[SKU]]="","",INDEX(tblProductos[Categoría],ROW()-ROW(tblConteo[#Headers]))&amp;"")</f>
        <v/>
      </c>
      <c r="E29" s="43" t="str">
        <f>IF(tblConteo[[#This Row],[SKU]]="","",INDEX(tblProductos[Ubicación],ROW()-ROW(tblConteo[#Headers]))&amp;"")</f>
        <v/>
      </c>
      <c r="F29" s="43" t="str">
        <f>IF(tblConteo[[#This Row],[SKU]]="","",INDEX(tblProductos[Unidad],ROW()-ROW(tblConteo[#Headers]))&amp;"")</f>
        <v/>
      </c>
      <c r="G29" s="43" t="str">
        <f>IF(tblConteo[[#This Row],[SKU]]="","",IF(INDEX(tblProductos[Activo],ROW()-ROW(tblConteo[#Headers]))="NO","NO","SI"))</f>
        <v/>
      </c>
      <c r="H29" s="54" t="str">
        <f>IF(tblConteo[[#This Row],[SKU]]="","",IFERROR(N(INDEX(tblStock[StockActual],MATCH(tblConteo[[#This Row],[SKU]],tblStock[SKU],0))),0))</f>
        <v/>
      </c>
      <c r="I29" s="53"/>
      <c r="J29" s="60" t="str">
        <f>IF(OR(tblConteo[[#This Row],[SKU]]="",tblConteo[[#This Row],[Conteo]]=""),"",IF(ISNUMBER(tblConteo[[#This Row],[Conteo]]),tblConteo[[#This Row],[Conteo]]-N(tblConteo[[#This Row],[Sistema]]),""))</f>
        <v/>
      </c>
      <c r="K29" s="63" t="str">
        <f>IF(tblConteo[[#This Row],[Diferencia]]="","",tblConteo[[#This Row],[Diferencia]]*N(INDEX(tblProductos[CostoUnitario],ROW()-ROW(tblConteo[#Headers]))))</f>
        <v/>
      </c>
      <c r="L2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" spans="2:13" x14ac:dyDescent="0.25">
      <c r="B30" s="43" t="str">
        <f>IF(INDEX(tblProductos[SKU],ROW()-ROW(tblConteo[#Headers]))="","",INDEX(tblProductos[SKU],ROW()-ROW(tblConteo[#Headers])))</f>
        <v/>
      </c>
      <c r="C30" s="50" t="str">
        <f>IF(tblConteo[[#This Row],[SKU]]="","",INDEX(tblProductos[Producto],ROW()-ROW(tblConteo[#Headers])))</f>
        <v/>
      </c>
      <c r="D30" s="50" t="str">
        <f>IF(tblConteo[[#This Row],[SKU]]="","",INDEX(tblProductos[Categoría],ROW()-ROW(tblConteo[#Headers]))&amp;"")</f>
        <v/>
      </c>
      <c r="E30" s="43" t="str">
        <f>IF(tblConteo[[#This Row],[SKU]]="","",INDEX(tblProductos[Ubicación],ROW()-ROW(tblConteo[#Headers]))&amp;"")</f>
        <v/>
      </c>
      <c r="F30" s="43" t="str">
        <f>IF(tblConteo[[#This Row],[SKU]]="","",INDEX(tblProductos[Unidad],ROW()-ROW(tblConteo[#Headers]))&amp;"")</f>
        <v/>
      </c>
      <c r="G30" s="43" t="str">
        <f>IF(tblConteo[[#This Row],[SKU]]="","",IF(INDEX(tblProductos[Activo],ROW()-ROW(tblConteo[#Headers]))="NO","NO","SI"))</f>
        <v/>
      </c>
      <c r="H30" s="54" t="str">
        <f>IF(tblConteo[[#This Row],[SKU]]="","",IFERROR(N(INDEX(tblStock[StockActual],MATCH(tblConteo[[#This Row],[SKU]],tblStock[SKU],0))),0))</f>
        <v/>
      </c>
      <c r="I30" s="53"/>
      <c r="J30" s="60" t="str">
        <f>IF(OR(tblConteo[[#This Row],[SKU]]="",tblConteo[[#This Row],[Conteo]]=""),"",IF(ISNUMBER(tblConteo[[#This Row],[Conteo]]),tblConteo[[#This Row],[Conteo]]-N(tblConteo[[#This Row],[Sistema]]),""))</f>
        <v/>
      </c>
      <c r="K30" s="63" t="str">
        <f>IF(tblConteo[[#This Row],[Diferencia]]="","",tblConteo[[#This Row],[Diferencia]]*N(INDEX(tblProductos[CostoUnitario],ROW()-ROW(tblConteo[#Headers]))))</f>
        <v/>
      </c>
      <c r="L3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" spans="2:13" x14ac:dyDescent="0.25">
      <c r="B31" s="43" t="str">
        <f>IF(INDEX(tblProductos[SKU],ROW()-ROW(tblConteo[#Headers]))="","",INDEX(tblProductos[SKU],ROW()-ROW(tblConteo[#Headers])))</f>
        <v/>
      </c>
      <c r="C31" s="50" t="str">
        <f>IF(tblConteo[[#This Row],[SKU]]="","",INDEX(tblProductos[Producto],ROW()-ROW(tblConteo[#Headers])))</f>
        <v/>
      </c>
      <c r="D31" s="50" t="str">
        <f>IF(tblConteo[[#This Row],[SKU]]="","",INDEX(tblProductos[Categoría],ROW()-ROW(tblConteo[#Headers]))&amp;"")</f>
        <v/>
      </c>
      <c r="E31" s="43" t="str">
        <f>IF(tblConteo[[#This Row],[SKU]]="","",INDEX(tblProductos[Ubicación],ROW()-ROW(tblConteo[#Headers]))&amp;"")</f>
        <v/>
      </c>
      <c r="F31" s="43" t="str">
        <f>IF(tblConteo[[#This Row],[SKU]]="","",INDEX(tblProductos[Unidad],ROW()-ROW(tblConteo[#Headers]))&amp;"")</f>
        <v/>
      </c>
      <c r="G31" s="43" t="str">
        <f>IF(tblConteo[[#This Row],[SKU]]="","",IF(INDEX(tblProductos[Activo],ROW()-ROW(tblConteo[#Headers]))="NO","NO","SI"))</f>
        <v/>
      </c>
      <c r="H31" s="54" t="str">
        <f>IF(tblConteo[[#This Row],[SKU]]="","",IFERROR(N(INDEX(tblStock[StockActual],MATCH(tblConteo[[#This Row],[SKU]],tblStock[SKU],0))),0))</f>
        <v/>
      </c>
      <c r="I31" s="53"/>
      <c r="J31" s="60" t="str">
        <f>IF(OR(tblConteo[[#This Row],[SKU]]="",tblConteo[[#This Row],[Conteo]]=""),"",IF(ISNUMBER(tblConteo[[#This Row],[Conteo]]),tblConteo[[#This Row],[Conteo]]-N(tblConteo[[#This Row],[Sistema]]),""))</f>
        <v/>
      </c>
      <c r="K31" s="63" t="str">
        <f>IF(tblConteo[[#This Row],[Diferencia]]="","",tblConteo[[#This Row],[Diferencia]]*N(INDEX(tblProductos[CostoUnitario],ROW()-ROW(tblConteo[#Headers]))))</f>
        <v/>
      </c>
      <c r="L3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" spans="2:13" x14ac:dyDescent="0.25">
      <c r="B32" s="43" t="str">
        <f>IF(INDEX(tblProductos[SKU],ROW()-ROW(tblConteo[#Headers]))="","",INDEX(tblProductos[SKU],ROW()-ROW(tblConteo[#Headers])))</f>
        <v/>
      </c>
      <c r="C32" s="50" t="str">
        <f>IF(tblConteo[[#This Row],[SKU]]="","",INDEX(tblProductos[Producto],ROW()-ROW(tblConteo[#Headers])))</f>
        <v/>
      </c>
      <c r="D32" s="50" t="str">
        <f>IF(tblConteo[[#This Row],[SKU]]="","",INDEX(tblProductos[Categoría],ROW()-ROW(tblConteo[#Headers]))&amp;"")</f>
        <v/>
      </c>
      <c r="E32" s="43" t="str">
        <f>IF(tblConteo[[#This Row],[SKU]]="","",INDEX(tblProductos[Ubicación],ROW()-ROW(tblConteo[#Headers]))&amp;"")</f>
        <v/>
      </c>
      <c r="F32" s="43" t="str">
        <f>IF(tblConteo[[#This Row],[SKU]]="","",INDEX(tblProductos[Unidad],ROW()-ROW(tblConteo[#Headers]))&amp;"")</f>
        <v/>
      </c>
      <c r="G32" s="43" t="str">
        <f>IF(tblConteo[[#This Row],[SKU]]="","",IF(INDEX(tblProductos[Activo],ROW()-ROW(tblConteo[#Headers]))="NO","NO","SI"))</f>
        <v/>
      </c>
      <c r="H32" s="54" t="str">
        <f>IF(tblConteo[[#This Row],[SKU]]="","",IFERROR(N(INDEX(tblStock[StockActual],MATCH(tblConteo[[#This Row],[SKU]],tblStock[SKU],0))),0))</f>
        <v/>
      </c>
      <c r="I32" s="53"/>
      <c r="J32" s="60" t="str">
        <f>IF(OR(tblConteo[[#This Row],[SKU]]="",tblConteo[[#This Row],[Conteo]]=""),"",IF(ISNUMBER(tblConteo[[#This Row],[Conteo]]),tblConteo[[#This Row],[Conteo]]-N(tblConteo[[#This Row],[Sistema]]),""))</f>
        <v/>
      </c>
      <c r="K32" s="63" t="str">
        <f>IF(tblConteo[[#This Row],[Diferencia]]="","",tblConteo[[#This Row],[Diferencia]]*N(INDEX(tblProductos[CostoUnitario],ROW()-ROW(tblConteo[#Headers]))))</f>
        <v/>
      </c>
      <c r="L3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" spans="2:13" x14ac:dyDescent="0.25">
      <c r="B33" s="43" t="str">
        <f>IF(INDEX(tblProductos[SKU],ROW()-ROW(tblConteo[#Headers]))="","",INDEX(tblProductos[SKU],ROW()-ROW(tblConteo[#Headers])))</f>
        <v/>
      </c>
      <c r="C33" s="50" t="str">
        <f>IF(tblConteo[[#This Row],[SKU]]="","",INDEX(tblProductos[Producto],ROW()-ROW(tblConteo[#Headers])))</f>
        <v/>
      </c>
      <c r="D33" s="50" t="str">
        <f>IF(tblConteo[[#This Row],[SKU]]="","",INDEX(tblProductos[Categoría],ROW()-ROW(tblConteo[#Headers]))&amp;"")</f>
        <v/>
      </c>
      <c r="E33" s="43" t="str">
        <f>IF(tblConteo[[#This Row],[SKU]]="","",INDEX(tblProductos[Ubicación],ROW()-ROW(tblConteo[#Headers]))&amp;"")</f>
        <v/>
      </c>
      <c r="F33" s="43" t="str">
        <f>IF(tblConteo[[#This Row],[SKU]]="","",INDEX(tblProductos[Unidad],ROW()-ROW(tblConteo[#Headers]))&amp;"")</f>
        <v/>
      </c>
      <c r="G33" s="43" t="str">
        <f>IF(tblConteo[[#This Row],[SKU]]="","",IF(INDEX(tblProductos[Activo],ROW()-ROW(tblConteo[#Headers]))="NO","NO","SI"))</f>
        <v/>
      </c>
      <c r="H33" s="54" t="str">
        <f>IF(tblConteo[[#This Row],[SKU]]="","",IFERROR(N(INDEX(tblStock[StockActual],MATCH(tblConteo[[#This Row],[SKU]],tblStock[SKU],0))),0))</f>
        <v/>
      </c>
      <c r="I33" s="53"/>
      <c r="J33" s="60" t="str">
        <f>IF(OR(tblConteo[[#This Row],[SKU]]="",tblConteo[[#This Row],[Conteo]]=""),"",IF(ISNUMBER(tblConteo[[#This Row],[Conteo]]),tblConteo[[#This Row],[Conteo]]-N(tblConteo[[#This Row],[Sistema]]),""))</f>
        <v/>
      </c>
      <c r="K33" s="63" t="str">
        <f>IF(tblConteo[[#This Row],[Diferencia]]="","",tblConteo[[#This Row],[Diferencia]]*N(INDEX(tblProductos[CostoUnitario],ROW()-ROW(tblConteo[#Headers]))))</f>
        <v/>
      </c>
      <c r="L3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" spans="2:13" x14ac:dyDescent="0.25">
      <c r="B34" s="43" t="str">
        <f>IF(INDEX(tblProductos[SKU],ROW()-ROW(tblConteo[#Headers]))="","",INDEX(tblProductos[SKU],ROW()-ROW(tblConteo[#Headers])))</f>
        <v/>
      </c>
      <c r="C34" s="50" t="str">
        <f>IF(tblConteo[[#This Row],[SKU]]="","",INDEX(tblProductos[Producto],ROW()-ROW(tblConteo[#Headers])))</f>
        <v/>
      </c>
      <c r="D34" s="50" t="str">
        <f>IF(tblConteo[[#This Row],[SKU]]="","",INDEX(tblProductos[Categoría],ROW()-ROW(tblConteo[#Headers]))&amp;"")</f>
        <v/>
      </c>
      <c r="E34" s="43" t="str">
        <f>IF(tblConteo[[#This Row],[SKU]]="","",INDEX(tblProductos[Ubicación],ROW()-ROW(tblConteo[#Headers]))&amp;"")</f>
        <v/>
      </c>
      <c r="F34" s="43" t="str">
        <f>IF(tblConteo[[#This Row],[SKU]]="","",INDEX(tblProductos[Unidad],ROW()-ROW(tblConteo[#Headers]))&amp;"")</f>
        <v/>
      </c>
      <c r="G34" s="43" t="str">
        <f>IF(tblConteo[[#This Row],[SKU]]="","",IF(INDEX(tblProductos[Activo],ROW()-ROW(tblConteo[#Headers]))="NO","NO","SI"))</f>
        <v/>
      </c>
      <c r="H34" s="54" t="str">
        <f>IF(tblConteo[[#This Row],[SKU]]="","",IFERROR(N(INDEX(tblStock[StockActual],MATCH(tblConteo[[#This Row],[SKU]],tblStock[SKU],0))),0))</f>
        <v/>
      </c>
      <c r="I34" s="53"/>
      <c r="J34" s="60" t="str">
        <f>IF(OR(tblConteo[[#This Row],[SKU]]="",tblConteo[[#This Row],[Conteo]]=""),"",IF(ISNUMBER(tblConteo[[#This Row],[Conteo]]),tblConteo[[#This Row],[Conteo]]-N(tblConteo[[#This Row],[Sistema]]),""))</f>
        <v/>
      </c>
      <c r="K34" s="63" t="str">
        <f>IF(tblConteo[[#This Row],[Diferencia]]="","",tblConteo[[#This Row],[Diferencia]]*N(INDEX(tblProductos[CostoUnitario],ROW()-ROW(tblConteo[#Headers]))))</f>
        <v/>
      </c>
      <c r="L3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" spans="2:13" x14ac:dyDescent="0.25">
      <c r="B35" s="43" t="str">
        <f>IF(INDEX(tblProductos[SKU],ROW()-ROW(tblConteo[#Headers]))="","",INDEX(tblProductos[SKU],ROW()-ROW(tblConteo[#Headers])))</f>
        <v/>
      </c>
      <c r="C35" s="50" t="str">
        <f>IF(tblConteo[[#This Row],[SKU]]="","",INDEX(tblProductos[Producto],ROW()-ROW(tblConteo[#Headers])))</f>
        <v/>
      </c>
      <c r="D35" s="50" t="str">
        <f>IF(tblConteo[[#This Row],[SKU]]="","",INDEX(tblProductos[Categoría],ROW()-ROW(tblConteo[#Headers]))&amp;"")</f>
        <v/>
      </c>
      <c r="E35" s="43" t="str">
        <f>IF(tblConteo[[#This Row],[SKU]]="","",INDEX(tblProductos[Ubicación],ROW()-ROW(tblConteo[#Headers]))&amp;"")</f>
        <v/>
      </c>
      <c r="F35" s="43" t="str">
        <f>IF(tblConteo[[#This Row],[SKU]]="","",INDEX(tblProductos[Unidad],ROW()-ROW(tblConteo[#Headers]))&amp;"")</f>
        <v/>
      </c>
      <c r="G35" s="43" t="str">
        <f>IF(tblConteo[[#This Row],[SKU]]="","",IF(INDEX(tblProductos[Activo],ROW()-ROW(tblConteo[#Headers]))="NO","NO","SI"))</f>
        <v/>
      </c>
      <c r="H35" s="54" t="str">
        <f>IF(tblConteo[[#This Row],[SKU]]="","",IFERROR(N(INDEX(tblStock[StockActual],MATCH(tblConteo[[#This Row],[SKU]],tblStock[SKU],0))),0))</f>
        <v/>
      </c>
      <c r="I35" s="53"/>
      <c r="J35" s="60" t="str">
        <f>IF(OR(tblConteo[[#This Row],[SKU]]="",tblConteo[[#This Row],[Conteo]]=""),"",IF(ISNUMBER(tblConteo[[#This Row],[Conteo]]),tblConteo[[#This Row],[Conteo]]-N(tblConteo[[#This Row],[Sistema]]),""))</f>
        <v/>
      </c>
      <c r="K35" s="63" t="str">
        <f>IF(tblConteo[[#This Row],[Diferencia]]="","",tblConteo[[#This Row],[Diferencia]]*N(INDEX(tblProductos[CostoUnitario],ROW()-ROW(tblConteo[#Headers]))))</f>
        <v/>
      </c>
      <c r="L3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" spans="2:13" x14ac:dyDescent="0.25">
      <c r="B36" s="43" t="str">
        <f>IF(INDEX(tblProductos[SKU],ROW()-ROW(tblConteo[#Headers]))="","",INDEX(tblProductos[SKU],ROW()-ROW(tblConteo[#Headers])))</f>
        <v/>
      </c>
      <c r="C36" s="50" t="str">
        <f>IF(tblConteo[[#This Row],[SKU]]="","",INDEX(tblProductos[Producto],ROW()-ROW(tblConteo[#Headers])))</f>
        <v/>
      </c>
      <c r="D36" s="50" t="str">
        <f>IF(tblConteo[[#This Row],[SKU]]="","",INDEX(tblProductos[Categoría],ROW()-ROW(tblConteo[#Headers]))&amp;"")</f>
        <v/>
      </c>
      <c r="E36" s="43" t="str">
        <f>IF(tblConteo[[#This Row],[SKU]]="","",INDEX(tblProductos[Ubicación],ROW()-ROW(tblConteo[#Headers]))&amp;"")</f>
        <v/>
      </c>
      <c r="F36" s="43" t="str">
        <f>IF(tblConteo[[#This Row],[SKU]]="","",INDEX(tblProductos[Unidad],ROW()-ROW(tblConteo[#Headers]))&amp;"")</f>
        <v/>
      </c>
      <c r="G36" s="43" t="str">
        <f>IF(tblConteo[[#This Row],[SKU]]="","",IF(INDEX(tblProductos[Activo],ROW()-ROW(tblConteo[#Headers]))="NO","NO","SI"))</f>
        <v/>
      </c>
      <c r="H36" s="54" t="str">
        <f>IF(tblConteo[[#This Row],[SKU]]="","",IFERROR(N(INDEX(tblStock[StockActual],MATCH(tblConteo[[#This Row],[SKU]],tblStock[SKU],0))),0))</f>
        <v/>
      </c>
      <c r="I36" s="53"/>
      <c r="J36" s="60" t="str">
        <f>IF(OR(tblConteo[[#This Row],[SKU]]="",tblConteo[[#This Row],[Conteo]]=""),"",IF(ISNUMBER(tblConteo[[#This Row],[Conteo]]),tblConteo[[#This Row],[Conteo]]-N(tblConteo[[#This Row],[Sistema]]),""))</f>
        <v/>
      </c>
      <c r="K36" s="63" t="str">
        <f>IF(tblConteo[[#This Row],[Diferencia]]="","",tblConteo[[#This Row],[Diferencia]]*N(INDEX(tblProductos[CostoUnitario],ROW()-ROW(tblConteo[#Headers]))))</f>
        <v/>
      </c>
      <c r="L3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" spans="2:13" x14ac:dyDescent="0.25">
      <c r="B37" s="43" t="str">
        <f>IF(INDEX(tblProductos[SKU],ROW()-ROW(tblConteo[#Headers]))="","",INDEX(tblProductos[SKU],ROW()-ROW(tblConteo[#Headers])))</f>
        <v/>
      </c>
      <c r="C37" s="50" t="str">
        <f>IF(tblConteo[[#This Row],[SKU]]="","",INDEX(tblProductos[Producto],ROW()-ROW(tblConteo[#Headers])))</f>
        <v/>
      </c>
      <c r="D37" s="50" t="str">
        <f>IF(tblConteo[[#This Row],[SKU]]="","",INDEX(tblProductos[Categoría],ROW()-ROW(tblConteo[#Headers]))&amp;"")</f>
        <v/>
      </c>
      <c r="E37" s="43" t="str">
        <f>IF(tblConteo[[#This Row],[SKU]]="","",INDEX(tblProductos[Ubicación],ROW()-ROW(tblConteo[#Headers]))&amp;"")</f>
        <v/>
      </c>
      <c r="F37" s="43" t="str">
        <f>IF(tblConteo[[#This Row],[SKU]]="","",INDEX(tblProductos[Unidad],ROW()-ROW(tblConteo[#Headers]))&amp;"")</f>
        <v/>
      </c>
      <c r="G37" s="43" t="str">
        <f>IF(tblConteo[[#This Row],[SKU]]="","",IF(INDEX(tblProductos[Activo],ROW()-ROW(tblConteo[#Headers]))="NO","NO","SI"))</f>
        <v/>
      </c>
      <c r="H37" s="54" t="str">
        <f>IF(tblConteo[[#This Row],[SKU]]="","",IFERROR(N(INDEX(tblStock[StockActual],MATCH(tblConteo[[#This Row],[SKU]],tblStock[SKU],0))),0))</f>
        <v/>
      </c>
      <c r="I37" s="53"/>
      <c r="J37" s="60" t="str">
        <f>IF(OR(tblConteo[[#This Row],[SKU]]="",tblConteo[[#This Row],[Conteo]]=""),"",IF(ISNUMBER(tblConteo[[#This Row],[Conteo]]),tblConteo[[#This Row],[Conteo]]-N(tblConteo[[#This Row],[Sistema]]),""))</f>
        <v/>
      </c>
      <c r="K37" s="63" t="str">
        <f>IF(tblConteo[[#This Row],[Diferencia]]="","",tblConteo[[#This Row],[Diferencia]]*N(INDEX(tblProductos[CostoUnitario],ROW()-ROW(tblConteo[#Headers]))))</f>
        <v/>
      </c>
      <c r="L3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" spans="2:13" x14ac:dyDescent="0.25">
      <c r="B38" s="43" t="str">
        <f>IF(INDEX(tblProductos[SKU],ROW()-ROW(tblConteo[#Headers]))="","",INDEX(tblProductos[SKU],ROW()-ROW(tblConteo[#Headers])))</f>
        <v/>
      </c>
      <c r="C38" s="50" t="str">
        <f>IF(tblConteo[[#This Row],[SKU]]="","",INDEX(tblProductos[Producto],ROW()-ROW(tblConteo[#Headers])))</f>
        <v/>
      </c>
      <c r="D38" s="50" t="str">
        <f>IF(tblConteo[[#This Row],[SKU]]="","",INDEX(tblProductos[Categoría],ROW()-ROW(tblConteo[#Headers]))&amp;"")</f>
        <v/>
      </c>
      <c r="E38" s="43" t="str">
        <f>IF(tblConteo[[#This Row],[SKU]]="","",INDEX(tblProductos[Ubicación],ROW()-ROW(tblConteo[#Headers]))&amp;"")</f>
        <v/>
      </c>
      <c r="F38" s="43" t="str">
        <f>IF(tblConteo[[#This Row],[SKU]]="","",INDEX(tblProductos[Unidad],ROW()-ROW(tblConteo[#Headers]))&amp;"")</f>
        <v/>
      </c>
      <c r="G38" s="43" t="str">
        <f>IF(tblConteo[[#This Row],[SKU]]="","",IF(INDEX(tblProductos[Activo],ROW()-ROW(tblConteo[#Headers]))="NO","NO","SI"))</f>
        <v/>
      </c>
      <c r="H38" s="54" t="str">
        <f>IF(tblConteo[[#This Row],[SKU]]="","",IFERROR(N(INDEX(tblStock[StockActual],MATCH(tblConteo[[#This Row],[SKU]],tblStock[SKU],0))),0))</f>
        <v/>
      </c>
      <c r="I38" s="53"/>
      <c r="J38" s="60" t="str">
        <f>IF(OR(tblConteo[[#This Row],[SKU]]="",tblConteo[[#This Row],[Conteo]]=""),"",IF(ISNUMBER(tblConteo[[#This Row],[Conteo]]),tblConteo[[#This Row],[Conteo]]-N(tblConteo[[#This Row],[Sistema]]),""))</f>
        <v/>
      </c>
      <c r="K38" s="63" t="str">
        <f>IF(tblConteo[[#This Row],[Diferencia]]="","",tblConteo[[#This Row],[Diferencia]]*N(INDEX(tblProductos[CostoUnitario],ROW()-ROW(tblConteo[#Headers]))))</f>
        <v/>
      </c>
      <c r="L3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" spans="2:13" x14ac:dyDescent="0.25">
      <c r="B39" s="43" t="str">
        <f>IF(INDEX(tblProductos[SKU],ROW()-ROW(tblConteo[#Headers]))="","",INDEX(tblProductos[SKU],ROW()-ROW(tblConteo[#Headers])))</f>
        <v/>
      </c>
      <c r="C39" s="50" t="str">
        <f>IF(tblConteo[[#This Row],[SKU]]="","",INDEX(tblProductos[Producto],ROW()-ROW(tblConteo[#Headers])))</f>
        <v/>
      </c>
      <c r="D39" s="50" t="str">
        <f>IF(tblConteo[[#This Row],[SKU]]="","",INDEX(tblProductos[Categoría],ROW()-ROW(tblConteo[#Headers]))&amp;"")</f>
        <v/>
      </c>
      <c r="E39" s="43" t="str">
        <f>IF(tblConteo[[#This Row],[SKU]]="","",INDEX(tblProductos[Ubicación],ROW()-ROW(tblConteo[#Headers]))&amp;"")</f>
        <v/>
      </c>
      <c r="F39" s="43" t="str">
        <f>IF(tblConteo[[#This Row],[SKU]]="","",INDEX(tblProductos[Unidad],ROW()-ROW(tblConteo[#Headers]))&amp;"")</f>
        <v/>
      </c>
      <c r="G39" s="43" t="str">
        <f>IF(tblConteo[[#This Row],[SKU]]="","",IF(INDEX(tblProductos[Activo],ROW()-ROW(tblConteo[#Headers]))="NO","NO","SI"))</f>
        <v/>
      </c>
      <c r="H39" s="54" t="str">
        <f>IF(tblConteo[[#This Row],[SKU]]="","",IFERROR(N(INDEX(tblStock[StockActual],MATCH(tblConteo[[#This Row],[SKU]],tblStock[SKU],0))),0))</f>
        <v/>
      </c>
      <c r="I39" s="53"/>
      <c r="J39" s="60" t="str">
        <f>IF(OR(tblConteo[[#This Row],[SKU]]="",tblConteo[[#This Row],[Conteo]]=""),"",IF(ISNUMBER(tblConteo[[#This Row],[Conteo]]),tblConteo[[#This Row],[Conteo]]-N(tblConteo[[#This Row],[Sistema]]),""))</f>
        <v/>
      </c>
      <c r="K39" s="63" t="str">
        <f>IF(tblConteo[[#This Row],[Diferencia]]="","",tblConteo[[#This Row],[Diferencia]]*N(INDEX(tblProductos[CostoUnitario],ROW()-ROW(tblConteo[#Headers]))))</f>
        <v/>
      </c>
      <c r="L3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" spans="2:13" x14ac:dyDescent="0.25">
      <c r="B40" s="43" t="str">
        <f>IF(INDEX(tblProductos[SKU],ROW()-ROW(tblConteo[#Headers]))="","",INDEX(tblProductos[SKU],ROW()-ROW(tblConteo[#Headers])))</f>
        <v/>
      </c>
      <c r="C40" s="50" t="str">
        <f>IF(tblConteo[[#This Row],[SKU]]="","",INDEX(tblProductos[Producto],ROW()-ROW(tblConteo[#Headers])))</f>
        <v/>
      </c>
      <c r="D40" s="50" t="str">
        <f>IF(tblConteo[[#This Row],[SKU]]="","",INDEX(tblProductos[Categoría],ROW()-ROW(tblConteo[#Headers]))&amp;"")</f>
        <v/>
      </c>
      <c r="E40" s="43" t="str">
        <f>IF(tblConteo[[#This Row],[SKU]]="","",INDEX(tblProductos[Ubicación],ROW()-ROW(tblConteo[#Headers]))&amp;"")</f>
        <v/>
      </c>
      <c r="F40" s="43" t="str">
        <f>IF(tblConteo[[#This Row],[SKU]]="","",INDEX(tblProductos[Unidad],ROW()-ROW(tblConteo[#Headers]))&amp;"")</f>
        <v/>
      </c>
      <c r="G40" s="43" t="str">
        <f>IF(tblConteo[[#This Row],[SKU]]="","",IF(INDEX(tblProductos[Activo],ROW()-ROW(tblConteo[#Headers]))="NO","NO","SI"))</f>
        <v/>
      </c>
      <c r="H40" s="54" t="str">
        <f>IF(tblConteo[[#This Row],[SKU]]="","",IFERROR(N(INDEX(tblStock[StockActual],MATCH(tblConteo[[#This Row],[SKU]],tblStock[SKU],0))),0))</f>
        <v/>
      </c>
      <c r="I40" s="53"/>
      <c r="J40" s="60" t="str">
        <f>IF(OR(tblConteo[[#This Row],[SKU]]="",tblConteo[[#This Row],[Conteo]]=""),"",IF(ISNUMBER(tblConteo[[#This Row],[Conteo]]),tblConteo[[#This Row],[Conteo]]-N(tblConteo[[#This Row],[Sistema]]),""))</f>
        <v/>
      </c>
      <c r="K40" s="63" t="str">
        <f>IF(tblConteo[[#This Row],[Diferencia]]="","",tblConteo[[#This Row],[Diferencia]]*N(INDEX(tblProductos[CostoUnitario],ROW()-ROW(tblConteo[#Headers]))))</f>
        <v/>
      </c>
      <c r="L4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" spans="2:13" x14ac:dyDescent="0.25">
      <c r="B41" s="43" t="str">
        <f>IF(INDEX(tblProductos[SKU],ROW()-ROW(tblConteo[#Headers]))="","",INDEX(tblProductos[SKU],ROW()-ROW(tblConteo[#Headers])))</f>
        <v/>
      </c>
      <c r="C41" s="50" t="str">
        <f>IF(tblConteo[[#This Row],[SKU]]="","",INDEX(tblProductos[Producto],ROW()-ROW(tblConteo[#Headers])))</f>
        <v/>
      </c>
      <c r="D41" s="50" t="str">
        <f>IF(tblConteo[[#This Row],[SKU]]="","",INDEX(tblProductos[Categoría],ROW()-ROW(tblConteo[#Headers]))&amp;"")</f>
        <v/>
      </c>
      <c r="E41" s="43" t="str">
        <f>IF(tblConteo[[#This Row],[SKU]]="","",INDEX(tblProductos[Ubicación],ROW()-ROW(tblConteo[#Headers]))&amp;"")</f>
        <v/>
      </c>
      <c r="F41" s="43" t="str">
        <f>IF(tblConteo[[#This Row],[SKU]]="","",INDEX(tblProductos[Unidad],ROW()-ROW(tblConteo[#Headers]))&amp;"")</f>
        <v/>
      </c>
      <c r="G41" s="43" t="str">
        <f>IF(tblConteo[[#This Row],[SKU]]="","",IF(INDEX(tblProductos[Activo],ROW()-ROW(tblConteo[#Headers]))="NO","NO","SI"))</f>
        <v/>
      </c>
      <c r="H41" s="54" t="str">
        <f>IF(tblConteo[[#This Row],[SKU]]="","",IFERROR(N(INDEX(tblStock[StockActual],MATCH(tblConteo[[#This Row],[SKU]],tblStock[SKU],0))),0))</f>
        <v/>
      </c>
      <c r="I41" s="53"/>
      <c r="J41" s="60" t="str">
        <f>IF(OR(tblConteo[[#This Row],[SKU]]="",tblConteo[[#This Row],[Conteo]]=""),"",IF(ISNUMBER(tblConteo[[#This Row],[Conteo]]),tblConteo[[#This Row],[Conteo]]-N(tblConteo[[#This Row],[Sistema]]),""))</f>
        <v/>
      </c>
      <c r="K41" s="63" t="str">
        <f>IF(tblConteo[[#This Row],[Diferencia]]="","",tblConteo[[#This Row],[Diferencia]]*N(INDEX(tblProductos[CostoUnitario],ROW()-ROW(tblConteo[#Headers]))))</f>
        <v/>
      </c>
      <c r="L4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" spans="2:13" x14ac:dyDescent="0.25">
      <c r="B42" s="43" t="str">
        <f>IF(INDEX(tblProductos[SKU],ROW()-ROW(tblConteo[#Headers]))="","",INDEX(tblProductos[SKU],ROW()-ROW(tblConteo[#Headers])))</f>
        <v/>
      </c>
      <c r="C42" s="50" t="str">
        <f>IF(tblConteo[[#This Row],[SKU]]="","",INDEX(tblProductos[Producto],ROW()-ROW(tblConteo[#Headers])))</f>
        <v/>
      </c>
      <c r="D42" s="50" t="str">
        <f>IF(tblConteo[[#This Row],[SKU]]="","",INDEX(tblProductos[Categoría],ROW()-ROW(tblConteo[#Headers]))&amp;"")</f>
        <v/>
      </c>
      <c r="E42" s="43" t="str">
        <f>IF(tblConteo[[#This Row],[SKU]]="","",INDEX(tblProductos[Ubicación],ROW()-ROW(tblConteo[#Headers]))&amp;"")</f>
        <v/>
      </c>
      <c r="F42" s="43" t="str">
        <f>IF(tblConteo[[#This Row],[SKU]]="","",INDEX(tblProductos[Unidad],ROW()-ROW(tblConteo[#Headers]))&amp;"")</f>
        <v/>
      </c>
      <c r="G42" s="43" t="str">
        <f>IF(tblConteo[[#This Row],[SKU]]="","",IF(INDEX(tblProductos[Activo],ROW()-ROW(tblConteo[#Headers]))="NO","NO","SI"))</f>
        <v/>
      </c>
      <c r="H42" s="54" t="str">
        <f>IF(tblConteo[[#This Row],[SKU]]="","",IFERROR(N(INDEX(tblStock[StockActual],MATCH(tblConteo[[#This Row],[SKU]],tblStock[SKU],0))),0))</f>
        <v/>
      </c>
      <c r="I42" s="53"/>
      <c r="J42" s="60" t="str">
        <f>IF(OR(tblConteo[[#This Row],[SKU]]="",tblConteo[[#This Row],[Conteo]]=""),"",IF(ISNUMBER(tblConteo[[#This Row],[Conteo]]),tblConteo[[#This Row],[Conteo]]-N(tblConteo[[#This Row],[Sistema]]),""))</f>
        <v/>
      </c>
      <c r="K42" s="63" t="str">
        <f>IF(tblConteo[[#This Row],[Diferencia]]="","",tblConteo[[#This Row],[Diferencia]]*N(INDEX(tblProductos[CostoUnitario],ROW()-ROW(tblConteo[#Headers]))))</f>
        <v/>
      </c>
      <c r="L4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" spans="2:13" x14ac:dyDescent="0.25">
      <c r="B43" s="43" t="str">
        <f>IF(INDEX(tblProductos[SKU],ROW()-ROW(tblConteo[#Headers]))="","",INDEX(tblProductos[SKU],ROW()-ROW(tblConteo[#Headers])))</f>
        <v/>
      </c>
      <c r="C43" s="50" t="str">
        <f>IF(tblConteo[[#This Row],[SKU]]="","",INDEX(tblProductos[Producto],ROW()-ROW(tblConteo[#Headers])))</f>
        <v/>
      </c>
      <c r="D43" s="50" t="str">
        <f>IF(tblConteo[[#This Row],[SKU]]="","",INDEX(tblProductos[Categoría],ROW()-ROW(tblConteo[#Headers]))&amp;"")</f>
        <v/>
      </c>
      <c r="E43" s="43" t="str">
        <f>IF(tblConteo[[#This Row],[SKU]]="","",INDEX(tblProductos[Ubicación],ROW()-ROW(tblConteo[#Headers]))&amp;"")</f>
        <v/>
      </c>
      <c r="F43" s="43" t="str">
        <f>IF(tblConteo[[#This Row],[SKU]]="","",INDEX(tblProductos[Unidad],ROW()-ROW(tblConteo[#Headers]))&amp;"")</f>
        <v/>
      </c>
      <c r="G43" s="43" t="str">
        <f>IF(tblConteo[[#This Row],[SKU]]="","",IF(INDEX(tblProductos[Activo],ROW()-ROW(tblConteo[#Headers]))="NO","NO","SI"))</f>
        <v/>
      </c>
      <c r="H43" s="54" t="str">
        <f>IF(tblConteo[[#This Row],[SKU]]="","",IFERROR(N(INDEX(tblStock[StockActual],MATCH(tblConteo[[#This Row],[SKU]],tblStock[SKU],0))),0))</f>
        <v/>
      </c>
      <c r="I43" s="53"/>
      <c r="J43" s="60" t="str">
        <f>IF(OR(tblConteo[[#This Row],[SKU]]="",tblConteo[[#This Row],[Conteo]]=""),"",IF(ISNUMBER(tblConteo[[#This Row],[Conteo]]),tblConteo[[#This Row],[Conteo]]-N(tblConteo[[#This Row],[Sistema]]),""))</f>
        <v/>
      </c>
      <c r="K43" s="63" t="str">
        <f>IF(tblConteo[[#This Row],[Diferencia]]="","",tblConteo[[#This Row],[Diferencia]]*N(INDEX(tblProductos[CostoUnitario],ROW()-ROW(tblConteo[#Headers]))))</f>
        <v/>
      </c>
      <c r="L4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" spans="2:13" x14ac:dyDescent="0.25">
      <c r="B44" s="43" t="str">
        <f>IF(INDEX(tblProductos[SKU],ROW()-ROW(tblConteo[#Headers]))="","",INDEX(tblProductos[SKU],ROW()-ROW(tblConteo[#Headers])))</f>
        <v/>
      </c>
      <c r="C44" s="50" t="str">
        <f>IF(tblConteo[[#This Row],[SKU]]="","",INDEX(tblProductos[Producto],ROW()-ROW(tblConteo[#Headers])))</f>
        <v/>
      </c>
      <c r="D44" s="50" t="str">
        <f>IF(tblConteo[[#This Row],[SKU]]="","",INDEX(tblProductos[Categoría],ROW()-ROW(tblConteo[#Headers]))&amp;"")</f>
        <v/>
      </c>
      <c r="E44" s="43" t="str">
        <f>IF(tblConteo[[#This Row],[SKU]]="","",INDEX(tblProductos[Ubicación],ROW()-ROW(tblConteo[#Headers]))&amp;"")</f>
        <v/>
      </c>
      <c r="F44" s="43" t="str">
        <f>IF(tblConteo[[#This Row],[SKU]]="","",INDEX(tblProductos[Unidad],ROW()-ROW(tblConteo[#Headers]))&amp;"")</f>
        <v/>
      </c>
      <c r="G44" s="43" t="str">
        <f>IF(tblConteo[[#This Row],[SKU]]="","",IF(INDEX(tblProductos[Activo],ROW()-ROW(tblConteo[#Headers]))="NO","NO","SI"))</f>
        <v/>
      </c>
      <c r="H44" s="54" t="str">
        <f>IF(tblConteo[[#This Row],[SKU]]="","",IFERROR(N(INDEX(tblStock[StockActual],MATCH(tblConteo[[#This Row],[SKU]],tblStock[SKU],0))),0))</f>
        <v/>
      </c>
      <c r="I44" s="53"/>
      <c r="J44" s="60" t="str">
        <f>IF(OR(tblConteo[[#This Row],[SKU]]="",tblConteo[[#This Row],[Conteo]]=""),"",IF(ISNUMBER(tblConteo[[#This Row],[Conteo]]),tblConteo[[#This Row],[Conteo]]-N(tblConteo[[#This Row],[Sistema]]),""))</f>
        <v/>
      </c>
      <c r="K44" s="63" t="str">
        <f>IF(tblConteo[[#This Row],[Diferencia]]="","",tblConteo[[#This Row],[Diferencia]]*N(INDEX(tblProductos[CostoUnitario],ROW()-ROW(tblConteo[#Headers]))))</f>
        <v/>
      </c>
      <c r="L4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" spans="2:13" x14ac:dyDescent="0.25">
      <c r="B45" s="43" t="str">
        <f>IF(INDEX(tblProductos[SKU],ROW()-ROW(tblConteo[#Headers]))="","",INDEX(tblProductos[SKU],ROW()-ROW(tblConteo[#Headers])))</f>
        <v/>
      </c>
      <c r="C45" s="50" t="str">
        <f>IF(tblConteo[[#This Row],[SKU]]="","",INDEX(tblProductos[Producto],ROW()-ROW(tblConteo[#Headers])))</f>
        <v/>
      </c>
      <c r="D45" s="50" t="str">
        <f>IF(tblConteo[[#This Row],[SKU]]="","",INDEX(tblProductos[Categoría],ROW()-ROW(tblConteo[#Headers]))&amp;"")</f>
        <v/>
      </c>
      <c r="E45" s="43" t="str">
        <f>IF(tblConteo[[#This Row],[SKU]]="","",INDEX(tblProductos[Ubicación],ROW()-ROW(tblConteo[#Headers]))&amp;"")</f>
        <v/>
      </c>
      <c r="F45" s="43" t="str">
        <f>IF(tblConteo[[#This Row],[SKU]]="","",INDEX(tblProductos[Unidad],ROW()-ROW(tblConteo[#Headers]))&amp;"")</f>
        <v/>
      </c>
      <c r="G45" s="43" t="str">
        <f>IF(tblConteo[[#This Row],[SKU]]="","",IF(INDEX(tblProductos[Activo],ROW()-ROW(tblConteo[#Headers]))="NO","NO","SI"))</f>
        <v/>
      </c>
      <c r="H45" s="54" t="str">
        <f>IF(tblConteo[[#This Row],[SKU]]="","",IFERROR(N(INDEX(tblStock[StockActual],MATCH(tblConteo[[#This Row],[SKU]],tblStock[SKU],0))),0))</f>
        <v/>
      </c>
      <c r="I45" s="53"/>
      <c r="J45" s="60" t="str">
        <f>IF(OR(tblConteo[[#This Row],[SKU]]="",tblConteo[[#This Row],[Conteo]]=""),"",IF(ISNUMBER(tblConteo[[#This Row],[Conteo]]),tblConteo[[#This Row],[Conteo]]-N(tblConteo[[#This Row],[Sistema]]),""))</f>
        <v/>
      </c>
      <c r="K45" s="63" t="str">
        <f>IF(tblConteo[[#This Row],[Diferencia]]="","",tblConteo[[#This Row],[Diferencia]]*N(INDEX(tblProductos[CostoUnitario],ROW()-ROW(tblConteo[#Headers]))))</f>
        <v/>
      </c>
      <c r="L4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" spans="2:13" x14ac:dyDescent="0.25">
      <c r="B46" s="43" t="str">
        <f>IF(INDEX(tblProductos[SKU],ROW()-ROW(tblConteo[#Headers]))="","",INDEX(tblProductos[SKU],ROW()-ROW(tblConteo[#Headers])))</f>
        <v/>
      </c>
      <c r="C46" s="50" t="str">
        <f>IF(tblConteo[[#This Row],[SKU]]="","",INDEX(tblProductos[Producto],ROW()-ROW(tblConteo[#Headers])))</f>
        <v/>
      </c>
      <c r="D46" s="50" t="str">
        <f>IF(tblConteo[[#This Row],[SKU]]="","",INDEX(tblProductos[Categoría],ROW()-ROW(tblConteo[#Headers]))&amp;"")</f>
        <v/>
      </c>
      <c r="E46" s="43" t="str">
        <f>IF(tblConteo[[#This Row],[SKU]]="","",INDEX(tblProductos[Ubicación],ROW()-ROW(tblConteo[#Headers]))&amp;"")</f>
        <v/>
      </c>
      <c r="F46" s="43" t="str">
        <f>IF(tblConteo[[#This Row],[SKU]]="","",INDEX(tblProductos[Unidad],ROW()-ROW(tblConteo[#Headers]))&amp;"")</f>
        <v/>
      </c>
      <c r="G46" s="43" t="str">
        <f>IF(tblConteo[[#This Row],[SKU]]="","",IF(INDEX(tblProductos[Activo],ROW()-ROW(tblConteo[#Headers]))="NO","NO","SI"))</f>
        <v/>
      </c>
      <c r="H46" s="54" t="str">
        <f>IF(tblConteo[[#This Row],[SKU]]="","",IFERROR(N(INDEX(tblStock[StockActual],MATCH(tblConteo[[#This Row],[SKU]],tblStock[SKU],0))),0))</f>
        <v/>
      </c>
      <c r="I46" s="53"/>
      <c r="J46" s="60" t="str">
        <f>IF(OR(tblConteo[[#This Row],[SKU]]="",tblConteo[[#This Row],[Conteo]]=""),"",IF(ISNUMBER(tblConteo[[#This Row],[Conteo]]),tblConteo[[#This Row],[Conteo]]-N(tblConteo[[#This Row],[Sistema]]),""))</f>
        <v/>
      </c>
      <c r="K46" s="63" t="str">
        <f>IF(tblConteo[[#This Row],[Diferencia]]="","",tblConteo[[#This Row],[Diferencia]]*N(INDEX(tblProductos[CostoUnitario],ROW()-ROW(tblConteo[#Headers]))))</f>
        <v/>
      </c>
      <c r="L4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" spans="2:13" x14ac:dyDescent="0.25">
      <c r="B47" s="43" t="str">
        <f>IF(INDEX(tblProductos[SKU],ROW()-ROW(tblConteo[#Headers]))="","",INDEX(tblProductos[SKU],ROW()-ROW(tblConteo[#Headers])))</f>
        <v/>
      </c>
      <c r="C47" s="50" t="str">
        <f>IF(tblConteo[[#This Row],[SKU]]="","",INDEX(tblProductos[Producto],ROW()-ROW(tblConteo[#Headers])))</f>
        <v/>
      </c>
      <c r="D47" s="50" t="str">
        <f>IF(tblConteo[[#This Row],[SKU]]="","",INDEX(tblProductos[Categoría],ROW()-ROW(tblConteo[#Headers]))&amp;"")</f>
        <v/>
      </c>
      <c r="E47" s="43" t="str">
        <f>IF(tblConteo[[#This Row],[SKU]]="","",INDEX(tblProductos[Ubicación],ROW()-ROW(tblConteo[#Headers]))&amp;"")</f>
        <v/>
      </c>
      <c r="F47" s="43" t="str">
        <f>IF(tblConteo[[#This Row],[SKU]]="","",INDEX(tblProductos[Unidad],ROW()-ROW(tblConteo[#Headers]))&amp;"")</f>
        <v/>
      </c>
      <c r="G47" s="43" t="str">
        <f>IF(tblConteo[[#This Row],[SKU]]="","",IF(INDEX(tblProductos[Activo],ROW()-ROW(tblConteo[#Headers]))="NO","NO","SI"))</f>
        <v/>
      </c>
      <c r="H47" s="54" t="str">
        <f>IF(tblConteo[[#This Row],[SKU]]="","",IFERROR(N(INDEX(tblStock[StockActual],MATCH(tblConteo[[#This Row],[SKU]],tblStock[SKU],0))),0))</f>
        <v/>
      </c>
      <c r="I47" s="53"/>
      <c r="J47" s="60" t="str">
        <f>IF(OR(tblConteo[[#This Row],[SKU]]="",tblConteo[[#This Row],[Conteo]]=""),"",IF(ISNUMBER(tblConteo[[#This Row],[Conteo]]),tblConteo[[#This Row],[Conteo]]-N(tblConteo[[#This Row],[Sistema]]),""))</f>
        <v/>
      </c>
      <c r="K47" s="63" t="str">
        <f>IF(tblConteo[[#This Row],[Diferencia]]="","",tblConteo[[#This Row],[Diferencia]]*N(INDEX(tblProductos[CostoUnitario],ROW()-ROW(tblConteo[#Headers]))))</f>
        <v/>
      </c>
      <c r="L4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" spans="2:13" x14ac:dyDescent="0.25">
      <c r="B48" s="43" t="str">
        <f>IF(INDEX(tblProductos[SKU],ROW()-ROW(tblConteo[#Headers]))="","",INDEX(tblProductos[SKU],ROW()-ROW(tblConteo[#Headers])))</f>
        <v/>
      </c>
      <c r="C48" s="50" t="str">
        <f>IF(tblConteo[[#This Row],[SKU]]="","",INDEX(tblProductos[Producto],ROW()-ROW(tblConteo[#Headers])))</f>
        <v/>
      </c>
      <c r="D48" s="50" t="str">
        <f>IF(tblConteo[[#This Row],[SKU]]="","",INDEX(tblProductos[Categoría],ROW()-ROW(tblConteo[#Headers]))&amp;"")</f>
        <v/>
      </c>
      <c r="E48" s="43" t="str">
        <f>IF(tblConteo[[#This Row],[SKU]]="","",INDEX(tblProductos[Ubicación],ROW()-ROW(tblConteo[#Headers]))&amp;"")</f>
        <v/>
      </c>
      <c r="F48" s="43" t="str">
        <f>IF(tblConteo[[#This Row],[SKU]]="","",INDEX(tblProductos[Unidad],ROW()-ROW(tblConteo[#Headers]))&amp;"")</f>
        <v/>
      </c>
      <c r="G48" s="43" t="str">
        <f>IF(tblConteo[[#This Row],[SKU]]="","",IF(INDEX(tblProductos[Activo],ROW()-ROW(tblConteo[#Headers]))="NO","NO","SI"))</f>
        <v/>
      </c>
      <c r="H48" s="54" t="str">
        <f>IF(tblConteo[[#This Row],[SKU]]="","",IFERROR(N(INDEX(tblStock[StockActual],MATCH(tblConteo[[#This Row],[SKU]],tblStock[SKU],0))),0))</f>
        <v/>
      </c>
      <c r="I48" s="53"/>
      <c r="J48" s="60" t="str">
        <f>IF(OR(tblConteo[[#This Row],[SKU]]="",tblConteo[[#This Row],[Conteo]]=""),"",IF(ISNUMBER(tblConteo[[#This Row],[Conteo]]),tblConteo[[#This Row],[Conteo]]-N(tblConteo[[#This Row],[Sistema]]),""))</f>
        <v/>
      </c>
      <c r="K48" s="63" t="str">
        <f>IF(tblConteo[[#This Row],[Diferencia]]="","",tblConteo[[#This Row],[Diferencia]]*N(INDEX(tblProductos[CostoUnitario],ROW()-ROW(tblConteo[#Headers]))))</f>
        <v/>
      </c>
      <c r="L4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" spans="2:13" x14ac:dyDescent="0.25">
      <c r="B49" s="43" t="str">
        <f>IF(INDEX(tblProductos[SKU],ROW()-ROW(tblConteo[#Headers]))="","",INDEX(tblProductos[SKU],ROW()-ROW(tblConteo[#Headers])))</f>
        <v/>
      </c>
      <c r="C49" s="50" t="str">
        <f>IF(tblConteo[[#This Row],[SKU]]="","",INDEX(tblProductos[Producto],ROW()-ROW(tblConteo[#Headers])))</f>
        <v/>
      </c>
      <c r="D49" s="50" t="str">
        <f>IF(tblConteo[[#This Row],[SKU]]="","",INDEX(tblProductos[Categoría],ROW()-ROW(tblConteo[#Headers]))&amp;"")</f>
        <v/>
      </c>
      <c r="E49" s="43" t="str">
        <f>IF(tblConteo[[#This Row],[SKU]]="","",INDEX(tblProductos[Ubicación],ROW()-ROW(tblConteo[#Headers]))&amp;"")</f>
        <v/>
      </c>
      <c r="F49" s="43" t="str">
        <f>IF(tblConteo[[#This Row],[SKU]]="","",INDEX(tblProductos[Unidad],ROW()-ROW(tblConteo[#Headers]))&amp;"")</f>
        <v/>
      </c>
      <c r="G49" s="43" t="str">
        <f>IF(tblConteo[[#This Row],[SKU]]="","",IF(INDEX(tblProductos[Activo],ROW()-ROW(tblConteo[#Headers]))="NO","NO","SI"))</f>
        <v/>
      </c>
      <c r="H49" s="54" t="str">
        <f>IF(tblConteo[[#This Row],[SKU]]="","",IFERROR(N(INDEX(tblStock[StockActual],MATCH(tblConteo[[#This Row],[SKU]],tblStock[SKU],0))),0))</f>
        <v/>
      </c>
      <c r="I49" s="53"/>
      <c r="J49" s="60" t="str">
        <f>IF(OR(tblConteo[[#This Row],[SKU]]="",tblConteo[[#This Row],[Conteo]]=""),"",IF(ISNUMBER(tblConteo[[#This Row],[Conteo]]),tblConteo[[#This Row],[Conteo]]-N(tblConteo[[#This Row],[Sistema]]),""))</f>
        <v/>
      </c>
      <c r="K49" s="63" t="str">
        <f>IF(tblConteo[[#This Row],[Diferencia]]="","",tblConteo[[#This Row],[Diferencia]]*N(INDEX(tblProductos[CostoUnitario],ROW()-ROW(tblConteo[#Headers]))))</f>
        <v/>
      </c>
      <c r="L4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" spans="2:13" x14ac:dyDescent="0.25">
      <c r="B50" s="43" t="str">
        <f>IF(INDEX(tblProductos[SKU],ROW()-ROW(tblConteo[#Headers]))="","",INDEX(tblProductos[SKU],ROW()-ROW(tblConteo[#Headers])))</f>
        <v/>
      </c>
      <c r="C50" s="50" t="str">
        <f>IF(tblConteo[[#This Row],[SKU]]="","",INDEX(tblProductos[Producto],ROW()-ROW(tblConteo[#Headers])))</f>
        <v/>
      </c>
      <c r="D50" s="50" t="str">
        <f>IF(tblConteo[[#This Row],[SKU]]="","",INDEX(tblProductos[Categoría],ROW()-ROW(tblConteo[#Headers]))&amp;"")</f>
        <v/>
      </c>
      <c r="E50" s="43" t="str">
        <f>IF(tblConteo[[#This Row],[SKU]]="","",INDEX(tblProductos[Ubicación],ROW()-ROW(tblConteo[#Headers]))&amp;"")</f>
        <v/>
      </c>
      <c r="F50" s="43" t="str">
        <f>IF(tblConteo[[#This Row],[SKU]]="","",INDEX(tblProductos[Unidad],ROW()-ROW(tblConteo[#Headers]))&amp;"")</f>
        <v/>
      </c>
      <c r="G50" s="43" t="str">
        <f>IF(tblConteo[[#This Row],[SKU]]="","",IF(INDEX(tblProductos[Activo],ROW()-ROW(tblConteo[#Headers]))="NO","NO","SI"))</f>
        <v/>
      </c>
      <c r="H50" s="54" t="str">
        <f>IF(tblConteo[[#This Row],[SKU]]="","",IFERROR(N(INDEX(tblStock[StockActual],MATCH(tblConteo[[#This Row],[SKU]],tblStock[SKU],0))),0))</f>
        <v/>
      </c>
      <c r="I50" s="53"/>
      <c r="J50" s="60" t="str">
        <f>IF(OR(tblConteo[[#This Row],[SKU]]="",tblConteo[[#This Row],[Conteo]]=""),"",IF(ISNUMBER(tblConteo[[#This Row],[Conteo]]),tblConteo[[#This Row],[Conteo]]-N(tblConteo[[#This Row],[Sistema]]),""))</f>
        <v/>
      </c>
      <c r="K50" s="63" t="str">
        <f>IF(tblConteo[[#This Row],[Diferencia]]="","",tblConteo[[#This Row],[Diferencia]]*N(INDEX(tblProductos[CostoUnitario],ROW()-ROW(tblConteo[#Headers]))))</f>
        <v/>
      </c>
      <c r="L5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1" spans="2:13" x14ac:dyDescent="0.25">
      <c r="B51" s="43" t="str">
        <f>IF(INDEX(tblProductos[SKU],ROW()-ROW(tblConteo[#Headers]))="","",INDEX(tblProductos[SKU],ROW()-ROW(tblConteo[#Headers])))</f>
        <v/>
      </c>
      <c r="C51" s="50" t="str">
        <f>IF(tblConteo[[#This Row],[SKU]]="","",INDEX(tblProductos[Producto],ROW()-ROW(tblConteo[#Headers])))</f>
        <v/>
      </c>
      <c r="D51" s="50" t="str">
        <f>IF(tblConteo[[#This Row],[SKU]]="","",INDEX(tblProductos[Categoría],ROW()-ROW(tblConteo[#Headers]))&amp;"")</f>
        <v/>
      </c>
      <c r="E51" s="43" t="str">
        <f>IF(tblConteo[[#This Row],[SKU]]="","",INDEX(tblProductos[Ubicación],ROW()-ROW(tblConteo[#Headers]))&amp;"")</f>
        <v/>
      </c>
      <c r="F51" s="43" t="str">
        <f>IF(tblConteo[[#This Row],[SKU]]="","",INDEX(tblProductos[Unidad],ROW()-ROW(tblConteo[#Headers]))&amp;"")</f>
        <v/>
      </c>
      <c r="G51" s="43" t="str">
        <f>IF(tblConteo[[#This Row],[SKU]]="","",IF(INDEX(tblProductos[Activo],ROW()-ROW(tblConteo[#Headers]))="NO","NO","SI"))</f>
        <v/>
      </c>
      <c r="H51" s="54" t="str">
        <f>IF(tblConteo[[#This Row],[SKU]]="","",IFERROR(N(INDEX(tblStock[StockActual],MATCH(tblConteo[[#This Row],[SKU]],tblStock[SKU],0))),0))</f>
        <v/>
      </c>
      <c r="I51" s="53"/>
      <c r="J51" s="60" t="str">
        <f>IF(OR(tblConteo[[#This Row],[SKU]]="",tblConteo[[#This Row],[Conteo]]=""),"",IF(ISNUMBER(tblConteo[[#This Row],[Conteo]]),tblConteo[[#This Row],[Conteo]]-N(tblConteo[[#This Row],[Sistema]]),""))</f>
        <v/>
      </c>
      <c r="K51" s="63" t="str">
        <f>IF(tblConteo[[#This Row],[Diferencia]]="","",tblConteo[[#This Row],[Diferencia]]*N(INDEX(tblProductos[CostoUnitario],ROW()-ROW(tblConteo[#Headers]))))</f>
        <v/>
      </c>
      <c r="L5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2" spans="2:13" x14ac:dyDescent="0.25">
      <c r="B52" s="43" t="str">
        <f>IF(INDEX(tblProductos[SKU],ROW()-ROW(tblConteo[#Headers]))="","",INDEX(tblProductos[SKU],ROW()-ROW(tblConteo[#Headers])))</f>
        <v/>
      </c>
      <c r="C52" s="50" t="str">
        <f>IF(tblConteo[[#This Row],[SKU]]="","",INDEX(tblProductos[Producto],ROW()-ROW(tblConteo[#Headers])))</f>
        <v/>
      </c>
      <c r="D52" s="50" t="str">
        <f>IF(tblConteo[[#This Row],[SKU]]="","",INDEX(tblProductos[Categoría],ROW()-ROW(tblConteo[#Headers]))&amp;"")</f>
        <v/>
      </c>
      <c r="E52" s="43" t="str">
        <f>IF(tblConteo[[#This Row],[SKU]]="","",INDEX(tblProductos[Ubicación],ROW()-ROW(tblConteo[#Headers]))&amp;"")</f>
        <v/>
      </c>
      <c r="F52" s="43" t="str">
        <f>IF(tblConteo[[#This Row],[SKU]]="","",INDEX(tblProductos[Unidad],ROW()-ROW(tblConteo[#Headers]))&amp;"")</f>
        <v/>
      </c>
      <c r="G52" s="43" t="str">
        <f>IF(tblConteo[[#This Row],[SKU]]="","",IF(INDEX(tblProductos[Activo],ROW()-ROW(tblConteo[#Headers]))="NO","NO","SI"))</f>
        <v/>
      </c>
      <c r="H52" s="54" t="str">
        <f>IF(tblConteo[[#This Row],[SKU]]="","",IFERROR(N(INDEX(tblStock[StockActual],MATCH(tblConteo[[#This Row],[SKU]],tblStock[SKU],0))),0))</f>
        <v/>
      </c>
      <c r="I52" s="53"/>
      <c r="J52" s="60" t="str">
        <f>IF(OR(tblConteo[[#This Row],[SKU]]="",tblConteo[[#This Row],[Conteo]]=""),"",IF(ISNUMBER(tblConteo[[#This Row],[Conteo]]),tblConteo[[#This Row],[Conteo]]-N(tblConteo[[#This Row],[Sistema]]),""))</f>
        <v/>
      </c>
      <c r="K52" s="63" t="str">
        <f>IF(tblConteo[[#This Row],[Diferencia]]="","",tblConteo[[#This Row],[Diferencia]]*N(INDEX(tblProductos[CostoUnitario],ROW()-ROW(tblConteo[#Headers]))))</f>
        <v/>
      </c>
      <c r="L5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3" spans="2:13" x14ac:dyDescent="0.25">
      <c r="B53" s="43" t="str">
        <f>IF(INDEX(tblProductos[SKU],ROW()-ROW(tblConteo[#Headers]))="","",INDEX(tblProductos[SKU],ROW()-ROW(tblConteo[#Headers])))</f>
        <v/>
      </c>
      <c r="C53" s="50" t="str">
        <f>IF(tblConteo[[#This Row],[SKU]]="","",INDEX(tblProductos[Producto],ROW()-ROW(tblConteo[#Headers])))</f>
        <v/>
      </c>
      <c r="D53" s="50" t="str">
        <f>IF(tblConteo[[#This Row],[SKU]]="","",INDEX(tblProductos[Categoría],ROW()-ROW(tblConteo[#Headers]))&amp;"")</f>
        <v/>
      </c>
      <c r="E53" s="43" t="str">
        <f>IF(tblConteo[[#This Row],[SKU]]="","",INDEX(tblProductos[Ubicación],ROW()-ROW(tblConteo[#Headers]))&amp;"")</f>
        <v/>
      </c>
      <c r="F53" s="43" t="str">
        <f>IF(tblConteo[[#This Row],[SKU]]="","",INDEX(tblProductos[Unidad],ROW()-ROW(tblConteo[#Headers]))&amp;"")</f>
        <v/>
      </c>
      <c r="G53" s="43" t="str">
        <f>IF(tblConteo[[#This Row],[SKU]]="","",IF(INDEX(tblProductos[Activo],ROW()-ROW(tblConteo[#Headers]))="NO","NO","SI"))</f>
        <v/>
      </c>
      <c r="H53" s="54" t="str">
        <f>IF(tblConteo[[#This Row],[SKU]]="","",IFERROR(N(INDEX(tblStock[StockActual],MATCH(tblConteo[[#This Row],[SKU]],tblStock[SKU],0))),0))</f>
        <v/>
      </c>
      <c r="I53" s="53"/>
      <c r="J53" s="60" t="str">
        <f>IF(OR(tblConteo[[#This Row],[SKU]]="",tblConteo[[#This Row],[Conteo]]=""),"",IF(ISNUMBER(tblConteo[[#This Row],[Conteo]]),tblConteo[[#This Row],[Conteo]]-N(tblConteo[[#This Row],[Sistema]]),""))</f>
        <v/>
      </c>
      <c r="K53" s="63" t="str">
        <f>IF(tblConteo[[#This Row],[Diferencia]]="","",tblConteo[[#This Row],[Diferencia]]*N(INDEX(tblProductos[CostoUnitario],ROW()-ROW(tblConteo[#Headers]))))</f>
        <v/>
      </c>
      <c r="L5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4" spans="2:13" x14ac:dyDescent="0.25">
      <c r="B54" s="43" t="str">
        <f>IF(INDEX(tblProductos[SKU],ROW()-ROW(tblConteo[#Headers]))="","",INDEX(tblProductos[SKU],ROW()-ROW(tblConteo[#Headers])))</f>
        <v/>
      </c>
      <c r="C54" s="50" t="str">
        <f>IF(tblConteo[[#This Row],[SKU]]="","",INDEX(tblProductos[Producto],ROW()-ROW(tblConteo[#Headers])))</f>
        <v/>
      </c>
      <c r="D54" s="50" t="str">
        <f>IF(tblConteo[[#This Row],[SKU]]="","",INDEX(tblProductos[Categoría],ROW()-ROW(tblConteo[#Headers]))&amp;"")</f>
        <v/>
      </c>
      <c r="E54" s="43" t="str">
        <f>IF(tblConteo[[#This Row],[SKU]]="","",INDEX(tblProductos[Ubicación],ROW()-ROW(tblConteo[#Headers]))&amp;"")</f>
        <v/>
      </c>
      <c r="F54" s="43" t="str">
        <f>IF(tblConteo[[#This Row],[SKU]]="","",INDEX(tblProductos[Unidad],ROW()-ROW(tblConteo[#Headers]))&amp;"")</f>
        <v/>
      </c>
      <c r="G54" s="43" t="str">
        <f>IF(tblConteo[[#This Row],[SKU]]="","",IF(INDEX(tblProductos[Activo],ROW()-ROW(tblConteo[#Headers]))="NO","NO","SI"))</f>
        <v/>
      </c>
      <c r="H54" s="54" t="str">
        <f>IF(tblConteo[[#This Row],[SKU]]="","",IFERROR(N(INDEX(tblStock[StockActual],MATCH(tblConteo[[#This Row],[SKU]],tblStock[SKU],0))),0))</f>
        <v/>
      </c>
      <c r="I54" s="53"/>
      <c r="J54" s="60" t="str">
        <f>IF(OR(tblConteo[[#This Row],[SKU]]="",tblConteo[[#This Row],[Conteo]]=""),"",IF(ISNUMBER(tblConteo[[#This Row],[Conteo]]),tblConteo[[#This Row],[Conteo]]-N(tblConteo[[#This Row],[Sistema]]),""))</f>
        <v/>
      </c>
      <c r="K54" s="63" t="str">
        <f>IF(tblConteo[[#This Row],[Diferencia]]="","",tblConteo[[#This Row],[Diferencia]]*N(INDEX(tblProductos[CostoUnitario],ROW()-ROW(tblConteo[#Headers]))))</f>
        <v/>
      </c>
      <c r="L5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5" spans="2:13" x14ac:dyDescent="0.25">
      <c r="B55" s="43" t="str">
        <f>IF(INDEX(tblProductos[SKU],ROW()-ROW(tblConteo[#Headers]))="","",INDEX(tblProductos[SKU],ROW()-ROW(tblConteo[#Headers])))</f>
        <v/>
      </c>
      <c r="C55" s="50" t="str">
        <f>IF(tblConteo[[#This Row],[SKU]]="","",INDEX(tblProductos[Producto],ROW()-ROW(tblConteo[#Headers])))</f>
        <v/>
      </c>
      <c r="D55" s="50" t="str">
        <f>IF(tblConteo[[#This Row],[SKU]]="","",INDEX(tblProductos[Categoría],ROW()-ROW(tblConteo[#Headers]))&amp;"")</f>
        <v/>
      </c>
      <c r="E55" s="43" t="str">
        <f>IF(tblConteo[[#This Row],[SKU]]="","",INDEX(tblProductos[Ubicación],ROW()-ROW(tblConteo[#Headers]))&amp;"")</f>
        <v/>
      </c>
      <c r="F55" s="43" t="str">
        <f>IF(tblConteo[[#This Row],[SKU]]="","",INDEX(tblProductos[Unidad],ROW()-ROW(tblConteo[#Headers]))&amp;"")</f>
        <v/>
      </c>
      <c r="G55" s="43" t="str">
        <f>IF(tblConteo[[#This Row],[SKU]]="","",IF(INDEX(tblProductos[Activo],ROW()-ROW(tblConteo[#Headers]))="NO","NO","SI"))</f>
        <v/>
      </c>
      <c r="H55" s="54" t="str">
        <f>IF(tblConteo[[#This Row],[SKU]]="","",IFERROR(N(INDEX(tblStock[StockActual],MATCH(tblConteo[[#This Row],[SKU]],tblStock[SKU],0))),0))</f>
        <v/>
      </c>
      <c r="I55" s="53"/>
      <c r="J55" s="60" t="str">
        <f>IF(OR(tblConteo[[#This Row],[SKU]]="",tblConteo[[#This Row],[Conteo]]=""),"",IF(ISNUMBER(tblConteo[[#This Row],[Conteo]]),tblConteo[[#This Row],[Conteo]]-N(tblConteo[[#This Row],[Sistema]]),""))</f>
        <v/>
      </c>
      <c r="K55" s="63" t="str">
        <f>IF(tblConteo[[#This Row],[Diferencia]]="","",tblConteo[[#This Row],[Diferencia]]*N(INDEX(tblProductos[CostoUnitario],ROW()-ROW(tblConteo[#Headers]))))</f>
        <v/>
      </c>
      <c r="L5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6" spans="2:13" x14ac:dyDescent="0.25">
      <c r="B56" s="43" t="str">
        <f>IF(INDEX(tblProductos[SKU],ROW()-ROW(tblConteo[#Headers]))="","",INDEX(tblProductos[SKU],ROW()-ROW(tblConteo[#Headers])))</f>
        <v/>
      </c>
      <c r="C56" s="50" t="str">
        <f>IF(tblConteo[[#This Row],[SKU]]="","",INDEX(tblProductos[Producto],ROW()-ROW(tblConteo[#Headers])))</f>
        <v/>
      </c>
      <c r="D56" s="50" t="str">
        <f>IF(tblConteo[[#This Row],[SKU]]="","",INDEX(tblProductos[Categoría],ROW()-ROW(tblConteo[#Headers]))&amp;"")</f>
        <v/>
      </c>
      <c r="E56" s="43" t="str">
        <f>IF(tblConteo[[#This Row],[SKU]]="","",INDEX(tblProductos[Ubicación],ROW()-ROW(tblConteo[#Headers]))&amp;"")</f>
        <v/>
      </c>
      <c r="F56" s="43" t="str">
        <f>IF(tblConteo[[#This Row],[SKU]]="","",INDEX(tblProductos[Unidad],ROW()-ROW(tblConteo[#Headers]))&amp;"")</f>
        <v/>
      </c>
      <c r="G56" s="43" t="str">
        <f>IF(tblConteo[[#This Row],[SKU]]="","",IF(INDEX(tblProductos[Activo],ROW()-ROW(tblConteo[#Headers]))="NO","NO","SI"))</f>
        <v/>
      </c>
      <c r="H56" s="54" t="str">
        <f>IF(tblConteo[[#This Row],[SKU]]="","",IFERROR(N(INDEX(tblStock[StockActual],MATCH(tblConteo[[#This Row],[SKU]],tblStock[SKU],0))),0))</f>
        <v/>
      </c>
      <c r="I56" s="53"/>
      <c r="J56" s="60" t="str">
        <f>IF(OR(tblConteo[[#This Row],[SKU]]="",tblConteo[[#This Row],[Conteo]]=""),"",IF(ISNUMBER(tblConteo[[#This Row],[Conteo]]),tblConteo[[#This Row],[Conteo]]-N(tblConteo[[#This Row],[Sistema]]),""))</f>
        <v/>
      </c>
      <c r="K56" s="63" t="str">
        <f>IF(tblConteo[[#This Row],[Diferencia]]="","",tblConteo[[#This Row],[Diferencia]]*N(INDEX(tblProductos[CostoUnitario],ROW()-ROW(tblConteo[#Headers]))))</f>
        <v/>
      </c>
      <c r="L5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7" spans="2:13" x14ac:dyDescent="0.25">
      <c r="B57" s="43" t="str">
        <f>IF(INDEX(tblProductos[SKU],ROW()-ROW(tblConteo[#Headers]))="","",INDEX(tblProductos[SKU],ROW()-ROW(tblConteo[#Headers])))</f>
        <v/>
      </c>
      <c r="C57" s="50" t="str">
        <f>IF(tblConteo[[#This Row],[SKU]]="","",INDEX(tblProductos[Producto],ROW()-ROW(tblConteo[#Headers])))</f>
        <v/>
      </c>
      <c r="D57" s="50" t="str">
        <f>IF(tblConteo[[#This Row],[SKU]]="","",INDEX(tblProductos[Categoría],ROW()-ROW(tblConteo[#Headers]))&amp;"")</f>
        <v/>
      </c>
      <c r="E57" s="43" t="str">
        <f>IF(tblConteo[[#This Row],[SKU]]="","",INDEX(tblProductos[Ubicación],ROW()-ROW(tblConteo[#Headers]))&amp;"")</f>
        <v/>
      </c>
      <c r="F57" s="43" t="str">
        <f>IF(tblConteo[[#This Row],[SKU]]="","",INDEX(tblProductos[Unidad],ROW()-ROW(tblConteo[#Headers]))&amp;"")</f>
        <v/>
      </c>
      <c r="G57" s="43" t="str">
        <f>IF(tblConteo[[#This Row],[SKU]]="","",IF(INDEX(tblProductos[Activo],ROW()-ROW(tblConteo[#Headers]))="NO","NO","SI"))</f>
        <v/>
      </c>
      <c r="H57" s="54" t="str">
        <f>IF(tblConteo[[#This Row],[SKU]]="","",IFERROR(N(INDEX(tblStock[StockActual],MATCH(tblConteo[[#This Row],[SKU]],tblStock[SKU],0))),0))</f>
        <v/>
      </c>
      <c r="I57" s="53"/>
      <c r="J57" s="60" t="str">
        <f>IF(OR(tblConteo[[#This Row],[SKU]]="",tblConteo[[#This Row],[Conteo]]=""),"",IF(ISNUMBER(tblConteo[[#This Row],[Conteo]]),tblConteo[[#This Row],[Conteo]]-N(tblConteo[[#This Row],[Sistema]]),""))</f>
        <v/>
      </c>
      <c r="K57" s="63" t="str">
        <f>IF(tblConteo[[#This Row],[Diferencia]]="","",tblConteo[[#This Row],[Diferencia]]*N(INDEX(tblProductos[CostoUnitario],ROW()-ROW(tblConteo[#Headers]))))</f>
        <v/>
      </c>
      <c r="L5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8" spans="2:13" x14ac:dyDescent="0.25">
      <c r="B58" s="43" t="str">
        <f>IF(INDEX(tblProductos[SKU],ROW()-ROW(tblConteo[#Headers]))="","",INDEX(tblProductos[SKU],ROW()-ROW(tblConteo[#Headers])))</f>
        <v/>
      </c>
      <c r="C58" s="50" t="str">
        <f>IF(tblConteo[[#This Row],[SKU]]="","",INDEX(tblProductos[Producto],ROW()-ROW(tblConteo[#Headers])))</f>
        <v/>
      </c>
      <c r="D58" s="50" t="str">
        <f>IF(tblConteo[[#This Row],[SKU]]="","",INDEX(tblProductos[Categoría],ROW()-ROW(tblConteo[#Headers]))&amp;"")</f>
        <v/>
      </c>
      <c r="E58" s="43" t="str">
        <f>IF(tblConteo[[#This Row],[SKU]]="","",INDEX(tblProductos[Ubicación],ROW()-ROW(tblConteo[#Headers]))&amp;"")</f>
        <v/>
      </c>
      <c r="F58" s="43" t="str">
        <f>IF(tblConteo[[#This Row],[SKU]]="","",INDEX(tblProductos[Unidad],ROW()-ROW(tblConteo[#Headers]))&amp;"")</f>
        <v/>
      </c>
      <c r="G58" s="43" t="str">
        <f>IF(tblConteo[[#This Row],[SKU]]="","",IF(INDEX(tblProductos[Activo],ROW()-ROW(tblConteo[#Headers]))="NO","NO","SI"))</f>
        <v/>
      </c>
      <c r="H58" s="54" t="str">
        <f>IF(tblConteo[[#This Row],[SKU]]="","",IFERROR(N(INDEX(tblStock[StockActual],MATCH(tblConteo[[#This Row],[SKU]],tblStock[SKU],0))),0))</f>
        <v/>
      </c>
      <c r="I58" s="53"/>
      <c r="J58" s="60" t="str">
        <f>IF(OR(tblConteo[[#This Row],[SKU]]="",tblConteo[[#This Row],[Conteo]]=""),"",IF(ISNUMBER(tblConteo[[#This Row],[Conteo]]),tblConteo[[#This Row],[Conteo]]-N(tblConteo[[#This Row],[Sistema]]),""))</f>
        <v/>
      </c>
      <c r="K58" s="63" t="str">
        <f>IF(tblConteo[[#This Row],[Diferencia]]="","",tblConteo[[#This Row],[Diferencia]]*N(INDEX(tblProductos[CostoUnitario],ROW()-ROW(tblConteo[#Headers]))))</f>
        <v/>
      </c>
      <c r="L5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9" spans="2:13" x14ac:dyDescent="0.25">
      <c r="B59" s="43" t="str">
        <f>IF(INDEX(tblProductos[SKU],ROW()-ROW(tblConteo[#Headers]))="","",INDEX(tblProductos[SKU],ROW()-ROW(tblConteo[#Headers])))</f>
        <v/>
      </c>
      <c r="C59" s="50" t="str">
        <f>IF(tblConteo[[#This Row],[SKU]]="","",INDEX(tblProductos[Producto],ROW()-ROW(tblConteo[#Headers])))</f>
        <v/>
      </c>
      <c r="D59" s="50" t="str">
        <f>IF(tblConteo[[#This Row],[SKU]]="","",INDEX(tblProductos[Categoría],ROW()-ROW(tblConteo[#Headers]))&amp;"")</f>
        <v/>
      </c>
      <c r="E59" s="43" t="str">
        <f>IF(tblConteo[[#This Row],[SKU]]="","",INDEX(tblProductos[Ubicación],ROW()-ROW(tblConteo[#Headers]))&amp;"")</f>
        <v/>
      </c>
      <c r="F59" s="43" t="str">
        <f>IF(tblConteo[[#This Row],[SKU]]="","",INDEX(tblProductos[Unidad],ROW()-ROW(tblConteo[#Headers]))&amp;"")</f>
        <v/>
      </c>
      <c r="G59" s="43" t="str">
        <f>IF(tblConteo[[#This Row],[SKU]]="","",IF(INDEX(tblProductos[Activo],ROW()-ROW(tblConteo[#Headers]))="NO","NO","SI"))</f>
        <v/>
      </c>
      <c r="H59" s="54" t="str">
        <f>IF(tblConteo[[#This Row],[SKU]]="","",IFERROR(N(INDEX(tblStock[StockActual],MATCH(tblConteo[[#This Row],[SKU]],tblStock[SKU],0))),0))</f>
        <v/>
      </c>
      <c r="I59" s="53"/>
      <c r="J59" s="60" t="str">
        <f>IF(OR(tblConteo[[#This Row],[SKU]]="",tblConteo[[#This Row],[Conteo]]=""),"",IF(ISNUMBER(tblConteo[[#This Row],[Conteo]]),tblConteo[[#This Row],[Conteo]]-N(tblConteo[[#This Row],[Sistema]]),""))</f>
        <v/>
      </c>
      <c r="K59" s="63" t="str">
        <f>IF(tblConteo[[#This Row],[Diferencia]]="","",tblConteo[[#This Row],[Diferencia]]*N(INDEX(tblProductos[CostoUnitario],ROW()-ROW(tblConteo[#Headers]))))</f>
        <v/>
      </c>
      <c r="L5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0" spans="2:13" x14ac:dyDescent="0.25">
      <c r="B60" s="43" t="str">
        <f>IF(INDEX(tblProductos[SKU],ROW()-ROW(tblConteo[#Headers]))="","",INDEX(tblProductos[SKU],ROW()-ROW(tblConteo[#Headers])))</f>
        <v/>
      </c>
      <c r="C60" s="50" t="str">
        <f>IF(tblConteo[[#This Row],[SKU]]="","",INDEX(tblProductos[Producto],ROW()-ROW(tblConteo[#Headers])))</f>
        <v/>
      </c>
      <c r="D60" s="50" t="str">
        <f>IF(tblConteo[[#This Row],[SKU]]="","",INDEX(tblProductos[Categoría],ROW()-ROW(tblConteo[#Headers]))&amp;"")</f>
        <v/>
      </c>
      <c r="E60" s="43" t="str">
        <f>IF(tblConteo[[#This Row],[SKU]]="","",INDEX(tblProductos[Ubicación],ROW()-ROW(tblConteo[#Headers]))&amp;"")</f>
        <v/>
      </c>
      <c r="F60" s="43" t="str">
        <f>IF(tblConteo[[#This Row],[SKU]]="","",INDEX(tblProductos[Unidad],ROW()-ROW(tblConteo[#Headers]))&amp;"")</f>
        <v/>
      </c>
      <c r="G60" s="43" t="str">
        <f>IF(tblConteo[[#This Row],[SKU]]="","",IF(INDEX(tblProductos[Activo],ROW()-ROW(tblConteo[#Headers]))="NO","NO","SI"))</f>
        <v/>
      </c>
      <c r="H60" s="54" t="str">
        <f>IF(tblConteo[[#This Row],[SKU]]="","",IFERROR(N(INDEX(tblStock[StockActual],MATCH(tblConteo[[#This Row],[SKU]],tblStock[SKU],0))),0))</f>
        <v/>
      </c>
      <c r="I60" s="53"/>
      <c r="J60" s="60" t="str">
        <f>IF(OR(tblConteo[[#This Row],[SKU]]="",tblConteo[[#This Row],[Conteo]]=""),"",IF(ISNUMBER(tblConteo[[#This Row],[Conteo]]),tblConteo[[#This Row],[Conteo]]-N(tblConteo[[#This Row],[Sistema]]),""))</f>
        <v/>
      </c>
      <c r="K60" s="63" t="str">
        <f>IF(tblConteo[[#This Row],[Diferencia]]="","",tblConteo[[#This Row],[Diferencia]]*N(INDEX(tblProductos[CostoUnitario],ROW()-ROW(tblConteo[#Headers]))))</f>
        <v/>
      </c>
      <c r="L6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1" spans="2:13" x14ac:dyDescent="0.25">
      <c r="B61" s="43" t="str">
        <f>IF(INDEX(tblProductos[SKU],ROW()-ROW(tblConteo[#Headers]))="","",INDEX(tblProductos[SKU],ROW()-ROW(tblConteo[#Headers])))</f>
        <v/>
      </c>
      <c r="C61" s="50" t="str">
        <f>IF(tblConteo[[#This Row],[SKU]]="","",INDEX(tblProductos[Producto],ROW()-ROW(tblConteo[#Headers])))</f>
        <v/>
      </c>
      <c r="D61" s="50" t="str">
        <f>IF(tblConteo[[#This Row],[SKU]]="","",INDEX(tblProductos[Categoría],ROW()-ROW(tblConteo[#Headers]))&amp;"")</f>
        <v/>
      </c>
      <c r="E61" s="43" t="str">
        <f>IF(tblConteo[[#This Row],[SKU]]="","",INDEX(tblProductos[Ubicación],ROW()-ROW(tblConteo[#Headers]))&amp;"")</f>
        <v/>
      </c>
      <c r="F61" s="43" t="str">
        <f>IF(tblConteo[[#This Row],[SKU]]="","",INDEX(tblProductos[Unidad],ROW()-ROW(tblConteo[#Headers]))&amp;"")</f>
        <v/>
      </c>
      <c r="G61" s="43" t="str">
        <f>IF(tblConteo[[#This Row],[SKU]]="","",IF(INDEX(tblProductos[Activo],ROW()-ROW(tblConteo[#Headers]))="NO","NO","SI"))</f>
        <v/>
      </c>
      <c r="H61" s="54" t="str">
        <f>IF(tblConteo[[#This Row],[SKU]]="","",IFERROR(N(INDEX(tblStock[StockActual],MATCH(tblConteo[[#This Row],[SKU]],tblStock[SKU],0))),0))</f>
        <v/>
      </c>
      <c r="I61" s="53"/>
      <c r="J61" s="60" t="str">
        <f>IF(OR(tblConteo[[#This Row],[SKU]]="",tblConteo[[#This Row],[Conteo]]=""),"",IF(ISNUMBER(tblConteo[[#This Row],[Conteo]]),tblConteo[[#This Row],[Conteo]]-N(tblConteo[[#This Row],[Sistema]]),""))</f>
        <v/>
      </c>
      <c r="K61" s="63" t="str">
        <f>IF(tblConteo[[#This Row],[Diferencia]]="","",tblConteo[[#This Row],[Diferencia]]*N(INDEX(tblProductos[CostoUnitario],ROW()-ROW(tblConteo[#Headers]))))</f>
        <v/>
      </c>
      <c r="L6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2" spans="2:13" x14ac:dyDescent="0.25">
      <c r="B62" s="43" t="str">
        <f>IF(INDEX(tblProductos[SKU],ROW()-ROW(tblConteo[#Headers]))="","",INDEX(tblProductos[SKU],ROW()-ROW(tblConteo[#Headers])))</f>
        <v/>
      </c>
      <c r="C62" s="50" t="str">
        <f>IF(tblConteo[[#This Row],[SKU]]="","",INDEX(tblProductos[Producto],ROW()-ROW(tblConteo[#Headers])))</f>
        <v/>
      </c>
      <c r="D62" s="50" t="str">
        <f>IF(tblConteo[[#This Row],[SKU]]="","",INDEX(tblProductos[Categoría],ROW()-ROW(tblConteo[#Headers]))&amp;"")</f>
        <v/>
      </c>
      <c r="E62" s="43" t="str">
        <f>IF(tblConteo[[#This Row],[SKU]]="","",INDEX(tblProductos[Ubicación],ROW()-ROW(tblConteo[#Headers]))&amp;"")</f>
        <v/>
      </c>
      <c r="F62" s="43" t="str">
        <f>IF(tblConteo[[#This Row],[SKU]]="","",INDEX(tblProductos[Unidad],ROW()-ROW(tblConteo[#Headers]))&amp;"")</f>
        <v/>
      </c>
      <c r="G62" s="43" t="str">
        <f>IF(tblConteo[[#This Row],[SKU]]="","",IF(INDEX(tblProductos[Activo],ROW()-ROW(tblConteo[#Headers]))="NO","NO","SI"))</f>
        <v/>
      </c>
      <c r="H62" s="54" t="str">
        <f>IF(tblConteo[[#This Row],[SKU]]="","",IFERROR(N(INDEX(tblStock[StockActual],MATCH(tblConteo[[#This Row],[SKU]],tblStock[SKU],0))),0))</f>
        <v/>
      </c>
      <c r="I62" s="53"/>
      <c r="J62" s="60" t="str">
        <f>IF(OR(tblConteo[[#This Row],[SKU]]="",tblConteo[[#This Row],[Conteo]]=""),"",IF(ISNUMBER(tblConteo[[#This Row],[Conteo]]),tblConteo[[#This Row],[Conteo]]-N(tblConteo[[#This Row],[Sistema]]),""))</f>
        <v/>
      </c>
      <c r="K62" s="63" t="str">
        <f>IF(tblConteo[[#This Row],[Diferencia]]="","",tblConteo[[#This Row],[Diferencia]]*N(INDEX(tblProductos[CostoUnitario],ROW()-ROW(tblConteo[#Headers]))))</f>
        <v/>
      </c>
      <c r="L6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3" spans="2:13" x14ac:dyDescent="0.25">
      <c r="B63" s="43" t="str">
        <f>IF(INDEX(tblProductos[SKU],ROW()-ROW(tblConteo[#Headers]))="","",INDEX(tblProductos[SKU],ROW()-ROW(tblConteo[#Headers])))</f>
        <v/>
      </c>
      <c r="C63" s="50" t="str">
        <f>IF(tblConteo[[#This Row],[SKU]]="","",INDEX(tblProductos[Producto],ROW()-ROW(tblConteo[#Headers])))</f>
        <v/>
      </c>
      <c r="D63" s="50" t="str">
        <f>IF(tblConteo[[#This Row],[SKU]]="","",INDEX(tblProductos[Categoría],ROW()-ROW(tblConteo[#Headers]))&amp;"")</f>
        <v/>
      </c>
      <c r="E63" s="43" t="str">
        <f>IF(tblConteo[[#This Row],[SKU]]="","",INDEX(tblProductos[Ubicación],ROW()-ROW(tblConteo[#Headers]))&amp;"")</f>
        <v/>
      </c>
      <c r="F63" s="43" t="str">
        <f>IF(tblConteo[[#This Row],[SKU]]="","",INDEX(tblProductos[Unidad],ROW()-ROW(tblConteo[#Headers]))&amp;"")</f>
        <v/>
      </c>
      <c r="G63" s="43" t="str">
        <f>IF(tblConteo[[#This Row],[SKU]]="","",IF(INDEX(tblProductos[Activo],ROW()-ROW(tblConteo[#Headers]))="NO","NO","SI"))</f>
        <v/>
      </c>
      <c r="H63" s="54" t="str">
        <f>IF(tblConteo[[#This Row],[SKU]]="","",IFERROR(N(INDEX(tblStock[StockActual],MATCH(tblConteo[[#This Row],[SKU]],tblStock[SKU],0))),0))</f>
        <v/>
      </c>
      <c r="I63" s="53"/>
      <c r="J63" s="60" t="str">
        <f>IF(OR(tblConteo[[#This Row],[SKU]]="",tblConteo[[#This Row],[Conteo]]=""),"",IF(ISNUMBER(tblConteo[[#This Row],[Conteo]]),tblConteo[[#This Row],[Conteo]]-N(tblConteo[[#This Row],[Sistema]]),""))</f>
        <v/>
      </c>
      <c r="K63" s="63" t="str">
        <f>IF(tblConteo[[#This Row],[Diferencia]]="","",tblConteo[[#This Row],[Diferencia]]*N(INDEX(tblProductos[CostoUnitario],ROW()-ROW(tblConteo[#Headers]))))</f>
        <v/>
      </c>
      <c r="L6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4" spans="2:13" x14ac:dyDescent="0.25">
      <c r="B64" s="43" t="str">
        <f>IF(INDEX(tblProductos[SKU],ROW()-ROW(tblConteo[#Headers]))="","",INDEX(tblProductos[SKU],ROW()-ROW(tblConteo[#Headers])))</f>
        <v/>
      </c>
      <c r="C64" s="50" t="str">
        <f>IF(tblConteo[[#This Row],[SKU]]="","",INDEX(tblProductos[Producto],ROW()-ROW(tblConteo[#Headers])))</f>
        <v/>
      </c>
      <c r="D64" s="50" t="str">
        <f>IF(tblConteo[[#This Row],[SKU]]="","",INDEX(tblProductos[Categoría],ROW()-ROW(tblConteo[#Headers]))&amp;"")</f>
        <v/>
      </c>
      <c r="E64" s="43" t="str">
        <f>IF(tblConteo[[#This Row],[SKU]]="","",INDEX(tblProductos[Ubicación],ROW()-ROW(tblConteo[#Headers]))&amp;"")</f>
        <v/>
      </c>
      <c r="F64" s="43" t="str">
        <f>IF(tblConteo[[#This Row],[SKU]]="","",INDEX(tblProductos[Unidad],ROW()-ROW(tblConteo[#Headers]))&amp;"")</f>
        <v/>
      </c>
      <c r="G64" s="43" t="str">
        <f>IF(tblConteo[[#This Row],[SKU]]="","",IF(INDEX(tblProductos[Activo],ROW()-ROW(tblConteo[#Headers]))="NO","NO","SI"))</f>
        <v/>
      </c>
      <c r="H64" s="54" t="str">
        <f>IF(tblConteo[[#This Row],[SKU]]="","",IFERROR(N(INDEX(tblStock[StockActual],MATCH(tblConteo[[#This Row],[SKU]],tblStock[SKU],0))),0))</f>
        <v/>
      </c>
      <c r="I64" s="53"/>
      <c r="J64" s="60" t="str">
        <f>IF(OR(tblConteo[[#This Row],[SKU]]="",tblConteo[[#This Row],[Conteo]]=""),"",IF(ISNUMBER(tblConteo[[#This Row],[Conteo]]),tblConteo[[#This Row],[Conteo]]-N(tblConteo[[#This Row],[Sistema]]),""))</f>
        <v/>
      </c>
      <c r="K64" s="63" t="str">
        <f>IF(tblConteo[[#This Row],[Diferencia]]="","",tblConteo[[#This Row],[Diferencia]]*N(INDEX(tblProductos[CostoUnitario],ROW()-ROW(tblConteo[#Headers]))))</f>
        <v/>
      </c>
      <c r="L6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5" spans="2:13" x14ac:dyDescent="0.25">
      <c r="B65" s="43" t="str">
        <f>IF(INDEX(tblProductos[SKU],ROW()-ROW(tblConteo[#Headers]))="","",INDEX(tblProductos[SKU],ROW()-ROW(tblConteo[#Headers])))</f>
        <v/>
      </c>
      <c r="C65" s="50" t="str">
        <f>IF(tblConteo[[#This Row],[SKU]]="","",INDEX(tblProductos[Producto],ROW()-ROW(tblConteo[#Headers])))</f>
        <v/>
      </c>
      <c r="D65" s="50" t="str">
        <f>IF(tblConteo[[#This Row],[SKU]]="","",INDEX(tblProductos[Categoría],ROW()-ROW(tblConteo[#Headers]))&amp;"")</f>
        <v/>
      </c>
      <c r="E65" s="43" t="str">
        <f>IF(tblConteo[[#This Row],[SKU]]="","",INDEX(tblProductos[Ubicación],ROW()-ROW(tblConteo[#Headers]))&amp;"")</f>
        <v/>
      </c>
      <c r="F65" s="43" t="str">
        <f>IF(tblConteo[[#This Row],[SKU]]="","",INDEX(tblProductos[Unidad],ROW()-ROW(tblConteo[#Headers]))&amp;"")</f>
        <v/>
      </c>
      <c r="G65" s="43" t="str">
        <f>IF(tblConteo[[#This Row],[SKU]]="","",IF(INDEX(tblProductos[Activo],ROW()-ROW(tblConteo[#Headers]))="NO","NO","SI"))</f>
        <v/>
      </c>
      <c r="H65" s="54" t="str">
        <f>IF(tblConteo[[#This Row],[SKU]]="","",IFERROR(N(INDEX(tblStock[StockActual],MATCH(tblConteo[[#This Row],[SKU]],tblStock[SKU],0))),0))</f>
        <v/>
      </c>
      <c r="I65" s="53"/>
      <c r="J65" s="60" t="str">
        <f>IF(OR(tblConteo[[#This Row],[SKU]]="",tblConteo[[#This Row],[Conteo]]=""),"",IF(ISNUMBER(tblConteo[[#This Row],[Conteo]]),tblConteo[[#This Row],[Conteo]]-N(tblConteo[[#This Row],[Sistema]]),""))</f>
        <v/>
      </c>
      <c r="K65" s="63" t="str">
        <f>IF(tblConteo[[#This Row],[Diferencia]]="","",tblConteo[[#This Row],[Diferencia]]*N(INDEX(tblProductos[CostoUnitario],ROW()-ROW(tblConteo[#Headers]))))</f>
        <v/>
      </c>
      <c r="L6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6" spans="2:13" x14ac:dyDescent="0.25">
      <c r="B66" s="43" t="str">
        <f>IF(INDEX(tblProductos[SKU],ROW()-ROW(tblConteo[#Headers]))="","",INDEX(tblProductos[SKU],ROW()-ROW(tblConteo[#Headers])))</f>
        <v/>
      </c>
      <c r="C66" s="50" t="str">
        <f>IF(tblConteo[[#This Row],[SKU]]="","",INDEX(tblProductos[Producto],ROW()-ROW(tblConteo[#Headers])))</f>
        <v/>
      </c>
      <c r="D66" s="50" t="str">
        <f>IF(tblConteo[[#This Row],[SKU]]="","",INDEX(tblProductos[Categoría],ROW()-ROW(tblConteo[#Headers]))&amp;"")</f>
        <v/>
      </c>
      <c r="E66" s="43" t="str">
        <f>IF(tblConteo[[#This Row],[SKU]]="","",INDEX(tblProductos[Ubicación],ROW()-ROW(tblConteo[#Headers]))&amp;"")</f>
        <v/>
      </c>
      <c r="F66" s="43" t="str">
        <f>IF(tblConteo[[#This Row],[SKU]]="","",INDEX(tblProductos[Unidad],ROW()-ROW(tblConteo[#Headers]))&amp;"")</f>
        <v/>
      </c>
      <c r="G66" s="43" t="str">
        <f>IF(tblConteo[[#This Row],[SKU]]="","",IF(INDEX(tblProductos[Activo],ROW()-ROW(tblConteo[#Headers]))="NO","NO","SI"))</f>
        <v/>
      </c>
      <c r="H66" s="54" t="str">
        <f>IF(tblConteo[[#This Row],[SKU]]="","",IFERROR(N(INDEX(tblStock[StockActual],MATCH(tblConteo[[#This Row],[SKU]],tblStock[SKU],0))),0))</f>
        <v/>
      </c>
      <c r="I66" s="53"/>
      <c r="J66" s="60" t="str">
        <f>IF(OR(tblConteo[[#This Row],[SKU]]="",tblConteo[[#This Row],[Conteo]]=""),"",IF(ISNUMBER(tblConteo[[#This Row],[Conteo]]),tblConteo[[#This Row],[Conteo]]-N(tblConteo[[#This Row],[Sistema]]),""))</f>
        <v/>
      </c>
      <c r="K66" s="63" t="str">
        <f>IF(tblConteo[[#This Row],[Diferencia]]="","",tblConteo[[#This Row],[Diferencia]]*N(INDEX(tblProductos[CostoUnitario],ROW()-ROW(tblConteo[#Headers]))))</f>
        <v/>
      </c>
      <c r="L6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7" spans="2:13" x14ac:dyDescent="0.25">
      <c r="B67" s="43" t="str">
        <f>IF(INDEX(tblProductos[SKU],ROW()-ROW(tblConteo[#Headers]))="","",INDEX(tblProductos[SKU],ROW()-ROW(tblConteo[#Headers])))</f>
        <v/>
      </c>
      <c r="C67" s="50" t="str">
        <f>IF(tblConteo[[#This Row],[SKU]]="","",INDEX(tblProductos[Producto],ROW()-ROW(tblConteo[#Headers])))</f>
        <v/>
      </c>
      <c r="D67" s="50" t="str">
        <f>IF(tblConteo[[#This Row],[SKU]]="","",INDEX(tblProductos[Categoría],ROW()-ROW(tblConteo[#Headers]))&amp;"")</f>
        <v/>
      </c>
      <c r="E67" s="43" t="str">
        <f>IF(tblConteo[[#This Row],[SKU]]="","",INDEX(tblProductos[Ubicación],ROW()-ROW(tblConteo[#Headers]))&amp;"")</f>
        <v/>
      </c>
      <c r="F67" s="43" t="str">
        <f>IF(tblConteo[[#This Row],[SKU]]="","",INDEX(tblProductos[Unidad],ROW()-ROW(tblConteo[#Headers]))&amp;"")</f>
        <v/>
      </c>
      <c r="G67" s="43" t="str">
        <f>IF(tblConteo[[#This Row],[SKU]]="","",IF(INDEX(tblProductos[Activo],ROW()-ROW(tblConteo[#Headers]))="NO","NO","SI"))</f>
        <v/>
      </c>
      <c r="H67" s="54" t="str">
        <f>IF(tblConteo[[#This Row],[SKU]]="","",IFERROR(N(INDEX(tblStock[StockActual],MATCH(tblConteo[[#This Row],[SKU]],tblStock[SKU],0))),0))</f>
        <v/>
      </c>
      <c r="I67" s="53"/>
      <c r="J67" s="60" t="str">
        <f>IF(OR(tblConteo[[#This Row],[SKU]]="",tblConteo[[#This Row],[Conteo]]=""),"",IF(ISNUMBER(tblConteo[[#This Row],[Conteo]]),tblConteo[[#This Row],[Conteo]]-N(tblConteo[[#This Row],[Sistema]]),""))</f>
        <v/>
      </c>
      <c r="K67" s="63" t="str">
        <f>IF(tblConteo[[#This Row],[Diferencia]]="","",tblConteo[[#This Row],[Diferencia]]*N(INDEX(tblProductos[CostoUnitario],ROW()-ROW(tblConteo[#Headers]))))</f>
        <v/>
      </c>
      <c r="L6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8" spans="2:13" x14ac:dyDescent="0.25">
      <c r="B68" s="43" t="str">
        <f>IF(INDEX(tblProductos[SKU],ROW()-ROW(tblConteo[#Headers]))="","",INDEX(tblProductos[SKU],ROW()-ROW(tblConteo[#Headers])))</f>
        <v/>
      </c>
      <c r="C68" s="50" t="str">
        <f>IF(tblConteo[[#This Row],[SKU]]="","",INDEX(tblProductos[Producto],ROW()-ROW(tblConteo[#Headers])))</f>
        <v/>
      </c>
      <c r="D68" s="50" t="str">
        <f>IF(tblConteo[[#This Row],[SKU]]="","",INDEX(tblProductos[Categoría],ROW()-ROW(tblConteo[#Headers]))&amp;"")</f>
        <v/>
      </c>
      <c r="E68" s="43" t="str">
        <f>IF(tblConteo[[#This Row],[SKU]]="","",INDEX(tblProductos[Ubicación],ROW()-ROW(tblConteo[#Headers]))&amp;"")</f>
        <v/>
      </c>
      <c r="F68" s="43" t="str">
        <f>IF(tblConteo[[#This Row],[SKU]]="","",INDEX(tblProductos[Unidad],ROW()-ROW(tblConteo[#Headers]))&amp;"")</f>
        <v/>
      </c>
      <c r="G68" s="43" t="str">
        <f>IF(tblConteo[[#This Row],[SKU]]="","",IF(INDEX(tblProductos[Activo],ROW()-ROW(tblConteo[#Headers]))="NO","NO","SI"))</f>
        <v/>
      </c>
      <c r="H68" s="54" t="str">
        <f>IF(tblConteo[[#This Row],[SKU]]="","",IFERROR(N(INDEX(tblStock[StockActual],MATCH(tblConteo[[#This Row],[SKU]],tblStock[SKU],0))),0))</f>
        <v/>
      </c>
      <c r="I68" s="53"/>
      <c r="J68" s="60" t="str">
        <f>IF(OR(tblConteo[[#This Row],[SKU]]="",tblConteo[[#This Row],[Conteo]]=""),"",IF(ISNUMBER(tblConteo[[#This Row],[Conteo]]),tblConteo[[#This Row],[Conteo]]-N(tblConteo[[#This Row],[Sistema]]),""))</f>
        <v/>
      </c>
      <c r="K68" s="63" t="str">
        <f>IF(tblConteo[[#This Row],[Diferencia]]="","",tblConteo[[#This Row],[Diferencia]]*N(INDEX(tblProductos[CostoUnitario],ROW()-ROW(tblConteo[#Headers]))))</f>
        <v/>
      </c>
      <c r="L6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69" spans="2:13" x14ac:dyDescent="0.25">
      <c r="B69" s="43" t="str">
        <f>IF(INDEX(tblProductos[SKU],ROW()-ROW(tblConteo[#Headers]))="","",INDEX(tblProductos[SKU],ROW()-ROW(tblConteo[#Headers])))</f>
        <v/>
      </c>
      <c r="C69" s="50" t="str">
        <f>IF(tblConteo[[#This Row],[SKU]]="","",INDEX(tblProductos[Producto],ROW()-ROW(tblConteo[#Headers])))</f>
        <v/>
      </c>
      <c r="D69" s="50" t="str">
        <f>IF(tblConteo[[#This Row],[SKU]]="","",INDEX(tblProductos[Categoría],ROW()-ROW(tblConteo[#Headers]))&amp;"")</f>
        <v/>
      </c>
      <c r="E69" s="43" t="str">
        <f>IF(tblConteo[[#This Row],[SKU]]="","",INDEX(tblProductos[Ubicación],ROW()-ROW(tblConteo[#Headers]))&amp;"")</f>
        <v/>
      </c>
      <c r="F69" s="43" t="str">
        <f>IF(tblConteo[[#This Row],[SKU]]="","",INDEX(tblProductos[Unidad],ROW()-ROW(tblConteo[#Headers]))&amp;"")</f>
        <v/>
      </c>
      <c r="G69" s="43" t="str">
        <f>IF(tblConteo[[#This Row],[SKU]]="","",IF(INDEX(tblProductos[Activo],ROW()-ROW(tblConteo[#Headers]))="NO","NO","SI"))</f>
        <v/>
      </c>
      <c r="H69" s="54" t="str">
        <f>IF(tblConteo[[#This Row],[SKU]]="","",IFERROR(N(INDEX(tblStock[StockActual],MATCH(tblConteo[[#This Row],[SKU]],tblStock[SKU],0))),0))</f>
        <v/>
      </c>
      <c r="I69" s="53"/>
      <c r="J69" s="60" t="str">
        <f>IF(OR(tblConteo[[#This Row],[SKU]]="",tblConteo[[#This Row],[Conteo]]=""),"",IF(ISNUMBER(tblConteo[[#This Row],[Conteo]]),tblConteo[[#This Row],[Conteo]]-N(tblConteo[[#This Row],[Sistema]]),""))</f>
        <v/>
      </c>
      <c r="K69" s="63" t="str">
        <f>IF(tblConteo[[#This Row],[Diferencia]]="","",tblConteo[[#This Row],[Diferencia]]*N(INDEX(tblProductos[CostoUnitario],ROW()-ROW(tblConteo[#Headers]))))</f>
        <v/>
      </c>
      <c r="L6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6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0" spans="2:13" x14ac:dyDescent="0.25">
      <c r="B70" s="43" t="str">
        <f>IF(INDEX(tblProductos[SKU],ROW()-ROW(tblConteo[#Headers]))="","",INDEX(tblProductos[SKU],ROW()-ROW(tblConteo[#Headers])))</f>
        <v/>
      </c>
      <c r="C70" s="50" t="str">
        <f>IF(tblConteo[[#This Row],[SKU]]="","",INDEX(tblProductos[Producto],ROW()-ROW(tblConteo[#Headers])))</f>
        <v/>
      </c>
      <c r="D70" s="50" t="str">
        <f>IF(tblConteo[[#This Row],[SKU]]="","",INDEX(tblProductos[Categoría],ROW()-ROW(tblConteo[#Headers]))&amp;"")</f>
        <v/>
      </c>
      <c r="E70" s="43" t="str">
        <f>IF(tblConteo[[#This Row],[SKU]]="","",INDEX(tblProductos[Ubicación],ROW()-ROW(tblConteo[#Headers]))&amp;"")</f>
        <v/>
      </c>
      <c r="F70" s="43" t="str">
        <f>IF(tblConteo[[#This Row],[SKU]]="","",INDEX(tblProductos[Unidad],ROW()-ROW(tblConteo[#Headers]))&amp;"")</f>
        <v/>
      </c>
      <c r="G70" s="43" t="str">
        <f>IF(tblConteo[[#This Row],[SKU]]="","",IF(INDEX(tblProductos[Activo],ROW()-ROW(tblConteo[#Headers]))="NO","NO","SI"))</f>
        <v/>
      </c>
      <c r="H70" s="54" t="str">
        <f>IF(tblConteo[[#This Row],[SKU]]="","",IFERROR(N(INDEX(tblStock[StockActual],MATCH(tblConteo[[#This Row],[SKU]],tblStock[SKU],0))),0))</f>
        <v/>
      </c>
      <c r="I70" s="53"/>
      <c r="J70" s="60" t="str">
        <f>IF(OR(tblConteo[[#This Row],[SKU]]="",tblConteo[[#This Row],[Conteo]]=""),"",IF(ISNUMBER(tblConteo[[#This Row],[Conteo]]),tblConteo[[#This Row],[Conteo]]-N(tblConteo[[#This Row],[Sistema]]),""))</f>
        <v/>
      </c>
      <c r="K70" s="63" t="str">
        <f>IF(tblConteo[[#This Row],[Diferencia]]="","",tblConteo[[#This Row],[Diferencia]]*N(INDEX(tblProductos[CostoUnitario],ROW()-ROW(tblConteo[#Headers]))))</f>
        <v/>
      </c>
      <c r="L7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1" spans="2:13" x14ac:dyDescent="0.25">
      <c r="B71" s="43" t="str">
        <f>IF(INDEX(tblProductos[SKU],ROW()-ROW(tblConteo[#Headers]))="","",INDEX(tblProductos[SKU],ROW()-ROW(tblConteo[#Headers])))</f>
        <v/>
      </c>
      <c r="C71" s="50" t="str">
        <f>IF(tblConteo[[#This Row],[SKU]]="","",INDEX(tblProductos[Producto],ROW()-ROW(tblConteo[#Headers])))</f>
        <v/>
      </c>
      <c r="D71" s="50" t="str">
        <f>IF(tblConteo[[#This Row],[SKU]]="","",INDEX(tblProductos[Categoría],ROW()-ROW(tblConteo[#Headers]))&amp;"")</f>
        <v/>
      </c>
      <c r="E71" s="43" t="str">
        <f>IF(tblConteo[[#This Row],[SKU]]="","",INDEX(tblProductos[Ubicación],ROW()-ROW(tblConteo[#Headers]))&amp;"")</f>
        <v/>
      </c>
      <c r="F71" s="43" t="str">
        <f>IF(tblConteo[[#This Row],[SKU]]="","",INDEX(tblProductos[Unidad],ROW()-ROW(tblConteo[#Headers]))&amp;"")</f>
        <v/>
      </c>
      <c r="G71" s="43" t="str">
        <f>IF(tblConteo[[#This Row],[SKU]]="","",IF(INDEX(tblProductos[Activo],ROW()-ROW(tblConteo[#Headers]))="NO","NO","SI"))</f>
        <v/>
      </c>
      <c r="H71" s="54" t="str">
        <f>IF(tblConteo[[#This Row],[SKU]]="","",IFERROR(N(INDEX(tblStock[StockActual],MATCH(tblConteo[[#This Row],[SKU]],tblStock[SKU],0))),0))</f>
        <v/>
      </c>
      <c r="I71" s="53"/>
      <c r="J71" s="60" t="str">
        <f>IF(OR(tblConteo[[#This Row],[SKU]]="",tblConteo[[#This Row],[Conteo]]=""),"",IF(ISNUMBER(tblConteo[[#This Row],[Conteo]]),tblConteo[[#This Row],[Conteo]]-N(tblConteo[[#This Row],[Sistema]]),""))</f>
        <v/>
      </c>
      <c r="K71" s="63" t="str">
        <f>IF(tblConteo[[#This Row],[Diferencia]]="","",tblConteo[[#This Row],[Diferencia]]*N(INDEX(tblProductos[CostoUnitario],ROW()-ROW(tblConteo[#Headers]))))</f>
        <v/>
      </c>
      <c r="L7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2" spans="2:13" x14ac:dyDescent="0.25">
      <c r="B72" s="43" t="str">
        <f>IF(INDEX(tblProductos[SKU],ROW()-ROW(tblConteo[#Headers]))="","",INDEX(tblProductos[SKU],ROW()-ROW(tblConteo[#Headers])))</f>
        <v/>
      </c>
      <c r="C72" s="50" t="str">
        <f>IF(tblConteo[[#This Row],[SKU]]="","",INDEX(tblProductos[Producto],ROW()-ROW(tblConteo[#Headers])))</f>
        <v/>
      </c>
      <c r="D72" s="50" t="str">
        <f>IF(tblConteo[[#This Row],[SKU]]="","",INDEX(tblProductos[Categoría],ROW()-ROW(tblConteo[#Headers]))&amp;"")</f>
        <v/>
      </c>
      <c r="E72" s="43" t="str">
        <f>IF(tblConteo[[#This Row],[SKU]]="","",INDEX(tblProductos[Ubicación],ROW()-ROW(tblConteo[#Headers]))&amp;"")</f>
        <v/>
      </c>
      <c r="F72" s="43" t="str">
        <f>IF(tblConteo[[#This Row],[SKU]]="","",INDEX(tblProductos[Unidad],ROW()-ROW(tblConteo[#Headers]))&amp;"")</f>
        <v/>
      </c>
      <c r="G72" s="43" t="str">
        <f>IF(tblConteo[[#This Row],[SKU]]="","",IF(INDEX(tblProductos[Activo],ROW()-ROW(tblConteo[#Headers]))="NO","NO","SI"))</f>
        <v/>
      </c>
      <c r="H72" s="54" t="str">
        <f>IF(tblConteo[[#This Row],[SKU]]="","",IFERROR(N(INDEX(tblStock[StockActual],MATCH(tblConteo[[#This Row],[SKU]],tblStock[SKU],0))),0))</f>
        <v/>
      </c>
      <c r="I72" s="53"/>
      <c r="J72" s="60" t="str">
        <f>IF(OR(tblConteo[[#This Row],[SKU]]="",tblConteo[[#This Row],[Conteo]]=""),"",IF(ISNUMBER(tblConteo[[#This Row],[Conteo]]),tblConteo[[#This Row],[Conteo]]-N(tblConteo[[#This Row],[Sistema]]),""))</f>
        <v/>
      </c>
      <c r="K72" s="63" t="str">
        <f>IF(tblConteo[[#This Row],[Diferencia]]="","",tblConteo[[#This Row],[Diferencia]]*N(INDEX(tblProductos[CostoUnitario],ROW()-ROW(tblConteo[#Headers]))))</f>
        <v/>
      </c>
      <c r="L7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3" spans="2:13" x14ac:dyDescent="0.25">
      <c r="B73" s="43" t="str">
        <f>IF(INDEX(tblProductos[SKU],ROW()-ROW(tblConteo[#Headers]))="","",INDEX(tblProductos[SKU],ROW()-ROW(tblConteo[#Headers])))</f>
        <v/>
      </c>
      <c r="C73" s="50" t="str">
        <f>IF(tblConteo[[#This Row],[SKU]]="","",INDEX(tblProductos[Producto],ROW()-ROW(tblConteo[#Headers])))</f>
        <v/>
      </c>
      <c r="D73" s="50" t="str">
        <f>IF(tblConteo[[#This Row],[SKU]]="","",INDEX(tblProductos[Categoría],ROW()-ROW(tblConteo[#Headers]))&amp;"")</f>
        <v/>
      </c>
      <c r="E73" s="43" t="str">
        <f>IF(tblConteo[[#This Row],[SKU]]="","",INDEX(tblProductos[Ubicación],ROW()-ROW(tblConteo[#Headers]))&amp;"")</f>
        <v/>
      </c>
      <c r="F73" s="43" t="str">
        <f>IF(tblConteo[[#This Row],[SKU]]="","",INDEX(tblProductos[Unidad],ROW()-ROW(tblConteo[#Headers]))&amp;"")</f>
        <v/>
      </c>
      <c r="G73" s="43" t="str">
        <f>IF(tblConteo[[#This Row],[SKU]]="","",IF(INDEX(tblProductos[Activo],ROW()-ROW(tblConteo[#Headers]))="NO","NO","SI"))</f>
        <v/>
      </c>
      <c r="H73" s="54" t="str">
        <f>IF(tblConteo[[#This Row],[SKU]]="","",IFERROR(N(INDEX(tblStock[StockActual],MATCH(tblConteo[[#This Row],[SKU]],tblStock[SKU],0))),0))</f>
        <v/>
      </c>
      <c r="I73" s="53"/>
      <c r="J73" s="60" t="str">
        <f>IF(OR(tblConteo[[#This Row],[SKU]]="",tblConteo[[#This Row],[Conteo]]=""),"",IF(ISNUMBER(tblConteo[[#This Row],[Conteo]]),tblConteo[[#This Row],[Conteo]]-N(tblConteo[[#This Row],[Sistema]]),""))</f>
        <v/>
      </c>
      <c r="K73" s="63" t="str">
        <f>IF(tblConteo[[#This Row],[Diferencia]]="","",tblConteo[[#This Row],[Diferencia]]*N(INDEX(tblProductos[CostoUnitario],ROW()-ROW(tblConteo[#Headers]))))</f>
        <v/>
      </c>
      <c r="L7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4" spans="2:13" x14ac:dyDescent="0.25">
      <c r="B74" s="43" t="str">
        <f>IF(INDEX(tblProductos[SKU],ROW()-ROW(tblConteo[#Headers]))="","",INDEX(tblProductos[SKU],ROW()-ROW(tblConteo[#Headers])))</f>
        <v/>
      </c>
      <c r="C74" s="50" t="str">
        <f>IF(tblConteo[[#This Row],[SKU]]="","",INDEX(tblProductos[Producto],ROW()-ROW(tblConteo[#Headers])))</f>
        <v/>
      </c>
      <c r="D74" s="50" t="str">
        <f>IF(tblConteo[[#This Row],[SKU]]="","",INDEX(tblProductos[Categoría],ROW()-ROW(tblConteo[#Headers]))&amp;"")</f>
        <v/>
      </c>
      <c r="E74" s="43" t="str">
        <f>IF(tblConteo[[#This Row],[SKU]]="","",INDEX(tblProductos[Ubicación],ROW()-ROW(tblConteo[#Headers]))&amp;"")</f>
        <v/>
      </c>
      <c r="F74" s="43" t="str">
        <f>IF(tblConteo[[#This Row],[SKU]]="","",INDEX(tblProductos[Unidad],ROW()-ROW(tblConteo[#Headers]))&amp;"")</f>
        <v/>
      </c>
      <c r="G74" s="43" t="str">
        <f>IF(tblConteo[[#This Row],[SKU]]="","",IF(INDEX(tblProductos[Activo],ROW()-ROW(tblConteo[#Headers]))="NO","NO","SI"))</f>
        <v/>
      </c>
      <c r="H74" s="54" t="str">
        <f>IF(tblConteo[[#This Row],[SKU]]="","",IFERROR(N(INDEX(tblStock[StockActual],MATCH(tblConteo[[#This Row],[SKU]],tblStock[SKU],0))),0))</f>
        <v/>
      </c>
      <c r="I74" s="53"/>
      <c r="J74" s="60" t="str">
        <f>IF(OR(tblConteo[[#This Row],[SKU]]="",tblConteo[[#This Row],[Conteo]]=""),"",IF(ISNUMBER(tblConteo[[#This Row],[Conteo]]),tblConteo[[#This Row],[Conteo]]-N(tblConteo[[#This Row],[Sistema]]),""))</f>
        <v/>
      </c>
      <c r="K74" s="63" t="str">
        <f>IF(tblConteo[[#This Row],[Diferencia]]="","",tblConteo[[#This Row],[Diferencia]]*N(INDEX(tblProductos[CostoUnitario],ROW()-ROW(tblConteo[#Headers]))))</f>
        <v/>
      </c>
      <c r="L7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5" spans="2:13" x14ac:dyDescent="0.25">
      <c r="B75" s="43" t="str">
        <f>IF(INDEX(tblProductos[SKU],ROW()-ROW(tblConteo[#Headers]))="","",INDEX(tblProductos[SKU],ROW()-ROW(tblConteo[#Headers])))</f>
        <v/>
      </c>
      <c r="C75" s="50" t="str">
        <f>IF(tblConteo[[#This Row],[SKU]]="","",INDEX(tblProductos[Producto],ROW()-ROW(tblConteo[#Headers])))</f>
        <v/>
      </c>
      <c r="D75" s="50" t="str">
        <f>IF(tblConteo[[#This Row],[SKU]]="","",INDEX(tblProductos[Categoría],ROW()-ROW(tblConteo[#Headers]))&amp;"")</f>
        <v/>
      </c>
      <c r="E75" s="43" t="str">
        <f>IF(tblConteo[[#This Row],[SKU]]="","",INDEX(tblProductos[Ubicación],ROW()-ROW(tblConteo[#Headers]))&amp;"")</f>
        <v/>
      </c>
      <c r="F75" s="43" t="str">
        <f>IF(tblConteo[[#This Row],[SKU]]="","",INDEX(tblProductos[Unidad],ROW()-ROW(tblConteo[#Headers]))&amp;"")</f>
        <v/>
      </c>
      <c r="G75" s="43" t="str">
        <f>IF(tblConteo[[#This Row],[SKU]]="","",IF(INDEX(tblProductos[Activo],ROW()-ROW(tblConteo[#Headers]))="NO","NO","SI"))</f>
        <v/>
      </c>
      <c r="H75" s="54" t="str">
        <f>IF(tblConteo[[#This Row],[SKU]]="","",IFERROR(N(INDEX(tblStock[StockActual],MATCH(tblConteo[[#This Row],[SKU]],tblStock[SKU],0))),0))</f>
        <v/>
      </c>
      <c r="I75" s="53"/>
      <c r="J75" s="60" t="str">
        <f>IF(OR(tblConteo[[#This Row],[SKU]]="",tblConteo[[#This Row],[Conteo]]=""),"",IF(ISNUMBER(tblConteo[[#This Row],[Conteo]]),tblConteo[[#This Row],[Conteo]]-N(tblConteo[[#This Row],[Sistema]]),""))</f>
        <v/>
      </c>
      <c r="K75" s="63" t="str">
        <f>IF(tblConteo[[#This Row],[Diferencia]]="","",tblConteo[[#This Row],[Diferencia]]*N(INDEX(tblProductos[CostoUnitario],ROW()-ROW(tblConteo[#Headers]))))</f>
        <v/>
      </c>
      <c r="L7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6" spans="2:13" x14ac:dyDescent="0.25">
      <c r="B76" s="43" t="str">
        <f>IF(INDEX(tblProductos[SKU],ROW()-ROW(tblConteo[#Headers]))="","",INDEX(tblProductos[SKU],ROW()-ROW(tblConteo[#Headers])))</f>
        <v/>
      </c>
      <c r="C76" s="50" t="str">
        <f>IF(tblConteo[[#This Row],[SKU]]="","",INDEX(tblProductos[Producto],ROW()-ROW(tblConteo[#Headers])))</f>
        <v/>
      </c>
      <c r="D76" s="50" t="str">
        <f>IF(tblConteo[[#This Row],[SKU]]="","",INDEX(tblProductos[Categoría],ROW()-ROW(tblConteo[#Headers]))&amp;"")</f>
        <v/>
      </c>
      <c r="E76" s="43" t="str">
        <f>IF(tblConteo[[#This Row],[SKU]]="","",INDEX(tblProductos[Ubicación],ROW()-ROW(tblConteo[#Headers]))&amp;"")</f>
        <v/>
      </c>
      <c r="F76" s="43" t="str">
        <f>IF(tblConteo[[#This Row],[SKU]]="","",INDEX(tblProductos[Unidad],ROW()-ROW(tblConteo[#Headers]))&amp;"")</f>
        <v/>
      </c>
      <c r="G76" s="43" t="str">
        <f>IF(tblConteo[[#This Row],[SKU]]="","",IF(INDEX(tblProductos[Activo],ROW()-ROW(tblConteo[#Headers]))="NO","NO","SI"))</f>
        <v/>
      </c>
      <c r="H76" s="54" t="str">
        <f>IF(tblConteo[[#This Row],[SKU]]="","",IFERROR(N(INDEX(tblStock[StockActual],MATCH(tblConteo[[#This Row],[SKU]],tblStock[SKU],0))),0))</f>
        <v/>
      </c>
      <c r="I76" s="53"/>
      <c r="J76" s="60" t="str">
        <f>IF(OR(tblConteo[[#This Row],[SKU]]="",tblConteo[[#This Row],[Conteo]]=""),"",IF(ISNUMBER(tblConteo[[#This Row],[Conteo]]),tblConteo[[#This Row],[Conteo]]-N(tblConteo[[#This Row],[Sistema]]),""))</f>
        <v/>
      </c>
      <c r="K76" s="63" t="str">
        <f>IF(tblConteo[[#This Row],[Diferencia]]="","",tblConteo[[#This Row],[Diferencia]]*N(INDEX(tblProductos[CostoUnitario],ROW()-ROW(tblConteo[#Headers]))))</f>
        <v/>
      </c>
      <c r="L7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7" spans="2:13" x14ac:dyDescent="0.25">
      <c r="B77" s="43" t="str">
        <f>IF(INDEX(tblProductos[SKU],ROW()-ROW(tblConteo[#Headers]))="","",INDEX(tblProductos[SKU],ROW()-ROW(tblConteo[#Headers])))</f>
        <v/>
      </c>
      <c r="C77" s="50" t="str">
        <f>IF(tblConteo[[#This Row],[SKU]]="","",INDEX(tblProductos[Producto],ROW()-ROW(tblConteo[#Headers])))</f>
        <v/>
      </c>
      <c r="D77" s="50" t="str">
        <f>IF(tblConteo[[#This Row],[SKU]]="","",INDEX(tblProductos[Categoría],ROW()-ROW(tblConteo[#Headers]))&amp;"")</f>
        <v/>
      </c>
      <c r="E77" s="43" t="str">
        <f>IF(tblConteo[[#This Row],[SKU]]="","",INDEX(tblProductos[Ubicación],ROW()-ROW(tblConteo[#Headers]))&amp;"")</f>
        <v/>
      </c>
      <c r="F77" s="43" t="str">
        <f>IF(tblConteo[[#This Row],[SKU]]="","",INDEX(tblProductos[Unidad],ROW()-ROW(tblConteo[#Headers]))&amp;"")</f>
        <v/>
      </c>
      <c r="G77" s="43" t="str">
        <f>IF(tblConteo[[#This Row],[SKU]]="","",IF(INDEX(tblProductos[Activo],ROW()-ROW(tblConteo[#Headers]))="NO","NO","SI"))</f>
        <v/>
      </c>
      <c r="H77" s="54" t="str">
        <f>IF(tblConteo[[#This Row],[SKU]]="","",IFERROR(N(INDEX(tblStock[StockActual],MATCH(tblConteo[[#This Row],[SKU]],tblStock[SKU],0))),0))</f>
        <v/>
      </c>
      <c r="I77" s="53"/>
      <c r="J77" s="60" t="str">
        <f>IF(OR(tblConteo[[#This Row],[SKU]]="",tblConteo[[#This Row],[Conteo]]=""),"",IF(ISNUMBER(tblConteo[[#This Row],[Conteo]]),tblConteo[[#This Row],[Conteo]]-N(tblConteo[[#This Row],[Sistema]]),""))</f>
        <v/>
      </c>
      <c r="K77" s="63" t="str">
        <f>IF(tblConteo[[#This Row],[Diferencia]]="","",tblConteo[[#This Row],[Diferencia]]*N(INDEX(tblProductos[CostoUnitario],ROW()-ROW(tblConteo[#Headers]))))</f>
        <v/>
      </c>
      <c r="L7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8" spans="2:13" x14ac:dyDescent="0.25">
      <c r="B78" s="43" t="str">
        <f>IF(INDEX(tblProductos[SKU],ROW()-ROW(tblConteo[#Headers]))="","",INDEX(tblProductos[SKU],ROW()-ROW(tblConteo[#Headers])))</f>
        <v/>
      </c>
      <c r="C78" s="50" t="str">
        <f>IF(tblConteo[[#This Row],[SKU]]="","",INDEX(tblProductos[Producto],ROW()-ROW(tblConteo[#Headers])))</f>
        <v/>
      </c>
      <c r="D78" s="50" t="str">
        <f>IF(tblConteo[[#This Row],[SKU]]="","",INDEX(tblProductos[Categoría],ROW()-ROW(tblConteo[#Headers]))&amp;"")</f>
        <v/>
      </c>
      <c r="E78" s="43" t="str">
        <f>IF(tblConteo[[#This Row],[SKU]]="","",INDEX(tblProductos[Ubicación],ROW()-ROW(tblConteo[#Headers]))&amp;"")</f>
        <v/>
      </c>
      <c r="F78" s="43" t="str">
        <f>IF(tblConteo[[#This Row],[SKU]]="","",INDEX(tblProductos[Unidad],ROW()-ROW(tblConteo[#Headers]))&amp;"")</f>
        <v/>
      </c>
      <c r="G78" s="43" t="str">
        <f>IF(tblConteo[[#This Row],[SKU]]="","",IF(INDEX(tblProductos[Activo],ROW()-ROW(tblConteo[#Headers]))="NO","NO","SI"))</f>
        <v/>
      </c>
      <c r="H78" s="54" t="str">
        <f>IF(tblConteo[[#This Row],[SKU]]="","",IFERROR(N(INDEX(tblStock[StockActual],MATCH(tblConteo[[#This Row],[SKU]],tblStock[SKU],0))),0))</f>
        <v/>
      </c>
      <c r="I78" s="53"/>
      <c r="J78" s="60" t="str">
        <f>IF(OR(tblConteo[[#This Row],[SKU]]="",tblConteo[[#This Row],[Conteo]]=""),"",IF(ISNUMBER(tblConteo[[#This Row],[Conteo]]),tblConteo[[#This Row],[Conteo]]-N(tblConteo[[#This Row],[Sistema]]),""))</f>
        <v/>
      </c>
      <c r="K78" s="63" t="str">
        <f>IF(tblConteo[[#This Row],[Diferencia]]="","",tblConteo[[#This Row],[Diferencia]]*N(INDEX(tblProductos[CostoUnitario],ROW()-ROW(tblConteo[#Headers]))))</f>
        <v/>
      </c>
      <c r="L7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79" spans="2:13" x14ac:dyDescent="0.25">
      <c r="B79" s="43" t="str">
        <f>IF(INDEX(tblProductos[SKU],ROW()-ROW(tblConteo[#Headers]))="","",INDEX(tblProductos[SKU],ROW()-ROW(tblConteo[#Headers])))</f>
        <v/>
      </c>
      <c r="C79" s="50" t="str">
        <f>IF(tblConteo[[#This Row],[SKU]]="","",INDEX(tblProductos[Producto],ROW()-ROW(tblConteo[#Headers])))</f>
        <v/>
      </c>
      <c r="D79" s="50" t="str">
        <f>IF(tblConteo[[#This Row],[SKU]]="","",INDEX(tblProductos[Categoría],ROW()-ROW(tblConteo[#Headers]))&amp;"")</f>
        <v/>
      </c>
      <c r="E79" s="43" t="str">
        <f>IF(tblConteo[[#This Row],[SKU]]="","",INDEX(tblProductos[Ubicación],ROW()-ROW(tblConteo[#Headers]))&amp;"")</f>
        <v/>
      </c>
      <c r="F79" s="43" t="str">
        <f>IF(tblConteo[[#This Row],[SKU]]="","",INDEX(tblProductos[Unidad],ROW()-ROW(tblConteo[#Headers]))&amp;"")</f>
        <v/>
      </c>
      <c r="G79" s="43" t="str">
        <f>IF(tblConteo[[#This Row],[SKU]]="","",IF(INDEX(tblProductos[Activo],ROW()-ROW(tblConteo[#Headers]))="NO","NO","SI"))</f>
        <v/>
      </c>
      <c r="H79" s="54" t="str">
        <f>IF(tblConteo[[#This Row],[SKU]]="","",IFERROR(N(INDEX(tblStock[StockActual],MATCH(tblConteo[[#This Row],[SKU]],tblStock[SKU],0))),0))</f>
        <v/>
      </c>
      <c r="I79" s="53"/>
      <c r="J79" s="60" t="str">
        <f>IF(OR(tblConteo[[#This Row],[SKU]]="",tblConteo[[#This Row],[Conteo]]=""),"",IF(ISNUMBER(tblConteo[[#This Row],[Conteo]]),tblConteo[[#This Row],[Conteo]]-N(tblConteo[[#This Row],[Sistema]]),""))</f>
        <v/>
      </c>
      <c r="K79" s="63" t="str">
        <f>IF(tblConteo[[#This Row],[Diferencia]]="","",tblConteo[[#This Row],[Diferencia]]*N(INDEX(tblProductos[CostoUnitario],ROW()-ROW(tblConteo[#Headers]))))</f>
        <v/>
      </c>
      <c r="L7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7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0" spans="2:13" x14ac:dyDescent="0.25">
      <c r="B80" s="43" t="str">
        <f>IF(INDEX(tblProductos[SKU],ROW()-ROW(tblConteo[#Headers]))="","",INDEX(tblProductos[SKU],ROW()-ROW(tblConteo[#Headers])))</f>
        <v/>
      </c>
      <c r="C80" s="50" t="str">
        <f>IF(tblConteo[[#This Row],[SKU]]="","",INDEX(tblProductos[Producto],ROW()-ROW(tblConteo[#Headers])))</f>
        <v/>
      </c>
      <c r="D80" s="50" t="str">
        <f>IF(tblConteo[[#This Row],[SKU]]="","",INDEX(tblProductos[Categoría],ROW()-ROW(tblConteo[#Headers]))&amp;"")</f>
        <v/>
      </c>
      <c r="E80" s="43" t="str">
        <f>IF(tblConteo[[#This Row],[SKU]]="","",INDEX(tblProductos[Ubicación],ROW()-ROW(tblConteo[#Headers]))&amp;"")</f>
        <v/>
      </c>
      <c r="F80" s="43" t="str">
        <f>IF(tblConteo[[#This Row],[SKU]]="","",INDEX(tblProductos[Unidad],ROW()-ROW(tblConteo[#Headers]))&amp;"")</f>
        <v/>
      </c>
      <c r="G80" s="43" t="str">
        <f>IF(tblConteo[[#This Row],[SKU]]="","",IF(INDEX(tblProductos[Activo],ROW()-ROW(tblConteo[#Headers]))="NO","NO","SI"))</f>
        <v/>
      </c>
      <c r="H80" s="54" t="str">
        <f>IF(tblConteo[[#This Row],[SKU]]="","",IFERROR(N(INDEX(tblStock[StockActual],MATCH(tblConteo[[#This Row],[SKU]],tblStock[SKU],0))),0))</f>
        <v/>
      </c>
      <c r="I80" s="53"/>
      <c r="J80" s="60" t="str">
        <f>IF(OR(tblConteo[[#This Row],[SKU]]="",tblConteo[[#This Row],[Conteo]]=""),"",IF(ISNUMBER(tblConteo[[#This Row],[Conteo]]),tblConteo[[#This Row],[Conteo]]-N(tblConteo[[#This Row],[Sistema]]),""))</f>
        <v/>
      </c>
      <c r="K80" s="63" t="str">
        <f>IF(tblConteo[[#This Row],[Diferencia]]="","",tblConteo[[#This Row],[Diferencia]]*N(INDEX(tblProductos[CostoUnitario],ROW()-ROW(tblConteo[#Headers]))))</f>
        <v/>
      </c>
      <c r="L8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1" spans="2:13" x14ac:dyDescent="0.25">
      <c r="B81" s="43" t="str">
        <f>IF(INDEX(tblProductos[SKU],ROW()-ROW(tblConteo[#Headers]))="","",INDEX(tblProductos[SKU],ROW()-ROW(tblConteo[#Headers])))</f>
        <v/>
      </c>
      <c r="C81" s="50" t="str">
        <f>IF(tblConteo[[#This Row],[SKU]]="","",INDEX(tblProductos[Producto],ROW()-ROW(tblConteo[#Headers])))</f>
        <v/>
      </c>
      <c r="D81" s="50" t="str">
        <f>IF(tblConteo[[#This Row],[SKU]]="","",INDEX(tblProductos[Categoría],ROW()-ROW(tblConteo[#Headers]))&amp;"")</f>
        <v/>
      </c>
      <c r="E81" s="43" t="str">
        <f>IF(tblConteo[[#This Row],[SKU]]="","",INDEX(tblProductos[Ubicación],ROW()-ROW(tblConteo[#Headers]))&amp;"")</f>
        <v/>
      </c>
      <c r="F81" s="43" t="str">
        <f>IF(tblConteo[[#This Row],[SKU]]="","",INDEX(tblProductos[Unidad],ROW()-ROW(tblConteo[#Headers]))&amp;"")</f>
        <v/>
      </c>
      <c r="G81" s="43" t="str">
        <f>IF(tblConteo[[#This Row],[SKU]]="","",IF(INDEX(tblProductos[Activo],ROW()-ROW(tblConteo[#Headers]))="NO","NO","SI"))</f>
        <v/>
      </c>
      <c r="H81" s="54" t="str">
        <f>IF(tblConteo[[#This Row],[SKU]]="","",IFERROR(N(INDEX(tblStock[StockActual],MATCH(tblConteo[[#This Row],[SKU]],tblStock[SKU],0))),0))</f>
        <v/>
      </c>
      <c r="I81" s="53"/>
      <c r="J81" s="60" t="str">
        <f>IF(OR(tblConteo[[#This Row],[SKU]]="",tblConteo[[#This Row],[Conteo]]=""),"",IF(ISNUMBER(tblConteo[[#This Row],[Conteo]]),tblConteo[[#This Row],[Conteo]]-N(tblConteo[[#This Row],[Sistema]]),""))</f>
        <v/>
      </c>
      <c r="K81" s="63" t="str">
        <f>IF(tblConteo[[#This Row],[Diferencia]]="","",tblConteo[[#This Row],[Diferencia]]*N(INDEX(tblProductos[CostoUnitario],ROW()-ROW(tblConteo[#Headers]))))</f>
        <v/>
      </c>
      <c r="L8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2" spans="2:13" x14ac:dyDescent="0.25">
      <c r="B82" s="43" t="str">
        <f>IF(INDEX(tblProductos[SKU],ROW()-ROW(tblConteo[#Headers]))="","",INDEX(tblProductos[SKU],ROW()-ROW(tblConteo[#Headers])))</f>
        <v/>
      </c>
      <c r="C82" s="50" t="str">
        <f>IF(tblConteo[[#This Row],[SKU]]="","",INDEX(tblProductos[Producto],ROW()-ROW(tblConteo[#Headers])))</f>
        <v/>
      </c>
      <c r="D82" s="50" t="str">
        <f>IF(tblConteo[[#This Row],[SKU]]="","",INDEX(tblProductos[Categoría],ROW()-ROW(tblConteo[#Headers]))&amp;"")</f>
        <v/>
      </c>
      <c r="E82" s="43" t="str">
        <f>IF(tblConteo[[#This Row],[SKU]]="","",INDEX(tblProductos[Ubicación],ROW()-ROW(tblConteo[#Headers]))&amp;"")</f>
        <v/>
      </c>
      <c r="F82" s="43" t="str">
        <f>IF(tblConteo[[#This Row],[SKU]]="","",INDEX(tblProductos[Unidad],ROW()-ROW(tblConteo[#Headers]))&amp;"")</f>
        <v/>
      </c>
      <c r="G82" s="43" t="str">
        <f>IF(tblConteo[[#This Row],[SKU]]="","",IF(INDEX(tblProductos[Activo],ROW()-ROW(tblConteo[#Headers]))="NO","NO","SI"))</f>
        <v/>
      </c>
      <c r="H82" s="54" t="str">
        <f>IF(tblConteo[[#This Row],[SKU]]="","",IFERROR(N(INDEX(tblStock[StockActual],MATCH(tblConteo[[#This Row],[SKU]],tblStock[SKU],0))),0))</f>
        <v/>
      </c>
      <c r="I82" s="53"/>
      <c r="J82" s="60" t="str">
        <f>IF(OR(tblConteo[[#This Row],[SKU]]="",tblConteo[[#This Row],[Conteo]]=""),"",IF(ISNUMBER(tblConteo[[#This Row],[Conteo]]),tblConteo[[#This Row],[Conteo]]-N(tblConteo[[#This Row],[Sistema]]),""))</f>
        <v/>
      </c>
      <c r="K82" s="63" t="str">
        <f>IF(tblConteo[[#This Row],[Diferencia]]="","",tblConteo[[#This Row],[Diferencia]]*N(INDEX(tblProductos[CostoUnitario],ROW()-ROW(tblConteo[#Headers]))))</f>
        <v/>
      </c>
      <c r="L8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3" spans="2:13" x14ac:dyDescent="0.25">
      <c r="B83" s="43" t="str">
        <f>IF(INDEX(tblProductos[SKU],ROW()-ROW(tblConteo[#Headers]))="","",INDEX(tblProductos[SKU],ROW()-ROW(tblConteo[#Headers])))</f>
        <v/>
      </c>
      <c r="C83" s="50" t="str">
        <f>IF(tblConteo[[#This Row],[SKU]]="","",INDEX(tblProductos[Producto],ROW()-ROW(tblConteo[#Headers])))</f>
        <v/>
      </c>
      <c r="D83" s="50" t="str">
        <f>IF(tblConteo[[#This Row],[SKU]]="","",INDEX(tblProductos[Categoría],ROW()-ROW(tblConteo[#Headers]))&amp;"")</f>
        <v/>
      </c>
      <c r="E83" s="43" t="str">
        <f>IF(tblConteo[[#This Row],[SKU]]="","",INDEX(tblProductos[Ubicación],ROW()-ROW(tblConteo[#Headers]))&amp;"")</f>
        <v/>
      </c>
      <c r="F83" s="43" t="str">
        <f>IF(tblConteo[[#This Row],[SKU]]="","",INDEX(tblProductos[Unidad],ROW()-ROW(tblConteo[#Headers]))&amp;"")</f>
        <v/>
      </c>
      <c r="G83" s="43" t="str">
        <f>IF(tblConteo[[#This Row],[SKU]]="","",IF(INDEX(tblProductos[Activo],ROW()-ROW(tblConteo[#Headers]))="NO","NO","SI"))</f>
        <v/>
      </c>
      <c r="H83" s="54" t="str">
        <f>IF(tblConteo[[#This Row],[SKU]]="","",IFERROR(N(INDEX(tblStock[StockActual],MATCH(tblConteo[[#This Row],[SKU]],tblStock[SKU],0))),0))</f>
        <v/>
      </c>
      <c r="I83" s="53"/>
      <c r="J83" s="60" t="str">
        <f>IF(OR(tblConteo[[#This Row],[SKU]]="",tblConteo[[#This Row],[Conteo]]=""),"",IF(ISNUMBER(tblConteo[[#This Row],[Conteo]]),tblConteo[[#This Row],[Conteo]]-N(tblConteo[[#This Row],[Sistema]]),""))</f>
        <v/>
      </c>
      <c r="K83" s="63" t="str">
        <f>IF(tblConteo[[#This Row],[Diferencia]]="","",tblConteo[[#This Row],[Diferencia]]*N(INDEX(tblProductos[CostoUnitario],ROW()-ROW(tblConteo[#Headers]))))</f>
        <v/>
      </c>
      <c r="L8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4" spans="2:13" x14ac:dyDescent="0.25">
      <c r="B84" s="43" t="str">
        <f>IF(INDEX(tblProductos[SKU],ROW()-ROW(tblConteo[#Headers]))="","",INDEX(tblProductos[SKU],ROW()-ROW(tblConteo[#Headers])))</f>
        <v/>
      </c>
      <c r="C84" s="50" t="str">
        <f>IF(tblConteo[[#This Row],[SKU]]="","",INDEX(tblProductos[Producto],ROW()-ROW(tblConteo[#Headers])))</f>
        <v/>
      </c>
      <c r="D84" s="50" t="str">
        <f>IF(tblConteo[[#This Row],[SKU]]="","",INDEX(tblProductos[Categoría],ROW()-ROW(tblConteo[#Headers]))&amp;"")</f>
        <v/>
      </c>
      <c r="E84" s="43" t="str">
        <f>IF(tblConteo[[#This Row],[SKU]]="","",INDEX(tblProductos[Ubicación],ROW()-ROW(tblConteo[#Headers]))&amp;"")</f>
        <v/>
      </c>
      <c r="F84" s="43" t="str">
        <f>IF(tblConteo[[#This Row],[SKU]]="","",INDEX(tblProductos[Unidad],ROW()-ROW(tblConteo[#Headers]))&amp;"")</f>
        <v/>
      </c>
      <c r="G84" s="43" t="str">
        <f>IF(tblConteo[[#This Row],[SKU]]="","",IF(INDEX(tblProductos[Activo],ROW()-ROW(tblConteo[#Headers]))="NO","NO","SI"))</f>
        <v/>
      </c>
      <c r="H84" s="54" t="str">
        <f>IF(tblConteo[[#This Row],[SKU]]="","",IFERROR(N(INDEX(tblStock[StockActual],MATCH(tblConteo[[#This Row],[SKU]],tblStock[SKU],0))),0))</f>
        <v/>
      </c>
      <c r="I84" s="53"/>
      <c r="J84" s="60" t="str">
        <f>IF(OR(tblConteo[[#This Row],[SKU]]="",tblConteo[[#This Row],[Conteo]]=""),"",IF(ISNUMBER(tblConteo[[#This Row],[Conteo]]),tblConteo[[#This Row],[Conteo]]-N(tblConteo[[#This Row],[Sistema]]),""))</f>
        <v/>
      </c>
      <c r="K84" s="63" t="str">
        <f>IF(tblConteo[[#This Row],[Diferencia]]="","",tblConteo[[#This Row],[Diferencia]]*N(INDEX(tblProductos[CostoUnitario],ROW()-ROW(tblConteo[#Headers]))))</f>
        <v/>
      </c>
      <c r="L8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5" spans="2:13" x14ac:dyDescent="0.25">
      <c r="B85" s="43" t="str">
        <f>IF(INDEX(tblProductos[SKU],ROW()-ROW(tblConteo[#Headers]))="","",INDEX(tblProductos[SKU],ROW()-ROW(tblConteo[#Headers])))</f>
        <v/>
      </c>
      <c r="C85" s="50" t="str">
        <f>IF(tblConteo[[#This Row],[SKU]]="","",INDEX(tblProductos[Producto],ROW()-ROW(tblConteo[#Headers])))</f>
        <v/>
      </c>
      <c r="D85" s="50" t="str">
        <f>IF(tblConteo[[#This Row],[SKU]]="","",INDEX(tblProductos[Categoría],ROW()-ROW(tblConteo[#Headers]))&amp;"")</f>
        <v/>
      </c>
      <c r="E85" s="43" t="str">
        <f>IF(tblConteo[[#This Row],[SKU]]="","",INDEX(tblProductos[Ubicación],ROW()-ROW(tblConteo[#Headers]))&amp;"")</f>
        <v/>
      </c>
      <c r="F85" s="43" t="str">
        <f>IF(tblConteo[[#This Row],[SKU]]="","",INDEX(tblProductos[Unidad],ROW()-ROW(tblConteo[#Headers]))&amp;"")</f>
        <v/>
      </c>
      <c r="G85" s="43" t="str">
        <f>IF(tblConteo[[#This Row],[SKU]]="","",IF(INDEX(tblProductos[Activo],ROW()-ROW(tblConteo[#Headers]))="NO","NO","SI"))</f>
        <v/>
      </c>
      <c r="H85" s="54" t="str">
        <f>IF(tblConteo[[#This Row],[SKU]]="","",IFERROR(N(INDEX(tblStock[StockActual],MATCH(tblConteo[[#This Row],[SKU]],tblStock[SKU],0))),0))</f>
        <v/>
      </c>
      <c r="I85" s="53"/>
      <c r="J85" s="60" t="str">
        <f>IF(OR(tblConteo[[#This Row],[SKU]]="",tblConteo[[#This Row],[Conteo]]=""),"",IF(ISNUMBER(tblConteo[[#This Row],[Conteo]]),tblConteo[[#This Row],[Conteo]]-N(tblConteo[[#This Row],[Sistema]]),""))</f>
        <v/>
      </c>
      <c r="K85" s="63" t="str">
        <f>IF(tblConteo[[#This Row],[Diferencia]]="","",tblConteo[[#This Row],[Diferencia]]*N(INDEX(tblProductos[CostoUnitario],ROW()-ROW(tblConteo[#Headers]))))</f>
        <v/>
      </c>
      <c r="L8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6" spans="2:13" x14ac:dyDescent="0.25">
      <c r="B86" s="43" t="str">
        <f>IF(INDEX(tblProductos[SKU],ROW()-ROW(tblConteo[#Headers]))="","",INDEX(tblProductos[SKU],ROW()-ROW(tblConteo[#Headers])))</f>
        <v/>
      </c>
      <c r="C86" s="50" t="str">
        <f>IF(tblConteo[[#This Row],[SKU]]="","",INDEX(tblProductos[Producto],ROW()-ROW(tblConteo[#Headers])))</f>
        <v/>
      </c>
      <c r="D86" s="50" t="str">
        <f>IF(tblConteo[[#This Row],[SKU]]="","",INDEX(tblProductos[Categoría],ROW()-ROW(tblConteo[#Headers]))&amp;"")</f>
        <v/>
      </c>
      <c r="E86" s="43" t="str">
        <f>IF(tblConteo[[#This Row],[SKU]]="","",INDEX(tblProductos[Ubicación],ROW()-ROW(tblConteo[#Headers]))&amp;"")</f>
        <v/>
      </c>
      <c r="F86" s="43" t="str">
        <f>IF(tblConteo[[#This Row],[SKU]]="","",INDEX(tblProductos[Unidad],ROW()-ROW(tblConteo[#Headers]))&amp;"")</f>
        <v/>
      </c>
      <c r="G86" s="43" t="str">
        <f>IF(tblConteo[[#This Row],[SKU]]="","",IF(INDEX(tblProductos[Activo],ROW()-ROW(tblConteo[#Headers]))="NO","NO","SI"))</f>
        <v/>
      </c>
      <c r="H86" s="54" t="str">
        <f>IF(tblConteo[[#This Row],[SKU]]="","",IFERROR(N(INDEX(tblStock[StockActual],MATCH(tblConteo[[#This Row],[SKU]],tblStock[SKU],0))),0))</f>
        <v/>
      </c>
      <c r="I86" s="53"/>
      <c r="J86" s="60" t="str">
        <f>IF(OR(tblConteo[[#This Row],[SKU]]="",tblConteo[[#This Row],[Conteo]]=""),"",IF(ISNUMBER(tblConteo[[#This Row],[Conteo]]),tblConteo[[#This Row],[Conteo]]-N(tblConteo[[#This Row],[Sistema]]),""))</f>
        <v/>
      </c>
      <c r="K86" s="63" t="str">
        <f>IF(tblConteo[[#This Row],[Diferencia]]="","",tblConteo[[#This Row],[Diferencia]]*N(INDEX(tblProductos[CostoUnitario],ROW()-ROW(tblConteo[#Headers]))))</f>
        <v/>
      </c>
      <c r="L8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7" spans="2:13" x14ac:dyDescent="0.25">
      <c r="B87" s="43" t="str">
        <f>IF(INDEX(tblProductos[SKU],ROW()-ROW(tblConteo[#Headers]))="","",INDEX(tblProductos[SKU],ROW()-ROW(tblConteo[#Headers])))</f>
        <v/>
      </c>
      <c r="C87" s="50" t="str">
        <f>IF(tblConteo[[#This Row],[SKU]]="","",INDEX(tblProductos[Producto],ROW()-ROW(tblConteo[#Headers])))</f>
        <v/>
      </c>
      <c r="D87" s="50" t="str">
        <f>IF(tblConteo[[#This Row],[SKU]]="","",INDEX(tblProductos[Categoría],ROW()-ROW(tblConteo[#Headers]))&amp;"")</f>
        <v/>
      </c>
      <c r="E87" s="43" t="str">
        <f>IF(tblConteo[[#This Row],[SKU]]="","",INDEX(tblProductos[Ubicación],ROW()-ROW(tblConteo[#Headers]))&amp;"")</f>
        <v/>
      </c>
      <c r="F87" s="43" t="str">
        <f>IF(tblConteo[[#This Row],[SKU]]="","",INDEX(tblProductos[Unidad],ROW()-ROW(tblConteo[#Headers]))&amp;"")</f>
        <v/>
      </c>
      <c r="G87" s="43" t="str">
        <f>IF(tblConteo[[#This Row],[SKU]]="","",IF(INDEX(tblProductos[Activo],ROW()-ROW(tblConteo[#Headers]))="NO","NO","SI"))</f>
        <v/>
      </c>
      <c r="H87" s="54" t="str">
        <f>IF(tblConteo[[#This Row],[SKU]]="","",IFERROR(N(INDEX(tblStock[StockActual],MATCH(tblConteo[[#This Row],[SKU]],tblStock[SKU],0))),0))</f>
        <v/>
      </c>
      <c r="I87" s="53"/>
      <c r="J87" s="60" t="str">
        <f>IF(OR(tblConteo[[#This Row],[SKU]]="",tblConteo[[#This Row],[Conteo]]=""),"",IF(ISNUMBER(tblConteo[[#This Row],[Conteo]]),tblConteo[[#This Row],[Conteo]]-N(tblConteo[[#This Row],[Sistema]]),""))</f>
        <v/>
      </c>
      <c r="K87" s="63" t="str">
        <f>IF(tblConteo[[#This Row],[Diferencia]]="","",tblConteo[[#This Row],[Diferencia]]*N(INDEX(tblProductos[CostoUnitario],ROW()-ROW(tblConteo[#Headers]))))</f>
        <v/>
      </c>
      <c r="L8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8" spans="2:13" x14ac:dyDescent="0.25">
      <c r="B88" s="43" t="str">
        <f>IF(INDEX(tblProductos[SKU],ROW()-ROW(tblConteo[#Headers]))="","",INDEX(tblProductos[SKU],ROW()-ROW(tblConteo[#Headers])))</f>
        <v/>
      </c>
      <c r="C88" s="50" t="str">
        <f>IF(tblConteo[[#This Row],[SKU]]="","",INDEX(tblProductos[Producto],ROW()-ROW(tblConteo[#Headers])))</f>
        <v/>
      </c>
      <c r="D88" s="50" t="str">
        <f>IF(tblConteo[[#This Row],[SKU]]="","",INDEX(tblProductos[Categoría],ROW()-ROW(tblConteo[#Headers]))&amp;"")</f>
        <v/>
      </c>
      <c r="E88" s="43" t="str">
        <f>IF(tblConteo[[#This Row],[SKU]]="","",INDEX(tblProductos[Ubicación],ROW()-ROW(tblConteo[#Headers]))&amp;"")</f>
        <v/>
      </c>
      <c r="F88" s="43" t="str">
        <f>IF(tblConteo[[#This Row],[SKU]]="","",INDEX(tblProductos[Unidad],ROW()-ROW(tblConteo[#Headers]))&amp;"")</f>
        <v/>
      </c>
      <c r="G88" s="43" t="str">
        <f>IF(tblConteo[[#This Row],[SKU]]="","",IF(INDEX(tblProductos[Activo],ROW()-ROW(tblConteo[#Headers]))="NO","NO","SI"))</f>
        <v/>
      </c>
      <c r="H88" s="54" t="str">
        <f>IF(tblConteo[[#This Row],[SKU]]="","",IFERROR(N(INDEX(tblStock[StockActual],MATCH(tblConteo[[#This Row],[SKU]],tblStock[SKU],0))),0))</f>
        <v/>
      </c>
      <c r="I88" s="53"/>
      <c r="J88" s="60" t="str">
        <f>IF(OR(tblConteo[[#This Row],[SKU]]="",tblConteo[[#This Row],[Conteo]]=""),"",IF(ISNUMBER(tblConteo[[#This Row],[Conteo]]),tblConteo[[#This Row],[Conteo]]-N(tblConteo[[#This Row],[Sistema]]),""))</f>
        <v/>
      </c>
      <c r="K88" s="63" t="str">
        <f>IF(tblConteo[[#This Row],[Diferencia]]="","",tblConteo[[#This Row],[Diferencia]]*N(INDEX(tblProductos[CostoUnitario],ROW()-ROW(tblConteo[#Headers]))))</f>
        <v/>
      </c>
      <c r="L8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89" spans="2:13" x14ac:dyDescent="0.25">
      <c r="B89" s="43" t="str">
        <f>IF(INDEX(tblProductos[SKU],ROW()-ROW(tblConteo[#Headers]))="","",INDEX(tblProductos[SKU],ROW()-ROW(tblConteo[#Headers])))</f>
        <v/>
      </c>
      <c r="C89" s="50" t="str">
        <f>IF(tblConteo[[#This Row],[SKU]]="","",INDEX(tblProductos[Producto],ROW()-ROW(tblConteo[#Headers])))</f>
        <v/>
      </c>
      <c r="D89" s="50" t="str">
        <f>IF(tblConteo[[#This Row],[SKU]]="","",INDEX(tblProductos[Categoría],ROW()-ROW(tblConteo[#Headers]))&amp;"")</f>
        <v/>
      </c>
      <c r="E89" s="43" t="str">
        <f>IF(tblConteo[[#This Row],[SKU]]="","",INDEX(tblProductos[Ubicación],ROW()-ROW(tblConteo[#Headers]))&amp;"")</f>
        <v/>
      </c>
      <c r="F89" s="43" t="str">
        <f>IF(tblConteo[[#This Row],[SKU]]="","",INDEX(tblProductos[Unidad],ROW()-ROW(tblConteo[#Headers]))&amp;"")</f>
        <v/>
      </c>
      <c r="G89" s="43" t="str">
        <f>IF(tblConteo[[#This Row],[SKU]]="","",IF(INDEX(tblProductos[Activo],ROW()-ROW(tblConteo[#Headers]))="NO","NO","SI"))</f>
        <v/>
      </c>
      <c r="H89" s="54" t="str">
        <f>IF(tblConteo[[#This Row],[SKU]]="","",IFERROR(N(INDEX(tblStock[StockActual],MATCH(tblConteo[[#This Row],[SKU]],tblStock[SKU],0))),0))</f>
        <v/>
      </c>
      <c r="I89" s="53"/>
      <c r="J89" s="60" t="str">
        <f>IF(OR(tblConteo[[#This Row],[SKU]]="",tblConteo[[#This Row],[Conteo]]=""),"",IF(ISNUMBER(tblConteo[[#This Row],[Conteo]]),tblConteo[[#This Row],[Conteo]]-N(tblConteo[[#This Row],[Sistema]]),""))</f>
        <v/>
      </c>
      <c r="K89" s="63" t="str">
        <f>IF(tblConteo[[#This Row],[Diferencia]]="","",tblConteo[[#This Row],[Diferencia]]*N(INDEX(tblProductos[CostoUnitario],ROW()-ROW(tblConteo[#Headers]))))</f>
        <v/>
      </c>
      <c r="L8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8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0" spans="2:13" x14ac:dyDescent="0.25">
      <c r="B90" s="43" t="str">
        <f>IF(INDEX(tblProductos[SKU],ROW()-ROW(tblConteo[#Headers]))="","",INDEX(tblProductos[SKU],ROW()-ROW(tblConteo[#Headers])))</f>
        <v/>
      </c>
      <c r="C90" s="50" t="str">
        <f>IF(tblConteo[[#This Row],[SKU]]="","",INDEX(tblProductos[Producto],ROW()-ROW(tblConteo[#Headers])))</f>
        <v/>
      </c>
      <c r="D90" s="50" t="str">
        <f>IF(tblConteo[[#This Row],[SKU]]="","",INDEX(tblProductos[Categoría],ROW()-ROW(tblConteo[#Headers]))&amp;"")</f>
        <v/>
      </c>
      <c r="E90" s="43" t="str">
        <f>IF(tblConteo[[#This Row],[SKU]]="","",INDEX(tblProductos[Ubicación],ROW()-ROW(tblConteo[#Headers]))&amp;"")</f>
        <v/>
      </c>
      <c r="F90" s="43" t="str">
        <f>IF(tblConteo[[#This Row],[SKU]]="","",INDEX(tblProductos[Unidad],ROW()-ROW(tblConteo[#Headers]))&amp;"")</f>
        <v/>
      </c>
      <c r="G90" s="43" t="str">
        <f>IF(tblConteo[[#This Row],[SKU]]="","",IF(INDEX(tblProductos[Activo],ROW()-ROW(tblConteo[#Headers]))="NO","NO","SI"))</f>
        <v/>
      </c>
      <c r="H90" s="54" t="str">
        <f>IF(tblConteo[[#This Row],[SKU]]="","",IFERROR(N(INDEX(tblStock[StockActual],MATCH(tblConteo[[#This Row],[SKU]],tblStock[SKU],0))),0))</f>
        <v/>
      </c>
      <c r="I90" s="53"/>
      <c r="J90" s="60" t="str">
        <f>IF(OR(tblConteo[[#This Row],[SKU]]="",tblConteo[[#This Row],[Conteo]]=""),"",IF(ISNUMBER(tblConteo[[#This Row],[Conteo]]),tblConteo[[#This Row],[Conteo]]-N(tblConteo[[#This Row],[Sistema]]),""))</f>
        <v/>
      </c>
      <c r="K90" s="63" t="str">
        <f>IF(tblConteo[[#This Row],[Diferencia]]="","",tblConteo[[#This Row],[Diferencia]]*N(INDEX(tblProductos[CostoUnitario],ROW()-ROW(tblConteo[#Headers]))))</f>
        <v/>
      </c>
      <c r="L9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1" spans="2:13" x14ac:dyDescent="0.25">
      <c r="B91" s="43" t="str">
        <f>IF(INDEX(tblProductos[SKU],ROW()-ROW(tblConteo[#Headers]))="","",INDEX(tblProductos[SKU],ROW()-ROW(tblConteo[#Headers])))</f>
        <v/>
      </c>
      <c r="C91" s="50" t="str">
        <f>IF(tblConteo[[#This Row],[SKU]]="","",INDEX(tblProductos[Producto],ROW()-ROW(tblConteo[#Headers])))</f>
        <v/>
      </c>
      <c r="D91" s="50" t="str">
        <f>IF(tblConteo[[#This Row],[SKU]]="","",INDEX(tblProductos[Categoría],ROW()-ROW(tblConteo[#Headers]))&amp;"")</f>
        <v/>
      </c>
      <c r="E91" s="43" t="str">
        <f>IF(tblConteo[[#This Row],[SKU]]="","",INDEX(tblProductos[Ubicación],ROW()-ROW(tblConteo[#Headers]))&amp;"")</f>
        <v/>
      </c>
      <c r="F91" s="43" t="str">
        <f>IF(tblConteo[[#This Row],[SKU]]="","",INDEX(tblProductos[Unidad],ROW()-ROW(tblConteo[#Headers]))&amp;"")</f>
        <v/>
      </c>
      <c r="G91" s="43" t="str">
        <f>IF(tblConteo[[#This Row],[SKU]]="","",IF(INDEX(tblProductos[Activo],ROW()-ROW(tblConteo[#Headers]))="NO","NO","SI"))</f>
        <v/>
      </c>
      <c r="H91" s="54" t="str">
        <f>IF(tblConteo[[#This Row],[SKU]]="","",IFERROR(N(INDEX(tblStock[StockActual],MATCH(tblConteo[[#This Row],[SKU]],tblStock[SKU],0))),0))</f>
        <v/>
      </c>
      <c r="I91" s="53"/>
      <c r="J91" s="60" t="str">
        <f>IF(OR(tblConteo[[#This Row],[SKU]]="",tblConteo[[#This Row],[Conteo]]=""),"",IF(ISNUMBER(tblConteo[[#This Row],[Conteo]]),tblConteo[[#This Row],[Conteo]]-N(tblConteo[[#This Row],[Sistema]]),""))</f>
        <v/>
      </c>
      <c r="K91" s="63" t="str">
        <f>IF(tblConteo[[#This Row],[Diferencia]]="","",tblConteo[[#This Row],[Diferencia]]*N(INDEX(tblProductos[CostoUnitario],ROW()-ROW(tblConteo[#Headers]))))</f>
        <v/>
      </c>
      <c r="L9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2" spans="2:13" x14ac:dyDescent="0.25">
      <c r="B92" s="43" t="str">
        <f>IF(INDEX(tblProductos[SKU],ROW()-ROW(tblConteo[#Headers]))="","",INDEX(tblProductos[SKU],ROW()-ROW(tblConteo[#Headers])))</f>
        <v/>
      </c>
      <c r="C92" s="50" t="str">
        <f>IF(tblConteo[[#This Row],[SKU]]="","",INDEX(tblProductos[Producto],ROW()-ROW(tblConteo[#Headers])))</f>
        <v/>
      </c>
      <c r="D92" s="50" t="str">
        <f>IF(tblConteo[[#This Row],[SKU]]="","",INDEX(tblProductos[Categoría],ROW()-ROW(tblConteo[#Headers]))&amp;"")</f>
        <v/>
      </c>
      <c r="E92" s="43" t="str">
        <f>IF(tblConteo[[#This Row],[SKU]]="","",INDEX(tblProductos[Ubicación],ROW()-ROW(tblConteo[#Headers]))&amp;"")</f>
        <v/>
      </c>
      <c r="F92" s="43" t="str">
        <f>IF(tblConteo[[#This Row],[SKU]]="","",INDEX(tblProductos[Unidad],ROW()-ROW(tblConteo[#Headers]))&amp;"")</f>
        <v/>
      </c>
      <c r="G92" s="43" t="str">
        <f>IF(tblConteo[[#This Row],[SKU]]="","",IF(INDEX(tblProductos[Activo],ROW()-ROW(tblConteo[#Headers]))="NO","NO","SI"))</f>
        <v/>
      </c>
      <c r="H92" s="54" t="str">
        <f>IF(tblConteo[[#This Row],[SKU]]="","",IFERROR(N(INDEX(tblStock[StockActual],MATCH(tblConteo[[#This Row],[SKU]],tblStock[SKU],0))),0))</f>
        <v/>
      </c>
      <c r="I92" s="53"/>
      <c r="J92" s="60" t="str">
        <f>IF(OR(tblConteo[[#This Row],[SKU]]="",tblConteo[[#This Row],[Conteo]]=""),"",IF(ISNUMBER(tblConteo[[#This Row],[Conteo]]),tblConteo[[#This Row],[Conteo]]-N(tblConteo[[#This Row],[Sistema]]),""))</f>
        <v/>
      </c>
      <c r="K92" s="63" t="str">
        <f>IF(tblConteo[[#This Row],[Diferencia]]="","",tblConteo[[#This Row],[Diferencia]]*N(INDEX(tblProductos[CostoUnitario],ROW()-ROW(tblConteo[#Headers]))))</f>
        <v/>
      </c>
      <c r="L9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3" spans="2:13" x14ac:dyDescent="0.25">
      <c r="B93" s="43" t="str">
        <f>IF(INDEX(tblProductos[SKU],ROW()-ROW(tblConteo[#Headers]))="","",INDEX(tblProductos[SKU],ROW()-ROW(tblConteo[#Headers])))</f>
        <v/>
      </c>
      <c r="C93" s="50" t="str">
        <f>IF(tblConteo[[#This Row],[SKU]]="","",INDEX(tblProductos[Producto],ROW()-ROW(tblConteo[#Headers])))</f>
        <v/>
      </c>
      <c r="D93" s="50" t="str">
        <f>IF(tblConteo[[#This Row],[SKU]]="","",INDEX(tblProductos[Categoría],ROW()-ROW(tblConteo[#Headers]))&amp;"")</f>
        <v/>
      </c>
      <c r="E93" s="43" t="str">
        <f>IF(tblConteo[[#This Row],[SKU]]="","",INDEX(tblProductos[Ubicación],ROW()-ROW(tblConteo[#Headers]))&amp;"")</f>
        <v/>
      </c>
      <c r="F93" s="43" t="str">
        <f>IF(tblConteo[[#This Row],[SKU]]="","",INDEX(tblProductos[Unidad],ROW()-ROW(tblConteo[#Headers]))&amp;"")</f>
        <v/>
      </c>
      <c r="G93" s="43" t="str">
        <f>IF(tblConteo[[#This Row],[SKU]]="","",IF(INDEX(tblProductos[Activo],ROW()-ROW(tblConteo[#Headers]))="NO","NO","SI"))</f>
        <v/>
      </c>
      <c r="H93" s="54" t="str">
        <f>IF(tblConteo[[#This Row],[SKU]]="","",IFERROR(N(INDEX(tblStock[StockActual],MATCH(tblConteo[[#This Row],[SKU]],tblStock[SKU],0))),0))</f>
        <v/>
      </c>
      <c r="I93" s="53"/>
      <c r="J93" s="60" t="str">
        <f>IF(OR(tblConteo[[#This Row],[SKU]]="",tblConteo[[#This Row],[Conteo]]=""),"",IF(ISNUMBER(tblConteo[[#This Row],[Conteo]]),tblConteo[[#This Row],[Conteo]]-N(tblConteo[[#This Row],[Sistema]]),""))</f>
        <v/>
      </c>
      <c r="K93" s="63" t="str">
        <f>IF(tblConteo[[#This Row],[Diferencia]]="","",tblConteo[[#This Row],[Diferencia]]*N(INDEX(tblProductos[CostoUnitario],ROW()-ROW(tblConteo[#Headers]))))</f>
        <v/>
      </c>
      <c r="L9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4" spans="2:13" x14ac:dyDescent="0.25">
      <c r="B94" s="43" t="str">
        <f>IF(INDEX(tblProductos[SKU],ROW()-ROW(tblConteo[#Headers]))="","",INDEX(tblProductos[SKU],ROW()-ROW(tblConteo[#Headers])))</f>
        <v/>
      </c>
      <c r="C94" s="50" t="str">
        <f>IF(tblConteo[[#This Row],[SKU]]="","",INDEX(tblProductos[Producto],ROW()-ROW(tblConteo[#Headers])))</f>
        <v/>
      </c>
      <c r="D94" s="50" t="str">
        <f>IF(tblConteo[[#This Row],[SKU]]="","",INDEX(tblProductos[Categoría],ROW()-ROW(tblConteo[#Headers]))&amp;"")</f>
        <v/>
      </c>
      <c r="E94" s="43" t="str">
        <f>IF(tblConteo[[#This Row],[SKU]]="","",INDEX(tblProductos[Ubicación],ROW()-ROW(tblConteo[#Headers]))&amp;"")</f>
        <v/>
      </c>
      <c r="F94" s="43" t="str">
        <f>IF(tblConteo[[#This Row],[SKU]]="","",INDEX(tblProductos[Unidad],ROW()-ROW(tblConteo[#Headers]))&amp;"")</f>
        <v/>
      </c>
      <c r="G94" s="43" t="str">
        <f>IF(tblConteo[[#This Row],[SKU]]="","",IF(INDEX(tblProductos[Activo],ROW()-ROW(tblConteo[#Headers]))="NO","NO","SI"))</f>
        <v/>
      </c>
      <c r="H94" s="54" t="str">
        <f>IF(tblConteo[[#This Row],[SKU]]="","",IFERROR(N(INDEX(tblStock[StockActual],MATCH(tblConteo[[#This Row],[SKU]],tblStock[SKU],0))),0))</f>
        <v/>
      </c>
      <c r="I94" s="53"/>
      <c r="J94" s="60" t="str">
        <f>IF(OR(tblConteo[[#This Row],[SKU]]="",tblConteo[[#This Row],[Conteo]]=""),"",IF(ISNUMBER(tblConteo[[#This Row],[Conteo]]),tblConteo[[#This Row],[Conteo]]-N(tblConteo[[#This Row],[Sistema]]),""))</f>
        <v/>
      </c>
      <c r="K94" s="63" t="str">
        <f>IF(tblConteo[[#This Row],[Diferencia]]="","",tblConteo[[#This Row],[Diferencia]]*N(INDEX(tblProductos[CostoUnitario],ROW()-ROW(tblConteo[#Headers]))))</f>
        <v/>
      </c>
      <c r="L9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5" spans="2:13" x14ac:dyDescent="0.25">
      <c r="B95" s="43" t="str">
        <f>IF(INDEX(tblProductos[SKU],ROW()-ROW(tblConteo[#Headers]))="","",INDEX(tblProductos[SKU],ROW()-ROW(tblConteo[#Headers])))</f>
        <v/>
      </c>
      <c r="C95" s="50" t="str">
        <f>IF(tblConteo[[#This Row],[SKU]]="","",INDEX(tblProductos[Producto],ROW()-ROW(tblConteo[#Headers])))</f>
        <v/>
      </c>
      <c r="D95" s="50" t="str">
        <f>IF(tblConteo[[#This Row],[SKU]]="","",INDEX(tblProductos[Categoría],ROW()-ROW(tblConteo[#Headers]))&amp;"")</f>
        <v/>
      </c>
      <c r="E95" s="43" t="str">
        <f>IF(tblConteo[[#This Row],[SKU]]="","",INDEX(tblProductos[Ubicación],ROW()-ROW(tblConteo[#Headers]))&amp;"")</f>
        <v/>
      </c>
      <c r="F95" s="43" t="str">
        <f>IF(tblConteo[[#This Row],[SKU]]="","",INDEX(tblProductos[Unidad],ROW()-ROW(tblConteo[#Headers]))&amp;"")</f>
        <v/>
      </c>
      <c r="G95" s="43" t="str">
        <f>IF(tblConteo[[#This Row],[SKU]]="","",IF(INDEX(tblProductos[Activo],ROW()-ROW(tblConteo[#Headers]))="NO","NO","SI"))</f>
        <v/>
      </c>
      <c r="H95" s="54" t="str">
        <f>IF(tblConteo[[#This Row],[SKU]]="","",IFERROR(N(INDEX(tblStock[StockActual],MATCH(tblConteo[[#This Row],[SKU]],tblStock[SKU],0))),0))</f>
        <v/>
      </c>
      <c r="I95" s="53"/>
      <c r="J95" s="60" t="str">
        <f>IF(OR(tblConteo[[#This Row],[SKU]]="",tblConteo[[#This Row],[Conteo]]=""),"",IF(ISNUMBER(tblConteo[[#This Row],[Conteo]]),tblConteo[[#This Row],[Conteo]]-N(tblConteo[[#This Row],[Sistema]]),""))</f>
        <v/>
      </c>
      <c r="K95" s="63" t="str">
        <f>IF(tblConteo[[#This Row],[Diferencia]]="","",tblConteo[[#This Row],[Diferencia]]*N(INDEX(tblProductos[CostoUnitario],ROW()-ROW(tblConteo[#Headers]))))</f>
        <v/>
      </c>
      <c r="L9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6" spans="2:13" x14ac:dyDescent="0.25">
      <c r="B96" s="43" t="str">
        <f>IF(INDEX(tblProductos[SKU],ROW()-ROW(tblConteo[#Headers]))="","",INDEX(tblProductos[SKU],ROW()-ROW(tblConteo[#Headers])))</f>
        <v/>
      </c>
      <c r="C96" s="50" t="str">
        <f>IF(tblConteo[[#This Row],[SKU]]="","",INDEX(tblProductos[Producto],ROW()-ROW(tblConteo[#Headers])))</f>
        <v/>
      </c>
      <c r="D96" s="50" t="str">
        <f>IF(tblConteo[[#This Row],[SKU]]="","",INDEX(tblProductos[Categoría],ROW()-ROW(tblConteo[#Headers]))&amp;"")</f>
        <v/>
      </c>
      <c r="E96" s="43" t="str">
        <f>IF(tblConteo[[#This Row],[SKU]]="","",INDEX(tblProductos[Ubicación],ROW()-ROW(tblConteo[#Headers]))&amp;"")</f>
        <v/>
      </c>
      <c r="F96" s="43" t="str">
        <f>IF(tblConteo[[#This Row],[SKU]]="","",INDEX(tblProductos[Unidad],ROW()-ROW(tblConteo[#Headers]))&amp;"")</f>
        <v/>
      </c>
      <c r="G96" s="43" t="str">
        <f>IF(tblConteo[[#This Row],[SKU]]="","",IF(INDEX(tblProductos[Activo],ROW()-ROW(tblConteo[#Headers]))="NO","NO","SI"))</f>
        <v/>
      </c>
      <c r="H96" s="54" t="str">
        <f>IF(tblConteo[[#This Row],[SKU]]="","",IFERROR(N(INDEX(tblStock[StockActual],MATCH(tblConteo[[#This Row],[SKU]],tblStock[SKU],0))),0))</f>
        <v/>
      </c>
      <c r="I96" s="53"/>
      <c r="J96" s="60" t="str">
        <f>IF(OR(tblConteo[[#This Row],[SKU]]="",tblConteo[[#This Row],[Conteo]]=""),"",IF(ISNUMBER(tblConteo[[#This Row],[Conteo]]),tblConteo[[#This Row],[Conteo]]-N(tblConteo[[#This Row],[Sistema]]),""))</f>
        <v/>
      </c>
      <c r="K96" s="63" t="str">
        <f>IF(tblConteo[[#This Row],[Diferencia]]="","",tblConteo[[#This Row],[Diferencia]]*N(INDEX(tblProductos[CostoUnitario],ROW()-ROW(tblConteo[#Headers]))))</f>
        <v/>
      </c>
      <c r="L9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7" spans="2:13" x14ac:dyDescent="0.25">
      <c r="B97" s="43" t="str">
        <f>IF(INDEX(tblProductos[SKU],ROW()-ROW(tblConteo[#Headers]))="","",INDEX(tblProductos[SKU],ROW()-ROW(tblConteo[#Headers])))</f>
        <v/>
      </c>
      <c r="C97" s="50" t="str">
        <f>IF(tblConteo[[#This Row],[SKU]]="","",INDEX(tblProductos[Producto],ROW()-ROW(tblConteo[#Headers])))</f>
        <v/>
      </c>
      <c r="D97" s="50" t="str">
        <f>IF(tblConteo[[#This Row],[SKU]]="","",INDEX(tblProductos[Categoría],ROW()-ROW(tblConteo[#Headers]))&amp;"")</f>
        <v/>
      </c>
      <c r="E97" s="43" t="str">
        <f>IF(tblConteo[[#This Row],[SKU]]="","",INDEX(tblProductos[Ubicación],ROW()-ROW(tblConteo[#Headers]))&amp;"")</f>
        <v/>
      </c>
      <c r="F97" s="43" t="str">
        <f>IF(tblConteo[[#This Row],[SKU]]="","",INDEX(tblProductos[Unidad],ROW()-ROW(tblConteo[#Headers]))&amp;"")</f>
        <v/>
      </c>
      <c r="G97" s="43" t="str">
        <f>IF(tblConteo[[#This Row],[SKU]]="","",IF(INDEX(tblProductos[Activo],ROW()-ROW(tblConteo[#Headers]))="NO","NO","SI"))</f>
        <v/>
      </c>
      <c r="H97" s="54" t="str">
        <f>IF(tblConteo[[#This Row],[SKU]]="","",IFERROR(N(INDEX(tblStock[StockActual],MATCH(tblConteo[[#This Row],[SKU]],tblStock[SKU],0))),0))</f>
        <v/>
      </c>
      <c r="I97" s="53"/>
      <c r="J97" s="60" t="str">
        <f>IF(OR(tblConteo[[#This Row],[SKU]]="",tblConteo[[#This Row],[Conteo]]=""),"",IF(ISNUMBER(tblConteo[[#This Row],[Conteo]]),tblConteo[[#This Row],[Conteo]]-N(tblConteo[[#This Row],[Sistema]]),""))</f>
        <v/>
      </c>
      <c r="K97" s="63" t="str">
        <f>IF(tblConteo[[#This Row],[Diferencia]]="","",tblConteo[[#This Row],[Diferencia]]*N(INDEX(tblProductos[CostoUnitario],ROW()-ROW(tblConteo[#Headers]))))</f>
        <v/>
      </c>
      <c r="L9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8" spans="2:13" x14ac:dyDescent="0.25">
      <c r="B98" s="43" t="str">
        <f>IF(INDEX(tblProductos[SKU],ROW()-ROW(tblConteo[#Headers]))="","",INDEX(tblProductos[SKU],ROW()-ROW(tblConteo[#Headers])))</f>
        <v/>
      </c>
      <c r="C98" s="50" t="str">
        <f>IF(tblConteo[[#This Row],[SKU]]="","",INDEX(tblProductos[Producto],ROW()-ROW(tblConteo[#Headers])))</f>
        <v/>
      </c>
      <c r="D98" s="50" t="str">
        <f>IF(tblConteo[[#This Row],[SKU]]="","",INDEX(tblProductos[Categoría],ROW()-ROW(tblConteo[#Headers]))&amp;"")</f>
        <v/>
      </c>
      <c r="E98" s="43" t="str">
        <f>IF(tblConteo[[#This Row],[SKU]]="","",INDEX(tblProductos[Ubicación],ROW()-ROW(tblConteo[#Headers]))&amp;"")</f>
        <v/>
      </c>
      <c r="F98" s="43" t="str">
        <f>IF(tblConteo[[#This Row],[SKU]]="","",INDEX(tblProductos[Unidad],ROW()-ROW(tblConteo[#Headers]))&amp;"")</f>
        <v/>
      </c>
      <c r="G98" s="43" t="str">
        <f>IF(tblConteo[[#This Row],[SKU]]="","",IF(INDEX(tblProductos[Activo],ROW()-ROW(tblConteo[#Headers]))="NO","NO","SI"))</f>
        <v/>
      </c>
      <c r="H98" s="54" t="str">
        <f>IF(tblConteo[[#This Row],[SKU]]="","",IFERROR(N(INDEX(tblStock[StockActual],MATCH(tblConteo[[#This Row],[SKU]],tblStock[SKU],0))),0))</f>
        <v/>
      </c>
      <c r="I98" s="53"/>
      <c r="J98" s="60" t="str">
        <f>IF(OR(tblConteo[[#This Row],[SKU]]="",tblConteo[[#This Row],[Conteo]]=""),"",IF(ISNUMBER(tblConteo[[#This Row],[Conteo]]),tblConteo[[#This Row],[Conteo]]-N(tblConteo[[#This Row],[Sistema]]),""))</f>
        <v/>
      </c>
      <c r="K98" s="63" t="str">
        <f>IF(tblConteo[[#This Row],[Diferencia]]="","",tblConteo[[#This Row],[Diferencia]]*N(INDEX(tblProductos[CostoUnitario],ROW()-ROW(tblConteo[#Headers]))))</f>
        <v/>
      </c>
      <c r="L9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99" spans="2:13" x14ac:dyDescent="0.25">
      <c r="B99" s="43" t="str">
        <f>IF(INDEX(tblProductos[SKU],ROW()-ROW(tblConteo[#Headers]))="","",INDEX(tblProductos[SKU],ROW()-ROW(tblConteo[#Headers])))</f>
        <v/>
      </c>
      <c r="C99" s="50" t="str">
        <f>IF(tblConteo[[#This Row],[SKU]]="","",INDEX(tblProductos[Producto],ROW()-ROW(tblConteo[#Headers])))</f>
        <v/>
      </c>
      <c r="D99" s="50" t="str">
        <f>IF(tblConteo[[#This Row],[SKU]]="","",INDEX(tblProductos[Categoría],ROW()-ROW(tblConteo[#Headers]))&amp;"")</f>
        <v/>
      </c>
      <c r="E99" s="43" t="str">
        <f>IF(tblConteo[[#This Row],[SKU]]="","",INDEX(tblProductos[Ubicación],ROW()-ROW(tblConteo[#Headers]))&amp;"")</f>
        <v/>
      </c>
      <c r="F99" s="43" t="str">
        <f>IF(tblConteo[[#This Row],[SKU]]="","",INDEX(tblProductos[Unidad],ROW()-ROW(tblConteo[#Headers]))&amp;"")</f>
        <v/>
      </c>
      <c r="G99" s="43" t="str">
        <f>IF(tblConteo[[#This Row],[SKU]]="","",IF(INDEX(tblProductos[Activo],ROW()-ROW(tblConteo[#Headers]))="NO","NO","SI"))</f>
        <v/>
      </c>
      <c r="H99" s="54" t="str">
        <f>IF(tblConteo[[#This Row],[SKU]]="","",IFERROR(N(INDEX(tblStock[StockActual],MATCH(tblConteo[[#This Row],[SKU]],tblStock[SKU],0))),0))</f>
        <v/>
      </c>
      <c r="I99" s="53"/>
      <c r="J99" s="60" t="str">
        <f>IF(OR(tblConteo[[#This Row],[SKU]]="",tblConteo[[#This Row],[Conteo]]=""),"",IF(ISNUMBER(tblConteo[[#This Row],[Conteo]]),tblConteo[[#This Row],[Conteo]]-N(tblConteo[[#This Row],[Sistema]]),""))</f>
        <v/>
      </c>
      <c r="K99" s="63" t="str">
        <f>IF(tblConteo[[#This Row],[Diferencia]]="","",tblConteo[[#This Row],[Diferencia]]*N(INDEX(tblProductos[CostoUnitario],ROW()-ROW(tblConteo[#Headers]))))</f>
        <v/>
      </c>
      <c r="L9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9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0" spans="2:13" x14ac:dyDescent="0.25">
      <c r="B100" s="43" t="str">
        <f>IF(INDEX(tblProductos[SKU],ROW()-ROW(tblConteo[#Headers]))="","",INDEX(tblProductos[SKU],ROW()-ROW(tblConteo[#Headers])))</f>
        <v/>
      </c>
      <c r="C100" s="50" t="str">
        <f>IF(tblConteo[[#This Row],[SKU]]="","",INDEX(tblProductos[Producto],ROW()-ROW(tblConteo[#Headers])))</f>
        <v/>
      </c>
      <c r="D100" s="50" t="str">
        <f>IF(tblConteo[[#This Row],[SKU]]="","",INDEX(tblProductos[Categoría],ROW()-ROW(tblConteo[#Headers]))&amp;"")</f>
        <v/>
      </c>
      <c r="E100" s="43" t="str">
        <f>IF(tblConteo[[#This Row],[SKU]]="","",INDEX(tblProductos[Ubicación],ROW()-ROW(tblConteo[#Headers]))&amp;"")</f>
        <v/>
      </c>
      <c r="F100" s="43" t="str">
        <f>IF(tblConteo[[#This Row],[SKU]]="","",INDEX(tblProductos[Unidad],ROW()-ROW(tblConteo[#Headers]))&amp;"")</f>
        <v/>
      </c>
      <c r="G100" s="43" t="str">
        <f>IF(tblConteo[[#This Row],[SKU]]="","",IF(INDEX(tblProductos[Activo],ROW()-ROW(tblConteo[#Headers]))="NO","NO","SI"))</f>
        <v/>
      </c>
      <c r="H100" s="54" t="str">
        <f>IF(tblConteo[[#This Row],[SKU]]="","",IFERROR(N(INDEX(tblStock[StockActual],MATCH(tblConteo[[#This Row],[SKU]],tblStock[SKU],0))),0))</f>
        <v/>
      </c>
      <c r="I100" s="53"/>
      <c r="J100" s="60" t="str">
        <f>IF(OR(tblConteo[[#This Row],[SKU]]="",tblConteo[[#This Row],[Conteo]]=""),"",IF(ISNUMBER(tblConteo[[#This Row],[Conteo]]),tblConteo[[#This Row],[Conteo]]-N(tblConteo[[#This Row],[Sistema]]),""))</f>
        <v/>
      </c>
      <c r="K100" s="63" t="str">
        <f>IF(tblConteo[[#This Row],[Diferencia]]="","",tblConteo[[#This Row],[Diferencia]]*N(INDEX(tblProductos[CostoUnitario],ROW()-ROW(tblConteo[#Headers]))))</f>
        <v/>
      </c>
      <c r="L10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1" spans="2:13" x14ac:dyDescent="0.25">
      <c r="B101" s="43" t="str">
        <f>IF(INDEX(tblProductos[SKU],ROW()-ROW(tblConteo[#Headers]))="","",INDEX(tblProductos[SKU],ROW()-ROW(tblConteo[#Headers])))</f>
        <v/>
      </c>
      <c r="C101" s="50" t="str">
        <f>IF(tblConteo[[#This Row],[SKU]]="","",INDEX(tblProductos[Producto],ROW()-ROW(tblConteo[#Headers])))</f>
        <v/>
      </c>
      <c r="D101" s="50" t="str">
        <f>IF(tblConteo[[#This Row],[SKU]]="","",INDEX(tblProductos[Categoría],ROW()-ROW(tblConteo[#Headers]))&amp;"")</f>
        <v/>
      </c>
      <c r="E101" s="43" t="str">
        <f>IF(tblConteo[[#This Row],[SKU]]="","",INDEX(tblProductos[Ubicación],ROW()-ROW(tblConteo[#Headers]))&amp;"")</f>
        <v/>
      </c>
      <c r="F101" s="43" t="str">
        <f>IF(tblConteo[[#This Row],[SKU]]="","",INDEX(tblProductos[Unidad],ROW()-ROW(tblConteo[#Headers]))&amp;"")</f>
        <v/>
      </c>
      <c r="G101" s="43" t="str">
        <f>IF(tblConteo[[#This Row],[SKU]]="","",IF(INDEX(tblProductos[Activo],ROW()-ROW(tblConteo[#Headers]))="NO","NO","SI"))</f>
        <v/>
      </c>
      <c r="H101" s="54" t="str">
        <f>IF(tblConteo[[#This Row],[SKU]]="","",IFERROR(N(INDEX(tblStock[StockActual],MATCH(tblConteo[[#This Row],[SKU]],tblStock[SKU],0))),0))</f>
        <v/>
      </c>
      <c r="I101" s="53"/>
      <c r="J101" s="60" t="str">
        <f>IF(OR(tblConteo[[#This Row],[SKU]]="",tblConteo[[#This Row],[Conteo]]=""),"",IF(ISNUMBER(tblConteo[[#This Row],[Conteo]]),tblConteo[[#This Row],[Conteo]]-N(tblConteo[[#This Row],[Sistema]]),""))</f>
        <v/>
      </c>
      <c r="K101" s="63" t="str">
        <f>IF(tblConteo[[#This Row],[Diferencia]]="","",tblConteo[[#This Row],[Diferencia]]*N(INDEX(tblProductos[CostoUnitario],ROW()-ROW(tblConteo[#Headers]))))</f>
        <v/>
      </c>
      <c r="L10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2" spans="2:13" x14ac:dyDescent="0.25">
      <c r="B102" s="43" t="str">
        <f>IF(INDEX(tblProductos[SKU],ROW()-ROW(tblConteo[#Headers]))="","",INDEX(tblProductos[SKU],ROW()-ROW(tblConteo[#Headers])))</f>
        <v/>
      </c>
      <c r="C102" s="50" t="str">
        <f>IF(tblConteo[[#This Row],[SKU]]="","",INDEX(tblProductos[Producto],ROW()-ROW(tblConteo[#Headers])))</f>
        <v/>
      </c>
      <c r="D102" s="50" t="str">
        <f>IF(tblConteo[[#This Row],[SKU]]="","",INDEX(tblProductos[Categoría],ROW()-ROW(tblConteo[#Headers]))&amp;"")</f>
        <v/>
      </c>
      <c r="E102" s="43" t="str">
        <f>IF(tblConteo[[#This Row],[SKU]]="","",INDEX(tblProductos[Ubicación],ROW()-ROW(tblConteo[#Headers]))&amp;"")</f>
        <v/>
      </c>
      <c r="F102" s="43" t="str">
        <f>IF(tblConteo[[#This Row],[SKU]]="","",INDEX(tblProductos[Unidad],ROW()-ROW(tblConteo[#Headers]))&amp;"")</f>
        <v/>
      </c>
      <c r="G102" s="43" t="str">
        <f>IF(tblConteo[[#This Row],[SKU]]="","",IF(INDEX(tblProductos[Activo],ROW()-ROW(tblConteo[#Headers]))="NO","NO","SI"))</f>
        <v/>
      </c>
      <c r="H102" s="54" t="str">
        <f>IF(tblConteo[[#This Row],[SKU]]="","",IFERROR(N(INDEX(tblStock[StockActual],MATCH(tblConteo[[#This Row],[SKU]],tblStock[SKU],0))),0))</f>
        <v/>
      </c>
      <c r="I102" s="53"/>
      <c r="J102" s="60" t="str">
        <f>IF(OR(tblConteo[[#This Row],[SKU]]="",tblConteo[[#This Row],[Conteo]]=""),"",IF(ISNUMBER(tblConteo[[#This Row],[Conteo]]),tblConteo[[#This Row],[Conteo]]-N(tblConteo[[#This Row],[Sistema]]),""))</f>
        <v/>
      </c>
      <c r="K102" s="63" t="str">
        <f>IF(tblConteo[[#This Row],[Diferencia]]="","",tblConteo[[#This Row],[Diferencia]]*N(INDEX(tblProductos[CostoUnitario],ROW()-ROW(tblConteo[#Headers]))))</f>
        <v/>
      </c>
      <c r="L10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3" spans="2:13" x14ac:dyDescent="0.25">
      <c r="B103" s="43" t="str">
        <f>IF(INDEX(tblProductos[SKU],ROW()-ROW(tblConteo[#Headers]))="","",INDEX(tblProductos[SKU],ROW()-ROW(tblConteo[#Headers])))</f>
        <v/>
      </c>
      <c r="C103" s="50" t="str">
        <f>IF(tblConteo[[#This Row],[SKU]]="","",INDEX(tblProductos[Producto],ROW()-ROW(tblConteo[#Headers])))</f>
        <v/>
      </c>
      <c r="D103" s="50" t="str">
        <f>IF(tblConteo[[#This Row],[SKU]]="","",INDEX(tblProductos[Categoría],ROW()-ROW(tblConteo[#Headers]))&amp;"")</f>
        <v/>
      </c>
      <c r="E103" s="43" t="str">
        <f>IF(tblConteo[[#This Row],[SKU]]="","",INDEX(tblProductos[Ubicación],ROW()-ROW(tblConteo[#Headers]))&amp;"")</f>
        <v/>
      </c>
      <c r="F103" s="43" t="str">
        <f>IF(tblConteo[[#This Row],[SKU]]="","",INDEX(tblProductos[Unidad],ROW()-ROW(tblConteo[#Headers]))&amp;"")</f>
        <v/>
      </c>
      <c r="G103" s="43" t="str">
        <f>IF(tblConteo[[#This Row],[SKU]]="","",IF(INDEX(tblProductos[Activo],ROW()-ROW(tblConteo[#Headers]))="NO","NO","SI"))</f>
        <v/>
      </c>
      <c r="H103" s="54" t="str">
        <f>IF(tblConteo[[#This Row],[SKU]]="","",IFERROR(N(INDEX(tblStock[StockActual],MATCH(tblConteo[[#This Row],[SKU]],tblStock[SKU],0))),0))</f>
        <v/>
      </c>
      <c r="I103" s="53"/>
      <c r="J103" s="60" t="str">
        <f>IF(OR(tblConteo[[#This Row],[SKU]]="",tblConteo[[#This Row],[Conteo]]=""),"",IF(ISNUMBER(tblConteo[[#This Row],[Conteo]]),tblConteo[[#This Row],[Conteo]]-N(tblConteo[[#This Row],[Sistema]]),""))</f>
        <v/>
      </c>
      <c r="K103" s="63" t="str">
        <f>IF(tblConteo[[#This Row],[Diferencia]]="","",tblConteo[[#This Row],[Diferencia]]*N(INDEX(tblProductos[CostoUnitario],ROW()-ROW(tblConteo[#Headers]))))</f>
        <v/>
      </c>
      <c r="L10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4" spans="2:13" x14ac:dyDescent="0.25">
      <c r="B104" s="43" t="str">
        <f>IF(INDEX(tblProductos[SKU],ROW()-ROW(tblConteo[#Headers]))="","",INDEX(tblProductos[SKU],ROW()-ROW(tblConteo[#Headers])))</f>
        <v/>
      </c>
      <c r="C104" s="50" t="str">
        <f>IF(tblConteo[[#This Row],[SKU]]="","",INDEX(tblProductos[Producto],ROW()-ROW(tblConteo[#Headers])))</f>
        <v/>
      </c>
      <c r="D104" s="50" t="str">
        <f>IF(tblConteo[[#This Row],[SKU]]="","",INDEX(tblProductos[Categoría],ROW()-ROW(tblConteo[#Headers]))&amp;"")</f>
        <v/>
      </c>
      <c r="E104" s="43" t="str">
        <f>IF(tblConteo[[#This Row],[SKU]]="","",INDEX(tblProductos[Ubicación],ROW()-ROW(tblConteo[#Headers]))&amp;"")</f>
        <v/>
      </c>
      <c r="F104" s="43" t="str">
        <f>IF(tblConteo[[#This Row],[SKU]]="","",INDEX(tblProductos[Unidad],ROW()-ROW(tblConteo[#Headers]))&amp;"")</f>
        <v/>
      </c>
      <c r="G104" s="43" t="str">
        <f>IF(tblConteo[[#This Row],[SKU]]="","",IF(INDEX(tblProductos[Activo],ROW()-ROW(tblConteo[#Headers]))="NO","NO","SI"))</f>
        <v/>
      </c>
      <c r="H104" s="54" t="str">
        <f>IF(tblConteo[[#This Row],[SKU]]="","",IFERROR(N(INDEX(tblStock[StockActual],MATCH(tblConteo[[#This Row],[SKU]],tblStock[SKU],0))),0))</f>
        <v/>
      </c>
      <c r="I104" s="53"/>
      <c r="J104" s="60" t="str">
        <f>IF(OR(tblConteo[[#This Row],[SKU]]="",tblConteo[[#This Row],[Conteo]]=""),"",IF(ISNUMBER(tblConteo[[#This Row],[Conteo]]),tblConteo[[#This Row],[Conteo]]-N(tblConteo[[#This Row],[Sistema]]),""))</f>
        <v/>
      </c>
      <c r="K104" s="63" t="str">
        <f>IF(tblConteo[[#This Row],[Diferencia]]="","",tblConteo[[#This Row],[Diferencia]]*N(INDEX(tblProductos[CostoUnitario],ROW()-ROW(tblConteo[#Headers]))))</f>
        <v/>
      </c>
      <c r="L10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5" spans="2:13" x14ac:dyDescent="0.25">
      <c r="B105" s="43" t="str">
        <f>IF(INDEX(tblProductos[SKU],ROW()-ROW(tblConteo[#Headers]))="","",INDEX(tblProductos[SKU],ROW()-ROW(tblConteo[#Headers])))</f>
        <v/>
      </c>
      <c r="C105" s="50" t="str">
        <f>IF(tblConteo[[#This Row],[SKU]]="","",INDEX(tblProductos[Producto],ROW()-ROW(tblConteo[#Headers])))</f>
        <v/>
      </c>
      <c r="D105" s="50" t="str">
        <f>IF(tblConteo[[#This Row],[SKU]]="","",INDEX(tblProductos[Categoría],ROW()-ROW(tblConteo[#Headers]))&amp;"")</f>
        <v/>
      </c>
      <c r="E105" s="43" t="str">
        <f>IF(tblConteo[[#This Row],[SKU]]="","",INDEX(tblProductos[Ubicación],ROW()-ROW(tblConteo[#Headers]))&amp;"")</f>
        <v/>
      </c>
      <c r="F105" s="43" t="str">
        <f>IF(tblConteo[[#This Row],[SKU]]="","",INDEX(tblProductos[Unidad],ROW()-ROW(tblConteo[#Headers]))&amp;"")</f>
        <v/>
      </c>
      <c r="G105" s="43" t="str">
        <f>IF(tblConteo[[#This Row],[SKU]]="","",IF(INDEX(tblProductos[Activo],ROW()-ROW(tblConteo[#Headers]))="NO","NO","SI"))</f>
        <v/>
      </c>
      <c r="H105" s="54" t="str">
        <f>IF(tblConteo[[#This Row],[SKU]]="","",IFERROR(N(INDEX(tblStock[StockActual],MATCH(tblConteo[[#This Row],[SKU]],tblStock[SKU],0))),0))</f>
        <v/>
      </c>
      <c r="I105" s="53"/>
      <c r="J105" s="60" t="str">
        <f>IF(OR(tblConteo[[#This Row],[SKU]]="",tblConteo[[#This Row],[Conteo]]=""),"",IF(ISNUMBER(tblConteo[[#This Row],[Conteo]]),tblConteo[[#This Row],[Conteo]]-N(tblConteo[[#This Row],[Sistema]]),""))</f>
        <v/>
      </c>
      <c r="K105" s="63" t="str">
        <f>IF(tblConteo[[#This Row],[Diferencia]]="","",tblConteo[[#This Row],[Diferencia]]*N(INDEX(tblProductos[CostoUnitario],ROW()-ROW(tblConteo[#Headers]))))</f>
        <v/>
      </c>
      <c r="L10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6" spans="2:13" x14ac:dyDescent="0.25">
      <c r="B106" s="43" t="str">
        <f>IF(INDEX(tblProductos[SKU],ROW()-ROW(tblConteo[#Headers]))="","",INDEX(tblProductos[SKU],ROW()-ROW(tblConteo[#Headers])))</f>
        <v/>
      </c>
      <c r="C106" s="50" t="str">
        <f>IF(tblConteo[[#This Row],[SKU]]="","",INDEX(tblProductos[Producto],ROW()-ROW(tblConteo[#Headers])))</f>
        <v/>
      </c>
      <c r="D106" s="50" t="str">
        <f>IF(tblConteo[[#This Row],[SKU]]="","",INDEX(tblProductos[Categoría],ROW()-ROW(tblConteo[#Headers]))&amp;"")</f>
        <v/>
      </c>
      <c r="E106" s="43" t="str">
        <f>IF(tblConteo[[#This Row],[SKU]]="","",INDEX(tblProductos[Ubicación],ROW()-ROW(tblConteo[#Headers]))&amp;"")</f>
        <v/>
      </c>
      <c r="F106" s="43" t="str">
        <f>IF(tblConteo[[#This Row],[SKU]]="","",INDEX(tblProductos[Unidad],ROW()-ROW(tblConteo[#Headers]))&amp;"")</f>
        <v/>
      </c>
      <c r="G106" s="43" t="str">
        <f>IF(tblConteo[[#This Row],[SKU]]="","",IF(INDEX(tblProductos[Activo],ROW()-ROW(tblConteo[#Headers]))="NO","NO","SI"))</f>
        <v/>
      </c>
      <c r="H106" s="54" t="str">
        <f>IF(tblConteo[[#This Row],[SKU]]="","",IFERROR(N(INDEX(tblStock[StockActual],MATCH(tblConteo[[#This Row],[SKU]],tblStock[SKU],0))),0))</f>
        <v/>
      </c>
      <c r="I106" s="53"/>
      <c r="J106" s="60" t="str">
        <f>IF(OR(tblConteo[[#This Row],[SKU]]="",tblConteo[[#This Row],[Conteo]]=""),"",IF(ISNUMBER(tblConteo[[#This Row],[Conteo]]),tblConteo[[#This Row],[Conteo]]-N(tblConteo[[#This Row],[Sistema]]),""))</f>
        <v/>
      </c>
      <c r="K106" s="63" t="str">
        <f>IF(tblConteo[[#This Row],[Diferencia]]="","",tblConteo[[#This Row],[Diferencia]]*N(INDEX(tblProductos[CostoUnitario],ROW()-ROW(tblConteo[#Headers]))))</f>
        <v/>
      </c>
      <c r="L10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7" spans="2:13" x14ac:dyDescent="0.25">
      <c r="B107" s="43" t="str">
        <f>IF(INDEX(tblProductos[SKU],ROW()-ROW(tblConteo[#Headers]))="","",INDEX(tblProductos[SKU],ROW()-ROW(tblConteo[#Headers])))</f>
        <v/>
      </c>
      <c r="C107" s="50" t="str">
        <f>IF(tblConteo[[#This Row],[SKU]]="","",INDEX(tblProductos[Producto],ROW()-ROW(tblConteo[#Headers])))</f>
        <v/>
      </c>
      <c r="D107" s="50" t="str">
        <f>IF(tblConteo[[#This Row],[SKU]]="","",INDEX(tblProductos[Categoría],ROW()-ROW(tblConteo[#Headers]))&amp;"")</f>
        <v/>
      </c>
      <c r="E107" s="43" t="str">
        <f>IF(tblConteo[[#This Row],[SKU]]="","",INDEX(tblProductos[Ubicación],ROW()-ROW(tblConteo[#Headers]))&amp;"")</f>
        <v/>
      </c>
      <c r="F107" s="43" t="str">
        <f>IF(tblConteo[[#This Row],[SKU]]="","",INDEX(tblProductos[Unidad],ROW()-ROW(tblConteo[#Headers]))&amp;"")</f>
        <v/>
      </c>
      <c r="G107" s="43" t="str">
        <f>IF(tblConteo[[#This Row],[SKU]]="","",IF(INDEX(tblProductos[Activo],ROW()-ROW(tblConteo[#Headers]))="NO","NO","SI"))</f>
        <v/>
      </c>
      <c r="H107" s="54" t="str">
        <f>IF(tblConteo[[#This Row],[SKU]]="","",IFERROR(N(INDEX(tblStock[StockActual],MATCH(tblConteo[[#This Row],[SKU]],tblStock[SKU],0))),0))</f>
        <v/>
      </c>
      <c r="I107" s="53"/>
      <c r="J107" s="60" t="str">
        <f>IF(OR(tblConteo[[#This Row],[SKU]]="",tblConteo[[#This Row],[Conteo]]=""),"",IF(ISNUMBER(tblConteo[[#This Row],[Conteo]]),tblConteo[[#This Row],[Conteo]]-N(tblConteo[[#This Row],[Sistema]]),""))</f>
        <v/>
      </c>
      <c r="K107" s="63" t="str">
        <f>IF(tblConteo[[#This Row],[Diferencia]]="","",tblConteo[[#This Row],[Diferencia]]*N(INDEX(tblProductos[CostoUnitario],ROW()-ROW(tblConteo[#Headers]))))</f>
        <v/>
      </c>
      <c r="L10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8" spans="2:13" x14ac:dyDescent="0.25">
      <c r="B108" s="43" t="str">
        <f>IF(INDEX(tblProductos[SKU],ROW()-ROW(tblConteo[#Headers]))="","",INDEX(tblProductos[SKU],ROW()-ROW(tblConteo[#Headers])))</f>
        <v/>
      </c>
      <c r="C108" s="50" t="str">
        <f>IF(tblConteo[[#This Row],[SKU]]="","",INDEX(tblProductos[Producto],ROW()-ROW(tblConteo[#Headers])))</f>
        <v/>
      </c>
      <c r="D108" s="50" t="str">
        <f>IF(tblConteo[[#This Row],[SKU]]="","",INDEX(tblProductos[Categoría],ROW()-ROW(tblConteo[#Headers]))&amp;"")</f>
        <v/>
      </c>
      <c r="E108" s="43" t="str">
        <f>IF(tblConteo[[#This Row],[SKU]]="","",INDEX(tblProductos[Ubicación],ROW()-ROW(tblConteo[#Headers]))&amp;"")</f>
        <v/>
      </c>
      <c r="F108" s="43" t="str">
        <f>IF(tblConteo[[#This Row],[SKU]]="","",INDEX(tblProductos[Unidad],ROW()-ROW(tblConteo[#Headers]))&amp;"")</f>
        <v/>
      </c>
      <c r="G108" s="43" t="str">
        <f>IF(tblConteo[[#This Row],[SKU]]="","",IF(INDEX(tblProductos[Activo],ROW()-ROW(tblConteo[#Headers]))="NO","NO","SI"))</f>
        <v/>
      </c>
      <c r="H108" s="54" t="str">
        <f>IF(tblConteo[[#This Row],[SKU]]="","",IFERROR(N(INDEX(tblStock[StockActual],MATCH(tblConteo[[#This Row],[SKU]],tblStock[SKU],0))),0))</f>
        <v/>
      </c>
      <c r="I108" s="53"/>
      <c r="J108" s="60" t="str">
        <f>IF(OR(tblConteo[[#This Row],[SKU]]="",tblConteo[[#This Row],[Conteo]]=""),"",IF(ISNUMBER(tblConteo[[#This Row],[Conteo]]),tblConteo[[#This Row],[Conteo]]-N(tblConteo[[#This Row],[Sistema]]),""))</f>
        <v/>
      </c>
      <c r="K108" s="63" t="str">
        <f>IF(tblConteo[[#This Row],[Diferencia]]="","",tblConteo[[#This Row],[Diferencia]]*N(INDEX(tblProductos[CostoUnitario],ROW()-ROW(tblConteo[#Headers]))))</f>
        <v/>
      </c>
      <c r="L10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09" spans="2:13" x14ac:dyDescent="0.25">
      <c r="B109" s="43" t="str">
        <f>IF(INDEX(tblProductos[SKU],ROW()-ROW(tblConteo[#Headers]))="","",INDEX(tblProductos[SKU],ROW()-ROW(tblConteo[#Headers])))</f>
        <v/>
      </c>
      <c r="C109" s="50" t="str">
        <f>IF(tblConteo[[#This Row],[SKU]]="","",INDEX(tblProductos[Producto],ROW()-ROW(tblConteo[#Headers])))</f>
        <v/>
      </c>
      <c r="D109" s="50" t="str">
        <f>IF(tblConteo[[#This Row],[SKU]]="","",INDEX(tblProductos[Categoría],ROW()-ROW(tblConteo[#Headers]))&amp;"")</f>
        <v/>
      </c>
      <c r="E109" s="43" t="str">
        <f>IF(tblConteo[[#This Row],[SKU]]="","",INDEX(tblProductos[Ubicación],ROW()-ROW(tblConteo[#Headers]))&amp;"")</f>
        <v/>
      </c>
      <c r="F109" s="43" t="str">
        <f>IF(tblConteo[[#This Row],[SKU]]="","",INDEX(tblProductos[Unidad],ROW()-ROW(tblConteo[#Headers]))&amp;"")</f>
        <v/>
      </c>
      <c r="G109" s="43" t="str">
        <f>IF(tblConteo[[#This Row],[SKU]]="","",IF(INDEX(tblProductos[Activo],ROW()-ROW(tblConteo[#Headers]))="NO","NO","SI"))</f>
        <v/>
      </c>
      <c r="H109" s="54" t="str">
        <f>IF(tblConteo[[#This Row],[SKU]]="","",IFERROR(N(INDEX(tblStock[StockActual],MATCH(tblConteo[[#This Row],[SKU]],tblStock[SKU],0))),0))</f>
        <v/>
      </c>
      <c r="I109" s="53"/>
      <c r="J109" s="60" t="str">
        <f>IF(OR(tblConteo[[#This Row],[SKU]]="",tblConteo[[#This Row],[Conteo]]=""),"",IF(ISNUMBER(tblConteo[[#This Row],[Conteo]]),tblConteo[[#This Row],[Conteo]]-N(tblConteo[[#This Row],[Sistema]]),""))</f>
        <v/>
      </c>
      <c r="K109" s="63" t="str">
        <f>IF(tblConteo[[#This Row],[Diferencia]]="","",tblConteo[[#This Row],[Diferencia]]*N(INDEX(tblProductos[CostoUnitario],ROW()-ROW(tblConteo[#Headers]))))</f>
        <v/>
      </c>
      <c r="L10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0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0" spans="2:13" x14ac:dyDescent="0.25">
      <c r="B110" s="43" t="str">
        <f>IF(INDEX(tblProductos[SKU],ROW()-ROW(tblConteo[#Headers]))="","",INDEX(tblProductos[SKU],ROW()-ROW(tblConteo[#Headers])))</f>
        <v/>
      </c>
      <c r="C110" s="50" t="str">
        <f>IF(tblConteo[[#This Row],[SKU]]="","",INDEX(tblProductos[Producto],ROW()-ROW(tblConteo[#Headers])))</f>
        <v/>
      </c>
      <c r="D110" s="50" t="str">
        <f>IF(tblConteo[[#This Row],[SKU]]="","",INDEX(tblProductos[Categoría],ROW()-ROW(tblConteo[#Headers]))&amp;"")</f>
        <v/>
      </c>
      <c r="E110" s="43" t="str">
        <f>IF(tblConteo[[#This Row],[SKU]]="","",INDEX(tblProductos[Ubicación],ROW()-ROW(tblConteo[#Headers]))&amp;"")</f>
        <v/>
      </c>
      <c r="F110" s="43" t="str">
        <f>IF(tblConteo[[#This Row],[SKU]]="","",INDEX(tblProductos[Unidad],ROW()-ROW(tblConteo[#Headers]))&amp;"")</f>
        <v/>
      </c>
      <c r="G110" s="43" t="str">
        <f>IF(tblConteo[[#This Row],[SKU]]="","",IF(INDEX(tblProductos[Activo],ROW()-ROW(tblConteo[#Headers]))="NO","NO","SI"))</f>
        <v/>
      </c>
      <c r="H110" s="54" t="str">
        <f>IF(tblConteo[[#This Row],[SKU]]="","",IFERROR(N(INDEX(tblStock[StockActual],MATCH(tblConteo[[#This Row],[SKU]],tblStock[SKU],0))),0))</f>
        <v/>
      </c>
      <c r="I110" s="53"/>
      <c r="J110" s="60" t="str">
        <f>IF(OR(tblConteo[[#This Row],[SKU]]="",tblConteo[[#This Row],[Conteo]]=""),"",IF(ISNUMBER(tblConteo[[#This Row],[Conteo]]),tblConteo[[#This Row],[Conteo]]-N(tblConteo[[#This Row],[Sistema]]),""))</f>
        <v/>
      </c>
      <c r="K110" s="63" t="str">
        <f>IF(tblConteo[[#This Row],[Diferencia]]="","",tblConteo[[#This Row],[Diferencia]]*N(INDEX(tblProductos[CostoUnitario],ROW()-ROW(tblConteo[#Headers]))))</f>
        <v/>
      </c>
      <c r="L11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1" spans="2:13" x14ac:dyDescent="0.25">
      <c r="B111" s="43" t="str">
        <f>IF(INDEX(tblProductos[SKU],ROW()-ROW(tblConteo[#Headers]))="","",INDEX(tblProductos[SKU],ROW()-ROW(tblConteo[#Headers])))</f>
        <v/>
      </c>
      <c r="C111" s="50" t="str">
        <f>IF(tblConteo[[#This Row],[SKU]]="","",INDEX(tblProductos[Producto],ROW()-ROW(tblConteo[#Headers])))</f>
        <v/>
      </c>
      <c r="D111" s="50" t="str">
        <f>IF(tblConteo[[#This Row],[SKU]]="","",INDEX(tblProductos[Categoría],ROW()-ROW(tblConteo[#Headers]))&amp;"")</f>
        <v/>
      </c>
      <c r="E111" s="43" t="str">
        <f>IF(tblConteo[[#This Row],[SKU]]="","",INDEX(tblProductos[Ubicación],ROW()-ROW(tblConteo[#Headers]))&amp;"")</f>
        <v/>
      </c>
      <c r="F111" s="43" t="str">
        <f>IF(tblConteo[[#This Row],[SKU]]="","",INDEX(tblProductos[Unidad],ROW()-ROW(tblConteo[#Headers]))&amp;"")</f>
        <v/>
      </c>
      <c r="G111" s="43" t="str">
        <f>IF(tblConteo[[#This Row],[SKU]]="","",IF(INDEX(tblProductos[Activo],ROW()-ROW(tblConteo[#Headers]))="NO","NO","SI"))</f>
        <v/>
      </c>
      <c r="H111" s="54" t="str">
        <f>IF(tblConteo[[#This Row],[SKU]]="","",IFERROR(N(INDEX(tblStock[StockActual],MATCH(tblConteo[[#This Row],[SKU]],tblStock[SKU],0))),0))</f>
        <v/>
      </c>
      <c r="I111" s="53"/>
      <c r="J111" s="60" t="str">
        <f>IF(OR(tblConteo[[#This Row],[SKU]]="",tblConteo[[#This Row],[Conteo]]=""),"",IF(ISNUMBER(tblConteo[[#This Row],[Conteo]]),tblConteo[[#This Row],[Conteo]]-N(tblConteo[[#This Row],[Sistema]]),""))</f>
        <v/>
      </c>
      <c r="K111" s="63" t="str">
        <f>IF(tblConteo[[#This Row],[Diferencia]]="","",tblConteo[[#This Row],[Diferencia]]*N(INDEX(tblProductos[CostoUnitario],ROW()-ROW(tblConteo[#Headers]))))</f>
        <v/>
      </c>
      <c r="L11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2" spans="2:13" x14ac:dyDescent="0.25">
      <c r="B112" s="43" t="str">
        <f>IF(INDEX(tblProductos[SKU],ROW()-ROW(tblConteo[#Headers]))="","",INDEX(tblProductos[SKU],ROW()-ROW(tblConteo[#Headers])))</f>
        <v/>
      </c>
      <c r="C112" s="50" t="str">
        <f>IF(tblConteo[[#This Row],[SKU]]="","",INDEX(tblProductos[Producto],ROW()-ROW(tblConteo[#Headers])))</f>
        <v/>
      </c>
      <c r="D112" s="50" t="str">
        <f>IF(tblConteo[[#This Row],[SKU]]="","",INDEX(tblProductos[Categoría],ROW()-ROW(tblConteo[#Headers]))&amp;"")</f>
        <v/>
      </c>
      <c r="E112" s="43" t="str">
        <f>IF(tblConteo[[#This Row],[SKU]]="","",INDEX(tblProductos[Ubicación],ROW()-ROW(tblConteo[#Headers]))&amp;"")</f>
        <v/>
      </c>
      <c r="F112" s="43" t="str">
        <f>IF(tblConteo[[#This Row],[SKU]]="","",INDEX(tblProductos[Unidad],ROW()-ROW(tblConteo[#Headers]))&amp;"")</f>
        <v/>
      </c>
      <c r="G112" s="43" t="str">
        <f>IF(tblConteo[[#This Row],[SKU]]="","",IF(INDEX(tblProductos[Activo],ROW()-ROW(tblConteo[#Headers]))="NO","NO","SI"))</f>
        <v/>
      </c>
      <c r="H112" s="54" t="str">
        <f>IF(tblConteo[[#This Row],[SKU]]="","",IFERROR(N(INDEX(tblStock[StockActual],MATCH(tblConteo[[#This Row],[SKU]],tblStock[SKU],0))),0))</f>
        <v/>
      </c>
      <c r="I112" s="53"/>
      <c r="J112" s="60" t="str">
        <f>IF(OR(tblConteo[[#This Row],[SKU]]="",tblConteo[[#This Row],[Conteo]]=""),"",IF(ISNUMBER(tblConteo[[#This Row],[Conteo]]),tblConteo[[#This Row],[Conteo]]-N(tblConteo[[#This Row],[Sistema]]),""))</f>
        <v/>
      </c>
      <c r="K112" s="63" t="str">
        <f>IF(tblConteo[[#This Row],[Diferencia]]="","",tblConteo[[#This Row],[Diferencia]]*N(INDEX(tblProductos[CostoUnitario],ROW()-ROW(tblConteo[#Headers]))))</f>
        <v/>
      </c>
      <c r="L11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3" spans="2:13" x14ac:dyDescent="0.25">
      <c r="B113" s="43" t="str">
        <f>IF(INDEX(tblProductos[SKU],ROW()-ROW(tblConteo[#Headers]))="","",INDEX(tblProductos[SKU],ROW()-ROW(tblConteo[#Headers])))</f>
        <v/>
      </c>
      <c r="C113" s="50" t="str">
        <f>IF(tblConteo[[#This Row],[SKU]]="","",INDEX(tblProductos[Producto],ROW()-ROW(tblConteo[#Headers])))</f>
        <v/>
      </c>
      <c r="D113" s="50" t="str">
        <f>IF(tblConteo[[#This Row],[SKU]]="","",INDEX(tblProductos[Categoría],ROW()-ROW(tblConteo[#Headers]))&amp;"")</f>
        <v/>
      </c>
      <c r="E113" s="43" t="str">
        <f>IF(tblConteo[[#This Row],[SKU]]="","",INDEX(tblProductos[Ubicación],ROW()-ROW(tblConteo[#Headers]))&amp;"")</f>
        <v/>
      </c>
      <c r="F113" s="43" t="str">
        <f>IF(tblConteo[[#This Row],[SKU]]="","",INDEX(tblProductos[Unidad],ROW()-ROW(tblConteo[#Headers]))&amp;"")</f>
        <v/>
      </c>
      <c r="G113" s="43" t="str">
        <f>IF(tblConteo[[#This Row],[SKU]]="","",IF(INDEX(tblProductos[Activo],ROW()-ROW(tblConteo[#Headers]))="NO","NO","SI"))</f>
        <v/>
      </c>
      <c r="H113" s="54" t="str">
        <f>IF(tblConteo[[#This Row],[SKU]]="","",IFERROR(N(INDEX(tblStock[StockActual],MATCH(tblConteo[[#This Row],[SKU]],tblStock[SKU],0))),0))</f>
        <v/>
      </c>
      <c r="I113" s="53"/>
      <c r="J113" s="60" t="str">
        <f>IF(OR(tblConteo[[#This Row],[SKU]]="",tblConteo[[#This Row],[Conteo]]=""),"",IF(ISNUMBER(tblConteo[[#This Row],[Conteo]]),tblConteo[[#This Row],[Conteo]]-N(tblConteo[[#This Row],[Sistema]]),""))</f>
        <v/>
      </c>
      <c r="K113" s="63" t="str">
        <f>IF(tblConteo[[#This Row],[Diferencia]]="","",tblConteo[[#This Row],[Diferencia]]*N(INDEX(tblProductos[CostoUnitario],ROW()-ROW(tblConteo[#Headers]))))</f>
        <v/>
      </c>
      <c r="L11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4" spans="2:13" x14ac:dyDescent="0.25">
      <c r="B114" s="43" t="str">
        <f>IF(INDEX(tblProductos[SKU],ROW()-ROW(tblConteo[#Headers]))="","",INDEX(tblProductos[SKU],ROW()-ROW(tblConteo[#Headers])))</f>
        <v/>
      </c>
      <c r="C114" s="50" t="str">
        <f>IF(tblConteo[[#This Row],[SKU]]="","",INDEX(tblProductos[Producto],ROW()-ROW(tblConteo[#Headers])))</f>
        <v/>
      </c>
      <c r="D114" s="50" t="str">
        <f>IF(tblConteo[[#This Row],[SKU]]="","",INDEX(tblProductos[Categoría],ROW()-ROW(tblConteo[#Headers]))&amp;"")</f>
        <v/>
      </c>
      <c r="E114" s="43" t="str">
        <f>IF(tblConteo[[#This Row],[SKU]]="","",INDEX(tblProductos[Ubicación],ROW()-ROW(tblConteo[#Headers]))&amp;"")</f>
        <v/>
      </c>
      <c r="F114" s="43" t="str">
        <f>IF(tblConteo[[#This Row],[SKU]]="","",INDEX(tblProductos[Unidad],ROW()-ROW(tblConteo[#Headers]))&amp;"")</f>
        <v/>
      </c>
      <c r="G114" s="43" t="str">
        <f>IF(tblConteo[[#This Row],[SKU]]="","",IF(INDEX(tblProductos[Activo],ROW()-ROW(tblConteo[#Headers]))="NO","NO","SI"))</f>
        <v/>
      </c>
      <c r="H114" s="54" t="str">
        <f>IF(tblConteo[[#This Row],[SKU]]="","",IFERROR(N(INDEX(tblStock[StockActual],MATCH(tblConteo[[#This Row],[SKU]],tblStock[SKU],0))),0))</f>
        <v/>
      </c>
      <c r="I114" s="53"/>
      <c r="J114" s="60" t="str">
        <f>IF(OR(tblConteo[[#This Row],[SKU]]="",tblConteo[[#This Row],[Conteo]]=""),"",IF(ISNUMBER(tblConteo[[#This Row],[Conteo]]),tblConteo[[#This Row],[Conteo]]-N(tblConteo[[#This Row],[Sistema]]),""))</f>
        <v/>
      </c>
      <c r="K114" s="63" t="str">
        <f>IF(tblConteo[[#This Row],[Diferencia]]="","",tblConteo[[#This Row],[Diferencia]]*N(INDEX(tblProductos[CostoUnitario],ROW()-ROW(tblConteo[#Headers]))))</f>
        <v/>
      </c>
      <c r="L11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5" spans="2:13" x14ac:dyDescent="0.25">
      <c r="B115" s="43" t="str">
        <f>IF(INDEX(tblProductos[SKU],ROW()-ROW(tblConteo[#Headers]))="","",INDEX(tblProductos[SKU],ROW()-ROW(tblConteo[#Headers])))</f>
        <v/>
      </c>
      <c r="C115" s="50" t="str">
        <f>IF(tblConteo[[#This Row],[SKU]]="","",INDEX(tblProductos[Producto],ROW()-ROW(tblConteo[#Headers])))</f>
        <v/>
      </c>
      <c r="D115" s="50" t="str">
        <f>IF(tblConteo[[#This Row],[SKU]]="","",INDEX(tblProductos[Categoría],ROW()-ROW(tblConteo[#Headers]))&amp;"")</f>
        <v/>
      </c>
      <c r="E115" s="43" t="str">
        <f>IF(tblConteo[[#This Row],[SKU]]="","",INDEX(tblProductos[Ubicación],ROW()-ROW(tblConteo[#Headers]))&amp;"")</f>
        <v/>
      </c>
      <c r="F115" s="43" t="str">
        <f>IF(tblConteo[[#This Row],[SKU]]="","",INDEX(tblProductos[Unidad],ROW()-ROW(tblConteo[#Headers]))&amp;"")</f>
        <v/>
      </c>
      <c r="G115" s="43" t="str">
        <f>IF(tblConteo[[#This Row],[SKU]]="","",IF(INDEX(tblProductos[Activo],ROW()-ROW(tblConteo[#Headers]))="NO","NO","SI"))</f>
        <v/>
      </c>
      <c r="H115" s="54" t="str">
        <f>IF(tblConteo[[#This Row],[SKU]]="","",IFERROR(N(INDEX(tblStock[StockActual],MATCH(tblConteo[[#This Row],[SKU]],tblStock[SKU],0))),0))</f>
        <v/>
      </c>
      <c r="I115" s="53"/>
      <c r="J115" s="60" t="str">
        <f>IF(OR(tblConteo[[#This Row],[SKU]]="",tblConteo[[#This Row],[Conteo]]=""),"",IF(ISNUMBER(tblConteo[[#This Row],[Conteo]]),tblConteo[[#This Row],[Conteo]]-N(tblConteo[[#This Row],[Sistema]]),""))</f>
        <v/>
      </c>
      <c r="K115" s="63" t="str">
        <f>IF(tblConteo[[#This Row],[Diferencia]]="","",tblConteo[[#This Row],[Diferencia]]*N(INDEX(tblProductos[CostoUnitario],ROW()-ROW(tblConteo[#Headers]))))</f>
        <v/>
      </c>
      <c r="L11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6" spans="2:13" x14ac:dyDescent="0.25">
      <c r="B116" s="43" t="str">
        <f>IF(INDEX(tblProductos[SKU],ROW()-ROW(tblConteo[#Headers]))="","",INDEX(tblProductos[SKU],ROW()-ROW(tblConteo[#Headers])))</f>
        <v/>
      </c>
      <c r="C116" s="50" t="str">
        <f>IF(tblConteo[[#This Row],[SKU]]="","",INDEX(tblProductos[Producto],ROW()-ROW(tblConteo[#Headers])))</f>
        <v/>
      </c>
      <c r="D116" s="50" t="str">
        <f>IF(tblConteo[[#This Row],[SKU]]="","",INDEX(tblProductos[Categoría],ROW()-ROW(tblConteo[#Headers]))&amp;"")</f>
        <v/>
      </c>
      <c r="E116" s="43" t="str">
        <f>IF(tblConteo[[#This Row],[SKU]]="","",INDEX(tblProductos[Ubicación],ROW()-ROW(tblConteo[#Headers]))&amp;"")</f>
        <v/>
      </c>
      <c r="F116" s="43" t="str">
        <f>IF(tblConteo[[#This Row],[SKU]]="","",INDEX(tblProductos[Unidad],ROW()-ROW(tblConteo[#Headers]))&amp;"")</f>
        <v/>
      </c>
      <c r="G116" s="43" t="str">
        <f>IF(tblConteo[[#This Row],[SKU]]="","",IF(INDEX(tblProductos[Activo],ROW()-ROW(tblConteo[#Headers]))="NO","NO","SI"))</f>
        <v/>
      </c>
      <c r="H116" s="54" t="str">
        <f>IF(tblConteo[[#This Row],[SKU]]="","",IFERROR(N(INDEX(tblStock[StockActual],MATCH(tblConteo[[#This Row],[SKU]],tblStock[SKU],0))),0))</f>
        <v/>
      </c>
      <c r="I116" s="53"/>
      <c r="J116" s="60" t="str">
        <f>IF(OR(tblConteo[[#This Row],[SKU]]="",tblConteo[[#This Row],[Conteo]]=""),"",IF(ISNUMBER(tblConteo[[#This Row],[Conteo]]),tblConteo[[#This Row],[Conteo]]-N(tblConteo[[#This Row],[Sistema]]),""))</f>
        <v/>
      </c>
      <c r="K116" s="63" t="str">
        <f>IF(tblConteo[[#This Row],[Diferencia]]="","",tblConteo[[#This Row],[Diferencia]]*N(INDEX(tblProductos[CostoUnitario],ROW()-ROW(tblConteo[#Headers]))))</f>
        <v/>
      </c>
      <c r="L11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7" spans="2:13" x14ac:dyDescent="0.25">
      <c r="B117" s="43" t="str">
        <f>IF(INDEX(tblProductos[SKU],ROW()-ROW(tblConteo[#Headers]))="","",INDEX(tblProductos[SKU],ROW()-ROW(tblConteo[#Headers])))</f>
        <v/>
      </c>
      <c r="C117" s="50" t="str">
        <f>IF(tblConteo[[#This Row],[SKU]]="","",INDEX(tblProductos[Producto],ROW()-ROW(tblConteo[#Headers])))</f>
        <v/>
      </c>
      <c r="D117" s="50" t="str">
        <f>IF(tblConteo[[#This Row],[SKU]]="","",INDEX(tblProductos[Categoría],ROW()-ROW(tblConteo[#Headers]))&amp;"")</f>
        <v/>
      </c>
      <c r="E117" s="43" t="str">
        <f>IF(tblConteo[[#This Row],[SKU]]="","",INDEX(tblProductos[Ubicación],ROW()-ROW(tblConteo[#Headers]))&amp;"")</f>
        <v/>
      </c>
      <c r="F117" s="43" t="str">
        <f>IF(tblConteo[[#This Row],[SKU]]="","",INDEX(tblProductos[Unidad],ROW()-ROW(tblConteo[#Headers]))&amp;"")</f>
        <v/>
      </c>
      <c r="G117" s="43" t="str">
        <f>IF(tblConteo[[#This Row],[SKU]]="","",IF(INDEX(tblProductos[Activo],ROW()-ROW(tblConteo[#Headers]))="NO","NO","SI"))</f>
        <v/>
      </c>
      <c r="H117" s="54" t="str">
        <f>IF(tblConteo[[#This Row],[SKU]]="","",IFERROR(N(INDEX(tblStock[StockActual],MATCH(tblConteo[[#This Row],[SKU]],tblStock[SKU],0))),0))</f>
        <v/>
      </c>
      <c r="I117" s="53"/>
      <c r="J117" s="60" t="str">
        <f>IF(OR(tblConteo[[#This Row],[SKU]]="",tblConteo[[#This Row],[Conteo]]=""),"",IF(ISNUMBER(tblConteo[[#This Row],[Conteo]]),tblConteo[[#This Row],[Conteo]]-N(tblConteo[[#This Row],[Sistema]]),""))</f>
        <v/>
      </c>
      <c r="K117" s="63" t="str">
        <f>IF(tblConteo[[#This Row],[Diferencia]]="","",tblConteo[[#This Row],[Diferencia]]*N(INDEX(tblProductos[CostoUnitario],ROW()-ROW(tblConteo[#Headers]))))</f>
        <v/>
      </c>
      <c r="L11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8" spans="2:13" x14ac:dyDescent="0.25">
      <c r="B118" s="43" t="str">
        <f>IF(INDEX(tblProductos[SKU],ROW()-ROW(tblConteo[#Headers]))="","",INDEX(tblProductos[SKU],ROW()-ROW(tblConteo[#Headers])))</f>
        <v/>
      </c>
      <c r="C118" s="50" t="str">
        <f>IF(tblConteo[[#This Row],[SKU]]="","",INDEX(tblProductos[Producto],ROW()-ROW(tblConteo[#Headers])))</f>
        <v/>
      </c>
      <c r="D118" s="50" t="str">
        <f>IF(tblConteo[[#This Row],[SKU]]="","",INDEX(tblProductos[Categoría],ROW()-ROW(tblConteo[#Headers]))&amp;"")</f>
        <v/>
      </c>
      <c r="E118" s="43" t="str">
        <f>IF(tblConteo[[#This Row],[SKU]]="","",INDEX(tblProductos[Ubicación],ROW()-ROW(tblConteo[#Headers]))&amp;"")</f>
        <v/>
      </c>
      <c r="F118" s="43" t="str">
        <f>IF(tblConteo[[#This Row],[SKU]]="","",INDEX(tblProductos[Unidad],ROW()-ROW(tblConteo[#Headers]))&amp;"")</f>
        <v/>
      </c>
      <c r="G118" s="43" t="str">
        <f>IF(tblConteo[[#This Row],[SKU]]="","",IF(INDEX(tblProductos[Activo],ROW()-ROW(tblConteo[#Headers]))="NO","NO","SI"))</f>
        <v/>
      </c>
      <c r="H118" s="54" t="str">
        <f>IF(tblConteo[[#This Row],[SKU]]="","",IFERROR(N(INDEX(tblStock[StockActual],MATCH(tblConteo[[#This Row],[SKU]],tblStock[SKU],0))),0))</f>
        <v/>
      </c>
      <c r="I118" s="53"/>
      <c r="J118" s="60" t="str">
        <f>IF(OR(tblConteo[[#This Row],[SKU]]="",tblConteo[[#This Row],[Conteo]]=""),"",IF(ISNUMBER(tblConteo[[#This Row],[Conteo]]),tblConteo[[#This Row],[Conteo]]-N(tblConteo[[#This Row],[Sistema]]),""))</f>
        <v/>
      </c>
      <c r="K118" s="63" t="str">
        <f>IF(tblConteo[[#This Row],[Diferencia]]="","",tblConteo[[#This Row],[Diferencia]]*N(INDEX(tblProductos[CostoUnitario],ROW()-ROW(tblConteo[#Headers]))))</f>
        <v/>
      </c>
      <c r="L11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19" spans="2:13" x14ac:dyDescent="0.25">
      <c r="B119" s="43" t="str">
        <f>IF(INDEX(tblProductos[SKU],ROW()-ROW(tblConteo[#Headers]))="","",INDEX(tblProductos[SKU],ROW()-ROW(tblConteo[#Headers])))</f>
        <v/>
      </c>
      <c r="C119" s="50" t="str">
        <f>IF(tblConteo[[#This Row],[SKU]]="","",INDEX(tblProductos[Producto],ROW()-ROW(tblConteo[#Headers])))</f>
        <v/>
      </c>
      <c r="D119" s="50" t="str">
        <f>IF(tblConteo[[#This Row],[SKU]]="","",INDEX(tblProductos[Categoría],ROW()-ROW(tblConteo[#Headers]))&amp;"")</f>
        <v/>
      </c>
      <c r="E119" s="43" t="str">
        <f>IF(tblConteo[[#This Row],[SKU]]="","",INDEX(tblProductos[Ubicación],ROW()-ROW(tblConteo[#Headers]))&amp;"")</f>
        <v/>
      </c>
      <c r="F119" s="43" t="str">
        <f>IF(tblConteo[[#This Row],[SKU]]="","",INDEX(tblProductos[Unidad],ROW()-ROW(tblConteo[#Headers]))&amp;"")</f>
        <v/>
      </c>
      <c r="G119" s="43" t="str">
        <f>IF(tblConteo[[#This Row],[SKU]]="","",IF(INDEX(tblProductos[Activo],ROW()-ROW(tblConteo[#Headers]))="NO","NO","SI"))</f>
        <v/>
      </c>
      <c r="H119" s="54" t="str">
        <f>IF(tblConteo[[#This Row],[SKU]]="","",IFERROR(N(INDEX(tblStock[StockActual],MATCH(tblConteo[[#This Row],[SKU]],tblStock[SKU],0))),0))</f>
        <v/>
      </c>
      <c r="I119" s="53"/>
      <c r="J119" s="60" t="str">
        <f>IF(OR(tblConteo[[#This Row],[SKU]]="",tblConteo[[#This Row],[Conteo]]=""),"",IF(ISNUMBER(tblConteo[[#This Row],[Conteo]]),tblConteo[[#This Row],[Conteo]]-N(tblConteo[[#This Row],[Sistema]]),""))</f>
        <v/>
      </c>
      <c r="K119" s="63" t="str">
        <f>IF(tblConteo[[#This Row],[Diferencia]]="","",tblConteo[[#This Row],[Diferencia]]*N(INDEX(tblProductos[CostoUnitario],ROW()-ROW(tblConteo[#Headers]))))</f>
        <v/>
      </c>
      <c r="L11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1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0" spans="2:13" x14ac:dyDescent="0.25">
      <c r="B120" s="43" t="str">
        <f>IF(INDEX(tblProductos[SKU],ROW()-ROW(tblConteo[#Headers]))="","",INDEX(tblProductos[SKU],ROW()-ROW(tblConteo[#Headers])))</f>
        <v/>
      </c>
      <c r="C120" s="50" t="str">
        <f>IF(tblConteo[[#This Row],[SKU]]="","",INDEX(tblProductos[Producto],ROW()-ROW(tblConteo[#Headers])))</f>
        <v/>
      </c>
      <c r="D120" s="50" t="str">
        <f>IF(tblConteo[[#This Row],[SKU]]="","",INDEX(tblProductos[Categoría],ROW()-ROW(tblConteo[#Headers]))&amp;"")</f>
        <v/>
      </c>
      <c r="E120" s="43" t="str">
        <f>IF(tblConteo[[#This Row],[SKU]]="","",INDEX(tblProductos[Ubicación],ROW()-ROW(tblConteo[#Headers]))&amp;"")</f>
        <v/>
      </c>
      <c r="F120" s="43" t="str">
        <f>IF(tblConteo[[#This Row],[SKU]]="","",INDEX(tblProductos[Unidad],ROW()-ROW(tblConteo[#Headers]))&amp;"")</f>
        <v/>
      </c>
      <c r="G120" s="43" t="str">
        <f>IF(tblConteo[[#This Row],[SKU]]="","",IF(INDEX(tblProductos[Activo],ROW()-ROW(tblConteo[#Headers]))="NO","NO","SI"))</f>
        <v/>
      </c>
      <c r="H120" s="54" t="str">
        <f>IF(tblConteo[[#This Row],[SKU]]="","",IFERROR(N(INDEX(tblStock[StockActual],MATCH(tblConteo[[#This Row],[SKU]],tblStock[SKU],0))),0))</f>
        <v/>
      </c>
      <c r="I120" s="53"/>
      <c r="J120" s="60" t="str">
        <f>IF(OR(tblConteo[[#This Row],[SKU]]="",tblConteo[[#This Row],[Conteo]]=""),"",IF(ISNUMBER(tblConteo[[#This Row],[Conteo]]),tblConteo[[#This Row],[Conteo]]-N(tblConteo[[#This Row],[Sistema]]),""))</f>
        <v/>
      </c>
      <c r="K120" s="63" t="str">
        <f>IF(tblConteo[[#This Row],[Diferencia]]="","",tblConteo[[#This Row],[Diferencia]]*N(INDEX(tblProductos[CostoUnitario],ROW()-ROW(tblConteo[#Headers]))))</f>
        <v/>
      </c>
      <c r="L12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1" spans="2:13" x14ac:dyDescent="0.25">
      <c r="B121" s="43" t="str">
        <f>IF(INDEX(tblProductos[SKU],ROW()-ROW(tblConteo[#Headers]))="","",INDEX(tblProductos[SKU],ROW()-ROW(tblConteo[#Headers])))</f>
        <v/>
      </c>
      <c r="C121" s="50" t="str">
        <f>IF(tblConteo[[#This Row],[SKU]]="","",INDEX(tblProductos[Producto],ROW()-ROW(tblConteo[#Headers])))</f>
        <v/>
      </c>
      <c r="D121" s="50" t="str">
        <f>IF(tblConteo[[#This Row],[SKU]]="","",INDEX(tblProductos[Categoría],ROW()-ROW(tblConteo[#Headers]))&amp;"")</f>
        <v/>
      </c>
      <c r="E121" s="43" t="str">
        <f>IF(tblConteo[[#This Row],[SKU]]="","",INDEX(tblProductos[Ubicación],ROW()-ROW(tblConteo[#Headers]))&amp;"")</f>
        <v/>
      </c>
      <c r="F121" s="43" t="str">
        <f>IF(tblConteo[[#This Row],[SKU]]="","",INDEX(tblProductos[Unidad],ROW()-ROW(tblConteo[#Headers]))&amp;"")</f>
        <v/>
      </c>
      <c r="G121" s="43" t="str">
        <f>IF(tblConteo[[#This Row],[SKU]]="","",IF(INDEX(tblProductos[Activo],ROW()-ROW(tblConteo[#Headers]))="NO","NO","SI"))</f>
        <v/>
      </c>
      <c r="H121" s="54" t="str">
        <f>IF(tblConteo[[#This Row],[SKU]]="","",IFERROR(N(INDEX(tblStock[StockActual],MATCH(tblConteo[[#This Row],[SKU]],tblStock[SKU],0))),0))</f>
        <v/>
      </c>
      <c r="I121" s="53"/>
      <c r="J121" s="60" t="str">
        <f>IF(OR(tblConteo[[#This Row],[SKU]]="",tblConteo[[#This Row],[Conteo]]=""),"",IF(ISNUMBER(tblConteo[[#This Row],[Conteo]]),tblConteo[[#This Row],[Conteo]]-N(tblConteo[[#This Row],[Sistema]]),""))</f>
        <v/>
      </c>
      <c r="K121" s="63" t="str">
        <f>IF(tblConteo[[#This Row],[Diferencia]]="","",tblConteo[[#This Row],[Diferencia]]*N(INDEX(tblProductos[CostoUnitario],ROW()-ROW(tblConteo[#Headers]))))</f>
        <v/>
      </c>
      <c r="L12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2" spans="2:13" x14ac:dyDescent="0.25">
      <c r="B122" s="43" t="str">
        <f>IF(INDEX(tblProductos[SKU],ROW()-ROW(tblConteo[#Headers]))="","",INDEX(tblProductos[SKU],ROW()-ROW(tblConteo[#Headers])))</f>
        <v/>
      </c>
      <c r="C122" s="50" t="str">
        <f>IF(tblConteo[[#This Row],[SKU]]="","",INDEX(tblProductos[Producto],ROW()-ROW(tblConteo[#Headers])))</f>
        <v/>
      </c>
      <c r="D122" s="50" t="str">
        <f>IF(tblConteo[[#This Row],[SKU]]="","",INDEX(tblProductos[Categoría],ROW()-ROW(tblConteo[#Headers]))&amp;"")</f>
        <v/>
      </c>
      <c r="E122" s="43" t="str">
        <f>IF(tblConteo[[#This Row],[SKU]]="","",INDEX(tblProductos[Ubicación],ROW()-ROW(tblConteo[#Headers]))&amp;"")</f>
        <v/>
      </c>
      <c r="F122" s="43" t="str">
        <f>IF(tblConteo[[#This Row],[SKU]]="","",INDEX(tblProductos[Unidad],ROW()-ROW(tblConteo[#Headers]))&amp;"")</f>
        <v/>
      </c>
      <c r="G122" s="43" t="str">
        <f>IF(tblConteo[[#This Row],[SKU]]="","",IF(INDEX(tblProductos[Activo],ROW()-ROW(tblConteo[#Headers]))="NO","NO","SI"))</f>
        <v/>
      </c>
      <c r="H122" s="54" t="str">
        <f>IF(tblConteo[[#This Row],[SKU]]="","",IFERROR(N(INDEX(tblStock[StockActual],MATCH(tblConteo[[#This Row],[SKU]],tblStock[SKU],0))),0))</f>
        <v/>
      </c>
      <c r="I122" s="53"/>
      <c r="J122" s="60" t="str">
        <f>IF(OR(tblConteo[[#This Row],[SKU]]="",tblConteo[[#This Row],[Conteo]]=""),"",IF(ISNUMBER(tblConteo[[#This Row],[Conteo]]),tblConteo[[#This Row],[Conteo]]-N(tblConteo[[#This Row],[Sistema]]),""))</f>
        <v/>
      </c>
      <c r="K122" s="63" t="str">
        <f>IF(tblConteo[[#This Row],[Diferencia]]="","",tblConteo[[#This Row],[Diferencia]]*N(INDEX(tblProductos[CostoUnitario],ROW()-ROW(tblConteo[#Headers]))))</f>
        <v/>
      </c>
      <c r="L12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3" spans="2:13" x14ac:dyDescent="0.25">
      <c r="B123" s="43" t="str">
        <f>IF(INDEX(tblProductos[SKU],ROW()-ROW(tblConteo[#Headers]))="","",INDEX(tblProductos[SKU],ROW()-ROW(tblConteo[#Headers])))</f>
        <v/>
      </c>
      <c r="C123" s="50" t="str">
        <f>IF(tblConteo[[#This Row],[SKU]]="","",INDEX(tblProductos[Producto],ROW()-ROW(tblConteo[#Headers])))</f>
        <v/>
      </c>
      <c r="D123" s="50" t="str">
        <f>IF(tblConteo[[#This Row],[SKU]]="","",INDEX(tblProductos[Categoría],ROW()-ROW(tblConteo[#Headers]))&amp;"")</f>
        <v/>
      </c>
      <c r="E123" s="43" t="str">
        <f>IF(tblConteo[[#This Row],[SKU]]="","",INDEX(tblProductos[Ubicación],ROW()-ROW(tblConteo[#Headers]))&amp;"")</f>
        <v/>
      </c>
      <c r="F123" s="43" t="str">
        <f>IF(tblConteo[[#This Row],[SKU]]="","",INDEX(tblProductos[Unidad],ROW()-ROW(tblConteo[#Headers]))&amp;"")</f>
        <v/>
      </c>
      <c r="G123" s="43" t="str">
        <f>IF(tblConteo[[#This Row],[SKU]]="","",IF(INDEX(tblProductos[Activo],ROW()-ROW(tblConteo[#Headers]))="NO","NO","SI"))</f>
        <v/>
      </c>
      <c r="H123" s="54" t="str">
        <f>IF(tblConteo[[#This Row],[SKU]]="","",IFERROR(N(INDEX(tblStock[StockActual],MATCH(tblConteo[[#This Row],[SKU]],tblStock[SKU],0))),0))</f>
        <v/>
      </c>
      <c r="I123" s="53"/>
      <c r="J123" s="60" t="str">
        <f>IF(OR(tblConteo[[#This Row],[SKU]]="",tblConteo[[#This Row],[Conteo]]=""),"",IF(ISNUMBER(tblConteo[[#This Row],[Conteo]]),tblConteo[[#This Row],[Conteo]]-N(tblConteo[[#This Row],[Sistema]]),""))</f>
        <v/>
      </c>
      <c r="K123" s="63" t="str">
        <f>IF(tblConteo[[#This Row],[Diferencia]]="","",tblConteo[[#This Row],[Diferencia]]*N(INDEX(tblProductos[CostoUnitario],ROW()-ROW(tblConteo[#Headers]))))</f>
        <v/>
      </c>
      <c r="L12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4" spans="2:13" x14ac:dyDescent="0.25">
      <c r="B124" s="43" t="str">
        <f>IF(INDEX(tblProductos[SKU],ROW()-ROW(tblConteo[#Headers]))="","",INDEX(tblProductos[SKU],ROW()-ROW(tblConteo[#Headers])))</f>
        <v/>
      </c>
      <c r="C124" s="50" t="str">
        <f>IF(tblConteo[[#This Row],[SKU]]="","",INDEX(tblProductos[Producto],ROW()-ROW(tblConteo[#Headers])))</f>
        <v/>
      </c>
      <c r="D124" s="50" t="str">
        <f>IF(tblConteo[[#This Row],[SKU]]="","",INDEX(tblProductos[Categoría],ROW()-ROW(tblConteo[#Headers]))&amp;"")</f>
        <v/>
      </c>
      <c r="E124" s="43" t="str">
        <f>IF(tblConteo[[#This Row],[SKU]]="","",INDEX(tblProductos[Ubicación],ROW()-ROW(tblConteo[#Headers]))&amp;"")</f>
        <v/>
      </c>
      <c r="F124" s="43" t="str">
        <f>IF(tblConteo[[#This Row],[SKU]]="","",INDEX(tblProductos[Unidad],ROW()-ROW(tblConteo[#Headers]))&amp;"")</f>
        <v/>
      </c>
      <c r="G124" s="43" t="str">
        <f>IF(tblConteo[[#This Row],[SKU]]="","",IF(INDEX(tblProductos[Activo],ROW()-ROW(tblConteo[#Headers]))="NO","NO","SI"))</f>
        <v/>
      </c>
      <c r="H124" s="54" t="str">
        <f>IF(tblConteo[[#This Row],[SKU]]="","",IFERROR(N(INDEX(tblStock[StockActual],MATCH(tblConteo[[#This Row],[SKU]],tblStock[SKU],0))),0))</f>
        <v/>
      </c>
      <c r="I124" s="53"/>
      <c r="J124" s="60" t="str">
        <f>IF(OR(tblConteo[[#This Row],[SKU]]="",tblConteo[[#This Row],[Conteo]]=""),"",IF(ISNUMBER(tblConteo[[#This Row],[Conteo]]),tblConteo[[#This Row],[Conteo]]-N(tblConteo[[#This Row],[Sistema]]),""))</f>
        <v/>
      </c>
      <c r="K124" s="63" t="str">
        <f>IF(tblConteo[[#This Row],[Diferencia]]="","",tblConteo[[#This Row],[Diferencia]]*N(INDEX(tblProductos[CostoUnitario],ROW()-ROW(tblConteo[#Headers]))))</f>
        <v/>
      </c>
      <c r="L12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5" spans="2:13" x14ac:dyDescent="0.25">
      <c r="B125" s="43" t="str">
        <f>IF(INDEX(tblProductos[SKU],ROW()-ROW(tblConteo[#Headers]))="","",INDEX(tblProductos[SKU],ROW()-ROW(tblConteo[#Headers])))</f>
        <v/>
      </c>
      <c r="C125" s="50" t="str">
        <f>IF(tblConteo[[#This Row],[SKU]]="","",INDEX(tblProductos[Producto],ROW()-ROW(tblConteo[#Headers])))</f>
        <v/>
      </c>
      <c r="D125" s="50" t="str">
        <f>IF(tblConteo[[#This Row],[SKU]]="","",INDEX(tblProductos[Categoría],ROW()-ROW(tblConteo[#Headers]))&amp;"")</f>
        <v/>
      </c>
      <c r="E125" s="43" t="str">
        <f>IF(tblConteo[[#This Row],[SKU]]="","",INDEX(tblProductos[Ubicación],ROW()-ROW(tblConteo[#Headers]))&amp;"")</f>
        <v/>
      </c>
      <c r="F125" s="43" t="str">
        <f>IF(tblConteo[[#This Row],[SKU]]="","",INDEX(tblProductos[Unidad],ROW()-ROW(tblConteo[#Headers]))&amp;"")</f>
        <v/>
      </c>
      <c r="G125" s="43" t="str">
        <f>IF(tblConteo[[#This Row],[SKU]]="","",IF(INDEX(tblProductos[Activo],ROW()-ROW(tblConteo[#Headers]))="NO","NO","SI"))</f>
        <v/>
      </c>
      <c r="H125" s="54" t="str">
        <f>IF(tblConteo[[#This Row],[SKU]]="","",IFERROR(N(INDEX(tblStock[StockActual],MATCH(tblConteo[[#This Row],[SKU]],tblStock[SKU],0))),0))</f>
        <v/>
      </c>
      <c r="I125" s="53"/>
      <c r="J125" s="60" t="str">
        <f>IF(OR(tblConteo[[#This Row],[SKU]]="",tblConteo[[#This Row],[Conteo]]=""),"",IF(ISNUMBER(tblConteo[[#This Row],[Conteo]]),tblConteo[[#This Row],[Conteo]]-N(tblConteo[[#This Row],[Sistema]]),""))</f>
        <v/>
      </c>
      <c r="K125" s="63" t="str">
        <f>IF(tblConteo[[#This Row],[Diferencia]]="","",tblConteo[[#This Row],[Diferencia]]*N(INDEX(tblProductos[CostoUnitario],ROW()-ROW(tblConteo[#Headers]))))</f>
        <v/>
      </c>
      <c r="L12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6" spans="2:13" x14ac:dyDescent="0.25">
      <c r="B126" s="43" t="str">
        <f>IF(INDEX(tblProductos[SKU],ROW()-ROW(tblConteo[#Headers]))="","",INDEX(tblProductos[SKU],ROW()-ROW(tblConteo[#Headers])))</f>
        <v/>
      </c>
      <c r="C126" s="50" t="str">
        <f>IF(tblConteo[[#This Row],[SKU]]="","",INDEX(tblProductos[Producto],ROW()-ROW(tblConteo[#Headers])))</f>
        <v/>
      </c>
      <c r="D126" s="50" t="str">
        <f>IF(tblConteo[[#This Row],[SKU]]="","",INDEX(tblProductos[Categoría],ROW()-ROW(tblConteo[#Headers]))&amp;"")</f>
        <v/>
      </c>
      <c r="E126" s="43" t="str">
        <f>IF(tblConteo[[#This Row],[SKU]]="","",INDEX(tblProductos[Ubicación],ROW()-ROW(tblConteo[#Headers]))&amp;"")</f>
        <v/>
      </c>
      <c r="F126" s="43" t="str">
        <f>IF(tblConteo[[#This Row],[SKU]]="","",INDEX(tblProductos[Unidad],ROW()-ROW(tblConteo[#Headers]))&amp;"")</f>
        <v/>
      </c>
      <c r="G126" s="43" t="str">
        <f>IF(tblConteo[[#This Row],[SKU]]="","",IF(INDEX(tblProductos[Activo],ROW()-ROW(tblConteo[#Headers]))="NO","NO","SI"))</f>
        <v/>
      </c>
      <c r="H126" s="54" t="str">
        <f>IF(tblConteo[[#This Row],[SKU]]="","",IFERROR(N(INDEX(tblStock[StockActual],MATCH(tblConteo[[#This Row],[SKU]],tblStock[SKU],0))),0))</f>
        <v/>
      </c>
      <c r="I126" s="53"/>
      <c r="J126" s="60" t="str">
        <f>IF(OR(tblConteo[[#This Row],[SKU]]="",tblConteo[[#This Row],[Conteo]]=""),"",IF(ISNUMBER(tblConteo[[#This Row],[Conteo]]),tblConteo[[#This Row],[Conteo]]-N(tblConteo[[#This Row],[Sistema]]),""))</f>
        <v/>
      </c>
      <c r="K126" s="63" t="str">
        <f>IF(tblConteo[[#This Row],[Diferencia]]="","",tblConteo[[#This Row],[Diferencia]]*N(INDEX(tblProductos[CostoUnitario],ROW()-ROW(tblConteo[#Headers]))))</f>
        <v/>
      </c>
      <c r="L12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7" spans="2:13" x14ac:dyDescent="0.25">
      <c r="B127" s="43" t="str">
        <f>IF(INDEX(tblProductos[SKU],ROW()-ROW(tblConteo[#Headers]))="","",INDEX(tblProductos[SKU],ROW()-ROW(tblConteo[#Headers])))</f>
        <v/>
      </c>
      <c r="C127" s="50" t="str">
        <f>IF(tblConteo[[#This Row],[SKU]]="","",INDEX(tblProductos[Producto],ROW()-ROW(tblConteo[#Headers])))</f>
        <v/>
      </c>
      <c r="D127" s="50" t="str">
        <f>IF(tblConteo[[#This Row],[SKU]]="","",INDEX(tblProductos[Categoría],ROW()-ROW(tblConteo[#Headers]))&amp;"")</f>
        <v/>
      </c>
      <c r="E127" s="43" t="str">
        <f>IF(tblConteo[[#This Row],[SKU]]="","",INDEX(tblProductos[Ubicación],ROW()-ROW(tblConteo[#Headers]))&amp;"")</f>
        <v/>
      </c>
      <c r="F127" s="43" t="str">
        <f>IF(tblConteo[[#This Row],[SKU]]="","",INDEX(tblProductos[Unidad],ROW()-ROW(tblConteo[#Headers]))&amp;"")</f>
        <v/>
      </c>
      <c r="G127" s="43" t="str">
        <f>IF(tblConteo[[#This Row],[SKU]]="","",IF(INDEX(tblProductos[Activo],ROW()-ROW(tblConteo[#Headers]))="NO","NO","SI"))</f>
        <v/>
      </c>
      <c r="H127" s="54" t="str">
        <f>IF(tblConteo[[#This Row],[SKU]]="","",IFERROR(N(INDEX(tblStock[StockActual],MATCH(tblConteo[[#This Row],[SKU]],tblStock[SKU],0))),0))</f>
        <v/>
      </c>
      <c r="I127" s="53"/>
      <c r="J127" s="60" t="str">
        <f>IF(OR(tblConteo[[#This Row],[SKU]]="",tblConteo[[#This Row],[Conteo]]=""),"",IF(ISNUMBER(tblConteo[[#This Row],[Conteo]]),tblConteo[[#This Row],[Conteo]]-N(tblConteo[[#This Row],[Sistema]]),""))</f>
        <v/>
      </c>
      <c r="K127" s="63" t="str">
        <f>IF(tblConteo[[#This Row],[Diferencia]]="","",tblConteo[[#This Row],[Diferencia]]*N(INDEX(tblProductos[CostoUnitario],ROW()-ROW(tblConteo[#Headers]))))</f>
        <v/>
      </c>
      <c r="L12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8" spans="2:13" x14ac:dyDescent="0.25">
      <c r="B128" s="43" t="str">
        <f>IF(INDEX(tblProductos[SKU],ROW()-ROW(tblConteo[#Headers]))="","",INDEX(tblProductos[SKU],ROW()-ROW(tblConteo[#Headers])))</f>
        <v/>
      </c>
      <c r="C128" s="50" t="str">
        <f>IF(tblConteo[[#This Row],[SKU]]="","",INDEX(tblProductos[Producto],ROW()-ROW(tblConteo[#Headers])))</f>
        <v/>
      </c>
      <c r="D128" s="50" t="str">
        <f>IF(tblConteo[[#This Row],[SKU]]="","",INDEX(tblProductos[Categoría],ROW()-ROW(tblConteo[#Headers]))&amp;"")</f>
        <v/>
      </c>
      <c r="E128" s="43" t="str">
        <f>IF(tblConteo[[#This Row],[SKU]]="","",INDEX(tblProductos[Ubicación],ROW()-ROW(tblConteo[#Headers]))&amp;"")</f>
        <v/>
      </c>
      <c r="F128" s="43" t="str">
        <f>IF(tblConteo[[#This Row],[SKU]]="","",INDEX(tblProductos[Unidad],ROW()-ROW(tblConteo[#Headers]))&amp;"")</f>
        <v/>
      </c>
      <c r="G128" s="43" t="str">
        <f>IF(tblConteo[[#This Row],[SKU]]="","",IF(INDEX(tblProductos[Activo],ROW()-ROW(tblConteo[#Headers]))="NO","NO","SI"))</f>
        <v/>
      </c>
      <c r="H128" s="54" t="str">
        <f>IF(tblConteo[[#This Row],[SKU]]="","",IFERROR(N(INDEX(tblStock[StockActual],MATCH(tblConteo[[#This Row],[SKU]],tblStock[SKU],0))),0))</f>
        <v/>
      </c>
      <c r="I128" s="53"/>
      <c r="J128" s="60" t="str">
        <f>IF(OR(tblConteo[[#This Row],[SKU]]="",tblConteo[[#This Row],[Conteo]]=""),"",IF(ISNUMBER(tblConteo[[#This Row],[Conteo]]),tblConteo[[#This Row],[Conteo]]-N(tblConteo[[#This Row],[Sistema]]),""))</f>
        <v/>
      </c>
      <c r="K128" s="63" t="str">
        <f>IF(tblConteo[[#This Row],[Diferencia]]="","",tblConteo[[#This Row],[Diferencia]]*N(INDEX(tblProductos[CostoUnitario],ROW()-ROW(tblConteo[#Headers]))))</f>
        <v/>
      </c>
      <c r="L12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29" spans="2:13" x14ac:dyDescent="0.25">
      <c r="B129" s="43" t="str">
        <f>IF(INDEX(tblProductos[SKU],ROW()-ROW(tblConteo[#Headers]))="","",INDEX(tblProductos[SKU],ROW()-ROW(tblConteo[#Headers])))</f>
        <v/>
      </c>
      <c r="C129" s="50" t="str">
        <f>IF(tblConteo[[#This Row],[SKU]]="","",INDEX(tblProductos[Producto],ROW()-ROW(tblConteo[#Headers])))</f>
        <v/>
      </c>
      <c r="D129" s="50" t="str">
        <f>IF(tblConteo[[#This Row],[SKU]]="","",INDEX(tblProductos[Categoría],ROW()-ROW(tblConteo[#Headers]))&amp;"")</f>
        <v/>
      </c>
      <c r="E129" s="43" t="str">
        <f>IF(tblConteo[[#This Row],[SKU]]="","",INDEX(tblProductos[Ubicación],ROW()-ROW(tblConteo[#Headers]))&amp;"")</f>
        <v/>
      </c>
      <c r="F129" s="43" t="str">
        <f>IF(tblConteo[[#This Row],[SKU]]="","",INDEX(tblProductos[Unidad],ROW()-ROW(tblConteo[#Headers]))&amp;"")</f>
        <v/>
      </c>
      <c r="G129" s="43" t="str">
        <f>IF(tblConteo[[#This Row],[SKU]]="","",IF(INDEX(tblProductos[Activo],ROW()-ROW(tblConteo[#Headers]))="NO","NO","SI"))</f>
        <v/>
      </c>
      <c r="H129" s="54" t="str">
        <f>IF(tblConteo[[#This Row],[SKU]]="","",IFERROR(N(INDEX(tblStock[StockActual],MATCH(tblConteo[[#This Row],[SKU]],tblStock[SKU],0))),0))</f>
        <v/>
      </c>
      <c r="I129" s="53"/>
      <c r="J129" s="60" t="str">
        <f>IF(OR(tblConteo[[#This Row],[SKU]]="",tblConteo[[#This Row],[Conteo]]=""),"",IF(ISNUMBER(tblConteo[[#This Row],[Conteo]]),tblConteo[[#This Row],[Conteo]]-N(tblConteo[[#This Row],[Sistema]]),""))</f>
        <v/>
      </c>
      <c r="K129" s="63" t="str">
        <f>IF(tblConteo[[#This Row],[Diferencia]]="","",tblConteo[[#This Row],[Diferencia]]*N(INDEX(tblProductos[CostoUnitario],ROW()-ROW(tblConteo[#Headers]))))</f>
        <v/>
      </c>
      <c r="L12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2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0" spans="2:13" x14ac:dyDescent="0.25">
      <c r="B130" s="43" t="str">
        <f>IF(INDEX(tblProductos[SKU],ROW()-ROW(tblConteo[#Headers]))="","",INDEX(tblProductos[SKU],ROW()-ROW(tblConteo[#Headers])))</f>
        <v/>
      </c>
      <c r="C130" s="50" t="str">
        <f>IF(tblConteo[[#This Row],[SKU]]="","",INDEX(tblProductos[Producto],ROW()-ROW(tblConteo[#Headers])))</f>
        <v/>
      </c>
      <c r="D130" s="50" t="str">
        <f>IF(tblConteo[[#This Row],[SKU]]="","",INDEX(tblProductos[Categoría],ROW()-ROW(tblConteo[#Headers]))&amp;"")</f>
        <v/>
      </c>
      <c r="E130" s="43" t="str">
        <f>IF(tblConteo[[#This Row],[SKU]]="","",INDEX(tblProductos[Ubicación],ROW()-ROW(tblConteo[#Headers]))&amp;"")</f>
        <v/>
      </c>
      <c r="F130" s="43" t="str">
        <f>IF(tblConteo[[#This Row],[SKU]]="","",INDEX(tblProductos[Unidad],ROW()-ROW(tblConteo[#Headers]))&amp;"")</f>
        <v/>
      </c>
      <c r="G130" s="43" t="str">
        <f>IF(tblConteo[[#This Row],[SKU]]="","",IF(INDEX(tblProductos[Activo],ROW()-ROW(tblConteo[#Headers]))="NO","NO","SI"))</f>
        <v/>
      </c>
      <c r="H130" s="54" t="str">
        <f>IF(tblConteo[[#This Row],[SKU]]="","",IFERROR(N(INDEX(tblStock[StockActual],MATCH(tblConteo[[#This Row],[SKU]],tblStock[SKU],0))),0))</f>
        <v/>
      </c>
      <c r="I130" s="53"/>
      <c r="J130" s="60" t="str">
        <f>IF(OR(tblConteo[[#This Row],[SKU]]="",tblConteo[[#This Row],[Conteo]]=""),"",IF(ISNUMBER(tblConteo[[#This Row],[Conteo]]),tblConteo[[#This Row],[Conteo]]-N(tblConteo[[#This Row],[Sistema]]),""))</f>
        <v/>
      </c>
      <c r="K130" s="63" t="str">
        <f>IF(tblConteo[[#This Row],[Diferencia]]="","",tblConteo[[#This Row],[Diferencia]]*N(INDEX(tblProductos[CostoUnitario],ROW()-ROW(tblConteo[#Headers]))))</f>
        <v/>
      </c>
      <c r="L13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1" spans="2:13" x14ac:dyDescent="0.25">
      <c r="B131" s="43" t="str">
        <f>IF(INDEX(tblProductos[SKU],ROW()-ROW(tblConteo[#Headers]))="","",INDEX(tblProductos[SKU],ROW()-ROW(tblConteo[#Headers])))</f>
        <v/>
      </c>
      <c r="C131" s="50" t="str">
        <f>IF(tblConteo[[#This Row],[SKU]]="","",INDEX(tblProductos[Producto],ROW()-ROW(tblConteo[#Headers])))</f>
        <v/>
      </c>
      <c r="D131" s="50" t="str">
        <f>IF(tblConteo[[#This Row],[SKU]]="","",INDEX(tblProductos[Categoría],ROW()-ROW(tblConteo[#Headers]))&amp;"")</f>
        <v/>
      </c>
      <c r="E131" s="43" t="str">
        <f>IF(tblConteo[[#This Row],[SKU]]="","",INDEX(tblProductos[Ubicación],ROW()-ROW(tblConteo[#Headers]))&amp;"")</f>
        <v/>
      </c>
      <c r="F131" s="43" t="str">
        <f>IF(tblConteo[[#This Row],[SKU]]="","",INDEX(tblProductos[Unidad],ROW()-ROW(tblConteo[#Headers]))&amp;"")</f>
        <v/>
      </c>
      <c r="G131" s="43" t="str">
        <f>IF(tblConteo[[#This Row],[SKU]]="","",IF(INDEX(tblProductos[Activo],ROW()-ROW(tblConteo[#Headers]))="NO","NO","SI"))</f>
        <v/>
      </c>
      <c r="H131" s="54" t="str">
        <f>IF(tblConteo[[#This Row],[SKU]]="","",IFERROR(N(INDEX(tblStock[StockActual],MATCH(tblConteo[[#This Row],[SKU]],tblStock[SKU],0))),0))</f>
        <v/>
      </c>
      <c r="I131" s="53"/>
      <c r="J131" s="60" t="str">
        <f>IF(OR(tblConteo[[#This Row],[SKU]]="",tblConteo[[#This Row],[Conteo]]=""),"",IF(ISNUMBER(tblConteo[[#This Row],[Conteo]]),tblConteo[[#This Row],[Conteo]]-N(tblConteo[[#This Row],[Sistema]]),""))</f>
        <v/>
      </c>
      <c r="K131" s="63" t="str">
        <f>IF(tblConteo[[#This Row],[Diferencia]]="","",tblConteo[[#This Row],[Diferencia]]*N(INDEX(tblProductos[CostoUnitario],ROW()-ROW(tblConteo[#Headers]))))</f>
        <v/>
      </c>
      <c r="L13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2" spans="2:13" x14ac:dyDescent="0.25">
      <c r="B132" s="43" t="str">
        <f>IF(INDEX(tblProductos[SKU],ROW()-ROW(tblConteo[#Headers]))="","",INDEX(tblProductos[SKU],ROW()-ROW(tblConteo[#Headers])))</f>
        <v/>
      </c>
      <c r="C132" s="50" t="str">
        <f>IF(tblConteo[[#This Row],[SKU]]="","",INDEX(tblProductos[Producto],ROW()-ROW(tblConteo[#Headers])))</f>
        <v/>
      </c>
      <c r="D132" s="50" t="str">
        <f>IF(tblConteo[[#This Row],[SKU]]="","",INDEX(tblProductos[Categoría],ROW()-ROW(tblConteo[#Headers]))&amp;"")</f>
        <v/>
      </c>
      <c r="E132" s="43" t="str">
        <f>IF(tblConteo[[#This Row],[SKU]]="","",INDEX(tblProductos[Ubicación],ROW()-ROW(tblConteo[#Headers]))&amp;"")</f>
        <v/>
      </c>
      <c r="F132" s="43" t="str">
        <f>IF(tblConteo[[#This Row],[SKU]]="","",INDEX(tblProductos[Unidad],ROW()-ROW(tblConteo[#Headers]))&amp;"")</f>
        <v/>
      </c>
      <c r="G132" s="43" t="str">
        <f>IF(tblConteo[[#This Row],[SKU]]="","",IF(INDEX(tblProductos[Activo],ROW()-ROW(tblConteo[#Headers]))="NO","NO","SI"))</f>
        <v/>
      </c>
      <c r="H132" s="54" t="str">
        <f>IF(tblConteo[[#This Row],[SKU]]="","",IFERROR(N(INDEX(tblStock[StockActual],MATCH(tblConteo[[#This Row],[SKU]],tblStock[SKU],0))),0))</f>
        <v/>
      </c>
      <c r="I132" s="53"/>
      <c r="J132" s="60" t="str">
        <f>IF(OR(tblConteo[[#This Row],[SKU]]="",tblConteo[[#This Row],[Conteo]]=""),"",IF(ISNUMBER(tblConteo[[#This Row],[Conteo]]),tblConteo[[#This Row],[Conteo]]-N(tblConteo[[#This Row],[Sistema]]),""))</f>
        <v/>
      </c>
      <c r="K132" s="63" t="str">
        <f>IF(tblConteo[[#This Row],[Diferencia]]="","",tblConteo[[#This Row],[Diferencia]]*N(INDEX(tblProductos[CostoUnitario],ROW()-ROW(tblConteo[#Headers]))))</f>
        <v/>
      </c>
      <c r="L13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3" spans="2:13" x14ac:dyDescent="0.25">
      <c r="B133" s="43" t="str">
        <f>IF(INDEX(tblProductos[SKU],ROW()-ROW(tblConteo[#Headers]))="","",INDEX(tblProductos[SKU],ROW()-ROW(tblConteo[#Headers])))</f>
        <v/>
      </c>
      <c r="C133" s="50" t="str">
        <f>IF(tblConteo[[#This Row],[SKU]]="","",INDEX(tblProductos[Producto],ROW()-ROW(tblConteo[#Headers])))</f>
        <v/>
      </c>
      <c r="D133" s="50" t="str">
        <f>IF(tblConteo[[#This Row],[SKU]]="","",INDEX(tblProductos[Categoría],ROW()-ROW(tblConteo[#Headers]))&amp;"")</f>
        <v/>
      </c>
      <c r="E133" s="43" t="str">
        <f>IF(tblConteo[[#This Row],[SKU]]="","",INDEX(tblProductos[Ubicación],ROW()-ROW(tblConteo[#Headers]))&amp;"")</f>
        <v/>
      </c>
      <c r="F133" s="43" t="str">
        <f>IF(tblConteo[[#This Row],[SKU]]="","",INDEX(tblProductos[Unidad],ROW()-ROW(tblConteo[#Headers]))&amp;"")</f>
        <v/>
      </c>
      <c r="G133" s="43" t="str">
        <f>IF(tblConteo[[#This Row],[SKU]]="","",IF(INDEX(tblProductos[Activo],ROW()-ROW(tblConteo[#Headers]))="NO","NO","SI"))</f>
        <v/>
      </c>
      <c r="H133" s="54" t="str">
        <f>IF(tblConteo[[#This Row],[SKU]]="","",IFERROR(N(INDEX(tblStock[StockActual],MATCH(tblConteo[[#This Row],[SKU]],tblStock[SKU],0))),0))</f>
        <v/>
      </c>
      <c r="I133" s="53"/>
      <c r="J133" s="60" t="str">
        <f>IF(OR(tblConteo[[#This Row],[SKU]]="",tblConteo[[#This Row],[Conteo]]=""),"",IF(ISNUMBER(tblConteo[[#This Row],[Conteo]]),tblConteo[[#This Row],[Conteo]]-N(tblConteo[[#This Row],[Sistema]]),""))</f>
        <v/>
      </c>
      <c r="K133" s="63" t="str">
        <f>IF(tblConteo[[#This Row],[Diferencia]]="","",tblConteo[[#This Row],[Diferencia]]*N(INDEX(tblProductos[CostoUnitario],ROW()-ROW(tblConteo[#Headers]))))</f>
        <v/>
      </c>
      <c r="L13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4" spans="2:13" x14ac:dyDescent="0.25">
      <c r="B134" s="43" t="str">
        <f>IF(INDEX(tblProductos[SKU],ROW()-ROW(tblConteo[#Headers]))="","",INDEX(tblProductos[SKU],ROW()-ROW(tblConteo[#Headers])))</f>
        <v/>
      </c>
      <c r="C134" s="50" t="str">
        <f>IF(tblConteo[[#This Row],[SKU]]="","",INDEX(tblProductos[Producto],ROW()-ROW(tblConteo[#Headers])))</f>
        <v/>
      </c>
      <c r="D134" s="50" t="str">
        <f>IF(tblConteo[[#This Row],[SKU]]="","",INDEX(tblProductos[Categoría],ROW()-ROW(tblConteo[#Headers]))&amp;"")</f>
        <v/>
      </c>
      <c r="E134" s="43" t="str">
        <f>IF(tblConteo[[#This Row],[SKU]]="","",INDEX(tblProductos[Ubicación],ROW()-ROW(tblConteo[#Headers]))&amp;"")</f>
        <v/>
      </c>
      <c r="F134" s="43" t="str">
        <f>IF(tblConteo[[#This Row],[SKU]]="","",INDEX(tblProductos[Unidad],ROW()-ROW(tblConteo[#Headers]))&amp;"")</f>
        <v/>
      </c>
      <c r="G134" s="43" t="str">
        <f>IF(tblConteo[[#This Row],[SKU]]="","",IF(INDEX(tblProductos[Activo],ROW()-ROW(tblConteo[#Headers]))="NO","NO","SI"))</f>
        <v/>
      </c>
      <c r="H134" s="54" t="str">
        <f>IF(tblConteo[[#This Row],[SKU]]="","",IFERROR(N(INDEX(tblStock[StockActual],MATCH(tblConteo[[#This Row],[SKU]],tblStock[SKU],0))),0))</f>
        <v/>
      </c>
      <c r="I134" s="53"/>
      <c r="J134" s="60" t="str">
        <f>IF(OR(tblConteo[[#This Row],[SKU]]="",tblConteo[[#This Row],[Conteo]]=""),"",IF(ISNUMBER(tblConteo[[#This Row],[Conteo]]),tblConteo[[#This Row],[Conteo]]-N(tblConteo[[#This Row],[Sistema]]),""))</f>
        <v/>
      </c>
      <c r="K134" s="63" t="str">
        <f>IF(tblConteo[[#This Row],[Diferencia]]="","",tblConteo[[#This Row],[Diferencia]]*N(INDEX(tblProductos[CostoUnitario],ROW()-ROW(tblConteo[#Headers]))))</f>
        <v/>
      </c>
      <c r="L13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5" spans="2:13" x14ac:dyDescent="0.25">
      <c r="B135" s="43" t="str">
        <f>IF(INDEX(tblProductos[SKU],ROW()-ROW(tblConteo[#Headers]))="","",INDEX(tblProductos[SKU],ROW()-ROW(tblConteo[#Headers])))</f>
        <v/>
      </c>
      <c r="C135" s="50" t="str">
        <f>IF(tblConteo[[#This Row],[SKU]]="","",INDEX(tblProductos[Producto],ROW()-ROW(tblConteo[#Headers])))</f>
        <v/>
      </c>
      <c r="D135" s="50" t="str">
        <f>IF(tblConteo[[#This Row],[SKU]]="","",INDEX(tblProductos[Categoría],ROW()-ROW(tblConteo[#Headers]))&amp;"")</f>
        <v/>
      </c>
      <c r="E135" s="43" t="str">
        <f>IF(tblConteo[[#This Row],[SKU]]="","",INDEX(tblProductos[Ubicación],ROW()-ROW(tblConteo[#Headers]))&amp;"")</f>
        <v/>
      </c>
      <c r="F135" s="43" t="str">
        <f>IF(tblConteo[[#This Row],[SKU]]="","",INDEX(tblProductos[Unidad],ROW()-ROW(tblConteo[#Headers]))&amp;"")</f>
        <v/>
      </c>
      <c r="G135" s="43" t="str">
        <f>IF(tblConteo[[#This Row],[SKU]]="","",IF(INDEX(tblProductos[Activo],ROW()-ROW(tblConteo[#Headers]))="NO","NO","SI"))</f>
        <v/>
      </c>
      <c r="H135" s="54" t="str">
        <f>IF(tblConteo[[#This Row],[SKU]]="","",IFERROR(N(INDEX(tblStock[StockActual],MATCH(tblConteo[[#This Row],[SKU]],tblStock[SKU],0))),0))</f>
        <v/>
      </c>
      <c r="I135" s="53"/>
      <c r="J135" s="60" t="str">
        <f>IF(OR(tblConteo[[#This Row],[SKU]]="",tblConteo[[#This Row],[Conteo]]=""),"",IF(ISNUMBER(tblConteo[[#This Row],[Conteo]]),tblConteo[[#This Row],[Conteo]]-N(tblConteo[[#This Row],[Sistema]]),""))</f>
        <v/>
      </c>
      <c r="K135" s="63" t="str">
        <f>IF(tblConteo[[#This Row],[Diferencia]]="","",tblConteo[[#This Row],[Diferencia]]*N(INDEX(tblProductos[CostoUnitario],ROW()-ROW(tblConteo[#Headers]))))</f>
        <v/>
      </c>
      <c r="L13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6" spans="2:13" x14ac:dyDescent="0.25">
      <c r="B136" s="43" t="str">
        <f>IF(INDEX(tblProductos[SKU],ROW()-ROW(tblConteo[#Headers]))="","",INDEX(tblProductos[SKU],ROW()-ROW(tblConteo[#Headers])))</f>
        <v/>
      </c>
      <c r="C136" s="50" t="str">
        <f>IF(tblConteo[[#This Row],[SKU]]="","",INDEX(tblProductos[Producto],ROW()-ROW(tblConteo[#Headers])))</f>
        <v/>
      </c>
      <c r="D136" s="50" t="str">
        <f>IF(tblConteo[[#This Row],[SKU]]="","",INDEX(tblProductos[Categoría],ROW()-ROW(tblConteo[#Headers]))&amp;"")</f>
        <v/>
      </c>
      <c r="E136" s="43" t="str">
        <f>IF(tblConteo[[#This Row],[SKU]]="","",INDEX(tblProductos[Ubicación],ROW()-ROW(tblConteo[#Headers]))&amp;"")</f>
        <v/>
      </c>
      <c r="F136" s="43" t="str">
        <f>IF(tblConteo[[#This Row],[SKU]]="","",INDEX(tblProductos[Unidad],ROW()-ROW(tblConteo[#Headers]))&amp;"")</f>
        <v/>
      </c>
      <c r="G136" s="43" t="str">
        <f>IF(tblConteo[[#This Row],[SKU]]="","",IF(INDEX(tblProductos[Activo],ROW()-ROW(tblConteo[#Headers]))="NO","NO","SI"))</f>
        <v/>
      </c>
      <c r="H136" s="54" t="str">
        <f>IF(tblConteo[[#This Row],[SKU]]="","",IFERROR(N(INDEX(tblStock[StockActual],MATCH(tblConteo[[#This Row],[SKU]],tblStock[SKU],0))),0))</f>
        <v/>
      </c>
      <c r="I136" s="53"/>
      <c r="J136" s="60" t="str">
        <f>IF(OR(tblConteo[[#This Row],[SKU]]="",tblConteo[[#This Row],[Conteo]]=""),"",IF(ISNUMBER(tblConteo[[#This Row],[Conteo]]),tblConteo[[#This Row],[Conteo]]-N(tblConteo[[#This Row],[Sistema]]),""))</f>
        <v/>
      </c>
      <c r="K136" s="63" t="str">
        <f>IF(tblConteo[[#This Row],[Diferencia]]="","",tblConteo[[#This Row],[Diferencia]]*N(INDEX(tblProductos[CostoUnitario],ROW()-ROW(tblConteo[#Headers]))))</f>
        <v/>
      </c>
      <c r="L13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7" spans="2:13" x14ac:dyDescent="0.25">
      <c r="B137" s="43" t="str">
        <f>IF(INDEX(tblProductos[SKU],ROW()-ROW(tblConteo[#Headers]))="","",INDEX(tblProductos[SKU],ROW()-ROW(tblConteo[#Headers])))</f>
        <v/>
      </c>
      <c r="C137" s="50" t="str">
        <f>IF(tblConteo[[#This Row],[SKU]]="","",INDEX(tblProductos[Producto],ROW()-ROW(tblConteo[#Headers])))</f>
        <v/>
      </c>
      <c r="D137" s="50" t="str">
        <f>IF(tblConteo[[#This Row],[SKU]]="","",INDEX(tblProductos[Categoría],ROW()-ROW(tblConteo[#Headers]))&amp;"")</f>
        <v/>
      </c>
      <c r="E137" s="43" t="str">
        <f>IF(tblConteo[[#This Row],[SKU]]="","",INDEX(tblProductos[Ubicación],ROW()-ROW(tblConteo[#Headers]))&amp;"")</f>
        <v/>
      </c>
      <c r="F137" s="43" t="str">
        <f>IF(tblConteo[[#This Row],[SKU]]="","",INDEX(tblProductos[Unidad],ROW()-ROW(tblConteo[#Headers]))&amp;"")</f>
        <v/>
      </c>
      <c r="G137" s="43" t="str">
        <f>IF(tblConteo[[#This Row],[SKU]]="","",IF(INDEX(tblProductos[Activo],ROW()-ROW(tblConteo[#Headers]))="NO","NO","SI"))</f>
        <v/>
      </c>
      <c r="H137" s="54" t="str">
        <f>IF(tblConteo[[#This Row],[SKU]]="","",IFERROR(N(INDEX(tblStock[StockActual],MATCH(tblConteo[[#This Row],[SKU]],tblStock[SKU],0))),0))</f>
        <v/>
      </c>
      <c r="I137" s="53"/>
      <c r="J137" s="60" t="str">
        <f>IF(OR(tblConteo[[#This Row],[SKU]]="",tblConteo[[#This Row],[Conteo]]=""),"",IF(ISNUMBER(tblConteo[[#This Row],[Conteo]]),tblConteo[[#This Row],[Conteo]]-N(tblConteo[[#This Row],[Sistema]]),""))</f>
        <v/>
      </c>
      <c r="K137" s="63" t="str">
        <f>IF(tblConteo[[#This Row],[Diferencia]]="","",tblConteo[[#This Row],[Diferencia]]*N(INDEX(tblProductos[CostoUnitario],ROW()-ROW(tblConteo[#Headers]))))</f>
        <v/>
      </c>
      <c r="L13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8" spans="2:13" x14ac:dyDescent="0.25">
      <c r="B138" s="43" t="str">
        <f>IF(INDEX(tblProductos[SKU],ROW()-ROW(tblConteo[#Headers]))="","",INDEX(tblProductos[SKU],ROW()-ROW(tblConteo[#Headers])))</f>
        <v/>
      </c>
      <c r="C138" s="50" t="str">
        <f>IF(tblConteo[[#This Row],[SKU]]="","",INDEX(tblProductos[Producto],ROW()-ROW(tblConteo[#Headers])))</f>
        <v/>
      </c>
      <c r="D138" s="50" t="str">
        <f>IF(tblConteo[[#This Row],[SKU]]="","",INDEX(tblProductos[Categoría],ROW()-ROW(tblConteo[#Headers]))&amp;"")</f>
        <v/>
      </c>
      <c r="E138" s="43" t="str">
        <f>IF(tblConteo[[#This Row],[SKU]]="","",INDEX(tblProductos[Ubicación],ROW()-ROW(tblConteo[#Headers]))&amp;"")</f>
        <v/>
      </c>
      <c r="F138" s="43" t="str">
        <f>IF(tblConteo[[#This Row],[SKU]]="","",INDEX(tblProductos[Unidad],ROW()-ROW(tblConteo[#Headers]))&amp;"")</f>
        <v/>
      </c>
      <c r="G138" s="43" t="str">
        <f>IF(tblConteo[[#This Row],[SKU]]="","",IF(INDEX(tblProductos[Activo],ROW()-ROW(tblConteo[#Headers]))="NO","NO","SI"))</f>
        <v/>
      </c>
      <c r="H138" s="54" t="str">
        <f>IF(tblConteo[[#This Row],[SKU]]="","",IFERROR(N(INDEX(tblStock[StockActual],MATCH(tblConteo[[#This Row],[SKU]],tblStock[SKU],0))),0))</f>
        <v/>
      </c>
      <c r="I138" s="53"/>
      <c r="J138" s="60" t="str">
        <f>IF(OR(tblConteo[[#This Row],[SKU]]="",tblConteo[[#This Row],[Conteo]]=""),"",IF(ISNUMBER(tblConteo[[#This Row],[Conteo]]),tblConteo[[#This Row],[Conteo]]-N(tblConteo[[#This Row],[Sistema]]),""))</f>
        <v/>
      </c>
      <c r="K138" s="63" t="str">
        <f>IF(tblConteo[[#This Row],[Diferencia]]="","",tblConteo[[#This Row],[Diferencia]]*N(INDEX(tblProductos[CostoUnitario],ROW()-ROW(tblConteo[#Headers]))))</f>
        <v/>
      </c>
      <c r="L13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39" spans="2:13" x14ac:dyDescent="0.25">
      <c r="B139" s="43" t="str">
        <f>IF(INDEX(tblProductos[SKU],ROW()-ROW(tblConteo[#Headers]))="","",INDEX(tblProductos[SKU],ROW()-ROW(tblConteo[#Headers])))</f>
        <v/>
      </c>
      <c r="C139" s="50" t="str">
        <f>IF(tblConteo[[#This Row],[SKU]]="","",INDEX(tblProductos[Producto],ROW()-ROW(tblConteo[#Headers])))</f>
        <v/>
      </c>
      <c r="D139" s="50" t="str">
        <f>IF(tblConteo[[#This Row],[SKU]]="","",INDEX(tblProductos[Categoría],ROW()-ROW(tblConteo[#Headers]))&amp;"")</f>
        <v/>
      </c>
      <c r="E139" s="43" t="str">
        <f>IF(tblConteo[[#This Row],[SKU]]="","",INDEX(tblProductos[Ubicación],ROW()-ROW(tblConteo[#Headers]))&amp;"")</f>
        <v/>
      </c>
      <c r="F139" s="43" t="str">
        <f>IF(tblConteo[[#This Row],[SKU]]="","",INDEX(tblProductos[Unidad],ROW()-ROW(tblConteo[#Headers]))&amp;"")</f>
        <v/>
      </c>
      <c r="G139" s="43" t="str">
        <f>IF(tblConteo[[#This Row],[SKU]]="","",IF(INDEX(tblProductos[Activo],ROW()-ROW(tblConteo[#Headers]))="NO","NO","SI"))</f>
        <v/>
      </c>
      <c r="H139" s="54" t="str">
        <f>IF(tblConteo[[#This Row],[SKU]]="","",IFERROR(N(INDEX(tblStock[StockActual],MATCH(tblConteo[[#This Row],[SKU]],tblStock[SKU],0))),0))</f>
        <v/>
      </c>
      <c r="I139" s="53"/>
      <c r="J139" s="60" t="str">
        <f>IF(OR(tblConteo[[#This Row],[SKU]]="",tblConteo[[#This Row],[Conteo]]=""),"",IF(ISNUMBER(tblConteo[[#This Row],[Conteo]]),tblConteo[[#This Row],[Conteo]]-N(tblConteo[[#This Row],[Sistema]]),""))</f>
        <v/>
      </c>
      <c r="K139" s="63" t="str">
        <f>IF(tblConteo[[#This Row],[Diferencia]]="","",tblConteo[[#This Row],[Diferencia]]*N(INDEX(tblProductos[CostoUnitario],ROW()-ROW(tblConteo[#Headers]))))</f>
        <v/>
      </c>
      <c r="L13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3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0" spans="2:13" x14ac:dyDescent="0.25">
      <c r="B140" s="43" t="str">
        <f>IF(INDEX(tblProductos[SKU],ROW()-ROW(tblConteo[#Headers]))="","",INDEX(tblProductos[SKU],ROW()-ROW(tblConteo[#Headers])))</f>
        <v/>
      </c>
      <c r="C140" s="50" t="str">
        <f>IF(tblConteo[[#This Row],[SKU]]="","",INDEX(tblProductos[Producto],ROW()-ROW(tblConteo[#Headers])))</f>
        <v/>
      </c>
      <c r="D140" s="50" t="str">
        <f>IF(tblConteo[[#This Row],[SKU]]="","",INDEX(tblProductos[Categoría],ROW()-ROW(tblConteo[#Headers]))&amp;"")</f>
        <v/>
      </c>
      <c r="E140" s="43" t="str">
        <f>IF(tblConteo[[#This Row],[SKU]]="","",INDEX(tblProductos[Ubicación],ROW()-ROW(tblConteo[#Headers]))&amp;"")</f>
        <v/>
      </c>
      <c r="F140" s="43" t="str">
        <f>IF(tblConteo[[#This Row],[SKU]]="","",INDEX(tblProductos[Unidad],ROW()-ROW(tblConteo[#Headers]))&amp;"")</f>
        <v/>
      </c>
      <c r="G140" s="43" t="str">
        <f>IF(tblConteo[[#This Row],[SKU]]="","",IF(INDEX(tblProductos[Activo],ROW()-ROW(tblConteo[#Headers]))="NO","NO","SI"))</f>
        <v/>
      </c>
      <c r="H140" s="54" t="str">
        <f>IF(tblConteo[[#This Row],[SKU]]="","",IFERROR(N(INDEX(tblStock[StockActual],MATCH(tblConteo[[#This Row],[SKU]],tblStock[SKU],0))),0))</f>
        <v/>
      </c>
      <c r="I140" s="53"/>
      <c r="J140" s="60" t="str">
        <f>IF(OR(tblConteo[[#This Row],[SKU]]="",tblConteo[[#This Row],[Conteo]]=""),"",IF(ISNUMBER(tblConteo[[#This Row],[Conteo]]),tblConteo[[#This Row],[Conteo]]-N(tblConteo[[#This Row],[Sistema]]),""))</f>
        <v/>
      </c>
      <c r="K140" s="63" t="str">
        <f>IF(tblConteo[[#This Row],[Diferencia]]="","",tblConteo[[#This Row],[Diferencia]]*N(INDEX(tblProductos[CostoUnitario],ROW()-ROW(tblConteo[#Headers]))))</f>
        <v/>
      </c>
      <c r="L14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1" spans="2:13" x14ac:dyDescent="0.25">
      <c r="B141" s="43" t="str">
        <f>IF(INDEX(tblProductos[SKU],ROW()-ROW(tblConteo[#Headers]))="","",INDEX(tblProductos[SKU],ROW()-ROW(tblConteo[#Headers])))</f>
        <v/>
      </c>
      <c r="C141" s="50" t="str">
        <f>IF(tblConteo[[#This Row],[SKU]]="","",INDEX(tblProductos[Producto],ROW()-ROW(tblConteo[#Headers])))</f>
        <v/>
      </c>
      <c r="D141" s="50" t="str">
        <f>IF(tblConteo[[#This Row],[SKU]]="","",INDEX(tblProductos[Categoría],ROW()-ROW(tblConteo[#Headers]))&amp;"")</f>
        <v/>
      </c>
      <c r="E141" s="43" t="str">
        <f>IF(tblConteo[[#This Row],[SKU]]="","",INDEX(tblProductos[Ubicación],ROW()-ROW(tblConteo[#Headers]))&amp;"")</f>
        <v/>
      </c>
      <c r="F141" s="43" t="str">
        <f>IF(tblConteo[[#This Row],[SKU]]="","",INDEX(tblProductos[Unidad],ROW()-ROW(tblConteo[#Headers]))&amp;"")</f>
        <v/>
      </c>
      <c r="G141" s="43" t="str">
        <f>IF(tblConteo[[#This Row],[SKU]]="","",IF(INDEX(tblProductos[Activo],ROW()-ROW(tblConteo[#Headers]))="NO","NO","SI"))</f>
        <v/>
      </c>
      <c r="H141" s="54" t="str">
        <f>IF(tblConteo[[#This Row],[SKU]]="","",IFERROR(N(INDEX(tblStock[StockActual],MATCH(tblConteo[[#This Row],[SKU]],tblStock[SKU],0))),0))</f>
        <v/>
      </c>
      <c r="I141" s="53"/>
      <c r="J141" s="60" t="str">
        <f>IF(OR(tblConteo[[#This Row],[SKU]]="",tblConteo[[#This Row],[Conteo]]=""),"",IF(ISNUMBER(tblConteo[[#This Row],[Conteo]]),tblConteo[[#This Row],[Conteo]]-N(tblConteo[[#This Row],[Sistema]]),""))</f>
        <v/>
      </c>
      <c r="K141" s="63" t="str">
        <f>IF(tblConteo[[#This Row],[Diferencia]]="","",tblConteo[[#This Row],[Diferencia]]*N(INDEX(tblProductos[CostoUnitario],ROW()-ROW(tblConteo[#Headers]))))</f>
        <v/>
      </c>
      <c r="L14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2" spans="2:13" x14ac:dyDescent="0.25">
      <c r="B142" s="43" t="str">
        <f>IF(INDEX(tblProductos[SKU],ROW()-ROW(tblConteo[#Headers]))="","",INDEX(tblProductos[SKU],ROW()-ROW(tblConteo[#Headers])))</f>
        <v/>
      </c>
      <c r="C142" s="50" t="str">
        <f>IF(tblConteo[[#This Row],[SKU]]="","",INDEX(tblProductos[Producto],ROW()-ROW(tblConteo[#Headers])))</f>
        <v/>
      </c>
      <c r="D142" s="50" t="str">
        <f>IF(tblConteo[[#This Row],[SKU]]="","",INDEX(tblProductos[Categoría],ROW()-ROW(tblConteo[#Headers]))&amp;"")</f>
        <v/>
      </c>
      <c r="E142" s="43" t="str">
        <f>IF(tblConteo[[#This Row],[SKU]]="","",INDEX(tblProductos[Ubicación],ROW()-ROW(tblConteo[#Headers]))&amp;"")</f>
        <v/>
      </c>
      <c r="F142" s="43" t="str">
        <f>IF(tblConteo[[#This Row],[SKU]]="","",INDEX(tblProductos[Unidad],ROW()-ROW(tblConteo[#Headers]))&amp;"")</f>
        <v/>
      </c>
      <c r="G142" s="43" t="str">
        <f>IF(tblConteo[[#This Row],[SKU]]="","",IF(INDEX(tblProductos[Activo],ROW()-ROW(tblConteo[#Headers]))="NO","NO","SI"))</f>
        <v/>
      </c>
      <c r="H142" s="54" t="str">
        <f>IF(tblConteo[[#This Row],[SKU]]="","",IFERROR(N(INDEX(tblStock[StockActual],MATCH(tblConteo[[#This Row],[SKU]],tblStock[SKU],0))),0))</f>
        <v/>
      </c>
      <c r="I142" s="53"/>
      <c r="J142" s="60" t="str">
        <f>IF(OR(tblConteo[[#This Row],[SKU]]="",tblConteo[[#This Row],[Conteo]]=""),"",IF(ISNUMBER(tblConteo[[#This Row],[Conteo]]),tblConteo[[#This Row],[Conteo]]-N(tblConteo[[#This Row],[Sistema]]),""))</f>
        <v/>
      </c>
      <c r="K142" s="63" t="str">
        <f>IF(tblConteo[[#This Row],[Diferencia]]="","",tblConteo[[#This Row],[Diferencia]]*N(INDEX(tblProductos[CostoUnitario],ROW()-ROW(tblConteo[#Headers]))))</f>
        <v/>
      </c>
      <c r="L14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3" spans="2:13" x14ac:dyDescent="0.25">
      <c r="B143" s="43" t="str">
        <f>IF(INDEX(tblProductos[SKU],ROW()-ROW(tblConteo[#Headers]))="","",INDEX(tblProductos[SKU],ROW()-ROW(tblConteo[#Headers])))</f>
        <v/>
      </c>
      <c r="C143" s="50" t="str">
        <f>IF(tblConteo[[#This Row],[SKU]]="","",INDEX(tblProductos[Producto],ROW()-ROW(tblConteo[#Headers])))</f>
        <v/>
      </c>
      <c r="D143" s="50" t="str">
        <f>IF(tblConteo[[#This Row],[SKU]]="","",INDEX(tblProductos[Categoría],ROW()-ROW(tblConteo[#Headers]))&amp;"")</f>
        <v/>
      </c>
      <c r="E143" s="43" t="str">
        <f>IF(tblConteo[[#This Row],[SKU]]="","",INDEX(tblProductos[Ubicación],ROW()-ROW(tblConteo[#Headers]))&amp;"")</f>
        <v/>
      </c>
      <c r="F143" s="43" t="str">
        <f>IF(tblConteo[[#This Row],[SKU]]="","",INDEX(tblProductos[Unidad],ROW()-ROW(tblConteo[#Headers]))&amp;"")</f>
        <v/>
      </c>
      <c r="G143" s="43" t="str">
        <f>IF(tblConteo[[#This Row],[SKU]]="","",IF(INDEX(tblProductos[Activo],ROW()-ROW(tblConteo[#Headers]))="NO","NO","SI"))</f>
        <v/>
      </c>
      <c r="H143" s="54" t="str">
        <f>IF(tblConteo[[#This Row],[SKU]]="","",IFERROR(N(INDEX(tblStock[StockActual],MATCH(tblConteo[[#This Row],[SKU]],tblStock[SKU],0))),0))</f>
        <v/>
      </c>
      <c r="I143" s="53"/>
      <c r="J143" s="60" t="str">
        <f>IF(OR(tblConteo[[#This Row],[SKU]]="",tblConteo[[#This Row],[Conteo]]=""),"",IF(ISNUMBER(tblConteo[[#This Row],[Conteo]]),tblConteo[[#This Row],[Conteo]]-N(tblConteo[[#This Row],[Sistema]]),""))</f>
        <v/>
      </c>
      <c r="K143" s="63" t="str">
        <f>IF(tblConteo[[#This Row],[Diferencia]]="","",tblConteo[[#This Row],[Diferencia]]*N(INDEX(tblProductos[CostoUnitario],ROW()-ROW(tblConteo[#Headers]))))</f>
        <v/>
      </c>
      <c r="L14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4" spans="2:13" x14ac:dyDescent="0.25">
      <c r="B144" s="43" t="str">
        <f>IF(INDEX(tblProductos[SKU],ROW()-ROW(tblConteo[#Headers]))="","",INDEX(tblProductos[SKU],ROW()-ROW(tblConteo[#Headers])))</f>
        <v/>
      </c>
      <c r="C144" s="50" t="str">
        <f>IF(tblConteo[[#This Row],[SKU]]="","",INDEX(tblProductos[Producto],ROW()-ROW(tblConteo[#Headers])))</f>
        <v/>
      </c>
      <c r="D144" s="50" t="str">
        <f>IF(tblConteo[[#This Row],[SKU]]="","",INDEX(tblProductos[Categoría],ROW()-ROW(tblConteo[#Headers]))&amp;"")</f>
        <v/>
      </c>
      <c r="E144" s="43" t="str">
        <f>IF(tblConteo[[#This Row],[SKU]]="","",INDEX(tblProductos[Ubicación],ROW()-ROW(tblConteo[#Headers]))&amp;"")</f>
        <v/>
      </c>
      <c r="F144" s="43" t="str">
        <f>IF(tblConteo[[#This Row],[SKU]]="","",INDEX(tblProductos[Unidad],ROW()-ROW(tblConteo[#Headers]))&amp;"")</f>
        <v/>
      </c>
      <c r="G144" s="43" t="str">
        <f>IF(tblConteo[[#This Row],[SKU]]="","",IF(INDEX(tblProductos[Activo],ROW()-ROW(tblConteo[#Headers]))="NO","NO","SI"))</f>
        <v/>
      </c>
      <c r="H144" s="54" t="str">
        <f>IF(tblConteo[[#This Row],[SKU]]="","",IFERROR(N(INDEX(tblStock[StockActual],MATCH(tblConteo[[#This Row],[SKU]],tblStock[SKU],0))),0))</f>
        <v/>
      </c>
      <c r="I144" s="53"/>
      <c r="J144" s="60" t="str">
        <f>IF(OR(tblConteo[[#This Row],[SKU]]="",tblConteo[[#This Row],[Conteo]]=""),"",IF(ISNUMBER(tblConteo[[#This Row],[Conteo]]),tblConteo[[#This Row],[Conteo]]-N(tblConteo[[#This Row],[Sistema]]),""))</f>
        <v/>
      </c>
      <c r="K144" s="63" t="str">
        <f>IF(tblConteo[[#This Row],[Diferencia]]="","",tblConteo[[#This Row],[Diferencia]]*N(INDEX(tblProductos[CostoUnitario],ROW()-ROW(tblConteo[#Headers]))))</f>
        <v/>
      </c>
      <c r="L14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5" spans="2:13" x14ac:dyDescent="0.25">
      <c r="B145" s="43" t="str">
        <f>IF(INDEX(tblProductos[SKU],ROW()-ROW(tblConteo[#Headers]))="","",INDEX(tblProductos[SKU],ROW()-ROW(tblConteo[#Headers])))</f>
        <v/>
      </c>
      <c r="C145" s="50" t="str">
        <f>IF(tblConteo[[#This Row],[SKU]]="","",INDEX(tblProductos[Producto],ROW()-ROW(tblConteo[#Headers])))</f>
        <v/>
      </c>
      <c r="D145" s="50" t="str">
        <f>IF(tblConteo[[#This Row],[SKU]]="","",INDEX(tblProductos[Categoría],ROW()-ROW(tblConteo[#Headers]))&amp;"")</f>
        <v/>
      </c>
      <c r="E145" s="43" t="str">
        <f>IF(tblConteo[[#This Row],[SKU]]="","",INDEX(tblProductos[Ubicación],ROW()-ROW(tblConteo[#Headers]))&amp;"")</f>
        <v/>
      </c>
      <c r="F145" s="43" t="str">
        <f>IF(tblConteo[[#This Row],[SKU]]="","",INDEX(tblProductos[Unidad],ROW()-ROW(tblConteo[#Headers]))&amp;"")</f>
        <v/>
      </c>
      <c r="G145" s="43" t="str">
        <f>IF(tblConteo[[#This Row],[SKU]]="","",IF(INDEX(tblProductos[Activo],ROW()-ROW(tblConteo[#Headers]))="NO","NO","SI"))</f>
        <v/>
      </c>
      <c r="H145" s="54" t="str">
        <f>IF(tblConteo[[#This Row],[SKU]]="","",IFERROR(N(INDEX(tblStock[StockActual],MATCH(tblConteo[[#This Row],[SKU]],tblStock[SKU],0))),0))</f>
        <v/>
      </c>
      <c r="I145" s="53"/>
      <c r="J145" s="60" t="str">
        <f>IF(OR(tblConteo[[#This Row],[SKU]]="",tblConteo[[#This Row],[Conteo]]=""),"",IF(ISNUMBER(tblConteo[[#This Row],[Conteo]]),tblConteo[[#This Row],[Conteo]]-N(tblConteo[[#This Row],[Sistema]]),""))</f>
        <v/>
      </c>
      <c r="K145" s="63" t="str">
        <f>IF(tblConteo[[#This Row],[Diferencia]]="","",tblConteo[[#This Row],[Diferencia]]*N(INDEX(tblProductos[CostoUnitario],ROW()-ROW(tblConteo[#Headers]))))</f>
        <v/>
      </c>
      <c r="L14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6" spans="2:13" x14ac:dyDescent="0.25">
      <c r="B146" s="43" t="str">
        <f>IF(INDEX(tblProductos[SKU],ROW()-ROW(tblConteo[#Headers]))="","",INDEX(tblProductos[SKU],ROW()-ROW(tblConteo[#Headers])))</f>
        <v/>
      </c>
      <c r="C146" s="50" t="str">
        <f>IF(tblConteo[[#This Row],[SKU]]="","",INDEX(tblProductos[Producto],ROW()-ROW(tblConteo[#Headers])))</f>
        <v/>
      </c>
      <c r="D146" s="50" t="str">
        <f>IF(tblConteo[[#This Row],[SKU]]="","",INDEX(tblProductos[Categoría],ROW()-ROW(tblConteo[#Headers]))&amp;"")</f>
        <v/>
      </c>
      <c r="E146" s="43" t="str">
        <f>IF(tblConteo[[#This Row],[SKU]]="","",INDEX(tblProductos[Ubicación],ROW()-ROW(tblConteo[#Headers]))&amp;"")</f>
        <v/>
      </c>
      <c r="F146" s="43" t="str">
        <f>IF(tblConteo[[#This Row],[SKU]]="","",INDEX(tblProductos[Unidad],ROW()-ROW(tblConteo[#Headers]))&amp;"")</f>
        <v/>
      </c>
      <c r="G146" s="43" t="str">
        <f>IF(tblConteo[[#This Row],[SKU]]="","",IF(INDEX(tblProductos[Activo],ROW()-ROW(tblConteo[#Headers]))="NO","NO","SI"))</f>
        <v/>
      </c>
      <c r="H146" s="54" t="str">
        <f>IF(tblConteo[[#This Row],[SKU]]="","",IFERROR(N(INDEX(tblStock[StockActual],MATCH(tblConteo[[#This Row],[SKU]],tblStock[SKU],0))),0))</f>
        <v/>
      </c>
      <c r="I146" s="53"/>
      <c r="J146" s="60" t="str">
        <f>IF(OR(tblConteo[[#This Row],[SKU]]="",tblConteo[[#This Row],[Conteo]]=""),"",IF(ISNUMBER(tblConteo[[#This Row],[Conteo]]),tblConteo[[#This Row],[Conteo]]-N(tblConteo[[#This Row],[Sistema]]),""))</f>
        <v/>
      </c>
      <c r="K146" s="63" t="str">
        <f>IF(tblConteo[[#This Row],[Diferencia]]="","",tblConteo[[#This Row],[Diferencia]]*N(INDEX(tblProductos[CostoUnitario],ROW()-ROW(tblConteo[#Headers]))))</f>
        <v/>
      </c>
      <c r="L14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7" spans="2:13" x14ac:dyDescent="0.25">
      <c r="B147" s="43" t="str">
        <f>IF(INDEX(tblProductos[SKU],ROW()-ROW(tblConteo[#Headers]))="","",INDEX(tblProductos[SKU],ROW()-ROW(tblConteo[#Headers])))</f>
        <v/>
      </c>
      <c r="C147" s="50" t="str">
        <f>IF(tblConteo[[#This Row],[SKU]]="","",INDEX(tblProductos[Producto],ROW()-ROW(tblConteo[#Headers])))</f>
        <v/>
      </c>
      <c r="D147" s="50" t="str">
        <f>IF(tblConteo[[#This Row],[SKU]]="","",INDEX(tblProductos[Categoría],ROW()-ROW(tblConteo[#Headers]))&amp;"")</f>
        <v/>
      </c>
      <c r="E147" s="43" t="str">
        <f>IF(tblConteo[[#This Row],[SKU]]="","",INDEX(tblProductos[Ubicación],ROW()-ROW(tblConteo[#Headers]))&amp;"")</f>
        <v/>
      </c>
      <c r="F147" s="43" t="str">
        <f>IF(tblConteo[[#This Row],[SKU]]="","",INDEX(tblProductos[Unidad],ROW()-ROW(tblConteo[#Headers]))&amp;"")</f>
        <v/>
      </c>
      <c r="G147" s="43" t="str">
        <f>IF(tblConteo[[#This Row],[SKU]]="","",IF(INDEX(tblProductos[Activo],ROW()-ROW(tblConteo[#Headers]))="NO","NO","SI"))</f>
        <v/>
      </c>
      <c r="H147" s="54" t="str">
        <f>IF(tblConteo[[#This Row],[SKU]]="","",IFERROR(N(INDEX(tblStock[StockActual],MATCH(tblConteo[[#This Row],[SKU]],tblStock[SKU],0))),0))</f>
        <v/>
      </c>
      <c r="I147" s="53"/>
      <c r="J147" s="60" t="str">
        <f>IF(OR(tblConteo[[#This Row],[SKU]]="",tblConteo[[#This Row],[Conteo]]=""),"",IF(ISNUMBER(tblConteo[[#This Row],[Conteo]]),tblConteo[[#This Row],[Conteo]]-N(tblConteo[[#This Row],[Sistema]]),""))</f>
        <v/>
      </c>
      <c r="K147" s="63" t="str">
        <f>IF(tblConteo[[#This Row],[Diferencia]]="","",tblConteo[[#This Row],[Diferencia]]*N(INDEX(tblProductos[CostoUnitario],ROW()-ROW(tblConteo[#Headers]))))</f>
        <v/>
      </c>
      <c r="L14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8" spans="2:13" x14ac:dyDescent="0.25">
      <c r="B148" s="43" t="str">
        <f>IF(INDEX(tblProductos[SKU],ROW()-ROW(tblConteo[#Headers]))="","",INDEX(tblProductos[SKU],ROW()-ROW(tblConteo[#Headers])))</f>
        <v/>
      </c>
      <c r="C148" s="50" t="str">
        <f>IF(tblConteo[[#This Row],[SKU]]="","",INDEX(tblProductos[Producto],ROW()-ROW(tblConteo[#Headers])))</f>
        <v/>
      </c>
      <c r="D148" s="50" t="str">
        <f>IF(tblConteo[[#This Row],[SKU]]="","",INDEX(tblProductos[Categoría],ROW()-ROW(tblConteo[#Headers]))&amp;"")</f>
        <v/>
      </c>
      <c r="E148" s="43" t="str">
        <f>IF(tblConteo[[#This Row],[SKU]]="","",INDEX(tblProductos[Ubicación],ROW()-ROW(tblConteo[#Headers]))&amp;"")</f>
        <v/>
      </c>
      <c r="F148" s="43" t="str">
        <f>IF(tblConteo[[#This Row],[SKU]]="","",INDEX(tblProductos[Unidad],ROW()-ROW(tblConteo[#Headers]))&amp;"")</f>
        <v/>
      </c>
      <c r="G148" s="43" t="str">
        <f>IF(tblConteo[[#This Row],[SKU]]="","",IF(INDEX(tblProductos[Activo],ROW()-ROW(tblConteo[#Headers]))="NO","NO","SI"))</f>
        <v/>
      </c>
      <c r="H148" s="54" t="str">
        <f>IF(tblConteo[[#This Row],[SKU]]="","",IFERROR(N(INDEX(tblStock[StockActual],MATCH(tblConteo[[#This Row],[SKU]],tblStock[SKU],0))),0))</f>
        <v/>
      </c>
      <c r="I148" s="53"/>
      <c r="J148" s="60" t="str">
        <f>IF(OR(tblConteo[[#This Row],[SKU]]="",tblConteo[[#This Row],[Conteo]]=""),"",IF(ISNUMBER(tblConteo[[#This Row],[Conteo]]),tblConteo[[#This Row],[Conteo]]-N(tblConteo[[#This Row],[Sistema]]),""))</f>
        <v/>
      </c>
      <c r="K148" s="63" t="str">
        <f>IF(tblConteo[[#This Row],[Diferencia]]="","",tblConteo[[#This Row],[Diferencia]]*N(INDEX(tblProductos[CostoUnitario],ROW()-ROW(tblConteo[#Headers]))))</f>
        <v/>
      </c>
      <c r="L14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49" spans="2:13" x14ac:dyDescent="0.25">
      <c r="B149" s="43" t="str">
        <f>IF(INDEX(tblProductos[SKU],ROW()-ROW(tblConteo[#Headers]))="","",INDEX(tblProductos[SKU],ROW()-ROW(tblConteo[#Headers])))</f>
        <v/>
      </c>
      <c r="C149" s="50" t="str">
        <f>IF(tblConteo[[#This Row],[SKU]]="","",INDEX(tblProductos[Producto],ROW()-ROW(tblConteo[#Headers])))</f>
        <v/>
      </c>
      <c r="D149" s="50" t="str">
        <f>IF(tblConteo[[#This Row],[SKU]]="","",INDEX(tblProductos[Categoría],ROW()-ROW(tblConteo[#Headers]))&amp;"")</f>
        <v/>
      </c>
      <c r="E149" s="43" t="str">
        <f>IF(tblConteo[[#This Row],[SKU]]="","",INDEX(tblProductos[Ubicación],ROW()-ROW(tblConteo[#Headers]))&amp;"")</f>
        <v/>
      </c>
      <c r="F149" s="43" t="str">
        <f>IF(tblConteo[[#This Row],[SKU]]="","",INDEX(tblProductos[Unidad],ROW()-ROW(tblConteo[#Headers]))&amp;"")</f>
        <v/>
      </c>
      <c r="G149" s="43" t="str">
        <f>IF(tblConteo[[#This Row],[SKU]]="","",IF(INDEX(tblProductos[Activo],ROW()-ROW(tblConteo[#Headers]))="NO","NO","SI"))</f>
        <v/>
      </c>
      <c r="H149" s="54" t="str">
        <f>IF(tblConteo[[#This Row],[SKU]]="","",IFERROR(N(INDEX(tblStock[StockActual],MATCH(tblConteo[[#This Row],[SKU]],tblStock[SKU],0))),0))</f>
        <v/>
      </c>
      <c r="I149" s="53"/>
      <c r="J149" s="60" t="str">
        <f>IF(OR(tblConteo[[#This Row],[SKU]]="",tblConteo[[#This Row],[Conteo]]=""),"",IF(ISNUMBER(tblConteo[[#This Row],[Conteo]]),tblConteo[[#This Row],[Conteo]]-N(tblConteo[[#This Row],[Sistema]]),""))</f>
        <v/>
      </c>
      <c r="K149" s="63" t="str">
        <f>IF(tblConteo[[#This Row],[Diferencia]]="","",tblConteo[[#This Row],[Diferencia]]*N(INDEX(tblProductos[CostoUnitario],ROW()-ROW(tblConteo[#Headers]))))</f>
        <v/>
      </c>
      <c r="L14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4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0" spans="2:13" x14ac:dyDescent="0.25">
      <c r="B150" s="43" t="str">
        <f>IF(INDEX(tblProductos[SKU],ROW()-ROW(tblConteo[#Headers]))="","",INDEX(tblProductos[SKU],ROW()-ROW(tblConteo[#Headers])))</f>
        <v/>
      </c>
      <c r="C150" s="50" t="str">
        <f>IF(tblConteo[[#This Row],[SKU]]="","",INDEX(tblProductos[Producto],ROW()-ROW(tblConteo[#Headers])))</f>
        <v/>
      </c>
      <c r="D150" s="50" t="str">
        <f>IF(tblConteo[[#This Row],[SKU]]="","",INDEX(tblProductos[Categoría],ROW()-ROW(tblConteo[#Headers]))&amp;"")</f>
        <v/>
      </c>
      <c r="E150" s="43" t="str">
        <f>IF(tblConteo[[#This Row],[SKU]]="","",INDEX(tblProductos[Ubicación],ROW()-ROW(tblConteo[#Headers]))&amp;"")</f>
        <v/>
      </c>
      <c r="F150" s="43" t="str">
        <f>IF(tblConteo[[#This Row],[SKU]]="","",INDEX(tblProductos[Unidad],ROW()-ROW(tblConteo[#Headers]))&amp;"")</f>
        <v/>
      </c>
      <c r="G150" s="43" t="str">
        <f>IF(tblConteo[[#This Row],[SKU]]="","",IF(INDEX(tblProductos[Activo],ROW()-ROW(tblConteo[#Headers]))="NO","NO","SI"))</f>
        <v/>
      </c>
      <c r="H150" s="54" t="str">
        <f>IF(tblConteo[[#This Row],[SKU]]="","",IFERROR(N(INDEX(tblStock[StockActual],MATCH(tblConteo[[#This Row],[SKU]],tblStock[SKU],0))),0))</f>
        <v/>
      </c>
      <c r="I150" s="53"/>
      <c r="J150" s="60" t="str">
        <f>IF(OR(tblConteo[[#This Row],[SKU]]="",tblConteo[[#This Row],[Conteo]]=""),"",IF(ISNUMBER(tblConteo[[#This Row],[Conteo]]),tblConteo[[#This Row],[Conteo]]-N(tblConteo[[#This Row],[Sistema]]),""))</f>
        <v/>
      </c>
      <c r="K150" s="63" t="str">
        <f>IF(tblConteo[[#This Row],[Diferencia]]="","",tblConteo[[#This Row],[Diferencia]]*N(INDEX(tblProductos[CostoUnitario],ROW()-ROW(tblConteo[#Headers]))))</f>
        <v/>
      </c>
      <c r="L15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1" spans="2:13" x14ac:dyDescent="0.25">
      <c r="B151" s="43" t="str">
        <f>IF(INDEX(tblProductos[SKU],ROW()-ROW(tblConteo[#Headers]))="","",INDEX(tblProductos[SKU],ROW()-ROW(tblConteo[#Headers])))</f>
        <v/>
      </c>
      <c r="C151" s="50" t="str">
        <f>IF(tblConteo[[#This Row],[SKU]]="","",INDEX(tblProductos[Producto],ROW()-ROW(tblConteo[#Headers])))</f>
        <v/>
      </c>
      <c r="D151" s="50" t="str">
        <f>IF(tblConteo[[#This Row],[SKU]]="","",INDEX(tblProductos[Categoría],ROW()-ROW(tblConteo[#Headers]))&amp;"")</f>
        <v/>
      </c>
      <c r="E151" s="43" t="str">
        <f>IF(tblConteo[[#This Row],[SKU]]="","",INDEX(tblProductos[Ubicación],ROW()-ROW(tblConteo[#Headers]))&amp;"")</f>
        <v/>
      </c>
      <c r="F151" s="43" t="str">
        <f>IF(tblConteo[[#This Row],[SKU]]="","",INDEX(tblProductos[Unidad],ROW()-ROW(tblConteo[#Headers]))&amp;"")</f>
        <v/>
      </c>
      <c r="G151" s="43" t="str">
        <f>IF(tblConteo[[#This Row],[SKU]]="","",IF(INDEX(tblProductos[Activo],ROW()-ROW(tblConteo[#Headers]))="NO","NO","SI"))</f>
        <v/>
      </c>
      <c r="H151" s="54" t="str">
        <f>IF(tblConteo[[#This Row],[SKU]]="","",IFERROR(N(INDEX(tblStock[StockActual],MATCH(tblConteo[[#This Row],[SKU]],tblStock[SKU],0))),0))</f>
        <v/>
      </c>
      <c r="I151" s="53"/>
      <c r="J151" s="60" t="str">
        <f>IF(OR(tblConteo[[#This Row],[SKU]]="",tblConteo[[#This Row],[Conteo]]=""),"",IF(ISNUMBER(tblConteo[[#This Row],[Conteo]]),tblConteo[[#This Row],[Conteo]]-N(tblConteo[[#This Row],[Sistema]]),""))</f>
        <v/>
      </c>
      <c r="K151" s="63" t="str">
        <f>IF(tblConteo[[#This Row],[Diferencia]]="","",tblConteo[[#This Row],[Diferencia]]*N(INDEX(tblProductos[CostoUnitario],ROW()-ROW(tblConteo[#Headers]))))</f>
        <v/>
      </c>
      <c r="L15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2" spans="2:13" x14ac:dyDescent="0.25">
      <c r="B152" s="43" t="str">
        <f>IF(INDEX(tblProductos[SKU],ROW()-ROW(tblConteo[#Headers]))="","",INDEX(tblProductos[SKU],ROW()-ROW(tblConteo[#Headers])))</f>
        <v/>
      </c>
      <c r="C152" s="50" t="str">
        <f>IF(tblConteo[[#This Row],[SKU]]="","",INDEX(tblProductos[Producto],ROW()-ROW(tblConteo[#Headers])))</f>
        <v/>
      </c>
      <c r="D152" s="50" t="str">
        <f>IF(tblConteo[[#This Row],[SKU]]="","",INDEX(tblProductos[Categoría],ROW()-ROW(tblConteo[#Headers]))&amp;"")</f>
        <v/>
      </c>
      <c r="E152" s="43" t="str">
        <f>IF(tblConteo[[#This Row],[SKU]]="","",INDEX(tblProductos[Ubicación],ROW()-ROW(tblConteo[#Headers]))&amp;"")</f>
        <v/>
      </c>
      <c r="F152" s="43" t="str">
        <f>IF(tblConteo[[#This Row],[SKU]]="","",INDEX(tblProductos[Unidad],ROW()-ROW(tblConteo[#Headers]))&amp;"")</f>
        <v/>
      </c>
      <c r="G152" s="43" t="str">
        <f>IF(tblConteo[[#This Row],[SKU]]="","",IF(INDEX(tblProductos[Activo],ROW()-ROW(tblConteo[#Headers]))="NO","NO","SI"))</f>
        <v/>
      </c>
      <c r="H152" s="54" t="str">
        <f>IF(tblConteo[[#This Row],[SKU]]="","",IFERROR(N(INDEX(tblStock[StockActual],MATCH(tblConteo[[#This Row],[SKU]],tblStock[SKU],0))),0))</f>
        <v/>
      </c>
      <c r="I152" s="53"/>
      <c r="J152" s="60" t="str">
        <f>IF(OR(tblConteo[[#This Row],[SKU]]="",tblConteo[[#This Row],[Conteo]]=""),"",IF(ISNUMBER(tblConteo[[#This Row],[Conteo]]),tblConteo[[#This Row],[Conteo]]-N(tblConteo[[#This Row],[Sistema]]),""))</f>
        <v/>
      </c>
      <c r="K152" s="63" t="str">
        <f>IF(tblConteo[[#This Row],[Diferencia]]="","",tblConteo[[#This Row],[Diferencia]]*N(INDEX(tblProductos[CostoUnitario],ROW()-ROW(tblConteo[#Headers]))))</f>
        <v/>
      </c>
      <c r="L15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3" spans="2:13" x14ac:dyDescent="0.25">
      <c r="B153" s="43" t="str">
        <f>IF(INDEX(tblProductos[SKU],ROW()-ROW(tblConteo[#Headers]))="","",INDEX(tblProductos[SKU],ROW()-ROW(tblConteo[#Headers])))</f>
        <v/>
      </c>
      <c r="C153" s="50" t="str">
        <f>IF(tblConteo[[#This Row],[SKU]]="","",INDEX(tblProductos[Producto],ROW()-ROW(tblConteo[#Headers])))</f>
        <v/>
      </c>
      <c r="D153" s="50" t="str">
        <f>IF(tblConteo[[#This Row],[SKU]]="","",INDEX(tblProductos[Categoría],ROW()-ROW(tblConteo[#Headers]))&amp;"")</f>
        <v/>
      </c>
      <c r="E153" s="43" t="str">
        <f>IF(tblConteo[[#This Row],[SKU]]="","",INDEX(tblProductos[Ubicación],ROW()-ROW(tblConteo[#Headers]))&amp;"")</f>
        <v/>
      </c>
      <c r="F153" s="43" t="str">
        <f>IF(tblConteo[[#This Row],[SKU]]="","",INDEX(tblProductos[Unidad],ROW()-ROW(tblConteo[#Headers]))&amp;"")</f>
        <v/>
      </c>
      <c r="G153" s="43" t="str">
        <f>IF(tblConteo[[#This Row],[SKU]]="","",IF(INDEX(tblProductos[Activo],ROW()-ROW(tblConteo[#Headers]))="NO","NO","SI"))</f>
        <v/>
      </c>
      <c r="H153" s="54" t="str">
        <f>IF(tblConteo[[#This Row],[SKU]]="","",IFERROR(N(INDEX(tblStock[StockActual],MATCH(tblConteo[[#This Row],[SKU]],tblStock[SKU],0))),0))</f>
        <v/>
      </c>
      <c r="I153" s="53"/>
      <c r="J153" s="60" t="str">
        <f>IF(OR(tblConteo[[#This Row],[SKU]]="",tblConteo[[#This Row],[Conteo]]=""),"",IF(ISNUMBER(tblConteo[[#This Row],[Conteo]]),tblConteo[[#This Row],[Conteo]]-N(tblConteo[[#This Row],[Sistema]]),""))</f>
        <v/>
      </c>
      <c r="K153" s="63" t="str">
        <f>IF(tblConteo[[#This Row],[Diferencia]]="","",tblConteo[[#This Row],[Diferencia]]*N(INDEX(tblProductos[CostoUnitario],ROW()-ROW(tblConteo[#Headers]))))</f>
        <v/>
      </c>
      <c r="L15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4" spans="2:13" x14ac:dyDescent="0.25">
      <c r="B154" s="43" t="str">
        <f>IF(INDEX(tblProductos[SKU],ROW()-ROW(tblConteo[#Headers]))="","",INDEX(tblProductos[SKU],ROW()-ROW(tblConteo[#Headers])))</f>
        <v/>
      </c>
      <c r="C154" s="50" t="str">
        <f>IF(tblConteo[[#This Row],[SKU]]="","",INDEX(tblProductos[Producto],ROW()-ROW(tblConteo[#Headers])))</f>
        <v/>
      </c>
      <c r="D154" s="50" t="str">
        <f>IF(tblConteo[[#This Row],[SKU]]="","",INDEX(tblProductos[Categoría],ROW()-ROW(tblConteo[#Headers]))&amp;"")</f>
        <v/>
      </c>
      <c r="E154" s="43" t="str">
        <f>IF(tblConteo[[#This Row],[SKU]]="","",INDEX(tblProductos[Ubicación],ROW()-ROW(tblConteo[#Headers]))&amp;"")</f>
        <v/>
      </c>
      <c r="F154" s="43" t="str">
        <f>IF(tblConteo[[#This Row],[SKU]]="","",INDEX(tblProductos[Unidad],ROW()-ROW(tblConteo[#Headers]))&amp;"")</f>
        <v/>
      </c>
      <c r="G154" s="43" t="str">
        <f>IF(tblConteo[[#This Row],[SKU]]="","",IF(INDEX(tblProductos[Activo],ROW()-ROW(tblConteo[#Headers]))="NO","NO","SI"))</f>
        <v/>
      </c>
      <c r="H154" s="54" t="str">
        <f>IF(tblConteo[[#This Row],[SKU]]="","",IFERROR(N(INDEX(tblStock[StockActual],MATCH(tblConteo[[#This Row],[SKU]],tblStock[SKU],0))),0))</f>
        <v/>
      </c>
      <c r="I154" s="53"/>
      <c r="J154" s="60" t="str">
        <f>IF(OR(tblConteo[[#This Row],[SKU]]="",tblConteo[[#This Row],[Conteo]]=""),"",IF(ISNUMBER(tblConteo[[#This Row],[Conteo]]),tblConteo[[#This Row],[Conteo]]-N(tblConteo[[#This Row],[Sistema]]),""))</f>
        <v/>
      </c>
      <c r="K154" s="63" t="str">
        <f>IF(tblConteo[[#This Row],[Diferencia]]="","",tblConteo[[#This Row],[Diferencia]]*N(INDEX(tblProductos[CostoUnitario],ROW()-ROW(tblConteo[#Headers]))))</f>
        <v/>
      </c>
      <c r="L15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5" spans="2:13" x14ac:dyDescent="0.25">
      <c r="B155" s="43" t="str">
        <f>IF(INDEX(tblProductos[SKU],ROW()-ROW(tblConteo[#Headers]))="","",INDEX(tblProductos[SKU],ROW()-ROW(tblConteo[#Headers])))</f>
        <v/>
      </c>
      <c r="C155" s="50" t="str">
        <f>IF(tblConteo[[#This Row],[SKU]]="","",INDEX(tblProductos[Producto],ROW()-ROW(tblConteo[#Headers])))</f>
        <v/>
      </c>
      <c r="D155" s="50" t="str">
        <f>IF(tblConteo[[#This Row],[SKU]]="","",INDEX(tblProductos[Categoría],ROW()-ROW(tblConteo[#Headers]))&amp;"")</f>
        <v/>
      </c>
      <c r="E155" s="43" t="str">
        <f>IF(tblConteo[[#This Row],[SKU]]="","",INDEX(tblProductos[Ubicación],ROW()-ROW(tblConteo[#Headers]))&amp;"")</f>
        <v/>
      </c>
      <c r="F155" s="43" t="str">
        <f>IF(tblConteo[[#This Row],[SKU]]="","",INDEX(tblProductos[Unidad],ROW()-ROW(tblConteo[#Headers]))&amp;"")</f>
        <v/>
      </c>
      <c r="G155" s="43" t="str">
        <f>IF(tblConteo[[#This Row],[SKU]]="","",IF(INDEX(tblProductos[Activo],ROW()-ROW(tblConteo[#Headers]))="NO","NO","SI"))</f>
        <v/>
      </c>
      <c r="H155" s="54" t="str">
        <f>IF(tblConteo[[#This Row],[SKU]]="","",IFERROR(N(INDEX(tblStock[StockActual],MATCH(tblConteo[[#This Row],[SKU]],tblStock[SKU],0))),0))</f>
        <v/>
      </c>
      <c r="I155" s="53"/>
      <c r="J155" s="60" t="str">
        <f>IF(OR(tblConteo[[#This Row],[SKU]]="",tblConteo[[#This Row],[Conteo]]=""),"",IF(ISNUMBER(tblConteo[[#This Row],[Conteo]]),tblConteo[[#This Row],[Conteo]]-N(tblConteo[[#This Row],[Sistema]]),""))</f>
        <v/>
      </c>
      <c r="K155" s="63" t="str">
        <f>IF(tblConteo[[#This Row],[Diferencia]]="","",tblConteo[[#This Row],[Diferencia]]*N(INDEX(tblProductos[CostoUnitario],ROW()-ROW(tblConteo[#Headers]))))</f>
        <v/>
      </c>
      <c r="L15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6" spans="2:13" x14ac:dyDescent="0.25">
      <c r="B156" s="43" t="str">
        <f>IF(INDEX(tblProductos[SKU],ROW()-ROW(tblConteo[#Headers]))="","",INDEX(tblProductos[SKU],ROW()-ROW(tblConteo[#Headers])))</f>
        <v/>
      </c>
      <c r="C156" s="50" t="str">
        <f>IF(tblConteo[[#This Row],[SKU]]="","",INDEX(tblProductos[Producto],ROW()-ROW(tblConteo[#Headers])))</f>
        <v/>
      </c>
      <c r="D156" s="50" t="str">
        <f>IF(tblConteo[[#This Row],[SKU]]="","",INDEX(tblProductos[Categoría],ROW()-ROW(tblConteo[#Headers]))&amp;"")</f>
        <v/>
      </c>
      <c r="E156" s="43" t="str">
        <f>IF(tblConteo[[#This Row],[SKU]]="","",INDEX(tblProductos[Ubicación],ROW()-ROW(tblConteo[#Headers]))&amp;"")</f>
        <v/>
      </c>
      <c r="F156" s="43" t="str">
        <f>IF(tblConteo[[#This Row],[SKU]]="","",INDEX(tblProductos[Unidad],ROW()-ROW(tblConteo[#Headers]))&amp;"")</f>
        <v/>
      </c>
      <c r="G156" s="43" t="str">
        <f>IF(tblConteo[[#This Row],[SKU]]="","",IF(INDEX(tblProductos[Activo],ROW()-ROW(tblConteo[#Headers]))="NO","NO","SI"))</f>
        <v/>
      </c>
      <c r="H156" s="54" t="str">
        <f>IF(tblConteo[[#This Row],[SKU]]="","",IFERROR(N(INDEX(tblStock[StockActual],MATCH(tblConteo[[#This Row],[SKU]],tblStock[SKU],0))),0))</f>
        <v/>
      </c>
      <c r="I156" s="53"/>
      <c r="J156" s="60" t="str">
        <f>IF(OR(tblConteo[[#This Row],[SKU]]="",tblConteo[[#This Row],[Conteo]]=""),"",IF(ISNUMBER(tblConteo[[#This Row],[Conteo]]),tblConteo[[#This Row],[Conteo]]-N(tblConteo[[#This Row],[Sistema]]),""))</f>
        <v/>
      </c>
      <c r="K156" s="63" t="str">
        <f>IF(tblConteo[[#This Row],[Diferencia]]="","",tblConteo[[#This Row],[Diferencia]]*N(INDEX(tblProductos[CostoUnitario],ROW()-ROW(tblConteo[#Headers]))))</f>
        <v/>
      </c>
      <c r="L15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7" spans="2:13" x14ac:dyDescent="0.25">
      <c r="B157" s="43" t="str">
        <f>IF(INDEX(tblProductos[SKU],ROW()-ROW(tblConteo[#Headers]))="","",INDEX(tblProductos[SKU],ROW()-ROW(tblConteo[#Headers])))</f>
        <v/>
      </c>
      <c r="C157" s="50" t="str">
        <f>IF(tblConteo[[#This Row],[SKU]]="","",INDEX(tblProductos[Producto],ROW()-ROW(tblConteo[#Headers])))</f>
        <v/>
      </c>
      <c r="D157" s="50" t="str">
        <f>IF(tblConteo[[#This Row],[SKU]]="","",INDEX(tblProductos[Categoría],ROW()-ROW(tblConteo[#Headers]))&amp;"")</f>
        <v/>
      </c>
      <c r="E157" s="43" t="str">
        <f>IF(tblConteo[[#This Row],[SKU]]="","",INDEX(tblProductos[Ubicación],ROW()-ROW(tblConteo[#Headers]))&amp;"")</f>
        <v/>
      </c>
      <c r="F157" s="43" t="str">
        <f>IF(tblConteo[[#This Row],[SKU]]="","",INDEX(tblProductos[Unidad],ROW()-ROW(tblConteo[#Headers]))&amp;"")</f>
        <v/>
      </c>
      <c r="G157" s="43" t="str">
        <f>IF(tblConteo[[#This Row],[SKU]]="","",IF(INDEX(tblProductos[Activo],ROW()-ROW(tblConteo[#Headers]))="NO","NO","SI"))</f>
        <v/>
      </c>
      <c r="H157" s="54" t="str">
        <f>IF(tblConteo[[#This Row],[SKU]]="","",IFERROR(N(INDEX(tblStock[StockActual],MATCH(tblConteo[[#This Row],[SKU]],tblStock[SKU],0))),0))</f>
        <v/>
      </c>
      <c r="I157" s="53"/>
      <c r="J157" s="60" t="str">
        <f>IF(OR(tblConteo[[#This Row],[SKU]]="",tblConteo[[#This Row],[Conteo]]=""),"",IF(ISNUMBER(tblConteo[[#This Row],[Conteo]]),tblConteo[[#This Row],[Conteo]]-N(tblConteo[[#This Row],[Sistema]]),""))</f>
        <v/>
      </c>
      <c r="K157" s="63" t="str">
        <f>IF(tblConteo[[#This Row],[Diferencia]]="","",tblConteo[[#This Row],[Diferencia]]*N(INDEX(tblProductos[CostoUnitario],ROW()-ROW(tblConteo[#Headers]))))</f>
        <v/>
      </c>
      <c r="L15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8" spans="2:13" x14ac:dyDescent="0.25">
      <c r="B158" s="43" t="str">
        <f>IF(INDEX(tblProductos[SKU],ROW()-ROW(tblConteo[#Headers]))="","",INDEX(tblProductos[SKU],ROW()-ROW(tblConteo[#Headers])))</f>
        <v/>
      </c>
      <c r="C158" s="50" t="str">
        <f>IF(tblConteo[[#This Row],[SKU]]="","",INDEX(tblProductos[Producto],ROW()-ROW(tblConteo[#Headers])))</f>
        <v/>
      </c>
      <c r="D158" s="50" t="str">
        <f>IF(tblConteo[[#This Row],[SKU]]="","",INDEX(tblProductos[Categoría],ROW()-ROW(tblConteo[#Headers]))&amp;"")</f>
        <v/>
      </c>
      <c r="E158" s="43" t="str">
        <f>IF(tblConteo[[#This Row],[SKU]]="","",INDEX(tblProductos[Ubicación],ROW()-ROW(tblConteo[#Headers]))&amp;"")</f>
        <v/>
      </c>
      <c r="F158" s="43" t="str">
        <f>IF(tblConteo[[#This Row],[SKU]]="","",INDEX(tblProductos[Unidad],ROW()-ROW(tblConteo[#Headers]))&amp;"")</f>
        <v/>
      </c>
      <c r="G158" s="43" t="str">
        <f>IF(tblConteo[[#This Row],[SKU]]="","",IF(INDEX(tblProductos[Activo],ROW()-ROW(tblConteo[#Headers]))="NO","NO","SI"))</f>
        <v/>
      </c>
      <c r="H158" s="54" t="str">
        <f>IF(tblConteo[[#This Row],[SKU]]="","",IFERROR(N(INDEX(tblStock[StockActual],MATCH(tblConteo[[#This Row],[SKU]],tblStock[SKU],0))),0))</f>
        <v/>
      </c>
      <c r="I158" s="53"/>
      <c r="J158" s="60" t="str">
        <f>IF(OR(tblConteo[[#This Row],[SKU]]="",tblConteo[[#This Row],[Conteo]]=""),"",IF(ISNUMBER(tblConteo[[#This Row],[Conteo]]),tblConteo[[#This Row],[Conteo]]-N(tblConteo[[#This Row],[Sistema]]),""))</f>
        <v/>
      </c>
      <c r="K158" s="63" t="str">
        <f>IF(tblConteo[[#This Row],[Diferencia]]="","",tblConteo[[#This Row],[Diferencia]]*N(INDEX(tblProductos[CostoUnitario],ROW()-ROW(tblConteo[#Headers]))))</f>
        <v/>
      </c>
      <c r="L15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59" spans="2:13" x14ac:dyDescent="0.25">
      <c r="B159" s="43" t="str">
        <f>IF(INDEX(tblProductos[SKU],ROW()-ROW(tblConteo[#Headers]))="","",INDEX(tblProductos[SKU],ROW()-ROW(tblConteo[#Headers])))</f>
        <v/>
      </c>
      <c r="C159" s="50" t="str">
        <f>IF(tblConteo[[#This Row],[SKU]]="","",INDEX(tblProductos[Producto],ROW()-ROW(tblConteo[#Headers])))</f>
        <v/>
      </c>
      <c r="D159" s="50" t="str">
        <f>IF(tblConteo[[#This Row],[SKU]]="","",INDEX(tblProductos[Categoría],ROW()-ROW(tblConteo[#Headers]))&amp;"")</f>
        <v/>
      </c>
      <c r="E159" s="43" t="str">
        <f>IF(tblConteo[[#This Row],[SKU]]="","",INDEX(tblProductos[Ubicación],ROW()-ROW(tblConteo[#Headers]))&amp;"")</f>
        <v/>
      </c>
      <c r="F159" s="43" t="str">
        <f>IF(tblConteo[[#This Row],[SKU]]="","",INDEX(tblProductos[Unidad],ROW()-ROW(tblConteo[#Headers]))&amp;"")</f>
        <v/>
      </c>
      <c r="G159" s="43" t="str">
        <f>IF(tblConteo[[#This Row],[SKU]]="","",IF(INDEX(tblProductos[Activo],ROW()-ROW(tblConteo[#Headers]))="NO","NO","SI"))</f>
        <v/>
      </c>
      <c r="H159" s="54" t="str">
        <f>IF(tblConteo[[#This Row],[SKU]]="","",IFERROR(N(INDEX(tblStock[StockActual],MATCH(tblConteo[[#This Row],[SKU]],tblStock[SKU],0))),0))</f>
        <v/>
      </c>
      <c r="I159" s="53"/>
      <c r="J159" s="60" t="str">
        <f>IF(OR(tblConteo[[#This Row],[SKU]]="",tblConteo[[#This Row],[Conteo]]=""),"",IF(ISNUMBER(tblConteo[[#This Row],[Conteo]]),tblConteo[[#This Row],[Conteo]]-N(tblConteo[[#This Row],[Sistema]]),""))</f>
        <v/>
      </c>
      <c r="K159" s="63" t="str">
        <f>IF(tblConteo[[#This Row],[Diferencia]]="","",tblConteo[[#This Row],[Diferencia]]*N(INDEX(tblProductos[CostoUnitario],ROW()-ROW(tblConteo[#Headers]))))</f>
        <v/>
      </c>
      <c r="L15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5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0" spans="2:13" x14ac:dyDescent="0.25">
      <c r="B160" s="43" t="str">
        <f>IF(INDEX(tblProductos[SKU],ROW()-ROW(tblConteo[#Headers]))="","",INDEX(tblProductos[SKU],ROW()-ROW(tblConteo[#Headers])))</f>
        <v/>
      </c>
      <c r="C160" s="50" t="str">
        <f>IF(tblConteo[[#This Row],[SKU]]="","",INDEX(tblProductos[Producto],ROW()-ROW(tblConteo[#Headers])))</f>
        <v/>
      </c>
      <c r="D160" s="50" t="str">
        <f>IF(tblConteo[[#This Row],[SKU]]="","",INDEX(tblProductos[Categoría],ROW()-ROW(tblConteo[#Headers]))&amp;"")</f>
        <v/>
      </c>
      <c r="E160" s="43" t="str">
        <f>IF(tblConteo[[#This Row],[SKU]]="","",INDEX(tblProductos[Ubicación],ROW()-ROW(tblConteo[#Headers]))&amp;"")</f>
        <v/>
      </c>
      <c r="F160" s="43" t="str">
        <f>IF(tblConteo[[#This Row],[SKU]]="","",INDEX(tblProductos[Unidad],ROW()-ROW(tblConteo[#Headers]))&amp;"")</f>
        <v/>
      </c>
      <c r="G160" s="43" t="str">
        <f>IF(tblConteo[[#This Row],[SKU]]="","",IF(INDEX(tblProductos[Activo],ROW()-ROW(tblConteo[#Headers]))="NO","NO","SI"))</f>
        <v/>
      </c>
      <c r="H160" s="54" t="str">
        <f>IF(tblConteo[[#This Row],[SKU]]="","",IFERROR(N(INDEX(tblStock[StockActual],MATCH(tblConteo[[#This Row],[SKU]],tblStock[SKU],0))),0))</f>
        <v/>
      </c>
      <c r="I160" s="53"/>
      <c r="J160" s="60" t="str">
        <f>IF(OR(tblConteo[[#This Row],[SKU]]="",tblConteo[[#This Row],[Conteo]]=""),"",IF(ISNUMBER(tblConteo[[#This Row],[Conteo]]),tblConteo[[#This Row],[Conteo]]-N(tblConteo[[#This Row],[Sistema]]),""))</f>
        <v/>
      </c>
      <c r="K160" s="63" t="str">
        <f>IF(tblConteo[[#This Row],[Diferencia]]="","",tblConteo[[#This Row],[Diferencia]]*N(INDEX(tblProductos[CostoUnitario],ROW()-ROW(tblConteo[#Headers]))))</f>
        <v/>
      </c>
      <c r="L16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1" spans="2:13" x14ac:dyDescent="0.25">
      <c r="B161" s="43" t="str">
        <f>IF(INDEX(tblProductos[SKU],ROW()-ROW(tblConteo[#Headers]))="","",INDEX(tblProductos[SKU],ROW()-ROW(tblConteo[#Headers])))</f>
        <v/>
      </c>
      <c r="C161" s="50" t="str">
        <f>IF(tblConteo[[#This Row],[SKU]]="","",INDEX(tblProductos[Producto],ROW()-ROW(tblConteo[#Headers])))</f>
        <v/>
      </c>
      <c r="D161" s="50" t="str">
        <f>IF(tblConteo[[#This Row],[SKU]]="","",INDEX(tblProductos[Categoría],ROW()-ROW(tblConteo[#Headers]))&amp;"")</f>
        <v/>
      </c>
      <c r="E161" s="43" t="str">
        <f>IF(tblConteo[[#This Row],[SKU]]="","",INDEX(tblProductos[Ubicación],ROW()-ROW(tblConteo[#Headers]))&amp;"")</f>
        <v/>
      </c>
      <c r="F161" s="43" t="str">
        <f>IF(tblConteo[[#This Row],[SKU]]="","",INDEX(tblProductos[Unidad],ROW()-ROW(tblConteo[#Headers]))&amp;"")</f>
        <v/>
      </c>
      <c r="G161" s="43" t="str">
        <f>IF(tblConteo[[#This Row],[SKU]]="","",IF(INDEX(tblProductos[Activo],ROW()-ROW(tblConteo[#Headers]))="NO","NO","SI"))</f>
        <v/>
      </c>
      <c r="H161" s="54" t="str">
        <f>IF(tblConteo[[#This Row],[SKU]]="","",IFERROR(N(INDEX(tblStock[StockActual],MATCH(tblConteo[[#This Row],[SKU]],tblStock[SKU],0))),0))</f>
        <v/>
      </c>
      <c r="I161" s="53"/>
      <c r="J161" s="60" t="str">
        <f>IF(OR(tblConteo[[#This Row],[SKU]]="",tblConteo[[#This Row],[Conteo]]=""),"",IF(ISNUMBER(tblConteo[[#This Row],[Conteo]]),tblConteo[[#This Row],[Conteo]]-N(tblConteo[[#This Row],[Sistema]]),""))</f>
        <v/>
      </c>
      <c r="K161" s="63" t="str">
        <f>IF(tblConteo[[#This Row],[Diferencia]]="","",tblConteo[[#This Row],[Diferencia]]*N(INDEX(tblProductos[CostoUnitario],ROW()-ROW(tblConteo[#Headers]))))</f>
        <v/>
      </c>
      <c r="L16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2" spans="2:13" x14ac:dyDescent="0.25">
      <c r="B162" s="43" t="str">
        <f>IF(INDEX(tblProductos[SKU],ROW()-ROW(tblConteo[#Headers]))="","",INDEX(tblProductos[SKU],ROW()-ROW(tblConteo[#Headers])))</f>
        <v/>
      </c>
      <c r="C162" s="50" t="str">
        <f>IF(tblConteo[[#This Row],[SKU]]="","",INDEX(tblProductos[Producto],ROW()-ROW(tblConteo[#Headers])))</f>
        <v/>
      </c>
      <c r="D162" s="50" t="str">
        <f>IF(tblConteo[[#This Row],[SKU]]="","",INDEX(tblProductos[Categoría],ROW()-ROW(tblConteo[#Headers]))&amp;"")</f>
        <v/>
      </c>
      <c r="E162" s="43" t="str">
        <f>IF(tblConteo[[#This Row],[SKU]]="","",INDEX(tblProductos[Ubicación],ROW()-ROW(tblConteo[#Headers]))&amp;"")</f>
        <v/>
      </c>
      <c r="F162" s="43" t="str">
        <f>IF(tblConteo[[#This Row],[SKU]]="","",INDEX(tblProductos[Unidad],ROW()-ROW(tblConteo[#Headers]))&amp;"")</f>
        <v/>
      </c>
      <c r="G162" s="43" t="str">
        <f>IF(tblConteo[[#This Row],[SKU]]="","",IF(INDEX(tblProductos[Activo],ROW()-ROW(tblConteo[#Headers]))="NO","NO","SI"))</f>
        <v/>
      </c>
      <c r="H162" s="54" t="str">
        <f>IF(tblConteo[[#This Row],[SKU]]="","",IFERROR(N(INDEX(tblStock[StockActual],MATCH(tblConteo[[#This Row],[SKU]],tblStock[SKU],0))),0))</f>
        <v/>
      </c>
      <c r="I162" s="53"/>
      <c r="J162" s="60" t="str">
        <f>IF(OR(tblConteo[[#This Row],[SKU]]="",tblConteo[[#This Row],[Conteo]]=""),"",IF(ISNUMBER(tblConteo[[#This Row],[Conteo]]),tblConteo[[#This Row],[Conteo]]-N(tblConteo[[#This Row],[Sistema]]),""))</f>
        <v/>
      </c>
      <c r="K162" s="63" t="str">
        <f>IF(tblConteo[[#This Row],[Diferencia]]="","",tblConteo[[#This Row],[Diferencia]]*N(INDEX(tblProductos[CostoUnitario],ROW()-ROW(tblConteo[#Headers]))))</f>
        <v/>
      </c>
      <c r="L16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3" spans="2:13" x14ac:dyDescent="0.25">
      <c r="B163" s="43" t="str">
        <f>IF(INDEX(tblProductos[SKU],ROW()-ROW(tblConteo[#Headers]))="","",INDEX(tblProductos[SKU],ROW()-ROW(tblConteo[#Headers])))</f>
        <v/>
      </c>
      <c r="C163" s="50" t="str">
        <f>IF(tblConteo[[#This Row],[SKU]]="","",INDEX(tblProductos[Producto],ROW()-ROW(tblConteo[#Headers])))</f>
        <v/>
      </c>
      <c r="D163" s="50" t="str">
        <f>IF(tblConteo[[#This Row],[SKU]]="","",INDEX(tblProductos[Categoría],ROW()-ROW(tblConteo[#Headers]))&amp;"")</f>
        <v/>
      </c>
      <c r="E163" s="43" t="str">
        <f>IF(tblConteo[[#This Row],[SKU]]="","",INDEX(tblProductos[Ubicación],ROW()-ROW(tblConteo[#Headers]))&amp;"")</f>
        <v/>
      </c>
      <c r="F163" s="43" t="str">
        <f>IF(tblConteo[[#This Row],[SKU]]="","",INDEX(tblProductos[Unidad],ROW()-ROW(tblConteo[#Headers]))&amp;"")</f>
        <v/>
      </c>
      <c r="G163" s="43" t="str">
        <f>IF(tblConteo[[#This Row],[SKU]]="","",IF(INDEX(tblProductos[Activo],ROW()-ROW(tblConteo[#Headers]))="NO","NO","SI"))</f>
        <v/>
      </c>
      <c r="H163" s="54" t="str">
        <f>IF(tblConteo[[#This Row],[SKU]]="","",IFERROR(N(INDEX(tblStock[StockActual],MATCH(tblConteo[[#This Row],[SKU]],tblStock[SKU],0))),0))</f>
        <v/>
      </c>
      <c r="I163" s="53"/>
      <c r="J163" s="60" t="str">
        <f>IF(OR(tblConteo[[#This Row],[SKU]]="",tblConteo[[#This Row],[Conteo]]=""),"",IF(ISNUMBER(tblConteo[[#This Row],[Conteo]]),tblConteo[[#This Row],[Conteo]]-N(tblConteo[[#This Row],[Sistema]]),""))</f>
        <v/>
      </c>
      <c r="K163" s="63" t="str">
        <f>IF(tblConteo[[#This Row],[Diferencia]]="","",tblConteo[[#This Row],[Diferencia]]*N(INDEX(tblProductos[CostoUnitario],ROW()-ROW(tblConteo[#Headers]))))</f>
        <v/>
      </c>
      <c r="L16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4" spans="2:13" x14ac:dyDescent="0.25">
      <c r="B164" s="43" t="str">
        <f>IF(INDEX(tblProductos[SKU],ROW()-ROW(tblConteo[#Headers]))="","",INDEX(tblProductos[SKU],ROW()-ROW(tblConteo[#Headers])))</f>
        <v/>
      </c>
      <c r="C164" s="50" t="str">
        <f>IF(tblConteo[[#This Row],[SKU]]="","",INDEX(tblProductos[Producto],ROW()-ROW(tblConteo[#Headers])))</f>
        <v/>
      </c>
      <c r="D164" s="50" t="str">
        <f>IF(tblConteo[[#This Row],[SKU]]="","",INDEX(tblProductos[Categoría],ROW()-ROW(tblConteo[#Headers]))&amp;"")</f>
        <v/>
      </c>
      <c r="E164" s="43" t="str">
        <f>IF(tblConteo[[#This Row],[SKU]]="","",INDEX(tblProductos[Ubicación],ROW()-ROW(tblConteo[#Headers]))&amp;"")</f>
        <v/>
      </c>
      <c r="F164" s="43" t="str">
        <f>IF(tblConteo[[#This Row],[SKU]]="","",INDEX(tblProductos[Unidad],ROW()-ROW(tblConteo[#Headers]))&amp;"")</f>
        <v/>
      </c>
      <c r="G164" s="43" t="str">
        <f>IF(tblConteo[[#This Row],[SKU]]="","",IF(INDEX(tblProductos[Activo],ROW()-ROW(tblConteo[#Headers]))="NO","NO","SI"))</f>
        <v/>
      </c>
      <c r="H164" s="54" t="str">
        <f>IF(tblConteo[[#This Row],[SKU]]="","",IFERROR(N(INDEX(tblStock[StockActual],MATCH(tblConteo[[#This Row],[SKU]],tblStock[SKU],0))),0))</f>
        <v/>
      </c>
      <c r="I164" s="53"/>
      <c r="J164" s="60" t="str">
        <f>IF(OR(tblConteo[[#This Row],[SKU]]="",tblConteo[[#This Row],[Conteo]]=""),"",IF(ISNUMBER(tblConteo[[#This Row],[Conteo]]),tblConteo[[#This Row],[Conteo]]-N(tblConteo[[#This Row],[Sistema]]),""))</f>
        <v/>
      </c>
      <c r="K164" s="63" t="str">
        <f>IF(tblConteo[[#This Row],[Diferencia]]="","",tblConteo[[#This Row],[Diferencia]]*N(INDEX(tblProductos[CostoUnitario],ROW()-ROW(tblConteo[#Headers]))))</f>
        <v/>
      </c>
      <c r="L16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5" spans="2:13" x14ac:dyDescent="0.25">
      <c r="B165" s="43" t="str">
        <f>IF(INDEX(tblProductos[SKU],ROW()-ROW(tblConteo[#Headers]))="","",INDEX(tblProductos[SKU],ROW()-ROW(tblConteo[#Headers])))</f>
        <v/>
      </c>
      <c r="C165" s="50" t="str">
        <f>IF(tblConteo[[#This Row],[SKU]]="","",INDEX(tblProductos[Producto],ROW()-ROW(tblConteo[#Headers])))</f>
        <v/>
      </c>
      <c r="D165" s="50" t="str">
        <f>IF(tblConteo[[#This Row],[SKU]]="","",INDEX(tblProductos[Categoría],ROW()-ROW(tblConteo[#Headers]))&amp;"")</f>
        <v/>
      </c>
      <c r="E165" s="43" t="str">
        <f>IF(tblConteo[[#This Row],[SKU]]="","",INDEX(tblProductos[Ubicación],ROW()-ROW(tblConteo[#Headers]))&amp;"")</f>
        <v/>
      </c>
      <c r="F165" s="43" t="str">
        <f>IF(tblConteo[[#This Row],[SKU]]="","",INDEX(tblProductos[Unidad],ROW()-ROW(tblConteo[#Headers]))&amp;"")</f>
        <v/>
      </c>
      <c r="G165" s="43" t="str">
        <f>IF(tblConteo[[#This Row],[SKU]]="","",IF(INDEX(tblProductos[Activo],ROW()-ROW(tblConteo[#Headers]))="NO","NO","SI"))</f>
        <v/>
      </c>
      <c r="H165" s="54" t="str">
        <f>IF(tblConteo[[#This Row],[SKU]]="","",IFERROR(N(INDEX(tblStock[StockActual],MATCH(tblConteo[[#This Row],[SKU]],tblStock[SKU],0))),0))</f>
        <v/>
      </c>
      <c r="I165" s="53"/>
      <c r="J165" s="60" t="str">
        <f>IF(OR(tblConteo[[#This Row],[SKU]]="",tblConteo[[#This Row],[Conteo]]=""),"",IF(ISNUMBER(tblConteo[[#This Row],[Conteo]]),tblConteo[[#This Row],[Conteo]]-N(tblConteo[[#This Row],[Sistema]]),""))</f>
        <v/>
      </c>
      <c r="K165" s="63" t="str">
        <f>IF(tblConteo[[#This Row],[Diferencia]]="","",tblConteo[[#This Row],[Diferencia]]*N(INDEX(tblProductos[CostoUnitario],ROW()-ROW(tblConteo[#Headers]))))</f>
        <v/>
      </c>
      <c r="L16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6" spans="2:13" x14ac:dyDescent="0.25">
      <c r="B166" s="43" t="str">
        <f>IF(INDEX(tblProductos[SKU],ROW()-ROW(tblConteo[#Headers]))="","",INDEX(tblProductos[SKU],ROW()-ROW(tblConteo[#Headers])))</f>
        <v/>
      </c>
      <c r="C166" s="50" t="str">
        <f>IF(tblConteo[[#This Row],[SKU]]="","",INDEX(tblProductos[Producto],ROW()-ROW(tblConteo[#Headers])))</f>
        <v/>
      </c>
      <c r="D166" s="50" t="str">
        <f>IF(tblConteo[[#This Row],[SKU]]="","",INDEX(tblProductos[Categoría],ROW()-ROW(tblConteo[#Headers]))&amp;"")</f>
        <v/>
      </c>
      <c r="E166" s="43" t="str">
        <f>IF(tblConteo[[#This Row],[SKU]]="","",INDEX(tblProductos[Ubicación],ROW()-ROW(tblConteo[#Headers]))&amp;"")</f>
        <v/>
      </c>
      <c r="F166" s="43" t="str">
        <f>IF(tblConteo[[#This Row],[SKU]]="","",INDEX(tblProductos[Unidad],ROW()-ROW(tblConteo[#Headers]))&amp;"")</f>
        <v/>
      </c>
      <c r="G166" s="43" t="str">
        <f>IF(tblConteo[[#This Row],[SKU]]="","",IF(INDEX(tblProductos[Activo],ROW()-ROW(tblConteo[#Headers]))="NO","NO","SI"))</f>
        <v/>
      </c>
      <c r="H166" s="54" t="str">
        <f>IF(tblConteo[[#This Row],[SKU]]="","",IFERROR(N(INDEX(tblStock[StockActual],MATCH(tblConteo[[#This Row],[SKU]],tblStock[SKU],0))),0))</f>
        <v/>
      </c>
      <c r="I166" s="53"/>
      <c r="J166" s="60" t="str">
        <f>IF(OR(tblConteo[[#This Row],[SKU]]="",tblConteo[[#This Row],[Conteo]]=""),"",IF(ISNUMBER(tblConteo[[#This Row],[Conteo]]),tblConteo[[#This Row],[Conteo]]-N(tblConteo[[#This Row],[Sistema]]),""))</f>
        <v/>
      </c>
      <c r="K166" s="63" t="str">
        <f>IF(tblConteo[[#This Row],[Diferencia]]="","",tblConteo[[#This Row],[Diferencia]]*N(INDEX(tblProductos[CostoUnitario],ROW()-ROW(tblConteo[#Headers]))))</f>
        <v/>
      </c>
      <c r="L16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7" spans="2:13" x14ac:dyDescent="0.25">
      <c r="B167" s="43" t="str">
        <f>IF(INDEX(tblProductos[SKU],ROW()-ROW(tblConteo[#Headers]))="","",INDEX(tblProductos[SKU],ROW()-ROW(tblConteo[#Headers])))</f>
        <v/>
      </c>
      <c r="C167" s="50" t="str">
        <f>IF(tblConteo[[#This Row],[SKU]]="","",INDEX(tblProductos[Producto],ROW()-ROW(tblConteo[#Headers])))</f>
        <v/>
      </c>
      <c r="D167" s="50" t="str">
        <f>IF(tblConteo[[#This Row],[SKU]]="","",INDEX(tblProductos[Categoría],ROW()-ROW(tblConteo[#Headers]))&amp;"")</f>
        <v/>
      </c>
      <c r="E167" s="43" t="str">
        <f>IF(tblConteo[[#This Row],[SKU]]="","",INDEX(tblProductos[Ubicación],ROW()-ROW(tblConteo[#Headers]))&amp;"")</f>
        <v/>
      </c>
      <c r="F167" s="43" t="str">
        <f>IF(tblConteo[[#This Row],[SKU]]="","",INDEX(tblProductos[Unidad],ROW()-ROW(tblConteo[#Headers]))&amp;"")</f>
        <v/>
      </c>
      <c r="G167" s="43" t="str">
        <f>IF(tblConteo[[#This Row],[SKU]]="","",IF(INDEX(tblProductos[Activo],ROW()-ROW(tblConteo[#Headers]))="NO","NO","SI"))</f>
        <v/>
      </c>
      <c r="H167" s="54" t="str">
        <f>IF(tblConteo[[#This Row],[SKU]]="","",IFERROR(N(INDEX(tblStock[StockActual],MATCH(tblConteo[[#This Row],[SKU]],tblStock[SKU],0))),0))</f>
        <v/>
      </c>
      <c r="I167" s="53"/>
      <c r="J167" s="60" t="str">
        <f>IF(OR(tblConteo[[#This Row],[SKU]]="",tblConteo[[#This Row],[Conteo]]=""),"",IF(ISNUMBER(tblConteo[[#This Row],[Conteo]]),tblConteo[[#This Row],[Conteo]]-N(tblConteo[[#This Row],[Sistema]]),""))</f>
        <v/>
      </c>
      <c r="K167" s="63" t="str">
        <f>IF(tblConteo[[#This Row],[Diferencia]]="","",tblConteo[[#This Row],[Diferencia]]*N(INDEX(tblProductos[CostoUnitario],ROW()-ROW(tblConteo[#Headers]))))</f>
        <v/>
      </c>
      <c r="L16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8" spans="2:13" x14ac:dyDescent="0.25">
      <c r="B168" s="43" t="str">
        <f>IF(INDEX(tblProductos[SKU],ROW()-ROW(tblConteo[#Headers]))="","",INDEX(tblProductos[SKU],ROW()-ROW(tblConteo[#Headers])))</f>
        <v/>
      </c>
      <c r="C168" s="50" t="str">
        <f>IF(tblConteo[[#This Row],[SKU]]="","",INDEX(tblProductos[Producto],ROW()-ROW(tblConteo[#Headers])))</f>
        <v/>
      </c>
      <c r="D168" s="50" t="str">
        <f>IF(tblConteo[[#This Row],[SKU]]="","",INDEX(tblProductos[Categoría],ROW()-ROW(tblConteo[#Headers]))&amp;"")</f>
        <v/>
      </c>
      <c r="E168" s="43" t="str">
        <f>IF(tblConteo[[#This Row],[SKU]]="","",INDEX(tblProductos[Ubicación],ROW()-ROW(tblConteo[#Headers]))&amp;"")</f>
        <v/>
      </c>
      <c r="F168" s="43" t="str">
        <f>IF(tblConteo[[#This Row],[SKU]]="","",INDEX(tblProductos[Unidad],ROW()-ROW(tblConteo[#Headers]))&amp;"")</f>
        <v/>
      </c>
      <c r="G168" s="43" t="str">
        <f>IF(tblConteo[[#This Row],[SKU]]="","",IF(INDEX(tblProductos[Activo],ROW()-ROW(tblConteo[#Headers]))="NO","NO","SI"))</f>
        <v/>
      </c>
      <c r="H168" s="54" t="str">
        <f>IF(tblConteo[[#This Row],[SKU]]="","",IFERROR(N(INDEX(tblStock[StockActual],MATCH(tblConteo[[#This Row],[SKU]],tblStock[SKU],0))),0))</f>
        <v/>
      </c>
      <c r="I168" s="53"/>
      <c r="J168" s="60" t="str">
        <f>IF(OR(tblConteo[[#This Row],[SKU]]="",tblConteo[[#This Row],[Conteo]]=""),"",IF(ISNUMBER(tblConteo[[#This Row],[Conteo]]),tblConteo[[#This Row],[Conteo]]-N(tblConteo[[#This Row],[Sistema]]),""))</f>
        <v/>
      </c>
      <c r="K168" s="63" t="str">
        <f>IF(tblConteo[[#This Row],[Diferencia]]="","",tblConteo[[#This Row],[Diferencia]]*N(INDEX(tblProductos[CostoUnitario],ROW()-ROW(tblConteo[#Headers]))))</f>
        <v/>
      </c>
      <c r="L16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69" spans="2:13" x14ac:dyDescent="0.25">
      <c r="B169" s="43" t="str">
        <f>IF(INDEX(tblProductos[SKU],ROW()-ROW(tblConteo[#Headers]))="","",INDEX(tblProductos[SKU],ROW()-ROW(tblConteo[#Headers])))</f>
        <v/>
      </c>
      <c r="C169" s="50" t="str">
        <f>IF(tblConteo[[#This Row],[SKU]]="","",INDEX(tblProductos[Producto],ROW()-ROW(tblConteo[#Headers])))</f>
        <v/>
      </c>
      <c r="D169" s="50" t="str">
        <f>IF(tblConteo[[#This Row],[SKU]]="","",INDEX(tblProductos[Categoría],ROW()-ROW(tblConteo[#Headers]))&amp;"")</f>
        <v/>
      </c>
      <c r="E169" s="43" t="str">
        <f>IF(tblConteo[[#This Row],[SKU]]="","",INDEX(tblProductos[Ubicación],ROW()-ROW(tblConteo[#Headers]))&amp;"")</f>
        <v/>
      </c>
      <c r="F169" s="43" t="str">
        <f>IF(tblConteo[[#This Row],[SKU]]="","",INDEX(tblProductos[Unidad],ROW()-ROW(tblConteo[#Headers]))&amp;"")</f>
        <v/>
      </c>
      <c r="G169" s="43" t="str">
        <f>IF(tblConteo[[#This Row],[SKU]]="","",IF(INDEX(tblProductos[Activo],ROW()-ROW(tblConteo[#Headers]))="NO","NO","SI"))</f>
        <v/>
      </c>
      <c r="H169" s="54" t="str">
        <f>IF(tblConteo[[#This Row],[SKU]]="","",IFERROR(N(INDEX(tblStock[StockActual],MATCH(tblConteo[[#This Row],[SKU]],tblStock[SKU],0))),0))</f>
        <v/>
      </c>
      <c r="I169" s="53"/>
      <c r="J169" s="60" t="str">
        <f>IF(OR(tblConteo[[#This Row],[SKU]]="",tblConteo[[#This Row],[Conteo]]=""),"",IF(ISNUMBER(tblConteo[[#This Row],[Conteo]]),tblConteo[[#This Row],[Conteo]]-N(tblConteo[[#This Row],[Sistema]]),""))</f>
        <v/>
      </c>
      <c r="K169" s="63" t="str">
        <f>IF(tblConteo[[#This Row],[Diferencia]]="","",tblConteo[[#This Row],[Diferencia]]*N(INDEX(tblProductos[CostoUnitario],ROW()-ROW(tblConteo[#Headers]))))</f>
        <v/>
      </c>
      <c r="L16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6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0" spans="2:13" x14ac:dyDescent="0.25">
      <c r="B170" s="43" t="str">
        <f>IF(INDEX(tblProductos[SKU],ROW()-ROW(tblConteo[#Headers]))="","",INDEX(tblProductos[SKU],ROW()-ROW(tblConteo[#Headers])))</f>
        <v/>
      </c>
      <c r="C170" s="50" t="str">
        <f>IF(tblConteo[[#This Row],[SKU]]="","",INDEX(tblProductos[Producto],ROW()-ROW(tblConteo[#Headers])))</f>
        <v/>
      </c>
      <c r="D170" s="50" t="str">
        <f>IF(tblConteo[[#This Row],[SKU]]="","",INDEX(tblProductos[Categoría],ROW()-ROW(tblConteo[#Headers]))&amp;"")</f>
        <v/>
      </c>
      <c r="E170" s="43" t="str">
        <f>IF(tblConteo[[#This Row],[SKU]]="","",INDEX(tblProductos[Ubicación],ROW()-ROW(tblConteo[#Headers]))&amp;"")</f>
        <v/>
      </c>
      <c r="F170" s="43" t="str">
        <f>IF(tblConteo[[#This Row],[SKU]]="","",INDEX(tblProductos[Unidad],ROW()-ROW(tblConteo[#Headers]))&amp;"")</f>
        <v/>
      </c>
      <c r="G170" s="43" t="str">
        <f>IF(tblConteo[[#This Row],[SKU]]="","",IF(INDEX(tblProductos[Activo],ROW()-ROW(tblConteo[#Headers]))="NO","NO","SI"))</f>
        <v/>
      </c>
      <c r="H170" s="54" t="str">
        <f>IF(tblConteo[[#This Row],[SKU]]="","",IFERROR(N(INDEX(tblStock[StockActual],MATCH(tblConteo[[#This Row],[SKU]],tblStock[SKU],0))),0))</f>
        <v/>
      </c>
      <c r="I170" s="53"/>
      <c r="J170" s="60" t="str">
        <f>IF(OR(tblConteo[[#This Row],[SKU]]="",tblConteo[[#This Row],[Conteo]]=""),"",IF(ISNUMBER(tblConteo[[#This Row],[Conteo]]),tblConteo[[#This Row],[Conteo]]-N(tblConteo[[#This Row],[Sistema]]),""))</f>
        <v/>
      </c>
      <c r="K170" s="63" t="str">
        <f>IF(tblConteo[[#This Row],[Diferencia]]="","",tblConteo[[#This Row],[Diferencia]]*N(INDEX(tblProductos[CostoUnitario],ROW()-ROW(tblConteo[#Headers]))))</f>
        <v/>
      </c>
      <c r="L17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1" spans="2:13" x14ac:dyDescent="0.25">
      <c r="B171" s="43" t="str">
        <f>IF(INDEX(tblProductos[SKU],ROW()-ROW(tblConteo[#Headers]))="","",INDEX(tblProductos[SKU],ROW()-ROW(tblConteo[#Headers])))</f>
        <v/>
      </c>
      <c r="C171" s="50" t="str">
        <f>IF(tblConteo[[#This Row],[SKU]]="","",INDEX(tblProductos[Producto],ROW()-ROW(tblConteo[#Headers])))</f>
        <v/>
      </c>
      <c r="D171" s="50" t="str">
        <f>IF(tblConteo[[#This Row],[SKU]]="","",INDEX(tblProductos[Categoría],ROW()-ROW(tblConteo[#Headers]))&amp;"")</f>
        <v/>
      </c>
      <c r="E171" s="43" t="str">
        <f>IF(tblConteo[[#This Row],[SKU]]="","",INDEX(tblProductos[Ubicación],ROW()-ROW(tblConteo[#Headers]))&amp;"")</f>
        <v/>
      </c>
      <c r="F171" s="43" t="str">
        <f>IF(tblConteo[[#This Row],[SKU]]="","",INDEX(tblProductos[Unidad],ROW()-ROW(tblConteo[#Headers]))&amp;"")</f>
        <v/>
      </c>
      <c r="G171" s="43" t="str">
        <f>IF(tblConteo[[#This Row],[SKU]]="","",IF(INDEX(tblProductos[Activo],ROW()-ROW(tblConteo[#Headers]))="NO","NO","SI"))</f>
        <v/>
      </c>
      <c r="H171" s="54" t="str">
        <f>IF(tblConteo[[#This Row],[SKU]]="","",IFERROR(N(INDEX(tblStock[StockActual],MATCH(tblConteo[[#This Row],[SKU]],tblStock[SKU],0))),0))</f>
        <v/>
      </c>
      <c r="I171" s="53"/>
      <c r="J171" s="60" t="str">
        <f>IF(OR(tblConteo[[#This Row],[SKU]]="",tblConteo[[#This Row],[Conteo]]=""),"",IF(ISNUMBER(tblConteo[[#This Row],[Conteo]]),tblConteo[[#This Row],[Conteo]]-N(tblConteo[[#This Row],[Sistema]]),""))</f>
        <v/>
      </c>
      <c r="K171" s="63" t="str">
        <f>IF(tblConteo[[#This Row],[Diferencia]]="","",tblConteo[[#This Row],[Diferencia]]*N(INDEX(tblProductos[CostoUnitario],ROW()-ROW(tblConteo[#Headers]))))</f>
        <v/>
      </c>
      <c r="L17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2" spans="2:13" x14ac:dyDescent="0.25">
      <c r="B172" s="43" t="str">
        <f>IF(INDEX(tblProductos[SKU],ROW()-ROW(tblConteo[#Headers]))="","",INDEX(tblProductos[SKU],ROW()-ROW(tblConteo[#Headers])))</f>
        <v/>
      </c>
      <c r="C172" s="50" t="str">
        <f>IF(tblConteo[[#This Row],[SKU]]="","",INDEX(tblProductos[Producto],ROW()-ROW(tblConteo[#Headers])))</f>
        <v/>
      </c>
      <c r="D172" s="50" t="str">
        <f>IF(tblConteo[[#This Row],[SKU]]="","",INDEX(tblProductos[Categoría],ROW()-ROW(tblConteo[#Headers]))&amp;"")</f>
        <v/>
      </c>
      <c r="E172" s="43" t="str">
        <f>IF(tblConteo[[#This Row],[SKU]]="","",INDEX(tblProductos[Ubicación],ROW()-ROW(tblConteo[#Headers]))&amp;"")</f>
        <v/>
      </c>
      <c r="F172" s="43" t="str">
        <f>IF(tblConteo[[#This Row],[SKU]]="","",INDEX(tblProductos[Unidad],ROW()-ROW(tblConteo[#Headers]))&amp;"")</f>
        <v/>
      </c>
      <c r="G172" s="43" t="str">
        <f>IF(tblConteo[[#This Row],[SKU]]="","",IF(INDEX(tblProductos[Activo],ROW()-ROW(tblConteo[#Headers]))="NO","NO","SI"))</f>
        <v/>
      </c>
      <c r="H172" s="54" t="str">
        <f>IF(tblConteo[[#This Row],[SKU]]="","",IFERROR(N(INDEX(tblStock[StockActual],MATCH(tblConteo[[#This Row],[SKU]],tblStock[SKU],0))),0))</f>
        <v/>
      </c>
      <c r="I172" s="53"/>
      <c r="J172" s="60" t="str">
        <f>IF(OR(tblConteo[[#This Row],[SKU]]="",tblConteo[[#This Row],[Conteo]]=""),"",IF(ISNUMBER(tblConteo[[#This Row],[Conteo]]),tblConteo[[#This Row],[Conteo]]-N(tblConteo[[#This Row],[Sistema]]),""))</f>
        <v/>
      </c>
      <c r="K172" s="63" t="str">
        <f>IF(tblConteo[[#This Row],[Diferencia]]="","",tblConteo[[#This Row],[Diferencia]]*N(INDEX(tblProductos[CostoUnitario],ROW()-ROW(tblConteo[#Headers]))))</f>
        <v/>
      </c>
      <c r="L17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3" spans="2:13" x14ac:dyDescent="0.25">
      <c r="B173" s="43" t="str">
        <f>IF(INDEX(tblProductos[SKU],ROW()-ROW(tblConteo[#Headers]))="","",INDEX(tblProductos[SKU],ROW()-ROW(tblConteo[#Headers])))</f>
        <v/>
      </c>
      <c r="C173" s="50" t="str">
        <f>IF(tblConteo[[#This Row],[SKU]]="","",INDEX(tblProductos[Producto],ROW()-ROW(tblConteo[#Headers])))</f>
        <v/>
      </c>
      <c r="D173" s="50" t="str">
        <f>IF(tblConteo[[#This Row],[SKU]]="","",INDEX(tblProductos[Categoría],ROW()-ROW(tblConteo[#Headers]))&amp;"")</f>
        <v/>
      </c>
      <c r="E173" s="43" t="str">
        <f>IF(tblConteo[[#This Row],[SKU]]="","",INDEX(tblProductos[Ubicación],ROW()-ROW(tblConteo[#Headers]))&amp;"")</f>
        <v/>
      </c>
      <c r="F173" s="43" t="str">
        <f>IF(tblConteo[[#This Row],[SKU]]="","",INDEX(tblProductos[Unidad],ROW()-ROW(tblConteo[#Headers]))&amp;"")</f>
        <v/>
      </c>
      <c r="G173" s="43" t="str">
        <f>IF(tblConteo[[#This Row],[SKU]]="","",IF(INDEX(tblProductos[Activo],ROW()-ROW(tblConteo[#Headers]))="NO","NO","SI"))</f>
        <v/>
      </c>
      <c r="H173" s="54" t="str">
        <f>IF(tblConteo[[#This Row],[SKU]]="","",IFERROR(N(INDEX(tblStock[StockActual],MATCH(tblConteo[[#This Row],[SKU]],tblStock[SKU],0))),0))</f>
        <v/>
      </c>
      <c r="I173" s="53"/>
      <c r="J173" s="60" t="str">
        <f>IF(OR(tblConteo[[#This Row],[SKU]]="",tblConteo[[#This Row],[Conteo]]=""),"",IF(ISNUMBER(tblConteo[[#This Row],[Conteo]]),tblConteo[[#This Row],[Conteo]]-N(tblConteo[[#This Row],[Sistema]]),""))</f>
        <v/>
      </c>
      <c r="K173" s="63" t="str">
        <f>IF(tblConteo[[#This Row],[Diferencia]]="","",tblConteo[[#This Row],[Diferencia]]*N(INDEX(tblProductos[CostoUnitario],ROW()-ROW(tblConteo[#Headers]))))</f>
        <v/>
      </c>
      <c r="L17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4" spans="2:13" x14ac:dyDescent="0.25">
      <c r="B174" s="43" t="str">
        <f>IF(INDEX(tblProductos[SKU],ROW()-ROW(tblConteo[#Headers]))="","",INDEX(tblProductos[SKU],ROW()-ROW(tblConteo[#Headers])))</f>
        <v/>
      </c>
      <c r="C174" s="50" t="str">
        <f>IF(tblConteo[[#This Row],[SKU]]="","",INDEX(tblProductos[Producto],ROW()-ROW(tblConteo[#Headers])))</f>
        <v/>
      </c>
      <c r="D174" s="50" t="str">
        <f>IF(tblConteo[[#This Row],[SKU]]="","",INDEX(tblProductos[Categoría],ROW()-ROW(tblConteo[#Headers]))&amp;"")</f>
        <v/>
      </c>
      <c r="E174" s="43" t="str">
        <f>IF(tblConteo[[#This Row],[SKU]]="","",INDEX(tblProductos[Ubicación],ROW()-ROW(tblConteo[#Headers]))&amp;"")</f>
        <v/>
      </c>
      <c r="F174" s="43" t="str">
        <f>IF(tblConteo[[#This Row],[SKU]]="","",INDEX(tblProductos[Unidad],ROW()-ROW(tblConteo[#Headers]))&amp;"")</f>
        <v/>
      </c>
      <c r="G174" s="43" t="str">
        <f>IF(tblConteo[[#This Row],[SKU]]="","",IF(INDEX(tblProductos[Activo],ROW()-ROW(tblConteo[#Headers]))="NO","NO","SI"))</f>
        <v/>
      </c>
      <c r="H174" s="54" t="str">
        <f>IF(tblConteo[[#This Row],[SKU]]="","",IFERROR(N(INDEX(tblStock[StockActual],MATCH(tblConteo[[#This Row],[SKU]],tblStock[SKU],0))),0))</f>
        <v/>
      </c>
      <c r="I174" s="53"/>
      <c r="J174" s="60" t="str">
        <f>IF(OR(tblConteo[[#This Row],[SKU]]="",tblConteo[[#This Row],[Conteo]]=""),"",IF(ISNUMBER(tblConteo[[#This Row],[Conteo]]),tblConteo[[#This Row],[Conteo]]-N(tblConteo[[#This Row],[Sistema]]),""))</f>
        <v/>
      </c>
      <c r="K174" s="63" t="str">
        <f>IF(tblConteo[[#This Row],[Diferencia]]="","",tblConteo[[#This Row],[Diferencia]]*N(INDEX(tblProductos[CostoUnitario],ROW()-ROW(tblConteo[#Headers]))))</f>
        <v/>
      </c>
      <c r="L17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5" spans="2:13" x14ac:dyDescent="0.25">
      <c r="B175" s="43" t="str">
        <f>IF(INDEX(tblProductos[SKU],ROW()-ROW(tblConteo[#Headers]))="","",INDEX(tblProductos[SKU],ROW()-ROW(tblConteo[#Headers])))</f>
        <v/>
      </c>
      <c r="C175" s="50" t="str">
        <f>IF(tblConteo[[#This Row],[SKU]]="","",INDEX(tblProductos[Producto],ROW()-ROW(tblConteo[#Headers])))</f>
        <v/>
      </c>
      <c r="D175" s="50" t="str">
        <f>IF(tblConteo[[#This Row],[SKU]]="","",INDEX(tblProductos[Categoría],ROW()-ROW(tblConteo[#Headers]))&amp;"")</f>
        <v/>
      </c>
      <c r="E175" s="43" t="str">
        <f>IF(tblConteo[[#This Row],[SKU]]="","",INDEX(tblProductos[Ubicación],ROW()-ROW(tblConteo[#Headers]))&amp;"")</f>
        <v/>
      </c>
      <c r="F175" s="43" t="str">
        <f>IF(tblConteo[[#This Row],[SKU]]="","",INDEX(tblProductos[Unidad],ROW()-ROW(tblConteo[#Headers]))&amp;"")</f>
        <v/>
      </c>
      <c r="G175" s="43" t="str">
        <f>IF(tblConteo[[#This Row],[SKU]]="","",IF(INDEX(tblProductos[Activo],ROW()-ROW(tblConteo[#Headers]))="NO","NO","SI"))</f>
        <v/>
      </c>
      <c r="H175" s="54" t="str">
        <f>IF(tblConteo[[#This Row],[SKU]]="","",IFERROR(N(INDEX(tblStock[StockActual],MATCH(tblConteo[[#This Row],[SKU]],tblStock[SKU],0))),0))</f>
        <v/>
      </c>
      <c r="I175" s="53"/>
      <c r="J175" s="60" t="str">
        <f>IF(OR(tblConteo[[#This Row],[SKU]]="",tblConteo[[#This Row],[Conteo]]=""),"",IF(ISNUMBER(tblConteo[[#This Row],[Conteo]]),tblConteo[[#This Row],[Conteo]]-N(tblConteo[[#This Row],[Sistema]]),""))</f>
        <v/>
      </c>
      <c r="K175" s="63" t="str">
        <f>IF(tblConteo[[#This Row],[Diferencia]]="","",tblConteo[[#This Row],[Diferencia]]*N(INDEX(tblProductos[CostoUnitario],ROW()-ROW(tblConteo[#Headers]))))</f>
        <v/>
      </c>
      <c r="L17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6" spans="2:13" x14ac:dyDescent="0.25">
      <c r="B176" s="43" t="str">
        <f>IF(INDEX(tblProductos[SKU],ROW()-ROW(tblConteo[#Headers]))="","",INDEX(tblProductos[SKU],ROW()-ROW(tblConteo[#Headers])))</f>
        <v/>
      </c>
      <c r="C176" s="50" t="str">
        <f>IF(tblConteo[[#This Row],[SKU]]="","",INDEX(tblProductos[Producto],ROW()-ROW(tblConteo[#Headers])))</f>
        <v/>
      </c>
      <c r="D176" s="50" t="str">
        <f>IF(tblConteo[[#This Row],[SKU]]="","",INDEX(tblProductos[Categoría],ROW()-ROW(tblConteo[#Headers]))&amp;"")</f>
        <v/>
      </c>
      <c r="E176" s="43" t="str">
        <f>IF(tblConteo[[#This Row],[SKU]]="","",INDEX(tblProductos[Ubicación],ROW()-ROW(tblConteo[#Headers]))&amp;"")</f>
        <v/>
      </c>
      <c r="F176" s="43" t="str">
        <f>IF(tblConteo[[#This Row],[SKU]]="","",INDEX(tblProductos[Unidad],ROW()-ROW(tblConteo[#Headers]))&amp;"")</f>
        <v/>
      </c>
      <c r="G176" s="43" t="str">
        <f>IF(tblConteo[[#This Row],[SKU]]="","",IF(INDEX(tblProductos[Activo],ROW()-ROW(tblConteo[#Headers]))="NO","NO","SI"))</f>
        <v/>
      </c>
      <c r="H176" s="54" t="str">
        <f>IF(tblConteo[[#This Row],[SKU]]="","",IFERROR(N(INDEX(tblStock[StockActual],MATCH(tblConteo[[#This Row],[SKU]],tblStock[SKU],0))),0))</f>
        <v/>
      </c>
      <c r="I176" s="53"/>
      <c r="J176" s="60" t="str">
        <f>IF(OR(tblConteo[[#This Row],[SKU]]="",tblConteo[[#This Row],[Conteo]]=""),"",IF(ISNUMBER(tblConteo[[#This Row],[Conteo]]),tblConteo[[#This Row],[Conteo]]-N(tblConteo[[#This Row],[Sistema]]),""))</f>
        <v/>
      </c>
      <c r="K176" s="63" t="str">
        <f>IF(tblConteo[[#This Row],[Diferencia]]="","",tblConteo[[#This Row],[Diferencia]]*N(INDEX(tblProductos[CostoUnitario],ROW()-ROW(tblConteo[#Headers]))))</f>
        <v/>
      </c>
      <c r="L17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7" spans="2:13" x14ac:dyDescent="0.25">
      <c r="B177" s="43" t="str">
        <f>IF(INDEX(tblProductos[SKU],ROW()-ROW(tblConteo[#Headers]))="","",INDEX(tblProductos[SKU],ROW()-ROW(tblConteo[#Headers])))</f>
        <v/>
      </c>
      <c r="C177" s="50" t="str">
        <f>IF(tblConteo[[#This Row],[SKU]]="","",INDEX(tblProductos[Producto],ROW()-ROW(tblConteo[#Headers])))</f>
        <v/>
      </c>
      <c r="D177" s="50" t="str">
        <f>IF(tblConteo[[#This Row],[SKU]]="","",INDEX(tblProductos[Categoría],ROW()-ROW(tblConteo[#Headers]))&amp;"")</f>
        <v/>
      </c>
      <c r="E177" s="43" t="str">
        <f>IF(tblConteo[[#This Row],[SKU]]="","",INDEX(tblProductos[Ubicación],ROW()-ROW(tblConteo[#Headers]))&amp;"")</f>
        <v/>
      </c>
      <c r="F177" s="43" t="str">
        <f>IF(tblConteo[[#This Row],[SKU]]="","",INDEX(tblProductos[Unidad],ROW()-ROW(tblConteo[#Headers]))&amp;"")</f>
        <v/>
      </c>
      <c r="G177" s="43" t="str">
        <f>IF(tblConteo[[#This Row],[SKU]]="","",IF(INDEX(tblProductos[Activo],ROW()-ROW(tblConteo[#Headers]))="NO","NO","SI"))</f>
        <v/>
      </c>
      <c r="H177" s="54" t="str">
        <f>IF(tblConteo[[#This Row],[SKU]]="","",IFERROR(N(INDEX(tblStock[StockActual],MATCH(tblConteo[[#This Row],[SKU]],tblStock[SKU],0))),0))</f>
        <v/>
      </c>
      <c r="I177" s="53"/>
      <c r="J177" s="60" t="str">
        <f>IF(OR(tblConteo[[#This Row],[SKU]]="",tblConteo[[#This Row],[Conteo]]=""),"",IF(ISNUMBER(tblConteo[[#This Row],[Conteo]]),tblConteo[[#This Row],[Conteo]]-N(tblConteo[[#This Row],[Sistema]]),""))</f>
        <v/>
      </c>
      <c r="K177" s="63" t="str">
        <f>IF(tblConteo[[#This Row],[Diferencia]]="","",tblConteo[[#This Row],[Diferencia]]*N(INDEX(tblProductos[CostoUnitario],ROW()-ROW(tblConteo[#Headers]))))</f>
        <v/>
      </c>
      <c r="L17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8" spans="2:13" x14ac:dyDescent="0.25">
      <c r="B178" s="43" t="str">
        <f>IF(INDEX(tblProductos[SKU],ROW()-ROW(tblConteo[#Headers]))="","",INDEX(tblProductos[SKU],ROW()-ROW(tblConteo[#Headers])))</f>
        <v/>
      </c>
      <c r="C178" s="50" t="str">
        <f>IF(tblConteo[[#This Row],[SKU]]="","",INDEX(tblProductos[Producto],ROW()-ROW(tblConteo[#Headers])))</f>
        <v/>
      </c>
      <c r="D178" s="50" t="str">
        <f>IF(tblConteo[[#This Row],[SKU]]="","",INDEX(tblProductos[Categoría],ROW()-ROW(tblConteo[#Headers]))&amp;"")</f>
        <v/>
      </c>
      <c r="E178" s="43" t="str">
        <f>IF(tblConteo[[#This Row],[SKU]]="","",INDEX(tblProductos[Ubicación],ROW()-ROW(tblConteo[#Headers]))&amp;"")</f>
        <v/>
      </c>
      <c r="F178" s="43" t="str">
        <f>IF(tblConteo[[#This Row],[SKU]]="","",INDEX(tblProductos[Unidad],ROW()-ROW(tblConteo[#Headers]))&amp;"")</f>
        <v/>
      </c>
      <c r="G178" s="43" t="str">
        <f>IF(tblConteo[[#This Row],[SKU]]="","",IF(INDEX(tblProductos[Activo],ROW()-ROW(tblConteo[#Headers]))="NO","NO","SI"))</f>
        <v/>
      </c>
      <c r="H178" s="54" t="str">
        <f>IF(tblConteo[[#This Row],[SKU]]="","",IFERROR(N(INDEX(tblStock[StockActual],MATCH(tblConteo[[#This Row],[SKU]],tblStock[SKU],0))),0))</f>
        <v/>
      </c>
      <c r="I178" s="53"/>
      <c r="J178" s="60" t="str">
        <f>IF(OR(tblConteo[[#This Row],[SKU]]="",tblConteo[[#This Row],[Conteo]]=""),"",IF(ISNUMBER(tblConteo[[#This Row],[Conteo]]),tblConteo[[#This Row],[Conteo]]-N(tblConteo[[#This Row],[Sistema]]),""))</f>
        <v/>
      </c>
      <c r="K178" s="63" t="str">
        <f>IF(tblConteo[[#This Row],[Diferencia]]="","",tblConteo[[#This Row],[Diferencia]]*N(INDEX(tblProductos[CostoUnitario],ROW()-ROW(tblConteo[#Headers]))))</f>
        <v/>
      </c>
      <c r="L17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79" spans="2:13" x14ac:dyDescent="0.25">
      <c r="B179" s="43" t="str">
        <f>IF(INDEX(tblProductos[SKU],ROW()-ROW(tblConteo[#Headers]))="","",INDEX(tblProductos[SKU],ROW()-ROW(tblConteo[#Headers])))</f>
        <v/>
      </c>
      <c r="C179" s="50" t="str">
        <f>IF(tblConteo[[#This Row],[SKU]]="","",INDEX(tblProductos[Producto],ROW()-ROW(tblConteo[#Headers])))</f>
        <v/>
      </c>
      <c r="D179" s="50" t="str">
        <f>IF(tblConteo[[#This Row],[SKU]]="","",INDEX(tblProductos[Categoría],ROW()-ROW(tblConteo[#Headers]))&amp;"")</f>
        <v/>
      </c>
      <c r="E179" s="43" t="str">
        <f>IF(tblConteo[[#This Row],[SKU]]="","",INDEX(tblProductos[Ubicación],ROW()-ROW(tblConteo[#Headers]))&amp;"")</f>
        <v/>
      </c>
      <c r="F179" s="43" t="str">
        <f>IF(tblConteo[[#This Row],[SKU]]="","",INDEX(tblProductos[Unidad],ROW()-ROW(tblConteo[#Headers]))&amp;"")</f>
        <v/>
      </c>
      <c r="G179" s="43" t="str">
        <f>IF(tblConteo[[#This Row],[SKU]]="","",IF(INDEX(tblProductos[Activo],ROW()-ROW(tblConteo[#Headers]))="NO","NO","SI"))</f>
        <v/>
      </c>
      <c r="H179" s="54" t="str">
        <f>IF(tblConteo[[#This Row],[SKU]]="","",IFERROR(N(INDEX(tblStock[StockActual],MATCH(tblConteo[[#This Row],[SKU]],tblStock[SKU],0))),0))</f>
        <v/>
      </c>
      <c r="I179" s="53"/>
      <c r="J179" s="60" t="str">
        <f>IF(OR(tblConteo[[#This Row],[SKU]]="",tblConteo[[#This Row],[Conteo]]=""),"",IF(ISNUMBER(tblConteo[[#This Row],[Conteo]]),tblConteo[[#This Row],[Conteo]]-N(tblConteo[[#This Row],[Sistema]]),""))</f>
        <v/>
      </c>
      <c r="K179" s="63" t="str">
        <f>IF(tblConteo[[#This Row],[Diferencia]]="","",tblConteo[[#This Row],[Diferencia]]*N(INDEX(tblProductos[CostoUnitario],ROW()-ROW(tblConteo[#Headers]))))</f>
        <v/>
      </c>
      <c r="L17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7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0" spans="2:13" x14ac:dyDescent="0.25">
      <c r="B180" s="43" t="str">
        <f>IF(INDEX(tblProductos[SKU],ROW()-ROW(tblConteo[#Headers]))="","",INDEX(tblProductos[SKU],ROW()-ROW(tblConteo[#Headers])))</f>
        <v/>
      </c>
      <c r="C180" s="50" t="str">
        <f>IF(tblConteo[[#This Row],[SKU]]="","",INDEX(tblProductos[Producto],ROW()-ROW(tblConteo[#Headers])))</f>
        <v/>
      </c>
      <c r="D180" s="50" t="str">
        <f>IF(tblConteo[[#This Row],[SKU]]="","",INDEX(tblProductos[Categoría],ROW()-ROW(tblConteo[#Headers]))&amp;"")</f>
        <v/>
      </c>
      <c r="E180" s="43" t="str">
        <f>IF(tblConteo[[#This Row],[SKU]]="","",INDEX(tblProductos[Ubicación],ROW()-ROW(tblConteo[#Headers]))&amp;"")</f>
        <v/>
      </c>
      <c r="F180" s="43" t="str">
        <f>IF(tblConteo[[#This Row],[SKU]]="","",INDEX(tblProductos[Unidad],ROW()-ROW(tblConteo[#Headers]))&amp;"")</f>
        <v/>
      </c>
      <c r="G180" s="43" t="str">
        <f>IF(tblConteo[[#This Row],[SKU]]="","",IF(INDEX(tblProductos[Activo],ROW()-ROW(tblConteo[#Headers]))="NO","NO","SI"))</f>
        <v/>
      </c>
      <c r="H180" s="54" t="str">
        <f>IF(tblConteo[[#This Row],[SKU]]="","",IFERROR(N(INDEX(tblStock[StockActual],MATCH(tblConteo[[#This Row],[SKU]],tblStock[SKU],0))),0))</f>
        <v/>
      </c>
      <c r="I180" s="53"/>
      <c r="J180" s="60" t="str">
        <f>IF(OR(tblConteo[[#This Row],[SKU]]="",tblConteo[[#This Row],[Conteo]]=""),"",IF(ISNUMBER(tblConteo[[#This Row],[Conteo]]),tblConteo[[#This Row],[Conteo]]-N(tblConteo[[#This Row],[Sistema]]),""))</f>
        <v/>
      </c>
      <c r="K180" s="63" t="str">
        <f>IF(tblConteo[[#This Row],[Diferencia]]="","",tblConteo[[#This Row],[Diferencia]]*N(INDEX(tblProductos[CostoUnitario],ROW()-ROW(tblConteo[#Headers]))))</f>
        <v/>
      </c>
      <c r="L18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1" spans="2:13" x14ac:dyDescent="0.25">
      <c r="B181" s="43" t="str">
        <f>IF(INDEX(tblProductos[SKU],ROW()-ROW(tblConteo[#Headers]))="","",INDEX(tblProductos[SKU],ROW()-ROW(tblConteo[#Headers])))</f>
        <v/>
      </c>
      <c r="C181" s="50" t="str">
        <f>IF(tblConteo[[#This Row],[SKU]]="","",INDEX(tblProductos[Producto],ROW()-ROW(tblConteo[#Headers])))</f>
        <v/>
      </c>
      <c r="D181" s="50" t="str">
        <f>IF(tblConteo[[#This Row],[SKU]]="","",INDEX(tblProductos[Categoría],ROW()-ROW(tblConteo[#Headers]))&amp;"")</f>
        <v/>
      </c>
      <c r="E181" s="43" t="str">
        <f>IF(tblConteo[[#This Row],[SKU]]="","",INDEX(tblProductos[Ubicación],ROW()-ROW(tblConteo[#Headers]))&amp;"")</f>
        <v/>
      </c>
      <c r="F181" s="43" t="str">
        <f>IF(tblConteo[[#This Row],[SKU]]="","",INDEX(tblProductos[Unidad],ROW()-ROW(tblConteo[#Headers]))&amp;"")</f>
        <v/>
      </c>
      <c r="G181" s="43" t="str">
        <f>IF(tblConteo[[#This Row],[SKU]]="","",IF(INDEX(tblProductos[Activo],ROW()-ROW(tblConteo[#Headers]))="NO","NO","SI"))</f>
        <v/>
      </c>
      <c r="H181" s="54" t="str">
        <f>IF(tblConteo[[#This Row],[SKU]]="","",IFERROR(N(INDEX(tblStock[StockActual],MATCH(tblConteo[[#This Row],[SKU]],tblStock[SKU],0))),0))</f>
        <v/>
      </c>
      <c r="I181" s="53"/>
      <c r="J181" s="60" t="str">
        <f>IF(OR(tblConteo[[#This Row],[SKU]]="",tblConteo[[#This Row],[Conteo]]=""),"",IF(ISNUMBER(tblConteo[[#This Row],[Conteo]]),tblConteo[[#This Row],[Conteo]]-N(tblConteo[[#This Row],[Sistema]]),""))</f>
        <v/>
      </c>
      <c r="K181" s="63" t="str">
        <f>IF(tblConteo[[#This Row],[Diferencia]]="","",tblConteo[[#This Row],[Diferencia]]*N(INDEX(tblProductos[CostoUnitario],ROW()-ROW(tblConteo[#Headers]))))</f>
        <v/>
      </c>
      <c r="L18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2" spans="2:13" x14ac:dyDescent="0.25">
      <c r="B182" s="43" t="str">
        <f>IF(INDEX(tblProductos[SKU],ROW()-ROW(tblConteo[#Headers]))="","",INDEX(tblProductos[SKU],ROW()-ROW(tblConteo[#Headers])))</f>
        <v/>
      </c>
      <c r="C182" s="50" t="str">
        <f>IF(tblConteo[[#This Row],[SKU]]="","",INDEX(tblProductos[Producto],ROW()-ROW(tblConteo[#Headers])))</f>
        <v/>
      </c>
      <c r="D182" s="50" t="str">
        <f>IF(tblConteo[[#This Row],[SKU]]="","",INDEX(tblProductos[Categoría],ROW()-ROW(tblConteo[#Headers]))&amp;"")</f>
        <v/>
      </c>
      <c r="E182" s="43" t="str">
        <f>IF(tblConteo[[#This Row],[SKU]]="","",INDEX(tblProductos[Ubicación],ROW()-ROW(tblConteo[#Headers]))&amp;"")</f>
        <v/>
      </c>
      <c r="F182" s="43" t="str">
        <f>IF(tblConteo[[#This Row],[SKU]]="","",INDEX(tblProductos[Unidad],ROW()-ROW(tblConteo[#Headers]))&amp;"")</f>
        <v/>
      </c>
      <c r="G182" s="43" t="str">
        <f>IF(tblConteo[[#This Row],[SKU]]="","",IF(INDEX(tblProductos[Activo],ROW()-ROW(tblConteo[#Headers]))="NO","NO","SI"))</f>
        <v/>
      </c>
      <c r="H182" s="54" t="str">
        <f>IF(tblConteo[[#This Row],[SKU]]="","",IFERROR(N(INDEX(tblStock[StockActual],MATCH(tblConteo[[#This Row],[SKU]],tblStock[SKU],0))),0))</f>
        <v/>
      </c>
      <c r="I182" s="53"/>
      <c r="J182" s="60" t="str">
        <f>IF(OR(tblConteo[[#This Row],[SKU]]="",tblConteo[[#This Row],[Conteo]]=""),"",IF(ISNUMBER(tblConteo[[#This Row],[Conteo]]),tblConteo[[#This Row],[Conteo]]-N(tblConteo[[#This Row],[Sistema]]),""))</f>
        <v/>
      </c>
      <c r="K182" s="63" t="str">
        <f>IF(tblConteo[[#This Row],[Diferencia]]="","",tblConteo[[#This Row],[Diferencia]]*N(INDEX(tblProductos[CostoUnitario],ROW()-ROW(tblConteo[#Headers]))))</f>
        <v/>
      </c>
      <c r="L18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3" spans="2:13" x14ac:dyDescent="0.25">
      <c r="B183" s="43" t="str">
        <f>IF(INDEX(tblProductos[SKU],ROW()-ROW(tblConteo[#Headers]))="","",INDEX(tblProductos[SKU],ROW()-ROW(tblConteo[#Headers])))</f>
        <v/>
      </c>
      <c r="C183" s="50" t="str">
        <f>IF(tblConteo[[#This Row],[SKU]]="","",INDEX(tblProductos[Producto],ROW()-ROW(tblConteo[#Headers])))</f>
        <v/>
      </c>
      <c r="D183" s="50" t="str">
        <f>IF(tblConteo[[#This Row],[SKU]]="","",INDEX(tblProductos[Categoría],ROW()-ROW(tblConteo[#Headers]))&amp;"")</f>
        <v/>
      </c>
      <c r="E183" s="43" t="str">
        <f>IF(tblConteo[[#This Row],[SKU]]="","",INDEX(tblProductos[Ubicación],ROW()-ROW(tblConteo[#Headers]))&amp;"")</f>
        <v/>
      </c>
      <c r="F183" s="43" t="str">
        <f>IF(tblConteo[[#This Row],[SKU]]="","",INDEX(tblProductos[Unidad],ROW()-ROW(tblConteo[#Headers]))&amp;"")</f>
        <v/>
      </c>
      <c r="G183" s="43" t="str">
        <f>IF(tblConteo[[#This Row],[SKU]]="","",IF(INDEX(tblProductos[Activo],ROW()-ROW(tblConteo[#Headers]))="NO","NO","SI"))</f>
        <v/>
      </c>
      <c r="H183" s="54" t="str">
        <f>IF(tblConteo[[#This Row],[SKU]]="","",IFERROR(N(INDEX(tblStock[StockActual],MATCH(tblConteo[[#This Row],[SKU]],tblStock[SKU],0))),0))</f>
        <v/>
      </c>
      <c r="I183" s="53"/>
      <c r="J183" s="60" t="str">
        <f>IF(OR(tblConteo[[#This Row],[SKU]]="",tblConteo[[#This Row],[Conteo]]=""),"",IF(ISNUMBER(tblConteo[[#This Row],[Conteo]]),tblConteo[[#This Row],[Conteo]]-N(tblConteo[[#This Row],[Sistema]]),""))</f>
        <v/>
      </c>
      <c r="K183" s="63" t="str">
        <f>IF(tblConteo[[#This Row],[Diferencia]]="","",tblConteo[[#This Row],[Diferencia]]*N(INDEX(tblProductos[CostoUnitario],ROW()-ROW(tblConteo[#Headers]))))</f>
        <v/>
      </c>
      <c r="L18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4" spans="2:13" x14ac:dyDescent="0.25">
      <c r="B184" s="43" t="str">
        <f>IF(INDEX(tblProductos[SKU],ROW()-ROW(tblConteo[#Headers]))="","",INDEX(tblProductos[SKU],ROW()-ROW(tblConteo[#Headers])))</f>
        <v/>
      </c>
      <c r="C184" s="50" t="str">
        <f>IF(tblConteo[[#This Row],[SKU]]="","",INDEX(tblProductos[Producto],ROW()-ROW(tblConteo[#Headers])))</f>
        <v/>
      </c>
      <c r="D184" s="50" t="str">
        <f>IF(tblConteo[[#This Row],[SKU]]="","",INDEX(tblProductos[Categoría],ROW()-ROW(tblConteo[#Headers]))&amp;"")</f>
        <v/>
      </c>
      <c r="E184" s="43" t="str">
        <f>IF(tblConteo[[#This Row],[SKU]]="","",INDEX(tblProductos[Ubicación],ROW()-ROW(tblConteo[#Headers]))&amp;"")</f>
        <v/>
      </c>
      <c r="F184" s="43" t="str">
        <f>IF(tblConteo[[#This Row],[SKU]]="","",INDEX(tblProductos[Unidad],ROW()-ROW(tblConteo[#Headers]))&amp;"")</f>
        <v/>
      </c>
      <c r="G184" s="43" t="str">
        <f>IF(tblConteo[[#This Row],[SKU]]="","",IF(INDEX(tblProductos[Activo],ROW()-ROW(tblConteo[#Headers]))="NO","NO","SI"))</f>
        <v/>
      </c>
      <c r="H184" s="54" t="str">
        <f>IF(tblConteo[[#This Row],[SKU]]="","",IFERROR(N(INDEX(tblStock[StockActual],MATCH(tblConteo[[#This Row],[SKU]],tblStock[SKU],0))),0))</f>
        <v/>
      </c>
      <c r="I184" s="53"/>
      <c r="J184" s="60" t="str">
        <f>IF(OR(tblConteo[[#This Row],[SKU]]="",tblConteo[[#This Row],[Conteo]]=""),"",IF(ISNUMBER(tblConteo[[#This Row],[Conteo]]),tblConteo[[#This Row],[Conteo]]-N(tblConteo[[#This Row],[Sistema]]),""))</f>
        <v/>
      </c>
      <c r="K184" s="63" t="str">
        <f>IF(tblConteo[[#This Row],[Diferencia]]="","",tblConteo[[#This Row],[Diferencia]]*N(INDEX(tblProductos[CostoUnitario],ROW()-ROW(tblConteo[#Headers]))))</f>
        <v/>
      </c>
      <c r="L18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5" spans="2:13" x14ac:dyDescent="0.25">
      <c r="B185" s="43" t="str">
        <f>IF(INDEX(tblProductos[SKU],ROW()-ROW(tblConteo[#Headers]))="","",INDEX(tblProductos[SKU],ROW()-ROW(tblConteo[#Headers])))</f>
        <v/>
      </c>
      <c r="C185" s="50" t="str">
        <f>IF(tblConteo[[#This Row],[SKU]]="","",INDEX(tblProductos[Producto],ROW()-ROW(tblConteo[#Headers])))</f>
        <v/>
      </c>
      <c r="D185" s="50" t="str">
        <f>IF(tblConteo[[#This Row],[SKU]]="","",INDEX(tblProductos[Categoría],ROW()-ROW(tblConteo[#Headers]))&amp;"")</f>
        <v/>
      </c>
      <c r="E185" s="43" t="str">
        <f>IF(tblConteo[[#This Row],[SKU]]="","",INDEX(tblProductos[Ubicación],ROW()-ROW(tblConteo[#Headers]))&amp;"")</f>
        <v/>
      </c>
      <c r="F185" s="43" t="str">
        <f>IF(tblConteo[[#This Row],[SKU]]="","",INDEX(tblProductos[Unidad],ROW()-ROW(tblConteo[#Headers]))&amp;"")</f>
        <v/>
      </c>
      <c r="G185" s="43" t="str">
        <f>IF(tblConteo[[#This Row],[SKU]]="","",IF(INDEX(tblProductos[Activo],ROW()-ROW(tblConteo[#Headers]))="NO","NO","SI"))</f>
        <v/>
      </c>
      <c r="H185" s="54" t="str">
        <f>IF(tblConteo[[#This Row],[SKU]]="","",IFERROR(N(INDEX(tblStock[StockActual],MATCH(tblConteo[[#This Row],[SKU]],tblStock[SKU],0))),0))</f>
        <v/>
      </c>
      <c r="I185" s="53"/>
      <c r="J185" s="60" t="str">
        <f>IF(OR(tblConteo[[#This Row],[SKU]]="",tblConteo[[#This Row],[Conteo]]=""),"",IF(ISNUMBER(tblConteo[[#This Row],[Conteo]]),tblConteo[[#This Row],[Conteo]]-N(tblConteo[[#This Row],[Sistema]]),""))</f>
        <v/>
      </c>
      <c r="K185" s="63" t="str">
        <f>IF(tblConteo[[#This Row],[Diferencia]]="","",tblConteo[[#This Row],[Diferencia]]*N(INDEX(tblProductos[CostoUnitario],ROW()-ROW(tblConteo[#Headers]))))</f>
        <v/>
      </c>
      <c r="L18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6" spans="2:13" x14ac:dyDescent="0.25">
      <c r="B186" s="43" t="str">
        <f>IF(INDEX(tblProductos[SKU],ROW()-ROW(tblConteo[#Headers]))="","",INDEX(tblProductos[SKU],ROW()-ROW(tblConteo[#Headers])))</f>
        <v/>
      </c>
      <c r="C186" s="50" t="str">
        <f>IF(tblConteo[[#This Row],[SKU]]="","",INDEX(tblProductos[Producto],ROW()-ROW(tblConteo[#Headers])))</f>
        <v/>
      </c>
      <c r="D186" s="50" t="str">
        <f>IF(tblConteo[[#This Row],[SKU]]="","",INDEX(tblProductos[Categoría],ROW()-ROW(tblConteo[#Headers]))&amp;"")</f>
        <v/>
      </c>
      <c r="E186" s="43" t="str">
        <f>IF(tblConteo[[#This Row],[SKU]]="","",INDEX(tblProductos[Ubicación],ROW()-ROW(tblConteo[#Headers]))&amp;"")</f>
        <v/>
      </c>
      <c r="F186" s="43" t="str">
        <f>IF(tblConteo[[#This Row],[SKU]]="","",INDEX(tblProductos[Unidad],ROW()-ROW(tblConteo[#Headers]))&amp;"")</f>
        <v/>
      </c>
      <c r="G186" s="43" t="str">
        <f>IF(tblConteo[[#This Row],[SKU]]="","",IF(INDEX(tblProductos[Activo],ROW()-ROW(tblConteo[#Headers]))="NO","NO","SI"))</f>
        <v/>
      </c>
      <c r="H186" s="54" t="str">
        <f>IF(tblConteo[[#This Row],[SKU]]="","",IFERROR(N(INDEX(tblStock[StockActual],MATCH(tblConteo[[#This Row],[SKU]],tblStock[SKU],0))),0))</f>
        <v/>
      </c>
      <c r="I186" s="53"/>
      <c r="J186" s="60" t="str">
        <f>IF(OR(tblConteo[[#This Row],[SKU]]="",tblConteo[[#This Row],[Conteo]]=""),"",IF(ISNUMBER(tblConteo[[#This Row],[Conteo]]),tblConteo[[#This Row],[Conteo]]-N(tblConteo[[#This Row],[Sistema]]),""))</f>
        <v/>
      </c>
      <c r="K186" s="63" t="str">
        <f>IF(tblConteo[[#This Row],[Diferencia]]="","",tblConteo[[#This Row],[Diferencia]]*N(INDEX(tblProductos[CostoUnitario],ROW()-ROW(tblConteo[#Headers]))))</f>
        <v/>
      </c>
      <c r="L18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7" spans="2:13" x14ac:dyDescent="0.25">
      <c r="B187" s="43" t="str">
        <f>IF(INDEX(tblProductos[SKU],ROW()-ROW(tblConteo[#Headers]))="","",INDEX(tblProductos[SKU],ROW()-ROW(tblConteo[#Headers])))</f>
        <v/>
      </c>
      <c r="C187" s="50" t="str">
        <f>IF(tblConteo[[#This Row],[SKU]]="","",INDEX(tblProductos[Producto],ROW()-ROW(tblConteo[#Headers])))</f>
        <v/>
      </c>
      <c r="D187" s="50" t="str">
        <f>IF(tblConteo[[#This Row],[SKU]]="","",INDEX(tblProductos[Categoría],ROW()-ROW(tblConteo[#Headers]))&amp;"")</f>
        <v/>
      </c>
      <c r="E187" s="43" t="str">
        <f>IF(tblConteo[[#This Row],[SKU]]="","",INDEX(tblProductos[Ubicación],ROW()-ROW(tblConteo[#Headers]))&amp;"")</f>
        <v/>
      </c>
      <c r="F187" s="43" t="str">
        <f>IF(tblConteo[[#This Row],[SKU]]="","",INDEX(tblProductos[Unidad],ROW()-ROW(tblConteo[#Headers]))&amp;"")</f>
        <v/>
      </c>
      <c r="G187" s="43" t="str">
        <f>IF(tblConteo[[#This Row],[SKU]]="","",IF(INDEX(tblProductos[Activo],ROW()-ROW(tblConteo[#Headers]))="NO","NO","SI"))</f>
        <v/>
      </c>
      <c r="H187" s="54" t="str">
        <f>IF(tblConteo[[#This Row],[SKU]]="","",IFERROR(N(INDEX(tblStock[StockActual],MATCH(tblConteo[[#This Row],[SKU]],tblStock[SKU],0))),0))</f>
        <v/>
      </c>
      <c r="I187" s="53"/>
      <c r="J187" s="60" t="str">
        <f>IF(OR(tblConteo[[#This Row],[SKU]]="",tblConteo[[#This Row],[Conteo]]=""),"",IF(ISNUMBER(tblConteo[[#This Row],[Conteo]]),tblConteo[[#This Row],[Conteo]]-N(tblConteo[[#This Row],[Sistema]]),""))</f>
        <v/>
      </c>
      <c r="K187" s="63" t="str">
        <f>IF(tblConteo[[#This Row],[Diferencia]]="","",tblConteo[[#This Row],[Diferencia]]*N(INDEX(tblProductos[CostoUnitario],ROW()-ROW(tblConteo[#Headers]))))</f>
        <v/>
      </c>
      <c r="L18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8" spans="2:13" x14ac:dyDescent="0.25">
      <c r="B188" s="43" t="str">
        <f>IF(INDEX(tblProductos[SKU],ROW()-ROW(tblConteo[#Headers]))="","",INDEX(tblProductos[SKU],ROW()-ROW(tblConteo[#Headers])))</f>
        <v/>
      </c>
      <c r="C188" s="50" t="str">
        <f>IF(tblConteo[[#This Row],[SKU]]="","",INDEX(tblProductos[Producto],ROW()-ROW(tblConteo[#Headers])))</f>
        <v/>
      </c>
      <c r="D188" s="50" t="str">
        <f>IF(tblConteo[[#This Row],[SKU]]="","",INDEX(tblProductos[Categoría],ROW()-ROW(tblConteo[#Headers]))&amp;"")</f>
        <v/>
      </c>
      <c r="E188" s="43" t="str">
        <f>IF(tblConteo[[#This Row],[SKU]]="","",INDEX(tblProductos[Ubicación],ROW()-ROW(tblConteo[#Headers]))&amp;"")</f>
        <v/>
      </c>
      <c r="F188" s="43" t="str">
        <f>IF(tblConteo[[#This Row],[SKU]]="","",INDEX(tblProductos[Unidad],ROW()-ROW(tblConteo[#Headers]))&amp;"")</f>
        <v/>
      </c>
      <c r="G188" s="43" t="str">
        <f>IF(tblConteo[[#This Row],[SKU]]="","",IF(INDEX(tblProductos[Activo],ROW()-ROW(tblConteo[#Headers]))="NO","NO","SI"))</f>
        <v/>
      </c>
      <c r="H188" s="54" t="str">
        <f>IF(tblConteo[[#This Row],[SKU]]="","",IFERROR(N(INDEX(tblStock[StockActual],MATCH(tblConteo[[#This Row],[SKU]],tblStock[SKU],0))),0))</f>
        <v/>
      </c>
      <c r="I188" s="53"/>
      <c r="J188" s="60" t="str">
        <f>IF(OR(tblConteo[[#This Row],[SKU]]="",tblConteo[[#This Row],[Conteo]]=""),"",IF(ISNUMBER(tblConteo[[#This Row],[Conteo]]),tblConteo[[#This Row],[Conteo]]-N(tblConteo[[#This Row],[Sistema]]),""))</f>
        <v/>
      </c>
      <c r="K188" s="63" t="str">
        <f>IF(tblConteo[[#This Row],[Diferencia]]="","",tblConteo[[#This Row],[Diferencia]]*N(INDEX(tblProductos[CostoUnitario],ROW()-ROW(tblConteo[#Headers]))))</f>
        <v/>
      </c>
      <c r="L18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89" spans="2:13" x14ac:dyDescent="0.25">
      <c r="B189" s="43" t="str">
        <f>IF(INDEX(tblProductos[SKU],ROW()-ROW(tblConteo[#Headers]))="","",INDEX(tblProductos[SKU],ROW()-ROW(tblConteo[#Headers])))</f>
        <v/>
      </c>
      <c r="C189" s="50" t="str">
        <f>IF(tblConteo[[#This Row],[SKU]]="","",INDEX(tblProductos[Producto],ROW()-ROW(tblConteo[#Headers])))</f>
        <v/>
      </c>
      <c r="D189" s="50" t="str">
        <f>IF(tblConteo[[#This Row],[SKU]]="","",INDEX(tblProductos[Categoría],ROW()-ROW(tblConteo[#Headers]))&amp;"")</f>
        <v/>
      </c>
      <c r="E189" s="43" t="str">
        <f>IF(tblConteo[[#This Row],[SKU]]="","",INDEX(tblProductos[Ubicación],ROW()-ROW(tblConteo[#Headers]))&amp;"")</f>
        <v/>
      </c>
      <c r="F189" s="43" t="str">
        <f>IF(tblConteo[[#This Row],[SKU]]="","",INDEX(tblProductos[Unidad],ROW()-ROW(tblConteo[#Headers]))&amp;"")</f>
        <v/>
      </c>
      <c r="G189" s="43" t="str">
        <f>IF(tblConteo[[#This Row],[SKU]]="","",IF(INDEX(tblProductos[Activo],ROW()-ROW(tblConteo[#Headers]))="NO","NO","SI"))</f>
        <v/>
      </c>
      <c r="H189" s="54" t="str">
        <f>IF(tblConteo[[#This Row],[SKU]]="","",IFERROR(N(INDEX(tblStock[StockActual],MATCH(tblConteo[[#This Row],[SKU]],tblStock[SKU],0))),0))</f>
        <v/>
      </c>
      <c r="I189" s="53"/>
      <c r="J189" s="60" t="str">
        <f>IF(OR(tblConteo[[#This Row],[SKU]]="",tblConteo[[#This Row],[Conteo]]=""),"",IF(ISNUMBER(tblConteo[[#This Row],[Conteo]]),tblConteo[[#This Row],[Conteo]]-N(tblConteo[[#This Row],[Sistema]]),""))</f>
        <v/>
      </c>
      <c r="K189" s="63" t="str">
        <f>IF(tblConteo[[#This Row],[Diferencia]]="","",tblConteo[[#This Row],[Diferencia]]*N(INDEX(tblProductos[CostoUnitario],ROW()-ROW(tblConteo[#Headers]))))</f>
        <v/>
      </c>
      <c r="L18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8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0" spans="2:13" x14ac:dyDescent="0.25">
      <c r="B190" s="43" t="str">
        <f>IF(INDEX(tblProductos[SKU],ROW()-ROW(tblConteo[#Headers]))="","",INDEX(tblProductos[SKU],ROW()-ROW(tblConteo[#Headers])))</f>
        <v/>
      </c>
      <c r="C190" s="50" t="str">
        <f>IF(tblConteo[[#This Row],[SKU]]="","",INDEX(tblProductos[Producto],ROW()-ROW(tblConteo[#Headers])))</f>
        <v/>
      </c>
      <c r="D190" s="50" t="str">
        <f>IF(tblConteo[[#This Row],[SKU]]="","",INDEX(tblProductos[Categoría],ROW()-ROW(tblConteo[#Headers]))&amp;"")</f>
        <v/>
      </c>
      <c r="E190" s="43" t="str">
        <f>IF(tblConteo[[#This Row],[SKU]]="","",INDEX(tblProductos[Ubicación],ROW()-ROW(tblConteo[#Headers]))&amp;"")</f>
        <v/>
      </c>
      <c r="F190" s="43" t="str">
        <f>IF(tblConteo[[#This Row],[SKU]]="","",INDEX(tblProductos[Unidad],ROW()-ROW(tblConteo[#Headers]))&amp;"")</f>
        <v/>
      </c>
      <c r="G190" s="43" t="str">
        <f>IF(tblConteo[[#This Row],[SKU]]="","",IF(INDEX(tblProductos[Activo],ROW()-ROW(tblConteo[#Headers]))="NO","NO","SI"))</f>
        <v/>
      </c>
      <c r="H190" s="54" t="str">
        <f>IF(tblConteo[[#This Row],[SKU]]="","",IFERROR(N(INDEX(tblStock[StockActual],MATCH(tblConteo[[#This Row],[SKU]],tblStock[SKU],0))),0))</f>
        <v/>
      </c>
      <c r="I190" s="53"/>
      <c r="J190" s="60" t="str">
        <f>IF(OR(tblConteo[[#This Row],[SKU]]="",tblConteo[[#This Row],[Conteo]]=""),"",IF(ISNUMBER(tblConteo[[#This Row],[Conteo]]),tblConteo[[#This Row],[Conteo]]-N(tblConteo[[#This Row],[Sistema]]),""))</f>
        <v/>
      </c>
      <c r="K190" s="63" t="str">
        <f>IF(tblConteo[[#This Row],[Diferencia]]="","",tblConteo[[#This Row],[Diferencia]]*N(INDEX(tblProductos[CostoUnitario],ROW()-ROW(tblConteo[#Headers]))))</f>
        <v/>
      </c>
      <c r="L19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1" spans="2:13" x14ac:dyDescent="0.25">
      <c r="B191" s="43" t="str">
        <f>IF(INDEX(tblProductos[SKU],ROW()-ROW(tblConteo[#Headers]))="","",INDEX(tblProductos[SKU],ROW()-ROW(tblConteo[#Headers])))</f>
        <v/>
      </c>
      <c r="C191" s="50" t="str">
        <f>IF(tblConteo[[#This Row],[SKU]]="","",INDEX(tblProductos[Producto],ROW()-ROW(tblConteo[#Headers])))</f>
        <v/>
      </c>
      <c r="D191" s="50" t="str">
        <f>IF(tblConteo[[#This Row],[SKU]]="","",INDEX(tblProductos[Categoría],ROW()-ROW(tblConteo[#Headers]))&amp;"")</f>
        <v/>
      </c>
      <c r="E191" s="43" t="str">
        <f>IF(tblConteo[[#This Row],[SKU]]="","",INDEX(tblProductos[Ubicación],ROW()-ROW(tblConteo[#Headers]))&amp;"")</f>
        <v/>
      </c>
      <c r="F191" s="43" t="str">
        <f>IF(tblConteo[[#This Row],[SKU]]="","",INDEX(tblProductos[Unidad],ROW()-ROW(tblConteo[#Headers]))&amp;"")</f>
        <v/>
      </c>
      <c r="G191" s="43" t="str">
        <f>IF(tblConteo[[#This Row],[SKU]]="","",IF(INDEX(tblProductos[Activo],ROW()-ROW(tblConteo[#Headers]))="NO","NO","SI"))</f>
        <v/>
      </c>
      <c r="H191" s="54" t="str">
        <f>IF(tblConteo[[#This Row],[SKU]]="","",IFERROR(N(INDEX(tblStock[StockActual],MATCH(tblConteo[[#This Row],[SKU]],tblStock[SKU],0))),0))</f>
        <v/>
      </c>
      <c r="I191" s="53"/>
      <c r="J191" s="60" t="str">
        <f>IF(OR(tblConteo[[#This Row],[SKU]]="",tblConteo[[#This Row],[Conteo]]=""),"",IF(ISNUMBER(tblConteo[[#This Row],[Conteo]]),tblConteo[[#This Row],[Conteo]]-N(tblConteo[[#This Row],[Sistema]]),""))</f>
        <v/>
      </c>
      <c r="K191" s="63" t="str">
        <f>IF(tblConteo[[#This Row],[Diferencia]]="","",tblConteo[[#This Row],[Diferencia]]*N(INDEX(tblProductos[CostoUnitario],ROW()-ROW(tblConteo[#Headers]))))</f>
        <v/>
      </c>
      <c r="L19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2" spans="2:13" x14ac:dyDescent="0.25">
      <c r="B192" s="43" t="str">
        <f>IF(INDEX(tblProductos[SKU],ROW()-ROW(tblConteo[#Headers]))="","",INDEX(tblProductos[SKU],ROW()-ROW(tblConteo[#Headers])))</f>
        <v/>
      </c>
      <c r="C192" s="50" t="str">
        <f>IF(tblConteo[[#This Row],[SKU]]="","",INDEX(tblProductos[Producto],ROW()-ROW(tblConteo[#Headers])))</f>
        <v/>
      </c>
      <c r="D192" s="50" t="str">
        <f>IF(tblConteo[[#This Row],[SKU]]="","",INDEX(tblProductos[Categoría],ROW()-ROW(tblConteo[#Headers]))&amp;"")</f>
        <v/>
      </c>
      <c r="E192" s="43" t="str">
        <f>IF(tblConteo[[#This Row],[SKU]]="","",INDEX(tblProductos[Ubicación],ROW()-ROW(tblConteo[#Headers]))&amp;"")</f>
        <v/>
      </c>
      <c r="F192" s="43" t="str">
        <f>IF(tblConteo[[#This Row],[SKU]]="","",INDEX(tblProductos[Unidad],ROW()-ROW(tblConteo[#Headers]))&amp;"")</f>
        <v/>
      </c>
      <c r="G192" s="43" t="str">
        <f>IF(tblConteo[[#This Row],[SKU]]="","",IF(INDEX(tblProductos[Activo],ROW()-ROW(tblConteo[#Headers]))="NO","NO","SI"))</f>
        <v/>
      </c>
      <c r="H192" s="54" t="str">
        <f>IF(tblConteo[[#This Row],[SKU]]="","",IFERROR(N(INDEX(tblStock[StockActual],MATCH(tblConteo[[#This Row],[SKU]],tblStock[SKU],0))),0))</f>
        <v/>
      </c>
      <c r="I192" s="53"/>
      <c r="J192" s="60" t="str">
        <f>IF(OR(tblConteo[[#This Row],[SKU]]="",tblConteo[[#This Row],[Conteo]]=""),"",IF(ISNUMBER(tblConteo[[#This Row],[Conteo]]),tblConteo[[#This Row],[Conteo]]-N(tblConteo[[#This Row],[Sistema]]),""))</f>
        <v/>
      </c>
      <c r="K192" s="63" t="str">
        <f>IF(tblConteo[[#This Row],[Diferencia]]="","",tblConteo[[#This Row],[Diferencia]]*N(INDEX(tblProductos[CostoUnitario],ROW()-ROW(tblConteo[#Headers]))))</f>
        <v/>
      </c>
      <c r="L19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3" spans="2:13" x14ac:dyDescent="0.25">
      <c r="B193" s="43" t="str">
        <f>IF(INDEX(tblProductos[SKU],ROW()-ROW(tblConteo[#Headers]))="","",INDEX(tblProductos[SKU],ROW()-ROW(tblConteo[#Headers])))</f>
        <v/>
      </c>
      <c r="C193" s="50" t="str">
        <f>IF(tblConteo[[#This Row],[SKU]]="","",INDEX(tblProductos[Producto],ROW()-ROW(tblConteo[#Headers])))</f>
        <v/>
      </c>
      <c r="D193" s="50" t="str">
        <f>IF(tblConteo[[#This Row],[SKU]]="","",INDEX(tblProductos[Categoría],ROW()-ROW(tblConteo[#Headers]))&amp;"")</f>
        <v/>
      </c>
      <c r="E193" s="43" t="str">
        <f>IF(tblConteo[[#This Row],[SKU]]="","",INDEX(tblProductos[Ubicación],ROW()-ROW(tblConteo[#Headers]))&amp;"")</f>
        <v/>
      </c>
      <c r="F193" s="43" t="str">
        <f>IF(tblConteo[[#This Row],[SKU]]="","",INDEX(tblProductos[Unidad],ROW()-ROW(tblConteo[#Headers]))&amp;"")</f>
        <v/>
      </c>
      <c r="G193" s="43" t="str">
        <f>IF(tblConteo[[#This Row],[SKU]]="","",IF(INDEX(tblProductos[Activo],ROW()-ROW(tblConteo[#Headers]))="NO","NO","SI"))</f>
        <v/>
      </c>
      <c r="H193" s="54" t="str">
        <f>IF(tblConteo[[#This Row],[SKU]]="","",IFERROR(N(INDEX(tblStock[StockActual],MATCH(tblConteo[[#This Row],[SKU]],tblStock[SKU],0))),0))</f>
        <v/>
      </c>
      <c r="I193" s="53"/>
      <c r="J193" s="60" t="str">
        <f>IF(OR(tblConteo[[#This Row],[SKU]]="",tblConteo[[#This Row],[Conteo]]=""),"",IF(ISNUMBER(tblConteo[[#This Row],[Conteo]]),tblConteo[[#This Row],[Conteo]]-N(tblConteo[[#This Row],[Sistema]]),""))</f>
        <v/>
      </c>
      <c r="K193" s="63" t="str">
        <f>IF(tblConteo[[#This Row],[Diferencia]]="","",tblConteo[[#This Row],[Diferencia]]*N(INDEX(tblProductos[CostoUnitario],ROW()-ROW(tblConteo[#Headers]))))</f>
        <v/>
      </c>
      <c r="L19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4" spans="2:13" x14ac:dyDescent="0.25">
      <c r="B194" s="43" t="str">
        <f>IF(INDEX(tblProductos[SKU],ROW()-ROW(tblConteo[#Headers]))="","",INDEX(tblProductos[SKU],ROW()-ROW(tblConteo[#Headers])))</f>
        <v/>
      </c>
      <c r="C194" s="50" t="str">
        <f>IF(tblConteo[[#This Row],[SKU]]="","",INDEX(tblProductos[Producto],ROW()-ROW(tblConteo[#Headers])))</f>
        <v/>
      </c>
      <c r="D194" s="50" t="str">
        <f>IF(tblConteo[[#This Row],[SKU]]="","",INDEX(tblProductos[Categoría],ROW()-ROW(tblConteo[#Headers]))&amp;"")</f>
        <v/>
      </c>
      <c r="E194" s="43" t="str">
        <f>IF(tblConteo[[#This Row],[SKU]]="","",INDEX(tblProductos[Ubicación],ROW()-ROW(tblConteo[#Headers]))&amp;"")</f>
        <v/>
      </c>
      <c r="F194" s="43" t="str">
        <f>IF(tblConteo[[#This Row],[SKU]]="","",INDEX(tblProductos[Unidad],ROW()-ROW(tblConteo[#Headers]))&amp;"")</f>
        <v/>
      </c>
      <c r="G194" s="43" t="str">
        <f>IF(tblConteo[[#This Row],[SKU]]="","",IF(INDEX(tblProductos[Activo],ROW()-ROW(tblConteo[#Headers]))="NO","NO","SI"))</f>
        <v/>
      </c>
      <c r="H194" s="54" t="str">
        <f>IF(tblConteo[[#This Row],[SKU]]="","",IFERROR(N(INDEX(tblStock[StockActual],MATCH(tblConteo[[#This Row],[SKU]],tblStock[SKU],0))),0))</f>
        <v/>
      </c>
      <c r="I194" s="53"/>
      <c r="J194" s="60" t="str">
        <f>IF(OR(tblConteo[[#This Row],[SKU]]="",tblConteo[[#This Row],[Conteo]]=""),"",IF(ISNUMBER(tblConteo[[#This Row],[Conteo]]),tblConteo[[#This Row],[Conteo]]-N(tblConteo[[#This Row],[Sistema]]),""))</f>
        <v/>
      </c>
      <c r="K194" s="63" t="str">
        <f>IF(tblConteo[[#This Row],[Diferencia]]="","",tblConteo[[#This Row],[Diferencia]]*N(INDEX(tblProductos[CostoUnitario],ROW()-ROW(tblConteo[#Headers]))))</f>
        <v/>
      </c>
      <c r="L19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5" spans="2:13" x14ac:dyDescent="0.25">
      <c r="B195" s="43" t="str">
        <f>IF(INDEX(tblProductos[SKU],ROW()-ROW(tblConteo[#Headers]))="","",INDEX(tblProductos[SKU],ROW()-ROW(tblConteo[#Headers])))</f>
        <v/>
      </c>
      <c r="C195" s="50" t="str">
        <f>IF(tblConteo[[#This Row],[SKU]]="","",INDEX(tblProductos[Producto],ROW()-ROW(tblConteo[#Headers])))</f>
        <v/>
      </c>
      <c r="D195" s="50" t="str">
        <f>IF(tblConteo[[#This Row],[SKU]]="","",INDEX(tblProductos[Categoría],ROW()-ROW(tblConteo[#Headers]))&amp;"")</f>
        <v/>
      </c>
      <c r="E195" s="43" t="str">
        <f>IF(tblConteo[[#This Row],[SKU]]="","",INDEX(tblProductos[Ubicación],ROW()-ROW(tblConteo[#Headers]))&amp;"")</f>
        <v/>
      </c>
      <c r="F195" s="43" t="str">
        <f>IF(tblConteo[[#This Row],[SKU]]="","",INDEX(tblProductos[Unidad],ROW()-ROW(tblConteo[#Headers]))&amp;"")</f>
        <v/>
      </c>
      <c r="G195" s="43" t="str">
        <f>IF(tblConteo[[#This Row],[SKU]]="","",IF(INDEX(tblProductos[Activo],ROW()-ROW(tblConteo[#Headers]))="NO","NO","SI"))</f>
        <v/>
      </c>
      <c r="H195" s="54" t="str">
        <f>IF(tblConteo[[#This Row],[SKU]]="","",IFERROR(N(INDEX(tblStock[StockActual],MATCH(tblConteo[[#This Row],[SKU]],tblStock[SKU],0))),0))</f>
        <v/>
      </c>
      <c r="I195" s="53"/>
      <c r="J195" s="60" t="str">
        <f>IF(OR(tblConteo[[#This Row],[SKU]]="",tblConteo[[#This Row],[Conteo]]=""),"",IF(ISNUMBER(tblConteo[[#This Row],[Conteo]]),tblConteo[[#This Row],[Conteo]]-N(tblConteo[[#This Row],[Sistema]]),""))</f>
        <v/>
      </c>
      <c r="K195" s="63" t="str">
        <f>IF(tblConteo[[#This Row],[Diferencia]]="","",tblConteo[[#This Row],[Diferencia]]*N(INDEX(tblProductos[CostoUnitario],ROW()-ROW(tblConteo[#Headers]))))</f>
        <v/>
      </c>
      <c r="L19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6" spans="2:13" x14ac:dyDescent="0.25">
      <c r="B196" s="43" t="str">
        <f>IF(INDEX(tblProductos[SKU],ROW()-ROW(tblConteo[#Headers]))="","",INDEX(tblProductos[SKU],ROW()-ROW(tblConteo[#Headers])))</f>
        <v/>
      </c>
      <c r="C196" s="50" t="str">
        <f>IF(tblConteo[[#This Row],[SKU]]="","",INDEX(tblProductos[Producto],ROW()-ROW(tblConteo[#Headers])))</f>
        <v/>
      </c>
      <c r="D196" s="50" t="str">
        <f>IF(tblConteo[[#This Row],[SKU]]="","",INDEX(tblProductos[Categoría],ROW()-ROW(tblConteo[#Headers]))&amp;"")</f>
        <v/>
      </c>
      <c r="E196" s="43" t="str">
        <f>IF(tblConteo[[#This Row],[SKU]]="","",INDEX(tblProductos[Ubicación],ROW()-ROW(tblConteo[#Headers]))&amp;"")</f>
        <v/>
      </c>
      <c r="F196" s="43" t="str">
        <f>IF(tblConteo[[#This Row],[SKU]]="","",INDEX(tblProductos[Unidad],ROW()-ROW(tblConteo[#Headers]))&amp;"")</f>
        <v/>
      </c>
      <c r="G196" s="43" t="str">
        <f>IF(tblConteo[[#This Row],[SKU]]="","",IF(INDEX(tblProductos[Activo],ROW()-ROW(tblConteo[#Headers]))="NO","NO","SI"))</f>
        <v/>
      </c>
      <c r="H196" s="54" t="str">
        <f>IF(tblConteo[[#This Row],[SKU]]="","",IFERROR(N(INDEX(tblStock[StockActual],MATCH(tblConteo[[#This Row],[SKU]],tblStock[SKU],0))),0))</f>
        <v/>
      </c>
      <c r="I196" s="53"/>
      <c r="J196" s="60" t="str">
        <f>IF(OR(tblConteo[[#This Row],[SKU]]="",tblConteo[[#This Row],[Conteo]]=""),"",IF(ISNUMBER(tblConteo[[#This Row],[Conteo]]),tblConteo[[#This Row],[Conteo]]-N(tblConteo[[#This Row],[Sistema]]),""))</f>
        <v/>
      </c>
      <c r="K196" s="63" t="str">
        <f>IF(tblConteo[[#This Row],[Diferencia]]="","",tblConteo[[#This Row],[Diferencia]]*N(INDEX(tblProductos[CostoUnitario],ROW()-ROW(tblConteo[#Headers]))))</f>
        <v/>
      </c>
      <c r="L19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7" spans="2:13" x14ac:dyDescent="0.25">
      <c r="B197" s="43" t="str">
        <f>IF(INDEX(tblProductos[SKU],ROW()-ROW(tblConteo[#Headers]))="","",INDEX(tblProductos[SKU],ROW()-ROW(tblConteo[#Headers])))</f>
        <v/>
      </c>
      <c r="C197" s="50" t="str">
        <f>IF(tblConteo[[#This Row],[SKU]]="","",INDEX(tblProductos[Producto],ROW()-ROW(tblConteo[#Headers])))</f>
        <v/>
      </c>
      <c r="D197" s="50" t="str">
        <f>IF(tblConteo[[#This Row],[SKU]]="","",INDEX(tblProductos[Categoría],ROW()-ROW(tblConteo[#Headers]))&amp;"")</f>
        <v/>
      </c>
      <c r="E197" s="43" t="str">
        <f>IF(tblConteo[[#This Row],[SKU]]="","",INDEX(tblProductos[Ubicación],ROW()-ROW(tblConteo[#Headers]))&amp;"")</f>
        <v/>
      </c>
      <c r="F197" s="43" t="str">
        <f>IF(tblConteo[[#This Row],[SKU]]="","",INDEX(tblProductos[Unidad],ROW()-ROW(tblConteo[#Headers]))&amp;"")</f>
        <v/>
      </c>
      <c r="G197" s="43" t="str">
        <f>IF(tblConteo[[#This Row],[SKU]]="","",IF(INDEX(tblProductos[Activo],ROW()-ROW(tblConteo[#Headers]))="NO","NO","SI"))</f>
        <v/>
      </c>
      <c r="H197" s="54" t="str">
        <f>IF(tblConteo[[#This Row],[SKU]]="","",IFERROR(N(INDEX(tblStock[StockActual],MATCH(tblConteo[[#This Row],[SKU]],tblStock[SKU],0))),0))</f>
        <v/>
      </c>
      <c r="I197" s="53"/>
      <c r="J197" s="60" t="str">
        <f>IF(OR(tblConteo[[#This Row],[SKU]]="",tblConteo[[#This Row],[Conteo]]=""),"",IF(ISNUMBER(tblConteo[[#This Row],[Conteo]]),tblConteo[[#This Row],[Conteo]]-N(tblConteo[[#This Row],[Sistema]]),""))</f>
        <v/>
      </c>
      <c r="K197" s="63" t="str">
        <f>IF(tblConteo[[#This Row],[Diferencia]]="","",tblConteo[[#This Row],[Diferencia]]*N(INDEX(tblProductos[CostoUnitario],ROW()-ROW(tblConteo[#Headers]))))</f>
        <v/>
      </c>
      <c r="L19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8" spans="2:13" x14ac:dyDescent="0.25">
      <c r="B198" s="43" t="str">
        <f>IF(INDEX(tblProductos[SKU],ROW()-ROW(tblConteo[#Headers]))="","",INDEX(tblProductos[SKU],ROW()-ROW(tblConteo[#Headers])))</f>
        <v/>
      </c>
      <c r="C198" s="50" t="str">
        <f>IF(tblConteo[[#This Row],[SKU]]="","",INDEX(tblProductos[Producto],ROW()-ROW(tblConteo[#Headers])))</f>
        <v/>
      </c>
      <c r="D198" s="50" t="str">
        <f>IF(tblConteo[[#This Row],[SKU]]="","",INDEX(tblProductos[Categoría],ROW()-ROW(tblConteo[#Headers]))&amp;"")</f>
        <v/>
      </c>
      <c r="E198" s="43" t="str">
        <f>IF(tblConteo[[#This Row],[SKU]]="","",INDEX(tblProductos[Ubicación],ROW()-ROW(tblConteo[#Headers]))&amp;"")</f>
        <v/>
      </c>
      <c r="F198" s="43" t="str">
        <f>IF(tblConteo[[#This Row],[SKU]]="","",INDEX(tblProductos[Unidad],ROW()-ROW(tblConteo[#Headers]))&amp;"")</f>
        <v/>
      </c>
      <c r="G198" s="43" t="str">
        <f>IF(tblConteo[[#This Row],[SKU]]="","",IF(INDEX(tblProductos[Activo],ROW()-ROW(tblConteo[#Headers]))="NO","NO","SI"))</f>
        <v/>
      </c>
      <c r="H198" s="54" t="str">
        <f>IF(tblConteo[[#This Row],[SKU]]="","",IFERROR(N(INDEX(tblStock[StockActual],MATCH(tblConteo[[#This Row],[SKU]],tblStock[SKU],0))),0))</f>
        <v/>
      </c>
      <c r="I198" s="53"/>
      <c r="J198" s="60" t="str">
        <f>IF(OR(tblConteo[[#This Row],[SKU]]="",tblConteo[[#This Row],[Conteo]]=""),"",IF(ISNUMBER(tblConteo[[#This Row],[Conteo]]),tblConteo[[#This Row],[Conteo]]-N(tblConteo[[#This Row],[Sistema]]),""))</f>
        <v/>
      </c>
      <c r="K198" s="63" t="str">
        <f>IF(tblConteo[[#This Row],[Diferencia]]="","",tblConteo[[#This Row],[Diferencia]]*N(INDEX(tblProductos[CostoUnitario],ROW()-ROW(tblConteo[#Headers]))))</f>
        <v/>
      </c>
      <c r="L19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199" spans="2:13" x14ac:dyDescent="0.25">
      <c r="B199" s="43" t="str">
        <f>IF(INDEX(tblProductos[SKU],ROW()-ROW(tblConteo[#Headers]))="","",INDEX(tblProductos[SKU],ROW()-ROW(tblConteo[#Headers])))</f>
        <v/>
      </c>
      <c r="C199" s="50" t="str">
        <f>IF(tblConteo[[#This Row],[SKU]]="","",INDEX(tblProductos[Producto],ROW()-ROW(tblConteo[#Headers])))</f>
        <v/>
      </c>
      <c r="D199" s="50" t="str">
        <f>IF(tblConteo[[#This Row],[SKU]]="","",INDEX(tblProductos[Categoría],ROW()-ROW(tblConteo[#Headers]))&amp;"")</f>
        <v/>
      </c>
      <c r="E199" s="43" t="str">
        <f>IF(tblConteo[[#This Row],[SKU]]="","",INDEX(tblProductos[Ubicación],ROW()-ROW(tblConteo[#Headers]))&amp;"")</f>
        <v/>
      </c>
      <c r="F199" s="43" t="str">
        <f>IF(tblConteo[[#This Row],[SKU]]="","",INDEX(tblProductos[Unidad],ROW()-ROW(tblConteo[#Headers]))&amp;"")</f>
        <v/>
      </c>
      <c r="G199" s="43" t="str">
        <f>IF(tblConteo[[#This Row],[SKU]]="","",IF(INDEX(tblProductos[Activo],ROW()-ROW(tblConteo[#Headers]))="NO","NO","SI"))</f>
        <v/>
      </c>
      <c r="H199" s="54" t="str">
        <f>IF(tblConteo[[#This Row],[SKU]]="","",IFERROR(N(INDEX(tblStock[StockActual],MATCH(tblConteo[[#This Row],[SKU]],tblStock[SKU],0))),0))</f>
        <v/>
      </c>
      <c r="I199" s="53"/>
      <c r="J199" s="60" t="str">
        <f>IF(OR(tblConteo[[#This Row],[SKU]]="",tblConteo[[#This Row],[Conteo]]=""),"",IF(ISNUMBER(tblConteo[[#This Row],[Conteo]]),tblConteo[[#This Row],[Conteo]]-N(tblConteo[[#This Row],[Sistema]]),""))</f>
        <v/>
      </c>
      <c r="K199" s="63" t="str">
        <f>IF(tblConteo[[#This Row],[Diferencia]]="","",tblConteo[[#This Row],[Diferencia]]*N(INDEX(tblProductos[CostoUnitario],ROW()-ROW(tblConteo[#Headers]))))</f>
        <v/>
      </c>
      <c r="L19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19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0" spans="2:13" x14ac:dyDescent="0.25">
      <c r="B200" s="43" t="str">
        <f>IF(INDEX(tblProductos[SKU],ROW()-ROW(tblConteo[#Headers]))="","",INDEX(tblProductos[SKU],ROW()-ROW(tblConteo[#Headers])))</f>
        <v/>
      </c>
      <c r="C200" s="50" t="str">
        <f>IF(tblConteo[[#This Row],[SKU]]="","",INDEX(tblProductos[Producto],ROW()-ROW(tblConteo[#Headers])))</f>
        <v/>
      </c>
      <c r="D200" s="50" t="str">
        <f>IF(tblConteo[[#This Row],[SKU]]="","",INDEX(tblProductos[Categoría],ROW()-ROW(tblConteo[#Headers]))&amp;"")</f>
        <v/>
      </c>
      <c r="E200" s="43" t="str">
        <f>IF(tblConteo[[#This Row],[SKU]]="","",INDEX(tblProductos[Ubicación],ROW()-ROW(tblConteo[#Headers]))&amp;"")</f>
        <v/>
      </c>
      <c r="F200" s="43" t="str">
        <f>IF(tblConteo[[#This Row],[SKU]]="","",INDEX(tblProductos[Unidad],ROW()-ROW(tblConteo[#Headers]))&amp;"")</f>
        <v/>
      </c>
      <c r="G200" s="43" t="str">
        <f>IF(tblConteo[[#This Row],[SKU]]="","",IF(INDEX(tblProductos[Activo],ROW()-ROW(tblConteo[#Headers]))="NO","NO","SI"))</f>
        <v/>
      </c>
      <c r="H200" s="54" t="str">
        <f>IF(tblConteo[[#This Row],[SKU]]="","",IFERROR(N(INDEX(tblStock[StockActual],MATCH(tblConteo[[#This Row],[SKU]],tblStock[SKU],0))),0))</f>
        <v/>
      </c>
      <c r="I200" s="53"/>
      <c r="J200" s="60" t="str">
        <f>IF(OR(tblConteo[[#This Row],[SKU]]="",tblConteo[[#This Row],[Conteo]]=""),"",IF(ISNUMBER(tblConteo[[#This Row],[Conteo]]),tblConteo[[#This Row],[Conteo]]-N(tblConteo[[#This Row],[Sistema]]),""))</f>
        <v/>
      </c>
      <c r="K200" s="63" t="str">
        <f>IF(tblConteo[[#This Row],[Diferencia]]="","",tblConteo[[#This Row],[Diferencia]]*N(INDEX(tblProductos[CostoUnitario],ROW()-ROW(tblConteo[#Headers]))))</f>
        <v/>
      </c>
      <c r="L20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1" spans="2:13" x14ac:dyDescent="0.25">
      <c r="B201" s="43" t="str">
        <f>IF(INDEX(tblProductos[SKU],ROW()-ROW(tblConteo[#Headers]))="","",INDEX(tblProductos[SKU],ROW()-ROW(tblConteo[#Headers])))</f>
        <v/>
      </c>
      <c r="C201" s="50" t="str">
        <f>IF(tblConteo[[#This Row],[SKU]]="","",INDEX(tblProductos[Producto],ROW()-ROW(tblConteo[#Headers])))</f>
        <v/>
      </c>
      <c r="D201" s="50" t="str">
        <f>IF(tblConteo[[#This Row],[SKU]]="","",INDEX(tblProductos[Categoría],ROW()-ROW(tblConteo[#Headers]))&amp;"")</f>
        <v/>
      </c>
      <c r="E201" s="43" t="str">
        <f>IF(tblConteo[[#This Row],[SKU]]="","",INDEX(tblProductos[Ubicación],ROW()-ROW(tblConteo[#Headers]))&amp;"")</f>
        <v/>
      </c>
      <c r="F201" s="43" t="str">
        <f>IF(tblConteo[[#This Row],[SKU]]="","",INDEX(tblProductos[Unidad],ROW()-ROW(tblConteo[#Headers]))&amp;"")</f>
        <v/>
      </c>
      <c r="G201" s="43" t="str">
        <f>IF(tblConteo[[#This Row],[SKU]]="","",IF(INDEX(tblProductos[Activo],ROW()-ROW(tblConteo[#Headers]))="NO","NO","SI"))</f>
        <v/>
      </c>
      <c r="H201" s="54" t="str">
        <f>IF(tblConteo[[#This Row],[SKU]]="","",IFERROR(N(INDEX(tblStock[StockActual],MATCH(tblConteo[[#This Row],[SKU]],tblStock[SKU],0))),0))</f>
        <v/>
      </c>
      <c r="I201" s="53"/>
      <c r="J201" s="60" t="str">
        <f>IF(OR(tblConteo[[#This Row],[SKU]]="",tblConteo[[#This Row],[Conteo]]=""),"",IF(ISNUMBER(tblConteo[[#This Row],[Conteo]]),tblConteo[[#This Row],[Conteo]]-N(tblConteo[[#This Row],[Sistema]]),""))</f>
        <v/>
      </c>
      <c r="K201" s="63" t="str">
        <f>IF(tblConteo[[#This Row],[Diferencia]]="","",tblConteo[[#This Row],[Diferencia]]*N(INDEX(tblProductos[CostoUnitario],ROW()-ROW(tblConteo[#Headers]))))</f>
        <v/>
      </c>
      <c r="L20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2" spans="2:13" x14ac:dyDescent="0.25">
      <c r="B202" s="43" t="str">
        <f>IF(INDEX(tblProductos[SKU],ROW()-ROW(tblConteo[#Headers]))="","",INDEX(tblProductos[SKU],ROW()-ROW(tblConteo[#Headers])))</f>
        <v/>
      </c>
      <c r="C202" s="50" t="str">
        <f>IF(tblConteo[[#This Row],[SKU]]="","",INDEX(tblProductos[Producto],ROW()-ROW(tblConteo[#Headers])))</f>
        <v/>
      </c>
      <c r="D202" s="50" t="str">
        <f>IF(tblConteo[[#This Row],[SKU]]="","",INDEX(tblProductos[Categoría],ROW()-ROW(tblConteo[#Headers]))&amp;"")</f>
        <v/>
      </c>
      <c r="E202" s="43" t="str">
        <f>IF(tblConteo[[#This Row],[SKU]]="","",INDEX(tblProductos[Ubicación],ROW()-ROW(tblConteo[#Headers]))&amp;"")</f>
        <v/>
      </c>
      <c r="F202" s="43" t="str">
        <f>IF(tblConteo[[#This Row],[SKU]]="","",INDEX(tblProductos[Unidad],ROW()-ROW(tblConteo[#Headers]))&amp;"")</f>
        <v/>
      </c>
      <c r="G202" s="43" t="str">
        <f>IF(tblConteo[[#This Row],[SKU]]="","",IF(INDEX(tblProductos[Activo],ROW()-ROW(tblConteo[#Headers]))="NO","NO","SI"))</f>
        <v/>
      </c>
      <c r="H202" s="54" t="str">
        <f>IF(tblConteo[[#This Row],[SKU]]="","",IFERROR(N(INDEX(tblStock[StockActual],MATCH(tblConteo[[#This Row],[SKU]],tblStock[SKU],0))),0))</f>
        <v/>
      </c>
      <c r="I202" s="53"/>
      <c r="J202" s="60" t="str">
        <f>IF(OR(tblConteo[[#This Row],[SKU]]="",tblConteo[[#This Row],[Conteo]]=""),"",IF(ISNUMBER(tblConteo[[#This Row],[Conteo]]),tblConteo[[#This Row],[Conteo]]-N(tblConteo[[#This Row],[Sistema]]),""))</f>
        <v/>
      </c>
      <c r="K202" s="63" t="str">
        <f>IF(tblConteo[[#This Row],[Diferencia]]="","",tblConteo[[#This Row],[Diferencia]]*N(INDEX(tblProductos[CostoUnitario],ROW()-ROW(tblConteo[#Headers]))))</f>
        <v/>
      </c>
      <c r="L20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3" spans="2:13" x14ac:dyDescent="0.25">
      <c r="B203" s="43" t="str">
        <f>IF(INDEX(tblProductos[SKU],ROW()-ROW(tblConteo[#Headers]))="","",INDEX(tblProductos[SKU],ROW()-ROW(tblConteo[#Headers])))</f>
        <v/>
      </c>
      <c r="C203" s="50" t="str">
        <f>IF(tblConteo[[#This Row],[SKU]]="","",INDEX(tblProductos[Producto],ROW()-ROW(tblConteo[#Headers])))</f>
        <v/>
      </c>
      <c r="D203" s="50" t="str">
        <f>IF(tblConteo[[#This Row],[SKU]]="","",INDEX(tblProductos[Categoría],ROW()-ROW(tblConteo[#Headers]))&amp;"")</f>
        <v/>
      </c>
      <c r="E203" s="43" t="str">
        <f>IF(tblConteo[[#This Row],[SKU]]="","",INDEX(tblProductos[Ubicación],ROW()-ROW(tblConteo[#Headers]))&amp;"")</f>
        <v/>
      </c>
      <c r="F203" s="43" t="str">
        <f>IF(tblConteo[[#This Row],[SKU]]="","",INDEX(tblProductos[Unidad],ROW()-ROW(tblConteo[#Headers]))&amp;"")</f>
        <v/>
      </c>
      <c r="G203" s="43" t="str">
        <f>IF(tblConteo[[#This Row],[SKU]]="","",IF(INDEX(tblProductos[Activo],ROW()-ROW(tblConteo[#Headers]))="NO","NO","SI"))</f>
        <v/>
      </c>
      <c r="H203" s="54" t="str">
        <f>IF(tblConteo[[#This Row],[SKU]]="","",IFERROR(N(INDEX(tblStock[StockActual],MATCH(tblConteo[[#This Row],[SKU]],tblStock[SKU],0))),0))</f>
        <v/>
      </c>
      <c r="I203" s="53"/>
      <c r="J203" s="60" t="str">
        <f>IF(OR(tblConteo[[#This Row],[SKU]]="",tblConteo[[#This Row],[Conteo]]=""),"",IF(ISNUMBER(tblConteo[[#This Row],[Conteo]]),tblConteo[[#This Row],[Conteo]]-N(tblConteo[[#This Row],[Sistema]]),""))</f>
        <v/>
      </c>
      <c r="K203" s="63" t="str">
        <f>IF(tblConteo[[#This Row],[Diferencia]]="","",tblConteo[[#This Row],[Diferencia]]*N(INDEX(tblProductos[CostoUnitario],ROW()-ROW(tblConteo[#Headers]))))</f>
        <v/>
      </c>
      <c r="L20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4" spans="2:13" x14ac:dyDescent="0.25">
      <c r="B204" s="43" t="str">
        <f>IF(INDEX(tblProductos[SKU],ROW()-ROW(tblConteo[#Headers]))="","",INDEX(tblProductos[SKU],ROW()-ROW(tblConteo[#Headers])))</f>
        <v/>
      </c>
      <c r="C204" s="50" t="str">
        <f>IF(tblConteo[[#This Row],[SKU]]="","",INDEX(tblProductos[Producto],ROW()-ROW(tblConteo[#Headers])))</f>
        <v/>
      </c>
      <c r="D204" s="50" t="str">
        <f>IF(tblConteo[[#This Row],[SKU]]="","",INDEX(tblProductos[Categoría],ROW()-ROW(tblConteo[#Headers]))&amp;"")</f>
        <v/>
      </c>
      <c r="E204" s="43" t="str">
        <f>IF(tblConteo[[#This Row],[SKU]]="","",INDEX(tblProductos[Ubicación],ROW()-ROW(tblConteo[#Headers]))&amp;"")</f>
        <v/>
      </c>
      <c r="F204" s="43" t="str">
        <f>IF(tblConteo[[#This Row],[SKU]]="","",INDEX(tblProductos[Unidad],ROW()-ROW(tblConteo[#Headers]))&amp;"")</f>
        <v/>
      </c>
      <c r="G204" s="43" t="str">
        <f>IF(tblConteo[[#This Row],[SKU]]="","",IF(INDEX(tblProductos[Activo],ROW()-ROW(tblConteo[#Headers]))="NO","NO","SI"))</f>
        <v/>
      </c>
      <c r="H204" s="54" t="str">
        <f>IF(tblConteo[[#This Row],[SKU]]="","",IFERROR(N(INDEX(tblStock[StockActual],MATCH(tblConteo[[#This Row],[SKU]],tblStock[SKU],0))),0))</f>
        <v/>
      </c>
      <c r="I204" s="53"/>
      <c r="J204" s="60" t="str">
        <f>IF(OR(tblConteo[[#This Row],[SKU]]="",tblConteo[[#This Row],[Conteo]]=""),"",IF(ISNUMBER(tblConteo[[#This Row],[Conteo]]),tblConteo[[#This Row],[Conteo]]-N(tblConteo[[#This Row],[Sistema]]),""))</f>
        <v/>
      </c>
      <c r="K204" s="63" t="str">
        <f>IF(tblConteo[[#This Row],[Diferencia]]="","",tblConteo[[#This Row],[Diferencia]]*N(INDEX(tblProductos[CostoUnitario],ROW()-ROW(tblConteo[#Headers]))))</f>
        <v/>
      </c>
      <c r="L20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5" spans="2:13" x14ac:dyDescent="0.25">
      <c r="B205" s="43" t="str">
        <f>IF(INDEX(tblProductos[SKU],ROW()-ROW(tblConteo[#Headers]))="","",INDEX(tblProductos[SKU],ROW()-ROW(tblConteo[#Headers])))</f>
        <v/>
      </c>
      <c r="C205" s="50" t="str">
        <f>IF(tblConteo[[#This Row],[SKU]]="","",INDEX(tblProductos[Producto],ROW()-ROW(tblConteo[#Headers])))</f>
        <v/>
      </c>
      <c r="D205" s="50" t="str">
        <f>IF(tblConteo[[#This Row],[SKU]]="","",INDEX(tblProductos[Categoría],ROW()-ROW(tblConteo[#Headers]))&amp;"")</f>
        <v/>
      </c>
      <c r="E205" s="43" t="str">
        <f>IF(tblConteo[[#This Row],[SKU]]="","",INDEX(tblProductos[Ubicación],ROW()-ROW(tblConteo[#Headers]))&amp;"")</f>
        <v/>
      </c>
      <c r="F205" s="43" t="str">
        <f>IF(tblConteo[[#This Row],[SKU]]="","",INDEX(tblProductos[Unidad],ROW()-ROW(tblConteo[#Headers]))&amp;"")</f>
        <v/>
      </c>
      <c r="G205" s="43" t="str">
        <f>IF(tblConteo[[#This Row],[SKU]]="","",IF(INDEX(tblProductos[Activo],ROW()-ROW(tblConteo[#Headers]))="NO","NO","SI"))</f>
        <v/>
      </c>
      <c r="H205" s="54" t="str">
        <f>IF(tblConteo[[#This Row],[SKU]]="","",IFERROR(N(INDEX(tblStock[StockActual],MATCH(tblConteo[[#This Row],[SKU]],tblStock[SKU],0))),0))</f>
        <v/>
      </c>
      <c r="I205" s="53"/>
      <c r="J205" s="60" t="str">
        <f>IF(OR(tblConteo[[#This Row],[SKU]]="",tblConteo[[#This Row],[Conteo]]=""),"",IF(ISNUMBER(tblConteo[[#This Row],[Conteo]]),tblConteo[[#This Row],[Conteo]]-N(tblConteo[[#This Row],[Sistema]]),""))</f>
        <v/>
      </c>
      <c r="K205" s="63" t="str">
        <f>IF(tblConteo[[#This Row],[Diferencia]]="","",tblConteo[[#This Row],[Diferencia]]*N(INDEX(tblProductos[CostoUnitario],ROW()-ROW(tblConteo[#Headers]))))</f>
        <v/>
      </c>
      <c r="L20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6" spans="2:13" x14ac:dyDescent="0.25">
      <c r="B206" s="43" t="str">
        <f>IF(INDEX(tblProductos[SKU],ROW()-ROW(tblConteo[#Headers]))="","",INDEX(tblProductos[SKU],ROW()-ROW(tblConteo[#Headers])))</f>
        <v/>
      </c>
      <c r="C206" s="50" t="str">
        <f>IF(tblConteo[[#This Row],[SKU]]="","",INDEX(tblProductos[Producto],ROW()-ROW(tblConteo[#Headers])))</f>
        <v/>
      </c>
      <c r="D206" s="50" t="str">
        <f>IF(tblConteo[[#This Row],[SKU]]="","",INDEX(tblProductos[Categoría],ROW()-ROW(tblConteo[#Headers]))&amp;"")</f>
        <v/>
      </c>
      <c r="E206" s="43" t="str">
        <f>IF(tblConteo[[#This Row],[SKU]]="","",INDEX(tblProductos[Ubicación],ROW()-ROW(tblConteo[#Headers]))&amp;"")</f>
        <v/>
      </c>
      <c r="F206" s="43" t="str">
        <f>IF(tblConteo[[#This Row],[SKU]]="","",INDEX(tblProductos[Unidad],ROW()-ROW(tblConteo[#Headers]))&amp;"")</f>
        <v/>
      </c>
      <c r="G206" s="43" t="str">
        <f>IF(tblConteo[[#This Row],[SKU]]="","",IF(INDEX(tblProductos[Activo],ROW()-ROW(tblConteo[#Headers]))="NO","NO","SI"))</f>
        <v/>
      </c>
      <c r="H206" s="54" t="str">
        <f>IF(tblConteo[[#This Row],[SKU]]="","",IFERROR(N(INDEX(tblStock[StockActual],MATCH(tblConteo[[#This Row],[SKU]],tblStock[SKU],0))),0))</f>
        <v/>
      </c>
      <c r="I206" s="53"/>
      <c r="J206" s="60" t="str">
        <f>IF(OR(tblConteo[[#This Row],[SKU]]="",tblConteo[[#This Row],[Conteo]]=""),"",IF(ISNUMBER(tblConteo[[#This Row],[Conteo]]),tblConteo[[#This Row],[Conteo]]-N(tblConteo[[#This Row],[Sistema]]),""))</f>
        <v/>
      </c>
      <c r="K206" s="63" t="str">
        <f>IF(tblConteo[[#This Row],[Diferencia]]="","",tblConteo[[#This Row],[Diferencia]]*N(INDEX(tblProductos[CostoUnitario],ROW()-ROW(tblConteo[#Headers]))))</f>
        <v/>
      </c>
      <c r="L20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7" spans="2:13" x14ac:dyDescent="0.25">
      <c r="B207" s="43" t="str">
        <f>IF(INDEX(tblProductos[SKU],ROW()-ROW(tblConteo[#Headers]))="","",INDEX(tblProductos[SKU],ROW()-ROW(tblConteo[#Headers])))</f>
        <v/>
      </c>
      <c r="C207" s="50" t="str">
        <f>IF(tblConteo[[#This Row],[SKU]]="","",INDEX(tblProductos[Producto],ROW()-ROW(tblConteo[#Headers])))</f>
        <v/>
      </c>
      <c r="D207" s="50" t="str">
        <f>IF(tblConteo[[#This Row],[SKU]]="","",INDEX(tblProductos[Categoría],ROW()-ROW(tblConteo[#Headers]))&amp;"")</f>
        <v/>
      </c>
      <c r="E207" s="43" t="str">
        <f>IF(tblConteo[[#This Row],[SKU]]="","",INDEX(tblProductos[Ubicación],ROW()-ROW(tblConteo[#Headers]))&amp;"")</f>
        <v/>
      </c>
      <c r="F207" s="43" t="str">
        <f>IF(tblConteo[[#This Row],[SKU]]="","",INDEX(tblProductos[Unidad],ROW()-ROW(tblConteo[#Headers]))&amp;"")</f>
        <v/>
      </c>
      <c r="G207" s="43" t="str">
        <f>IF(tblConteo[[#This Row],[SKU]]="","",IF(INDEX(tblProductos[Activo],ROW()-ROW(tblConteo[#Headers]))="NO","NO","SI"))</f>
        <v/>
      </c>
      <c r="H207" s="54" t="str">
        <f>IF(tblConteo[[#This Row],[SKU]]="","",IFERROR(N(INDEX(tblStock[StockActual],MATCH(tblConteo[[#This Row],[SKU]],tblStock[SKU],0))),0))</f>
        <v/>
      </c>
      <c r="I207" s="53"/>
      <c r="J207" s="60" t="str">
        <f>IF(OR(tblConteo[[#This Row],[SKU]]="",tblConteo[[#This Row],[Conteo]]=""),"",IF(ISNUMBER(tblConteo[[#This Row],[Conteo]]),tblConteo[[#This Row],[Conteo]]-N(tblConteo[[#This Row],[Sistema]]),""))</f>
        <v/>
      </c>
      <c r="K207" s="63" t="str">
        <f>IF(tblConteo[[#This Row],[Diferencia]]="","",tblConteo[[#This Row],[Diferencia]]*N(INDEX(tblProductos[CostoUnitario],ROW()-ROW(tblConteo[#Headers]))))</f>
        <v/>
      </c>
      <c r="L20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8" spans="2:13" x14ac:dyDescent="0.25">
      <c r="B208" s="43" t="str">
        <f>IF(INDEX(tblProductos[SKU],ROW()-ROW(tblConteo[#Headers]))="","",INDEX(tblProductos[SKU],ROW()-ROW(tblConteo[#Headers])))</f>
        <v/>
      </c>
      <c r="C208" s="50" t="str">
        <f>IF(tblConteo[[#This Row],[SKU]]="","",INDEX(tblProductos[Producto],ROW()-ROW(tblConteo[#Headers])))</f>
        <v/>
      </c>
      <c r="D208" s="50" t="str">
        <f>IF(tblConteo[[#This Row],[SKU]]="","",INDEX(tblProductos[Categoría],ROW()-ROW(tblConteo[#Headers]))&amp;"")</f>
        <v/>
      </c>
      <c r="E208" s="43" t="str">
        <f>IF(tblConteo[[#This Row],[SKU]]="","",INDEX(tblProductos[Ubicación],ROW()-ROW(tblConteo[#Headers]))&amp;"")</f>
        <v/>
      </c>
      <c r="F208" s="43" t="str">
        <f>IF(tblConteo[[#This Row],[SKU]]="","",INDEX(tblProductos[Unidad],ROW()-ROW(tblConteo[#Headers]))&amp;"")</f>
        <v/>
      </c>
      <c r="G208" s="43" t="str">
        <f>IF(tblConteo[[#This Row],[SKU]]="","",IF(INDEX(tblProductos[Activo],ROW()-ROW(tblConteo[#Headers]))="NO","NO","SI"))</f>
        <v/>
      </c>
      <c r="H208" s="54" t="str">
        <f>IF(tblConteo[[#This Row],[SKU]]="","",IFERROR(N(INDEX(tblStock[StockActual],MATCH(tblConteo[[#This Row],[SKU]],tblStock[SKU],0))),0))</f>
        <v/>
      </c>
      <c r="I208" s="53"/>
      <c r="J208" s="60" t="str">
        <f>IF(OR(tblConteo[[#This Row],[SKU]]="",tblConteo[[#This Row],[Conteo]]=""),"",IF(ISNUMBER(tblConteo[[#This Row],[Conteo]]),tblConteo[[#This Row],[Conteo]]-N(tblConteo[[#This Row],[Sistema]]),""))</f>
        <v/>
      </c>
      <c r="K208" s="63" t="str">
        <f>IF(tblConteo[[#This Row],[Diferencia]]="","",tblConteo[[#This Row],[Diferencia]]*N(INDEX(tblProductos[CostoUnitario],ROW()-ROW(tblConteo[#Headers]))))</f>
        <v/>
      </c>
      <c r="L20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09" spans="2:13" x14ac:dyDescent="0.25">
      <c r="B209" s="43" t="str">
        <f>IF(INDEX(tblProductos[SKU],ROW()-ROW(tblConteo[#Headers]))="","",INDEX(tblProductos[SKU],ROW()-ROW(tblConteo[#Headers])))</f>
        <v/>
      </c>
      <c r="C209" s="50" t="str">
        <f>IF(tblConteo[[#This Row],[SKU]]="","",INDEX(tblProductos[Producto],ROW()-ROW(tblConteo[#Headers])))</f>
        <v/>
      </c>
      <c r="D209" s="50" t="str">
        <f>IF(tblConteo[[#This Row],[SKU]]="","",INDEX(tblProductos[Categoría],ROW()-ROW(tblConteo[#Headers]))&amp;"")</f>
        <v/>
      </c>
      <c r="E209" s="43" t="str">
        <f>IF(tblConteo[[#This Row],[SKU]]="","",INDEX(tblProductos[Ubicación],ROW()-ROW(tblConteo[#Headers]))&amp;"")</f>
        <v/>
      </c>
      <c r="F209" s="43" t="str">
        <f>IF(tblConteo[[#This Row],[SKU]]="","",INDEX(tblProductos[Unidad],ROW()-ROW(tblConteo[#Headers]))&amp;"")</f>
        <v/>
      </c>
      <c r="G209" s="43" t="str">
        <f>IF(tblConteo[[#This Row],[SKU]]="","",IF(INDEX(tblProductos[Activo],ROW()-ROW(tblConteo[#Headers]))="NO","NO","SI"))</f>
        <v/>
      </c>
      <c r="H209" s="54" t="str">
        <f>IF(tblConteo[[#This Row],[SKU]]="","",IFERROR(N(INDEX(tblStock[StockActual],MATCH(tblConteo[[#This Row],[SKU]],tblStock[SKU],0))),0))</f>
        <v/>
      </c>
      <c r="I209" s="53"/>
      <c r="J209" s="60" t="str">
        <f>IF(OR(tblConteo[[#This Row],[SKU]]="",tblConteo[[#This Row],[Conteo]]=""),"",IF(ISNUMBER(tblConteo[[#This Row],[Conteo]]),tblConteo[[#This Row],[Conteo]]-N(tblConteo[[#This Row],[Sistema]]),""))</f>
        <v/>
      </c>
      <c r="K209" s="63" t="str">
        <f>IF(tblConteo[[#This Row],[Diferencia]]="","",tblConteo[[#This Row],[Diferencia]]*N(INDEX(tblProductos[CostoUnitario],ROW()-ROW(tblConteo[#Headers]))))</f>
        <v/>
      </c>
      <c r="L20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0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0" spans="2:13" x14ac:dyDescent="0.25">
      <c r="B210" s="43" t="str">
        <f>IF(INDEX(tblProductos[SKU],ROW()-ROW(tblConteo[#Headers]))="","",INDEX(tblProductos[SKU],ROW()-ROW(tblConteo[#Headers])))</f>
        <v/>
      </c>
      <c r="C210" s="50" t="str">
        <f>IF(tblConteo[[#This Row],[SKU]]="","",INDEX(tblProductos[Producto],ROW()-ROW(tblConteo[#Headers])))</f>
        <v/>
      </c>
      <c r="D210" s="50" t="str">
        <f>IF(tblConteo[[#This Row],[SKU]]="","",INDEX(tblProductos[Categoría],ROW()-ROW(tblConteo[#Headers]))&amp;"")</f>
        <v/>
      </c>
      <c r="E210" s="43" t="str">
        <f>IF(tblConteo[[#This Row],[SKU]]="","",INDEX(tblProductos[Ubicación],ROW()-ROW(tblConteo[#Headers]))&amp;"")</f>
        <v/>
      </c>
      <c r="F210" s="43" t="str">
        <f>IF(tblConteo[[#This Row],[SKU]]="","",INDEX(tblProductos[Unidad],ROW()-ROW(tblConteo[#Headers]))&amp;"")</f>
        <v/>
      </c>
      <c r="G210" s="43" t="str">
        <f>IF(tblConteo[[#This Row],[SKU]]="","",IF(INDEX(tblProductos[Activo],ROW()-ROW(tblConteo[#Headers]))="NO","NO","SI"))</f>
        <v/>
      </c>
      <c r="H210" s="54" t="str">
        <f>IF(tblConteo[[#This Row],[SKU]]="","",IFERROR(N(INDEX(tblStock[StockActual],MATCH(tblConteo[[#This Row],[SKU]],tblStock[SKU],0))),0))</f>
        <v/>
      </c>
      <c r="I210" s="53"/>
      <c r="J210" s="60" t="str">
        <f>IF(OR(tblConteo[[#This Row],[SKU]]="",tblConteo[[#This Row],[Conteo]]=""),"",IF(ISNUMBER(tblConteo[[#This Row],[Conteo]]),tblConteo[[#This Row],[Conteo]]-N(tblConteo[[#This Row],[Sistema]]),""))</f>
        <v/>
      </c>
      <c r="K210" s="63" t="str">
        <f>IF(tblConteo[[#This Row],[Diferencia]]="","",tblConteo[[#This Row],[Diferencia]]*N(INDEX(tblProductos[CostoUnitario],ROW()-ROW(tblConteo[#Headers]))))</f>
        <v/>
      </c>
      <c r="L21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1" spans="2:13" x14ac:dyDescent="0.25">
      <c r="B211" s="43" t="str">
        <f>IF(INDEX(tblProductos[SKU],ROW()-ROW(tblConteo[#Headers]))="","",INDEX(tblProductos[SKU],ROW()-ROW(tblConteo[#Headers])))</f>
        <v/>
      </c>
      <c r="C211" s="50" t="str">
        <f>IF(tblConteo[[#This Row],[SKU]]="","",INDEX(tblProductos[Producto],ROW()-ROW(tblConteo[#Headers])))</f>
        <v/>
      </c>
      <c r="D211" s="50" t="str">
        <f>IF(tblConteo[[#This Row],[SKU]]="","",INDEX(tblProductos[Categoría],ROW()-ROW(tblConteo[#Headers]))&amp;"")</f>
        <v/>
      </c>
      <c r="E211" s="43" t="str">
        <f>IF(tblConteo[[#This Row],[SKU]]="","",INDEX(tblProductos[Ubicación],ROW()-ROW(tblConteo[#Headers]))&amp;"")</f>
        <v/>
      </c>
      <c r="F211" s="43" t="str">
        <f>IF(tblConteo[[#This Row],[SKU]]="","",INDEX(tblProductos[Unidad],ROW()-ROW(tblConteo[#Headers]))&amp;"")</f>
        <v/>
      </c>
      <c r="G211" s="43" t="str">
        <f>IF(tblConteo[[#This Row],[SKU]]="","",IF(INDEX(tblProductos[Activo],ROW()-ROW(tblConteo[#Headers]))="NO","NO","SI"))</f>
        <v/>
      </c>
      <c r="H211" s="54" t="str">
        <f>IF(tblConteo[[#This Row],[SKU]]="","",IFERROR(N(INDEX(tblStock[StockActual],MATCH(tblConteo[[#This Row],[SKU]],tblStock[SKU],0))),0))</f>
        <v/>
      </c>
      <c r="I211" s="53"/>
      <c r="J211" s="60" t="str">
        <f>IF(OR(tblConteo[[#This Row],[SKU]]="",tblConteo[[#This Row],[Conteo]]=""),"",IF(ISNUMBER(tblConteo[[#This Row],[Conteo]]),tblConteo[[#This Row],[Conteo]]-N(tblConteo[[#This Row],[Sistema]]),""))</f>
        <v/>
      </c>
      <c r="K211" s="63" t="str">
        <f>IF(tblConteo[[#This Row],[Diferencia]]="","",tblConteo[[#This Row],[Diferencia]]*N(INDEX(tblProductos[CostoUnitario],ROW()-ROW(tblConteo[#Headers]))))</f>
        <v/>
      </c>
      <c r="L21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2" spans="2:13" x14ac:dyDescent="0.25">
      <c r="B212" s="43" t="str">
        <f>IF(INDEX(tblProductos[SKU],ROW()-ROW(tblConteo[#Headers]))="","",INDEX(tblProductos[SKU],ROW()-ROW(tblConteo[#Headers])))</f>
        <v/>
      </c>
      <c r="C212" s="50" t="str">
        <f>IF(tblConteo[[#This Row],[SKU]]="","",INDEX(tblProductos[Producto],ROW()-ROW(tblConteo[#Headers])))</f>
        <v/>
      </c>
      <c r="D212" s="50" t="str">
        <f>IF(tblConteo[[#This Row],[SKU]]="","",INDEX(tblProductos[Categoría],ROW()-ROW(tblConteo[#Headers]))&amp;"")</f>
        <v/>
      </c>
      <c r="E212" s="43" t="str">
        <f>IF(tblConteo[[#This Row],[SKU]]="","",INDEX(tblProductos[Ubicación],ROW()-ROW(tblConteo[#Headers]))&amp;"")</f>
        <v/>
      </c>
      <c r="F212" s="43" t="str">
        <f>IF(tblConteo[[#This Row],[SKU]]="","",INDEX(tblProductos[Unidad],ROW()-ROW(tblConteo[#Headers]))&amp;"")</f>
        <v/>
      </c>
      <c r="G212" s="43" t="str">
        <f>IF(tblConteo[[#This Row],[SKU]]="","",IF(INDEX(tblProductos[Activo],ROW()-ROW(tblConteo[#Headers]))="NO","NO","SI"))</f>
        <v/>
      </c>
      <c r="H212" s="54" t="str">
        <f>IF(tblConteo[[#This Row],[SKU]]="","",IFERROR(N(INDEX(tblStock[StockActual],MATCH(tblConteo[[#This Row],[SKU]],tblStock[SKU],0))),0))</f>
        <v/>
      </c>
      <c r="I212" s="53"/>
      <c r="J212" s="60" t="str">
        <f>IF(OR(tblConteo[[#This Row],[SKU]]="",tblConteo[[#This Row],[Conteo]]=""),"",IF(ISNUMBER(tblConteo[[#This Row],[Conteo]]),tblConteo[[#This Row],[Conteo]]-N(tblConteo[[#This Row],[Sistema]]),""))</f>
        <v/>
      </c>
      <c r="K212" s="63" t="str">
        <f>IF(tblConteo[[#This Row],[Diferencia]]="","",tblConteo[[#This Row],[Diferencia]]*N(INDEX(tblProductos[CostoUnitario],ROW()-ROW(tblConteo[#Headers]))))</f>
        <v/>
      </c>
      <c r="L21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3" spans="2:13" x14ac:dyDescent="0.25">
      <c r="B213" s="43" t="str">
        <f>IF(INDEX(tblProductos[SKU],ROW()-ROW(tblConteo[#Headers]))="","",INDEX(tblProductos[SKU],ROW()-ROW(tblConteo[#Headers])))</f>
        <v/>
      </c>
      <c r="C213" s="50" t="str">
        <f>IF(tblConteo[[#This Row],[SKU]]="","",INDEX(tblProductos[Producto],ROW()-ROW(tblConteo[#Headers])))</f>
        <v/>
      </c>
      <c r="D213" s="50" t="str">
        <f>IF(tblConteo[[#This Row],[SKU]]="","",INDEX(tblProductos[Categoría],ROW()-ROW(tblConteo[#Headers]))&amp;"")</f>
        <v/>
      </c>
      <c r="E213" s="43" t="str">
        <f>IF(tblConteo[[#This Row],[SKU]]="","",INDEX(tblProductos[Ubicación],ROW()-ROW(tblConteo[#Headers]))&amp;"")</f>
        <v/>
      </c>
      <c r="F213" s="43" t="str">
        <f>IF(tblConteo[[#This Row],[SKU]]="","",INDEX(tblProductos[Unidad],ROW()-ROW(tblConteo[#Headers]))&amp;"")</f>
        <v/>
      </c>
      <c r="G213" s="43" t="str">
        <f>IF(tblConteo[[#This Row],[SKU]]="","",IF(INDEX(tblProductos[Activo],ROW()-ROW(tblConteo[#Headers]))="NO","NO","SI"))</f>
        <v/>
      </c>
      <c r="H213" s="54" t="str">
        <f>IF(tblConteo[[#This Row],[SKU]]="","",IFERROR(N(INDEX(tblStock[StockActual],MATCH(tblConteo[[#This Row],[SKU]],tblStock[SKU],0))),0))</f>
        <v/>
      </c>
      <c r="I213" s="53"/>
      <c r="J213" s="60" t="str">
        <f>IF(OR(tblConteo[[#This Row],[SKU]]="",tblConteo[[#This Row],[Conteo]]=""),"",IF(ISNUMBER(tblConteo[[#This Row],[Conteo]]),tblConteo[[#This Row],[Conteo]]-N(tblConteo[[#This Row],[Sistema]]),""))</f>
        <v/>
      </c>
      <c r="K213" s="63" t="str">
        <f>IF(tblConteo[[#This Row],[Diferencia]]="","",tblConteo[[#This Row],[Diferencia]]*N(INDEX(tblProductos[CostoUnitario],ROW()-ROW(tblConteo[#Headers]))))</f>
        <v/>
      </c>
      <c r="L21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4" spans="2:13" x14ac:dyDescent="0.25">
      <c r="B214" s="43" t="str">
        <f>IF(INDEX(tblProductos[SKU],ROW()-ROW(tblConteo[#Headers]))="","",INDEX(tblProductos[SKU],ROW()-ROW(tblConteo[#Headers])))</f>
        <v/>
      </c>
      <c r="C214" s="50" t="str">
        <f>IF(tblConteo[[#This Row],[SKU]]="","",INDEX(tblProductos[Producto],ROW()-ROW(tblConteo[#Headers])))</f>
        <v/>
      </c>
      <c r="D214" s="50" t="str">
        <f>IF(tblConteo[[#This Row],[SKU]]="","",INDEX(tblProductos[Categoría],ROW()-ROW(tblConteo[#Headers]))&amp;"")</f>
        <v/>
      </c>
      <c r="E214" s="43" t="str">
        <f>IF(tblConteo[[#This Row],[SKU]]="","",INDEX(tblProductos[Ubicación],ROW()-ROW(tblConteo[#Headers]))&amp;"")</f>
        <v/>
      </c>
      <c r="F214" s="43" t="str">
        <f>IF(tblConteo[[#This Row],[SKU]]="","",INDEX(tblProductos[Unidad],ROW()-ROW(tblConteo[#Headers]))&amp;"")</f>
        <v/>
      </c>
      <c r="G214" s="43" t="str">
        <f>IF(tblConteo[[#This Row],[SKU]]="","",IF(INDEX(tblProductos[Activo],ROW()-ROW(tblConteo[#Headers]))="NO","NO","SI"))</f>
        <v/>
      </c>
      <c r="H214" s="54" t="str">
        <f>IF(tblConteo[[#This Row],[SKU]]="","",IFERROR(N(INDEX(tblStock[StockActual],MATCH(tblConteo[[#This Row],[SKU]],tblStock[SKU],0))),0))</f>
        <v/>
      </c>
      <c r="I214" s="53"/>
      <c r="J214" s="60" t="str">
        <f>IF(OR(tblConteo[[#This Row],[SKU]]="",tblConteo[[#This Row],[Conteo]]=""),"",IF(ISNUMBER(tblConteo[[#This Row],[Conteo]]),tblConteo[[#This Row],[Conteo]]-N(tblConteo[[#This Row],[Sistema]]),""))</f>
        <v/>
      </c>
      <c r="K214" s="63" t="str">
        <f>IF(tblConteo[[#This Row],[Diferencia]]="","",tblConteo[[#This Row],[Diferencia]]*N(INDEX(tblProductos[CostoUnitario],ROW()-ROW(tblConteo[#Headers]))))</f>
        <v/>
      </c>
      <c r="L21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5" spans="2:13" x14ac:dyDescent="0.25">
      <c r="B215" s="43" t="str">
        <f>IF(INDEX(tblProductos[SKU],ROW()-ROW(tblConteo[#Headers]))="","",INDEX(tblProductos[SKU],ROW()-ROW(tblConteo[#Headers])))</f>
        <v/>
      </c>
      <c r="C215" s="50" t="str">
        <f>IF(tblConteo[[#This Row],[SKU]]="","",INDEX(tblProductos[Producto],ROW()-ROW(tblConteo[#Headers])))</f>
        <v/>
      </c>
      <c r="D215" s="50" t="str">
        <f>IF(tblConteo[[#This Row],[SKU]]="","",INDEX(tblProductos[Categoría],ROW()-ROW(tblConteo[#Headers]))&amp;"")</f>
        <v/>
      </c>
      <c r="E215" s="43" t="str">
        <f>IF(tblConteo[[#This Row],[SKU]]="","",INDEX(tblProductos[Ubicación],ROW()-ROW(tblConteo[#Headers]))&amp;"")</f>
        <v/>
      </c>
      <c r="F215" s="43" t="str">
        <f>IF(tblConteo[[#This Row],[SKU]]="","",INDEX(tblProductos[Unidad],ROW()-ROW(tblConteo[#Headers]))&amp;"")</f>
        <v/>
      </c>
      <c r="G215" s="43" t="str">
        <f>IF(tblConteo[[#This Row],[SKU]]="","",IF(INDEX(tblProductos[Activo],ROW()-ROW(tblConteo[#Headers]))="NO","NO","SI"))</f>
        <v/>
      </c>
      <c r="H215" s="54" t="str">
        <f>IF(tblConteo[[#This Row],[SKU]]="","",IFERROR(N(INDEX(tblStock[StockActual],MATCH(tblConteo[[#This Row],[SKU]],tblStock[SKU],0))),0))</f>
        <v/>
      </c>
      <c r="I215" s="53"/>
      <c r="J215" s="60" t="str">
        <f>IF(OR(tblConteo[[#This Row],[SKU]]="",tblConteo[[#This Row],[Conteo]]=""),"",IF(ISNUMBER(tblConteo[[#This Row],[Conteo]]),tblConteo[[#This Row],[Conteo]]-N(tblConteo[[#This Row],[Sistema]]),""))</f>
        <v/>
      </c>
      <c r="K215" s="63" t="str">
        <f>IF(tblConteo[[#This Row],[Diferencia]]="","",tblConteo[[#This Row],[Diferencia]]*N(INDEX(tblProductos[CostoUnitario],ROW()-ROW(tblConteo[#Headers]))))</f>
        <v/>
      </c>
      <c r="L21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6" spans="2:13" x14ac:dyDescent="0.25">
      <c r="B216" s="43" t="str">
        <f>IF(INDEX(tblProductos[SKU],ROW()-ROW(tblConteo[#Headers]))="","",INDEX(tblProductos[SKU],ROW()-ROW(tblConteo[#Headers])))</f>
        <v/>
      </c>
      <c r="C216" s="50" t="str">
        <f>IF(tblConteo[[#This Row],[SKU]]="","",INDEX(tblProductos[Producto],ROW()-ROW(tblConteo[#Headers])))</f>
        <v/>
      </c>
      <c r="D216" s="50" t="str">
        <f>IF(tblConteo[[#This Row],[SKU]]="","",INDEX(tblProductos[Categoría],ROW()-ROW(tblConteo[#Headers]))&amp;"")</f>
        <v/>
      </c>
      <c r="E216" s="43" t="str">
        <f>IF(tblConteo[[#This Row],[SKU]]="","",INDEX(tblProductos[Ubicación],ROW()-ROW(tblConteo[#Headers]))&amp;"")</f>
        <v/>
      </c>
      <c r="F216" s="43" t="str">
        <f>IF(tblConteo[[#This Row],[SKU]]="","",INDEX(tblProductos[Unidad],ROW()-ROW(tblConteo[#Headers]))&amp;"")</f>
        <v/>
      </c>
      <c r="G216" s="43" t="str">
        <f>IF(tblConteo[[#This Row],[SKU]]="","",IF(INDEX(tblProductos[Activo],ROW()-ROW(tblConteo[#Headers]))="NO","NO","SI"))</f>
        <v/>
      </c>
      <c r="H216" s="54" t="str">
        <f>IF(tblConteo[[#This Row],[SKU]]="","",IFERROR(N(INDEX(tblStock[StockActual],MATCH(tblConteo[[#This Row],[SKU]],tblStock[SKU],0))),0))</f>
        <v/>
      </c>
      <c r="I216" s="53"/>
      <c r="J216" s="60" t="str">
        <f>IF(OR(tblConteo[[#This Row],[SKU]]="",tblConteo[[#This Row],[Conteo]]=""),"",IF(ISNUMBER(tblConteo[[#This Row],[Conteo]]),tblConteo[[#This Row],[Conteo]]-N(tblConteo[[#This Row],[Sistema]]),""))</f>
        <v/>
      </c>
      <c r="K216" s="63" t="str">
        <f>IF(tblConteo[[#This Row],[Diferencia]]="","",tblConteo[[#This Row],[Diferencia]]*N(INDEX(tblProductos[CostoUnitario],ROW()-ROW(tblConteo[#Headers]))))</f>
        <v/>
      </c>
      <c r="L21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7" spans="2:13" x14ac:dyDescent="0.25">
      <c r="B217" s="43" t="str">
        <f>IF(INDEX(tblProductos[SKU],ROW()-ROW(tblConteo[#Headers]))="","",INDEX(tblProductos[SKU],ROW()-ROW(tblConteo[#Headers])))</f>
        <v/>
      </c>
      <c r="C217" s="50" t="str">
        <f>IF(tblConteo[[#This Row],[SKU]]="","",INDEX(tblProductos[Producto],ROW()-ROW(tblConteo[#Headers])))</f>
        <v/>
      </c>
      <c r="D217" s="50" t="str">
        <f>IF(tblConteo[[#This Row],[SKU]]="","",INDEX(tblProductos[Categoría],ROW()-ROW(tblConteo[#Headers]))&amp;"")</f>
        <v/>
      </c>
      <c r="E217" s="43" t="str">
        <f>IF(tblConteo[[#This Row],[SKU]]="","",INDEX(tblProductos[Ubicación],ROW()-ROW(tblConteo[#Headers]))&amp;"")</f>
        <v/>
      </c>
      <c r="F217" s="43" t="str">
        <f>IF(tblConteo[[#This Row],[SKU]]="","",INDEX(tblProductos[Unidad],ROW()-ROW(tblConteo[#Headers]))&amp;"")</f>
        <v/>
      </c>
      <c r="G217" s="43" t="str">
        <f>IF(tblConteo[[#This Row],[SKU]]="","",IF(INDEX(tblProductos[Activo],ROW()-ROW(tblConteo[#Headers]))="NO","NO","SI"))</f>
        <v/>
      </c>
      <c r="H217" s="54" t="str">
        <f>IF(tblConteo[[#This Row],[SKU]]="","",IFERROR(N(INDEX(tblStock[StockActual],MATCH(tblConteo[[#This Row],[SKU]],tblStock[SKU],0))),0))</f>
        <v/>
      </c>
      <c r="I217" s="53"/>
      <c r="J217" s="60" t="str">
        <f>IF(OR(tblConteo[[#This Row],[SKU]]="",tblConteo[[#This Row],[Conteo]]=""),"",IF(ISNUMBER(tblConteo[[#This Row],[Conteo]]),tblConteo[[#This Row],[Conteo]]-N(tblConteo[[#This Row],[Sistema]]),""))</f>
        <v/>
      </c>
      <c r="K217" s="63" t="str">
        <f>IF(tblConteo[[#This Row],[Diferencia]]="","",tblConteo[[#This Row],[Diferencia]]*N(INDEX(tblProductos[CostoUnitario],ROW()-ROW(tblConteo[#Headers]))))</f>
        <v/>
      </c>
      <c r="L21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8" spans="2:13" x14ac:dyDescent="0.25">
      <c r="B218" s="43" t="str">
        <f>IF(INDEX(tblProductos[SKU],ROW()-ROW(tblConteo[#Headers]))="","",INDEX(tblProductos[SKU],ROW()-ROW(tblConteo[#Headers])))</f>
        <v/>
      </c>
      <c r="C218" s="50" t="str">
        <f>IF(tblConteo[[#This Row],[SKU]]="","",INDEX(tblProductos[Producto],ROW()-ROW(tblConteo[#Headers])))</f>
        <v/>
      </c>
      <c r="D218" s="50" t="str">
        <f>IF(tblConteo[[#This Row],[SKU]]="","",INDEX(tblProductos[Categoría],ROW()-ROW(tblConteo[#Headers]))&amp;"")</f>
        <v/>
      </c>
      <c r="E218" s="43" t="str">
        <f>IF(tblConteo[[#This Row],[SKU]]="","",INDEX(tblProductos[Ubicación],ROW()-ROW(tblConteo[#Headers]))&amp;"")</f>
        <v/>
      </c>
      <c r="F218" s="43" t="str">
        <f>IF(tblConteo[[#This Row],[SKU]]="","",INDEX(tblProductos[Unidad],ROW()-ROW(tblConteo[#Headers]))&amp;"")</f>
        <v/>
      </c>
      <c r="G218" s="43" t="str">
        <f>IF(tblConteo[[#This Row],[SKU]]="","",IF(INDEX(tblProductos[Activo],ROW()-ROW(tblConteo[#Headers]))="NO","NO","SI"))</f>
        <v/>
      </c>
      <c r="H218" s="54" t="str">
        <f>IF(tblConteo[[#This Row],[SKU]]="","",IFERROR(N(INDEX(tblStock[StockActual],MATCH(tblConteo[[#This Row],[SKU]],tblStock[SKU],0))),0))</f>
        <v/>
      </c>
      <c r="I218" s="53"/>
      <c r="J218" s="60" t="str">
        <f>IF(OR(tblConteo[[#This Row],[SKU]]="",tblConteo[[#This Row],[Conteo]]=""),"",IF(ISNUMBER(tblConteo[[#This Row],[Conteo]]),tblConteo[[#This Row],[Conteo]]-N(tblConteo[[#This Row],[Sistema]]),""))</f>
        <v/>
      </c>
      <c r="K218" s="63" t="str">
        <f>IF(tblConteo[[#This Row],[Diferencia]]="","",tblConteo[[#This Row],[Diferencia]]*N(INDEX(tblProductos[CostoUnitario],ROW()-ROW(tblConteo[#Headers]))))</f>
        <v/>
      </c>
      <c r="L21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19" spans="2:13" x14ac:dyDescent="0.25">
      <c r="B219" s="43" t="str">
        <f>IF(INDEX(tblProductos[SKU],ROW()-ROW(tblConteo[#Headers]))="","",INDEX(tblProductos[SKU],ROW()-ROW(tblConteo[#Headers])))</f>
        <v/>
      </c>
      <c r="C219" s="50" t="str">
        <f>IF(tblConteo[[#This Row],[SKU]]="","",INDEX(tblProductos[Producto],ROW()-ROW(tblConteo[#Headers])))</f>
        <v/>
      </c>
      <c r="D219" s="50" t="str">
        <f>IF(tblConteo[[#This Row],[SKU]]="","",INDEX(tblProductos[Categoría],ROW()-ROW(tblConteo[#Headers]))&amp;"")</f>
        <v/>
      </c>
      <c r="E219" s="43" t="str">
        <f>IF(tblConteo[[#This Row],[SKU]]="","",INDEX(tblProductos[Ubicación],ROW()-ROW(tblConteo[#Headers]))&amp;"")</f>
        <v/>
      </c>
      <c r="F219" s="43" t="str">
        <f>IF(tblConteo[[#This Row],[SKU]]="","",INDEX(tblProductos[Unidad],ROW()-ROW(tblConteo[#Headers]))&amp;"")</f>
        <v/>
      </c>
      <c r="G219" s="43" t="str">
        <f>IF(tblConteo[[#This Row],[SKU]]="","",IF(INDEX(tblProductos[Activo],ROW()-ROW(tblConteo[#Headers]))="NO","NO","SI"))</f>
        <v/>
      </c>
      <c r="H219" s="54" t="str">
        <f>IF(tblConteo[[#This Row],[SKU]]="","",IFERROR(N(INDEX(tblStock[StockActual],MATCH(tblConteo[[#This Row],[SKU]],tblStock[SKU],0))),0))</f>
        <v/>
      </c>
      <c r="I219" s="53"/>
      <c r="J219" s="60" t="str">
        <f>IF(OR(tblConteo[[#This Row],[SKU]]="",tblConteo[[#This Row],[Conteo]]=""),"",IF(ISNUMBER(tblConteo[[#This Row],[Conteo]]),tblConteo[[#This Row],[Conteo]]-N(tblConteo[[#This Row],[Sistema]]),""))</f>
        <v/>
      </c>
      <c r="K219" s="63" t="str">
        <f>IF(tblConteo[[#This Row],[Diferencia]]="","",tblConteo[[#This Row],[Diferencia]]*N(INDEX(tblProductos[CostoUnitario],ROW()-ROW(tblConteo[#Headers]))))</f>
        <v/>
      </c>
      <c r="L21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1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0" spans="2:13" x14ac:dyDescent="0.25">
      <c r="B220" s="43" t="str">
        <f>IF(INDEX(tblProductos[SKU],ROW()-ROW(tblConteo[#Headers]))="","",INDEX(tblProductos[SKU],ROW()-ROW(tblConteo[#Headers])))</f>
        <v/>
      </c>
      <c r="C220" s="50" t="str">
        <f>IF(tblConteo[[#This Row],[SKU]]="","",INDEX(tblProductos[Producto],ROW()-ROW(tblConteo[#Headers])))</f>
        <v/>
      </c>
      <c r="D220" s="50" t="str">
        <f>IF(tblConteo[[#This Row],[SKU]]="","",INDEX(tblProductos[Categoría],ROW()-ROW(tblConteo[#Headers]))&amp;"")</f>
        <v/>
      </c>
      <c r="E220" s="43" t="str">
        <f>IF(tblConteo[[#This Row],[SKU]]="","",INDEX(tblProductos[Ubicación],ROW()-ROW(tblConteo[#Headers]))&amp;"")</f>
        <v/>
      </c>
      <c r="F220" s="43" t="str">
        <f>IF(tblConteo[[#This Row],[SKU]]="","",INDEX(tblProductos[Unidad],ROW()-ROW(tblConteo[#Headers]))&amp;"")</f>
        <v/>
      </c>
      <c r="G220" s="43" t="str">
        <f>IF(tblConteo[[#This Row],[SKU]]="","",IF(INDEX(tblProductos[Activo],ROW()-ROW(tblConteo[#Headers]))="NO","NO","SI"))</f>
        <v/>
      </c>
      <c r="H220" s="54" t="str">
        <f>IF(tblConteo[[#This Row],[SKU]]="","",IFERROR(N(INDEX(tblStock[StockActual],MATCH(tblConteo[[#This Row],[SKU]],tblStock[SKU],0))),0))</f>
        <v/>
      </c>
      <c r="I220" s="53"/>
      <c r="J220" s="60" t="str">
        <f>IF(OR(tblConteo[[#This Row],[SKU]]="",tblConteo[[#This Row],[Conteo]]=""),"",IF(ISNUMBER(tblConteo[[#This Row],[Conteo]]),tblConteo[[#This Row],[Conteo]]-N(tblConteo[[#This Row],[Sistema]]),""))</f>
        <v/>
      </c>
      <c r="K220" s="63" t="str">
        <f>IF(tblConteo[[#This Row],[Diferencia]]="","",tblConteo[[#This Row],[Diferencia]]*N(INDEX(tblProductos[CostoUnitario],ROW()-ROW(tblConteo[#Headers]))))</f>
        <v/>
      </c>
      <c r="L22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1" spans="2:13" x14ac:dyDescent="0.25">
      <c r="B221" s="43" t="str">
        <f>IF(INDEX(tblProductos[SKU],ROW()-ROW(tblConteo[#Headers]))="","",INDEX(tblProductos[SKU],ROW()-ROW(tblConteo[#Headers])))</f>
        <v/>
      </c>
      <c r="C221" s="50" t="str">
        <f>IF(tblConteo[[#This Row],[SKU]]="","",INDEX(tblProductos[Producto],ROW()-ROW(tblConteo[#Headers])))</f>
        <v/>
      </c>
      <c r="D221" s="50" t="str">
        <f>IF(tblConteo[[#This Row],[SKU]]="","",INDEX(tblProductos[Categoría],ROW()-ROW(tblConteo[#Headers]))&amp;"")</f>
        <v/>
      </c>
      <c r="E221" s="43" t="str">
        <f>IF(tblConteo[[#This Row],[SKU]]="","",INDEX(tblProductos[Ubicación],ROW()-ROW(tblConteo[#Headers]))&amp;"")</f>
        <v/>
      </c>
      <c r="F221" s="43" t="str">
        <f>IF(tblConteo[[#This Row],[SKU]]="","",INDEX(tblProductos[Unidad],ROW()-ROW(tblConteo[#Headers]))&amp;"")</f>
        <v/>
      </c>
      <c r="G221" s="43" t="str">
        <f>IF(tblConteo[[#This Row],[SKU]]="","",IF(INDEX(tblProductos[Activo],ROW()-ROW(tblConteo[#Headers]))="NO","NO","SI"))</f>
        <v/>
      </c>
      <c r="H221" s="54" t="str">
        <f>IF(tblConteo[[#This Row],[SKU]]="","",IFERROR(N(INDEX(tblStock[StockActual],MATCH(tblConteo[[#This Row],[SKU]],tblStock[SKU],0))),0))</f>
        <v/>
      </c>
      <c r="I221" s="53"/>
      <c r="J221" s="60" t="str">
        <f>IF(OR(tblConteo[[#This Row],[SKU]]="",tblConteo[[#This Row],[Conteo]]=""),"",IF(ISNUMBER(tblConteo[[#This Row],[Conteo]]),tblConteo[[#This Row],[Conteo]]-N(tblConteo[[#This Row],[Sistema]]),""))</f>
        <v/>
      </c>
      <c r="K221" s="63" t="str">
        <f>IF(tblConteo[[#This Row],[Diferencia]]="","",tblConteo[[#This Row],[Diferencia]]*N(INDEX(tblProductos[CostoUnitario],ROW()-ROW(tblConteo[#Headers]))))</f>
        <v/>
      </c>
      <c r="L22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2" spans="2:13" x14ac:dyDescent="0.25">
      <c r="B222" s="43" t="str">
        <f>IF(INDEX(tblProductos[SKU],ROW()-ROW(tblConteo[#Headers]))="","",INDEX(tblProductos[SKU],ROW()-ROW(tblConteo[#Headers])))</f>
        <v/>
      </c>
      <c r="C222" s="50" t="str">
        <f>IF(tblConteo[[#This Row],[SKU]]="","",INDEX(tblProductos[Producto],ROW()-ROW(tblConteo[#Headers])))</f>
        <v/>
      </c>
      <c r="D222" s="50" t="str">
        <f>IF(tblConteo[[#This Row],[SKU]]="","",INDEX(tblProductos[Categoría],ROW()-ROW(tblConteo[#Headers]))&amp;"")</f>
        <v/>
      </c>
      <c r="E222" s="43" t="str">
        <f>IF(tblConteo[[#This Row],[SKU]]="","",INDEX(tblProductos[Ubicación],ROW()-ROW(tblConteo[#Headers]))&amp;"")</f>
        <v/>
      </c>
      <c r="F222" s="43" t="str">
        <f>IF(tblConteo[[#This Row],[SKU]]="","",INDEX(tblProductos[Unidad],ROW()-ROW(tblConteo[#Headers]))&amp;"")</f>
        <v/>
      </c>
      <c r="G222" s="43" t="str">
        <f>IF(tblConteo[[#This Row],[SKU]]="","",IF(INDEX(tblProductos[Activo],ROW()-ROW(tblConteo[#Headers]))="NO","NO","SI"))</f>
        <v/>
      </c>
      <c r="H222" s="54" t="str">
        <f>IF(tblConteo[[#This Row],[SKU]]="","",IFERROR(N(INDEX(tblStock[StockActual],MATCH(tblConteo[[#This Row],[SKU]],tblStock[SKU],0))),0))</f>
        <v/>
      </c>
      <c r="I222" s="53"/>
      <c r="J222" s="60" t="str">
        <f>IF(OR(tblConteo[[#This Row],[SKU]]="",tblConteo[[#This Row],[Conteo]]=""),"",IF(ISNUMBER(tblConteo[[#This Row],[Conteo]]),tblConteo[[#This Row],[Conteo]]-N(tblConteo[[#This Row],[Sistema]]),""))</f>
        <v/>
      </c>
      <c r="K222" s="63" t="str">
        <f>IF(tblConteo[[#This Row],[Diferencia]]="","",tblConteo[[#This Row],[Diferencia]]*N(INDEX(tblProductos[CostoUnitario],ROW()-ROW(tblConteo[#Headers]))))</f>
        <v/>
      </c>
      <c r="L22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3" spans="2:13" x14ac:dyDescent="0.25">
      <c r="B223" s="43" t="str">
        <f>IF(INDEX(tblProductos[SKU],ROW()-ROW(tblConteo[#Headers]))="","",INDEX(tblProductos[SKU],ROW()-ROW(tblConteo[#Headers])))</f>
        <v/>
      </c>
      <c r="C223" s="50" t="str">
        <f>IF(tblConteo[[#This Row],[SKU]]="","",INDEX(tblProductos[Producto],ROW()-ROW(tblConteo[#Headers])))</f>
        <v/>
      </c>
      <c r="D223" s="50" t="str">
        <f>IF(tblConteo[[#This Row],[SKU]]="","",INDEX(tblProductos[Categoría],ROW()-ROW(tblConteo[#Headers]))&amp;"")</f>
        <v/>
      </c>
      <c r="E223" s="43" t="str">
        <f>IF(tblConteo[[#This Row],[SKU]]="","",INDEX(tblProductos[Ubicación],ROW()-ROW(tblConteo[#Headers]))&amp;"")</f>
        <v/>
      </c>
      <c r="F223" s="43" t="str">
        <f>IF(tblConteo[[#This Row],[SKU]]="","",INDEX(tblProductos[Unidad],ROW()-ROW(tblConteo[#Headers]))&amp;"")</f>
        <v/>
      </c>
      <c r="G223" s="43" t="str">
        <f>IF(tblConteo[[#This Row],[SKU]]="","",IF(INDEX(tblProductos[Activo],ROW()-ROW(tblConteo[#Headers]))="NO","NO","SI"))</f>
        <v/>
      </c>
      <c r="H223" s="54" t="str">
        <f>IF(tblConteo[[#This Row],[SKU]]="","",IFERROR(N(INDEX(tblStock[StockActual],MATCH(tblConteo[[#This Row],[SKU]],tblStock[SKU],0))),0))</f>
        <v/>
      </c>
      <c r="I223" s="53"/>
      <c r="J223" s="60" t="str">
        <f>IF(OR(tblConteo[[#This Row],[SKU]]="",tblConteo[[#This Row],[Conteo]]=""),"",IF(ISNUMBER(tblConteo[[#This Row],[Conteo]]),tblConteo[[#This Row],[Conteo]]-N(tblConteo[[#This Row],[Sistema]]),""))</f>
        <v/>
      </c>
      <c r="K223" s="63" t="str">
        <f>IF(tblConteo[[#This Row],[Diferencia]]="","",tblConteo[[#This Row],[Diferencia]]*N(INDEX(tblProductos[CostoUnitario],ROW()-ROW(tblConteo[#Headers]))))</f>
        <v/>
      </c>
      <c r="L22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4" spans="2:13" x14ac:dyDescent="0.25">
      <c r="B224" s="43" t="str">
        <f>IF(INDEX(tblProductos[SKU],ROW()-ROW(tblConteo[#Headers]))="","",INDEX(tblProductos[SKU],ROW()-ROW(tblConteo[#Headers])))</f>
        <v/>
      </c>
      <c r="C224" s="50" t="str">
        <f>IF(tblConteo[[#This Row],[SKU]]="","",INDEX(tblProductos[Producto],ROW()-ROW(tblConteo[#Headers])))</f>
        <v/>
      </c>
      <c r="D224" s="50" t="str">
        <f>IF(tblConteo[[#This Row],[SKU]]="","",INDEX(tblProductos[Categoría],ROW()-ROW(tblConteo[#Headers]))&amp;"")</f>
        <v/>
      </c>
      <c r="E224" s="43" t="str">
        <f>IF(tblConteo[[#This Row],[SKU]]="","",INDEX(tblProductos[Ubicación],ROW()-ROW(tblConteo[#Headers]))&amp;"")</f>
        <v/>
      </c>
      <c r="F224" s="43" t="str">
        <f>IF(tblConteo[[#This Row],[SKU]]="","",INDEX(tblProductos[Unidad],ROW()-ROW(tblConteo[#Headers]))&amp;"")</f>
        <v/>
      </c>
      <c r="G224" s="43" t="str">
        <f>IF(tblConteo[[#This Row],[SKU]]="","",IF(INDEX(tblProductos[Activo],ROW()-ROW(tblConteo[#Headers]))="NO","NO","SI"))</f>
        <v/>
      </c>
      <c r="H224" s="54" t="str">
        <f>IF(tblConteo[[#This Row],[SKU]]="","",IFERROR(N(INDEX(tblStock[StockActual],MATCH(tblConteo[[#This Row],[SKU]],tblStock[SKU],0))),0))</f>
        <v/>
      </c>
      <c r="I224" s="53"/>
      <c r="J224" s="60" t="str">
        <f>IF(OR(tblConteo[[#This Row],[SKU]]="",tblConteo[[#This Row],[Conteo]]=""),"",IF(ISNUMBER(tblConteo[[#This Row],[Conteo]]),tblConteo[[#This Row],[Conteo]]-N(tblConteo[[#This Row],[Sistema]]),""))</f>
        <v/>
      </c>
      <c r="K224" s="63" t="str">
        <f>IF(tblConteo[[#This Row],[Diferencia]]="","",tblConteo[[#This Row],[Diferencia]]*N(INDEX(tblProductos[CostoUnitario],ROW()-ROW(tblConteo[#Headers]))))</f>
        <v/>
      </c>
      <c r="L22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5" spans="2:13" x14ac:dyDescent="0.25">
      <c r="B225" s="43" t="str">
        <f>IF(INDEX(tblProductos[SKU],ROW()-ROW(tblConteo[#Headers]))="","",INDEX(tblProductos[SKU],ROW()-ROW(tblConteo[#Headers])))</f>
        <v/>
      </c>
      <c r="C225" s="50" t="str">
        <f>IF(tblConteo[[#This Row],[SKU]]="","",INDEX(tblProductos[Producto],ROW()-ROW(tblConteo[#Headers])))</f>
        <v/>
      </c>
      <c r="D225" s="50" t="str">
        <f>IF(tblConteo[[#This Row],[SKU]]="","",INDEX(tblProductos[Categoría],ROW()-ROW(tblConteo[#Headers]))&amp;"")</f>
        <v/>
      </c>
      <c r="E225" s="43" t="str">
        <f>IF(tblConteo[[#This Row],[SKU]]="","",INDEX(tblProductos[Ubicación],ROW()-ROW(tblConteo[#Headers]))&amp;"")</f>
        <v/>
      </c>
      <c r="F225" s="43" t="str">
        <f>IF(tblConteo[[#This Row],[SKU]]="","",INDEX(tblProductos[Unidad],ROW()-ROW(tblConteo[#Headers]))&amp;"")</f>
        <v/>
      </c>
      <c r="G225" s="43" t="str">
        <f>IF(tblConteo[[#This Row],[SKU]]="","",IF(INDEX(tblProductos[Activo],ROW()-ROW(tblConteo[#Headers]))="NO","NO","SI"))</f>
        <v/>
      </c>
      <c r="H225" s="54" t="str">
        <f>IF(tblConteo[[#This Row],[SKU]]="","",IFERROR(N(INDEX(tblStock[StockActual],MATCH(tblConteo[[#This Row],[SKU]],tblStock[SKU],0))),0))</f>
        <v/>
      </c>
      <c r="I225" s="53"/>
      <c r="J225" s="60" t="str">
        <f>IF(OR(tblConteo[[#This Row],[SKU]]="",tblConteo[[#This Row],[Conteo]]=""),"",IF(ISNUMBER(tblConteo[[#This Row],[Conteo]]),tblConteo[[#This Row],[Conteo]]-N(tblConteo[[#This Row],[Sistema]]),""))</f>
        <v/>
      </c>
      <c r="K225" s="63" t="str">
        <f>IF(tblConteo[[#This Row],[Diferencia]]="","",tblConteo[[#This Row],[Diferencia]]*N(INDEX(tblProductos[CostoUnitario],ROW()-ROW(tblConteo[#Headers]))))</f>
        <v/>
      </c>
      <c r="L22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6" spans="2:13" x14ac:dyDescent="0.25">
      <c r="B226" s="43" t="str">
        <f>IF(INDEX(tblProductos[SKU],ROW()-ROW(tblConteo[#Headers]))="","",INDEX(tblProductos[SKU],ROW()-ROW(tblConteo[#Headers])))</f>
        <v/>
      </c>
      <c r="C226" s="50" t="str">
        <f>IF(tblConteo[[#This Row],[SKU]]="","",INDEX(tblProductos[Producto],ROW()-ROW(tblConteo[#Headers])))</f>
        <v/>
      </c>
      <c r="D226" s="50" t="str">
        <f>IF(tblConteo[[#This Row],[SKU]]="","",INDEX(tblProductos[Categoría],ROW()-ROW(tblConteo[#Headers]))&amp;"")</f>
        <v/>
      </c>
      <c r="E226" s="43" t="str">
        <f>IF(tblConteo[[#This Row],[SKU]]="","",INDEX(tblProductos[Ubicación],ROW()-ROW(tblConteo[#Headers]))&amp;"")</f>
        <v/>
      </c>
      <c r="F226" s="43" t="str">
        <f>IF(tblConteo[[#This Row],[SKU]]="","",INDEX(tblProductos[Unidad],ROW()-ROW(tblConteo[#Headers]))&amp;"")</f>
        <v/>
      </c>
      <c r="G226" s="43" t="str">
        <f>IF(tblConteo[[#This Row],[SKU]]="","",IF(INDEX(tblProductos[Activo],ROW()-ROW(tblConteo[#Headers]))="NO","NO","SI"))</f>
        <v/>
      </c>
      <c r="H226" s="54" t="str">
        <f>IF(tblConteo[[#This Row],[SKU]]="","",IFERROR(N(INDEX(tblStock[StockActual],MATCH(tblConteo[[#This Row],[SKU]],tblStock[SKU],0))),0))</f>
        <v/>
      </c>
      <c r="I226" s="53"/>
      <c r="J226" s="60" t="str">
        <f>IF(OR(tblConteo[[#This Row],[SKU]]="",tblConteo[[#This Row],[Conteo]]=""),"",IF(ISNUMBER(tblConteo[[#This Row],[Conteo]]),tblConteo[[#This Row],[Conteo]]-N(tblConteo[[#This Row],[Sistema]]),""))</f>
        <v/>
      </c>
      <c r="K226" s="63" t="str">
        <f>IF(tblConteo[[#This Row],[Diferencia]]="","",tblConteo[[#This Row],[Diferencia]]*N(INDEX(tblProductos[CostoUnitario],ROW()-ROW(tblConteo[#Headers]))))</f>
        <v/>
      </c>
      <c r="L22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7" spans="2:13" x14ac:dyDescent="0.25">
      <c r="B227" s="43" t="str">
        <f>IF(INDEX(tblProductos[SKU],ROW()-ROW(tblConteo[#Headers]))="","",INDEX(tblProductos[SKU],ROW()-ROW(tblConteo[#Headers])))</f>
        <v/>
      </c>
      <c r="C227" s="50" t="str">
        <f>IF(tblConteo[[#This Row],[SKU]]="","",INDEX(tblProductos[Producto],ROW()-ROW(tblConteo[#Headers])))</f>
        <v/>
      </c>
      <c r="D227" s="50" t="str">
        <f>IF(tblConteo[[#This Row],[SKU]]="","",INDEX(tblProductos[Categoría],ROW()-ROW(tblConteo[#Headers]))&amp;"")</f>
        <v/>
      </c>
      <c r="E227" s="43" t="str">
        <f>IF(tblConteo[[#This Row],[SKU]]="","",INDEX(tblProductos[Ubicación],ROW()-ROW(tblConteo[#Headers]))&amp;"")</f>
        <v/>
      </c>
      <c r="F227" s="43" t="str">
        <f>IF(tblConteo[[#This Row],[SKU]]="","",INDEX(tblProductos[Unidad],ROW()-ROW(tblConteo[#Headers]))&amp;"")</f>
        <v/>
      </c>
      <c r="G227" s="43" t="str">
        <f>IF(tblConteo[[#This Row],[SKU]]="","",IF(INDEX(tblProductos[Activo],ROW()-ROW(tblConteo[#Headers]))="NO","NO","SI"))</f>
        <v/>
      </c>
      <c r="H227" s="54" t="str">
        <f>IF(tblConteo[[#This Row],[SKU]]="","",IFERROR(N(INDEX(tblStock[StockActual],MATCH(tblConteo[[#This Row],[SKU]],tblStock[SKU],0))),0))</f>
        <v/>
      </c>
      <c r="I227" s="53"/>
      <c r="J227" s="60" t="str">
        <f>IF(OR(tblConteo[[#This Row],[SKU]]="",tblConteo[[#This Row],[Conteo]]=""),"",IF(ISNUMBER(tblConteo[[#This Row],[Conteo]]),tblConteo[[#This Row],[Conteo]]-N(tblConteo[[#This Row],[Sistema]]),""))</f>
        <v/>
      </c>
      <c r="K227" s="63" t="str">
        <f>IF(tblConteo[[#This Row],[Diferencia]]="","",tblConteo[[#This Row],[Diferencia]]*N(INDEX(tblProductos[CostoUnitario],ROW()-ROW(tblConteo[#Headers]))))</f>
        <v/>
      </c>
      <c r="L22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8" spans="2:13" x14ac:dyDescent="0.25">
      <c r="B228" s="43" t="str">
        <f>IF(INDEX(tblProductos[SKU],ROW()-ROW(tblConteo[#Headers]))="","",INDEX(tblProductos[SKU],ROW()-ROW(tblConteo[#Headers])))</f>
        <v/>
      </c>
      <c r="C228" s="50" t="str">
        <f>IF(tblConteo[[#This Row],[SKU]]="","",INDEX(tblProductos[Producto],ROW()-ROW(tblConteo[#Headers])))</f>
        <v/>
      </c>
      <c r="D228" s="50" t="str">
        <f>IF(tblConteo[[#This Row],[SKU]]="","",INDEX(tblProductos[Categoría],ROW()-ROW(tblConteo[#Headers]))&amp;"")</f>
        <v/>
      </c>
      <c r="E228" s="43" t="str">
        <f>IF(tblConteo[[#This Row],[SKU]]="","",INDEX(tblProductos[Ubicación],ROW()-ROW(tblConteo[#Headers]))&amp;"")</f>
        <v/>
      </c>
      <c r="F228" s="43" t="str">
        <f>IF(tblConteo[[#This Row],[SKU]]="","",INDEX(tblProductos[Unidad],ROW()-ROW(tblConteo[#Headers]))&amp;"")</f>
        <v/>
      </c>
      <c r="G228" s="43" t="str">
        <f>IF(tblConteo[[#This Row],[SKU]]="","",IF(INDEX(tblProductos[Activo],ROW()-ROW(tblConteo[#Headers]))="NO","NO","SI"))</f>
        <v/>
      </c>
      <c r="H228" s="54" t="str">
        <f>IF(tblConteo[[#This Row],[SKU]]="","",IFERROR(N(INDEX(tblStock[StockActual],MATCH(tblConteo[[#This Row],[SKU]],tblStock[SKU],0))),0))</f>
        <v/>
      </c>
      <c r="I228" s="53"/>
      <c r="J228" s="60" t="str">
        <f>IF(OR(tblConteo[[#This Row],[SKU]]="",tblConteo[[#This Row],[Conteo]]=""),"",IF(ISNUMBER(tblConteo[[#This Row],[Conteo]]),tblConteo[[#This Row],[Conteo]]-N(tblConteo[[#This Row],[Sistema]]),""))</f>
        <v/>
      </c>
      <c r="K228" s="63" t="str">
        <f>IF(tblConteo[[#This Row],[Diferencia]]="","",tblConteo[[#This Row],[Diferencia]]*N(INDEX(tblProductos[CostoUnitario],ROW()-ROW(tblConteo[#Headers]))))</f>
        <v/>
      </c>
      <c r="L22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29" spans="2:13" x14ac:dyDescent="0.25">
      <c r="B229" s="43" t="str">
        <f>IF(INDEX(tblProductos[SKU],ROW()-ROW(tblConteo[#Headers]))="","",INDEX(tblProductos[SKU],ROW()-ROW(tblConteo[#Headers])))</f>
        <v/>
      </c>
      <c r="C229" s="50" t="str">
        <f>IF(tblConteo[[#This Row],[SKU]]="","",INDEX(tblProductos[Producto],ROW()-ROW(tblConteo[#Headers])))</f>
        <v/>
      </c>
      <c r="D229" s="50" t="str">
        <f>IF(tblConteo[[#This Row],[SKU]]="","",INDEX(tblProductos[Categoría],ROW()-ROW(tblConteo[#Headers]))&amp;"")</f>
        <v/>
      </c>
      <c r="E229" s="43" t="str">
        <f>IF(tblConteo[[#This Row],[SKU]]="","",INDEX(tblProductos[Ubicación],ROW()-ROW(tblConteo[#Headers]))&amp;"")</f>
        <v/>
      </c>
      <c r="F229" s="43" t="str">
        <f>IF(tblConteo[[#This Row],[SKU]]="","",INDEX(tblProductos[Unidad],ROW()-ROW(tblConteo[#Headers]))&amp;"")</f>
        <v/>
      </c>
      <c r="G229" s="43" t="str">
        <f>IF(tblConteo[[#This Row],[SKU]]="","",IF(INDEX(tblProductos[Activo],ROW()-ROW(tblConteo[#Headers]))="NO","NO","SI"))</f>
        <v/>
      </c>
      <c r="H229" s="54" t="str">
        <f>IF(tblConteo[[#This Row],[SKU]]="","",IFERROR(N(INDEX(tblStock[StockActual],MATCH(tblConteo[[#This Row],[SKU]],tblStock[SKU],0))),0))</f>
        <v/>
      </c>
      <c r="I229" s="53"/>
      <c r="J229" s="60" t="str">
        <f>IF(OR(tblConteo[[#This Row],[SKU]]="",tblConteo[[#This Row],[Conteo]]=""),"",IF(ISNUMBER(tblConteo[[#This Row],[Conteo]]),tblConteo[[#This Row],[Conteo]]-N(tblConteo[[#This Row],[Sistema]]),""))</f>
        <v/>
      </c>
      <c r="K229" s="63" t="str">
        <f>IF(tblConteo[[#This Row],[Diferencia]]="","",tblConteo[[#This Row],[Diferencia]]*N(INDEX(tblProductos[CostoUnitario],ROW()-ROW(tblConteo[#Headers]))))</f>
        <v/>
      </c>
      <c r="L22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2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0" spans="2:13" x14ac:dyDescent="0.25">
      <c r="B230" s="43" t="str">
        <f>IF(INDEX(tblProductos[SKU],ROW()-ROW(tblConteo[#Headers]))="","",INDEX(tblProductos[SKU],ROW()-ROW(tblConteo[#Headers])))</f>
        <v/>
      </c>
      <c r="C230" s="50" t="str">
        <f>IF(tblConteo[[#This Row],[SKU]]="","",INDEX(tblProductos[Producto],ROW()-ROW(tblConteo[#Headers])))</f>
        <v/>
      </c>
      <c r="D230" s="50" t="str">
        <f>IF(tblConteo[[#This Row],[SKU]]="","",INDEX(tblProductos[Categoría],ROW()-ROW(tblConteo[#Headers]))&amp;"")</f>
        <v/>
      </c>
      <c r="E230" s="43" t="str">
        <f>IF(tblConteo[[#This Row],[SKU]]="","",INDEX(tblProductos[Ubicación],ROW()-ROW(tblConteo[#Headers]))&amp;"")</f>
        <v/>
      </c>
      <c r="F230" s="43" t="str">
        <f>IF(tblConteo[[#This Row],[SKU]]="","",INDEX(tblProductos[Unidad],ROW()-ROW(tblConteo[#Headers]))&amp;"")</f>
        <v/>
      </c>
      <c r="G230" s="43" t="str">
        <f>IF(tblConteo[[#This Row],[SKU]]="","",IF(INDEX(tblProductos[Activo],ROW()-ROW(tblConteo[#Headers]))="NO","NO","SI"))</f>
        <v/>
      </c>
      <c r="H230" s="54" t="str">
        <f>IF(tblConteo[[#This Row],[SKU]]="","",IFERROR(N(INDEX(tblStock[StockActual],MATCH(tblConteo[[#This Row],[SKU]],tblStock[SKU],0))),0))</f>
        <v/>
      </c>
      <c r="I230" s="53"/>
      <c r="J230" s="60" t="str">
        <f>IF(OR(tblConteo[[#This Row],[SKU]]="",tblConteo[[#This Row],[Conteo]]=""),"",IF(ISNUMBER(tblConteo[[#This Row],[Conteo]]),tblConteo[[#This Row],[Conteo]]-N(tblConteo[[#This Row],[Sistema]]),""))</f>
        <v/>
      </c>
      <c r="K230" s="63" t="str">
        <f>IF(tblConteo[[#This Row],[Diferencia]]="","",tblConteo[[#This Row],[Diferencia]]*N(INDEX(tblProductos[CostoUnitario],ROW()-ROW(tblConteo[#Headers]))))</f>
        <v/>
      </c>
      <c r="L23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1" spans="2:13" x14ac:dyDescent="0.25">
      <c r="B231" s="43" t="str">
        <f>IF(INDEX(tblProductos[SKU],ROW()-ROW(tblConteo[#Headers]))="","",INDEX(tblProductos[SKU],ROW()-ROW(tblConteo[#Headers])))</f>
        <v/>
      </c>
      <c r="C231" s="50" t="str">
        <f>IF(tblConteo[[#This Row],[SKU]]="","",INDEX(tblProductos[Producto],ROW()-ROW(tblConteo[#Headers])))</f>
        <v/>
      </c>
      <c r="D231" s="50" t="str">
        <f>IF(tblConteo[[#This Row],[SKU]]="","",INDEX(tblProductos[Categoría],ROW()-ROW(tblConteo[#Headers]))&amp;"")</f>
        <v/>
      </c>
      <c r="E231" s="43" t="str">
        <f>IF(tblConteo[[#This Row],[SKU]]="","",INDEX(tblProductos[Ubicación],ROW()-ROW(tblConteo[#Headers]))&amp;"")</f>
        <v/>
      </c>
      <c r="F231" s="43" t="str">
        <f>IF(tblConteo[[#This Row],[SKU]]="","",INDEX(tblProductos[Unidad],ROW()-ROW(tblConteo[#Headers]))&amp;"")</f>
        <v/>
      </c>
      <c r="G231" s="43" t="str">
        <f>IF(tblConteo[[#This Row],[SKU]]="","",IF(INDEX(tblProductos[Activo],ROW()-ROW(tblConteo[#Headers]))="NO","NO","SI"))</f>
        <v/>
      </c>
      <c r="H231" s="54" t="str">
        <f>IF(tblConteo[[#This Row],[SKU]]="","",IFERROR(N(INDEX(tblStock[StockActual],MATCH(tblConteo[[#This Row],[SKU]],tblStock[SKU],0))),0))</f>
        <v/>
      </c>
      <c r="I231" s="53"/>
      <c r="J231" s="60" t="str">
        <f>IF(OR(tblConteo[[#This Row],[SKU]]="",tblConteo[[#This Row],[Conteo]]=""),"",IF(ISNUMBER(tblConteo[[#This Row],[Conteo]]),tblConteo[[#This Row],[Conteo]]-N(tblConteo[[#This Row],[Sistema]]),""))</f>
        <v/>
      </c>
      <c r="K231" s="63" t="str">
        <f>IF(tblConteo[[#This Row],[Diferencia]]="","",tblConteo[[#This Row],[Diferencia]]*N(INDEX(tblProductos[CostoUnitario],ROW()-ROW(tblConteo[#Headers]))))</f>
        <v/>
      </c>
      <c r="L23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2" spans="2:13" x14ac:dyDescent="0.25">
      <c r="B232" s="43" t="str">
        <f>IF(INDEX(tblProductos[SKU],ROW()-ROW(tblConteo[#Headers]))="","",INDEX(tblProductos[SKU],ROW()-ROW(tblConteo[#Headers])))</f>
        <v/>
      </c>
      <c r="C232" s="50" t="str">
        <f>IF(tblConteo[[#This Row],[SKU]]="","",INDEX(tblProductos[Producto],ROW()-ROW(tblConteo[#Headers])))</f>
        <v/>
      </c>
      <c r="D232" s="50" t="str">
        <f>IF(tblConteo[[#This Row],[SKU]]="","",INDEX(tblProductos[Categoría],ROW()-ROW(tblConteo[#Headers]))&amp;"")</f>
        <v/>
      </c>
      <c r="E232" s="43" t="str">
        <f>IF(tblConteo[[#This Row],[SKU]]="","",INDEX(tblProductos[Ubicación],ROW()-ROW(tblConteo[#Headers]))&amp;"")</f>
        <v/>
      </c>
      <c r="F232" s="43" t="str">
        <f>IF(tblConteo[[#This Row],[SKU]]="","",INDEX(tblProductos[Unidad],ROW()-ROW(tblConteo[#Headers]))&amp;"")</f>
        <v/>
      </c>
      <c r="G232" s="43" t="str">
        <f>IF(tblConteo[[#This Row],[SKU]]="","",IF(INDEX(tblProductos[Activo],ROW()-ROW(tblConteo[#Headers]))="NO","NO","SI"))</f>
        <v/>
      </c>
      <c r="H232" s="54" t="str">
        <f>IF(tblConteo[[#This Row],[SKU]]="","",IFERROR(N(INDEX(tblStock[StockActual],MATCH(tblConteo[[#This Row],[SKU]],tblStock[SKU],0))),0))</f>
        <v/>
      </c>
      <c r="I232" s="53"/>
      <c r="J232" s="60" t="str">
        <f>IF(OR(tblConteo[[#This Row],[SKU]]="",tblConteo[[#This Row],[Conteo]]=""),"",IF(ISNUMBER(tblConteo[[#This Row],[Conteo]]),tblConteo[[#This Row],[Conteo]]-N(tblConteo[[#This Row],[Sistema]]),""))</f>
        <v/>
      </c>
      <c r="K232" s="63" t="str">
        <f>IF(tblConteo[[#This Row],[Diferencia]]="","",tblConteo[[#This Row],[Diferencia]]*N(INDEX(tblProductos[CostoUnitario],ROW()-ROW(tblConteo[#Headers]))))</f>
        <v/>
      </c>
      <c r="L23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3" spans="2:13" x14ac:dyDescent="0.25">
      <c r="B233" s="43" t="str">
        <f>IF(INDEX(tblProductos[SKU],ROW()-ROW(tblConteo[#Headers]))="","",INDEX(tblProductos[SKU],ROW()-ROW(tblConteo[#Headers])))</f>
        <v/>
      </c>
      <c r="C233" s="50" t="str">
        <f>IF(tblConteo[[#This Row],[SKU]]="","",INDEX(tblProductos[Producto],ROW()-ROW(tblConteo[#Headers])))</f>
        <v/>
      </c>
      <c r="D233" s="50" t="str">
        <f>IF(tblConteo[[#This Row],[SKU]]="","",INDEX(tblProductos[Categoría],ROW()-ROW(tblConteo[#Headers]))&amp;"")</f>
        <v/>
      </c>
      <c r="E233" s="43" t="str">
        <f>IF(tblConteo[[#This Row],[SKU]]="","",INDEX(tblProductos[Ubicación],ROW()-ROW(tblConteo[#Headers]))&amp;"")</f>
        <v/>
      </c>
      <c r="F233" s="43" t="str">
        <f>IF(tblConteo[[#This Row],[SKU]]="","",INDEX(tblProductos[Unidad],ROW()-ROW(tblConteo[#Headers]))&amp;"")</f>
        <v/>
      </c>
      <c r="G233" s="43" t="str">
        <f>IF(tblConteo[[#This Row],[SKU]]="","",IF(INDEX(tblProductos[Activo],ROW()-ROW(tblConteo[#Headers]))="NO","NO","SI"))</f>
        <v/>
      </c>
      <c r="H233" s="54" t="str">
        <f>IF(tblConteo[[#This Row],[SKU]]="","",IFERROR(N(INDEX(tblStock[StockActual],MATCH(tblConteo[[#This Row],[SKU]],tblStock[SKU],0))),0))</f>
        <v/>
      </c>
      <c r="I233" s="53"/>
      <c r="J233" s="60" t="str">
        <f>IF(OR(tblConteo[[#This Row],[SKU]]="",tblConteo[[#This Row],[Conteo]]=""),"",IF(ISNUMBER(tblConteo[[#This Row],[Conteo]]),tblConteo[[#This Row],[Conteo]]-N(tblConteo[[#This Row],[Sistema]]),""))</f>
        <v/>
      </c>
      <c r="K233" s="63" t="str">
        <f>IF(tblConteo[[#This Row],[Diferencia]]="","",tblConteo[[#This Row],[Diferencia]]*N(INDEX(tblProductos[CostoUnitario],ROW()-ROW(tblConteo[#Headers]))))</f>
        <v/>
      </c>
      <c r="L23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4" spans="2:13" x14ac:dyDescent="0.25">
      <c r="B234" s="43" t="str">
        <f>IF(INDEX(tblProductos[SKU],ROW()-ROW(tblConteo[#Headers]))="","",INDEX(tblProductos[SKU],ROW()-ROW(tblConteo[#Headers])))</f>
        <v/>
      </c>
      <c r="C234" s="50" t="str">
        <f>IF(tblConteo[[#This Row],[SKU]]="","",INDEX(tblProductos[Producto],ROW()-ROW(tblConteo[#Headers])))</f>
        <v/>
      </c>
      <c r="D234" s="50" t="str">
        <f>IF(tblConteo[[#This Row],[SKU]]="","",INDEX(tblProductos[Categoría],ROW()-ROW(tblConteo[#Headers]))&amp;"")</f>
        <v/>
      </c>
      <c r="E234" s="43" t="str">
        <f>IF(tblConteo[[#This Row],[SKU]]="","",INDEX(tblProductos[Ubicación],ROW()-ROW(tblConteo[#Headers]))&amp;"")</f>
        <v/>
      </c>
      <c r="F234" s="43" t="str">
        <f>IF(tblConteo[[#This Row],[SKU]]="","",INDEX(tblProductos[Unidad],ROW()-ROW(tblConteo[#Headers]))&amp;"")</f>
        <v/>
      </c>
      <c r="G234" s="43" t="str">
        <f>IF(tblConteo[[#This Row],[SKU]]="","",IF(INDEX(tblProductos[Activo],ROW()-ROW(tblConteo[#Headers]))="NO","NO","SI"))</f>
        <v/>
      </c>
      <c r="H234" s="54" t="str">
        <f>IF(tblConteo[[#This Row],[SKU]]="","",IFERROR(N(INDEX(tblStock[StockActual],MATCH(tblConteo[[#This Row],[SKU]],tblStock[SKU],0))),0))</f>
        <v/>
      </c>
      <c r="I234" s="53"/>
      <c r="J234" s="60" t="str">
        <f>IF(OR(tblConteo[[#This Row],[SKU]]="",tblConteo[[#This Row],[Conteo]]=""),"",IF(ISNUMBER(tblConteo[[#This Row],[Conteo]]),tblConteo[[#This Row],[Conteo]]-N(tblConteo[[#This Row],[Sistema]]),""))</f>
        <v/>
      </c>
      <c r="K234" s="63" t="str">
        <f>IF(tblConteo[[#This Row],[Diferencia]]="","",tblConteo[[#This Row],[Diferencia]]*N(INDEX(tblProductos[CostoUnitario],ROW()-ROW(tblConteo[#Headers]))))</f>
        <v/>
      </c>
      <c r="L23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5" spans="2:13" x14ac:dyDescent="0.25">
      <c r="B235" s="43" t="str">
        <f>IF(INDEX(tblProductos[SKU],ROW()-ROW(tblConteo[#Headers]))="","",INDEX(tblProductos[SKU],ROW()-ROW(tblConteo[#Headers])))</f>
        <v/>
      </c>
      <c r="C235" s="50" t="str">
        <f>IF(tblConteo[[#This Row],[SKU]]="","",INDEX(tblProductos[Producto],ROW()-ROW(tblConteo[#Headers])))</f>
        <v/>
      </c>
      <c r="D235" s="50" t="str">
        <f>IF(tblConteo[[#This Row],[SKU]]="","",INDEX(tblProductos[Categoría],ROW()-ROW(tblConteo[#Headers]))&amp;"")</f>
        <v/>
      </c>
      <c r="E235" s="43" t="str">
        <f>IF(tblConteo[[#This Row],[SKU]]="","",INDEX(tblProductos[Ubicación],ROW()-ROW(tblConteo[#Headers]))&amp;"")</f>
        <v/>
      </c>
      <c r="F235" s="43" t="str">
        <f>IF(tblConteo[[#This Row],[SKU]]="","",INDEX(tblProductos[Unidad],ROW()-ROW(tblConteo[#Headers]))&amp;"")</f>
        <v/>
      </c>
      <c r="G235" s="43" t="str">
        <f>IF(tblConteo[[#This Row],[SKU]]="","",IF(INDEX(tblProductos[Activo],ROW()-ROW(tblConteo[#Headers]))="NO","NO","SI"))</f>
        <v/>
      </c>
      <c r="H235" s="54" t="str">
        <f>IF(tblConteo[[#This Row],[SKU]]="","",IFERROR(N(INDEX(tblStock[StockActual],MATCH(tblConteo[[#This Row],[SKU]],tblStock[SKU],0))),0))</f>
        <v/>
      </c>
      <c r="I235" s="53"/>
      <c r="J235" s="60" t="str">
        <f>IF(OR(tblConteo[[#This Row],[SKU]]="",tblConteo[[#This Row],[Conteo]]=""),"",IF(ISNUMBER(tblConteo[[#This Row],[Conteo]]),tblConteo[[#This Row],[Conteo]]-N(tblConteo[[#This Row],[Sistema]]),""))</f>
        <v/>
      </c>
      <c r="K235" s="63" t="str">
        <f>IF(tblConteo[[#This Row],[Diferencia]]="","",tblConteo[[#This Row],[Diferencia]]*N(INDEX(tblProductos[CostoUnitario],ROW()-ROW(tblConteo[#Headers]))))</f>
        <v/>
      </c>
      <c r="L23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6" spans="2:13" x14ac:dyDescent="0.25">
      <c r="B236" s="43" t="str">
        <f>IF(INDEX(tblProductos[SKU],ROW()-ROW(tblConteo[#Headers]))="","",INDEX(tblProductos[SKU],ROW()-ROW(tblConteo[#Headers])))</f>
        <v/>
      </c>
      <c r="C236" s="50" t="str">
        <f>IF(tblConteo[[#This Row],[SKU]]="","",INDEX(tblProductos[Producto],ROW()-ROW(tblConteo[#Headers])))</f>
        <v/>
      </c>
      <c r="D236" s="50" t="str">
        <f>IF(tblConteo[[#This Row],[SKU]]="","",INDEX(tblProductos[Categoría],ROW()-ROW(tblConteo[#Headers]))&amp;"")</f>
        <v/>
      </c>
      <c r="E236" s="43" t="str">
        <f>IF(tblConteo[[#This Row],[SKU]]="","",INDEX(tblProductos[Ubicación],ROW()-ROW(tblConteo[#Headers]))&amp;"")</f>
        <v/>
      </c>
      <c r="F236" s="43" t="str">
        <f>IF(tblConteo[[#This Row],[SKU]]="","",INDEX(tblProductos[Unidad],ROW()-ROW(tblConteo[#Headers]))&amp;"")</f>
        <v/>
      </c>
      <c r="G236" s="43" t="str">
        <f>IF(tblConteo[[#This Row],[SKU]]="","",IF(INDEX(tblProductos[Activo],ROW()-ROW(tblConteo[#Headers]))="NO","NO","SI"))</f>
        <v/>
      </c>
      <c r="H236" s="54" t="str">
        <f>IF(tblConteo[[#This Row],[SKU]]="","",IFERROR(N(INDEX(tblStock[StockActual],MATCH(tblConteo[[#This Row],[SKU]],tblStock[SKU],0))),0))</f>
        <v/>
      </c>
      <c r="I236" s="53"/>
      <c r="J236" s="60" t="str">
        <f>IF(OR(tblConteo[[#This Row],[SKU]]="",tblConteo[[#This Row],[Conteo]]=""),"",IF(ISNUMBER(tblConteo[[#This Row],[Conteo]]),tblConteo[[#This Row],[Conteo]]-N(tblConteo[[#This Row],[Sistema]]),""))</f>
        <v/>
      </c>
      <c r="K236" s="63" t="str">
        <f>IF(tblConteo[[#This Row],[Diferencia]]="","",tblConteo[[#This Row],[Diferencia]]*N(INDEX(tblProductos[CostoUnitario],ROW()-ROW(tblConteo[#Headers]))))</f>
        <v/>
      </c>
      <c r="L23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7" spans="2:13" x14ac:dyDescent="0.25">
      <c r="B237" s="43" t="str">
        <f>IF(INDEX(tblProductos[SKU],ROW()-ROW(tblConteo[#Headers]))="","",INDEX(tblProductos[SKU],ROW()-ROW(tblConteo[#Headers])))</f>
        <v/>
      </c>
      <c r="C237" s="50" t="str">
        <f>IF(tblConteo[[#This Row],[SKU]]="","",INDEX(tblProductos[Producto],ROW()-ROW(tblConteo[#Headers])))</f>
        <v/>
      </c>
      <c r="D237" s="50" t="str">
        <f>IF(tblConteo[[#This Row],[SKU]]="","",INDEX(tblProductos[Categoría],ROW()-ROW(tblConteo[#Headers]))&amp;"")</f>
        <v/>
      </c>
      <c r="E237" s="43" t="str">
        <f>IF(tblConteo[[#This Row],[SKU]]="","",INDEX(tblProductos[Ubicación],ROW()-ROW(tblConteo[#Headers]))&amp;"")</f>
        <v/>
      </c>
      <c r="F237" s="43" t="str">
        <f>IF(tblConteo[[#This Row],[SKU]]="","",INDEX(tblProductos[Unidad],ROW()-ROW(tblConteo[#Headers]))&amp;"")</f>
        <v/>
      </c>
      <c r="G237" s="43" t="str">
        <f>IF(tblConteo[[#This Row],[SKU]]="","",IF(INDEX(tblProductos[Activo],ROW()-ROW(tblConteo[#Headers]))="NO","NO","SI"))</f>
        <v/>
      </c>
      <c r="H237" s="54" t="str">
        <f>IF(tblConteo[[#This Row],[SKU]]="","",IFERROR(N(INDEX(tblStock[StockActual],MATCH(tblConteo[[#This Row],[SKU]],tblStock[SKU],0))),0))</f>
        <v/>
      </c>
      <c r="I237" s="53"/>
      <c r="J237" s="60" t="str">
        <f>IF(OR(tblConteo[[#This Row],[SKU]]="",tblConteo[[#This Row],[Conteo]]=""),"",IF(ISNUMBER(tblConteo[[#This Row],[Conteo]]),tblConteo[[#This Row],[Conteo]]-N(tblConteo[[#This Row],[Sistema]]),""))</f>
        <v/>
      </c>
      <c r="K237" s="63" t="str">
        <f>IF(tblConteo[[#This Row],[Diferencia]]="","",tblConteo[[#This Row],[Diferencia]]*N(INDEX(tblProductos[CostoUnitario],ROW()-ROW(tblConteo[#Headers]))))</f>
        <v/>
      </c>
      <c r="L23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8" spans="2:13" x14ac:dyDescent="0.25">
      <c r="B238" s="43" t="str">
        <f>IF(INDEX(tblProductos[SKU],ROW()-ROW(tblConteo[#Headers]))="","",INDEX(tblProductos[SKU],ROW()-ROW(tblConteo[#Headers])))</f>
        <v/>
      </c>
      <c r="C238" s="50" t="str">
        <f>IF(tblConteo[[#This Row],[SKU]]="","",INDEX(tblProductos[Producto],ROW()-ROW(tblConteo[#Headers])))</f>
        <v/>
      </c>
      <c r="D238" s="50" t="str">
        <f>IF(tblConteo[[#This Row],[SKU]]="","",INDEX(tblProductos[Categoría],ROW()-ROW(tblConteo[#Headers]))&amp;"")</f>
        <v/>
      </c>
      <c r="E238" s="43" t="str">
        <f>IF(tblConteo[[#This Row],[SKU]]="","",INDEX(tblProductos[Ubicación],ROW()-ROW(tblConteo[#Headers]))&amp;"")</f>
        <v/>
      </c>
      <c r="F238" s="43" t="str">
        <f>IF(tblConteo[[#This Row],[SKU]]="","",INDEX(tblProductos[Unidad],ROW()-ROW(tblConteo[#Headers]))&amp;"")</f>
        <v/>
      </c>
      <c r="G238" s="43" t="str">
        <f>IF(tblConteo[[#This Row],[SKU]]="","",IF(INDEX(tblProductos[Activo],ROW()-ROW(tblConteo[#Headers]))="NO","NO","SI"))</f>
        <v/>
      </c>
      <c r="H238" s="54" t="str">
        <f>IF(tblConteo[[#This Row],[SKU]]="","",IFERROR(N(INDEX(tblStock[StockActual],MATCH(tblConteo[[#This Row],[SKU]],tblStock[SKU],0))),0))</f>
        <v/>
      </c>
      <c r="I238" s="53"/>
      <c r="J238" s="60" t="str">
        <f>IF(OR(tblConteo[[#This Row],[SKU]]="",tblConteo[[#This Row],[Conteo]]=""),"",IF(ISNUMBER(tblConteo[[#This Row],[Conteo]]),tblConteo[[#This Row],[Conteo]]-N(tblConteo[[#This Row],[Sistema]]),""))</f>
        <v/>
      </c>
      <c r="K238" s="63" t="str">
        <f>IF(tblConteo[[#This Row],[Diferencia]]="","",tblConteo[[#This Row],[Diferencia]]*N(INDEX(tblProductos[CostoUnitario],ROW()-ROW(tblConteo[#Headers]))))</f>
        <v/>
      </c>
      <c r="L23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39" spans="2:13" x14ac:dyDescent="0.25">
      <c r="B239" s="43" t="str">
        <f>IF(INDEX(tblProductos[SKU],ROW()-ROW(tblConteo[#Headers]))="","",INDEX(tblProductos[SKU],ROW()-ROW(tblConteo[#Headers])))</f>
        <v/>
      </c>
      <c r="C239" s="50" t="str">
        <f>IF(tblConteo[[#This Row],[SKU]]="","",INDEX(tblProductos[Producto],ROW()-ROW(tblConteo[#Headers])))</f>
        <v/>
      </c>
      <c r="D239" s="50" t="str">
        <f>IF(tblConteo[[#This Row],[SKU]]="","",INDEX(tblProductos[Categoría],ROW()-ROW(tblConteo[#Headers]))&amp;"")</f>
        <v/>
      </c>
      <c r="E239" s="43" t="str">
        <f>IF(tblConteo[[#This Row],[SKU]]="","",INDEX(tblProductos[Ubicación],ROW()-ROW(tblConteo[#Headers]))&amp;"")</f>
        <v/>
      </c>
      <c r="F239" s="43" t="str">
        <f>IF(tblConteo[[#This Row],[SKU]]="","",INDEX(tblProductos[Unidad],ROW()-ROW(tblConteo[#Headers]))&amp;"")</f>
        <v/>
      </c>
      <c r="G239" s="43" t="str">
        <f>IF(tblConteo[[#This Row],[SKU]]="","",IF(INDEX(tblProductos[Activo],ROW()-ROW(tblConteo[#Headers]))="NO","NO","SI"))</f>
        <v/>
      </c>
      <c r="H239" s="54" t="str">
        <f>IF(tblConteo[[#This Row],[SKU]]="","",IFERROR(N(INDEX(tblStock[StockActual],MATCH(tblConteo[[#This Row],[SKU]],tblStock[SKU],0))),0))</f>
        <v/>
      </c>
      <c r="I239" s="53"/>
      <c r="J239" s="60" t="str">
        <f>IF(OR(tblConteo[[#This Row],[SKU]]="",tblConteo[[#This Row],[Conteo]]=""),"",IF(ISNUMBER(tblConteo[[#This Row],[Conteo]]),tblConteo[[#This Row],[Conteo]]-N(tblConteo[[#This Row],[Sistema]]),""))</f>
        <v/>
      </c>
      <c r="K239" s="63" t="str">
        <f>IF(tblConteo[[#This Row],[Diferencia]]="","",tblConteo[[#This Row],[Diferencia]]*N(INDEX(tblProductos[CostoUnitario],ROW()-ROW(tblConteo[#Headers]))))</f>
        <v/>
      </c>
      <c r="L23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3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0" spans="2:13" x14ac:dyDescent="0.25">
      <c r="B240" s="43" t="str">
        <f>IF(INDEX(tblProductos[SKU],ROW()-ROW(tblConteo[#Headers]))="","",INDEX(tblProductos[SKU],ROW()-ROW(tblConteo[#Headers])))</f>
        <v/>
      </c>
      <c r="C240" s="50" t="str">
        <f>IF(tblConteo[[#This Row],[SKU]]="","",INDEX(tblProductos[Producto],ROW()-ROW(tblConteo[#Headers])))</f>
        <v/>
      </c>
      <c r="D240" s="50" t="str">
        <f>IF(tblConteo[[#This Row],[SKU]]="","",INDEX(tblProductos[Categoría],ROW()-ROW(tblConteo[#Headers]))&amp;"")</f>
        <v/>
      </c>
      <c r="E240" s="43" t="str">
        <f>IF(tblConteo[[#This Row],[SKU]]="","",INDEX(tblProductos[Ubicación],ROW()-ROW(tblConteo[#Headers]))&amp;"")</f>
        <v/>
      </c>
      <c r="F240" s="43" t="str">
        <f>IF(tblConteo[[#This Row],[SKU]]="","",INDEX(tblProductos[Unidad],ROW()-ROW(tblConteo[#Headers]))&amp;"")</f>
        <v/>
      </c>
      <c r="G240" s="43" t="str">
        <f>IF(tblConteo[[#This Row],[SKU]]="","",IF(INDEX(tblProductos[Activo],ROW()-ROW(tblConteo[#Headers]))="NO","NO","SI"))</f>
        <v/>
      </c>
      <c r="H240" s="54" t="str">
        <f>IF(tblConteo[[#This Row],[SKU]]="","",IFERROR(N(INDEX(tblStock[StockActual],MATCH(tblConteo[[#This Row],[SKU]],tblStock[SKU],0))),0))</f>
        <v/>
      </c>
      <c r="I240" s="53"/>
      <c r="J240" s="60" t="str">
        <f>IF(OR(tblConteo[[#This Row],[SKU]]="",tblConteo[[#This Row],[Conteo]]=""),"",IF(ISNUMBER(tblConteo[[#This Row],[Conteo]]),tblConteo[[#This Row],[Conteo]]-N(tblConteo[[#This Row],[Sistema]]),""))</f>
        <v/>
      </c>
      <c r="K240" s="63" t="str">
        <f>IF(tblConteo[[#This Row],[Diferencia]]="","",tblConteo[[#This Row],[Diferencia]]*N(INDEX(tblProductos[CostoUnitario],ROW()-ROW(tblConteo[#Headers]))))</f>
        <v/>
      </c>
      <c r="L24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1" spans="2:13" x14ac:dyDescent="0.25">
      <c r="B241" s="43" t="str">
        <f>IF(INDEX(tblProductos[SKU],ROW()-ROW(tblConteo[#Headers]))="","",INDEX(tblProductos[SKU],ROW()-ROW(tblConteo[#Headers])))</f>
        <v/>
      </c>
      <c r="C241" s="50" t="str">
        <f>IF(tblConteo[[#This Row],[SKU]]="","",INDEX(tblProductos[Producto],ROW()-ROW(tblConteo[#Headers])))</f>
        <v/>
      </c>
      <c r="D241" s="50" t="str">
        <f>IF(tblConteo[[#This Row],[SKU]]="","",INDEX(tblProductos[Categoría],ROW()-ROW(tblConteo[#Headers]))&amp;"")</f>
        <v/>
      </c>
      <c r="E241" s="43" t="str">
        <f>IF(tblConteo[[#This Row],[SKU]]="","",INDEX(tblProductos[Ubicación],ROW()-ROW(tblConteo[#Headers]))&amp;"")</f>
        <v/>
      </c>
      <c r="F241" s="43" t="str">
        <f>IF(tblConteo[[#This Row],[SKU]]="","",INDEX(tblProductos[Unidad],ROW()-ROW(tblConteo[#Headers]))&amp;"")</f>
        <v/>
      </c>
      <c r="G241" s="43" t="str">
        <f>IF(tblConteo[[#This Row],[SKU]]="","",IF(INDEX(tblProductos[Activo],ROW()-ROW(tblConteo[#Headers]))="NO","NO","SI"))</f>
        <v/>
      </c>
      <c r="H241" s="54" t="str">
        <f>IF(tblConteo[[#This Row],[SKU]]="","",IFERROR(N(INDEX(tblStock[StockActual],MATCH(tblConteo[[#This Row],[SKU]],tblStock[SKU],0))),0))</f>
        <v/>
      </c>
      <c r="I241" s="53"/>
      <c r="J241" s="60" t="str">
        <f>IF(OR(tblConteo[[#This Row],[SKU]]="",tblConteo[[#This Row],[Conteo]]=""),"",IF(ISNUMBER(tblConteo[[#This Row],[Conteo]]),tblConteo[[#This Row],[Conteo]]-N(tblConteo[[#This Row],[Sistema]]),""))</f>
        <v/>
      </c>
      <c r="K241" s="63" t="str">
        <f>IF(tblConteo[[#This Row],[Diferencia]]="","",tblConteo[[#This Row],[Diferencia]]*N(INDEX(tblProductos[CostoUnitario],ROW()-ROW(tblConteo[#Headers]))))</f>
        <v/>
      </c>
      <c r="L24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2" spans="2:13" x14ac:dyDescent="0.25">
      <c r="B242" s="43" t="str">
        <f>IF(INDEX(tblProductos[SKU],ROW()-ROW(tblConteo[#Headers]))="","",INDEX(tblProductos[SKU],ROW()-ROW(tblConteo[#Headers])))</f>
        <v/>
      </c>
      <c r="C242" s="50" t="str">
        <f>IF(tblConteo[[#This Row],[SKU]]="","",INDEX(tblProductos[Producto],ROW()-ROW(tblConteo[#Headers])))</f>
        <v/>
      </c>
      <c r="D242" s="50" t="str">
        <f>IF(tblConteo[[#This Row],[SKU]]="","",INDEX(tblProductos[Categoría],ROW()-ROW(tblConteo[#Headers]))&amp;"")</f>
        <v/>
      </c>
      <c r="E242" s="43" t="str">
        <f>IF(tblConteo[[#This Row],[SKU]]="","",INDEX(tblProductos[Ubicación],ROW()-ROW(tblConteo[#Headers]))&amp;"")</f>
        <v/>
      </c>
      <c r="F242" s="43" t="str">
        <f>IF(tblConteo[[#This Row],[SKU]]="","",INDEX(tblProductos[Unidad],ROW()-ROW(tblConteo[#Headers]))&amp;"")</f>
        <v/>
      </c>
      <c r="G242" s="43" t="str">
        <f>IF(tblConteo[[#This Row],[SKU]]="","",IF(INDEX(tblProductos[Activo],ROW()-ROW(tblConteo[#Headers]))="NO","NO","SI"))</f>
        <v/>
      </c>
      <c r="H242" s="54" t="str">
        <f>IF(tblConteo[[#This Row],[SKU]]="","",IFERROR(N(INDEX(tblStock[StockActual],MATCH(tblConteo[[#This Row],[SKU]],tblStock[SKU],0))),0))</f>
        <v/>
      </c>
      <c r="I242" s="53"/>
      <c r="J242" s="60" t="str">
        <f>IF(OR(tblConteo[[#This Row],[SKU]]="",tblConteo[[#This Row],[Conteo]]=""),"",IF(ISNUMBER(tblConteo[[#This Row],[Conteo]]),tblConteo[[#This Row],[Conteo]]-N(tblConteo[[#This Row],[Sistema]]),""))</f>
        <v/>
      </c>
      <c r="K242" s="63" t="str">
        <f>IF(tblConteo[[#This Row],[Diferencia]]="","",tblConteo[[#This Row],[Diferencia]]*N(INDEX(tblProductos[CostoUnitario],ROW()-ROW(tblConteo[#Headers]))))</f>
        <v/>
      </c>
      <c r="L24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3" spans="2:13" x14ac:dyDescent="0.25">
      <c r="B243" s="43" t="str">
        <f>IF(INDEX(tblProductos[SKU],ROW()-ROW(tblConteo[#Headers]))="","",INDEX(tblProductos[SKU],ROW()-ROW(tblConteo[#Headers])))</f>
        <v/>
      </c>
      <c r="C243" s="50" t="str">
        <f>IF(tblConteo[[#This Row],[SKU]]="","",INDEX(tblProductos[Producto],ROW()-ROW(tblConteo[#Headers])))</f>
        <v/>
      </c>
      <c r="D243" s="50" t="str">
        <f>IF(tblConteo[[#This Row],[SKU]]="","",INDEX(tblProductos[Categoría],ROW()-ROW(tblConteo[#Headers]))&amp;"")</f>
        <v/>
      </c>
      <c r="E243" s="43" t="str">
        <f>IF(tblConteo[[#This Row],[SKU]]="","",INDEX(tblProductos[Ubicación],ROW()-ROW(tblConteo[#Headers]))&amp;"")</f>
        <v/>
      </c>
      <c r="F243" s="43" t="str">
        <f>IF(tblConteo[[#This Row],[SKU]]="","",INDEX(tblProductos[Unidad],ROW()-ROW(tblConteo[#Headers]))&amp;"")</f>
        <v/>
      </c>
      <c r="G243" s="43" t="str">
        <f>IF(tblConteo[[#This Row],[SKU]]="","",IF(INDEX(tblProductos[Activo],ROW()-ROW(tblConteo[#Headers]))="NO","NO","SI"))</f>
        <v/>
      </c>
      <c r="H243" s="54" t="str">
        <f>IF(tblConteo[[#This Row],[SKU]]="","",IFERROR(N(INDEX(tblStock[StockActual],MATCH(tblConteo[[#This Row],[SKU]],tblStock[SKU],0))),0))</f>
        <v/>
      </c>
      <c r="I243" s="53"/>
      <c r="J243" s="60" t="str">
        <f>IF(OR(tblConteo[[#This Row],[SKU]]="",tblConteo[[#This Row],[Conteo]]=""),"",IF(ISNUMBER(tblConteo[[#This Row],[Conteo]]),tblConteo[[#This Row],[Conteo]]-N(tblConteo[[#This Row],[Sistema]]),""))</f>
        <v/>
      </c>
      <c r="K243" s="63" t="str">
        <f>IF(tblConteo[[#This Row],[Diferencia]]="","",tblConteo[[#This Row],[Diferencia]]*N(INDEX(tblProductos[CostoUnitario],ROW()-ROW(tblConteo[#Headers]))))</f>
        <v/>
      </c>
      <c r="L24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4" spans="2:13" x14ac:dyDescent="0.25">
      <c r="B244" s="43" t="str">
        <f>IF(INDEX(tblProductos[SKU],ROW()-ROW(tblConteo[#Headers]))="","",INDEX(tblProductos[SKU],ROW()-ROW(tblConteo[#Headers])))</f>
        <v/>
      </c>
      <c r="C244" s="50" t="str">
        <f>IF(tblConteo[[#This Row],[SKU]]="","",INDEX(tblProductos[Producto],ROW()-ROW(tblConteo[#Headers])))</f>
        <v/>
      </c>
      <c r="D244" s="50" t="str">
        <f>IF(tblConteo[[#This Row],[SKU]]="","",INDEX(tblProductos[Categoría],ROW()-ROW(tblConteo[#Headers]))&amp;"")</f>
        <v/>
      </c>
      <c r="E244" s="43" t="str">
        <f>IF(tblConteo[[#This Row],[SKU]]="","",INDEX(tblProductos[Ubicación],ROW()-ROW(tblConteo[#Headers]))&amp;"")</f>
        <v/>
      </c>
      <c r="F244" s="43" t="str">
        <f>IF(tblConteo[[#This Row],[SKU]]="","",INDEX(tblProductos[Unidad],ROW()-ROW(tblConteo[#Headers]))&amp;"")</f>
        <v/>
      </c>
      <c r="G244" s="43" t="str">
        <f>IF(tblConteo[[#This Row],[SKU]]="","",IF(INDEX(tblProductos[Activo],ROW()-ROW(tblConteo[#Headers]))="NO","NO","SI"))</f>
        <v/>
      </c>
      <c r="H244" s="54" t="str">
        <f>IF(tblConteo[[#This Row],[SKU]]="","",IFERROR(N(INDEX(tblStock[StockActual],MATCH(tblConteo[[#This Row],[SKU]],tblStock[SKU],0))),0))</f>
        <v/>
      </c>
      <c r="I244" s="53"/>
      <c r="J244" s="60" t="str">
        <f>IF(OR(tblConteo[[#This Row],[SKU]]="",tblConteo[[#This Row],[Conteo]]=""),"",IF(ISNUMBER(tblConteo[[#This Row],[Conteo]]),tblConteo[[#This Row],[Conteo]]-N(tblConteo[[#This Row],[Sistema]]),""))</f>
        <v/>
      </c>
      <c r="K244" s="63" t="str">
        <f>IF(tblConteo[[#This Row],[Diferencia]]="","",tblConteo[[#This Row],[Diferencia]]*N(INDEX(tblProductos[CostoUnitario],ROW()-ROW(tblConteo[#Headers]))))</f>
        <v/>
      </c>
      <c r="L24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5" spans="2:13" x14ac:dyDescent="0.25">
      <c r="B245" s="43" t="str">
        <f>IF(INDEX(tblProductos[SKU],ROW()-ROW(tblConteo[#Headers]))="","",INDEX(tblProductos[SKU],ROW()-ROW(tblConteo[#Headers])))</f>
        <v/>
      </c>
      <c r="C245" s="50" t="str">
        <f>IF(tblConteo[[#This Row],[SKU]]="","",INDEX(tblProductos[Producto],ROW()-ROW(tblConteo[#Headers])))</f>
        <v/>
      </c>
      <c r="D245" s="50" t="str">
        <f>IF(tblConteo[[#This Row],[SKU]]="","",INDEX(tblProductos[Categoría],ROW()-ROW(tblConteo[#Headers]))&amp;"")</f>
        <v/>
      </c>
      <c r="E245" s="43" t="str">
        <f>IF(tblConteo[[#This Row],[SKU]]="","",INDEX(tblProductos[Ubicación],ROW()-ROW(tblConteo[#Headers]))&amp;"")</f>
        <v/>
      </c>
      <c r="F245" s="43" t="str">
        <f>IF(tblConteo[[#This Row],[SKU]]="","",INDEX(tblProductos[Unidad],ROW()-ROW(tblConteo[#Headers]))&amp;"")</f>
        <v/>
      </c>
      <c r="G245" s="43" t="str">
        <f>IF(tblConteo[[#This Row],[SKU]]="","",IF(INDEX(tblProductos[Activo],ROW()-ROW(tblConteo[#Headers]))="NO","NO","SI"))</f>
        <v/>
      </c>
      <c r="H245" s="54" t="str">
        <f>IF(tblConteo[[#This Row],[SKU]]="","",IFERROR(N(INDEX(tblStock[StockActual],MATCH(tblConteo[[#This Row],[SKU]],tblStock[SKU],0))),0))</f>
        <v/>
      </c>
      <c r="I245" s="53"/>
      <c r="J245" s="60" t="str">
        <f>IF(OR(tblConteo[[#This Row],[SKU]]="",tblConteo[[#This Row],[Conteo]]=""),"",IF(ISNUMBER(tblConteo[[#This Row],[Conteo]]),tblConteo[[#This Row],[Conteo]]-N(tblConteo[[#This Row],[Sistema]]),""))</f>
        <v/>
      </c>
      <c r="K245" s="63" t="str">
        <f>IF(tblConteo[[#This Row],[Diferencia]]="","",tblConteo[[#This Row],[Diferencia]]*N(INDEX(tblProductos[CostoUnitario],ROW()-ROW(tblConteo[#Headers]))))</f>
        <v/>
      </c>
      <c r="L24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6" spans="2:13" x14ac:dyDescent="0.25">
      <c r="B246" s="43" t="str">
        <f>IF(INDEX(tblProductos[SKU],ROW()-ROW(tblConteo[#Headers]))="","",INDEX(tblProductos[SKU],ROW()-ROW(tblConteo[#Headers])))</f>
        <v/>
      </c>
      <c r="C246" s="50" t="str">
        <f>IF(tblConteo[[#This Row],[SKU]]="","",INDEX(tblProductos[Producto],ROW()-ROW(tblConteo[#Headers])))</f>
        <v/>
      </c>
      <c r="D246" s="50" t="str">
        <f>IF(tblConteo[[#This Row],[SKU]]="","",INDEX(tblProductos[Categoría],ROW()-ROW(tblConteo[#Headers]))&amp;"")</f>
        <v/>
      </c>
      <c r="E246" s="43" t="str">
        <f>IF(tblConteo[[#This Row],[SKU]]="","",INDEX(tblProductos[Ubicación],ROW()-ROW(tblConteo[#Headers]))&amp;"")</f>
        <v/>
      </c>
      <c r="F246" s="43" t="str">
        <f>IF(tblConteo[[#This Row],[SKU]]="","",INDEX(tblProductos[Unidad],ROW()-ROW(tblConteo[#Headers]))&amp;"")</f>
        <v/>
      </c>
      <c r="G246" s="43" t="str">
        <f>IF(tblConteo[[#This Row],[SKU]]="","",IF(INDEX(tblProductos[Activo],ROW()-ROW(tblConteo[#Headers]))="NO","NO","SI"))</f>
        <v/>
      </c>
      <c r="H246" s="54" t="str">
        <f>IF(tblConteo[[#This Row],[SKU]]="","",IFERROR(N(INDEX(tblStock[StockActual],MATCH(tblConteo[[#This Row],[SKU]],tblStock[SKU],0))),0))</f>
        <v/>
      </c>
      <c r="I246" s="53"/>
      <c r="J246" s="60" t="str">
        <f>IF(OR(tblConteo[[#This Row],[SKU]]="",tblConteo[[#This Row],[Conteo]]=""),"",IF(ISNUMBER(tblConteo[[#This Row],[Conteo]]),tblConteo[[#This Row],[Conteo]]-N(tblConteo[[#This Row],[Sistema]]),""))</f>
        <v/>
      </c>
      <c r="K246" s="63" t="str">
        <f>IF(tblConteo[[#This Row],[Diferencia]]="","",tblConteo[[#This Row],[Diferencia]]*N(INDEX(tblProductos[CostoUnitario],ROW()-ROW(tblConteo[#Headers]))))</f>
        <v/>
      </c>
      <c r="L24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7" spans="2:13" x14ac:dyDescent="0.25">
      <c r="B247" s="43" t="str">
        <f>IF(INDEX(tblProductos[SKU],ROW()-ROW(tblConteo[#Headers]))="","",INDEX(tblProductos[SKU],ROW()-ROW(tblConteo[#Headers])))</f>
        <v/>
      </c>
      <c r="C247" s="50" t="str">
        <f>IF(tblConteo[[#This Row],[SKU]]="","",INDEX(tblProductos[Producto],ROW()-ROW(tblConteo[#Headers])))</f>
        <v/>
      </c>
      <c r="D247" s="50" t="str">
        <f>IF(tblConteo[[#This Row],[SKU]]="","",INDEX(tblProductos[Categoría],ROW()-ROW(tblConteo[#Headers]))&amp;"")</f>
        <v/>
      </c>
      <c r="E247" s="43" t="str">
        <f>IF(tblConteo[[#This Row],[SKU]]="","",INDEX(tblProductos[Ubicación],ROW()-ROW(tblConteo[#Headers]))&amp;"")</f>
        <v/>
      </c>
      <c r="F247" s="43" t="str">
        <f>IF(tblConteo[[#This Row],[SKU]]="","",INDEX(tblProductos[Unidad],ROW()-ROW(tblConteo[#Headers]))&amp;"")</f>
        <v/>
      </c>
      <c r="G247" s="43" t="str">
        <f>IF(tblConteo[[#This Row],[SKU]]="","",IF(INDEX(tblProductos[Activo],ROW()-ROW(tblConteo[#Headers]))="NO","NO","SI"))</f>
        <v/>
      </c>
      <c r="H247" s="54" t="str">
        <f>IF(tblConteo[[#This Row],[SKU]]="","",IFERROR(N(INDEX(tblStock[StockActual],MATCH(tblConteo[[#This Row],[SKU]],tblStock[SKU],0))),0))</f>
        <v/>
      </c>
      <c r="I247" s="53"/>
      <c r="J247" s="60" t="str">
        <f>IF(OR(tblConteo[[#This Row],[SKU]]="",tblConteo[[#This Row],[Conteo]]=""),"",IF(ISNUMBER(tblConteo[[#This Row],[Conteo]]),tblConteo[[#This Row],[Conteo]]-N(tblConteo[[#This Row],[Sistema]]),""))</f>
        <v/>
      </c>
      <c r="K247" s="63" t="str">
        <f>IF(tblConteo[[#This Row],[Diferencia]]="","",tblConteo[[#This Row],[Diferencia]]*N(INDEX(tblProductos[CostoUnitario],ROW()-ROW(tblConteo[#Headers]))))</f>
        <v/>
      </c>
      <c r="L24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8" spans="2:13" x14ac:dyDescent="0.25">
      <c r="B248" s="43" t="str">
        <f>IF(INDEX(tblProductos[SKU],ROW()-ROW(tblConteo[#Headers]))="","",INDEX(tblProductos[SKU],ROW()-ROW(tblConteo[#Headers])))</f>
        <v/>
      </c>
      <c r="C248" s="50" t="str">
        <f>IF(tblConteo[[#This Row],[SKU]]="","",INDEX(tblProductos[Producto],ROW()-ROW(tblConteo[#Headers])))</f>
        <v/>
      </c>
      <c r="D248" s="50" t="str">
        <f>IF(tblConteo[[#This Row],[SKU]]="","",INDEX(tblProductos[Categoría],ROW()-ROW(tblConteo[#Headers]))&amp;"")</f>
        <v/>
      </c>
      <c r="E248" s="43" t="str">
        <f>IF(tblConteo[[#This Row],[SKU]]="","",INDEX(tblProductos[Ubicación],ROW()-ROW(tblConteo[#Headers]))&amp;"")</f>
        <v/>
      </c>
      <c r="F248" s="43" t="str">
        <f>IF(tblConteo[[#This Row],[SKU]]="","",INDEX(tblProductos[Unidad],ROW()-ROW(tblConteo[#Headers]))&amp;"")</f>
        <v/>
      </c>
      <c r="G248" s="43" t="str">
        <f>IF(tblConteo[[#This Row],[SKU]]="","",IF(INDEX(tblProductos[Activo],ROW()-ROW(tblConteo[#Headers]))="NO","NO","SI"))</f>
        <v/>
      </c>
      <c r="H248" s="54" t="str">
        <f>IF(tblConteo[[#This Row],[SKU]]="","",IFERROR(N(INDEX(tblStock[StockActual],MATCH(tblConteo[[#This Row],[SKU]],tblStock[SKU],0))),0))</f>
        <v/>
      </c>
      <c r="I248" s="53"/>
      <c r="J248" s="60" t="str">
        <f>IF(OR(tblConteo[[#This Row],[SKU]]="",tblConteo[[#This Row],[Conteo]]=""),"",IF(ISNUMBER(tblConteo[[#This Row],[Conteo]]),tblConteo[[#This Row],[Conteo]]-N(tblConteo[[#This Row],[Sistema]]),""))</f>
        <v/>
      </c>
      <c r="K248" s="63" t="str">
        <f>IF(tblConteo[[#This Row],[Diferencia]]="","",tblConteo[[#This Row],[Diferencia]]*N(INDEX(tblProductos[CostoUnitario],ROW()-ROW(tblConteo[#Headers]))))</f>
        <v/>
      </c>
      <c r="L24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49" spans="2:13" x14ac:dyDescent="0.25">
      <c r="B249" s="43" t="str">
        <f>IF(INDEX(tblProductos[SKU],ROW()-ROW(tblConteo[#Headers]))="","",INDEX(tblProductos[SKU],ROW()-ROW(tblConteo[#Headers])))</f>
        <v/>
      </c>
      <c r="C249" s="50" t="str">
        <f>IF(tblConteo[[#This Row],[SKU]]="","",INDEX(tblProductos[Producto],ROW()-ROW(tblConteo[#Headers])))</f>
        <v/>
      </c>
      <c r="D249" s="50" t="str">
        <f>IF(tblConteo[[#This Row],[SKU]]="","",INDEX(tblProductos[Categoría],ROW()-ROW(tblConteo[#Headers]))&amp;"")</f>
        <v/>
      </c>
      <c r="E249" s="43" t="str">
        <f>IF(tblConteo[[#This Row],[SKU]]="","",INDEX(tblProductos[Ubicación],ROW()-ROW(tblConteo[#Headers]))&amp;"")</f>
        <v/>
      </c>
      <c r="F249" s="43" t="str">
        <f>IF(tblConteo[[#This Row],[SKU]]="","",INDEX(tblProductos[Unidad],ROW()-ROW(tblConteo[#Headers]))&amp;"")</f>
        <v/>
      </c>
      <c r="G249" s="43" t="str">
        <f>IF(tblConteo[[#This Row],[SKU]]="","",IF(INDEX(tblProductos[Activo],ROW()-ROW(tblConteo[#Headers]))="NO","NO","SI"))</f>
        <v/>
      </c>
      <c r="H249" s="54" t="str">
        <f>IF(tblConteo[[#This Row],[SKU]]="","",IFERROR(N(INDEX(tblStock[StockActual],MATCH(tblConteo[[#This Row],[SKU]],tblStock[SKU],0))),0))</f>
        <v/>
      </c>
      <c r="I249" s="53"/>
      <c r="J249" s="60" t="str">
        <f>IF(OR(tblConteo[[#This Row],[SKU]]="",tblConteo[[#This Row],[Conteo]]=""),"",IF(ISNUMBER(tblConteo[[#This Row],[Conteo]]),tblConteo[[#This Row],[Conteo]]-N(tblConteo[[#This Row],[Sistema]]),""))</f>
        <v/>
      </c>
      <c r="K249" s="63" t="str">
        <f>IF(tblConteo[[#This Row],[Diferencia]]="","",tblConteo[[#This Row],[Diferencia]]*N(INDEX(tblProductos[CostoUnitario],ROW()-ROW(tblConteo[#Headers]))))</f>
        <v/>
      </c>
      <c r="L24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4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0" spans="2:13" x14ac:dyDescent="0.25">
      <c r="B250" s="43" t="str">
        <f>IF(INDEX(tblProductos[SKU],ROW()-ROW(tblConteo[#Headers]))="","",INDEX(tblProductos[SKU],ROW()-ROW(tblConteo[#Headers])))</f>
        <v/>
      </c>
      <c r="C250" s="50" t="str">
        <f>IF(tblConteo[[#This Row],[SKU]]="","",INDEX(tblProductos[Producto],ROW()-ROW(tblConteo[#Headers])))</f>
        <v/>
      </c>
      <c r="D250" s="50" t="str">
        <f>IF(tblConteo[[#This Row],[SKU]]="","",INDEX(tblProductos[Categoría],ROW()-ROW(tblConteo[#Headers]))&amp;"")</f>
        <v/>
      </c>
      <c r="E250" s="43" t="str">
        <f>IF(tblConteo[[#This Row],[SKU]]="","",INDEX(tblProductos[Ubicación],ROW()-ROW(tblConteo[#Headers]))&amp;"")</f>
        <v/>
      </c>
      <c r="F250" s="43" t="str">
        <f>IF(tblConteo[[#This Row],[SKU]]="","",INDEX(tblProductos[Unidad],ROW()-ROW(tblConteo[#Headers]))&amp;"")</f>
        <v/>
      </c>
      <c r="G250" s="43" t="str">
        <f>IF(tblConteo[[#This Row],[SKU]]="","",IF(INDEX(tblProductos[Activo],ROW()-ROW(tblConteo[#Headers]))="NO","NO","SI"))</f>
        <v/>
      </c>
      <c r="H250" s="54" t="str">
        <f>IF(tblConteo[[#This Row],[SKU]]="","",IFERROR(N(INDEX(tblStock[StockActual],MATCH(tblConteo[[#This Row],[SKU]],tblStock[SKU],0))),0))</f>
        <v/>
      </c>
      <c r="I250" s="53"/>
      <c r="J250" s="60" t="str">
        <f>IF(OR(tblConteo[[#This Row],[SKU]]="",tblConteo[[#This Row],[Conteo]]=""),"",IF(ISNUMBER(tblConteo[[#This Row],[Conteo]]),tblConteo[[#This Row],[Conteo]]-N(tblConteo[[#This Row],[Sistema]]),""))</f>
        <v/>
      </c>
      <c r="K250" s="63" t="str">
        <f>IF(tblConteo[[#This Row],[Diferencia]]="","",tblConteo[[#This Row],[Diferencia]]*N(INDEX(tblProductos[CostoUnitario],ROW()-ROW(tblConteo[#Headers]))))</f>
        <v/>
      </c>
      <c r="L25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1" spans="2:13" x14ac:dyDescent="0.25">
      <c r="B251" s="43" t="str">
        <f>IF(INDEX(tblProductos[SKU],ROW()-ROW(tblConteo[#Headers]))="","",INDEX(tblProductos[SKU],ROW()-ROW(tblConteo[#Headers])))</f>
        <v/>
      </c>
      <c r="C251" s="50" t="str">
        <f>IF(tblConteo[[#This Row],[SKU]]="","",INDEX(tblProductos[Producto],ROW()-ROW(tblConteo[#Headers])))</f>
        <v/>
      </c>
      <c r="D251" s="50" t="str">
        <f>IF(tblConteo[[#This Row],[SKU]]="","",INDEX(tblProductos[Categoría],ROW()-ROW(tblConteo[#Headers]))&amp;"")</f>
        <v/>
      </c>
      <c r="E251" s="43" t="str">
        <f>IF(tblConteo[[#This Row],[SKU]]="","",INDEX(tblProductos[Ubicación],ROW()-ROW(tblConteo[#Headers]))&amp;"")</f>
        <v/>
      </c>
      <c r="F251" s="43" t="str">
        <f>IF(tblConteo[[#This Row],[SKU]]="","",INDEX(tblProductos[Unidad],ROW()-ROW(tblConteo[#Headers]))&amp;"")</f>
        <v/>
      </c>
      <c r="G251" s="43" t="str">
        <f>IF(tblConteo[[#This Row],[SKU]]="","",IF(INDEX(tblProductos[Activo],ROW()-ROW(tblConteo[#Headers]))="NO","NO","SI"))</f>
        <v/>
      </c>
      <c r="H251" s="54" t="str">
        <f>IF(tblConteo[[#This Row],[SKU]]="","",IFERROR(N(INDEX(tblStock[StockActual],MATCH(tblConteo[[#This Row],[SKU]],tblStock[SKU],0))),0))</f>
        <v/>
      </c>
      <c r="I251" s="53"/>
      <c r="J251" s="60" t="str">
        <f>IF(OR(tblConteo[[#This Row],[SKU]]="",tblConteo[[#This Row],[Conteo]]=""),"",IF(ISNUMBER(tblConteo[[#This Row],[Conteo]]),tblConteo[[#This Row],[Conteo]]-N(tblConteo[[#This Row],[Sistema]]),""))</f>
        <v/>
      </c>
      <c r="K251" s="63" t="str">
        <f>IF(tblConteo[[#This Row],[Diferencia]]="","",tblConteo[[#This Row],[Diferencia]]*N(INDEX(tblProductos[CostoUnitario],ROW()-ROW(tblConteo[#Headers]))))</f>
        <v/>
      </c>
      <c r="L25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2" spans="2:13" x14ac:dyDescent="0.25">
      <c r="B252" s="43" t="str">
        <f>IF(INDEX(tblProductos[SKU],ROW()-ROW(tblConteo[#Headers]))="","",INDEX(tblProductos[SKU],ROW()-ROW(tblConteo[#Headers])))</f>
        <v/>
      </c>
      <c r="C252" s="50" t="str">
        <f>IF(tblConteo[[#This Row],[SKU]]="","",INDEX(tblProductos[Producto],ROW()-ROW(tblConteo[#Headers])))</f>
        <v/>
      </c>
      <c r="D252" s="50" t="str">
        <f>IF(tblConteo[[#This Row],[SKU]]="","",INDEX(tblProductos[Categoría],ROW()-ROW(tblConteo[#Headers]))&amp;"")</f>
        <v/>
      </c>
      <c r="E252" s="43" t="str">
        <f>IF(tblConteo[[#This Row],[SKU]]="","",INDEX(tblProductos[Ubicación],ROW()-ROW(tblConteo[#Headers]))&amp;"")</f>
        <v/>
      </c>
      <c r="F252" s="43" t="str">
        <f>IF(tblConteo[[#This Row],[SKU]]="","",INDEX(tblProductos[Unidad],ROW()-ROW(tblConteo[#Headers]))&amp;"")</f>
        <v/>
      </c>
      <c r="G252" s="43" t="str">
        <f>IF(tblConteo[[#This Row],[SKU]]="","",IF(INDEX(tblProductos[Activo],ROW()-ROW(tblConteo[#Headers]))="NO","NO","SI"))</f>
        <v/>
      </c>
      <c r="H252" s="54" t="str">
        <f>IF(tblConteo[[#This Row],[SKU]]="","",IFERROR(N(INDEX(tblStock[StockActual],MATCH(tblConteo[[#This Row],[SKU]],tblStock[SKU],0))),0))</f>
        <v/>
      </c>
      <c r="I252" s="53"/>
      <c r="J252" s="60" t="str">
        <f>IF(OR(tblConteo[[#This Row],[SKU]]="",tblConteo[[#This Row],[Conteo]]=""),"",IF(ISNUMBER(tblConteo[[#This Row],[Conteo]]),tblConteo[[#This Row],[Conteo]]-N(tblConteo[[#This Row],[Sistema]]),""))</f>
        <v/>
      </c>
      <c r="K252" s="63" t="str">
        <f>IF(tblConteo[[#This Row],[Diferencia]]="","",tblConteo[[#This Row],[Diferencia]]*N(INDEX(tblProductos[CostoUnitario],ROW()-ROW(tblConteo[#Headers]))))</f>
        <v/>
      </c>
      <c r="L25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3" spans="2:13" x14ac:dyDescent="0.25">
      <c r="B253" s="43" t="str">
        <f>IF(INDEX(tblProductos[SKU],ROW()-ROW(tblConteo[#Headers]))="","",INDEX(tblProductos[SKU],ROW()-ROW(tblConteo[#Headers])))</f>
        <v/>
      </c>
      <c r="C253" s="50" t="str">
        <f>IF(tblConteo[[#This Row],[SKU]]="","",INDEX(tblProductos[Producto],ROW()-ROW(tblConteo[#Headers])))</f>
        <v/>
      </c>
      <c r="D253" s="50" t="str">
        <f>IF(tblConteo[[#This Row],[SKU]]="","",INDEX(tblProductos[Categoría],ROW()-ROW(tblConteo[#Headers]))&amp;"")</f>
        <v/>
      </c>
      <c r="E253" s="43" t="str">
        <f>IF(tblConteo[[#This Row],[SKU]]="","",INDEX(tblProductos[Ubicación],ROW()-ROW(tblConteo[#Headers]))&amp;"")</f>
        <v/>
      </c>
      <c r="F253" s="43" t="str">
        <f>IF(tblConteo[[#This Row],[SKU]]="","",INDEX(tblProductos[Unidad],ROW()-ROW(tblConteo[#Headers]))&amp;"")</f>
        <v/>
      </c>
      <c r="G253" s="43" t="str">
        <f>IF(tblConteo[[#This Row],[SKU]]="","",IF(INDEX(tblProductos[Activo],ROW()-ROW(tblConteo[#Headers]))="NO","NO","SI"))</f>
        <v/>
      </c>
      <c r="H253" s="54" t="str">
        <f>IF(tblConteo[[#This Row],[SKU]]="","",IFERROR(N(INDEX(tblStock[StockActual],MATCH(tblConteo[[#This Row],[SKU]],tblStock[SKU],0))),0))</f>
        <v/>
      </c>
      <c r="I253" s="53"/>
      <c r="J253" s="60" t="str">
        <f>IF(OR(tblConteo[[#This Row],[SKU]]="",tblConteo[[#This Row],[Conteo]]=""),"",IF(ISNUMBER(tblConteo[[#This Row],[Conteo]]),tblConteo[[#This Row],[Conteo]]-N(tblConteo[[#This Row],[Sistema]]),""))</f>
        <v/>
      </c>
      <c r="K253" s="63" t="str">
        <f>IF(tblConteo[[#This Row],[Diferencia]]="","",tblConteo[[#This Row],[Diferencia]]*N(INDEX(tblProductos[CostoUnitario],ROW()-ROW(tblConteo[#Headers]))))</f>
        <v/>
      </c>
      <c r="L25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4" spans="2:13" x14ac:dyDescent="0.25">
      <c r="B254" s="43" t="str">
        <f>IF(INDEX(tblProductos[SKU],ROW()-ROW(tblConteo[#Headers]))="","",INDEX(tblProductos[SKU],ROW()-ROW(tblConteo[#Headers])))</f>
        <v/>
      </c>
      <c r="C254" s="50" t="str">
        <f>IF(tblConteo[[#This Row],[SKU]]="","",INDEX(tblProductos[Producto],ROW()-ROW(tblConteo[#Headers])))</f>
        <v/>
      </c>
      <c r="D254" s="50" t="str">
        <f>IF(tblConteo[[#This Row],[SKU]]="","",INDEX(tblProductos[Categoría],ROW()-ROW(tblConteo[#Headers]))&amp;"")</f>
        <v/>
      </c>
      <c r="E254" s="43" t="str">
        <f>IF(tblConteo[[#This Row],[SKU]]="","",INDEX(tblProductos[Ubicación],ROW()-ROW(tblConteo[#Headers]))&amp;"")</f>
        <v/>
      </c>
      <c r="F254" s="43" t="str">
        <f>IF(tblConteo[[#This Row],[SKU]]="","",INDEX(tblProductos[Unidad],ROW()-ROW(tblConteo[#Headers]))&amp;"")</f>
        <v/>
      </c>
      <c r="G254" s="43" t="str">
        <f>IF(tblConteo[[#This Row],[SKU]]="","",IF(INDEX(tblProductos[Activo],ROW()-ROW(tblConteo[#Headers]))="NO","NO","SI"))</f>
        <v/>
      </c>
      <c r="H254" s="54" t="str">
        <f>IF(tblConteo[[#This Row],[SKU]]="","",IFERROR(N(INDEX(tblStock[StockActual],MATCH(tblConteo[[#This Row],[SKU]],tblStock[SKU],0))),0))</f>
        <v/>
      </c>
      <c r="I254" s="53"/>
      <c r="J254" s="60" t="str">
        <f>IF(OR(tblConteo[[#This Row],[SKU]]="",tblConteo[[#This Row],[Conteo]]=""),"",IF(ISNUMBER(tblConteo[[#This Row],[Conteo]]),tblConteo[[#This Row],[Conteo]]-N(tblConteo[[#This Row],[Sistema]]),""))</f>
        <v/>
      </c>
      <c r="K254" s="63" t="str">
        <f>IF(tblConteo[[#This Row],[Diferencia]]="","",tblConteo[[#This Row],[Diferencia]]*N(INDEX(tblProductos[CostoUnitario],ROW()-ROW(tblConteo[#Headers]))))</f>
        <v/>
      </c>
      <c r="L25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5" spans="2:13" x14ac:dyDescent="0.25">
      <c r="B255" s="43" t="str">
        <f>IF(INDEX(tblProductos[SKU],ROW()-ROW(tblConteo[#Headers]))="","",INDEX(tblProductos[SKU],ROW()-ROW(tblConteo[#Headers])))</f>
        <v/>
      </c>
      <c r="C255" s="50" t="str">
        <f>IF(tblConteo[[#This Row],[SKU]]="","",INDEX(tblProductos[Producto],ROW()-ROW(tblConteo[#Headers])))</f>
        <v/>
      </c>
      <c r="D255" s="50" t="str">
        <f>IF(tblConteo[[#This Row],[SKU]]="","",INDEX(tblProductos[Categoría],ROW()-ROW(tblConteo[#Headers]))&amp;"")</f>
        <v/>
      </c>
      <c r="E255" s="43" t="str">
        <f>IF(tblConteo[[#This Row],[SKU]]="","",INDEX(tblProductos[Ubicación],ROW()-ROW(tblConteo[#Headers]))&amp;"")</f>
        <v/>
      </c>
      <c r="F255" s="43" t="str">
        <f>IF(tblConteo[[#This Row],[SKU]]="","",INDEX(tblProductos[Unidad],ROW()-ROW(tblConteo[#Headers]))&amp;"")</f>
        <v/>
      </c>
      <c r="G255" s="43" t="str">
        <f>IF(tblConteo[[#This Row],[SKU]]="","",IF(INDEX(tblProductos[Activo],ROW()-ROW(tblConteo[#Headers]))="NO","NO","SI"))</f>
        <v/>
      </c>
      <c r="H255" s="54" t="str">
        <f>IF(tblConteo[[#This Row],[SKU]]="","",IFERROR(N(INDEX(tblStock[StockActual],MATCH(tblConteo[[#This Row],[SKU]],tblStock[SKU],0))),0))</f>
        <v/>
      </c>
      <c r="I255" s="53"/>
      <c r="J255" s="60" t="str">
        <f>IF(OR(tblConteo[[#This Row],[SKU]]="",tblConteo[[#This Row],[Conteo]]=""),"",IF(ISNUMBER(tblConteo[[#This Row],[Conteo]]),tblConteo[[#This Row],[Conteo]]-N(tblConteo[[#This Row],[Sistema]]),""))</f>
        <v/>
      </c>
      <c r="K255" s="63" t="str">
        <f>IF(tblConteo[[#This Row],[Diferencia]]="","",tblConteo[[#This Row],[Diferencia]]*N(INDEX(tblProductos[CostoUnitario],ROW()-ROW(tblConteo[#Headers]))))</f>
        <v/>
      </c>
      <c r="L25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6" spans="2:13" x14ac:dyDescent="0.25">
      <c r="B256" s="43" t="str">
        <f>IF(INDEX(tblProductos[SKU],ROW()-ROW(tblConteo[#Headers]))="","",INDEX(tblProductos[SKU],ROW()-ROW(tblConteo[#Headers])))</f>
        <v/>
      </c>
      <c r="C256" s="50" t="str">
        <f>IF(tblConteo[[#This Row],[SKU]]="","",INDEX(tblProductos[Producto],ROW()-ROW(tblConteo[#Headers])))</f>
        <v/>
      </c>
      <c r="D256" s="50" t="str">
        <f>IF(tblConteo[[#This Row],[SKU]]="","",INDEX(tblProductos[Categoría],ROW()-ROW(tblConteo[#Headers]))&amp;"")</f>
        <v/>
      </c>
      <c r="E256" s="43" t="str">
        <f>IF(tblConteo[[#This Row],[SKU]]="","",INDEX(tblProductos[Ubicación],ROW()-ROW(tblConteo[#Headers]))&amp;"")</f>
        <v/>
      </c>
      <c r="F256" s="43" t="str">
        <f>IF(tblConteo[[#This Row],[SKU]]="","",INDEX(tblProductos[Unidad],ROW()-ROW(tblConteo[#Headers]))&amp;"")</f>
        <v/>
      </c>
      <c r="G256" s="43" t="str">
        <f>IF(tblConteo[[#This Row],[SKU]]="","",IF(INDEX(tblProductos[Activo],ROW()-ROW(tblConteo[#Headers]))="NO","NO","SI"))</f>
        <v/>
      </c>
      <c r="H256" s="54" t="str">
        <f>IF(tblConteo[[#This Row],[SKU]]="","",IFERROR(N(INDEX(tblStock[StockActual],MATCH(tblConteo[[#This Row],[SKU]],tblStock[SKU],0))),0))</f>
        <v/>
      </c>
      <c r="I256" s="53"/>
      <c r="J256" s="60" t="str">
        <f>IF(OR(tblConteo[[#This Row],[SKU]]="",tblConteo[[#This Row],[Conteo]]=""),"",IF(ISNUMBER(tblConteo[[#This Row],[Conteo]]),tblConteo[[#This Row],[Conteo]]-N(tblConteo[[#This Row],[Sistema]]),""))</f>
        <v/>
      </c>
      <c r="K256" s="63" t="str">
        <f>IF(tblConteo[[#This Row],[Diferencia]]="","",tblConteo[[#This Row],[Diferencia]]*N(INDEX(tblProductos[CostoUnitario],ROW()-ROW(tblConteo[#Headers]))))</f>
        <v/>
      </c>
      <c r="L25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7" spans="2:13" x14ac:dyDescent="0.25">
      <c r="B257" s="43" t="str">
        <f>IF(INDEX(tblProductos[SKU],ROW()-ROW(tblConteo[#Headers]))="","",INDEX(tblProductos[SKU],ROW()-ROW(tblConteo[#Headers])))</f>
        <v/>
      </c>
      <c r="C257" s="50" t="str">
        <f>IF(tblConteo[[#This Row],[SKU]]="","",INDEX(tblProductos[Producto],ROW()-ROW(tblConteo[#Headers])))</f>
        <v/>
      </c>
      <c r="D257" s="50" t="str">
        <f>IF(tblConteo[[#This Row],[SKU]]="","",INDEX(tblProductos[Categoría],ROW()-ROW(tblConteo[#Headers]))&amp;"")</f>
        <v/>
      </c>
      <c r="E257" s="43" t="str">
        <f>IF(tblConteo[[#This Row],[SKU]]="","",INDEX(tblProductos[Ubicación],ROW()-ROW(tblConteo[#Headers]))&amp;"")</f>
        <v/>
      </c>
      <c r="F257" s="43" t="str">
        <f>IF(tblConteo[[#This Row],[SKU]]="","",INDEX(tblProductos[Unidad],ROW()-ROW(tblConteo[#Headers]))&amp;"")</f>
        <v/>
      </c>
      <c r="G257" s="43" t="str">
        <f>IF(tblConteo[[#This Row],[SKU]]="","",IF(INDEX(tblProductos[Activo],ROW()-ROW(tblConteo[#Headers]))="NO","NO","SI"))</f>
        <v/>
      </c>
      <c r="H257" s="54" t="str">
        <f>IF(tblConteo[[#This Row],[SKU]]="","",IFERROR(N(INDEX(tblStock[StockActual],MATCH(tblConteo[[#This Row],[SKU]],tblStock[SKU],0))),0))</f>
        <v/>
      </c>
      <c r="I257" s="53"/>
      <c r="J257" s="60" t="str">
        <f>IF(OR(tblConteo[[#This Row],[SKU]]="",tblConteo[[#This Row],[Conteo]]=""),"",IF(ISNUMBER(tblConteo[[#This Row],[Conteo]]),tblConteo[[#This Row],[Conteo]]-N(tblConteo[[#This Row],[Sistema]]),""))</f>
        <v/>
      </c>
      <c r="K257" s="63" t="str">
        <f>IF(tblConteo[[#This Row],[Diferencia]]="","",tblConteo[[#This Row],[Diferencia]]*N(INDEX(tblProductos[CostoUnitario],ROW()-ROW(tblConteo[#Headers]))))</f>
        <v/>
      </c>
      <c r="L25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8" spans="2:13" x14ac:dyDescent="0.25">
      <c r="B258" s="43" t="str">
        <f>IF(INDEX(tblProductos[SKU],ROW()-ROW(tblConteo[#Headers]))="","",INDEX(tblProductos[SKU],ROW()-ROW(tblConteo[#Headers])))</f>
        <v/>
      </c>
      <c r="C258" s="50" t="str">
        <f>IF(tblConteo[[#This Row],[SKU]]="","",INDEX(tblProductos[Producto],ROW()-ROW(tblConteo[#Headers])))</f>
        <v/>
      </c>
      <c r="D258" s="50" t="str">
        <f>IF(tblConteo[[#This Row],[SKU]]="","",INDEX(tblProductos[Categoría],ROW()-ROW(tblConteo[#Headers]))&amp;"")</f>
        <v/>
      </c>
      <c r="E258" s="43" t="str">
        <f>IF(tblConteo[[#This Row],[SKU]]="","",INDEX(tblProductos[Ubicación],ROW()-ROW(tblConteo[#Headers]))&amp;"")</f>
        <v/>
      </c>
      <c r="F258" s="43" t="str">
        <f>IF(tblConteo[[#This Row],[SKU]]="","",INDEX(tblProductos[Unidad],ROW()-ROW(tblConteo[#Headers]))&amp;"")</f>
        <v/>
      </c>
      <c r="G258" s="43" t="str">
        <f>IF(tblConteo[[#This Row],[SKU]]="","",IF(INDEX(tblProductos[Activo],ROW()-ROW(tblConteo[#Headers]))="NO","NO","SI"))</f>
        <v/>
      </c>
      <c r="H258" s="54" t="str">
        <f>IF(tblConteo[[#This Row],[SKU]]="","",IFERROR(N(INDEX(tblStock[StockActual],MATCH(tblConteo[[#This Row],[SKU]],tblStock[SKU],0))),0))</f>
        <v/>
      </c>
      <c r="I258" s="53"/>
      <c r="J258" s="60" t="str">
        <f>IF(OR(tblConteo[[#This Row],[SKU]]="",tblConteo[[#This Row],[Conteo]]=""),"",IF(ISNUMBER(tblConteo[[#This Row],[Conteo]]),tblConteo[[#This Row],[Conteo]]-N(tblConteo[[#This Row],[Sistema]]),""))</f>
        <v/>
      </c>
      <c r="K258" s="63" t="str">
        <f>IF(tblConteo[[#This Row],[Diferencia]]="","",tblConteo[[#This Row],[Diferencia]]*N(INDEX(tblProductos[CostoUnitario],ROW()-ROW(tblConteo[#Headers]))))</f>
        <v/>
      </c>
      <c r="L25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59" spans="2:13" x14ac:dyDescent="0.25">
      <c r="B259" s="43" t="str">
        <f>IF(INDEX(tblProductos[SKU],ROW()-ROW(tblConteo[#Headers]))="","",INDEX(tblProductos[SKU],ROW()-ROW(tblConteo[#Headers])))</f>
        <v/>
      </c>
      <c r="C259" s="50" t="str">
        <f>IF(tblConteo[[#This Row],[SKU]]="","",INDEX(tblProductos[Producto],ROW()-ROW(tblConteo[#Headers])))</f>
        <v/>
      </c>
      <c r="D259" s="50" t="str">
        <f>IF(tblConteo[[#This Row],[SKU]]="","",INDEX(tblProductos[Categoría],ROW()-ROW(tblConteo[#Headers]))&amp;"")</f>
        <v/>
      </c>
      <c r="E259" s="43" t="str">
        <f>IF(tblConteo[[#This Row],[SKU]]="","",INDEX(tblProductos[Ubicación],ROW()-ROW(tblConteo[#Headers]))&amp;"")</f>
        <v/>
      </c>
      <c r="F259" s="43" t="str">
        <f>IF(tblConteo[[#This Row],[SKU]]="","",INDEX(tblProductos[Unidad],ROW()-ROW(tblConteo[#Headers]))&amp;"")</f>
        <v/>
      </c>
      <c r="G259" s="43" t="str">
        <f>IF(tblConteo[[#This Row],[SKU]]="","",IF(INDEX(tblProductos[Activo],ROW()-ROW(tblConteo[#Headers]))="NO","NO","SI"))</f>
        <v/>
      </c>
      <c r="H259" s="54" t="str">
        <f>IF(tblConteo[[#This Row],[SKU]]="","",IFERROR(N(INDEX(tblStock[StockActual],MATCH(tblConteo[[#This Row],[SKU]],tblStock[SKU],0))),0))</f>
        <v/>
      </c>
      <c r="I259" s="53"/>
      <c r="J259" s="60" t="str">
        <f>IF(OR(tblConteo[[#This Row],[SKU]]="",tblConteo[[#This Row],[Conteo]]=""),"",IF(ISNUMBER(tblConteo[[#This Row],[Conteo]]),tblConteo[[#This Row],[Conteo]]-N(tblConteo[[#This Row],[Sistema]]),""))</f>
        <v/>
      </c>
      <c r="K259" s="63" t="str">
        <f>IF(tblConteo[[#This Row],[Diferencia]]="","",tblConteo[[#This Row],[Diferencia]]*N(INDEX(tblProductos[CostoUnitario],ROW()-ROW(tblConteo[#Headers]))))</f>
        <v/>
      </c>
      <c r="L25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5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0" spans="2:13" x14ac:dyDescent="0.25">
      <c r="B260" s="43" t="str">
        <f>IF(INDEX(tblProductos[SKU],ROW()-ROW(tblConteo[#Headers]))="","",INDEX(tblProductos[SKU],ROW()-ROW(tblConteo[#Headers])))</f>
        <v/>
      </c>
      <c r="C260" s="50" t="str">
        <f>IF(tblConteo[[#This Row],[SKU]]="","",INDEX(tblProductos[Producto],ROW()-ROW(tblConteo[#Headers])))</f>
        <v/>
      </c>
      <c r="D260" s="50" t="str">
        <f>IF(tblConteo[[#This Row],[SKU]]="","",INDEX(tblProductos[Categoría],ROW()-ROW(tblConteo[#Headers]))&amp;"")</f>
        <v/>
      </c>
      <c r="E260" s="43" t="str">
        <f>IF(tblConteo[[#This Row],[SKU]]="","",INDEX(tblProductos[Ubicación],ROW()-ROW(tblConteo[#Headers]))&amp;"")</f>
        <v/>
      </c>
      <c r="F260" s="43" t="str">
        <f>IF(tblConteo[[#This Row],[SKU]]="","",INDEX(tblProductos[Unidad],ROW()-ROW(tblConteo[#Headers]))&amp;"")</f>
        <v/>
      </c>
      <c r="G260" s="43" t="str">
        <f>IF(tblConteo[[#This Row],[SKU]]="","",IF(INDEX(tblProductos[Activo],ROW()-ROW(tblConteo[#Headers]))="NO","NO","SI"))</f>
        <v/>
      </c>
      <c r="H260" s="54" t="str">
        <f>IF(tblConteo[[#This Row],[SKU]]="","",IFERROR(N(INDEX(tblStock[StockActual],MATCH(tblConteo[[#This Row],[SKU]],tblStock[SKU],0))),0))</f>
        <v/>
      </c>
      <c r="I260" s="53"/>
      <c r="J260" s="60" t="str">
        <f>IF(OR(tblConteo[[#This Row],[SKU]]="",tblConteo[[#This Row],[Conteo]]=""),"",IF(ISNUMBER(tblConteo[[#This Row],[Conteo]]),tblConteo[[#This Row],[Conteo]]-N(tblConteo[[#This Row],[Sistema]]),""))</f>
        <v/>
      </c>
      <c r="K260" s="63" t="str">
        <f>IF(tblConteo[[#This Row],[Diferencia]]="","",tblConteo[[#This Row],[Diferencia]]*N(INDEX(tblProductos[CostoUnitario],ROW()-ROW(tblConteo[#Headers]))))</f>
        <v/>
      </c>
      <c r="L26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1" spans="2:13" x14ac:dyDescent="0.25">
      <c r="B261" s="43" t="str">
        <f>IF(INDEX(tblProductos[SKU],ROW()-ROW(tblConteo[#Headers]))="","",INDEX(tblProductos[SKU],ROW()-ROW(tblConteo[#Headers])))</f>
        <v/>
      </c>
      <c r="C261" s="50" t="str">
        <f>IF(tblConteo[[#This Row],[SKU]]="","",INDEX(tblProductos[Producto],ROW()-ROW(tblConteo[#Headers])))</f>
        <v/>
      </c>
      <c r="D261" s="50" t="str">
        <f>IF(tblConteo[[#This Row],[SKU]]="","",INDEX(tblProductos[Categoría],ROW()-ROW(tblConteo[#Headers]))&amp;"")</f>
        <v/>
      </c>
      <c r="E261" s="43" t="str">
        <f>IF(tblConteo[[#This Row],[SKU]]="","",INDEX(tblProductos[Ubicación],ROW()-ROW(tblConteo[#Headers]))&amp;"")</f>
        <v/>
      </c>
      <c r="F261" s="43" t="str">
        <f>IF(tblConteo[[#This Row],[SKU]]="","",INDEX(tblProductos[Unidad],ROW()-ROW(tblConteo[#Headers]))&amp;"")</f>
        <v/>
      </c>
      <c r="G261" s="43" t="str">
        <f>IF(tblConteo[[#This Row],[SKU]]="","",IF(INDEX(tblProductos[Activo],ROW()-ROW(tblConteo[#Headers]))="NO","NO","SI"))</f>
        <v/>
      </c>
      <c r="H261" s="54" t="str">
        <f>IF(tblConteo[[#This Row],[SKU]]="","",IFERROR(N(INDEX(tblStock[StockActual],MATCH(tblConteo[[#This Row],[SKU]],tblStock[SKU],0))),0))</f>
        <v/>
      </c>
      <c r="I261" s="53"/>
      <c r="J261" s="60" t="str">
        <f>IF(OR(tblConteo[[#This Row],[SKU]]="",tblConteo[[#This Row],[Conteo]]=""),"",IF(ISNUMBER(tblConteo[[#This Row],[Conteo]]),tblConteo[[#This Row],[Conteo]]-N(tblConteo[[#This Row],[Sistema]]),""))</f>
        <v/>
      </c>
      <c r="K261" s="63" t="str">
        <f>IF(tblConteo[[#This Row],[Diferencia]]="","",tblConteo[[#This Row],[Diferencia]]*N(INDEX(tblProductos[CostoUnitario],ROW()-ROW(tblConteo[#Headers]))))</f>
        <v/>
      </c>
      <c r="L26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2" spans="2:13" x14ac:dyDescent="0.25">
      <c r="B262" s="43" t="str">
        <f>IF(INDEX(tblProductos[SKU],ROW()-ROW(tblConteo[#Headers]))="","",INDEX(tblProductos[SKU],ROW()-ROW(tblConteo[#Headers])))</f>
        <v/>
      </c>
      <c r="C262" s="50" t="str">
        <f>IF(tblConteo[[#This Row],[SKU]]="","",INDEX(tblProductos[Producto],ROW()-ROW(tblConteo[#Headers])))</f>
        <v/>
      </c>
      <c r="D262" s="50" t="str">
        <f>IF(tblConteo[[#This Row],[SKU]]="","",INDEX(tblProductos[Categoría],ROW()-ROW(tblConteo[#Headers]))&amp;"")</f>
        <v/>
      </c>
      <c r="E262" s="43" t="str">
        <f>IF(tblConteo[[#This Row],[SKU]]="","",INDEX(tblProductos[Ubicación],ROW()-ROW(tblConteo[#Headers]))&amp;"")</f>
        <v/>
      </c>
      <c r="F262" s="43" t="str">
        <f>IF(tblConteo[[#This Row],[SKU]]="","",INDEX(tblProductos[Unidad],ROW()-ROW(tblConteo[#Headers]))&amp;"")</f>
        <v/>
      </c>
      <c r="G262" s="43" t="str">
        <f>IF(tblConteo[[#This Row],[SKU]]="","",IF(INDEX(tblProductos[Activo],ROW()-ROW(tblConteo[#Headers]))="NO","NO","SI"))</f>
        <v/>
      </c>
      <c r="H262" s="54" t="str">
        <f>IF(tblConteo[[#This Row],[SKU]]="","",IFERROR(N(INDEX(tblStock[StockActual],MATCH(tblConteo[[#This Row],[SKU]],tblStock[SKU],0))),0))</f>
        <v/>
      </c>
      <c r="I262" s="53"/>
      <c r="J262" s="60" t="str">
        <f>IF(OR(tblConteo[[#This Row],[SKU]]="",tblConteo[[#This Row],[Conteo]]=""),"",IF(ISNUMBER(tblConteo[[#This Row],[Conteo]]),tblConteo[[#This Row],[Conteo]]-N(tblConteo[[#This Row],[Sistema]]),""))</f>
        <v/>
      </c>
      <c r="K262" s="63" t="str">
        <f>IF(tblConteo[[#This Row],[Diferencia]]="","",tblConteo[[#This Row],[Diferencia]]*N(INDEX(tblProductos[CostoUnitario],ROW()-ROW(tblConteo[#Headers]))))</f>
        <v/>
      </c>
      <c r="L26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3" spans="2:13" x14ac:dyDescent="0.25">
      <c r="B263" s="43" t="str">
        <f>IF(INDEX(tblProductos[SKU],ROW()-ROW(tblConteo[#Headers]))="","",INDEX(tblProductos[SKU],ROW()-ROW(tblConteo[#Headers])))</f>
        <v/>
      </c>
      <c r="C263" s="50" t="str">
        <f>IF(tblConteo[[#This Row],[SKU]]="","",INDEX(tblProductos[Producto],ROW()-ROW(tblConteo[#Headers])))</f>
        <v/>
      </c>
      <c r="D263" s="50" t="str">
        <f>IF(tblConteo[[#This Row],[SKU]]="","",INDEX(tblProductos[Categoría],ROW()-ROW(tblConteo[#Headers]))&amp;"")</f>
        <v/>
      </c>
      <c r="E263" s="43" t="str">
        <f>IF(tblConteo[[#This Row],[SKU]]="","",INDEX(tblProductos[Ubicación],ROW()-ROW(tblConteo[#Headers]))&amp;"")</f>
        <v/>
      </c>
      <c r="F263" s="43" t="str">
        <f>IF(tblConteo[[#This Row],[SKU]]="","",INDEX(tblProductos[Unidad],ROW()-ROW(tblConteo[#Headers]))&amp;"")</f>
        <v/>
      </c>
      <c r="G263" s="43" t="str">
        <f>IF(tblConteo[[#This Row],[SKU]]="","",IF(INDEX(tblProductos[Activo],ROW()-ROW(tblConteo[#Headers]))="NO","NO","SI"))</f>
        <v/>
      </c>
      <c r="H263" s="54" t="str">
        <f>IF(tblConteo[[#This Row],[SKU]]="","",IFERROR(N(INDEX(tblStock[StockActual],MATCH(tblConteo[[#This Row],[SKU]],tblStock[SKU],0))),0))</f>
        <v/>
      </c>
      <c r="I263" s="53"/>
      <c r="J263" s="60" t="str">
        <f>IF(OR(tblConteo[[#This Row],[SKU]]="",tblConteo[[#This Row],[Conteo]]=""),"",IF(ISNUMBER(tblConteo[[#This Row],[Conteo]]),tblConteo[[#This Row],[Conteo]]-N(tblConteo[[#This Row],[Sistema]]),""))</f>
        <v/>
      </c>
      <c r="K263" s="63" t="str">
        <f>IF(tblConteo[[#This Row],[Diferencia]]="","",tblConteo[[#This Row],[Diferencia]]*N(INDEX(tblProductos[CostoUnitario],ROW()-ROW(tblConteo[#Headers]))))</f>
        <v/>
      </c>
      <c r="L26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4" spans="2:13" x14ac:dyDescent="0.25">
      <c r="B264" s="43" t="str">
        <f>IF(INDEX(tblProductos[SKU],ROW()-ROW(tblConteo[#Headers]))="","",INDEX(tblProductos[SKU],ROW()-ROW(tblConteo[#Headers])))</f>
        <v/>
      </c>
      <c r="C264" s="50" t="str">
        <f>IF(tblConteo[[#This Row],[SKU]]="","",INDEX(tblProductos[Producto],ROW()-ROW(tblConteo[#Headers])))</f>
        <v/>
      </c>
      <c r="D264" s="50" t="str">
        <f>IF(tblConteo[[#This Row],[SKU]]="","",INDEX(tblProductos[Categoría],ROW()-ROW(tblConteo[#Headers]))&amp;"")</f>
        <v/>
      </c>
      <c r="E264" s="43" t="str">
        <f>IF(tblConteo[[#This Row],[SKU]]="","",INDEX(tblProductos[Ubicación],ROW()-ROW(tblConteo[#Headers]))&amp;"")</f>
        <v/>
      </c>
      <c r="F264" s="43" t="str">
        <f>IF(tblConteo[[#This Row],[SKU]]="","",INDEX(tblProductos[Unidad],ROW()-ROW(tblConteo[#Headers]))&amp;"")</f>
        <v/>
      </c>
      <c r="G264" s="43" t="str">
        <f>IF(tblConteo[[#This Row],[SKU]]="","",IF(INDEX(tblProductos[Activo],ROW()-ROW(tblConteo[#Headers]))="NO","NO","SI"))</f>
        <v/>
      </c>
      <c r="H264" s="54" t="str">
        <f>IF(tblConteo[[#This Row],[SKU]]="","",IFERROR(N(INDEX(tblStock[StockActual],MATCH(tblConteo[[#This Row],[SKU]],tblStock[SKU],0))),0))</f>
        <v/>
      </c>
      <c r="I264" s="53"/>
      <c r="J264" s="60" t="str">
        <f>IF(OR(tblConteo[[#This Row],[SKU]]="",tblConteo[[#This Row],[Conteo]]=""),"",IF(ISNUMBER(tblConteo[[#This Row],[Conteo]]),tblConteo[[#This Row],[Conteo]]-N(tblConteo[[#This Row],[Sistema]]),""))</f>
        <v/>
      </c>
      <c r="K264" s="63" t="str">
        <f>IF(tblConteo[[#This Row],[Diferencia]]="","",tblConteo[[#This Row],[Diferencia]]*N(INDEX(tblProductos[CostoUnitario],ROW()-ROW(tblConteo[#Headers]))))</f>
        <v/>
      </c>
      <c r="L26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5" spans="2:13" x14ac:dyDescent="0.25">
      <c r="B265" s="43" t="str">
        <f>IF(INDEX(tblProductos[SKU],ROW()-ROW(tblConteo[#Headers]))="","",INDEX(tblProductos[SKU],ROW()-ROW(tblConteo[#Headers])))</f>
        <v/>
      </c>
      <c r="C265" s="50" t="str">
        <f>IF(tblConteo[[#This Row],[SKU]]="","",INDEX(tblProductos[Producto],ROW()-ROW(tblConteo[#Headers])))</f>
        <v/>
      </c>
      <c r="D265" s="50" t="str">
        <f>IF(tblConteo[[#This Row],[SKU]]="","",INDEX(tblProductos[Categoría],ROW()-ROW(tblConteo[#Headers]))&amp;"")</f>
        <v/>
      </c>
      <c r="E265" s="43" t="str">
        <f>IF(tblConteo[[#This Row],[SKU]]="","",INDEX(tblProductos[Ubicación],ROW()-ROW(tblConteo[#Headers]))&amp;"")</f>
        <v/>
      </c>
      <c r="F265" s="43" t="str">
        <f>IF(tblConteo[[#This Row],[SKU]]="","",INDEX(tblProductos[Unidad],ROW()-ROW(tblConteo[#Headers]))&amp;"")</f>
        <v/>
      </c>
      <c r="G265" s="43" t="str">
        <f>IF(tblConteo[[#This Row],[SKU]]="","",IF(INDEX(tblProductos[Activo],ROW()-ROW(tblConteo[#Headers]))="NO","NO","SI"))</f>
        <v/>
      </c>
      <c r="H265" s="54" t="str">
        <f>IF(tblConteo[[#This Row],[SKU]]="","",IFERROR(N(INDEX(tblStock[StockActual],MATCH(tblConteo[[#This Row],[SKU]],tblStock[SKU],0))),0))</f>
        <v/>
      </c>
      <c r="I265" s="53"/>
      <c r="J265" s="60" t="str">
        <f>IF(OR(tblConteo[[#This Row],[SKU]]="",tblConteo[[#This Row],[Conteo]]=""),"",IF(ISNUMBER(tblConteo[[#This Row],[Conteo]]),tblConteo[[#This Row],[Conteo]]-N(tblConteo[[#This Row],[Sistema]]),""))</f>
        <v/>
      </c>
      <c r="K265" s="63" t="str">
        <f>IF(tblConteo[[#This Row],[Diferencia]]="","",tblConteo[[#This Row],[Diferencia]]*N(INDEX(tblProductos[CostoUnitario],ROW()-ROW(tblConteo[#Headers]))))</f>
        <v/>
      </c>
      <c r="L26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6" spans="2:13" x14ac:dyDescent="0.25">
      <c r="B266" s="43" t="str">
        <f>IF(INDEX(tblProductos[SKU],ROW()-ROW(tblConteo[#Headers]))="","",INDEX(tblProductos[SKU],ROW()-ROW(tblConteo[#Headers])))</f>
        <v/>
      </c>
      <c r="C266" s="50" t="str">
        <f>IF(tblConteo[[#This Row],[SKU]]="","",INDEX(tblProductos[Producto],ROW()-ROW(tblConteo[#Headers])))</f>
        <v/>
      </c>
      <c r="D266" s="50" t="str">
        <f>IF(tblConteo[[#This Row],[SKU]]="","",INDEX(tblProductos[Categoría],ROW()-ROW(tblConteo[#Headers]))&amp;"")</f>
        <v/>
      </c>
      <c r="E266" s="43" t="str">
        <f>IF(tblConteo[[#This Row],[SKU]]="","",INDEX(tblProductos[Ubicación],ROW()-ROW(tblConteo[#Headers]))&amp;"")</f>
        <v/>
      </c>
      <c r="F266" s="43" t="str">
        <f>IF(tblConteo[[#This Row],[SKU]]="","",INDEX(tblProductos[Unidad],ROW()-ROW(tblConteo[#Headers]))&amp;"")</f>
        <v/>
      </c>
      <c r="G266" s="43" t="str">
        <f>IF(tblConteo[[#This Row],[SKU]]="","",IF(INDEX(tblProductos[Activo],ROW()-ROW(tblConteo[#Headers]))="NO","NO","SI"))</f>
        <v/>
      </c>
      <c r="H266" s="54" t="str">
        <f>IF(tblConteo[[#This Row],[SKU]]="","",IFERROR(N(INDEX(tblStock[StockActual],MATCH(tblConteo[[#This Row],[SKU]],tblStock[SKU],0))),0))</f>
        <v/>
      </c>
      <c r="I266" s="53"/>
      <c r="J266" s="60" t="str">
        <f>IF(OR(tblConteo[[#This Row],[SKU]]="",tblConteo[[#This Row],[Conteo]]=""),"",IF(ISNUMBER(tblConteo[[#This Row],[Conteo]]),tblConteo[[#This Row],[Conteo]]-N(tblConteo[[#This Row],[Sistema]]),""))</f>
        <v/>
      </c>
      <c r="K266" s="63" t="str">
        <f>IF(tblConteo[[#This Row],[Diferencia]]="","",tblConteo[[#This Row],[Diferencia]]*N(INDEX(tblProductos[CostoUnitario],ROW()-ROW(tblConteo[#Headers]))))</f>
        <v/>
      </c>
      <c r="L26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7" spans="2:13" x14ac:dyDescent="0.25">
      <c r="B267" s="43" t="str">
        <f>IF(INDEX(tblProductos[SKU],ROW()-ROW(tblConteo[#Headers]))="","",INDEX(tblProductos[SKU],ROW()-ROW(tblConteo[#Headers])))</f>
        <v/>
      </c>
      <c r="C267" s="50" t="str">
        <f>IF(tblConteo[[#This Row],[SKU]]="","",INDEX(tblProductos[Producto],ROW()-ROW(tblConteo[#Headers])))</f>
        <v/>
      </c>
      <c r="D267" s="50" t="str">
        <f>IF(tblConteo[[#This Row],[SKU]]="","",INDEX(tblProductos[Categoría],ROW()-ROW(tblConteo[#Headers]))&amp;"")</f>
        <v/>
      </c>
      <c r="E267" s="43" t="str">
        <f>IF(tblConteo[[#This Row],[SKU]]="","",INDEX(tblProductos[Ubicación],ROW()-ROW(tblConteo[#Headers]))&amp;"")</f>
        <v/>
      </c>
      <c r="F267" s="43" t="str">
        <f>IF(tblConteo[[#This Row],[SKU]]="","",INDEX(tblProductos[Unidad],ROW()-ROW(tblConteo[#Headers]))&amp;"")</f>
        <v/>
      </c>
      <c r="G267" s="43" t="str">
        <f>IF(tblConteo[[#This Row],[SKU]]="","",IF(INDEX(tblProductos[Activo],ROW()-ROW(tblConteo[#Headers]))="NO","NO","SI"))</f>
        <v/>
      </c>
      <c r="H267" s="54" t="str">
        <f>IF(tblConteo[[#This Row],[SKU]]="","",IFERROR(N(INDEX(tblStock[StockActual],MATCH(tblConteo[[#This Row],[SKU]],tblStock[SKU],0))),0))</f>
        <v/>
      </c>
      <c r="I267" s="53"/>
      <c r="J267" s="60" t="str">
        <f>IF(OR(tblConteo[[#This Row],[SKU]]="",tblConteo[[#This Row],[Conteo]]=""),"",IF(ISNUMBER(tblConteo[[#This Row],[Conteo]]),tblConteo[[#This Row],[Conteo]]-N(tblConteo[[#This Row],[Sistema]]),""))</f>
        <v/>
      </c>
      <c r="K267" s="63" t="str">
        <f>IF(tblConteo[[#This Row],[Diferencia]]="","",tblConteo[[#This Row],[Diferencia]]*N(INDEX(tblProductos[CostoUnitario],ROW()-ROW(tblConteo[#Headers]))))</f>
        <v/>
      </c>
      <c r="L26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8" spans="2:13" x14ac:dyDescent="0.25">
      <c r="B268" s="43" t="str">
        <f>IF(INDEX(tblProductos[SKU],ROW()-ROW(tblConteo[#Headers]))="","",INDEX(tblProductos[SKU],ROW()-ROW(tblConteo[#Headers])))</f>
        <v/>
      </c>
      <c r="C268" s="50" t="str">
        <f>IF(tblConteo[[#This Row],[SKU]]="","",INDEX(tblProductos[Producto],ROW()-ROW(tblConteo[#Headers])))</f>
        <v/>
      </c>
      <c r="D268" s="50" t="str">
        <f>IF(tblConteo[[#This Row],[SKU]]="","",INDEX(tblProductos[Categoría],ROW()-ROW(tblConteo[#Headers]))&amp;"")</f>
        <v/>
      </c>
      <c r="E268" s="43" t="str">
        <f>IF(tblConteo[[#This Row],[SKU]]="","",INDEX(tblProductos[Ubicación],ROW()-ROW(tblConteo[#Headers]))&amp;"")</f>
        <v/>
      </c>
      <c r="F268" s="43" t="str">
        <f>IF(tblConteo[[#This Row],[SKU]]="","",INDEX(tblProductos[Unidad],ROW()-ROW(tblConteo[#Headers]))&amp;"")</f>
        <v/>
      </c>
      <c r="G268" s="43" t="str">
        <f>IF(tblConteo[[#This Row],[SKU]]="","",IF(INDEX(tblProductos[Activo],ROW()-ROW(tblConteo[#Headers]))="NO","NO","SI"))</f>
        <v/>
      </c>
      <c r="H268" s="54" t="str">
        <f>IF(tblConteo[[#This Row],[SKU]]="","",IFERROR(N(INDEX(tblStock[StockActual],MATCH(tblConteo[[#This Row],[SKU]],tblStock[SKU],0))),0))</f>
        <v/>
      </c>
      <c r="I268" s="53"/>
      <c r="J268" s="60" t="str">
        <f>IF(OR(tblConteo[[#This Row],[SKU]]="",tblConteo[[#This Row],[Conteo]]=""),"",IF(ISNUMBER(tblConteo[[#This Row],[Conteo]]),tblConteo[[#This Row],[Conteo]]-N(tblConteo[[#This Row],[Sistema]]),""))</f>
        <v/>
      </c>
      <c r="K268" s="63" t="str">
        <f>IF(tblConteo[[#This Row],[Diferencia]]="","",tblConteo[[#This Row],[Diferencia]]*N(INDEX(tblProductos[CostoUnitario],ROW()-ROW(tblConteo[#Headers]))))</f>
        <v/>
      </c>
      <c r="L26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69" spans="2:13" x14ac:dyDescent="0.25">
      <c r="B269" s="43" t="str">
        <f>IF(INDEX(tblProductos[SKU],ROW()-ROW(tblConteo[#Headers]))="","",INDEX(tblProductos[SKU],ROW()-ROW(tblConteo[#Headers])))</f>
        <v/>
      </c>
      <c r="C269" s="50" t="str">
        <f>IF(tblConteo[[#This Row],[SKU]]="","",INDEX(tblProductos[Producto],ROW()-ROW(tblConteo[#Headers])))</f>
        <v/>
      </c>
      <c r="D269" s="50" t="str">
        <f>IF(tblConteo[[#This Row],[SKU]]="","",INDEX(tblProductos[Categoría],ROW()-ROW(tblConteo[#Headers]))&amp;"")</f>
        <v/>
      </c>
      <c r="E269" s="43" t="str">
        <f>IF(tblConteo[[#This Row],[SKU]]="","",INDEX(tblProductos[Ubicación],ROW()-ROW(tblConteo[#Headers]))&amp;"")</f>
        <v/>
      </c>
      <c r="F269" s="43" t="str">
        <f>IF(tblConteo[[#This Row],[SKU]]="","",INDEX(tblProductos[Unidad],ROW()-ROW(tblConteo[#Headers]))&amp;"")</f>
        <v/>
      </c>
      <c r="G269" s="43" t="str">
        <f>IF(tblConteo[[#This Row],[SKU]]="","",IF(INDEX(tblProductos[Activo],ROW()-ROW(tblConteo[#Headers]))="NO","NO","SI"))</f>
        <v/>
      </c>
      <c r="H269" s="54" t="str">
        <f>IF(tblConteo[[#This Row],[SKU]]="","",IFERROR(N(INDEX(tblStock[StockActual],MATCH(tblConteo[[#This Row],[SKU]],tblStock[SKU],0))),0))</f>
        <v/>
      </c>
      <c r="I269" s="53"/>
      <c r="J269" s="60" t="str">
        <f>IF(OR(tblConteo[[#This Row],[SKU]]="",tblConteo[[#This Row],[Conteo]]=""),"",IF(ISNUMBER(tblConteo[[#This Row],[Conteo]]),tblConteo[[#This Row],[Conteo]]-N(tblConteo[[#This Row],[Sistema]]),""))</f>
        <v/>
      </c>
      <c r="K269" s="63" t="str">
        <f>IF(tblConteo[[#This Row],[Diferencia]]="","",tblConteo[[#This Row],[Diferencia]]*N(INDEX(tblProductos[CostoUnitario],ROW()-ROW(tblConteo[#Headers]))))</f>
        <v/>
      </c>
      <c r="L26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6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0" spans="2:13" x14ac:dyDescent="0.25">
      <c r="B270" s="43" t="str">
        <f>IF(INDEX(tblProductos[SKU],ROW()-ROW(tblConteo[#Headers]))="","",INDEX(tblProductos[SKU],ROW()-ROW(tblConteo[#Headers])))</f>
        <v/>
      </c>
      <c r="C270" s="50" t="str">
        <f>IF(tblConteo[[#This Row],[SKU]]="","",INDEX(tblProductos[Producto],ROW()-ROW(tblConteo[#Headers])))</f>
        <v/>
      </c>
      <c r="D270" s="50" t="str">
        <f>IF(tblConteo[[#This Row],[SKU]]="","",INDEX(tblProductos[Categoría],ROW()-ROW(tblConteo[#Headers]))&amp;"")</f>
        <v/>
      </c>
      <c r="E270" s="43" t="str">
        <f>IF(tblConteo[[#This Row],[SKU]]="","",INDEX(tblProductos[Ubicación],ROW()-ROW(tblConteo[#Headers]))&amp;"")</f>
        <v/>
      </c>
      <c r="F270" s="43" t="str">
        <f>IF(tblConteo[[#This Row],[SKU]]="","",INDEX(tblProductos[Unidad],ROW()-ROW(tblConteo[#Headers]))&amp;"")</f>
        <v/>
      </c>
      <c r="G270" s="43" t="str">
        <f>IF(tblConteo[[#This Row],[SKU]]="","",IF(INDEX(tblProductos[Activo],ROW()-ROW(tblConteo[#Headers]))="NO","NO","SI"))</f>
        <v/>
      </c>
      <c r="H270" s="54" t="str">
        <f>IF(tblConteo[[#This Row],[SKU]]="","",IFERROR(N(INDEX(tblStock[StockActual],MATCH(tblConteo[[#This Row],[SKU]],tblStock[SKU],0))),0))</f>
        <v/>
      </c>
      <c r="I270" s="53"/>
      <c r="J270" s="60" t="str">
        <f>IF(OR(tblConteo[[#This Row],[SKU]]="",tblConteo[[#This Row],[Conteo]]=""),"",IF(ISNUMBER(tblConteo[[#This Row],[Conteo]]),tblConteo[[#This Row],[Conteo]]-N(tblConteo[[#This Row],[Sistema]]),""))</f>
        <v/>
      </c>
      <c r="K270" s="63" t="str">
        <f>IF(tblConteo[[#This Row],[Diferencia]]="","",tblConteo[[#This Row],[Diferencia]]*N(INDEX(tblProductos[CostoUnitario],ROW()-ROW(tblConteo[#Headers]))))</f>
        <v/>
      </c>
      <c r="L27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1" spans="2:13" x14ac:dyDescent="0.25">
      <c r="B271" s="43" t="str">
        <f>IF(INDEX(tblProductos[SKU],ROW()-ROW(tblConteo[#Headers]))="","",INDEX(tblProductos[SKU],ROW()-ROW(tblConteo[#Headers])))</f>
        <v/>
      </c>
      <c r="C271" s="50" t="str">
        <f>IF(tblConteo[[#This Row],[SKU]]="","",INDEX(tblProductos[Producto],ROW()-ROW(tblConteo[#Headers])))</f>
        <v/>
      </c>
      <c r="D271" s="50" t="str">
        <f>IF(tblConteo[[#This Row],[SKU]]="","",INDEX(tblProductos[Categoría],ROW()-ROW(tblConteo[#Headers]))&amp;"")</f>
        <v/>
      </c>
      <c r="E271" s="43" t="str">
        <f>IF(tblConteo[[#This Row],[SKU]]="","",INDEX(tblProductos[Ubicación],ROW()-ROW(tblConteo[#Headers]))&amp;"")</f>
        <v/>
      </c>
      <c r="F271" s="43" t="str">
        <f>IF(tblConteo[[#This Row],[SKU]]="","",INDEX(tblProductos[Unidad],ROW()-ROW(tblConteo[#Headers]))&amp;"")</f>
        <v/>
      </c>
      <c r="G271" s="43" t="str">
        <f>IF(tblConteo[[#This Row],[SKU]]="","",IF(INDEX(tblProductos[Activo],ROW()-ROW(tblConteo[#Headers]))="NO","NO","SI"))</f>
        <v/>
      </c>
      <c r="H271" s="54" t="str">
        <f>IF(tblConteo[[#This Row],[SKU]]="","",IFERROR(N(INDEX(tblStock[StockActual],MATCH(tblConteo[[#This Row],[SKU]],tblStock[SKU],0))),0))</f>
        <v/>
      </c>
      <c r="I271" s="53"/>
      <c r="J271" s="60" t="str">
        <f>IF(OR(tblConteo[[#This Row],[SKU]]="",tblConteo[[#This Row],[Conteo]]=""),"",IF(ISNUMBER(tblConteo[[#This Row],[Conteo]]),tblConteo[[#This Row],[Conteo]]-N(tblConteo[[#This Row],[Sistema]]),""))</f>
        <v/>
      </c>
      <c r="K271" s="63" t="str">
        <f>IF(tblConteo[[#This Row],[Diferencia]]="","",tblConteo[[#This Row],[Diferencia]]*N(INDEX(tblProductos[CostoUnitario],ROW()-ROW(tblConteo[#Headers]))))</f>
        <v/>
      </c>
      <c r="L27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2" spans="2:13" x14ac:dyDescent="0.25">
      <c r="B272" s="43" t="str">
        <f>IF(INDEX(tblProductos[SKU],ROW()-ROW(tblConteo[#Headers]))="","",INDEX(tblProductos[SKU],ROW()-ROW(tblConteo[#Headers])))</f>
        <v/>
      </c>
      <c r="C272" s="50" t="str">
        <f>IF(tblConteo[[#This Row],[SKU]]="","",INDEX(tblProductos[Producto],ROW()-ROW(tblConteo[#Headers])))</f>
        <v/>
      </c>
      <c r="D272" s="50" t="str">
        <f>IF(tblConteo[[#This Row],[SKU]]="","",INDEX(tblProductos[Categoría],ROW()-ROW(tblConteo[#Headers]))&amp;"")</f>
        <v/>
      </c>
      <c r="E272" s="43" t="str">
        <f>IF(tblConteo[[#This Row],[SKU]]="","",INDEX(tblProductos[Ubicación],ROW()-ROW(tblConteo[#Headers]))&amp;"")</f>
        <v/>
      </c>
      <c r="F272" s="43" t="str">
        <f>IF(tblConteo[[#This Row],[SKU]]="","",INDEX(tblProductos[Unidad],ROW()-ROW(tblConteo[#Headers]))&amp;"")</f>
        <v/>
      </c>
      <c r="G272" s="43" t="str">
        <f>IF(tblConteo[[#This Row],[SKU]]="","",IF(INDEX(tblProductos[Activo],ROW()-ROW(tblConteo[#Headers]))="NO","NO","SI"))</f>
        <v/>
      </c>
      <c r="H272" s="54" t="str">
        <f>IF(tblConteo[[#This Row],[SKU]]="","",IFERROR(N(INDEX(tblStock[StockActual],MATCH(tblConteo[[#This Row],[SKU]],tblStock[SKU],0))),0))</f>
        <v/>
      </c>
      <c r="I272" s="53"/>
      <c r="J272" s="60" t="str">
        <f>IF(OR(tblConteo[[#This Row],[SKU]]="",tblConteo[[#This Row],[Conteo]]=""),"",IF(ISNUMBER(tblConteo[[#This Row],[Conteo]]),tblConteo[[#This Row],[Conteo]]-N(tblConteo[[#This Row],[Sistema]]),""))</f>
        <v/>
      </c>
      <c r="K272" s="63" t="str">
        <f>IF(tblConteo[[#This Row],[Diferencia]]="","",tblConteo[[#This Row],[Diferencia]]*N(INDEX(tblProductos[CostoUnitario],ROW()-ROW(tblConteo[#Headers]))))</f>
        <v/>
      </c>
      <c r="L27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3" spans="2:13" x14ac:dyDescent="0.25">
      <c r="B273" s="43" t="str">
        <f>IF(INDEX(tblProductos[SKU],ROW()-ROW(tblConteo[#Headers]))="","",INDEX(tblProductos[SKU],ROW()-ROW(tblConteo[#Headers])))</f>
        <v/>
      </c>
      <c r="C273" s="50" t="str">
        <f>IF(tblConteo[[#This Row],[SKU]]="","",INDEX(tblProductos[Producto],ROW()-ROW(tblConteo[#Headers])))</f>
        <v/>
      </c>
      <c r="D273" s="50" t="str">
        <f>IF(tblConteo[[#This Row],[SKU]]="","",INDEX(tblProductos[Categoría],ROW()-ROW(tblConteo[#Headers]))&amp;"")</f>
        <v/>
      </c>
      <c r="E273" s="43" t="str">
        <f>IF(tblConteo[[#This Row],[SKU]]="","",INDEX(tblProductos[Ubicación],ROW()-ROW(tblConteo[#Headers]))&amp;"")</f>
        <v/>
      </c>
      <c r="F273" s="43" t="str">
        <f>IF(tblConteo[[#This Row],[SKU]]="","",INDEX(tblProductos[Unidad],ROW()-ROW(tblConteo[#Headers]))&amp;"")</f>
        <v/>
      </c>
      <c r="G273" s="43" t="str">
        <f>IF(tblConteo[[#This Row],[SKU]]="","",IF(INDEX(tblProductos[Activo],ROW()-ROW(tblConteo[#Headers]))="NO","NO","SI"))</f>
        <v/>
      </c>
      <c r="H273" s="54" t="str">
        <f>IF(tblConteo[[#This Row],[SKU]]="","",IFERROR(N(INDEX(tblStock[StockActual],MATCH(tblConteo[[#This Row],[SKU]],tblStock[SKU],0))),0))</f>
        <v/>
      </c>
      <c r="I273" s="53"/>
      <c r="J273" s="60" t="str">
        <f>IF(OR(tblConteo[[#This Row],[SKU]]="",tblConteo[[#This Row],[Conteo]]=""),"",IF(ISNUMBER(tblConteo[[#This Row],[Conteo]]),tblConteo[[#This Row],[Conteo]]-N(tblConteo[[#This Row],[Sistema]]),""))</f>
        <v/>
      </c>
      <c r="K273" s="63" t="str">
        <f>IF(tblConteo[[#This Row],[Diferencia]]="","",tblConteo[[#This Row],[Diferencia]]*N(INDEX(tblProductos[CostoUnitario],ROW()-ROW(tblConteo[#Headers]))))</f>
        <v/>
      </c>
      <c r="L27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4" spans="2:13" x14ac:dyDescent="0.25">
      <c r="B274" s="43" t="str">
        <f>IF(INDEX(tblProductos[SKU],ROW()-ROW(tblConteo[#Headers]))="","",INDEX(tblProductos[SKU],ROW()-ROW(tblConteo[#Headers])))</f>
        <v/>
      </c>
      <c r="C274" s="50" t="str">
        <f>IF(tblConteo[[#This Row],[SKU]]="","",INDEX(tblProductos[Producto],ROW()-ROW(tblConteo[#Headers])))</f>
        <v/>
      </c>
      <c r="D274" s="50" t="str">
        <f>IF(tblConteo[[#This Row],[SKU]]="","",INDEX(tblProductos[Categoría],ROW()-ROW(tblConteo[#Headers]))&amp;"")</f>
        <v/>
      </c>
      <c r="E274" s="43" t="str">
        <f>IF(tblConteo[[#This Row],[SKU]]="","",INDEX(tblProductos[Ubicación],ROW()-ROW(tblConteo[#Headers]))&amp;"")</f>
        <v/>
      </c>
      <c r="F274" s="43" t="str">
        <f>IF(tblConteo[[#This Row],[SKU]]="","",INDEX(tblProductos[Unidad],ROW()-ROW(tblConteo[#Headers]))&amp;"")</f>
        <v/>
      </c>
      <c r="G274" s="43" t="str">
        <f>IF(tblConteo[[#This Row],[SKU]]="","",IF(INDEX(tblProductos[Activo],ROW()-ROW(tblConteo[#Headers]))="NO","NO","SI"))</f>
        <v/>
      </c>
      <c r="H274" s="54" t="str">
        <f>IF(tblConteo[[#This Row],[SKU]]="","",IFERROR(N(INDEX(tblStock[StockActual],MATCH(tblConteo[[#This Row],[SKU]],tblStock[SKU],0))),0))</f>
        <v/>
      </c>
      <c r="I274" s="53"/>
      <c r="J274" s="60" t="str">
        <f>IF(OR(tblConteo[[#This Row],[SKU]]="",tblConteo[[#This Row],[Conteo]]=""),"",IF(ISNUMBER(tblConteo[[#This Row],[Conteo]]),tblConteo[[#This Row],[Conteo]]-N(tblConteo[[#This Row],[Sistema]]),""))</f>
        <v/>
      </c>
      <c r="K274" s="63" t="str">
        <f>IF(tblConteo[[#This Row],[Diferencia]]="","",tblConteo[[#This Row],[Diferencia]]*N(INDEX(tblProductos[CostoUnitario],ROW()-ROW(tblConteo[#Headers]))))</f>
        <v/>
      </c>
      <c r="L27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5" spans="2:13" x14ac:dyDescent="0.25">
      <c r="B275" s="43" t="str">
        <f>IF(INDEX(tblProductos[SKU],ROW()-ROW(tblConteo[#Headers]))="","",INDEX(tblProductos[SKU],ROW()-ROW(tblConteo[#Headers])))</f>
        <v/>
      </c>
      <c r="C275" s="50" t="str">
        <f>IF(tblConteo[[#This Row],[SKU]]="","",INDEX(tblProductos[Producto],ROW()-ROW(tblConteo[#Headers])))</f>
        <v/>
      </c>
      <c r="D275" s="50" t="str">
        <f>IF(tblConteo[[#This Row],[SKU]]="","",INDEX(tblProductos[Categoría],ROW()-ROW(tblConteo[#Headers]))&amp;"")</f>
        <v/>
      </c>
      <c r="E275" s="43" t="str">
        <f>IF(tblConteo[[#This Row],[SKU]]="","",INDEX(tblProductos[Ubicación],ROW()-ROW(tblConteo[#Headers]))&amp;"")</f>
        <v/>
      </c>
      <c r="F275" s="43" t="str">
        <f>IF(tblConteo[[#This Row],[SKU]]="","",INDEX(tblProductos[Unidad],ROW()-ROW(tblConteo[#Headers]))&amp;"")</f>
        <v/>
      </c>
      <c r="G275" s="43" t="str">
        <f>IF(tblConteo[[#This Row],[SKU]]="","",IF(INDEX(tblProductos[Activo],ROW()-ROW(tblConteo[#Headers]))="NO","NO","SI"))</f>
        <v/>
      </c>
      <c r="H275" s="54" t="str">
        <f>IF(tblConteo[[#This Row],[SKU]]="","",IFERROR(N(INDEX(tblStock[StockActual],MATCH(tblConteo[[#This Row],[SKU]],tblStock[SKU],0))),0))</f>
        <v/>
      </c>
      <c r="I275" s="53"/>
      <c r="J275" s="60" t="str">
        <f>IF(OR(tblConteo[[#This Row],[SKU]]="",tblConteo[[#This Row],[Conteo]]=""),"",IF(ISNUMBER(tblConteo[[#This Row],[Conteo]]),tblConteo[[#This Row],[Conteo]]-N(tblConteo[[#This Row],[Sistema]]),""))</f>
        <v/>
      </c>
      <c r="K275" s="63" t="str">
        <f>IF(tblConteo[[#This Row],[Diferencia]]="","",tblConteo[[#This Row],[Diferencia]]*N(INDEX(tblProductos[CostoUnitario],ROW()-ROW(tblConteo[#Headers]))))</f>
        <v/>
      </c>
      <c r="L27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6" spans="2:13" x14ac:dyDescent="0.25">
      <c r="B276" s="43" t="str">
        <f>IF(INDEX(tblProductos[SKU],ROW()-ROW(tblConteo[#Headers]))="","",INDEX(tblProductos[SKU],ROW()-ROW(tblConteo[#Headers])))</f>
        <v/>
      </c>
      <c r="C276" s="50" t="str">
        <f>IF(tblConteo[[#This Row],[SKU]]="","",INDEX(tblProductos[Producto],ROW()-ROW(tblConteo[#Headers])))</f>
        <v/>
      </c>
      <c r="D276" s="50" t="str">
        <f>IF(tblConteo[[#This Row],[SKU]]="","",INDEX(tblProductos[Categoría],ROW()-ROW(tblConteo[#Headers]))&amp;"")</f>
        <v/>
      </c>
      <c r="E276" s="43" t="str">
        <f>IF(tblConteo[[#This Row],[SKU]]="","",INDEX(tblProductos[Ubicación],ROW()-ROW(tblConteo[#Headers]))&amp;"")</f>
        <v/>
      </c>
      <c r="F276" s="43" t="str">
        <f>IF(tblConteo[[#This Row],[SKU]]="","",INDEX(tblProductos[Unidad],ROW()-ROW(tblConteo[#Headers]))&amp;"")</f>
        <v/>
      </c>
      <c r="G276" s="43" t="str">
        <f>IF(tblConteo[[#This Row],[SKU]]="","",IF(INDEX(tblProductos[Activo],ROW()-ROW(tblConteo[#Headers]))="NO","NO","SI"))</f>
        <v/>
      </c>
      <c r="H276" s="54" t="str">
        <f>IF(tblConteo[[#This Row],[SKU]]="","",IFERROR(N(INDEX(tblStock[StockActual],MATCH(tblConteo[[#This Row],[SKU]],tblStock[SKU],0))),0))</f>
        <v/>
      </c>
      <c r="I276" s="53"/>
      <c r="J276" s="60" t="str">
        <f>IF(OR(tblConteo[[#This Row],[SKU]]="",tblConteo[[#This Row],[Conteo]]=""),"",IF(ISNUMBER(tblConteo[[#This Row],[Conteo]]),tblConteo[[#This Row],[Conteo]]-N(tblConteo[[#This Row],[Sistema]]),""))</f>
        <v/>
      </c>
      <c r="K276" s="63" t="str">
        <f>IF(tblConteo[[#This Row],[Diferencia]]="","",tblConteo[[#This Row],[Diferencia]]*N(INDEX(tblProductos[CostoUnitario],ROW()-ROW(tblConteo[#Headers]))))</f>
        <v/>
      </c>
      <c r="L27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7" spans="2:13" x14ac:dyDescent="0.25">
      <c r="B277" s="43" t="str">
        <f>IF(INDEX(tblProductos[SKU],ROW()-ROW(tblConteo[#Headers]))="","",INDEX(tblProductos[SKU],ROW()-ROW(tblConteo[#Headers])))</f>
        <v/>
      </c>
      <c r="C277" s="50" t="str">
        <f>IF(tblConteo[[#This Row],[SKU]]="","",INDEX(tblProductos[Producto],ROW()-ROW(tblConteo[#Headers])))</f>
        <v/>
      </c>
      <c r="D277" s="50" t="str">
        <f>IF(tblConteo[[#This Row],[SKU]]="","",INDEX(tblProductos[Categoría],ROW()-ROW(tblConteo[#Headers]))&amp;"")</f>
        <v/>
      </c>
      <c r="E277" s="43" t="str">
        <f>IF(tblConteo[[#This Row],[SKU]]="","",INDEX(tblProductos[Ubicación],ROW()-ROW(tblConteo[#Headers]))&amp;"")</f>
        <v/>
      </c>
      <c r="F277" s="43" t="str">
        <f>IF(tblConteo[[#This Row],[SKU]]="","",INDEX(tblProductos[Unidad],ROW()-ROW(tblConteo[#Headers]))&amp;"")</f>
        <v/>
      </c>
      <c r="G277" s="43" t="str">
        <f>IF(tblConteo[[#This Row],[SKU]]="","",IF(INDEX(tblProductos[Activo],ROW()-ROW(tblConteo[#Headers]))="NO","NO","SI"))</f>
        <v/>
      </c>
      <c r="H277" s="54" t="str">
        <f>IF(tblConteo[[#This Row],[SKU]]="","",IFERROR(N(INDEX(tblStock[StockActual],MATCH(tblConteo[[#This Row],[SKU]],tblStock[SKU],0))),0))</f>
        <v/>
      </c>
      <c r="I277" s="53"/>
      <c r="J277" s="60" t="str">
        <f>IF(OR(tblConteo[[#This Row],[SKU]]="",tblConteo[[#This Row],[Conteo]]=""),"",IF(ISNUMBER(tblConteo[[#This Row],[Conteo]]),tblConteo[[#This Row],[Conteo]]-N(tblConteo[[#This Row],[Sistema]]),""))</f>
        <v/>
      </c>
      <c r="K277" s="63" t="str">
        <f>IF(tblConteo[[#This Row],[Diferencia]]="","",tblConteo[[#This Row],[Diferencia]]*N(INDEX(tblProductos[CostoUnitario],ROW()-ROW(tblConteo[#Headers]))))</f>
        <v/>
      </c>
      <c r="L27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8" spans="2:13" x14ac:dyDescent="0.25">
      <c r="B278" s="43" t="str">
        <f>IF(INDEX(tblProductos[SKU],ROW()-ROW(tblConteo[#Headers]))="","",INDEX(tblProductos[SKU],ROW()-ROW(tblConteo[#Headers])))</f>
        <v/>
      </c>
      <c r="C278" s="50" t="str">
        <f>IF(tblConteo[[#This Row],[SKU]]="","",INDEX(tblProductos[Producto],ROW()-ROW(tblConteo[#Headers])))</f>
        <v/>
      </c>
      <c r="D278" s="50" t="str">
        <f>IF(tblConteo[[#This Row],[SKU]]="","",INDEX(tblProductos[Categoría],ROW()-ROW(tblConteo[#Headers]))&amp;"")</f>
        <v/>
      </c>
      <c r="E278" s="43" t="str">
        <f>IF(tblConteo[[#This Row],[SKU]]="","",INDEX(tblProductos[Ubicación],ROW()-ROW(tblConteo[#Headers]))&amp;"")</f>
        <v/>
      </c>
      <c r="F278" s="43" t="str">
        <f>IF(tblConteo[[#This Row],[SKU]]="","",INDEX(tblProductos[Unidad],ROW()-ROW(tblConteo[#Headers]))&amp;"")</f>
        <v/>
      </c>
      <c r="G278" s="43" t="str">
        <f>IF(tblConteo[[#This Row],[SKU]]="","",IF(INDEX(tblProductos[Activo],ROW()-ROW(tblConteo[#Headers]))="NO","NO","SI"))</f>
        <v/>
      </c>
      <c r="H278" s="54" t="str">
        <f>IF(tblConteo[[#This Row],[SKU]]="","",IFERROR(N(INDEX(tblStock[StockActual],MATCH(tblConteo[[#This Row],[SKU]],tblStock[SKU],0))),0))</f>
        <v/>
      </c>
      <c r="I278" s="53"/>
      <c r="J278" s="60" t="str">
        <f>IF(OR(tblConteo[[#This Row],[SKU]]="",tblConteo[[#This Row],[Conteo]]=""),"",IF(ISNUMBER(tblConteo[[#This Row],[Conteo]]),tblConteo[[#This Row],[Conteo]]-N(tblConteo[[#This Row],[Sistema]]),""))</f>
        <v/>
      </c>
      <c r="K278" s="63" t="str">
        <f>IF(tblConteo[[#This Row],[Diferencia]]="","",tblConteo[[#This Row],[Diferencia]]*N(INDEX(tblProductos[CostoUnitario],ROW()-ROW(tblConteo[#Headers]))))</f>
        <v/>
      </c>
      <c r="L27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79" spans="2:13" x14ac:dyDescent="0.25">
      <c r="B279" s="43" t="str">
        <f>IF(INDEX(tblProductos[SKU],ROW()-ROW(tblConteo[#Headers]))="","",INDEX(tblProductos[SKU],ROW()-ROW(tblConteo[#Headers])))</f>
        <v/>
      </c>
      <c r="C279" s="50" t="str">
        <f>IF(tblConteo[[#This Row],[SKU]]="","",INDEX(tblProductos[Producto],ROW()-ROW(tblConteo[#Headers])))</f>
        <v/>
      </c>
      <c r="D279" s="50" t="str">
        <f>IF(tblConteo[[#This Row],[SKU]]="","",INDEX(tblProductos[Categoría],ROW()-ROW(tblConteo[#Headers]))&amp;"")</f>
        <v/>
      </c>
      <c r="E279" s="43" t="str">
        <f>IF(tblConteo[[#This Row],[SKU]]="","",INDEX(tblProductos[Ubicación],ROW()-ROW(tblConteo[#Headers]))&amp;"")</f>
        <v/>
      </c>
      <c r="F279" s="43" t="str">
        <f>IF(tblConteo[[#This Row],[SKU]]="","",INDEX(tblProductos[Unidad],ROW()-ROW(tblConteo[#Headers]))&amp;"")</f>
        <v/>
      </c>
      <c r="G279" s="43" t="str">
        <f>IF(tblConteo[[#This Row],[SKU]]="","",IF(INDEX(tblProductos[Activo],ROW()-ROW(tblConteo[#Headers]))="NO","NO","SI"))</f>
        <v/>
      </c>
      <c r="H279" s="54" t="str">
        <f>IF(tblConteo[[#This Row],[SKU]]="","",IFERROR(N(INDEX(tblStock[StockActual],MATCH(tblConteo[[#This Row],[SKU]],tblStock[SKU],0))),0))</f>
        <v/>
      </c>
      <c r="I279" s="53"/>
      <c r="J279" s="60" t="str">
        <f>IF(OR(tblConteo[[#This Row],[SKU]]="",tblConteo[[#This Row],[Conteo]]=""),"",IF(ISNUMBER(tblConteo[[#This Row],[Conteo]]),tblConteo[[#This Row],[Conteo]]-N(tblConteo[[#This Row],[Sistema]]),""))</f>
        <v/>
      </c>
      <c r="K279" s="63" t="str">
        <f>IF(tblConteo[[#This Row],[Diferencia]]="","",tblConteo[[#This Row],[Diferencia]]*N(INDEX(tblProductos[CostoUnitario],ROW()-ROW(tblConteo[#Headers]))))</f>
        <v/>
      </c>
      <c r="L27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7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0" spans="2:13" x14ac:dyDescent="0.25">
      <c r="B280" s="43" t="str">
        <f>IF(INDEX(tblProductos[SKU],ROW()-ROW(tblConteo[#Headers]))="","",INDEX(tblProductos[SKU],ROW()-ROW(tblConteo[#Headers])))</f>
        <v/>
      </c>
      <c r="C280" s="50" t="str">
        <f>IF(tblConteo[[#This Row],[SKU]]="","",INDEX(tblProductos[Producto],ROW()-ROW(tblConteo[#Headers])))</f>
        <v/>
      </c>
      <c r="D280" s="50" t="str">
        <f>IF(tblConteo[[#This Row],[SKU]]="","",INDEX(tblProductos[Categoría],ROW()-ROW(tblConteo[#Headers]))&amp;"")</f>
        <v/>
      </c>
      <c r="E280" s="43" t="str">
        <f>IF(tblConteo[[#This Row],[SKU]]="","",INDEX(tblProductos[Ubicación],ROW()-ROW(tblConteo[#Headers]))&amp;"")</f>
        <v/>
      </c>
      <c r="F280" s="43" t="str">
        <f>IF(tblConteo[[#This Row],[SKU]]="","",INDEX(tblProductos[Unidad],ROW()-ROW(tblConteo[#Headers]))&amp;"")</f>
        <v/>
      </c>
      <c r="G280" s="43" t="str">
        <f>IF(tblConteo[[#This Row],[SKU]]="","",IF(INDEX(tblProductos[Activo],ROW()-ROW(tblConteo[#Headers]))="NO","NO","SI"))</f>
        <v/>
      </c>
      <c r="H280" s="54" t="str">
        <f>IF(tblConteo[[#This Row],[SKU]]="","",IFERROR(N(INDEX(tblStock[StockActual],MATCH(tblConteo[[#This Row],[SKU]],tblStock[SKU],0))),0))</f>
        <v/>
      </c>
      <c r="I280" s="53"/>
      <c r="J280" s="60" t="str">
        <f>IF(OR(tblConteo[[#This Row],[SKU]]="",tblConteo[[#This Row],[Conteo]]=""),"",IF(ISNUMBER(tblConteo[[#This Row],[Conteo]]),tblConteo[[#This Row],[Conteo]]-N(tblConteo[[#This Row],[Sistema]]),""))</f>
        <v/>
      </c>
      <c r="K280" s="63" t="str">
        <f>IF(tblConteo[[#This Row],[Diferencia]]="","",tblConteo[[#This Row],[Diferencia]]*N(INDEX(tblProductos[CostoUnitario],ROW()-ROW(tblConteo[#Headers]))))</f>
        <v/>
      </c>
      <c r="L28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1" spans="2:13" x14ac:dyDescent="0.25">
      <c r="B281" s="43" t="str">
        <f>IF(INDEX(tblProductos[SKU],ROW()-ROW(tblConteo[#Headers]))="","",INDEX(tblProductos[SKU],ROW()-ROW(tblConteo[#Headers])))</f>
        <v/>
      </c>
      <c r="C281" s="50" t="str">
        <f>IF(tblConteo[[#This Row],[SKU]]="","",INDEX(tblProductos[Producto],ROW()-ROW(tblConteo[#Headers])))</f>
        <v/>
      </c>
      <c r="D281" s="50" t="str">
        <f>IF(tblConteo[[#This Row],[SKU]]="","",INDEX(tblProductos[Categoría],ROW()-ROW(tblConteo[#Headers]))&amp;"")</f>
        <v/>
      </c>
      <c r="E281" s="43" t="str">
        <f>IF(tblConteo[[#This Row],[SKU]]="","",INDEX(tblProductos[Ubicación],ROW()-ROW(tblConteo[#Headers]))&amp;"")</f>
        <v/>
      </c>
      <c r="F281" s="43" t="str">
        <f>IF(tblConteo[[#This Row],[SKU]]="","",INDEX(tblProductos[Unidad],ROW()-ROW(tblConteo[#Headers]))&amp;"")</f>
        <v/>
      </c>
      <c r="G281" s="43" t="str">
        <f>IF(tblConteo[[#This Row],[SKU]]="","",IF(INDEX(tblProductos[Activo],ROW()-ROW(tblConteo[#Headers]))="NO","NO","SI"))</f>
        <v/>
      </c>
      <c r="H281" s="54" t="str">
        <f>IF(tblConteo[[#This Row],[SKU]]="","",IFERROR(N(INDEX(tblStock[StockActual],MATCH(tblConteo[[#This Row],[SKU]],tblStock[SKU],0))),0))</f>
        <v/>
      </c>
      <c r="I281" s="53"/>
      <c r="J281" s="60" t="str">
        <f>IF(OR(tblConteo[[#This Row],[SKU]]="",tblConteo[[#This Row],[Conteo]]=""),"",IF(ISNUMBER(tblConteo[[#This Row],[Conteo]]),tblConteo[[#This Row],[Conteo]]-N(tblConteo[[#This Row],[Sistema]]),""))</f>
        <v/>
      </c>
      <c r="K281" s="63" t="str">
        <f>IF(tblConteo[[#This Row],[Diferencia]]="","",tblConteo[[#This Row],[Diferencia]]*N(INDEX(tblProductos[CostoUnitario],ROW()-ROW(tblConteo[#Headers]))))</f>
        <v/>
      </c>
      <c r="L28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2" spans="2:13" x14ac:dyDescent="0.25">
      <c r="B282" s="43" t="str">
        <f>IF(INDEX(tblProductos[SKU],ROW()-ROW(tblConteo[#Headers]))="","",INDEX(tblProductos[SKU],ROW()-ROW(tblConteo[#Headers])))</f>
        <v/>
      </c>
      <c r="C282" s="50" t="str">
        <f>IF(tblConteo[[#This Row],[SKU]]="","",INDEX(tblProductos[Producto],ROW()-ROW(tblConteo[#Headers])))</f>
        <v/>
      </c>
      <c r="D282" s="50" t="str">
        <f>IF(tblConteo[[#This Row],[SKU]]="","",INDEX(tblProductos[Categoría],ROW()-ROW(tblConteo[#Headers]))&amp;"")</f>
        <v/>
      </c>
      <c r="E282" s="43" t="str">
        <f>IF(tblConteo[[#This Row],[SKU]]="","",INDEX(tblProductos[Ubicación],ROW()-ROW(tblConteo[#Headers]))&amp;"")</f>
        <v/>
      </c>
      <c r="F282" s="43" t="str">
        <f>IF(tblConteo[[#This Row],[SKU]]="","",INDEX(tblProductos[Unidad],ROW()-ROW(tblConteo[#Headers]))&amp;"")</f>
        <v/>
      </c>
      <c r="G282" s="43" t="str">
        <f>IF(tblConteo[[#This Row],[SKU]]="","",IF(INDEX(tblProductos[Activo],ROW()-ROW(tblConteo[#Headers]))="NO","NO","SI"))</f>
        <v/>
      </c>
      <c r="H282" s="54" t="str">
        <f>IF(tblConteo[[#This Row],[SKU]]="","",IFERROR(N(INDEX(tblStock[StockActual],MATCH(tblConteo[[#This Row],[SKU]],tblStock[SKU],0))),0))</f>
        <v/>
      </c>
      <c r="I282" s="53"/>
      <c r="J282" s="60" t="str">
        <f>IF(OR(tblConteo[[#This Row],[SKU]]="",tblConteo[[#This Row],[Conteo]]=""),"",IF(ISNUMBER(tblConteo[[#This Row],[Conteo]]),tblConteo[[#This Row],[Conteo]]-N(tblConteo[[#This Row],[Sistema]]),""))</f>
        <v/>
      </c>
      <c r="K282" s="63" t="str">
        <f>IF(tblConteo[[#This Row],[Diferencia]]="","",tblConteo[[#This Row],[Diferencia]]*N(INDEX(tblProductos[CostoUnitario],ROW()-ROW(tblConteo[#Headers]))))</f>
        <v/>
      </c>
      <c r="L28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3" spans="2:13" x14ac:dyDescent="0.25">
      <c r="B283" s="43" t="str">
        <f>IF(INDEX(tblProductos[SKU],ROW()-ROW(tblConteo[#Headers]))="","",INDEX(tblProductos[SKU],ROW()-ROW(tblConteo[#Headers])))</f>
        <v/>
      </c>
      <c r="C283" s="50" t="str">
        <f>IF(tblConteo[[#This Row],[SKU]]="","",INDEX(tblProductos[Producto],ROW()-ROW(tblConteo[#Headers])))</f>
        <v/>
      </c>
      <c r="D283" s="50" t="str">
        <f>IF(tblConteo[[#This Row],[SKU]]="","",INDEX(tblProductos[Categoría],ROW()-ROW(tblConteo[#Headers]))&amp;"")</f>
        <v/>
      </c>
      <c r="E283" s="43" t="str">
        <f>IF(tblConteo[[#This Row],[SKU]]="","",INDEX(tblProductos[Ubicación],ROW()-ROW(tblConteo[#Headers]))&amp;"")</f>
        <v/>
      </c>
      <c r="F283" s="43" t="str">
        <f>IF(tblConteo[[#This Row],[SKU]]="","",INDEX(tblProductos[Unidad],ROW()-ROW(tblConteo[#Headers]))&amp;"")</f>
        <v/>
      </c>
      <c r="G283" s="43" t="str">
        <f>IF(tblConteo[[#This Row],[SKU]]="","",IF(INDEX(tblProductos[Activo],ROW()-ROW(tblConteo[#Headers]))="NO","NO","SI"))</f>
        <v/>
      </c>
      <c r="H283" s="54" t="str">
        <f>IF(tblConteo[[#This Row],[SKU]]="","",IFERROR(N(INDEX(tblStock[StockActual],MATCH(tblConteo[[#This Row],[SKU]],tblStock[SKU],0))),0))</f>
        <v/>
      </c>
      <c r="I283" s="53"/>
      <c r="J283" s="60" t="str">
        <f>IF(OR(tblConteo[[#This Row],[SKU]]="",tblConteo[[#This Row],[Conteo]]=""),"",IF(ISNUMBER(tblConteo[[#This Row],[Conteo]]),tblConteo[[#This Row],[Conteo]]-N(tblConteo[[#This Row],[Sistema]]),""))</f>
        <v/>
      </c>
      <c r="K283" s="63" t="str">
        <f>IF(tblConteo[[#This Row],[Diferencia]]="","",tblConteo[[#This Row],[Diferencia]]*N(INDEX(tblProductos[CostoUnitario],ROW()-ROW(tblConteo[#Headers]))))</f>
        <v/>
      </c>
      <c r="L28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4" spans="2:13" x14ac:dyDescent="0.25">
      <c r="B284" s="43" t="str">
        <f>IF(INDEX(tblProductos[SKU],ROW()-ROW(tblConteo[#Headers]))="","",INDEX(tblProductos[SKU],ROW()-ROW(tblConteo[#Headers])))</f>
        <v/>
      </c>
      <c r="C284" s="50" t="str">
        <f>IF(tblConteo[[#This Row],[SKU]]="","",INDEX(tblProductos[Producto],ROW()-ROW(tblConteo[#Headers])))</f>
        <v/>
      </c>
      <c r="D284" s="50" t="str">
        <f>IF(tblConteo[[#This Row],[SKU]]="","",INDEX(tblProductos[Categoría],ROW()-ROW(tblConteo[#Headers]))&amp;"")</f>
        <v/>
      </c>
      <c r="E284" s="43" t="str">
        <f>IF(tblConteo[[#This Row],[SKU]]="","",INDEX(tblProductos[Ubicación],ROW()-ROW(tblConteo[#Headers]))&amp;"")</f>
        <v/>
      </c>
      <c r="F284" s="43" t="str">
        <f>IF(tblConteo[[#This Row],[SKU]]="","",INDEX(tblProductos[Unidad],ROW()-ROW(tblConteo[#Headers]))&amp;"")</f>
        <v/>
      </c>
      <c r="G284" s="43" t="str">
        <f>IF(tblConteo[[#This Row],[SKU]]="","",IF(INDEX(tblProductos[Activo],ROW()-ROW(tblConteo[#Headers]))="NO","NO","SI"))</f>
        <v/>
      </c>
      <c r="H284" s="54" t="str">
        <f>IF(tblConteo[[#This Row],[SKU]]="","",IFERROR(N(INDEX(tblStock[StockActual],MATCH(tblConteo[[#This Row],[SKU]],tblStock[SKU],0))),0))</f>
        <v/>
      </c>
      <c r="I284" s="53"/>
      <c r="J284" s="60" t="str">
        <f>IF(OR(tblConteo[[#This Row],[SKU]]="",tblConteo[[#This Row],[Conteo]]=""),"",IF(ISNUMBER(tblConteo[[#This Row],[Conteo]]),tblConteo[[#This Row],[Conteo]]-N(tblConteo[[#This Row],[Sistema]]),""))</f>
        <v/>
      </c>
      <c r="K284" s="63" t="str">
        <f>IF(tblConteo[[#This Row],[Diferencia]]="","",tblConteo[[#This Row],[Diferencia]]*N(INDEX(tblProductos[CostoUnitario],ROW()-ROW(tblConteo[#Headers]))))</f>
        <v/>
      </c>
      <c r="L28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5" spans="2:13" x14ac:dyDescent="0.25">
      <c r="B285" s="43" t="str">
        <f>IF(INDEX(tblProductos[SKU],ROW()-ROW(tblConteo[#Headers]))="","",INDEX(tblProductos[SKU],ROW()-ROW(tblConteo[#Headers])))</f>
        <v/>
      </c>
      <c r="C285" s="50" t="str">
        <f>IF(tblConteo[[#This Row],[SKU]]="","",INDEX(tblProductos[Producto],ROW()-ROW(tblConteo[#Headers])))</f>
        <v/>
      </c>
      <c r="D285" s="50" t="str">
        <f>IF(tblConteo[[#This Row],[SKU]]="","",INDEX(tblProductos[Categoría],ROW()-ROW(tblConteo[#Headers]))&amp;"")</f>
        <v/>
      </c>
      <c r="E285" s="43" t="str">
        <f>IF(tblConteo[[#This Row],[SKU]]="","",INDEX(tblProductos[Ubicación],ROW()-ROW(tblConteo[#Headers]))&amp;"")</f>
        <v/>
      </c>
      <c r="F285" s="43" t="str">
        <f>IF(tblConteo[[#This Row],[SKU]]="","",INDEX(tblProductos[Unidad],ROW()-ROW(tblConteo[#Headers]))&amp;"")</f>
        <v/>
      </c>
      <c r="G285" s="43" t="str">
        <f>IF(tblConteo[[#This Row],[SKU]]="","",IF(INDEX(tblProductos[Activo],ROW()-ROW(tblConteo[#Headers]))="NO","NO","SI"))</f>
        <v/>
      </c>
      <c r="H285" s="54" t="str">
        <f>IF(tblConteo[[#This Row],[SKU]]="","",IFERROR(N(INDEX(tblStock[StockActual],MATCH(tblConteo[[#This Row],[SKU]],tblStock[SKU],0))),0))</f>
        <v/>
      </c>
      <c r="I285" s="53"/>
      <c r="J285" s="60" t="str">
        <f>IF(OR(tblConteo[[#This Row],[SKU]]="",tblConteo[[#This Row],[Conteo]]=""),"",IF(ISNUMBER(tblConteo[[#This Row],[Conteo]]),tblConteo[[#This Row],[Conteo]]-N(tblConteo[[#This Row],[Sistema]]),""))</f>
        <v/>
      </c>
      <c r="K285" s="63" t="str">
        <f>IF(tblConteo[[#This Row],[Diferencia]]="","",tblConteo[[#This Row],[Diferencia]]*N(INDEX(tblProductos[CostoUnitario],ROW()-ROW(tblConteo[#Headers]))))</f>
        <v/>
      </c>
      <c r="L28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6" spans="2:13" x14ac:dyDescent="0.25">
      <c r="B286" s="43" t="str">
        <f>IF(INDEX(tblProductos[SKU],ROW()-ROW(tblConteo[#Headers]))="","",INDEX(tblProductos[SKU],ROW()-ROW(tblConteo[#Headers])))</f>
        <v/>
      </c>
      <c r="C286" s="50" t="str">
        <f>IF(tblConteo[[#This Row],[SKU]]="","",INDEX(tblProductos[Producto],ROW()-ROW(tblConteo[#Headers])))</f>
        <v/>
      </c>
      <c r="D286" s="50" t="str">
        <f>IF(tblConteo[[#This Row],[SKU]]="","",INDEX(tblProductos[Categoría],ROW()-ROW(tblConteo[#Headers]))&amp;"")</f>
        <v/>
      </c>
      <c r="E286" s="43" t="str">
        <f>IF(tblConteo[[#This Row],[SKU]]="","",INDEX(tblProductos[Ubicación],ROW()-ROW(tblConteo[#Headers]))&amp;"")</f>
        <v/>
      </c>
      <c r="F286" s="43" t="str">
        <f>IF(tblConteo[[#This Row],[SKU]]="","",INDEX(tblProductos[Unidad],ROW()-ROW(tblConteo[#Headers]))&amp;"")</f>
        <v/>
      </c>
      <c r="G286" s="43" t="str">
        <f>IF(tblConteo[[#This Row],[SKU]]="","",IF(INDEX(tblProductos[Activo],ROW()-ROW(tblConteo[#Headers]))="NO","NO","SI"))</f>
        <v/>
      </c>
      <c r="H286" s="54" t="str">
        <f>IF(tblConteo[[#This Row],[SKU]]="","",IFERROR(N(INDEX(tblStock[StockActual],MATCH(tblConteo[[#This Row],[SKU]],tblStock[SKU],0))),0))</f>
        <v/>
      </c>
      <c r="I286" s="53"/>
      <c r="J286" s="60" t="str">
        <f>IF(OR(tblConteo[[#This Row],[SKU]]="",tblConteo[[#This Row],[Conteo]]=""),"",IF(ISNUMBER(tblConteo[[#This Row],[Conteo]]),tblConteo[[#This Row],[Conteo]]-N(tblConteo[[#This Row],[Sistema]]),""))</f>
        <v/>
      </c>
      <c r="K286" s="63" t="str">
        <f>IF(tblConteo[[#This Row],[Diferencia]]="","",tblConteo[[#This Row],[Diferencia]]*N(INDEX(tblProductos[CostoUnitario],ROW()-ROW(tblConteo[#Headers]))))</f>
        <v/>
      </c>
      <c r="L28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7" spans="2:13" x14ac:dyDescent="0.25">
      <c r="B287" s="43" t="str">
        <f>IF(INDEX(tblProductos[SKU],ROW()-ROW(tblConteo[#Headers]))="","",INDEX(tblProductos[SKU],ROW()-ROW(tblConteo[#Headers])))</f>
        <v/>
      </c>
      <c r="C287" s="50" t="str">
        <f>IF(tblConteo[[#This Row],[SKU]]="","",INDEX(tblProductos[Producto],ROW()-ROW(tblConteo[#Headers])))</f>
        <v/>
      </c>
      <c r="D287" s="50" t="str">
        <f>IF(tblConteo[[#This Row],[SKU]]="","",INDEX(tblProductos[Categoría],ROW()-ROW(tblConteo[#Headers]))&amp;"")</f>
        <v/>
      </c>
      <c r="E287" s="43" t="str">
        <f>IF(tblConteo[[#This Row],[SKU]]="","",INDEX(tblProductos[Ubicación],ROW()-ROW(tblConteo[#Headers]))&amp;"")</f>
        <v/>
      </c>
      <c r="F287" s="43" t="str">
        <f>IF(tblConteo[[#This Row],[SKU]]="","",INDEX(tblProductos[Unidad],ROW()-ROW(tblConteo[#Headers]))&amp;"")</f>
        <v/>
      </c>
      <c r="G287" s="43" t="str">
        <f>IF(tblConteo[[#This Row],[SKU]]="","",IF(INDEX(tblProductos[Activo],ROW()-ROW(tblConteo[#Headers]))="NO","NO","SI"))</f>
        <v/>
      </c>
      <c r="H287" s="54" t="str">
        <f>IF(tblConteo[[#This Row],[SKU]]="","",IFERROR(N(INDEX(tblStock[StockActual],MATCH(tblConteo[[#This Row],[SKU]],tblStock[SKU],0))),0))</f>
        <v/>
      </c>
      <c r="I287" s="53"/>
      <c r="J287" s="60" t="str">
        <f>IF(OR(tblConteo[[#This Row],[SKU]]="",tblConteo[[#This Row],[Conteo]]=""),"",IF(ISNUMBER(tblConteo[[#This Row],[Conteo]]),tblConteo[[#This Row],[Conteo]]-N(tblConteo[[#This Row],[Sistema]]),""))</f>
        <v/>
      </c>
      <c r="K287" s="63" t="str">
        <f>IF(tblConteo[[#This Row],[Diferencia]]="","",tblConteo[[#This Row],[Diferencia]]*N(INDEX(tblProductos[CostoUnitario],ROW()-ROW(tblConteo[#Headers]))))</f>
        <v/>
      </c>
      <c r="L28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8" spans="2:13" x14ac:dyDescent="0.25">
      <c r="B288" s="43" t="str">
        <f>IF(INDEX(tblProductos[SKU],ROW()-ROW(tblConteo[#Headers]))="","",INDEX(tblProductos[SKU],ROW()-ROW(tblConteo[#Headers])))</f>
        <v/>
      </c>
      <c r="C288" s="50" t="str">
        <f>IF(tblConteo[[#This Row],[SKU]]="","",INDEX(tblProductos[Producto],ROW()-ROW(tblConteo[#Headers])))</f>
        <v/>
      </c>
      <c r="D288" s="50" t="str">
        <f>IF(tblConteo[[#This Row],[SKU]]="","",INDEX(tblProductos[Categoría],ROW()-ROW(tblConteo[#Headers]))&amp;"")</f>
        <v/>
      </c>
      <c r="E288" s="43" t="str">
        <f>IF(tblConteo[[#This Row],[SKU]]="","",INDEX(tblProductos[Ubicación],ROW()-ROW(tblConteo[#Headers]))&amp;"")</f>
        <v/>
      </c>
      <c r="F288" s="43" t="str">
        <f>IF(tblConteo[[#This Row],[SKU]]="","",INDEX(tblProductos[Unidad],ROW()-ROW(tblConteo[#Headers]))&amp;"")</f>
        <v/>
      </c>
      <c r="G288" s="43" t="str">
        <f>IF(tblConteo[[#This Row],[SKU]]="","",IF(INDEX(tblProductos[Activo],ROW()-ROW(tblConteo[#Headers]))="NO","NO","SI"))</f>
        <v/>
      </c>
      <c r="H288" s="54" t="str">
        <f>IF(tblConteo[[#This Row],[SKU]]="","",IFERROR(N(INDEX(tblStock[StockActual],MATCH(tblConteo[[#This Row],[SKU]],tblStock[SKU],0))),0))</f>
        <v/>
      </c>
      <c r="I288" s="53"/>
      <c r="J288" s="60" t="str">
        <f>IF(OR(tblConteo[[#This Row],[SKU]]="",tblConteo[[#This Row],[Conteo]]=""),"",IF(ISNUMBER(tblConteo[[#This Row],[Conteo]]),tblConteo[[#This Row],[Conteo]]-N(tblConteo[[#This Row],[Sistema]]),""))</f>
        <v/>
      </c>
      <c r="K288" s="63" t="str">
        <f>IF(tblConteo[[#This Row],[Diferencia]]="","",tblConteo[[#This Row],[Diferencia]]*N(INDEX(tblProductos[CostoUnitario],ROW()-ROW(tblConteo[#Headers]))))</f>
        <v/>
      </c>
      <c r="L28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89" spans="2:13" x14ac:dyDescent="0.25">
      <c r="B289" s="43" t="str">
        <f>IF(INDEX(tblProductos[SKU],ROW()-ROW(tblConteo[#Headers]))="","",INDEX(tblProductos[SKU],ROW()-ROW(tblConteo[#Headers])))</f>
        <v/>
      </c>
      <c r="C289" s="50" t="str">
        <f>IF(tblConteo[[#This Row],[SKU]]="","",INDEX(tblProductos[Producto],ROW()-ROW(tblConteo[#Headers])))</f>
        <v/>
      </c>
      <c r="D289" s="50" t="str">
        <f>IF(tblConteo[[#This Row],[SKU]]="","",INDEX(tblProductos[Categoría],ROW()-ROW(tblConteo[#Headers]))&amp;"")</f>
        <v/>
      </c>
      <c r="E289" s="43" t="str">
        <f>IF(tblConteo[[#This Row],[SKU]]="","",INDEX(tblProductos[Ubicación],ROW()-ROW(tblConteo[#Headers]))&amp;"")</f>
        <v/>
      </c>
      <c r="F289" s="43" t="str">
        <f>IF(tblConteo[[#This Row],[SKU]]="","",INDEX(tblProductos[Unidad],ROW()-ROW(tblConteo[#Headers]))&amp;"")</f>
        <v/>
      </c>
      <c r="G289" s="43" t="str">
        <f>IF(tblConteo[[#This Row],[SKU]]="","",IF(INDEX(tblProductos[Activo],ROW()-ROW(tblConteo[#Headers]))="NO","NO","SI"))</f>
        <v/>
      </c>
      <c r="H289" s="54" t="str">
        <f>IF(tblConteo[[#This Row],[SKU]]="","",IFERROR(N(INDEX(tblStock[StockActual],MATCH(tblConteo[[#This Row],[SKU]],tblStock[SKU],0))),0))</f>
        <v/>
      </c>
      <c r="I289" s="53"/>
      <c r="J289" s="60" t="str">
        <f>IF(OR(tblConteo[[#This Row],[SKU]]="",tblConteo[[#This Row],[Conteo]]=""),"",IF(ISNUMBER(tblConteo[[#This Row],[Conteo]]),tblConteo[[#This Row],[Conteo]]-N(tblConteo[[#This Row],[Sistema]]),""))</f>
        <v/>
      </c>
      <c r="K289" s="63" t="str">
        <f>IF(tblConteo[[#This Row],[Diferencia]]="","",tblConteo[[#This Row],[Diferencia]]*N(INDEX(tblProductos[CostoUnitario],ROW()-ROW(tblConteo[#Headers]))))</f>
        <v/>
      </c>
      <c r="L28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8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0" spans="2:13" x14ac:dyDescent="0.25">
      <c r="B290" s="43" t="str">
        <f>IF(INDEX(tblProductos[SKU],ROW()-ROW(tblConteo[#Headers]))="","",INDEX(tblProductos[SKU],ROW()-ROW(tblConteo[#Headers])))</f>
        <v/>
      </c>
      <c r="C290" s="50" t="str">
        <f>IF(tblConteo[[#This Row],[SKU]]="","",INDEX(tblProductos[Producto],ROW()-ROW(tblConteo[#Headers])))</f>
        <v/>
      </c>
      <c r="D290" s="50" t="str">
        <f>IF(tblConteo[[#This Row],[SKU]]="","",INDEX(tblProductos[Categoría],ROW()-ROW(tblConteo[#Headers]))&amp;"")</f>
        <v/>
      </c>
      <c r="E290" s="43" t="str">
        <f>IF(tblConteo[[#This Row],[SKU]]="","",INDEX(tblProductos[Ubicación],ROW()-ROW(tblConteo[#Headers]))&amp;"")</f>
        <v/>
      </c>
      <c r="F290" s="43" t="str">
        <f>IF(tblConteo[[#This Row],[SKU]]="","",INDEX(tblProductos[Unidad],ROW()-ROW(tblConteo[#Headers]))&amp;"")</f>
        <v/>
      </c>
      <c r="G290" s="43" t="str">
        <f>IF(tblConteo[[#This Row],[SKU]]="","",IF(INDEX(tblProductos[Activo],ROW()-ROW(tblConteo[#Headers]))="NO","NO","SI"))</f>
        <v/>
      </c>
      <c r="H290" s="54" t="str">
        <f>IF(tblConteo[[#This Row],[SKU]]="","",IFERROR(N(INDEX(tblStock[StockActual],MATCH(tblConteo[[#This Row],[SKU]],tblStock[SKU],0))),0))</f>
        <v/>
      </c>
      <c r="I290" s="53"/>
      <c r="J290" s="60" t="str">
        <f>IF(OR(tblConteo[[#This Row],[SKU]]="",tblConteo[[#This Row],[Conteo]]=""),"",IF(ISNUMBER(tblConteo[[#This Row],[Conteo]]),tblConteo[[#This Row],[Conteo]]-N(tblConteo[[#This Row],[Sistema]]),""))</f>
        <v/>
      </c>
      <c r="K290" s="63" t="str">
        <f>IF(tblConteo[[#This Row],[Diferencia]]="","",tblConteo[[#This Row],[Diferencia]]*N(INDEX(tblProductos[CostoUnitario],ROW()-ROW(tblConteo[#Headers]))))</f>
        <v/>
      </c>
      <c r="L29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1" spans="2:13" x14ac:dyDescent="0.25">
      <c r="B291" s="43" t="str">
        <f>IF(INDEX(tblProductos[SKU],ROW()-ROW(tblConteo[#Headers]))="","",INDEX(tblProductos[SKU],ROW()-ROW(tblConteo[#Headers])))</f>
        <v/>
      </c>
      <c r="C291" s="50" t="str">
        <f>IF(tblConteo[[#This Row],[SKU]]="","",INDEX(tblProductos[Producto],ROW()-ROW(tblConteo[#Headers])))</f>
        <v/>
      </c>
      <c r="D291" s="50" t="str">
        <f>IF(tblConteo[[#This Row],[SKU]]="","",INDEX(tblProductos[Categoría],ROW()-ROW(tblConteo[#Headers]))&amp;"")</f>
        <v/>
      </c>
      <c r="E291" s="43" t="str">
        <f>IF(tblConteo[[#This Row],[SKU]]="","",INDEX(tblProductos[Ubicación],ROW()-ROW(tblConteo[#Headers]))&amp;"")</f>
        <v/>
      </c>
      <c r="F291" s="43" t="str">
        <f>IF(tblConteo[[#This Row],[SKU]]="","",INDEX(tblProductos[Unidad],ROW()-ROW(tblConteo[#Headers]))&amp;"")</f>
        <v/>
      </c>
      <c r="G291" s="43" t="str">
        <f>IF(tblConteo[[#This Row],[SKU]]="","",IF(INDEX(tblProductos[Activo],ROW()-ROW(tblConteo[#Headers]))="NO","NO","SI"))</f>
        <v/>
      </c>
      <c r="H291" s="54" t="str">
        <f>IF(tblConteo[[#This Row],[SKU]]="","",IFERROR(N(INDEX(tblStock[StockActual],MATCH(tblConteo[[#This Row],[SKU]],tblStock[SKU],0))),0))</f>
        <v/>
      </c>
      <c r="I291" s="53"/>
      <c r="J291" s="60" t="str">
        <f>IF(OR(tblConteo[[#This Row],[SKU]]="",tblConteo[[#This Row],[Conteo]]=""),"",IF(ISNUMBER(tblConteo[[#This Row],[Conteo]]),tblConteo[[#This Row],[Conteo]]-N(tblConteo[[#This Row],[Sistema]]),""))</f>
        <v/>
      </c>
      <c r="K291" s="63" t="str">
        <f>IF(tblConteo[[#This Row],[Diferencia]]="","",tblConteo[[#This Row],[Diferencia]]*N(INDEX(tblProductos[CostoUnitario],ROW()-ROW(tblConteo[#Headers]))))</f>
        <v/>
      </c>
      <c r="L29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2" spans="2:13" x14ac:dyDescent="0.25">
      <c r="B292" s="43" t="str">
        <f>IF(INDEX(tblProductos[SKU],ROW()-ROW(tblConteo[#Headers]))="","",INDEX(tblProductos[SKU],ROW()-ROW(tblConteo[#Headers])))</f>
        <v/>
      </c>
      <c r="C292" s="50" t="str">
        <f>IF(tblConteo[[#This Row],[SKU]]="","",INDEX(tblProductos[Producto],ROW()-ROW(tblConteo[#Headers])))</f>
        <v/>
      </c>
      <c r="D292" s="50" t="str">
        <f>IF(tblConteo[[#This Row],[SKU]]="","",INDEX(tblProductos[Categoría],ROW()-ROW(tblConteo[#Headers]))&amp;"")</f>
        <v/>
      </c>
      <c r="E292" s="43" t="str">
        <f>IF(tblConteo[[#This Row],[SKU]]="","",INDEX(tblProductos[Ubicación],ROW()-ROW(tblConteo[#Headers]))&amp;"")</f>
        <v/>
      </c>
      <c r="F292" s="43" t="str">
        <f>IF(tblConteo[[#This Row],[SKU]]="","",INDEX(tblProductos[Unidad],ROW()-ROW(tblConteo[#Headers]))&amp;"")</f>
        <v/>
      </c>
      <c r="G292" s="43" t="str">
        <f>IF(tblConteo[[#This Row],[SKU]]="","",IF(INDEX(tblProductos[Activo],ROW()-ROW(tblConteo[#Headers]))="NO","NO","SI"))</f>
        <v/>
      </c>
      <c r="H292" s="54" t="str">
        <f>IF(tblConteo[[#This Row],[SKU]]="","",IFERROR(N(INDEX(tblStock[StockActual],MATCH(tblConteo[[#This Row],[SKU]],tblStock[SKU],0))),0))</f>
        <v/>
      </c>
      <c r="I292" s="53"/>
      <c r="J292" s="60" t="str">
        <f>IF(OR(tblConteo[[#This Row],[SKU]]="",tblConteo[[#This Row],[Conteo]]=""),"",IF(ISNUMBER(tblConteo[[#This Row],[Conteo]]),tblConteo[[#This Row],[Conteo]]-N(tblConteo[[#This Row],[Sistema]]),""))</f>
        <v/>
      </c>
      <c r="K292" s="63" t="str">
        <f>IF(tblConteo[[#This Row],[Diferencia]]="","",tblConteo[[#This Row],[Diferencia]]*N(INDEX(tblProductos[CostoUnitario],ROW()-ROW(tblConteo[#Headers]))))</f>
        <v/>
      </c>
      <c r="L29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3" spans="2:13" x14ac:dyDescent="0.25">
      <c r="B293" s="43" t="str">
        <f>IF(INDEX(tblProductos[SKU],ROW()-ROW(tblConteo[#Headers]))="","",INDEX(tblProductos[SKU],ROW()-ROW(tblConteo[#Headers])))</f>
        <v/>
      </c>
      <c r="C293" s="50" t="str">
        <f>IF(tblConteo[[#This Row],[SKU]]="","",INDEX(tblProductos[Producto],ROW()-ROW(tblConteo[#Headers])))</f>
        <v/>
      </c>
      <c r="D293" s="50" t="str">
        <f>IF(tblConteo[[#This Row],[SKU]]="","",INDEX(tblProductos[Categoría],ROW()-ROW(tblConteo[#Headers]))&amp;"")</f>
        <v/>
      </c>
      <c r="E293" s="43" t="str">
        <f>IF(tblConteo[[#This Row],[SKU]]="","",INDEX(tblProductos[Ubicación],ROW()-ROW(tblConteo[#Headers]))&amp;"")</f>
        <v/>
      </c>
      <c r="F293" s="43" t="str">
        <f>IF(tblConteo[[#This Row],[SKU]]="","",INDEX(tblProductos[Unidad],ROW()-ROW(tblConteo[#Headers]))&amp;"")</f>
        <v/>
      </c>
      <c r="G293" s="43" t="str">
        <f>IF(tblConteo[[#This Row],[SKU]]="","",IF(INDEX(tblProductos[Activo],ROW()-ROW(tblConteo[#Headers]))="NO","NO","SI"))</f>
        <v/>
      </c>
      <c r="H293" s="54" t="str">
        <f>IF(tblConteo[[#This Row],[SKU]]="","",IFERROR(N(INDEX(tblStock[StockActual],MATCH(tblConteo[[#This Row],[SKU]],tblStock[SKU],0))),0))</f>
        <v/>
      </c>
      <c r="I293" s="53"/>
      <c r="J293" s="60" t="str">
        <f>IF(OR(tblConteo[[#This Row],[SKU]]="",tblConteo[[#This Row],[Conteo]]=""),"",IF(ISNUMBER(tblConteo[[#This Row],[Conteo]]),tblConteo[[#This Row],[Conteo]]-N(tblConteo[[#This Row],[Sistema]]),""))</f>
        <v/>
      </c>
      <c r="K293" s="63" t="str">
        <f>IF(tblConteo[[#This Row],[Diferencia]]="","",tblConteo[[#This Row],[Diferencia]]*N(INDEX(tblProductos[CostoUnitario],ROW()-ROW(tblConteo[#Headers]))))</f>
        <v/>
      </c>
      <c r="L29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4" spans="2:13" x14ac:dyDescent="0.25">
      <c r="B294" s="43" t="str">
        <f>IF(INDEX(tblProductos[SKU],ROW()-ROW(tblConteo[#Headers]))="","",INDEX(tblProductos[SKU],ROW()-ROW(tblConteo[#Headers])))</f>
        <v/>
      </c>
      <c r="C294" s="50" t="str">
        <f>IF(tblConteo[[#This Row],[SKU]]="","",INDEX(tblProductos[Producto],ROW()-ROW(tblConteo[#Headers])))</f>
        <v/>
      </c>
      <c r="D294" s="50" t="str">
        <f>IF(tblConteo[[#This Row],[SKU]]="","",INDEX(tblProductos[Categoría],ROW()-ROW(tblConteo[#Headers]))&amp;"")</f>
        <v/>
      </c>
      <c r="E294" s="43" t="str">
        <f>IF(tblConteo[[#This Row],[SKU]]="","",INDEX(tblProductos[Ubicación],ROW()-ROW(tblConteo[#Headers]))&amp;"")</f>
        <v/>
      </c>
      <c r="F294" s="43" t="str">
        <f>IF(tblConteo[[#This Row],[SKU]]="","",INDEX(tblProductos[Unidad],ROW()-ROW(tblConteo[#Headers]))&amp;"")</f>
        <v/>
      </c>
      <c r="G294" s="43" t="str">
        <f>IF(tblConteo[[#This Row],[SKU]]="","",IF(INDEX(tblProductos[Activo],ROW()-ROW(tblConteo[#Headers]))="NO","NO","SI"))</f>
        <v/>
      </c>
      <c r="H294" s="54" t="str">
        <f>IF(tblConteo[[#This Row],[SKU]]="","",IFERROR(N(INDEX(tblStock[StockActual],MATCH(tblConteo[[#This Row],[SKU]],tblStock[SKU],0))),0))</f>
        <v/>
      </c>
      <c r="I294" s="53"/>
      <c r="J294" s="60" t="str">
        <f>IF(OR(tblConteo[[#This Row],[SKU]]="",tblConteo[[#This Row],[Conteo]]=""),"",IF(ISNUMBER(tblConteo[[#This Row],[Conteo]]),tblConteo[[#This Row],[Conteo]]-N(tblConteo[[#This Row],[Sistema]]),""))</f>
        <v/>
      </c>
      <c r="K294" s="63" t="str">
        <f>IF(tblConteo[[#This Row],[Diferencia]]="","",tblConteo[[#This Row],[Diferencia]]*N(INDEX(tblProductos[CostoUnitario],ROW()-ROW(tblConteo[#Headers]))))</f>
        <v/>
      </c>
      <c r="L29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5" spans="2:13" x14ac:dyDescent="0.25">
      <c r="B295" s="43" t="str">
        <f>IF(INDEX(tblProductos[SKU],ROW()-ROW(tblConteo[#Headers]))="","",INDEX(tblProductos[SKU],ROW()-ROW(tblConteo[#Headers])))</f>
        <v/>
      </c>
      <c r="C295" s="50" t="str">
        <f>IF(tblConteo[[#This Row],[SKU]]="","",INDEX(tblProductos[Producto],ROW()-ROW(tblConteo[#Headers])))</f>
        <v/>
      </c>
      <c r="D295" s="50" t="str">
        <f>IF(tblConteo[[#This Row],[SKU]]="","",INDEX(tblProductos[Categoría],ROW()-ROW(tblConteo[#Headers]))&amp;"")</f>
        <v/>
      </c>
      <c r="E295" s="43" t="str">
        <f>IF(tblConteo[[#This Row],[SKU]]="","",INDEX(tblProductos[Ubicación],ROW()-ROW(tblConteo[#Headers]))&amp;"")</f>
        <v/>
      </c>
      <c r="F295" s="43" t="str">
        <f>IF(tblConteo[[#This Row],[SKU]]="","",INDEX(tblProductos[Unidad],ROW()-ROW(tblConteo[#Headers]))&amp;"")</f>
        <v/>
      </c>
      <c r="G295" s="43" t="str">
        <f>IF(tblConteo[[#This Row],[SKU]]="","",IF(INDEX(tblProductos[Activo],ROW()-ROW(tblConteo[#Headers]))="NO","NO","SI"))</f>
        <v/>
      </c>
      <c r="H295" s="54" t="str">
        <f>IF(tblConteo[[#This Row],[SKU]]="","",IFERROR(N(INDEX(tblStock[StockActual],MATCH(tblConteo[[#This Row],[SKU]],tblStock[SKU],0))),0))</f>
        <v/>
      </c>
      <c r="I295" s="53"/>
      <c r="J295" s="60" t="str">
        <f>IF(OR(tblConteo[[#This Row],[SKU]]="",tblConteo[[#This Row],[Conteo]]=""),"",IF(ISNUMBER(tblConteo[[#This Row],[Conteo]]),tblConteo[[#This Row],[Conteo]]-N(tblConteo[[#This Row],[Sistema]]),""))</f>
        <v/>
      </c>
      <c r="K295" s="63" t="str">
        <f>IF(tblConteo[[#This Row],[Diferencia]]="","",tblConteo[[#This Row],[Diferencia]]*N(INDEX(tblProductos[CostoUnitario],ROW()-ROW(tblConteo[#Headers]))))</f>
        <v/>
      </c>
      <c r="L29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6" spans="2:13" x14ac:dyDescent="0.25">
      <c r="B296" s="43" t="str">
        <f>IF(INDEX(tblProductos[SKU],ROW()-ROW(tblConteo[#Headers]))="","",INDEX(tblProductos[SKU],ROW()-ROW(tblConteo[#Headers])))</f>
        <v/>
      </c>
      <c r="C296" s="50" t="str">
        <f>IF(tblConteo[[#This Row],[SKU]]="","",INDEX(tblProductos[Producto],ROW()-ROW(tblConteo[#Headers])))</f>
        <v/>
      </c>
      <c r="D296" s="50" t="str">
        <f>IF(tblConteo[[#This Row],[SKU]]="","",INDEX(tblProductos[Categoría],ROW()-ROW(tblConteo[#Headers]))&amp;"")</f>
        <v/>
      </c>
      <c r="E296" s="43" t="str">
        <f>IF(tblConteo[[#This Row],[SKU]]="","",INDEX(tblProductos[Ubicación],ROW()-ROW(tblConteo[#Headers]))&amp;"")</f>
        <v/>
      </c>
      <c r="F296" s="43" t="str">
        <f>IF(tblConteo[[#This Row],[SKU]]="","",INDEX(tblProductos[Unidad],ROW()-ROW(tblConteo[#Headers]))&amp;"")</f>
        <v/>
      </c>
      <c r="G296" s="43" t="str">
        <f>IF(tblConteo[[#This Row],[SKU]]="","",IF(INDEX(tblProductos[Activo],ROW()-ROW(tblConteo[#Headers]))="NO","NO","SI"))</f>
        <v/>
      </c>
      <c r="H296" s="54" t="str">
        <f>IF(tblConteo[[#This Row],[SKU]]="","",IFERROR(N(INDEX(tblStock[StockActual],MATCH(tblConteo[[#This Row],[SKU]],tblStock[SKU],0))),0))</f>
        <v/>
      </c>
      <c r="I296" s="53"/>
      <c r="J296" s="60" t="str">
        <f>IF(OR(tblConteo[[#This Row],[SKU]]="",tblConteo[[#This Row],[Conteo]]=""),"",IF(ISNUMBER(tblConteo[[#This Row],[Conteo]]),tblConteo[[#This Row],[Conteo]]-N(tblConteo[[#This Row],[Sistema]]),""))</f>
        <v/>
      </c>
      <c r="K296" s="63" t="str">
        <f>IF(tblConteo[[#This Row],[Diferencia]]="","",tblConteo[[#This Row],[Diferencia]]*N(INDEX(tblProductos[CostoUnitario],ROW()-ROW(tblConteo[#Headers]))))</f>
        <v/>
      </c>
      <c r="L29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7" spans="2:13" x14ac:dyDescent="0.25">
      <c r="B297" s="43" t="str">
        <f>IF(INDEX(tblProductos[SKU],ROW()-ROW(tblConteo[#Headers]))="","",INDEX(tblProductos[SKU],ROW()-ROW(tblConteo[#Headers])))</f>
        <v/>
      </c>
      <c r="C297" s="50" t="str">
        <f>IF(tblConteo[[#This Row],[SKU]]="","",INDEX(tblProductos[Producto],ROW()-ROW(tblConteo[#Headers])))</f>
        <v/>
      </c>
      <c r="D297" s="50" t="str">
        <f>IF(tblConteo[[#This Row],[SKU]]="","",INDEX(tblProductos[Categoría],ROW()-ROW(tblConteo[#Headers]))&amp;"")</f>
        <v/>
      </c>
      <c r="E297" s="43" t="str">
        <f>IF(tblConteo[[#This Row],[SKU]]="","",INDEX(tblProductos[Ubicación],ROW()-ROW(tblConteo[#Headers]))&amp;"")</f>
        <v/>
      </c>
      <c r="F297" s="43" t="str">
        <f>IF(tblConteo[[#This Row],[SKU]]="","",INDEX(tblProductos[Unidad],ROW()-ROW(tblConteo[#Headers]))&amp;"")</f>
        <v/>
      </c>
      <c r="G297" s="43" t="str">
        <f>IF(tblConteo[[#This Row],[SKU]]="","",IF(INDEX(tblProductos[Activo],ROW()-ROW(tblConteo[#Headers]))="NO","NO","SI"))</f>
        <v/>
      </c>
      <c r="H297" s="54" t="str">
        <f>IF(tblConteo[[#This Row],[SKU]]="","",IFERROR(N(INDEX(tblStock[StockActual],MATCH(tblConteo[[#This Row],[SKU]],tblStock[SKU],0))),0))</f>
        <v/>
      </c>
      <c r="I297" s="53"/>
      <c r="J297" s="60" t="str">
        <f>IF(OR(tblConteo[[#This Row],[SKU]]="",tblConteo[[#This Row],[Conteo]]=""),"",IF(ISNUMBER(tblConteo[[#This Row],[Conteo]]),tblConteo[[#This Row],[Conteo]]-N(tblConteo[[#This Row],[Sistema]]),""))</f>
        <v/>
      </c>
      <c r="K297" s="63" t="str">
        <f>IF(tblConteo[[#This Row],[Diferencia]]="","",tblConteo[[#This Row],[Diferencia]]*N(INDEX(tblProductos[CostoUnitario],ROW()-ROW(tblConteo[#Headers]))))</f>
        <v/>
      </c>
      <c r="L29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8" spans="2:13" x14ac:dyDescent="0.25">
      <c r="B298" s="43" t="str">
        <f>IF(INDEX(tblProductos[SKU],ROW()-ROW(tblConteo[#Headers]))="","",INDEX(tblProductos[SKU],ROW()-ROW(tblConteo[#Headers])))</f>
        <v/>
      </c>
      <c r="C298" s="50" t="str">
        <f>IF(tblConteo[[#This Row],[SKU]]="","",INDEX(tblProductos[Producto],ROW()-ROW(tblConteo[#Headers])))</f>
        <v/>
      </c>
      <c r="D298" s="50" t="str">
        <f>IF(tblConteo[[#This Row],[SKU]]="","",INDEX(tblProductos[Categoría],ROW()-ROW(tblConteo[#Headers]))&amp;"")</f>
        <v/>
      </c>
      <c r="E298" s="43" t="str">
        <f>IF(tblConteo[[#This Row],[SKU]]="","",INDEX(tblProductos[Ubicación],ROW()-ROW(tblConteo[#Headers]))&amp;"")</f>
        <v/>
      </c>
      <c r="F298" s="43" t="str">
        <f>IF(tblConteo[[#This Row],[SKU]]="","",INDEX(tblProductos[Unidad],ROW()-ROW(tblConteo[#Headers]))&amp;"")</f>
        <v/>
      </c>
      <c r="G298" s="43" t="str">
        <f>IF(tblConteo[[#This Row],[SKU]]="","",IF(INDEX(tblProductos[Activo],ROW()-ROW(tblConteo[#Headers]))="NO","NO","SI"))</f>
        <v/>
      </c>
      <c r="H298" s="54" t="str">
        <f>IF(tblConteo[[#This Row],[SKU]]="","",IFERROR(N(INDEX(tblStock[StockActual],MATCH(tblConteo[[#This Row],[SKU]],tblStock[SKU],0))),0))</f>
        <v/>
      </c>
      <c r="I298" s="53"/>
      <c r="J298" s="60" t="str">
        <f>IF(OR(tblConteo[[#This Row],[SKU]]="",tblConteo[[#This Row],[Conteo]]=""),"",IF(ISNUMBER(tblConteo[[#This Row],[Conteo]]),tblConteo[[#This Row],[Conteo]]-N(tblConteo[[#This Row],[Sistema]]),""))</f>
        <v/>
      </c>
      <c r="K298" s="63" t="str">
        <f>IF(tblConteo[[#This Row],[Diferencia]]="","",tblConteo[[#This Row],[Diferencia]]*N(INDEX(tblProductos[CostoUnitario],ROW()-ROW(tblConteo[#Headers]))))</f>
        <v/>
      </c>
      <c r="L29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299" spans="2:13" x14ac:dyDescent="0.25">
      <c r="B299" s="43" t="str">
        <f>IF(INDEX(tblProductos[SKU],ROW()-ROW(tblConteo[#Headers]))="","",INDEX(tblProductos[SKU],ROW()-ROW(tblConteo[#Headers])))</f>
        <v/>
      </c>
      <c r="C299" s="50" t="str">
        <f>IF(tblConteo[[#This Row],[SKU]]="","",INDEX(tblProductos[Producto],ROW()-ROW(tblConteo[#Headers])))</f>
        <v/>
      </c>
      <c r="D299" s="50" t="str">
        <f>IF(tblConteo[[#This Row],[SKU]]="","",INDEX(tblProductos[Categoría],ROW()-ROW(tblConteo[#Headers]))&amp;"")</f>
        <v/>
      </c>
      <c r="E299" s="43" t="str">
        <f>IF(tblConteo[[#This Row],[SKU]]="","",INDEX(tblProductos[Ubicación],ROW()-ROW(tblConteo[#Headers]))&amp;"")</f>
        <v/>
      </c>
      <c r="F299" s="43" t="str">
        <f>IF(tblConteo[[#This Row],[SKU]]="","",INDEX(tblProductos[Unidad],ROW()-ROW(tblConteo[#Headers]))&amp;"")</f>
        <v/>
      </c>
      <c r="G299" s="43" t="str">
        <f>IF(tblConteo[[#This Row],[SKU]]="","",IF(INDEX(tblProductos[Activo],ROW()-ROW(tblConteo[#Headers]))="NO","NO","SI"))</f>
        <v/>
      </c>
      <c r="H299" s="54" t="str">
        <f>IF(tblConteo[[#This Row],[SKU]]="","",IFERROR(N(INDEX(tblStock[StockActual],MATCH(tblConteo[[#This Row],[SKU]],tblStock[SKU],0))),0))</f>
        <v/>
      </c>
      <c r="I299" s="53"/>
      <c r="J299" s="60" t="str">
        <f>IF(OR(tblConteo[[#This Row],[SKU]]="",tblConteo[[#This Row],[Conteo]]=""),"",IF(ISNUMBER(tblConteo[[#This Row],[Conteo]]),tblConteo[[#This Row],[Conteo]]-N(tblConteo[[#This Row],[Sistema]]),""))</f>
        <v/>
      </c>
      <c r="K299" s="63" t="str">
        <f>IF(tblConteo[[#This Row],[Diferencia]]="","",tblConteo[[#This Row],[Diferencia]]*N(INDEX(tblProductos[CostoUnitario],ROW()-ROW(tblConteo[#Headers]))))</f>
        <v/>
      </c>
      <c r="L29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29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0" spans="2:13" x14ac:dyDescent="0.25">
      <c r="B300" s="43" t="str">
        <f>IF(INDEX(tblProductos[SKU],ROW()-ROW(tblConteo[#Headers]))="","",INDEX(tblProductos[SKU],ROW()-ROW(tblConteo[#Headers])))</f>
        <v/>
      </c>
      <c r="C300" s="50" t="str">
        <f>IF(tblConteo[[#This Row],[SKU]]="","",INDEX(tblProductos[Producto],ROW()-ROW(tblConteo[#Headers])))</f>
        <v/>
      </c>
      <c r="D300" s="50" t="str">
        <f>IF(tblConteo[[#This Row],[SKU]]="","",INDEX(tblProductos[Categoría],ROW()-ROW(tblConteo[#Headers]))&amp;"")</f>
        <v/>
      </c>
      <c r="E300" s="43" t="str">
        <f>IF(tblConteo[[#This Row],[SKU]]="","",INDEX(tblProductos[Ubicación],ROW()-ROW(tblConteo[#Headers]))&amp;"")</f>
        <v/>
      </c>
      <c r="F300" s="43" t="str">
        <f>IF(tblConteo[[#This Row],[SKU]]="","",INDEX(tblProductos[Unidad],ROW()-ROW(tblConteo[#Headers]))&amp;"")</f>
        <v/>
      </c>
      <c r="G300" s="43" t="str">
        <f>IF(tblConteo[[#This Row],[SKU]]="","",IF(INDEX(tblProductos[Activo],ROW()-ROW(tblConteo[#Headers]))="NO","NO","SI"))</f>
        <v/>
      </c>
      <c r="H300" s="54" t="str">
        <f>IF(tblConteo[[#This Row],[SKU]]="","",IFERROR(N(INDEX(tblStock[StockActual],MATCH(tblConteo[[#This Row],[SKU]],tblStock[SKU],0))),0))</f>
        <v/>
      </c>
      <c r="I300" s="53"/>
      <c r="J300" s="60" t="str">
        <f>IF(OR(tblConteo[[#This Row],[SKU]]="",tblConteo[[#This Row],[Conteo]]=""),"",IF(ISNUMBER(tblConteo[[#This Row],[Conteo]]),tblConteo[[#This Row],[Conteo]]-N(tblConteo[[#This Row],[Sistema]]),""))</f>
        <v/>
      </c>
      <c r="K300" s="63" t="str">
        <f>IF(tblConteo[[#This Row],[Diferencia]]="","",tblConteo[[#This Row],[Diferencia]]*N(INDEX(tblProductos[CostoUnitario],ROW()-ROW(tblConteo[#Headers]))))</f>
        <v/>
      </c>
      <c r="L30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1" spans="2:13" x14ac:dyDescent="0.25">
      <c r="B301" s="43" t="str">
        <f>IF(INDEX(tblProductos[SKU],ROW()-ROW(tblConteo[#Headers]))="","",INDEX(tblProductos[SKU],ROW()-ROW(tblConteo[#Headers])))</f>
        <v/>
      </c>
      <c r="C301" s="50" t="str">
        <f>IF(tblConteo[[#This Row],[SKU]]="","",INDEX(tblProductos[Producto],ROW()-ROW(tblConteo[#Headers])))</f>
        <v/>
      </c>
      <c r="D301" s="50" t="str">
        <f>IF(tblConteo[[#This Row],[SKU]]="","",INDEX(tblProductos[Categoría],ROW()-ROW(tblConteo[#Headers]))&amp;"")</f>
        <v/>
      </c>
      <c r="E301" s="43" t="str">
        <f>IF(tblConteo[[#This Row],[SKU]]="","",INDEX(tblProductos[Ubicación],ROW()-ROW(tblConteo[#Headers]))&amp;"")</f>
        <v/>
      </c>
      <c r="F301" s="43" t="str">
        <f>IF(tblConteo[[#This Row],[SKU]]="","",INDEX(tblProductos[Unidad],ROW()-ROW(tblConteo[#Headers]))&amp;"")</f>
        <v/>
      </c>
      <c r="G301" s="43" t="str">
        <f>IF(tblConteo[[#This Row],[SKU]]="","",IF(INDEX(tblProductos[Activo],ROW()-ROW(tblConteo[#Headers]))="NO","NO","SI"))</f>
        <v/>
      </c>
      <c r="H301" s="54" t="str">
        <f>IF(tblConteo[[#This Row],[SKU]]="","",IFERROR(N(INDEX(tblStock[StockActual],MATCH(tblConteo[[#This Row],[SKU]],tblStock[SKU],0))),0))</f>
        <v/>
      </c>
      <c r="I301" s="53"/>
      <c r="J301" s="60" t="str">
        <f>IF(OR(tblConteo[[#This Row],[SKU]]="",tblConteo[[#This Row],[Conteo]]=""),"",IF(ISNUMBER(tblConteo[[#This Row],[Conteo]]),tblConteo[[#This Row],[Conteo]]-N(tblConteo[[#This Row],[Sistema]]),""))</f>
        <v/>
      </c>
      <c r="K301" s="63" t="str">
        <f>IF(tblConteo[[#This Row],[Diferencia]]="","",tblConteo[[#This Row],[Diferencia]]*N(INDEX(tblProductos[CostoUnitario],ROW()-ROW(tblConteo[#Headers]))))</f>
        <v/>
      </c>
      <c r="L30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2" spans="2:13" x14ac:dyDescent="0.25">
      <c r="B302" s="43" t="str">
        <f>IF(INDEX(tblProductos[SKU],ROW()-ROW(tblConteo[#Headers]))="","",INDEX(tblProductos[SKU],ROW()-ROW(tblConteo[#Headers])))</f>
        <v/>
      </c>
      <c r="C302" s="50" t="str">
        <f>IF(tblConteo[[#This Row],[SKU]]="","",INDEX(tblProductos[Producto],ROW()-ROW(tblConteo[#Headers])))</f>
        <v/>
      </c>
      <c r="D302" s="50" t="str">
        <f>IF(tblConteo[[#This Row],[SKU]]="","",INDEX(tblProductos[Categoría],ROW()-ROW(tblConteo[#Headers]))&amp;"")</f>
        <v/>
      </c>
      <c r="E302" s="43" t="str">
        <f>IF(tblConteo[[#This Row],[SKU]]="","",INDEX(tblProductos[Ubicación],ROW()-ROW(tblConteo[#Headers]))&amp;"")</f>
        <v/>
      </c>
      <c r="F302" s="43" t="str">
        <f>IF(tblConteo[[#This Row],[SKU]]="","",INDEX(tblProductos[Unidad],ROW()-ROW(tblConteo[#Headers]))&amp;"")</f>
        <v/>
      </c>
      <c r="G302" s="43" t="str">
        <f>IF(tblConteo[[#This Row],[SKU]]="","",IF(INDEX(tblProductos[Activo],ROW()-ROW(tblConteo[#Headers]))="NO","NO","SI"))</f>
        <v/>
      </c>
      <c r="H302" s="54" t="str">
        <f>IF(tblConteo[[#This Row],[SKU]]="","",IFERROR(N(INDEX(tblStock[StockActual],MATCH(tblConteo[[#This Row],[SKU]],tblStock[SKU],0))),0))</f>
        <v/>
      </c>
      <c r="I302" s="53"/>
      <c r="J302" s="60" t="str">
        <f>IF(OR(tblConteo[[#This Row],[SKU]]="",tblConteo[[#This Row],[Conteo]]=""),"",IF(ISNUMBER(tblConteo[[#This Row],[Conteo]]),tblConteo[[#This Row],[Conteo]]-N(tblConteo[[#This Row],[Sistema]]),""))</f>
        <v/>
      </c>
      <c r="K302" s="63" t="str">
        <f>IF(tblConteo[[#This Row],[Diferencia]]="","",tblConteo[[#This Row],[Diferencia]]*N(INDEX(tblProductos[CostoUnitario],ROW()-ROW(tblConteo[#Headers]))))</f>
        <v/>
      </c>
      <c r="L30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3" spans="2:13" x14ac:dyDescent="0.25">
      <c r="B303" s="43" t="str">
        <f>IF(INDEX(tblProductos[SKU],ROW()-ROW(tblConteo[#Headers]))="","",INDEX(tblProductos[SKU],ROW()-ROW(tblConteo[#Headers])))</f>
        <v/>
      </c>
      <c r="C303" s="50" t="str">
        <f>IF(tblConteo[[#This Row],[SKU]]="","",INDEX(tblProductos[Producto],ROW()-ROW(tblConteo[#Headers])))</f>
        <v/>
      </c>
      <c r="D303" s="50" t="str">
        <f>IF(tblConteo[[#This Row],[SKU]]="","",INDEX(tblProductos[Categoría],ROW()-ROW(tblConteo[#Headers]))&amp;"")</f>
        <v/>
      </c>
      <c r="E303" s="43" t="str">
        <f>IF(tblConteo[[#This Row],[SKU]]="","",INDEX(tblProductos[Ubicación],ROW()-ROW(tblConteo[#Headers]))&amp;"")</f>
        <v/>
      </c>
      <c r="F303" s="43" t="str">
        <f>IF(tblConteo[[#This Row],[SKU]]="","",INDEX(tblProductos[Unidad],ROW()-ROW(tblConteo[#Headers]))&amp;"")</f>
        <v/>
      </c>
      <c r="G303" s="43" t="str">
        <f>IF(tblConteo[[#This Row],[SKU]]="","",IF(INDEX(tblProductos[Activo],ROW()-ROW(tblConteo[#Headers]))="NO","NO","SI"))</f>
        <v/>
      </c>
      <c r="H303" s="54" t="str">
        <f>IF(tblConteo[[#This Row],[SKU]]="","",IFERROR(N(INDEX(tblStock[StockActual],MATCH(tblConteo[[#This Row],[SKU]],tblStock[SKU],0))),0))</f>
        <v/>
      </c>
      <c r="I303" s="53"/>
      <c r="J303" s="60" t="str">
        <f>IF(OR(tblConteo[[#This Row],[SKU]]="",tblConteo[[#This Row],[Conteo]]=""),"",IF(ISNUMBER(tblConteo[[#This Row],[Conteo]]),tblConteo[[#This Row],[Conteo]]-N(tblConteo[[#This Row],[Sistema]]),""))</f>
        <v/>
      </c>
      <c r="K303" s="63" t="str">
        <f>IF(tblConteo[[#This Row],[Diferencia]]="","",tblConteo[[#This Row],[Diferencia]]*N(INDEX(tblProductos[CostoUnitario],ROW()-ROW(tblConteo[#Headers]))))</f>
        <v/>
      </c>
      <c r="L30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4" spans="2:13" x14ac:dyDescent="0.25">
      <c r="B304" s="43" t="str">
        <f>IF(INDEX(tblProductos[SKU],ROW()-ROW(tblConteo[#Headers]))="","",INDEX(tblProductos[SKU],ROW()-ROW(tblConteo[#Headers])))</f>
        <v/>
      </c>
      <c r="C304" s="50" t="str">
        <f>IF(tblConteo[[#This Row],[SKU]]="","",INDEX(tblProductos[Producto],ROW()-ROW(tblConteo[#Headers])))</f>
        <v/>
      </c>
      <c r="D304" s="50" t="str">
        <f>IF(tblConteo[[#This Row],[SKU]]="","",INDEX(tblProductos[Categoría],ROW()-ROW(tblConteo[#Headers]))&amp;"")</f>
        <v/>
      </c>
      <c r="E304" s="43" t="str">
        <f>IF(tblConteo[[#This Row],[SKU]]="","",INDEX(tblProductos[Ubicación],ROW()-ROW(tblConteo[#Headers]))&amp;"")</f>
        <v/>
      </c>
      <c r="F304" s="43" t="str">
        <f>IF(tblConteo[[#This Row],[SKU]]="","",INDEX(tblProductos[Unidad],ROW()-ROW(tblConteo[#Headers]))&amp;"")</f>
        <v/>
      </c>
      <c r="G304" s="43" t="str">
        <f>IF(tblConteo[[#This Row],[SKU]]="","",IF(INDEX(tblProductos[Activo],ROW()-ROW(tblConteo[#Headers]))="NO","NO","SI"))</f>
        <v/>
      </c>
      <c r="H304" s="54" t="str">
        <f>IF(tblConteo[[#This Row],[SKU]]="","",IFERROR(N(INDEX(tblStock[StockActual],MATCH(tblConteo[[#This Row],[SKU]],tblStock[SKU],0))),0))</f>
        <v/>
      </c>
      <c r="I304" s="53"/>
      <c r="J304" s="60" t="str">
        <f>IF(OR(tblConteo[[#This Row],[SKU]]="",tblConteo[[#This Row],[Conteo]]=""),"",IF(ISNUMBER(tblConteo[[#This Row],[Conteo]]),tblConteo[[#This Row],[Conteo]]-N(tblConteo[[#This Row],[Sistema]]),""))</f>
        <v/>
      </c>
      <c r="K304" s="63" t="str">
        <f>IF(tblConteo[[#This Row],[Diferencia]]="","",tblConteo[[#This Row],[Diferencia]]*N(INDEX(tblProductos[CostoUnitario],ROW()-ROW(tblConteo[#Headers]))))</f>
        <v/>
      </c>
      <c r="L30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5" spans="2:13" x14ac:dyDescent="0.25">
      <c r="B305" s="43" t="str">
        <f>IF(INDEX(tblProductos[SKU],ROW()-ROW(tblConteo[#Headers]))="","",INDEX(tblProductos[SKU],ROW()-ROW(tblConteo[#Headers])))</f>
        <v/>
      </c>
      <c r="C305" s="50" t="str">
        <f>IF(tblConteo[[#This Row],[SKU]]="","",INDEX(tblProductos[Producto],ROW()-ROW(tblConteo[#Headers])))</f>
        <v/>
      </c>
      <c r="D305" s="50" t="str">
        <f>IF(tblConteo[[#This Row],[SKU]]="","",INDEX(tblProductos[Categoría],ROW()-ROW(tblConteo[#Headers]))&amp;"")</f>
        <v/>
      </c>
      <c r="E305" s="43" t="str">
        <f>IF(tblConteo[[#This Row],[SKU]]="","",INDEX(tblProductos[Ubicación],ROW()-ROW(tblConteo[#Headers]))&amp;"")</f>
        <v/>
      </c>
      <c r="F305" s="43" t="str">
        <f>IF(tblConteo[[#This Row],[SKU]]="","",INDEX(tblProductos[Unidad],ROW()-ROW(tblConteo[#Headers]))&amp;"")</f>
        <v/>
      </c>
      <c r="G305" s="43" t="str">
        <f>IF(tblConteo[[#This Row],[SKU]]="","",IF(INDEX(tblProductos[Activo],ROW()-ROW(tblConteo[#Headers]))="NO","NO","SI"))</f>
        <v/>
      </c>
      <c r="H305" s="54" t="str">
        <f>IF(tblConteo[[#This Row],[SKU]]="","",IFERROR(N(INDEX(tblStock[StockActual],MATCH(tblConteo[[#This Row],[SKU]],tblStock[SKU],0))),0))</f>
        <v/>
      </c>
      <c r="I305" s="53"/>
      <c r="J305" s="60" t="str">
        <f>IF(OR(tblConteo[[#This Row],[SKU]]="",tblConteo[[#This Row],[Conteo]]=""),"",IF(ISNUMBER(tblConteo[[#This Row],[Conteo]]),tblConteo[[#This Row],[Conteo]]-N(tblConteo[[#This Row],[Sistema]]),""))</f>
        <v/>
      </c>
      <c r="K305" s="63" t="str">
        <f>IF(tblConteo[[#This Row],[Diferencia]]="","",tblConteo[[#This Row],[Diferencia]]*N(INDEX(tblProductos[CostoUnitario],ROW()-ROW(tblConteo[#Headers]))))</f>
        <v/>
      </c>
      <c r="L30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6" spans="2:13" x14ac:dyDescent="0.25">
      <c r="B306" s="43" t="str">
        <f>IF(INDEX(tblProductos[SKU],ROW()-ROW(tblConteo[#Headers]))="","",INDEX(tblProductos[SKU],ROW()-ROW(tblConteo[#Headers])))</f>
        <v/>
      </c>
      <c r="C306" s="50" t="str">
        <f>IF(tblConteo[[#This Row],[SKU]]="","",INDEX(tblProductos[Producto],ROW()-ROW(tblConteo[#Headers])))</f>
        <v/>
      </c>
      <c r="D306" s="50" t="str">
        <f>IF(tblConteo[[#This Row],[SKU]]="","",INDEX(tblProductos[Categoría],ROW()-ROW(tblConteo[#Headers]))&amp;"")</f>
        <v/>
      </c>
      <c r="E306" s="43" t="str">
        <f>IF(tblConteo[[#This Row],[SKU]]="","",INDEX(tblProductos[Ubicación],ROW()-ROW(tblConteo[#Headers]))&amp;"")</f>
        <v/>
      </c>
      <c r="F306" s="43" t="str">
        <f>IF(tblConteo[[#This Row],[SKU]]="","",INDEX(tblProductos[Unidad],ROW()-ROW(tblConteo[#Headers]))&amp;"")</f>
        <v/>
      </c>
      <c r="G306" s="43" t="str">
        <f>IF(tblConteo[[#This Row],[SKU]]="","",IF(INDEX(tblProductos[Activo],ROW()-ROW(tblConteo[#Headers]))="NO","NO","SI"))</f>
        <v/>
      </c>
      <c r="H306" s="54" t="str">
        <f>IF(tblConteo[[#This Row],[SKU]]="","",IFERROR(N(INDEX(tblStock[StockActual],MATCH(tblConteo[[#This Row],[SKU]],tblStock[SKU],0))),0))</f>
        <v/>
      </c>
      <c r="I306" s="53"/>
      <c r="J306" s="60" t="str">
        <f>IF(OR(tblConteo[[#This Row],[SKU]]="",tblConteo[[#This Row],[Conteo]]=""),"",IF(ISNUMBER(tblConteo[[#This Row],[Conteo]]),tblConteo[[#This Row],[Conteo]]-N(tblConteo[[#This Row],[Sistema]]),""))</f>
        <v/>
      </c>
      <c r="K306" s="63" t="str">
        <f>IF(tblConteo[[#This Row],[Diferencia]]="","",tblConteo[[#This Row],[Diferencia]]*N(INDEX(tblProductos[CostoUnitario],ROW()-ROW(tblConteo[#Headers]))))</f>
        <v/>
      </c>
      <c r="L30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7" spans="2:13" x14ac:dyDescent="0.25">
      <c r="B307" s="43" t="str">
        <f>IF(INDEX(tblProductos[SKU],ROW()-ROW(tblConteo[#Headers]))="","",INDEX(tblProductos[SKU],ROW()-ROW(tblConteo[#Headers])))</f>
        <v/>
      </c>
      <c r="C307" s="50" t="str">
        <f>IF(tblConteo[[#This Row],[SKU]]="","",INDEX(tblProductos[Producto],ROW()-ROW(tblConteo[#Headers])))</f>
        <v/>
      </c>
      <c r="D307" s="50" t="str">
        <f>IF(tblConteo[[#This Row],[SKU]]="","",INDEX(tblProductos[Categoría],ROW()-ROW(tblConteo[#Headers]))&amp;"")</f>
        <v/>
      </c>
      <c r="E307" s="43" t="str">
        <f>IF(tblConteo[[#This Row],[SKU]]="","",INDEX(tblProductos[Ubicación],ROW()-ROW(tblConteo[#Headers]))&amp;"")</f>
        <v/>
      </c>
      <c r="F307" s="43" t="str">
        <f>IF(tblConteo[[#This Row],[SKU]]="","",INDEX(tblProductos[Unidad],ROW()-ROW(tblConteo[#Headers]))&amp;"")</f>
        <v/>
      </c>
      <c r="G307" s="43" t="str">
        <f>IF(tblConteo[[#This Row],[SKU]]="","",IF(INDEX(tblProductos[Activo],ROW()-ROW(tblConteo[#Headers]))="NO","NO","SI"))</f>
        <v/>
      </c>
      <c r="H307" s="54" t="str">
        <f>IF(tblConteo[[#This Row],[SKU]]="","",IFERROR(N(INDEX(tblStock[StockActual],MATCH(tblConteo[[#This Row],[SKU]],tblStock[SKU],0))),0))</f>
        <v/>
      </c>
      <c r="I307" s="53"/>
      <c r="J307" s="60" t="str">
        <f>IF(OR(tblConteo[[#This Row],[SKU]]="",tblConteo[[#This Row],[Conteo]]=""),"",IF(ISNUMBER(tblConteo[[#This Row],[Conteo]]),tblConteo[[#This Row],[Conteo]]-N(tblConteo[[#This Row],[Sistema]]),""))</f>
        <v/>
      </c>
      <c r="K307" s="63" t="str">
        <f>IF(tblConteo[[#This Row],[Diferencia]]="","",tblConteo[[#This Row],[Diferencia]]*N(INDEX(tblProductos[CostoUnitario],ROW()-ROW(tblConteo[#Headers]))))</f>
        <v/>
      </c>
      <c r="L30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8" spans="2:13" x14ac:dyDescent="0.25">
      <c r="B308" s="43" t="str">
        <f>IF(INDEX(tblProductos[SKU],ROW()-ROW(tblConteo[#Headers]))="","",INDEX(tblProductos[SKU],ROW()-ROW(tblConteo[#Headers])))</f>
        <v/>
      </c>
      <c r="C308" s="50" t="str">
        <f>IF(tblConteo[[#This Row],[SKU]]="","",INDEX(tblProductos[Producto],ROW()-ROW(tblConteo[#Headers])))</f>
        <v/>
      </c>
      <c r="D308" s="50" t="str">
        <f>IF(tblConteo[[#This Row],[SKU]]="","",INDEX(tblProductos[Categoría],ROW()-ROW(tblConteo[#Headers]))&amp;"")</f>
        <v/>
      </c>
      <c r="E308" s="43" t="str">
        <f>IF(tblConteo[[#This Row],[SKU]]="","",INDEX(tblProductos[Ubicación],ROW()-ROW(tblConteo[#Headers]))&amp;"")</f>
        <v/>
      </c>
      <c r="F308" s="43" t="str">
        <f>IF(tblConteo[[#This Row],[SKU]]="","",INDEX(tblProductos[Unidad],ROW()-ROW(tblConteo[#Headers]))&amp;"")</f>
        <v/>
      </c>
      <c r="G308" s="43" t="str">
        <f>IF(tblConteo[[#This Row],[SKU]]="","",IF(INDEX(tblProductos[Activo],ROW()-ROW(tblConteo[#Headers]))="NO","NO","SI"))</f>
        <v/>
      </c>
      <c r="H308" s="54" t="str">
        <f>IF(tblConteo[[#This Row],[SKU]]="","",IFERROR(N(INDEX(tblStock[StockActual],MATCH(tblConteo[[#This Row],[SKU]],tblStock[SKU],0))),0))</f>
        <v/>
      </c>
      <c r="I308" s="53"/>
      <c r="J308" s="60" t="str">
        <f>IF(OR(tblConteo[[#This Row],[SKU]]="",tblConteo[[#This Row],[Conteo]]=""),"",IF(ISNUMBER(tblConteo[[#This Row],[Conteo]]),tblConteo[[#This Row],[Conteo]]-N(tblConteo[[#This Row],[Sistema]]),""))</f>
        <v/>
      </c>
      <c r="K308" s="63" t="str">
        <f>IF(tblConteo[[#This Row],[Diferencia]]="","",tblConteo[[#This Row],[Diferencia]]*N(INDEX(tblProductos[CostoUnitario],ROW()-ROW(tblConteo[#Headers]))))</f>
        <v/>
      </c>
      <c r="L30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09" spans="2:13" x14ac:dyDescent="0.25">
      <c r="B309" s="43" t="str">
        <f>IF(INDEX(tblProductos[SKU],ROW()-ROW(tblConteo[#Headers]))="","",INDEX(tblProductos[SKU],ROW()-ROW(tblConteo[#Headers])))</f>
        <v/>
      </c>
      <c r="C309" s="50" t="str">
        <f>IF(tblConteo[[#This Row],[SKU]]="","",INDEX(tblProductos[Producto],ROW()-ROW(tblConteo[#Headers])))</f>
        <v/>
      </c>
      <c r="D309" s="50" t="str">
        <f>IF(tblConteo[[#This Row],[SKU]]="","",INDEX(tblProductos[Categoría],ROW()-ROW(tblConteo[#Headers]))&amp;"")</f>
        <v/>
      </c>
      <c r="E309" s="43" t="str">
        <f>IF(tblConteo[[#This Row],[SKU]]="","",INDEX(tblProductos[Ubicación],ROW()-ROW(tblConteo[#Headers]))&amp;"")</f>
        <v/>
      </c>
      <c r="F309" s="43" t="str">
        <f>IF(tblConteo[[#This Row],[SKU]]="","",INDEX(tblProductos[Unidad],ROW()-ROW(tblConteo[#Headers]))&amp;"")</f>
        <v/>
      </c>
      <c r="G309" s="43" t="str">
        <f>IF(tblConteo[[#This Row],[SKU]]="","",IF(INDEX(tblProductos[Activo],ROW()-ROW(tblConteo[#Headers]))="NO","NO","SI"))</f>
        <v/>
      </c>
      <c r="H309" s="54" t="str">
        <f>IF(tblConteo[[#This Row],[SKU]]="","",IFERROR(N(INDEX(tblStock[StockActual],MATCH(tblConteo[[#This Row],[SKU]],tblStock[SKU],0))),0))</f>
        <v/>
      </c>
      <c r="I309" s="53"/>
      <c r="J309" s="60" t="str">
        <f>IF(OR(tblConteo[[#This Row],[SKU]]="",tblConteo[[#This Row],[Conteo]]=""),"",IF(ISNUMBER(tblConteo[[#This Row],[Conteo]]),tblConteo[[#This Row],[Conteo]]-N(tblConteo[[#This Row],[Sistema]]),""))</f>
        <v/>
      </c>
      <c r="K309" s="63" t="str">
        <f>IF(tblConteo[[#This Row],[Diferencia]]="","",tblConteo[[#This Row],[Diferencia]]*N(INDEX(tblProductos[CostoUnitario],ROW()-ROW(tblConteo[#Headers]))))</f>
        <v/>
      </c>
      <c r="L30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0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0" spans="2:13" x14ac:dyDescent="0.25">
      <c r="B310" s="43" t="str">
        <f>IF(INDEX(tblProductos[SKU],ROW()-ROW(tblConteo[#Headers]))="","",INDEX(tblProductos[SKU],ROW()-ROW(tblConteo[#Headers])))</f>
        <v/>
      </c>
      <c r="C310" s="50" t="str">
        <f>IF(tblConteo[[#This Row],[SKU]]="","",INDEX(tblProductos[Producto],ROW()-ROW(tblConteo[#Headers])))</f>
        <v/>
      </c>
      <c r="D310" s="50" t="str">
        <f>IF(tblConteo[[#This Row],[SKU]]="","",INDEX(tblProductos[Categoría],ROW()-ROW(tblConteo[#Headers]))&amp;"")</f>
        <v/>
      </c>
      <c r="E310" s="43" t="str">
        <f>IF(tblConteo[[#This Row],[SKU]]="","",INDEX(tblProductos[Ubicación],ROW()-ROW(tblConteo[#Headers]))&amp;"")</f>
        <v/>
      </c>
      <c r="F310" s="43" t="str">
        <f>IF(tblConteo[[#This Row],[SKU]]="","",INDEX(tblProductos[Unidad],ROW()-ROW(tblConteo[#Headers]))&amp;"")</f>
        <v/>
      </c>
      <c r="G310" s="43" t="str">
        <f>IF(tblConteo[[#This Row],[SKU]]="","",IF(INDEX(tblProductos[Activo],ROW()-ROW(tblConteo[#Headers]))="NO","NO","SI"))</f>
        <v/>
      </c>
      <c r="H310" s="54" t="str">
        <f>IF(tblConteo[[#This Row],[SKU]]="","",IFERROR(N(INDEX(tblStock[StockActual],MATCH(tblConteo[[#This Row],[SKU]],tblStock[SKU],0))),0))</f>
        <v/>
      </c>
      <c r="I310" s="53"/>
      <c r="J310" s="60" t="str">
        <f>IF(OR(tblConteo[[#This Row],[SKU]]="",tblConteo[[#This Row],[Conteo]]=""),"",IF(ISNUMBER(tblConteo[[#This Row],[Conteo]]),tblConteo[[#This Row],[Conteo]]-N(tblConteo[[#This Row],[Sistema]]),""))</f>
        <v/>
      </c>
      <c r="K310" s="63" t="str">
        <f>IF(tblConteo[[#This Row],[Diferencia]]="","",tblConteo[[#This Row],[Diferencia]]*N(INDEX(tblProductos[CostoUnitario],ROW()-ROW(tblConteo[#Headers]))))</f>
        <v/>
      </c>
      <c r="L31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1" spans="2:13" x14ac:dyDescent="0.25">
      <c r="B311" s="43" t="str">
        <f>IF(INDEX(tblProductos[SKU],ROW()-ROW(tblConteo[#Headers]))="","",INDEX(tblProductos[SKU],ROW()-ROW(tblConteo[#Headers])))</f>
        <v/>
      </c>
      <c r="C311" s="50" t="str">
        <f>IF(tblConteo[[#This Row],[SKU]]="","",INDEX(tblProductos[Producto],ROW()-ROW(tblConteo[#Headers])))</f>
        <v/>
      </c>
      <c r="D311" s="50" t="str">
        <f>IF(tblConteo[[#This Row],[SKU]]="","",INDEX(tblProductos[Categoría],ROW()-ROW(tblConteo[#Headers]))&amp;"")</f>
        <v/>
      </c>
      <c r="E311" s="43" t="str">
        <f>IF(tblConteo[[#This Row],[SKU]]="","",INDEX(tblProductos[Ubicación],ROW()-ROW(tblConteo[#Headers]))&amp;"")</f>
        <v/>
      </c>
      <c r="F311" s="43" t="str">
        <f>IF(tblConteo[[#This Row],[SKU]]="","",INDEX(tblProductos[Unidad],ROW()-ROW(tblConteo[#Headers]))&amp;"")</f>
        <v/>
      </c>
      <c r="G311" s="43" t="str">
        <f>IF(tblConteo[[#This Row],[SKU]]="","",IF(INDEX(tblProductos[Activo],ROW()-ROW(tblConteo[#Headers]))="NO","NO","SI"))</f>
        <v/>
      </c>
      <c r="H311" s="54" t="str">
        <f>IF(tblConteo[[#This Row],[SKU]]="","",IFERROR(N(INDEX(tblStock[StockActual],MATCH(tblConteo[[#This Row],[SKU]],tblStock[SKU],0))),0))</f>
        <v/>
      </c>
      <c r="I311" s="53"/>
      <c r="J311" s="60" t="str">
        <f>IF(OR(tblConteo[[#This Row],[SKU]]="",tblConteo[[#This Row],[Conteo]]=""),"",IF(ISNUMBER(tblConteo[[#This Row],[Conteo]]),tblConteo[[#This Row],[Conteo]]-N(tblConteo[[#This Row],[Sistema]]),""))</f>
        <v/>
      </c>
      <c r="K311" s="63" t="str">
        <f>IF(tblConteo[[#This Row],[Diferencia]]="","",tblConteo[[#This Row],[Diferencia]]*N(INDEX(tblProductos[CostoUnitario],ROW()-ROW(tblConteo[#Headers]))))</f>
        <v/>
      </c>
      <c r="L31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2" spans="2:13" x14ac:dyDescent="0.25">
      <c r="B312" s="43" t="str">
        <f>IF(INDEX(tblProductos[SKU],ROW()-ROW(tblConteo[#Headers]))="","",INDEX(tblProductos[SKU],ROW()-ROW(tblConteo[#Headers])))</f>
        <v/>
      </c>
      <c r="C312" s="50" t="str">
        <f>IF(tblConteo[[#This Row],[SKU]]="","",INDEX(tblProductos[Producto],ROW()-ROW(tblConteo[#Headers])))</f>
        <v/>
      </c>
      <c r="D312" s="50" t="str">
        <f>IF(tblConteo[[#This Row],[SKU]]="","",INDEX(tblProductos[Categoría],ROW()-ROW(tblConteo[#Headers]))&amp;"")</f>
        <v/>
      </c>
      <c r="E312" s="43" t="str">
        <f>IF(tblConteo[[#This Row],[SKU]]="","",INDEX(tblProductos[Ubicación],ROW()-ROW(tblConteo[#Headers]))&amp;"")</f>
        <v/>
      </c>
      <c r="F312" s="43" t="str">
        <f>IF(tblConteo[[#This Row],[SKU]]="","",INDEX(tblProductos[Unidad],ROW()-ROW(tblConteo[#Headers]))&amp;"")</f>
        <v/>
      </c>
      <c r="G312" s="43" t="str">
        <f>IF(tblConteo[[#This Row],[SKU]]="","",IF(INDEX(tblProductos[Activo],ROW()-ROW(tblConteo[#Headers]))="NO","NO","SI"))</f>
        <v/>
      </c>
      <c r="H312" s="54" t="str">
        <f>IF(tblConteo[[#This Row],[SKU]]="","",IFERROR(N(INDEX(tblStock[StockActual],MATCH(tblConteo[[#This Row],[SKU]],tblStock[SKU],0))),0))</f>
        <v/>
      </c>
      <c r="I312" s="53"/>
      <c r="J312" s="60" t="str">
        <f>IF(OR(tblConteo[[#This Row],[SKU]]="",tblConteo[[#This Row],[Conteo]]=""),"",IF(ISNUMBER(tblConteo[[#This Row],[Conteo]]),tblConteo[[#This Row],[Conteo]]-N(tblConteo[[#This Row],[Sistema]]),""))</f>
        <v/>
      </c>
      <c r="K312" s="63" t="str">
        <f>IF(tblConteo[[#This Row],[Diferencia]]="","",tblConteo[[#This Row],[Diferencia]]*N(INDEX(tblProductos[CostoUnitario],ROW()-ROW(tblConteo[#Headers]))))</f>
        <v/>
      </c>
      <c r="L31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3" spans="2:13" x14ac:dyDescent="0.25">
      <c r="B313" s="43" t="str">
        <f>IF(INDEX(tblProductos[SKU],ROW()-ROW(tblConteo[#Headers]))="","",INDEX(tblProductos[SKU],ROW()-ROW(tblConteo[#Headers])))</f>
        <v/>
      </c>
      <c r="C313" s="50" t="str">
        <f>IF(tblConteo[[#This Row],[SKU]]="","",INDEX(tblProductos[Producto],ROW()-ROW(tblConteo[#Headers])))</f>
        <v/>
      </c>
      <c r="D313" s="50" t="str">
        <f>IF(tblConteo[[#This Row],[SKU]]="","",INDEX(tblProductos[Categoría],ROW()-ROW(tblConteo[#Headers]))&amp;"")</f>
        <v/>
      </c>
      <c r="E313" s="43" t="str">
        <f>IF(tblConteo[[#This Row],[SKU]]="","",INDEX(tblProductos[Ubicación],ROW()-ROW(tblConteo[#Headers]))&amp;"")</f>
        <v/>
      </c>
      <c r="F313" s="43" t="str">
        <f>IF(tblConteo[[#This Row],[SKU]]="","",INDEX(tblProductos[Unidad],ROW()-ROW(tblConteo[#Headers]))&amp;"")</f>
        <v/>
      </c>
      <c r="G313" s="43" t="str">
        <f>IF(tblConteo[[#This Row],[SKU]]="","",IF(INDEX(tblProductos[Activo],ROW()-ROW(tblConteo[#Headers]))="NO","NO","SI"))</f>
        <v/>
      </c>
      <c r="H313" s="54" t="str">
        <f>IF(tblConteo[[#This Row],[SKU]]="","",IFERROR(N(INDEX(tblStock[StockActual],MATCH(tblConteo[[#This Row],[SKU]],tblStock[SKU],0))),0))</f>
        <v/>
      </c>
      <c r="I313" s="53"/>
      <c r="J313" s="60" t="str">
        <f>IF(OR(tblConteo[[#This Row],[SKU]]="",tblConteo[[#This Row],[Conteo]]=""),"",IF(ISNUMBER(tblConteo[[#This Row],[Conteo]]),tblConteo[[#This Row],[Conteo]]-N(tblConteo[[#This Row],[Sistema]]),""))</f>
        <v/>
      </c>
      <c r="K313" s="63" t="str">
        <f>IF(tblConteo[[#This Row],[Diferencia]]="","",tblConteo[[#This Row],[Diferencia]]*N(INDEX(tblProductos[CostoUnitario],ROW()-ROW(tblConteo[#Headers]))))</f>
        <v/>
      </c>
      <c r="L31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4" spans="2:13" x14ac:dyDescent="0.25">
      <c r="B314" s="43" t="str">
        <f>IF(INDEX(tblProductos[SKU],ROW()-ROW(tblConteo[#Headers]))="","",INDEX(tblProductos[SKU],ROW()-ROW(tblConteo[#Headers])))</f>
        <v/>
      </c>
      <c r="C314" s="50" t="str">
        <f>IF(tblConteo[[#This Row],[SKU]]="","",INDEX(tblProductos[Producto],ROW()-ROW(tblConteo[#Headers])))</f>
        <v/>
      </c>
      <c r="D314" s="50" t="str">
        <f>IF(tblConteo[[#This Row],[SKU]]="","",INDEX(tblProductos[Categoría],ROW()-ROW(tblConteo[#Headers]))&amp;"")</f>
        <v/>
      </c>
      <c r="E314" s="43" t="str">
        <f>IF(tblConteo[[#This Row],[SKU]]="","",INDEX(tblProductos[Ubicación],ROW()-ROW(tblConteo[#Headers]))&amp;"")</f>
        <v/>
      </c>
      <c r="F314" s="43" t="str">
        <f>IF(tblConteo[[#This Row],[SKU]]="","",INDEX(tblProductos[Unidad],ROW()-ROW(tblConteo[#Headers]))&amp;"")</f>
        <v/>
      </c>
      <c r="G314" s="43" t="str">
        <f>IF(tblConteo[[#This Row],[SKU]]="","",IF(INDEX(tblProductos[Activo],ROW()-ROW(tblConteo[#Headers]))="NO","NO","SI"))</f>
        <v/>
      </c>
      <c r="H314" s="54" t="str">
        <f>IF(tblConteo[[#This Row],[SKU]]="","",IFERROR(N(INDEX(tblStock[StockActual],MATCH(tblConteo[[#This Row],[SKU]],tblStock[SKU],0))),0))</f>
        <v/>
      </c>
      <c r="I314" s="53"/>
      <c r="J314" s="60" t="str">
        <f>IF(OR(tblConteo[[#This Row],[SKU]]="",tblConteo[[#This Row],[Conteo]]=""),"",IF(ISNUMBER(tblConteo[[#This Row],[Conteo]]),tblConteo[[#This Row],[Conteo]]-N(tblConteo[[#This Row],[Sistema]]),""))</f>
        <v/>
      </c>
      <c r="K314" s="63" t="str">
        <f>IF(tblConteo[[#This Row],[Diferencia]]="","",tblConteo[[#This Row],[Diferencia]]*N(INDEX(tblProductos[CostoUnitario],ROW()-ROW(tblConteo[#Headers]))))</f>
        <v/>
      </c>
      <c r="L31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5" spans="2:13" x14ac:dyDescent="0.25">
      <c r="B315" s="43" t="str">
        <f>IF(INDEX(tblProductos[SKU],ROW()-ROW(tblConteo[#Headers]))="","",INDEX(tblProductos[SKU],ROW()-ROW(tblConteo[#Headers])))</f>
        <v/>
      </c>
      <c r="C315" s="50" t="str">
        <f>IF(tblConteo[[#This Row],[SKU]]="","",INDEX(tblProductos[Producto],ROW()-ROW(tblConteo[#Headers])))</f>
        <v/>
      </c>
      <c r="D315" s="50" t="str">
        <f>IF(tblConteo[[#This Row],[SKU]]="","",INDEX(tblProductos[Categoría],ROW()-ROW(tblConteo[#Headers]))&amp;"")</f>
        <v/>
      </c>
      <c r="E315" s="43" t="str">
        <f>IF(tblConteo[[#This Row],[SKU]]="","",INDEX(tblProductos[Ubicación],ROW()-ROW(tblConteo[#Headers]))&amp;"")</f>
        <v/>
      </c>
      <c r="F315" s="43" t="str">
        <f>IF(tblConteo[[#This Row],[SKU]]="","",INDEX(tblProductos[Unidad],ROW()-ROW(tblConteo[#Headers]))&amp;"")</f>
        <v/>
      </c>
      <c r="G315" s="43" t="str">
        <f>IF(tblConteo[[#This Row],[SKU]]="","",IF(INDEX(tblProductos[Activo],ROW()-ROW(tblConteo[#Headers]))="NO","NO","SI"))</f>
        <v/>
      </c>
      <c r="H315" s="54" t="str">
        <f>IF(tblConteo[[#This Row],[SKU]]="","",IFERROR(N(INDEX(tblStock[StockActual],MATCH(tblConteo[[#This Row],[SKU]],tblStock[SKU],0))),0))</f>
        <v/>
      </c>
      <c r="I315" s="53"/>
      <c r="J315" s="60" t="str">
        <f>IF(OR(tblConteo[[#This Row],[SKU]]="",tblConteo[[#This Row],[Conteo]]=""),"",IF(ISNUMBER(tblConteo[[#This Row],[Conteo]]),tblConteo[[#This Row],[Conteo]]-N(tblConteo[[#This Row],[Sistema]]),""))</f>
        <v/>
      </c>
      <c r="K315" s="63" t="str">
        <f>IF(tblConteo[[#This Row],[Diferencia]]="","",tblConteo[[#This Row],[Diferencia]]*N(INDEX(tblProductos[CostoUnitario],ROW()-ROW(tblConteo[#Headers]))))</f>
        <v/>
      </c>
      <c r="L31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6" spans="2:13" x14ac:dyDescent="0.25">
      <c r="B316" s="43" t="str">
        <f>IF(INDEX(tblProductos[SKU],ROW()-ROW(tblConteo[#Headers]))="","",INDEX(tblProductos[SKU],ROW()-ROW(tblConteo[#Headers])))</f>
        <v/>
      </c>
      <c r="C316" s="50" t="str">
        <f>IF(tblConteo[[#This Row],[SKU]]="","",INDEX(tblProductos[Producto],ROW()-ROW(tblConteo[#Headers])))</f>
        <v/>
      </c>
      <c r="D316" s="50" t="str">
        <f>IF(tblConteo[[#This Row],[SKU]]="","",INDEX(tblProductos[Categoría],ROW()-ROW(tblConteo[#Headers]))&amp;"")</f>
        <v/>
      </c>
      <c r="E316" s="43" t="str">
        <f>IF(tblConteo[[#This Row],[SKU]]="","",INDEX(tblProductos[Ubicación],ROW()-ROW(tblConteo[#Headers]))&amp;"")</f>
        <v/>
      </c>
      <c r="F316" s="43" t="str">
        <f>IF(tblConteo[[#This Row],[SKU]]="","",INDEX(tblProductos[Unidad],ROW()-ROW(tblConteo[#Headers]))&amp;"")</f>
        <v/>
      </c>
      <c r="G316" s="43" t="str">
        <f>IF(tblConteo[[#This Row],[SKU]]="","",IF(INDEX(tblProductos[Activo],ROW()-ROW(tblConteo[#Headers]))="NO","NO","SI"))</f>
        <v/>
      </c>
      <c r="H316" s="54" t="str">
        <f>IF(tblConteo[[#This Row],[SKU]]="","",IFERROR(N(INDEX(tblStock[StockActual],MATCH(tblConteo[[#This Row],[SKU]],tblStock[SKU],0))),0))</f>
        <v/>
      </c>
      <c r="I316" s="53"/>
      <c r="J316" s="60" t="str">
        <f>IF(OR(tblConteo[[#This Row],[SKU]]="",tblConteo[[#This Row],[Conteo]]=""),"",IF(ISNUMBER(tblConteo[[#This Row],[Conteo]]),tblConteo[[#This Row],[Conteo]]-N(tblConteo[[#This Row],[Sistema]]),""))</f>
        <v/>
      </c>
      <c r="K316" s="63" t="str">
        <f>IF(tblConteo[[#This Row],[Diferencia]]="","",tblConteo[[#This Row],[Diferencia]]*N(INDEX(tblProductos[CostoUnitario],ROW()-ROW(tblConteo[#Headers]))))</f>
        <v/>
      </c>
      <c r="L31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7" spans="2:13" x14ac:dyDescent="0.25">
      <c r="B317" s="43" t="str">
        <f>IF(INDEX(tblProductos[SKU],ROW()-ROW(tblConteo[#Headers]))="","",INDEX(tblProductos[SKU],ROW()-ROW(tblConteo[#Headers])))</f>
        <v/>
      </c>
      <c r="C317" s="50" t="str">
        <f>IF(tblConteo[[#This Row],[SKU]]="","",INDEX(tblProductos[Producto],ROW()-ROW(tblConteo[#Headers])))</f>
        <v/>
      </c>
      <c r="D317" s="50" t="str">
        <f>IF(tblConteo[[#This Row],[SKU]]="","",INDEX(tblProductos[Categoría],ROW()-ROW(tblConteo[#Headers]))&amp;"")</f>
        <v/>
      </c>
      <c r="E317" s="43" t="str">
        <f>IF(tblConteo[[#This Row],[SKU]]="","",INDEX(tblProductos[Ubicación],ROW()-ROW(tblConteo[#Headers]))&amp;"")</f>
        <v/>
      </c>
      <c r="F317" s="43" t="str">
        <f>IF(tblConteo[[#This Row],[SKU]]="","",INDEX(tblProductos[Unidad],ROW()-ROW(tblConteo[#Headers]))&amp;"")</f>
        <v/>
      </c>
      <c r="G317" s="43" t="str">
        <f>IF(tblConteo[[#This Row],[SKU]]="","",IF(INDEX(tblProductos[Activo],ROW()-ROW(tblConteo[#Headers]))="NO","NO","SI"))</f>
        <v/>
      </c>
      <c r="H317" s="54" t="str">
        <f>IF(tblConteo[[#This Row],[SKU]]="","",IFERROR(N(INDEX(tblStock[StockActual],MATCH(tblConteo[[#This Row],[SKU]],tblStock[SKU],0))),0))</f>
        <v/>
      </c>
      <c r="I317" s="53"/>
      <c r="J317" s="60" t="str">
        <f>IF(OR(tblConteo[[#This Row],[SKU]]="",tblConteo[[#This Row],[Conteo]]=""),"",IF(ISNUMBER(tblConteo[[#This Row],[Conteo]]),tblConteo[[#This Row],[Conteo]]-N(tblConteo[[#This Row],[Sistema]]),""))</f>
        <v/>
      </c>
      <c r="K317" s="63" t="str">
        <f>IF(tblConteo[[#This Row],[Diferencia]]="","",tblConteo[[#This Row],[Diferencia]]*N(INDEX(tblProductos[CostoUnitario],ROW()-ROW(tblConteo[#Headers]))))</f>
        <v/>
      </c>
      <c r="L31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8" spans="2:13" x14ac:dyDescent="0.25">
      <c r="B318" s="43" t="str">
        <f>IF(INDEX(tblProductos[SKU],ROW()-ROW(tblConteo[#Headers]))="","",INDEX(tblProductos[SKU],ROW()-ROW(tblConteo[#Headers])))</f>
        <v/>
      </c>
      <c r="C318" s="50" t="str">
        <f>IF(tblConteo[[#This Row],[SKU]]="","",INDEX(tblProductos[Producto],ROW()-ROW(tblConteo[#Headers])))</f>
        <v/>
      </c>
      <c r="D318" s="50" t="str">
        <f>IF(tblConteo[[#This Row],[SKU]]="","",INDEX(tblProductos[Categoría],ROW()-ROW(tblConteo[#Headers]))&amp;"")</f>
        <v/>
      </c>
      <c r="E318" s="43" t="str">
        <f>IF(tblConteo[[#This Row],[SKU]]="","",INDEX(tblProductos[Ubicación],ROW()-ROW(tblConteo[#Headers]))&amp;"")</f>
        <v/>
      </c>
      <c r="F318" s="43" t="str">
        <f>IF(tblConteo[[#This Row],[SKU]]="","",INDEX(tblProductos[Unidad],ROW()-ROW(tblConteo[#Headers]))&amp;"")</f>
        <v/>
      </c>
      <c r="G318" s="43" t="str">
        <f>IF(tblConteo[[#This Row],[SKU]]="","",IF(INDEX(tblProductos[Activo],ROW()-ROW(tblConteo[#Headers]))="NO","NO","SI"))</f>
        <v/>
      </c>
      <c r="H318" s="54" t="str">
        <f>IF(tblConteo[[#This Row],[SKU]]="","",IFERROR(N(INDEX(tblStock[StockActual],MATCH(tblConteo[[#This Row],[SKU]],tblStock[SKU],0))),0))</f>
        <v/>
      </c>
      <c r="I318" s="53"/>
      <c r="J318" s="60" t="str">
        <f>IF(OR(tblConteo[[#This Row],[SKU]]="",tblConteo[[#This Row],[Conteo]]=""),"",IF(ISNUMBER(tblConteo[[#This Row],[Conteo]]),tblConteo[[#This Row],[Conteo]]-N(tblConteo[[#This Row],[Sistema]]),""))</f>
        <v/>
      </c>
      <c r="K318" s="63" t="str">
        <f>IF(tblConteo[[#This Row],[Diferencia]]="","",tblConteo[[#This Row],[Diferencia]]*N(INDEX(tblProductos[CostoUnitario],ROW()-ROW(tblConteo[#Headers]))))</f>
        <v/>
      </c>
      <c r="L31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19" spans="2:13" x14ac:dyDescent="0.25">
      <c r="B319" s="43" t="str">
        <f>IF(INDEX(tblProductos[SKU],ROW()-ROW(tblConteo[#Headers]))="","",INDEX(tblProductos[SKU],ROW()-ROW(tblConteo[#Headers])))</f>
        <v/>
      </c>
      <c r="C319" s="50" t="str">
        <f>IF(tblConteo[[#This Row],[SKU]]="","",INDEX(tblProductos[Producto],ROW()-ROW(tblConteo[#Headers])))</f>
        <v/>
      </c>
      <c r="D319" s="50" t="str">
        <f>IF(tblConteo[[#This Row],[SKU]]="","",INDEX(tblProductos[Categoría],ROW()-ROW(tblConteo[#Headers]))&amp;"")</f>
        <v/>
      </c>
      <c r="E319" s="43" t="str">
        <f>IF(tblConteo[[#This Row],[SKU]]="","",INDEX(tblProductos[Ubicación],ROW()-ROW(tblConteo[#Headers]))&amp;"")</f>
        <v/>
      </c>
      <c r="F319" s="43" t="str">
        <f>IF(tblConteo[[#This Row],[SKU]]="","",INDEX(tblProductos[Unidad],ROW()-ROW(tblConteo[#Headers]))&amp;"")</f>
        <v/>
      </c>
      <c r="G319" s="43" t="str">
        <f>IF(tblConteo[[#This Row],[SKU]]="","",IF(INDEX(tblProductos[Activo],ROW()-ROW(tblConteo[#Headers]))="NO","NO","SI"))</f>
        <v/>
      </c>
      <c r="H319" s="54" t="str">
        <f>IF(tblConteo[[#This Row],[SKU]]="","",IFERROR(N(INDEX(tblStock[StockActual],MATCH(tblConteo[[#This Row],[SKU]],tblStock[SKU],0))),0))</f>
        <v/>
      </c>
      <c r="I319" s="53"/>
      <c r="J319" s="60" t="str">
        <f>IF(OR(tblConteo[[#This Row],[SKU]]="",tblConteo[[#This Row],[Conteo]]=""),"",IF(ISNUMBER(tblConteo[[#This Row],[Conteo]]),tblConteo[[#This Row],[Conteo]]-N(tblConteo[[#This Row],[Sistema]]),""))</f>
        <v/>
      </c>
      <c r="K319" s="63" t="str">
        <f>IF(tblConteo[[#This Row],[Diferencia]]="","",tblConteo[[#This Row],[Diferencia]]*N(INDEX(tblProductos[CostoUnitario],ROW()-ROW(tblConteo[#Headers]))))</f>
        <v/>
      </c>
      <c r="L31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1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0" spans="2:13" x14ac:dyDescent="0.25">
      <c r="B320" s="43" t="str">
        <f>IF(INDEX(tblProductos[SKU],ROW()-ROW(tblConteo[#Headers]))="","",INDEX(tblProductos[SKU],ROW()-ROW(tblConteo[#Headers])))</f>
        <v/>
      </c>
      <c r="C320" s="50" t="str">
        <f>IF(tblConteo[[#This Row],[SKU]]="","",INDEX(tblProductos[Producto],ROW()-ROW(tblConteo[#Headers])))</f>
        <v/>
      </c>
      <c r="D320" s="50" t="str">
        <f>IF(tblConteo[[#This Row],[SKU]]="","",INDEX(tblProductos[Categoría],ROW()-ROW(tblConteo[#Headers]))&amp;"")</f>
        <v/>
      </c>
      <c r="E320" s="43" t="str">
        <f>IF(tblConteo[[#This Row],[SKU]]="","",INDEX(tblProductos[Ubicación],ROW()-ROW(tblConteo[#Headers]))&amp;"")</f>
        <v/>
      </c>
      <c r="F320" s="43" t="str">
        <f>IF(tblConteo[[#This Row],[SKU]]="","",INDEX(tblProductos[Unidad],ROW()-ROW(tblConteo[#Headers]))&amp;"")</f>
        <v/>
      </c>
      <c r="G320" s="43" t="str">
        <f>IF(tblConteo[[#This Row],[SKU]]="","",IF(INDEX(tblProductos[Activo],ROW()-ROW(tblConteo[#Headers]))="NO","NO","SI"))</f>
        <v/>
      </c>
      <c r="H320" s="54" t="str">
        <f>IF(tblConteo[[#This Row],[SKU]]="","",IFERROR(N(INDEX(tblStock[StockActual],MATCH(tblConteo[[#This Row],[SKU]],tblStock[SKU],0))),0))</f>
        <v/>
      </c>
      <c r="I320" s="53"/>
      <c r="J320" s="60" t="str">
        <f>IF(OR(tblConteo[[#This Row],[SKU]]="",tblConteo[[#This Row],[Conteo]]=""),"",IF(ISNUMBER(tblConteo[[#This Row],[Conteo]]),tblConteo[[#This Row],[Conteo]]-N(tblConteo[[#This Row],[Sistema]]),""))</f>
        <v/>
      </c>
      <c r="K320" s="63" t="str">
        <f>IF(tblConteo[[#This Row],[Diferencia]]="","",tblConteo[[#This Row],[Diferencia]]*N(INDEX(tblProductos[CostoUnitario],ROW()-ROW(tblConteo[#Headers]))))</f>
        <v/>
      </c>
      <c r="L32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1" spans="2:13" x14ac:dyDescent="0.25">
      <c r="B321" s="43" t="str">
        <f>IF(INDEX(tblProductos[SKU],ROW()-ROW(tblConteo[#Headers]))="","",INDEX(tblProductos[SKU],ROW()-ROW(tblConteo[#Headers])))</f>
        <v/>
      </c>
      <c r="C321" s="50" t="str">
        <f>IF(tblConteo[[#This Row],[SKU]]="","",INDEX(tblProductos[Producto],ROW()-ROW(tblConteo[#Headers])))</f>
        <v/>
      </c>
      <c r="D321" s="50" t="str">
        <f>IF(tblConteo[[#This Row],[SKU]]="","",INDEX(tblProductos[Categoría],ROW()-ROW(tblConteo[#Headers]))&amp;"")</f>
        <v/>
      </c>
      <c r="E321" s="43" t="str">
        <f>IF(tblConteo[[#This Row],[SKU]]="","",INDEX(tblProductos[Ubicación],ROW()-ROW(tblConteo[#Headers]))&amp;"")</f>
        <v/>
      </c>
      <c r="F321" s="43" t="str">
        <f>IF(tblConteo[[#This Row],[SKU]]="","",INDEX(tblProductos[Unidad],ROW()-ROW(tblConteo[#Headers]))&amp;"")</f>
        <v/>
      </c>
      <c r="G321" s="43" t="str">
        <f>IF(tblConteo[[#This Row],[SKU]]="","",IF(INDEX(tblProductos[Activo],ROW()-ROW(tblConteo[#Headers]))="NO","NO","SI"))</f>
        <v/>
      </c>
      <c r="H321" s="54" t="str">
        <f>IF(tblConteo[[#This Row],[SKU]]="","",IFERROR(N(INDEX(tblStock[StockActual],MATCH(tblConteo[[#This Row],[SKU]],tblStock[SKU],0))),0))</f>
        <v/>
      </c>
      <c r="I321" s="53"/>
      <c r="J321" s="60" t="str">
        <f>IF(OR(tblConteo[[#This Row],[SKU]]="",tblConteo[[#This Row],[Conteo]]=""),"",IF(ISNUMBER(tblConteo[[#This Row],[Conteo]]),tblConteo[[#This Row],[Conteo]]-N(tblConteo[[#This Row],[Sistema]]),""))</f>
        <v/>
      </c>
      <c r="K321" s="63" t="str">
        <f>IF(tblConteo[[#This Row],[Diferencia]]="","",tblConteo[[#This Row],[Diferencia]]*N(INDEX(tblProductos[CostoUnitario],ROW()-ROW(tblConteo[#Headers]))))</f>
        <v/>
      </c>
      <c r="L32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2" spans="2:13" x14ac:dyDescent="0.25">
      <c r="B322" s="43" t="str">
        <f>IF(INDEX(tblProductos[SKU],ROW()-ROW(tblConteo[#Headers]))="","",INDEX(tblProductos[SKU],ROW()-ROW(tblConteo[#Headers])))</f>
        <v/>
      </c>
      <c r="C322" s="50" t="str">
        <f>IF(tblConteo[[#This Row],[SKU]]="","",INDEX(tblProductos[Producto],ROW()-ROW(tblConteo[#Headers])))</f>
        <v/>
      </c>
      <c r="D322" s="50" t="str">
        <f>IF(tblConteo[[#This Row],[SKU]]="","",INDEX(tblProductos[Categoría],ROW()-ROW(tblConteo[#Headers]))&amp;"")</f>
        <v/>
      </c>
      <c r="E322" s="43" t="str">
        <f>IF(tblConteo[[#This Row],[SKU]]="","",INDEX(tblProductos[Ubicación],ROW()-ROW(tblConteo[#Headers]))&amp;"")</f>
        <v/>
      </c>
      <c r="F322" s="43" t="str">
        <f>IF(tblConteo[[#This Row],[SKU]]="","",INDEX(tblProductos[Unidad],ROW()-ROW(tblConteo[#Headers]))&amp;"")</f>
        <v/>
      </c>
      <c r="G322" s="43" t="str">
        <f>IF(tblConteo[[#This Row],[SKU]]="","",IF(INDEX(tblProductos[Activo],ROW()-ROW(tblConteo[#Headers]))="NO","NO","SI"))</f>
        <v/>
      </c>
      <c r="H322" s="54" t="str">
        <f>IF(tblConteo[[#This Row],[SKU]]="","",IFERROR(N(INDEX(tblStock[StockActual],MATCH(tblConteo[[#This Row],[SKU]],tblStock[SKU],0))),0))</f>
        <v/>
      </c>
      <c r="I322" s="53"/>
      <c r="J322" s="60" t="str">
        <f>IF(OR(tblConteo[[#This Row],[SKU]]="",tblConteo[[#This Row],[Conteo]]=""),"",IF(ISNUMBER(tblConteo[[#This Row],[Conteo]]),tblConteo[[#This Row],[Conteo]]-N(tblConteo[[#This Row],[Sistema]]),""))</f>
        <v/>
      </c>
      <c r="K322" s="63" t="str">
        <f>IF(tblConteo[[#This Row],[Diferencia]]="","",tblConteo[[#This Row],[Diferencia]]*N(INDEX(tblProductos[CostoUnitario],ROW()-ROW(tblConteo[#Headers]))))</f>
        <v/>
      </c>
      <c r="L32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3" spans="2:13" x14ac:dyDescent="0.25">
      <c r="B323" s="43" t="str">
        <f>IF(INDEX(tblProductos[SKU],ROW()-ROW(tblConteo[#Headers]))="","",INDEX(tblProductos[SKU],ROW()-ROW(tblConteo[#Headers])))</f>
        <v/>
      </c>
      <c r="C323" s="50" t="str">
        <f>IF(tblConteo[[#This Row],[SKU]]="","",INDEX(tblProductos[Producto],ROW()-ROW(tblConteo[#Headers])))</f>
        <v/>
      </c>
      <c r="D323" s="50" t="str">
        <f>IF(tblConteo[[#This Row],[SKU]]="","",INDEX(tblProductos[Categoría],ROW()-ROW(tblConteo[#Headers]))&amp;"")</f>
        <v/>
      </c>
      <c r="E323" s="43" t="str">
        <f>IF(tblConteo[[#This Row],[SKU]]="","",INDEX(tblProductos[Ubicación],ROW()-ROW(tblConteo[#Headers]))&amp;"")</f>
        <v/>
      </c>
      <c r="F323" s="43" t="str">
        <f>IF(tblConteo[[#This Row],[SKU]]="","",INDEX(tblProductos[Unidad],ROW()-ROW(tblConteo[#Headers]))&amp;"")</f>
        <v/>
      </c>
      <c r="G323" s="43" t="str">
        <f>IF(tblConteo[[#This Row],[SKU]]="","",IF(INDEX(tblProductos[Activo],ROW()-ROW(tblConteo[#Headers]))="NO","NO","SI"))</f>
        <v/>
      </c>
      <c r="H323" s="54" t="str">
        <f>IF(tblConteo[[#This Row],[SKU]]="","",IFERROR(N(INDEX(tblStock[StockActual],MATCH(tblConteo[[#This Row],[SKU]],tblStock[SKU],0))),0))</f>
        <v/>
      </c>
      <c r="I323" s="53"/>
      <c r="J323" s="60" t="str">
        <f>IF(OR(tblConteo[[#This Row],[SKU]]="",tblConteo[[#This Row],[Conteo]]=""),"",IF(ISNUMBER(tblConteo[[#This Row],[Conteo]]),tblConteo[[#This Row],[Conteo]]-N(tblConteo[[#This Row],[Sistema]]),""))</f>
        <v/>
      </c>
      <c r="K323" s="63" t="str">
        <f>IF(tblConteo[[#This Row],[Diferencia]]="","",tblConteo[[#This Row],[Diferencia]]*N(INDEX(tblProductos[CostoUnitario],ROW()-ROW(tblConteo[#Headers]))))</f>
        <v/>
      </c>
      <c r="L32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4" spans="2:13" x14ac:dyDescent="0.25">
      <c r="B324" s="43" t="str">
        <f>IF(INDEX(tblProductos[SKU],ROW()-ROW(tblConteo[#Headers]))="","",INDEX(tblProductos[SKU],ROW()-ROW(tblConteo[#Headers])))</f>
        <v/>
      </c>
      <c r="C324" s="50" t="str">
        <f>IF(tblConteo[[#This Row],[SKU]]="","",INDEX(tblProductos[Producto],ROW()-ROW(tblConteo[#Headers])))</f>
        <v/>
      </c>
      <c r="D324" s="50" t="str">
        <f>IF(tblConteo[[#This Row],[SKU]]="","",INDEX(tblProductos[Categoría],ROW()-ROW(tblConteo[#Headers]))&amp;"")</f>
        <v/>
      </c>
      <c r="E324" s="43" t="str">
        <f>IF(tblConteo[[#This Row],[SKU]]="","",INDEX(tblProductos[Ubicación],ROW()-ROW(tblConteo[#Headers]))&amp;"")</f>
        <v/>
      </c>
      <c r="F324" s="43" t="str">
        <f>IF(tblConteo[[#This Row],[SKU]]="","",INDEX(tblProductos[Unidad],ROW()-ROW(tblConteo[#Headers]))&amp;"")</f>
        <v/>
      </c>
      <c r="G324" s="43" t="str">
        <f>IF(tblConteo[[#This Row],[SKU]]="","",IF(INDEX(tblProductos[Activo],ROW()-ROW(tblConteo[#Headers]))="NO","NO","SI"))</f>
        <v/>
      </c>
      <c r="H324" s="54" t="str">
        <f>IF(tblConteo[[#This Row],[SKU]]="","",IFERROR(N(INDEX(tblStock[StockActual],MATCH(tblConteo[[#This Row],[SKU]],tblStock[SKU],0))),0))</f>
        <v/>
      </c>
      <c r="I324" s="53"/>
      <c r="J324" s="60" t="str">
        <f>IF(OR(tblConteo[[#This Row],[SKU]]="",tblConteo[[#This Row],[Conteo]]=""),"",IF(ISNUMBER(tblConteo[[#This Row],[Conteo]]),tblConteo[[#This Row],[Conteo]]-N(tblConteo[[#This Row],[Sistema]]),""))</f>
        <v/>
      </c>
      <c r="K324" s="63" t="str">
        <f>IF(tblConteo[[#This Row],[Diferencia]]="","",tblConteo[[#This Row],[Diferencia]]*N(INDEX(tblProductos[CostoUnitario],ROW()-ROW(tblConteo[#Headers]))))</f>
        <v/>
      </c>
      <c r="L32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5" spans="2:13" x14ac:dyDescent="0.25">
      <c r="B325" s="43" t="str">
        <f>IF(INDEX(tblProductos[SKU],ROW()-ROW(tblConteo[#Headers]))="","",INDEX(tblProductos[SKU],ROW()-ROW(tblConteo[#Headers])))</f>
        <v/>
      </c>
      <c r="C325" s="50" t="str">
        <f>IF(tblConteo[[#This Row],[SKU]]="","",INDEX(tblProductos[Producto],ROW()-ROW(tblConteo[#Headers])))</f>
        <v/>
      </c>
      <c r="D325" s="50" t="str">
        <f>IF(tblConteo[[#This Row],[SKU]]="","",INDEX(tblProductos[Categoría],ROW()-ROW(tblConteo[#Headers]))&amp;"")</f>
        <v/>
      </c>
      <c r="E325" s="43" t="str">
        <f>IF(tblConteo[[#This Row],[SKU]]="","",INDEX(tblProductos[Ubicación],ROW()-ROW(tblConteo[#Headers]))&amp;"")</f>
        <v/>
      </c>
      <c r="F325" s="43" t="str">
        <f>IF(tblConteo[[#This Row],[SKU]]="","",INDEX(tblProductos[Unidad],ROW()-ROW(tblConteo[#Headers]))&amp;"")</f>
        <v/>
      </c>
      <c r="G325" s="43" t="str">
        <f>IF(tblConteo[[#This Row],[SKU]]="","",IF(INDEX(tblProductos[Activo],ROW()-ROW(tblConteo[#Headers]))="NO","NO","SI"))</f>
        <v/>
      </c>
      <c r="H325" s="54" t="str">
        <f>IF(tblConteo[[#This Row],[SKU]]="","",IFERROR(N(INDEX(tblStock[StockActual],MATCH(tblConteo[[#This Row],[SKU]],tblStock[SKU],0))),0))</f>
        <v/>
      </c>
      <c r="I325" s="53"/>
      <c r="J325" s="60" t="str">
        <f>IF(OR(tblConteo[[#This Row],[SKU]]="",tblConteo[[#This Row],[Conteo]]=""),"",IF(ISNUMBER(tblConteo[[#This Row],[Conteo]]),tblConteo[[#This Row],[Conteo]]-N(tblConteo[[#This Row],[Sistema]]),""))</f>
        <v/>
      </c>
      <c r="K325" s="63" t="str">
        <f>IF(tblConteo[[#This Row],[Diferencia]]="","",tblConteo[[#This Row],[Diferencia]]*N(INDEX(tblProductos[CostoUnitario],ROW()-ROW(tblConteo[#Headers]))))</f>
        <v/>
      </c>
      <c r="L32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6" spans="2:13" x14ac:dyDescent="0.25">
      <c r="B326" s="43" t="str">
        <f>IF(INDEX(tblProductos[SKU],ROW()-ROW(tblConteo[#Headers]))="","",INDEX(tblProductos[SKU],ROW()-ROW(tblConteo[#Headers])))</f>
        <v/>
      </c>
      <c r="C326" s="50" t="str">
        <f>IF(tblConteo[[#This Row],[SKU]]="","",INDEX(tblProductos[Producto],ROW()-ROW(tblConteo[#Headers])))</f>
        <v/>
      </c>
      <c r="D326" s="50" t="str">
        <f>IF(tblConteo[[#This Row],[SKU]]="","",INDEX(tblProductos[Categoría],ROW()-ROW(tblConteo[#Headers]))&amp;"")</f>
        <v/>
      </c>
      <c r="E326" s="43" t="str">
        <f>IF(tblConteo[[#This Row],[SKU]]="","",INDEX(tblProductos[Ubicación],ROW()-ROW(tblConteo[#Headers]))&amp;"")</f>
        <v/>
      </c>
      <c r="F326" s="43" t="str">
        <f>IF(tblConteo[[#This Row],[SKU]]="","",INDEX(tblProductos[Unidad],ROW()-ROW(tblConteo[#Headers]))&amp;"")</f>
        <v/>
      </c>
      <c r="G326" s="43" t="str">
        <f>IF(tblConteo[[#This Row],[SKU]]="","",IF(INDEX(tblProductos[Activo],ROW()-ROW(tblConteo[#Headers]))="NO","NO","SI"))</f>
        <v/>
      </c>
      <c r="H326" s="54" t="str">
        <f>IF(tblConteo[[#This Row],[SKU]]="","",IFERROR(N(INDEX(tblStock[StockActual],MATCH(tblConteo[[#This Row],[SKU]],tblStock[SKU],0))),0))</f>
        <v/>
      </c>
      <c r="I326" s="53"/>
      <c r="J326" s="60" t="str">
        <f>IF(OR(tblConteo[[#This Row],[SKU]]="",tblConteo[[#This Row],[Conteo]]=""),"",IF(ISNUMBER(tblConteo[[#This Row],[Conteo]]),tblConteo[[#This Row],[Conteo]]-N(tblConteo[[#This Row],[Sistema]]),""))</f>
        <v/>
      </c>
      <c r="K326" s="63" t="str">
        <f>IF(tblConteo[[#This Row],[Diferencia]]="","",tblConteo[[#This Row],[Diferencia]]*N(INDEX(tblProductos[CostoUnitario],ROW()-ROW(tblConteo[#Headers]))))</f>
        <v/>
      </c>
      <c r="L32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7" spans="2:13" x14ac:dyDescent="0.25">
      <c r="B327" s="43" t="str">
        <f>IF(INDEX(tblProductos[SKU],ROW()-ROW(tblConteo[#Headers]))="","",INDEX(tblProductos[SKU],ROW()-ROW(tblConteo[#Headers])))</f>
        <v/>
      </c>
      <c r="C327" s="50" t="str">
        <f>IF(tblConteo[[#This Row],[SKU]]="","",INDEX(tblProductos[Producto],ROW()-ROW(tblConteo[#Headers])))</f>
        <v/>
      </c>
      <c r="D327" s="50" t="str">
        <f>IF(tblConteo[[#This Row],[SKU]]="","",INDEX(tblProductos[Categoría],ROW()-ROW(tblConteo[#Headers]))&amp;"")</f>
        <v/>
      </c>
      <c r="E327" s="43" t="str">
        <f>IF(tblConteo[[#This Row],[SKU]]="","",INDEX(tblProductos[Ubicación],ROW()-ROW(tblConteo[#Headers]))&amp;"")</f>
        <v/>
      </c>
      <c r="F327" s="43" t="str">
        <f>IF(tblConteo[[#This Row],[SKU]]="","",INDEX(tblProductos[Unidad],ROW()-ROW(tblConteo[#Headers]))&amp;"")</f>
        <v/>
      </c>
      <c r="G327" s="43" t="str">
        <f>IF(tblConteo[[#This Row],[SKU]]="","",IF(INDEX(tblProductos[Activo],ROW()-ROW(tblConteo[#Headers]))="NO","NO","SI"))</f>
        <v/>
      </c>
      <c r="H327" s="54" t="str">
        <f>IF(tblConteo[[#This Row],[SKU]]="","",IFERROR(N(INDEX(tblStock[StockActual],MATCH(tblConteo[[#This Row],[SKU]],tblStock[SKU],0))),0))</f>
        <v/>
      </c>
      <c r="I327" s="53"/>
      <c r="J327" s="60" t="str">
        <f>IF(OR(tblConteo[[#This Row],[SKU]]="",tblConteo[[#This Row],[Conteo]]=""),"",IF(ISNUMBER(tblConteo[[#This Row],[Conteo]]),tblConteo[[#This Row],[Conteo]]-N(tblConteo[[#This Row],[Sistema]]),""))</f>
        <v/>
      </c>
      <c r="K327" s="63" t="str">
        <f>IF(tblConteo[[#This Row],[Diferencia]]="","",tblConteo[[#This Row],[Diferencia]]*N(INDEX(tblProductos[CostoUnitario],ROW()-ROW(tblConteo[#Headers]))))</f>
        <v/>
      </c>
      <c r="L32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8" spans="2:13" x14ac:dyDescent="0.25">
      <c r="B328" s="43" t="str">
        <f>IF(INDEX(tblProductos[SKU],ROW()-ROW(tblConteo[#Headers]))="","",INDEX(tblProductos[SKU],ROW()-ROW(tblConteo[#Headers])))</f>
        <v/>
      </c>
      <c r="C328" s="50" t="str">
        <f>IF(tblConteo[[#This Row],[SKU]]="","",INDEX(tblProductos[Producto],ROW()-ROW(tblConteo[#Headers])))</f>
        <v/>
      </c>
      <c r="D328" s="50" t="str">
        <f>IF(tblConteo[[#This Row],[SKU]]="","",INDEX(tblProductos[Categoría],ROW()-ROW(tblConteo[#Headers]))&amp;"")</f>
        <v/>
      </c>
      <c r="E328" s="43" t="str">
        <f>IF(tblConteo[[#This Row],[SKU]]="","",INDEX(tblProductos[Ubicación],ROW()-ROW(tblConteo[#Headers]))&amp;"")</f>
        <v/>
      </c>
      <c r="F328" s="43" t="str">
        <f>IF(tblConteo[[#This Row],[SKU]]="","",INDEX(tblProductos[Unidad],ROW()-ROW(tblConteo[#Headers]))&amp;"")</f>
        <v/>
      </c>
      <c r="G328" s="43" t="str">
        <f>IF(tblConteo[[#This Row],[SKU]]="","",IF(INDEX(tblProductos[Activo],ROW()-ROW(tblConteo[#Headers]))="NO","NO","SI"))</f>
        <v/>
      </c>
      <c r="H328" s="54" t="str">
        <f>IF(tblConteo[[#This Row],[SKU]]="","",IFERROR(N(INDEX(tblStock[StockActual],MATCH(tblConteo[[#This Row],[SKU]],tblStock[SKU],0))),0))</f>
        <v/>
      </c>
      <c r="I328" s="53"/>
      <c r="J328" s="60" t="str">
        <f>IF(OR(tblConteo[[#This Row],[SKU]]="",tblConteo[[#This Row],[Conteo]]=""),"",IF(ISNUMBER(tblConteo[[#This Row],[Conteo]]),tblConteo[[#This Row],[Conteo]]-N(tblConteo[[#This Row],[Sistema]]),""))</f>
        <v/>
      </c>
      <c r="K328" s="63" t="str">
        <f>IF(tblConteo[[#This Row],[Diferencia]]="","",tblConteo[[#This Row],[Diferencia]]*N(INDEX(tblProductos[CostoUnitario],ROW()-ROW(tblConteo[#Headers]))))</f>
        <v/>
      </c>
      <c r="L32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29" spans="2:13" x14ac:dyDescent="0.25">
      <c r="B329" s="43" t="str">
        <f>IF(INDEX(tblProductos[SKU],ROW()-ROW(tblConteo[#Headers]))="","",INDEX(tblProductos[SKU],ROW()-ROW(tblConteo[#Headers])))</f>
        <v/>
      </c>
      <c r="C329" s="50" t="str">
        <f>IF(tblConteo[[#This Row],[SKU]]="","",INDEX(tblProductos[Producto],ROW()-ROW(tblConteo[#Headers])))</f>
        <v/>
      </c>
      <c r="D329" s="50" t="str">
        <f>IF(tblConteo[[#This Row],[SKU]]="","",INDEX(tblProductos[Categoría],ROW()-ROW(tblConteo[#Headers]))&amp;"")</f>
        <v/>
      </c>
      <c r="E329" s="43" t="str">
        <f>IF(tblConteo[[#This Row],[SKU]]="","",INDEX(tblProductos[Ubicación],ROW()-ROW(tblConteo[#Headers]))&amp;"")</f>
        <v/>
      </c>
      <c r="F329" s="43" t="str">
        <f>IF(tblConteo[[#This Row],[SKU]]="","",INDEX(tblProductos[Unidad],ROW()-ROW(tblConteo[#Headers]))&amp;"")</f>
        <v/>
      </c>
      <c r="G329" s="43" t="str">
        <f>IF(tblConteo[[#This Row],[SKU]]="","",IF(INDEX(tblProductos[Activo],ROW()-ROW(tblConteo[#Headers]))="NO","NO","SI"))</f>
        <v/>
      </c>
      <c r="H329" s="54" t="str">
        <f>IF(tblConteo[[#This Row],[SKU]]="","",IFERROR(N(INDEX(tblStock[StockActual],MATCH(tblConteo[[#This Row],[SKU]],tblStock[SKU],0))),0))</f>
        <v/>
      </c>
      <c r="I329" s="53"/>
      <c r="J329" s="60" t="str">
        <f>IF(OR(tblConteo[[#This Row],[SKU]]="",tblConteo[[#This Row],[Conteo]]=""),"",IF(ISNUMBER(tblConteo[[#This Row],[Conteo]]),tblConteo[[#This Row],[Conteo]]-N(tblConteo[[#This Row],[Sistema]]),""))</f>
        <v/>
      </c>
      <c r="K329" s="63" t="str">
        <f>IF(tblConteo[[#This Row],[Diferencia]]="","",tblConteo[[#This Row],[Diferencia]]*N(INDEX(tblProductos[CostoUnitario],ROW()-ROW(tblConteo[#Headers]))))</f>
        <v/>
      </c>
      <c r="L32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2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0" spans="2:13" x14ac:dyDescent="0.25">
      <c r="B330" s="43" t="str">
        <f>IF(INDEX(tblProductos[SKU],ROW()-ROW(tblConteo[#Headers]))="","",INDEX(tblProductos[SKU],ROW()-ROW(tblConteo[#Headers])))</f>
        <v/>
      </c>
      <c r="C330" s="50" t="str">
        <f>IF(tblConteo[[#This Row],[SKU]]="","",INDEX(tblProductos[Producto],ROW()-ROW(tblConteo[#Headers])))</f>
        <v/>
      </c>
      <c r="D330" s="50" t="str">
        <f>IF(tblConteo[[#This Row],[SKU]]="","",INDEX(tblProductos[Categoría],ROW()-ROW(tblConteo[#Headers]))&amp;"")</f>
        <v/>
      </c>
      <c r="E330" s="43" t="str">
        <f>IF(tblConteo[[#This Row],[SKU]]="","",INDEX(tblProductos[Ubicación],ROW()-ROW(tblConteo[#Headers]))&amp;"")</f>
        <v/>
      </c>
      <c r="F330" s="43" t="str">
        <f>IF(tblConteo[[#This Row],[SKU]]="","",INDEX(tblProductos[Unidad],ROW()-ROW(tblConteo[#Headers]))&amp;"")</f>
        <v/>
      </c>
      <c r="G330" s="43" t="str">
        <f>IF(tblConteo[[#This Row],[SKU]]="","",IF(INDEX(tblProductos[Activo],ROW()-ROW(tblConteo[#Headers]))="NO","NO","SI"))</f>
        <v/>
      </c>
      <c r="H330" s="54" t="str">
        <f>IF(tblConteo[[#This Row],[SKU]]="","",IFERROR(N(INDEX(tblStock[StockActual],MATCH(tblConteo[[#This Row],[SKU]],tblStock[SKU],0))),0))</f>
        <v/>
      </c>
      <c r="I330" s="53"/>
      <c r="J330" s="60" t="str">
        <f>IF(OR(tblConteo[[#This Row],[SKU]]="",tblConteo[[#This Row],[Conteo]]=""),"",IF(ISNUMBER(tblConteo[[#This Row],[Conteo]]),tblConteo[[#This Row],[Conteo]]-N(tblConteo[[#This Row],[Sistema]]),""))</f>
        <v/>
      </c>
      <c r="K330" s="63" t="str">
        <f>IF(tblConteo[[#This Row],[Diferencia]]="","",tblConteo[[#This Row],[Diferencia]]*N(INDEX(tblProductos[CostoUnitario],ROW()-ROW(tblConteo[#Headers]))))</f>
        <v/>
      </c>
      <c r="L33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1" spans="2:13" x14ac:dyDescent="0.25">
      <c r="B331" s="43" t="str">
        <f>IF(INDEX(tblProductos[SKU],ROW()-ROW(tblConteo[#Headers]))="","",INDEX(tblProductos[SKU],ROW()-ROW(tblConteo[#Headers])))</f>
        <v/>
      </c>
      <c r="C331" s="50" t="str">
        <f>IF(tblConteo[[#This Row],[SKU]]="","",INDEX(tblProductos[Producto],ROW()-ROW(tblConteo[#Headers])))</f>
        <v/>
      </c>
      <c r="D331" s="50" t="str">
        <f>IF(tblConteo[[#This Row],[SKU]]="","",INDEX(tblProductos[Categoría],ROW()-ROW(tblConteo[#Headers]))&amp;"")</f>
        <v/>
      </c>
      <c r="E331" s="43" t="str">
        <f>IF(tblConteo[[#This Row],[SKU]]="","",INDEX(tblProductos[Ubicación],ROW()-ROW(tblConteo[#Headers]))&amp;"")</f>
        <v/>
      </c>
      <c r="F331" s="43" t="str">
        <f>IF(tblConteo[[#This Row],[SKU]]="","",INDEX(tblProductos[Unidad],ROW()-ROW(tblConteo[#Headers]))&amp;"")</f>
        <v/>
      </c>
      <c r="G331" s="43" t="str">
        <f>IF(tblConteo[[#This Row],[SKU]]="","",IF(INDEX(tblProductos[Activo],ROW()-ROW(tblConteo[#Headers]))="NO","NO","SI"))</f>
        <v/>
      </c>
      <c r="H331" s="54" t="str">
        <f>IF(tblConteo[[#This Row],[SKU]]="","",IFERROR(N(INDEX(tblStock[StockActual],MATCH(tblConteo[[#This Row],[SKU]],tblStock[SKU],0))),0))</f>
        <v/>
      </c>
      <c r="I331" s="53"/>
      <c r="J331" s="60" t="str">
        <f>IF(OR(tblConteo[[#This Row],[SKU]]="",tblConteo[[#This Row],[Conteo]]=""),"",IF(ISNUMBER(tblConteo[[#This Row],[Conteo]]),tblConteo[[#This Row],[Conteo]]-N(tblConteo[[#This Row],[Sistema]]),""))</f>
        <v/>
      </c>
      <c r="K331" s="63" t="str">
        <f>IF(tblConteo[[#This Row],[Diferencia]]="","",tblConteo[[#This Row],[Diferencia]]*N(INDEX(tblProductos[CostoUnitario],ROW()-ROW(tblConteo[#Headers]))))</f>
        <v/>
      </c>
      <c r="L33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2" spans="2:13" x14ac:dyDescent="0.25">
      <c r="B332" s="43" t="str">
        <f>IF(INDEX(tblProductos[SKU],ROW()-ROW(tblConteo[#Headers]))="","",INDEX(tblProductos[SKU],ROW()-ROW(tblConteo[#Headers])))</f>
        <v/>
      </c>
      <c r="C332" s="50" t="str">
        <f>IF(tblConteo[[#This Row],[SKU]]="","",INDEX(tblProductos[Producto],ROW()-ROW(tblConteo[#Headers])))</f>
        <v/>
      </c>
      <c r="D332" s="50" t="str">
        <f>IF(tblConteo[[#This Row],[SKU]]="","",INDEX(tblProductos[Categoría],ROW()-ROW(tblConteo[#Headers]))&amp;"")</f>
        <v/>
      </c>
      <c r="E332" s="43" t="str">
        <f>IF(tblConteo[[#This Row],[SKU]]="","",INDEX(tblProductos[Ubicación],ROW()-ROW(tblConteo[#Headers]))&amp;"")</f>
        <v/>
      </c>
      <c r="F332" s="43" t="str">
        <f>IF(tblConteo[[#This Row],[SKU]]="","",INDEX(tblProductos[Unidad],ROW()-ROW(tblConteo[#Headers]))&amp;"")</f>
        <v/>
      </c>
      <c r="G332" s="43" t="str">
        <f>IF(tblConteo[[#This Row],[SKU]]="","",IF(INDEX(tblProductos[Activo],ROW()-ROW(tblConteo[#Headers]))="NO","NO","SI"))</f>
        <v/>
      </c>
      <c r="H332" s="54" t="str">
        <f>IF(tblConteo[[#This Row],[SKU]]="","",IFERROR(N(INDEX(tblStock[StockActual],MATCH(tblConteo[[#This Row],[SKU]],tblStock[SKU],0))),0))</f>
        <v/>
      </c>
      <c r="I332" s="53"/>
      <c r="J332" s="60" t="str">
        <f>IF(OR(tblConteo[[#This Row],[SKU]]="",tblConteo[[#This Row],[Conteo]]=""),"",IF(ISNUMBER(tblConteo[[#This Row],[Conteo]]),tblConteo[[#This Row],[Conteo]]-N(tblConteo[[#This Row],[Sistema]]),""))</f>
        <v/>
      </c>
      <c r="K332" s="63" t="str">
        <f>IF(tblConteo[[#This Row],[Diferencia]]="","",tblConteo[[#This Row],[Diferencia]]*N(INDEX(tblProductos[CostoUnitario],ROW()-ROW(tblConteo[#Headers]))))</f>
        <v/>
      </c>
      <c r="L33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3" spans="2:13" x14ac:dyDescent="0.25">
      <c r="B333" s="43" t="str">
        <f>IF(INDEX(tblProductos[SKU],ROW()-ROW(tblConteo[#Headers]))="","",INDEX(tblProductos[SKU],ROW()-ROW(tblConteo[#Headers])))</f>
        <v/>
      </c>
      <c r="C333" s="50" t="str">
        <f>IF(tblConteo[[#This Row],[SKU]]="","",INDEX(tblProductos[Producto],ROW()-ROW(tblConteo[#Headers])))</f>
        <v/>
      </c>
      <c r="D333" s="50" t="str">
        <f>IF(tblConteo[[#This Row],[SKU]]="","",INDEX(tblProductos[Categoría],ROW()-ROW(tblConteo[#Headers]))&amp;"")</f>
        <v/>
      </c>
      <c r="E333" s="43" t="str">
        <f>IF(tblConteo[[#This Row],[SKU]]="","",INDEX(tblProductos[Ubicación],ROW()-ROW(tblConteo[#Headers]))&amp;"")</f>
        <v/>
      </c>
      <c r="F333" s="43" t="str">
        <f>IF(tblConteo[[#This Row],[SKU]]="","",INDEX(tblProductos[Unidad],ROW()-ROW(tblConteo[#Headers]))&amp;"")</f>
        <v/>
      </c>
      <c r="G333" s="43" t="str">
        <f>IF(tblConteo[[#This Row],[SKU]]="","",IF(INDEX(tblProductos[Activo],ROW()-ROW(tblConteo[#Headers]))="NO","NO","SI"))</f>
        <v/>
      </c>
      <c r="H333" s="54" t="str">
        <f>IF(tblConteo[[#This Row],[SKU]]="","",IFERROR(N(INDEX(tblStock[StockActual],MATCH(tblConteo[[#This Row],[SKU]],tblStock[SKU],0))),0))</f>
        <v/>
      </c>
      <c r="I333" s="53"/>
      <c r="J333" s="60" t="str">
        <f>IF(OR(tblConteo[[#This Row],[SKU]]="",tblConteo[[#This Row],[Conteo]]=""),"",IF(ISNUMBER(tblConteo[[#This Row],[Conteo]]),tblConteo[[#This Row],[Conteo]]-N(tblConteo[[#This Row],[Sistema]]),""))</f>
        <v/>
      </c>
      <c r="K333" s="63" t="str">
        <f>IF(tblConteo[[#This Row],[Diferencia]]="","",tblConteo[[#This Row],[Diferencia]]*N(INDEX(tblProductos[CostoUnitario],ROW()-ROW(tblConteo[#Headers]))))</f>
        <v/>
      </c>
      <c r="L33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4" spans="2:13" x14ac:dyDescent="0.25">
      <c r="B334" s="43" t="str">
        <f>IF(INDEX(tblProductos[SKU],ROW()-ROW(tblConteo[#Headers]))="","",INDEX(tblProductos[SKU],ROW()-ROW(tblConteo[#Headers])))</f>
        <v/>
      </c>
      <c r="C334" s="50" t="str">
        <f>IF(tblConteo[[#This Row],[SKU]]="","",INDEX(tblProductos[Producto],ROW()-ROW(tblConteo[#Headers])))</f>
        <v/>
      </c>
      <c r="D334" s="50" t="str">
        <f>IF(tblConteo[[#This Row],[SKU]]="","",INDEX(tblProductos[Categoría],ROW()-ROW(tblConteo[#Headers]))&amp;"")</f>
        <v/>
      </c>
      <c r="E334" s="43" t="str">
        <f>IF(tblConteo[[#This Row],[SKU]]="","",INDEX(tblProductos[Ubicación],ROW()-ROW(tblConteo[#Headers]))&amp;"")</f>
        <v/>
      </c>
      <c r="F334" s="43" t="str">
        <f>IF(tblConteo[[#This Row],[SKU]]="","",INDEX(tblProductos[Unidad],ROW()-ROW(tblConteo[#Headers]))&amp;"")</f>
        <v/>
      </c>
      <c r="G334" s="43" t="str">
        <f>IF(tblConteo[[#This Row],[SKU]]="","",IF(INDEX(tblProductos[Activo],ROW()-ROW(tblConteo[#Headers]))="NO","NO","SI"))</f>
        <v/>
      </c>
      <c r="H334" s="54" t="str">
        <f>IF(tblConteo[[#This Row],[SKU]]="","",IFERROR(N(INDEX(tblStock[StockActual],MATCH(tblConteo[[#This Row],[SKU]],tblStock[SKU],0))),0))</f>
        <v/>
      </c>
      <c r="I334" s="53"/>
      <c r="J334" s="60" t="str">
        <f>IF(OR(tblConteo[[#This Row],[SKU]]="",tblConteo[[#This Row],[Conteo]]=""),"",IF(ISNUMBER(tblConteo[[#This Row],[Conteo]]),tblConteo[[#This Row],[Conteo]]-N(tblConteo[[#This Row],[Sistema]]),""))</f>
        <v/>
      </c>
      <c r="K334" s="63" t="str">
        <f>IF(tblConteo[[#This Row],[Diferencia]]="","",tblConteo[[#This Row],[Diferencia]]*N(INDEX(tblProductos[CostoUnitario],ROW()-ROW(tblConteo[#Headers]))))</f>
        <v/>
      </c>
      <c r="L33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5" spans="2:13" x14ac:dyDescent="0.25">
      <c r="B335" s="43" t="str">
        <f>IF(INDEX(tblProductos[SKU],ROW()-ROW(tblConteo[#Headers]))="","",INDEX(tblProductos[SKU],ROW()-ROW(tblConteo[#Headers])))</f>
        <v/>
      </c>
      <c r="C335" s="50" t="str">
        <f>IF(tblConteo[[#This Row],[SKU]]="","",INDEX(tblProductos[Producto],ROW()-ROW(tblConteo[#Headers])))</f>
        <v/>
      </c>
      <c r="D335" s="50" t="str">
        <f>IF(tblConteo[[#This Row],[SKU]]="","",INDEX(tblProductos[Categoría],ROW()-ROW(tblConteo[#Headers]))&amp;"")</f>
        <v/>
      </c>
      <c r="E335" s="43" t="str">
        <f>IF(tblConteo[[#This Row],[SKU]]="","",INDEX(tblProductos[Ubicación],ROW()-ROW(tblConteo[#Headers]))&amp;"")</f>
        <v/>
      </c>
      <c r="F335" s="43" t="str">
        <f>IF(tblConteo[[#This Row],[SKU]]="","",INDEX(tblProductos[Unidad],ROW()-ROW(tblConteo[#Headers]))&amp;"")</f>
        <v/>
      </c>
      <c r="G335" s="43" t="str">
        <f>IF(tblConteo[[#This Row],[SKU]]="","",IF(INDEX(tblProductos[Activo],ROW()-ROW(tblConteo[#Headers]))="NO","NO","SI"))</f>
        <v/>
      </c>
      <c r="H335" s="54" t="str">
        <f>IF(tblConteo[[#This Row],[SKU]]="","",IFERROR(N(INDEX(tblStock[StockActual],MATCH(tblConteo[[#This Row],[SKU]],tblStock[SKU],0))),0))</f>
        <v/>
      </c>
      <c r="I335" s="53"/>
      <c r="J335" s="60" t="str">
        <f>IF(OR(tblConteo[[#This Row],[SKU]]="",tblConteo[[#This Row],[Conteo]]=""),"",IF(ISNUMBER(tblConteo[[#This Row],[Conteo]]),tblConteo[[#This Row],[Conteo]]-N(tblConteo[[#This Row],[Sistema]]),""))</f>
        <v/>
      </c>
      <c r="K335" s="63" t="str">
        <f>IF(tblConteo[[#This Row],[Diferencia]]="","",tblConteo[[#This Row],[Diferencia]]*N(INDEX(tblProductos[CostoUnitario],ROW()-ROW(tblConteo[#Headers]))))</f>
        <v/>
      </c>
      <c r="L33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6" spans="2:13" x14ac:dyDescent="0.25">
      <c r="B336" s="43" t="str">
        <f>IF(INDEX(tblProductos[SKU],ROW()-ROW(tblConteo[#Headers]))="","",INDEX(tblProductos[SKU],ROW()-ROW(tblConteo[#Headers])))</f>
        <v/>
      </c>
      <c r="C336" s="50" t="str">
        <f>IF(tblConteo[[#This Row],[SKU]]="","",INDEX(tblProductos[Producto],ROW()-ROW(tblConteo[#Headers])))</f>
        <v/>
      </c>
      <c r="D336" s="50" t="str">
        <f>IF(tblConteo[[#This Row],[SKU]]="","",INDEX(tblProductos[Categoría],ROW()-ROW(tblConteo[#Headers]))&amp;"")</f>
        <v/>
      </c>
      <c r="E336" s="43" t="str">
        <f>IF(tblConteo[[#This Row],[SKU]]="","",INDEX(tblProductos[Ubicación],ROW()-ROW(tblConteo[#Headers]))&amp;"")</f>
        <v/>
      </c>
      <c r="F336" s="43" t="str">
        <f>IF(tblConteo[[#This Row],[SKU]]="","",INDEX(tblProductos[Unidad],ROW()-ROW(tblConteo[#Headers]))&amp;"")</f>
        <v/>
      </c>
      <c r="G336" s="43" t="str">
        <f>IF(tblConteo[[#This Row],[SKU]]="","",IF(INDEX(tblProductos[Activo],ROW()-ROW(tblConteo[#Headers]))="NO","NO","SI"))</f>
        <v/>
      </c>
      <c r="H336" s="54" t="str">
        <f>IF(tblConteo[[#This Row],[SKU]]="","",IFERROR(N(INDEX(tblStock[StockActual],MATCH(tblConteo[[#This Row],[SKU]],tblStock[SKU],0))),0))</f>
        <v/>
      </c>
      <c r="I336" s="53"/>
      <c r="J336" s="60" t="str">
        <f>IF(OR(tblConteo[[#This Row],[SKU]]="",tblConteo[[#This Row],[Conteo]]=""),"",IF(ISNUMBER(tblConteo[[#This Row],[Conteo]]),tblConteo[[#This Row],[Conteo]]-N(tblConteo[[#This Row],[Sistema]]),""))</f>
        <v/>
      </c>
      <c r="K336" s="63" t="str">
        <f>IF(tblConteo[[#This Row],[Diferencia]]="","",tblConteo[[#This Row],[Diferencia]]*N(INDEX(tblProductos[CostoUnitario],ROW()-ROW(tblConteo[#Headers]))))</f>
        <v/>
      </c>
      <c r="L33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7" spans="2:13" x14ac:dyDescent="0.25">
      <c r="B337" s="43" t="str">
        <f>IF(INDEX(tblProductos[SKU],ROW()-ROW(tblConteo[#Headers]))="","",INDEX(tblProductos[SKU],ROW()-ROW(tblConteo[#Headers])))</f>
        <v/>
      </c>
      <c r="C337" s="50" t="str">
        <f>IF(tblConteo[[#This Row],[SKU]]="","",INDEX(tblProductos[Producto],ROW()-ROW(tblConteo[#Headers])))</f>
        <v/>
      </c>
      <c r="D337" s="50" t="str">
        <f>IF(tblConteo[[#This Row],[SKU]]="","",INDEX(tblProductos[Categoría],ROW()-ROW(tblConteo[#Headers]))&amp;"")</f>
        <v/>
      </c>
      <c r="E337" s="43" t="str">
        <f>IF(tblConteo[[#This Row],[SKU]]="","",INDEX(tblProductos[Ubicación],ROW()-ROW(tblConteo[#Headers]))&amp;"")</f>
        <v/>
      </c>
      <c r="F337" s="43" t="str">
        <f>IF(tblConteo[[#This Row],[SKU]]="","",INDEX(tblProductos[Unidad],ROW()-ROW(tblConteo[#Headers]))&amp;"")</f>
        <v/>
      </c>
      <c r="G337" s="43" t="str">
        <f>IF(tblConteo[[#This Row],[SKU]]="","",IF(INDEX(tblProductos[Activo],ROW()-ROW(tblConteo[#Headers]))="NO","NO","SI"))</f>
        <v/>
      </c>
      <c r="H337" s="54" t="str">
        <f>IF(tblConteo[[#This Row],[SKU]]="","",IFERROR(N(INDEX(tblStock[StockActual],MATCH(tblConteo[[#This Row],[SKU]],tblStock[SKU],0))),0))</f>
        <v/>
      </c>
      <c r="I337" s="53"/>
      <c r="J337" s="60" t="str">
        <f>IF(OR(tblConteo[[#This Row],[SKU]]="",tblConteo[[#This Row],[Conteo]]=""),"",IF(ISNUMBER(tblConteo[[#This Row],[Conteo]]),tblConteo[[#This Row],[Conteo]]-N(tblConteo[[#This Row],[Sistema]]),""))</f>
        <v/>
      </c>
      <c r="K337" s="63" t="str">
        <f>IF(tblConteo[[#This Row],[Diferencia]]="","",tblConteo[[#This Row],[Diferencia]]*N(INDEX(tblProductos[CostoUnitario],ROW()-ROW(tblConteo[#Headers]))))</f>
        <v/>
      </c>
      <c r="L33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8" spans="2:13" x14ac:dyDescent="0.25">
      <c r="B338" s="43" t="str">
        <f>IF(INDEX(tblProductos[SKU],ROW()-ROW(tblConteo[#Headers]))="","",INDEX(tblProductos[SKU],ROW()-ROW(tblConteo[#Headers])))</f>
        <v/>
      </c>
      <c r="C338" s="50" t="str">
        <f>IF(tblConteo[[#This Row],[SKU]]="","",INDEX(tblProductos[Producto],ROW()-ROW(tblConteo[#Headers])))</f>
        <v/>
      </c>
      <c r="D338" s="50" t="str">
        <f>IF(tblConteo[[#This Row],[SKU]]="","",INDEX(tblProductos[Categoría],ROW()-ROW(tblConteo[#Headers]))&amp;"")</f>
        <v/>
      </c>
      <c r="E338" s="43" t="str">
        <f>IF(tblConteo[[#This Row],[SKU]]="","",INDEX(tblProductos[Ubicación],ROW()-ROW(tblConteo[#Headers]))&amp;"")</f>
        <v/>
      </c>
      <c r="F338" s="43" t="str">
        <f>IF(tblConteo[[#This Row],[SKU]]="","",INDEX(tblProductos[Unidad],ROW()-ROW(tblConteo[#Headers]))&amp;"")</f>
        <v/>
      </c>
      <c r="G338" s="43" t="str">
        <f>IF(tblConteo[[#This Row],[SKU]]="","",IF(INDEX(tblProductos[Activo],ROW()-ROW(tblConteo[#Headers]))="NO","NO","SI"))</f>
        <v/>
      </c>
      <c r="H338" s="54" t="str">
        <f>IF(tblConteo[[#This Row],[SKU]]="","",IFERROR(N(INDEX(tblStock[StockActual],MATCH(tblConteo[[#This Row],[SKU]],tblStock[SKU],0))),0))</f>
        <v/>
      </c>
      <c r="I338" s="53"/>
      <c r="J338" s="60" t="str">
        <f>IF(OR(tblConteo[[#This Row],[SKU]]="",tblConteo[[#This Row],[Conteo]]=""),"",IF(ISNUMBER(tblConteo[[#This Row],[Conteo]]),tblConteo[[#This Row],[Conteo]]-N(tblConteo[[#This Row],[Sistema]]),""))</f>
        <v/>
      </c>
      <c r="K338" s="63" t="str">
        <f>IF(tblConteo[[#This Row],[Diferencia]]="","",tblConteo[[#This Row],[Diferencia]]*N(INDEX(tblProductos[CostoUnitario],ROW()-ROW(tblConteo[#Headers]))))</f>
        <v/>
      </c>
      <c r="L33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39" spans="2:13" x14ac:dyDescent="0.25">
      <c r="B339" s="43" t="str">
        <f>IF(INDEX(tblProductos[SKU],ROW()-ROW(tblConteo[#Headers]))="","",INDEX(tblProductos[SKU],ROW()-ROW(tblConteo[#Headers])))</f>
        <v/>
      </c>
      <c r="C339" s="50" t="str">
        <f>IF(tblConteo[[#This Row],[SKU]]="","",INDEX(tblProductos[Producto],ROW()-ROW(tblConteo[#Headers])))</f>
        <v/>
      </c>
      <c r="D339" s="50" t="str">
        <f>IF(tblConteo[[#This Row],[SKU]]="","",INDEX(tblProductos[Categoría],ROW()-ROW(tblConteo[#Headers]))&amp;"")</f>
        <v/>
      </c>
      <c r="E339" s="43" t="str">
        <f>IF(tblConteo[[#This Row],[SKU]]="","",INDEX(tblProductos[Ubicación],ROW()-ROW(tblConteo[#Headers]))&amp;"")</f>
        <v/>
      </c>
      <c r="F339" s="43" t="str">
        <f>IF(tblConteo[[#This Row],[SKU]]="","",INDEX(tblProductos[Unidad],ROW()-ROW(tblConteo[#Headers]))&amp;"")</f>
        <v/>
      </c>
      <c r="G339" s="43" t="str">
        <f>IF(tblConteo[[#This Row],[SKU]]="","",IF(INDEX(tblProductos[Activo],ROW()-ROW(tblConteo[#Headers]))="NO","NO","SI"))</f>
        <v/>
      </c>
      <c r="H339" s="54" t="str">
        <f>IF(tblConteo[[#This Row],[SKU]]="","",IFERROR(N(INDEX(tblStock[StockActual],MATCH(tblConteo[[#This Row],[SKU]],tblStock[SKU],0))),0))</f>
        <v/>
      </c>
      <c r="I339" s="53"/>
      <c r="J339" s="60" t="str">
        <f>IF(OR(tblConteo[[#This Row],[SKU]]="",tblConteo[[#This Row],[Conteo]]=""),"",IF(ISNUMBER(tblConteo[[#This Row],[Conteo]]),tblConteo[[#This Row],[Conteo]]-N(tblConteo[[#This Row],[Sistema]]),""))</f>
        <v/>
      </c>
      <c r="K339" s="63" t="str">
        <f>IF(tblConteo[[#This Row],[Diferencia]]="","",tblConteo[[#This Row],[Diferencia]]*N(INDEX(tblProductos[CostoUnitario],ROW()-ROW(tblConteo[#Headers]))))</f>
        <v/>
      </c>
      <c r="L33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3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0" spans="2:13" x14ac:dyDescent="0.25">
      <c r="B340" s="43" t="str">
        <f>IF(INDEX(tblProductos[SKU],ROW()-ROW(tblConteo[#Headers]))="","",INDEX(tblProductos[SKU],ROW()-ROW(tblConteo[#Headers])))</f>
        <v/>
      </c>
      <c r="C340" s="50" t="str">
        <f>IF(tblConteo[[#This Row],[SKU]]="","",INDEX(tblProductos[Producto],ROW()-ROW(tblConteo[#Headers])))</f>
        <v/>
      </c>
      <c r="D340" s="50" t="str">
        <f>IF(tblConteo[[#This Row],[SKU]]="","",INDEX(tblProductos[Categoría],ROW()-ROW(tblConteo[#Headers]))&amp;"")</f>
        <v/>
      </c>
      <c r="E340" s="43" t="str">
        <f>IF(tblConteo[[#This Row],[SKU]]="","",INDEX(tblProductos[Ubicación],ROW()-ROW(tblConteo[#Headers]))&amp;"")</f>
        <v/>
      </c>
      <c r="F340" s="43" t="str">
        <f>IF(tblConteo[[#This Row],[SKU]]="","",INDEX(tblProductos[Unidad],ROW()-ROW(tblConteo[#Headers]))&amp;"")</f>
        <v/>
      </c>
      <c r="G340" s="43" t="str">
        <f>IF(tblConteo[[#This Row],[SKU]]="","",IF(INDEX(tblProductos[Activo],ROW()-ROW(tblConteo[#Headers]))="NO","NO","SI"))</f>
        <v/>
      </c>
      <c r="H340" s="54" t="str">
        <f>IF(tblConteo[[#This Row],[SKU]]="","",IFERROR(N(INDEX(tblStock[StockActual],MATCH(tblConteo[[#This Row],[SKU]],tblStock[SKU],0))),0))</f>
        <v/>
      </c>
      <c r="I340" s="53"/>
      <c r="J340" s="60" t="str">
        <f>IF(OR(tblConteo[[#This Row],[SKU]]="",tblConteo[[#This Row],[Conteo]]=""),"",IF(ISNUMBER(tblConteo[[#This Row],[Conteo]]),tblConteo[[#This Row],[Conteo]]-N(tblConteo[[#This Row],[Sistema]]),""))</f>
        <v/>
      </c>
      <c r="K340" s="63" t="str">
        <f>IF(tblConteo[[#This Row],[Diferencia]]="","",tblConteo[[#This Row],[Diferencia]]*N(INDEX(tblProductos[CostoUnitario],ROW()-ROW(tblConteo[#Headers]))))</f>
        <v/>
      </c>
      <c r="L34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1" spans="2:13" x14ac:dyDescent="0.25">
      <c r="B341" s="43" t="str">
        <f>IF(INDEX(tblProductos[SKU],ROW()-ROW(tblConteo[#Headers]))="","",INDEX(tblProductos[SKU],ROW()-ROW(tblConteo[#Headers])))</f>
        <v/>
      </c>
      <c r="C341" s="50" t="str">
        <f>IF(tblConteo[[#This Row],[SKU]]="","",INDEX(tblProductos[Producto],ROW()-ROW(tblConteo[#Headers])))</f>
        <v/>
      </c>
      <c r="D341" s="50" t="str">
        <f>IF(tblConteo[[#This Row],[SKU]]="","",INDEX(tblProductos[Categoría],ROW()-ROW(tblConteo[#Headers]))&amp;"")</f>
        <v/>
      </c>
      <c r="E341" s="43" t="str">
        <f>IF(tblConteo[[#This Row],[SKU]]="","",INDEX(tblProductos[Ubicación],ROW()-ROW(tblConteo[#Headers]))&amp;"")</f>
        <v/>
      </c>
      <c r="F341" s="43" t="str">
        <f>IF(tblConteo[[#This Row],[SKU]]="","",INDEX(tblProductos[Unidad],ROW()-ROW(tblConteo[#Headers]))&amp;"")</f>
        <v/>
      </c>
      <c r="G341" s="43" t="str">
        <f>IF(tblConteo[[#This Row],[SKU]]="","",IF(INDEX(tblProductos[Activo],ROW()-ROW(tblConteo[#Headers]))="NO","NO","SI"))</f>
        <v/>
      </c>
      <c r="H341" s="54" t="str">
        <f>IF(tblConteo[[#This Row],[SKU]]="","",IFERROR(N(INDEX(tblStock[StockActual],MATCH(tblConteo[[#This Row],[SKU]],tblStock[SKU],0))),0))</f>
        <v/>
      </c>
      <c r="I341" s="53"/>
      <c r="J341" s="60" t="str">
        <f>IF(OR(tblConteo[[#This Row],[SKU]]="",tblConteo[[#This Row],[Conteo]]=""),"",IF(ISNUMBER(tblConteo[[#This Row],[Conteo]]),tblConteo[[#This Row],[Conteo]]-N(tblConteo[[#This Row],[Sistema]]),""))</f>
        <v/>
      </c>
      <c r="K341" s="63" t="str">
        <f>IF(tblConteo[[#This Row],[Diferencia]]="","",tblConteo[[#This Row],[Diferencia]]*N(INDEX(tblProductos[CostoUnitario],ROW()-ROW(tblConteo[#Headers]))))</f>
        <v/>
      </c>
      <c r="L34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2" spans="2:13" x14ac:dyDescent="0.25">
      <c r="B342" s="43" t="str">
        <f>IF(INDEX(tblProductos[SKU],ROW()-ROW(tblConteo[#Headers]))="","",INDEX(tblProductos[SKU],ROW()-ROW(tblConteo[#Headers])))</f>
        <v/>
      </c>
      <c r="C342" s="50" t="str">
        <f>IF(tblConteo[[#This Row],[SKU]]="","",INDEX(tblProductos[Producto],ROW()-ROW(tblConteo[#Headers])))</f>
        <v/>
      </c>
      <c r="D342" s="50" t="str">
        <f>IF(tblConteo[[#This Row],[SKU]]="","",INDEX(tblProductos[Categoría],ROW()-ROW(tblConteo[#Headers]))&amp;"")</f>
        <v/>
      </c>
      <c r="E342" s="43" t="str">
        <f>IF(tblConteo[[#This Row],[SKU]]="","",INDEX(tblProductos[Ubicación],ROW()-ROW(tblConteo[#Headers]))&amp;"")</f>
        <v/>
      </c>
      <c r="F342" s="43" t="str">
        <f>IF(tblConteo[[#This Row],[SKU]]="","",INDEX(tblProductos[Unidad],ROW()-ROW(tblConteo[#Headers]))&amp;"")</f>
        <v/>
      </c>
      <c r="G342" s="43" t="str">
        <f>IF(tblConteo[[#This Row],[SKU]]="","",IF(INDEX(tblProductos[Activo],ROW()-ROW(tblConteo[#Headers]))="NO","NO","SI"))</f>
        <v/>
      </c>
      <c r="H342" s="54" t="str">
        <f>IF(tblConteo[[#This Row],[SKU]]="","",IFERROR(N(INDEX(tblStock[StockActual],MATCH(tblConteo[[#This Row],[SKU]],tblStock[SKU],0))),0))</f>
        <v/>
      </c>
      <c r="I342" s="53"/>
      <c r="J342" s="60" t="str">
        <f>IF(OR(tblConteo[[#This Row],[SKU]]="",tblConteo[[#This Row],[Conteo]]=""),"",IF(ISNUMBER(tblConteo[[#This Row],[Conteo]]),tblConteo[[#This Row],[Conteo]]-N(tblConteo[[#This Row],[Sistema]]),""))</f>
        <v/>
      </c>
      <c r="K342" s="63" t="str">
        <f>IF(tblConteo[[#This Row],[Diferencia]]="","",tblConteo[[#This Row],[Diferencia]]*N(INDEX(tblProductos[CostoUnitario],ROW()-ROW(tblConteo[#Headers]))))</f>
        <v/>
      </c>
      <c r="L34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3" spans="2:13" x14ac:dyDescent="0.25">
      <c r="B343" s="43" t="str">
        <f>IF(INDEX(tblProductos[SKU],ROW()-ROW(tblConteo[#Headers]))="","",INDEX(tblProductos[SKU],ROW()-ROW(tblConteo[#Headers])))</f>
        <v/>
      </c>
      <c r="C343" s="50" t="str">
        <f>IF(tblConteo[[#This Row],[SKU]]="","",INDEX(tblProductos[Producto],ROW()-ROW(tblConteo[#Headers])))</f>
        <v/>
      </c>
      <c r="D343" s="50" t="str">
        <f>IF(tblConteo[[#This Row],[SKU]]="","",INDEX(tblProductos[Categoría],ROW()-ROW(tblConteo[#Headers]))&amp;"")</f>
        <v/>
      </c>
      <c r="E343" s="43" t="str">
        <f>IF(tblConteo[[#This Row],[SKU]]="","",INDEX(tblProductos[Ubicación],ROW()-ROW(tblConteo[#Headers]))&amp;"")</f>
        <v/>
      </c>
      <c r="F343" s="43" t="str">
        <f>IF(tblConteo[[#This Row],[SKU]]="","",INDEX(tblProductos[Unidad],ROW()-ROW(tblConteo[#Headers]))&amp;"")</f>
        <v/>
      </c>
      <c r="G343" s="43" t="str">
        <f>IF(tblConteo[[#This Row],[SKU]]="","",IF(INDEX(tblProductos[Activo],ROW()-ROW(tblConteo[#Headers]))="NO","NO","SI"))</f>
        <v/>
      </c>
      <c r="H343" s="54" t="str">
        <f>IF(tblConteo[[#This Row],[SKU]]="","",IFERROR(N(INDEX(tblStock[StockActual],MATCH(tblConteo[[#This Row],[SKU]],tblStock[SKU],0))),0))</f>
        <v/>
      </c>
      <c r="I343" s="53"/>
      <c r="J343" s="60" t="str">
        <f>IF(OR(tblConteo[[#This Row],[SKU]]="",tblConteo[[#This Row],[Conteo]]=""),"",IF(ISNUMBER(tblConteo[[#This Row],[Conteo]]),tblConteo[[#This Row],[Conteo]]-N(tblConteo[[#This Row],[Sistema]]),""))</f>
        <v/>
      </c>
      <c r="K343" s="63" t="str">
        <f>IF(tblConteo[[#This Row],[Diferencia]]="","",tblConteo[[#This Row],[Diferencia]]*N(INDEX(tblProductos[CostoUnitario],ROW()-ROW(tblConteo[#Headers]))))</f>
        <v/>
      </c>
      <c r="L34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4" spans="2:13" x14ac:dyDescent="0.25">
      <c r="B344" s="43" t="str">
        <f>IF(INDEX(tblProductos[SKU],ROW()-ROW(tblConteo[#Headers]))="","",INDEX(tblProductos[SKU],ROW()-ROW(tblConteo[#Headers])))</f>
        <v/>
      </c>
      <c r="C344" s="50" t="str">
        <f>IF(tblConteo[[#This Row],[SKU]]="","",INDEX(tblProductos[Producto],ROW()-ROW(tblConteo[#Headers])))</f>
        <v/>
      </c>
      <c r="D344" s="50" t="str">
        <f>IF(tblConteo[[#This Row],[SKU]]="","",INDEX(tblProductos[Categoría],ROW()-ROW(tblConteo[#Headers]))&amp;"")</f>
        <v/>
      </c>
      <c r="E344" s="43" t="str">
        <f>IF(tblConteo[[#This Row],[SKU]]="","",INDEX(tblProductos[Ubicación],ROW()-ROW(tblConteo[#Headers]))&amp;"")</f>
        <v/>
      </c>
      <c r="F344" s="43" t="str">
        <f>IF(tblConteo[[#This Row],[SKU]]="","",INDEX(tblProductos[Unidad],ROW()-ROW(tblConteo[#Headers]))&amp;"")</f>
        <v/>
      </c>
      <c r="G344" s="43" t="str">
        <f>IF(tblConteo[[#This Row],[SKU]]="","",IF(INDEX(tblProductos[Activo],ROW()-ROW(tblConteo[#Headers]))="NO","NO","SI"))</f>
        <v/>
      </c>
      <c r="H344" s="54" t="str">
        <f>IF(tblConteo[[#This Row],[SKU]]="","",IFERROR(N(INDEX(tblStock[StockActual],MATCH(tblConteo[[#This Row],[SKU]],tblStock[SKU],0))),0))</f>
        <v/>
      </c>
      <c r="I344" s="53"/>
      <c r="J344" s="60" t="str">
        <f>IF(OR(tblConteo[[#This Row],[SKU]]="",tblConteo[[#This Row],[Conteo]]=""),"",IF(ISNUMBER(tblConteo[[#This Row],[Conteo]]),tblConteo[[#This Row],[Conteo]]-N(tblConteo[[#This Row],[Sistema]]),""))</f>
        <v/>
      </c>
      <c r="K344" s="63" t="str">
        <f>IF(tblConteo[[#This Row],[Diferencia]]="","",tblConteo[[#This Row],[Diferencia]]*N(INDEX(tblProductos[CostoUnitario],ROW()-ROW(tblConteo[#Headers]))))</f>
        <v/>
      </c>
      <c r="L34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5" spans="2:13" x14ac:dyDescent="0.25">
      <c r="B345" s="43" t="str">
        <f>IF(INDEX(tblProductos[SKU],ROW()-ROW(tblConteo[#Headers]))="","",INDEX(tblProductos[SKU],ROW()-ROW(tblConteo[#Headers])))</f>
        <v/>
      </c>
      <c r="C345" s="50" t="str">
        <f>IF(tblConteo[[#This Row],[SKU]]="","",INDEX(tblProductos[Producto],ROW()-ROW(tblConteo[#Headers])))</f>
        <v/>
      </c>
      <c r="D345" s="50" t="str">
        <f>IF(tblConteo[[#This Row],[SKU]]="","",INDEX(tblProductos[Categoría],ROW()-ROW(tblConteo[#Headers]))&amp;"")</f>
        <v/>
      </c>
      <c r="E345" s="43" t="str">
        <f>IF(tblConteo[[#This Row],[SKU]]="","",INDEX(tblProductos[Ubicación],ROW()-ROW(tblConteo[#Headers]))&amp;"")</f>
        <v/>
      </c>
      <c r="F345" s="43" t="str">
        <f>IF(tblConteo[[#This Row],[SKU]]="","",INDEX(tblProductos[Unidad],ROW()-ROW(tblConteo[#Headers]))&amp;"")</f>
        <v/>
      </c>
      <c r="G345" s="43" t="str">
        <f>IF(tblConteo[[#This Row],[SKU]]="","",IF(INDEX(tblProductos[Activo],ROW()-ROW(tblConteo[#Headers]))="NO","NO","SI"))</f>
        <v/>
      </c>
      <c r="H345" s="54" t="str">
        <f>IF(tblConteo[[#This Row],[SKU]]="","",IFERROR(N(INDEX(tblStock[StockActual],MATCH(tblConteo[[#This Row],[SKU]],tblStock[SKU],0))),0))</f>
        <v/>
      </c>
      <c r="I345" s="53"/>
      <c r="J345" s="60" t="str">
        <f>IF(OR(tblConteo[[#This Row],[SKU]]="",tblConteo[[#This Row],[Conteo]]=""),"",IF(ISNUMBER(tblConteo[[#This Row],[Conteo]]),tblConteo[[#This Row],[Conteo]]-N(tblConteo[[#This Row],[Sistema]]),""))</f>
        <v/>
      </c>
      <c r="K345" s="63" t="str">
        <f>IF(tblConteo[[#This Row],[Diferencia]]="","",tblConteo[[#This Row],[Diferencia]]*N(INDEX(tblProductos[CostoUnitario],ROW()-ROW(tblConteo[#Headers]))))</f>
        <v/>
      </c>
      <c r="L34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6" spans="2:13" x14ac:dyDescent="0.25">
      <c r="B346" s="43" t="str">
        <f>IF(INDEX(tblProductos[SKU],ROW()-ROW(tblConteo[#Headers]))="","",INDEX(tblProductos[SKU],ROW()-ROW(tblConteo[#Headers])))</f>
        <v/>
      </c>
      <c r="C346" s="50" t="str">
        <f>IF(tblConteo[[#This Row],[SKU]]="","",INDEX(tblProductos[Producto],ROW()-ROW(tblConteo[#Headers])))</f>
        <v/>
      </c>
      <c r="D346" s="50" t="str">
        <f>IF(tblConteo[[#This Row],[SKU]]="","",INDEX(tblProductos[Categoría],ROW()-ROW(tblConteo[#Headers]))&amp;"")</f>
        <v/>
      </c>
      <c r="E346" s="43" t="str">
        <f>IF(tblConteo[[#This Row],[SKU]]="","",INDEX(tblProductos[Ubicación],ROW()-ROW(tblConteo[#Headers]))&amp;"")</f>
        <v/>
      </c>
      <c r="F346" s="43" t="str">
        <f>IF(tblConteo[[#This Row],[SKU]]="","",INDEX(tblProductos[Unidad],ROW()-ROW(tblConteo[#Headers]))&amp;"")</f>
        <v/>
      </c>
      <c r="G346" s="43" t="str">
        <f>IF(tblConteo[[#This Row],[SKU]]="","",IF(INDEX(tblProductos[Activo],ROW()-ROW(tblConteo[#Headers]))="NO","NO","SI"))</f>
        <v/>
      </c>
      <c r="H346" s="54" t="str">
        <f>IF(tblConteo[[#This Row],[SKU]]="","",IFERROR(N(INDEX(tblStock[StockActual],MATCH(tblConteo[[#This Row],[SKU]],tblStock[SKU],0))),0))</f>
        <v/>
      </c>
      <c r="I346" s="53"/>
      <c r="J346" s="60" t="str">
        <f>IF(OR(tblConteo[[#This Row],[SKU]]="",tblConteo[[#This Row],[Conteo]]=""),"",IF(ISNUMBER(tblConteo[[#This Row],[Conteo]]),tblConteo[[#This Row],[Conteo]]-N(tblConteo[[#This Row],[Sistema]]),""))</f>
        <v/>
      </c>
      <c r="K346" s="63" t="str">
        <f>IF(tblConteo[[#This Row],[Diferencia]]="","",tblConteo[[#This Row],[Diferencia]]*N(INDEX(tblProductos[CostoUnitario],ROW()-ROW(tblConteo[#Headers]))))</f>
        <v/>
      </c>
      <c r="L34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7" spans="2:13" x14ac:dyDescent="0.25">
      <c r="B347" s="43" t="str">
        <f>IF(INDEX(tblProductos[SKU],ROW()-ROW(tblConteo[#Headers]))="","",INDEX(tblProductos[SKU],ROW()-ROW(tblConteo[#Headers])))</f>
        <v/>
      </c>
      <c r="C347" s="50" t="str">
        <f>IF(tblConteo[[#This Row],[SKU]]="","",INDEX(tblProductos[Producto],ROW()-ROW(tblConteo[#Headers])))</f>
        <v/>
      </c>
      <c r="D347" s="50" t="str">
        <f>IF(tblConteo[[#This Row],[SKU]]="","",INDEX(tblProductos[Categoría],ROW()-ROW(tblConteo[#Headers]))&amp;"")</f>
        <v/>
      </c>
      <c r="E347" s="43" t="str">
        <f>IF(tblConteo[[#This Row],[SKU]]="","",INDEX(tblProductos[Ubicación],ROW()-ROW(tblConteo[#Headers]))&amp;"")</f>
        <v/>
      </c>
      <c r="F347" s="43" t="str">
        <f>IF(tblConteo[[#This Row],[SKU]]="","",INDEX(tblProductos[Unidad],ROW()-ROW(tblConteo[#Headers]))&amp;"")</f>
        <v/>
      </c>
      <c r="G347" s="43" t="str">
        <f>IF(tblConteo[[#This Row],[SKU]]="","",IF(INDEX(tblProductos[Activo],ROW()-ROW(tblConteo[#Headers]))="NO","NO","SI"))</f>
        <v/>
      </c>
      <c r="H347" s="54" t="str">
        <f>IF(tblConteo[[#This Row],[SKU]]="","",IFERROR(N(INDEX(tblStock[StockActual],MATCH(tblConteo[[#This Row],[SKU]],tblStock[SKU],0))),0))</f>
        <v/>
      </c>
      <c r="I347" s="53"/>
      <c r="J347" s="60" t="str">
        <f>IF(OR(tblConteo[[#This Row],[SKU]]="",tblConteo[[#This Row],[Conteo]]=""),"",IF(ISNUMBER(tblConteo[[#This Row],[Conteo]]),tblConteo[[#This Row],[Conteo]]-N(tblConteo[[#This Row],[Sistema]]),""))</f>
        <v/>
      </c>
      <c r="K347" s="63" t="str">
        <f>IF(tblConteo[[#This Row],[Diferencia]]="","",tblConteo[[#This Row],[Diferencia]]*N(INDEX(tblProductos[CostoUnitario],ROW()-ROW(tblConteo[#Headers]))))</f>
        <v/>
      </c>
      <c r="L34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8" spans="2:13" x14ac:dyDescent="0.25">
      <c r="B348" s="43" t="str">
        <f>IF(INDEX(tblProductos[SKU],ROW()-ROW(tblConteo[#Headers]))="","",INDEX(tblProductos[SKU],ROW()-ROW(tblConteo[#Headers])))</f>
        <v/>
      </c>
      <c r="C348" s="50" t="str">
        <f>IF(tblConteo[[#This Row],[SKU]]="","",INDEX(tblProductos[Producto],ROW()-ROW(tblConteo[#Headers])))</f>
        <v/>
      </c>
      <c r="D348" s="50" t="str">
        <f>IF(tblConteo[[#This Row],[SKU]]="","",INDEX(tblProductos[Categoría],ROW()-ROW(tblConteo[#Headers]))&amp;"")</f>
        <v/>
      </c>
      <c r="E348" s="43" t="str">
        <f>IF(tblConteo[[#This Row],[SKU]]="","",INDEX(tblProductos[Ubicación],ROW()-ROW(tblConteo[#Headers]))&amp;"")</f>
        <v/>
      </c>
      <c r="F348" s="43" t="str">
        <f>IF(tblConteo[[#This Row],[SKU]]="","",INDEX(tblProductos[Unidad],ROW()-ROW(tblConteo[#Headers]))&amp;"")</f>
        <v/>
      </c>
      <c r="G348" s="43" t="str">
        <f>IF(tblConteo[[#This Row],[SKU]]="","",IF(INDEX(tblProductos[Activo],ROW()-ROW(tblConteo[#Headers]))="NO","NO","SI"))</f>
        <v/>
      </c>
      <c r="H348" s="54" t="str">
        <f>IF(tblConteo[[#This Row],[SKU]]="","",IFERROR(N(INDEX(tblStock[StockActual],MATCH(tblConteo[[#This Row],[SKU]],tblStock[SKU],0))),0))</f>
        <v/>
      </c>
      <c r="I348" s="53"/>
      <c r="J348" s="60" t="str">
        <f>IF(OR(tblConteo[[#This Row],[SKU]]="",tblConteo[[#This Row],[Conteo]]=""),"",IF(ISNUMBER(tblConteo[[#This Row],[Conteo]]),tblConteo[[#This Row],[Conteo]]-N(tblConteo[[#This Row],[Sistema]]),""))</f>
        <v/>
      </c>
      <c r="K348" s="63" t="str">
        <f>IF(tblConteo[[#This Row],[Diferencia]]="","",tblConteo[[#This Row],[Diferencia]]*N(INDEX(tblProductos[CostoUnitario],ROW()-ROW(tblConteo[#Headers]))))</f>
        <v/>
      </c>
      <c r="L34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49" spans="2:13" x14ac:dyDescent="0.25">
      <c r="B349" s="43" t="str">
        <f>IF(INDEX(tblProductos[SKU],ROW()-ROW(tblConteo[#Headers]))="","",INDEX(tblProductos[SKU],ROW()-ROW(tblConteo[#Headers])))</f>
        <v/>
      </c>
      <c r="C349" s="50" t="str">
        <f>IF(tblConteo[[#This Row],[SKU]]="","",INDEX(tblProductos[Producto],ROW()-ROW(tblConteo[#Headers])))</f>
        <v/>
      </c>
      <c r="D349" s="50" t="str">
        <f>IF(tblConteo[[#This Row],[SKU]]="","",INDEX(tblProductos[Categoría],ROW()-ROW(tblConteo[#Headers]))&amp;"")</f>
        <v/>
      </c>
      <c r="E349" s="43" t="str">
        <f>IF(tblConteo[[#This Row],[SKU]]="","",INDEX(tblProductos[Ubicación],ROW()-ROW(tblConteo[#Headers]))&amp;"")</f>
        <v/>
      </c>
      <c r="F349" s="43" t="str">
        <f>IF(tblConteo[[#This Row],[SKU]]="","",INDEX(tblProductos[Unidad],ROW()-ROW(tblConteo[#Headers]))&amp;"")</f>
        <v/>
      </c>
      <c r="G349" s="43" t="str">
        <f>IF(tblConteo[[#This Row],[SKU]]="","",IF(INDEX(tblProductos[Activo],ROW()-ROW(tblConteo[#Headers]))="NO","NO","SI"))</f>
        <v/>
      </c>
      <c r="H349" s="54" t="str">
        <f>IF(tblConteo[[#This Row],[SKU]]="","",IFERROR(N(INDEX(tblStock[StockActual],MATCH(tblConteo[[#This Row],[SKU]],tblStock[SKU],0))),0))</f>
        <v/>
      </c>
      <c r="I349" s="53"/>
      <c r="J349" s="60" t="str">
        <f>IF(OR(tblConteo[[#This Row],[SKU]]="",tblConteo[[#This Row],[Conteo]]=""),"",IF(ISNUMBER(tblConteo[[#This Row],[Conteo]]),tblConteo[[#This Row],[Conteo]]-N(tblConteo[[#This Row],[Sistema]]),""))</f>
        <v/>
      </c>
      <c r="K349" s="63" t="str">
        <f>IF(tblConteo[[#This Row],[Diferencia]]="","",tblConteo[[#This Row],[Diferencia]]*N(INDEX(tblProductos[CostoUnitario],ROW()-ROW(tblConteo[#Headers]))))</f>
        <v/>
      </c>
      <c r="L34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4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0" spans="2:13" x14ac:dyDescent="0.25">
      <c r="B350" s="43" t="str">
        <f>IF(INDEX(tblProductos[SKU],ROW()-ROW(tblConteo[#Headers]))="","",INDEX(tblProductos[SKU],ROW()-ROW(tblConteo[#Headers])))</f>
        <v/>
      </c>
      <c r="C350" s="50" t="str">
        <f>IF(tblConteo[[#This Row],[SKU]]="","",INDEX(tblProductos[Producto],ROW()-ROW(tblConteo[#Headers])))</f>
        <v/>
      </c>
      <c r="D350" s="50" t="str">
        <f>IF(tblConteo[[#This Row],[SKU]]="","",INDEX(tblProductos[Categoría],ROW()-ROW(tblConteo[#Headers]))&amp;"")</f>
        <v/>
      </c>
      <c r="E350" s="43" t="str">
        <f>IF(tblConteo[[#This Row],[SKU]]="","",INDEX(tblProductos[Ubicación],ROW()-ROW(tblConteo[#Headers]))&amp;"")</f>
        <v/>
      </c>
      <c r="F350" s="43" t="str">
        <f>IF(tblConteo[[#This Row],[SKU]]="","",INDEX(tblProductos[Unidad],ROW()-ROW(tblConteo[#Headers]))&amp;"")</f>
        <v/>
      </c>
      <c r="G350" s="43" t="str">
        <f>IF(tblConteo[[#This Row],[SKU]]="","",IF(INDEX(tblProductos[Activo],ROW()-ROW(tblConteo[#Headers]))="NO","NO","SI"))</f>
        <v/>
      </c>
      <c r="H350" s="54" t="str">
        <f>IF(tblConteo[[#This Row],[SKU]]="","",IFERROR(N(INDEX(tblStock[StockActual],MATCH(tblConteo[[#This Row],[SKU]],tblStock[SKU],0))),0))</f>
        <v/>
      </c>
      <c r="I350" s="53"/>
      <c r="J350" s="60" t="str">
        <f>IF(OR(tblConteo[[#This Row],[SKU]]="",tblConteo[[#This Row],[Conteo]]=""),"",IF(ISNUMBER(tblConteo[[#This Row],[Conteo]]),tblConteo[[#This Row],[Conteo]]-N(tblConteo[[#This Row],[Sistema]]),""))</f>
        <v/>
      </c>
      <c r="K350" s="63" t="str">
        <f>IF(tblConteo[[#This Row],[Diferencia]]="","",tblConteo[[#This Row],[Diferencia]]*N(INDEX(tblProductos[CostoUnitario],ROW()-ROW(tblConteo[#Headers]))))</f>
        <v/>
      </c>
      <c r="L35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1" spans="2:13" x14ac:dyDescent="0.25">
      <c r="B351" s="43" t="str">
        <f>IF(INDEX(tblProductos[SKU],ROW()-ROW(tblConteo[#Headers]))="","",INDEX(tblProductos[SKU],ROW()-ROW(tblConteo[#Headers])))</f>
        <v/>
      </c>
      <c r="C351" s="50" t="str">
        <f>IF(tblConteo[[#This Row],[SKU]]="","",INDEX(tblProductos[Producto],ROW()-ROW(tblConteo[#Headers])))</f>
        <v/>
      </c>
      <c r="D351" s="50" t="str">
        <f>IF(tblConteo[[#This Row],[SKU]]="","",INDEX(tblProductos[Categoría],ROW()-ROW(tblConteo[#Headers]))&amp;"")</f>
        <v/>
      </c>
      <c r="E351" s="43" t="str">
        <f>IF(tblConteo[[#This Row],[SKU]]="","",INDEX(tblProductos[Ubicación],ROW()-ROW(tblConteo[#Headers]))&amp;"")</f>
        <v/>
      </c>
      <c r="F351" s="43" t="str">
        <f>IF(tblConteo[[#This Row],[SKU]]="","",INDEX(tblProductos[Unidad],ROW()-ROW(tblConteo[#Headers]))&amp;"")</f>
        <v/>
      </c>
      <c r="G351" s="43" t="str">
        <f>IF(tblConteo[[#This Row],[SKU]]="","",IF(INDEX(tblProductos[Activo],ROW()-ROW(tblConteo[#Headers]))="NO","NO","SI"))</f>
        <v/>
      </c>
      <c r="H351" s="54" t="str">
        <f>IF(tblConteo[[#This Row],[SKU]]="","",IFERROR(N(INDEX(tblStock[StockActual],MATCH(tblConteo[[#This Row],[SKU]],tblStock[SKU],0))),0))</f>
        <v/>
      </c>
      <c r="I351" s="53"/>
      <c r="J351" s="60" t="str">
        <f>IF(OR(tblConteo[[#This Row],[SKU]]="",tblConteo[[#This Row],[Conteo]]=""),"",IF(ISNUMBER(tblConteo[[#This Row],[Conteo]]),tblConteo[[#This Row],[Conteo]]-N(tblConteo[[#This Row],[Sistema]]),""))</f>
        <v/>
      </c>
      <c r="K351" s="63" t="str">
        <f>IF(tblConteo[[#This Row],[Diferencia]]="","",tblConteo[[#This Row],[Diferencia]]*N(INDEX(tblProductos[CostoUnitario],ROW()-ROW(tblConteo[#Headers]))))</f>
        <v/>
      </c>
      <c r="L35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2" spans="2:13" x14ac:dyDescent="0.25">
      <c r="B352" s="43" t="str">
        <f>IF(INDEX(tblProductos[SKU],ROW()-ROW(tblConteo[#Headers]))="","",INDEX(tblProductos[SKU],ROW()-ROW(tblConteo[#Headers])))</f>
        <v/>
      </c>
      <c r="C352" s="50" t="str">
        <f>IF(tblConteo[[#This Row],[SKU]]="","",INDEX(tblProductos[Producto],ROW()-ROW(tblConteo[#Headers])))</f>
        <v/>
      </c>
      <c r="D352" s="50" t="str">
        <f>IF(tblConteo[[#This Row],[SKU]]="","",INDEX(tblProductos[Categoría],ROW()-ROW(tblConteo[#Headers]))&amp;"")</f>
        <v/>
      </c>
      <c r="E352" s="43" t="str">
        <f>IF(tblConteo[[#This Row],[SKU]]="","",INDEX(tblProductos[Ubicación],ROW()-ROW(tblConteo[#Headers]))&amp;"")</f>
        <v/>
      </c>
      <c r="F352" s="43" t="str">
        <f>IF(tblConteo[[#This Row],[SKU]]="","",INDEX(tblProductos[Unidad],ROW()-ROW(tblConteo[#Headers]))&amp;"")</f>
        <v/>
      </c>
      <c r="G352" s="43" t="str">
        <f>IF(tblConteo[[#This Row],[SKU]]="","",IF(INDEX(tblProductos[Activo],ROW()-ROW(tblConteo[#Headers]))="NO","NO","SI"))</f>
        <v/>
      </c>
      <c r="H352" s="54" t="str">
        <f>IF(tblConteo[[#This Row],[SKU]]="","",IFERROR(N(INDEX(tblStock[StockActual],MATCH(tblConteo[[#This Row],[SKU]],tblStock[SKU],0))),0))</f>
        <v/>
      </c>
      <c r="I352" s="53"/>
      <c r="J352" s="60" t="str">
        <f>IF(OR(tblConteo[[#This Row],[SKU]]="",tblConteo[[#This Row],[Conteo]]=""),"",IF(ISNUMBER(tblConteo[[#This Row],[Conteo]]),tblConteo[[#This Row],[Conteo]]-N(tblConteo[[#This Row],[Sistema]]),""))</f>
        <v/>
      </c>
      <c r="K352" s="63" t="str">
        <f>IF(tblConteo[[#This Row],[Diferencia]]="","",tblConteo[[#This Row],[Diferencia]]*N(INDEX(tblProductos[CostoUnitario],ROW()-ROW(tblConteo[#Headers]))))</f>
        <v/>
      </c>
      <c r="L35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3" spans="2:13" x14ac:dyDescent="0.25">
      <c r="B353" s="43" t="str">
        <f>IF(INDEX(tblProductos[SKU],ROW()-ROW(tblConteo[#Headers]))="","",INDEX(tblProductos[SKU],ROW()-ROW(tblConteo[#Headers])))</f>
        <v/>
      </c>
      <c r="C353" s="50" t="str">
        <f>IF(tblConteo[[#This Row],[SKU]]="","",INDEX(tblProductos[Producto],ROW()-ROW(tblConteo[#Headers])))</f>
        <v/>
      </c>
      <c r="D353" s="50" t="str">
        <f>IF(tblConteo[[#This Row],[SKU]]="","",INDEX(tblProductos[Categoría],ROW()-ROW(tblConteo[#Headers]))&amp;"")</f>
        <v/>
      </c>
      <c r="E353" s="43" t="str">
        <f>IF(tblConteo[[#This Row],[SKU]]="","",INDEX(tblProductos[Ubicación],ROW()-ROW(tblConteo[#Headers]))&amp;"")</f>
        <v/>
      </c>
      <c r="F353" s="43" t="str">
        <f>IF(tblConteo[[#This Row],[SKU]]="","",INDEX(tblProductos[Unidad],ROW()-ROW(tblConteo[#Headers]))&amp;"")</f>
        <v/>
      </c>
      <c r="G353" s="43" t="str">
        <f>IF(tblConteo[[#This Row],[SKU]]="","",IF(INDEX(tblProductos[Activo],ROW()-ROW(tblConteo[#Headers]))="NO","NO","SI"))</f>
        <v/>
      </c>
      <c r="H353" s="54" t="str">
        <f>IF(tblConteo[[#This Row],[SKU]]="","",IFERROR(N(INDEX(tblStock[StockActual],MATCH(tblConteo[[#This Row],[SKU]],tblStock[SKU],0))),0))</f>
        <v/>
      </c>
      <c r="I353" s="53"/>
      <c r="J353" s="60" t="str">
        <f>IF(OR(tblConteo[[#This Row],[SKU]]="",tblConteo[[#This Row],[Conteo]]=""),"",IF(ISNUMBER(tblConteo[[#This Row],[Conteo]]),tblConteo[[#This Row],[Conteo]]-N(tblConteo[[#This Row],[Sistema]]),""))</f>
        <v/>
      </c>
      <c r="K353" s="63" t="str">
        <f>IF(tblConteo[[#This Row],[Diferencia]]="","",tblConteo[[#This Row],[Diferencia]]*N(INDEX(tblProductos[CostoUnitario],ROW()-ROW(tblConteo[#Headers]))))</f>
        <v/>
      </c>
      <c r="L35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4" spans="2:13" x14ac:dyDescent="0.25">
      <c r="B354" s="43" t="str">
        <f>IF(INDEX(tblProductos[SKU],ROW()-ROW(tblConteo[#Headers]))="","",INDEX(tblProductos[SKU],ROW()-ROW(tblConteo[#Headers])))</f>
        <v/>
      </c>
      <c r="C354" s="50" t="str">
        <f>IF(tblConteo[[#This Row],[SKU]]="","",INDEX(tblProductos[Producto],ROW()-ROW(tblConteo[#Headers])))</f>
        <v/>
      </c>
      <c r="D354" s="50" t="str">
        <f>IF(tblConteo[[#This Row],[SKU]]="","",INDEX(tblProductos[Categoría],ROW()-ROW(tblConteo[#Headers]))&amp;"")</f>
        <v/>
      </c>
      <c r="E354" s="43" t="str">
        <f>IF(tblConteo[[#This Row],[SKU]]="","",INDEX(tblProductos[Ubicación],ROW()-ROW(tblConteo[#Headers]))&amp;"")</f>
        <v/>
      </c>
      <c r="F354" s="43" t="str">
        <f>IF(tblConteo[[#This Row],[SKU]]="","",INDEX(tblProductos[Unidad],ROW()-ROW(tblConteo[#Headers]))&amp;"")</f>
        <v/>
      </c>
      <c r="G354" s="43" t="str">
        <f>IF(tblConteo[[#This Row],[SKU]]="","",IF(INDEX(tblProductos[Activo],ROW()-ROW(tblConteo[#Headers]))="NO","NO","SI"))</f>
        <v/>
      </c>
      <c r="H354" s="54" t="str">
        <f>IF(tblConteo[[#This Row],[SKU]]="","",IFERROR(N(INDEX(tblStock[StockActual],MATCH(tblConteo[[#This Row],[SKU]],tblStock[SKU],0))),0))</f>
        <v/>
      </c>
      <c r="I354" s="53"/>
      <c r="J354" s="60" t="str">
        <f>IF(OR(tblConteo[[#This Row],[SKU]]="",tblConteo[[#This Row],[Conteo]]=""),"",IF(ISNUMBER(tblConteo[[#This Row],[Conteo]]),tblConteo[[#This Row],[Conteo]]-N(tblConteo[[#This Row],[Sistema]]),""))</f>
        <v/>
      </c>
      <c r="K354" s="63" t="str">
        <f>IF(tblConteo[[#This Row],[Diferencia]]="","",tblConteo[[#This Row],[Diferencia]]*N(INDEX(tblProductos[CostoUnitario],ROW()-ROW(tblConteo[#Headers]))))</f>
        <v/>
      </c>
      <c r="L35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5" spans="2:13" x14ac:dyDescent="0.25">
      <c r="B355" s="43" t="str">
        <f>IF(INDEX(tblProductos[SKU],ROW()-ROW(tblConteo[#Headers]))="","",INDEX(tblProductos[SKU],ROW()-ROW(tblConteo[#Headers])))</f>
        <v/>
      </c>
      <c r="C355" s="50" t="str">
        <f>IF(tblConteo[[#This Row],[SKU]]="","",INDEX(tblProductos[Producto],ROW()-ROW(tblConteo[#Headers])))</f>
        <v/>
      </c>
      <c r="D355" s="50" t="str">
        <f>IF(tblConteo[[#This Row],[SKU]]="","",INDEX(tblProductos[Categoría],ROW()-ROW(tblConteo[#Headers]))&amp;"")</f>
        <v/>
      </c>
      <c r="E355" s="43" t="str">
        <f>IF(tblConteo[[#This Row],[SKU]]="","",INDEX(tblProductos[Ubicación],ROW()-ROW(tblConteo[#Headers]))&amp;"")</f>
        <v/>
      </c>
      <c r="F355" s="43" t="str">
        <f>IF(tblConteo[[#This Row],[SKU]]="","",INDEX(tblProductos[Unidad],ROW()-ROW(tblConteo[#Headers]))&amp;"")</f>
        <v/>
      </c>
      <c r="G355" s="43" t="str">
        <f>IF(tblConteo[[#This Row],[SKU]]="","",IF(INDEX(tblProductos[Activo],ROW()-ROW(tblConteo[#Headers]))="NO","NO","SI"))</f>
        <v/>
      </c>
      <c r="H355" s="54" t="str">
        <f>IF(tblConteo[[#This Row],[SKU]]="","",IFERROR(N(INDEX(tblStock[StockActual],MATCH(tblConteo[[#This Row],[SKU]],tblStock[SKU],0))),0))</f>
        <v/>
      </c>
      <c r="I355" s="53"/>
      <c r="J355" s="60" t="str">
        <f>IF(OR(tblConteo[[#This Row],[SKU]]="",tblConteo[[#This Row],[Conteo]]=""),"",IF(ISNUMBER(tblConteo[[#This Row],[Conteo]]),tblConteo[[#This Row],[Conteo]]-N(tblConteo[[#This Row],[Sistema]]),""))</f>
        <v/>
      </c>
      <c r="K355" s="63" t="str">
        <f>IF(tblConteo[[#This Row],[Diferencia]]="","",tblConteo[[#This Row],[Diferencia]]*N(INDEX(tblProductos[CostoUnitario],ROW()-ROW(tblConteo[#Headers]))))</f>
        <v/>
      </c>
      <c r="L35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6" spans="2:13" x14ac:dyDescent="0.25">
      <c r="B356" s="43" t="str">
        <f>IF(INDEX(tblProductos[SKU],ROW()-ROW(tblConteo[#Headers]))="","",INDEX(tblProductos[SKU],ROW()-ROW(tblConteo[#Headers])))</f>
        <v/>
      </c>
      <c r="C356" s="50" t="str">
        <f>IF(tblConteo[[#This Row],[SKU]]="","",INDEX(tblProductos[Producto],ROW()-ROW(tblConteo[#Headers])))</f>
        <v/>
      </c>
      <c r="D356" s="50" t="str">
        <f>IF(tblConteo[[#This Row],[SKU]]="","",INDEX(tblProductos[Categoría],ROW()-ROW(tblConteo[#Headers]))&amp;"")</f>
        <v/>
      </c>
      <c r="E356" s="43" t="str">
        <f>IF(tblConteo[[#This Row],[SKU]]="","",INDEX(tblProductos[Ubicación],ROW()-ROW(tblConteo[#Headers]))&amp;"")</f>
        <v/>
      </c>
      <c r="F356" s="43" t="str">
        <f>IF(tblConteo[[#This Row],[SKU]]="","",INDEX(tblProductos[Unidad],ROW()-ROW(tblConteo[#Headers]))&amp;"")</f>
        <v/>
      </c>
      <c r="G356" s="43" t="str">
        <f>IF(tblConteo[[#This Row],[SKU]]="","",IF(INDEX(tblProductos[Activo],ROW()-ROW(tblConteo[#Headers]))="NO","NO","SI"))</f>
        <v/>
      </c>
      <c r="H356" s="54" t="str">
        <f>IF(tblConteo[[#This Row],[SKU]]="","",IFERROR(N(INDEX(tblStock[StockActual],MATCH(tblConteo[[#This Row],[SKU]],tblStock[SKU],0))),0))</f>
        <v/>
      </c>
      <c r="I356" s="53"/>
      <c r="J356" s="60" t="str">
        <f>IF(OR(tblConteo[[#This Row],[SKU]]="",tblConteo[[#This Row],[Conteo]]=""),"",IF(ISNUMBER(tblConteo[[#This Row],[Conteo]]),tblConteo[[#This Row],[Conteo]]-N(tblConteo[[#This Row],[Sistema]]),""))</f>
        <v/>
      </c>
      <c r="K356" s="63" t="str">
        <f>IF(tblConteo[[#This Row],[Diferencia]]="","",tblConteo[[#This Row],[Diferencia]]*N(INDEX(tblProductos[CostoUnitario],ROW()-ROW(tblConteo[#Headers]))))</f>
        <v/>
      </c>
      <c r="L35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7" spans="2:13" x14ac:dyDescent="0.25">
      <c r="B357" s="43" t="str">
        <f>IF(INDEX(tblProductos[SKU],ROW()-ROW(tblConteo[#Headers]))="","",INDEX(tblProductos[SKU],ROW()-ROW(tblConteo[#Headers])))</f>
        <v/>
      </c>
      <c r="C357" s="50" t="str">
        <f>IF(tblConteo[[#This Row],[SKU]]="","",INDEX(tblProductos[Producto],ROW()-ROW(tblConteo[#Headers])))</f>
        <v/>
      </c>
      <c r="D357" s="50" t="str">
        <f>IF(tblConteo[[#This Row],[SKU]]="","",INDEX(tblProductos[Categoría],ROW()-ROW(tblConteo[#Headers]))&amp;"")</f>
        <v/>
      </c>
      <c r="E357" s="43" t="str">
        <f>IF(tblConteo[[#This Row],[SKU]]="","",INDEX(tblProductos[Ubicación],ROW()-ROW(tblConteo[#Headers]))&amp;"")</f>
        <v/>
      </c>
      <c r="F357" s="43" t="str">
        <f>IF(tblConteo[[#This Row],[SKU]]="","",INDEX(tblProductos[Unidad],ROW()-ROW(tblConteo[#Headers]))&amp;"")</f>
        <v/>
      </c>
      <c r="G357" s="43" t="str">
        <f>IF(tblConteo[[#This Row],[SKU]]="","",IF(INDEX(tblProductos[Activo],ROW()-ROW(tblConteo[#Headers]))="NO","NO","SI"))</f>
        <v/>
      </c>
      <c r="H357" s="54" t="str">
        <f>IF(tblConteo[[#This Row],[SKU]]="","",IFERROR(N(INDEX(tblStock[StockActual],MATCH(tblConteo[[#This Row],[SKU]],tblStock[SKU],0))),0))</f>
        <v/>
      </c>
      <c r="I357" s="53"/>
      <c r="J357" s="60" t="str">
        <f>IF(OR(tblConteo[[#This Row],[SKU]]="",tblConteo[[#This Row],[Conteo]]=""),"",IF(ISNUMBER(tblConteo[[#This Row],[Conteo]]),tblConteo[[#This Row],[Conteo]]-N(tblConteo[[#This Row],[Sistema]]),""))</f>
        <v/>
      </c>
      <c r="K357" s="63" t="str">
        <f>IF(tblConteo[[#This Row],[Diferencia]]="","",tblConteo[[#This Row],[Diferencia]]*N(INDEX(tblProductos[CostoUnitario],ROW()-ROW(tblConteo[#Headers]))))</f>
        <v/>
      </c>
      <c r="L35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8" spans="2:13" x14ac:dyDescent="0.25">
      <c r="B358" s="43" t="str">
        <f>IF(INDEX(tblProductos[SKU],ROW()-ROW(tblConteo[#Headers]))="","",INDEX(tblProductos[SKU],ROW()-ROW(tblConteo[#Headers])))</f>
        <v/>
      </c>
      <c r="C358" s="50" t="str">
        <f>IF(tblConteo[[#This Row],[SKU]]="","",INDEX(tblProductos[Producto],ROW()-ROW(tblConteo[#Headers])))</f>
        <v/>
      </c>
      <c r="D358" s="50" t="str">
        <f>IF(tblConteo[[#This Row],[SKU]]="","",INDEX(tblProductos[Categoría],ROW()-ROW(tblConteo[#Headers]))&amp;"")</f>
        <v/>
      </c>
      <c r="E358" s="43" t="str">
        <f>IF(tblConteo[[#This Row],[SKU]]="","",INDEX(tblProductos[Ubicación],ROW()-ROW(tblConteo[#Headers]))&amp;"")</f>
        <v/>
      </c>
      <c r="F358" s="43" t="str">
        <f>IF(tblConteo[[#This Row],[SKU]]="","",INDEX(tblProductos[Unidad],ROW()-ROW(tblConteo[#Headers]))&amp;"")</f>
        <v/>
      </c>
      <c r="G358" s="43" t="str">
        <f>IF(tblConteo[[#This Row],[SKU]]="","",IF(INDEX(tblProductos[Activo],ROW()-ROW(tblConteo[#Headers]))="NO","NO","SI"))</f>
        <v/>
      </c>
      <c r="H358" s="54" t="str">
        <f>IF(tblConteo[[#This Row],[SKU]]="","",IFERROR(N(INDEX(tblStock[StockActual],MATCH(tblConteo[[#This Row],[SKU]],tblStock[SKU],0))),0))</f>
        <v/>
      </c>
      <c r="I358" s="53"/>
      <c r="J358" s="60" t="str">
        <f>IF(OR(tblConteo[[#This Row],[SKU]]="",tblConteo[[#This Row],[Conteo]]=""),"",IF(ISNUMBER(tblConteo[[#This Row],[Conteo]]),tblConteo[[#This Row],[Conteo]]-N(tblConteo[[#This Row],[Sistema]]),""))</f>
        <v/>
      </c>
      <c r="K358" s="63" t="str">
        <f>IF(tblConteo[[#This Row],[Diferencia]]="","",tblConteo[[#This Row],[Diferencia]]*N(INDEX(tblProductos[CostoUnitario],ROW()-ROW(tblConteo[#Headers]))))</f>
        <v/>
      </c>
      <c r="L35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59" spans="2:13" x14ac:dyDescent="0.25">
      <c r="B359" s="43" t="str">
        <f>IF(INDEX(tblProductos[SKU],ROW()-ROW(tblConteo[#Headers]))="","",INDEX(tblProductos[SKU],ROW()-ROW(tblConteo[#Headers])))</f>
        <v/>
      </c>
      <c r="C359" s="50" t="str">
        <f>IF(tblConteo[[#This Row],[SKU]]="","",INDEX(tblProductos[Producto],ROW()-ROW(tblConteo[#Headers])))</f>
        <v/>
      </c>
      <c r="D359" s="50" t="str">
        <f>IF(tblConteo[[#This Row],[SKU]]="","",INDEX(tblProductos[Categoría],ROW()-ROW(tblConteo[#Headers]))&amp;"")</f>
        <v/>
      </c>
      <c r="E359" s="43" t="str">
        <f>IF(tblConteo[[#This Row],[SKU]]="","",INDEX(tblProductos[Ubicación],ROW()-ROW(tblConteo[#Headers]))&amp;"")</f>
        <v/>
      </c>
      <c r="F359" s="43" t="str">
        <f>IF(tblConteo[[#This Row],[SKU]]="","",INDEX(tblProductos[Unidad],ROW()-ROW(tblConteo[#Headers]))&amp;"")</f>
        <v/>
      </c>
      <c r="G359" s="43" t="str">
        <f>IF(tblConteo[[#This Row],[SKU]]="","",IF(INDEX(tblProductos[Activo],ROW()-ROW(tblConteo[#Headers]))="NO","NO","SI"))</f>
        <v/>
      </c>
      <c r="H359" s="54" t="str">
        <f>IF(tblConteo[[#This Row],[SKU]]="","",IFERROR(N(INDEX(tblStock[StockActual],MATCH(tblConteo[[#This Row],[SKU]],tblStock[SKU],0))),0))</f>
        <v/>
      </c>
      <c r="I359" s="53"/>
      <c r="J359" s="60" t="str">
        <f>IF(OR(tblConteo[[#This Row],[SKU]]="",tblConteo[[#This Row],[Conteo]]=""),"",IF(ISNUMBER(tblConteo[[#This Row],[Conteo]]),tblConteo[[#This Row],[Conteo]]-N(tblConteo[[#This Row],[Sistema]]),""))</f>
        <v/>
      </c>
      <c r="K359" s="63" t="str">
        <f>IF(tblConteo[[#This Row],[Diferencia]]="","",tblConteo[[#This Row],[Diferencia]]*N(INDEX(tblProductos[CostoUnitario],ROW()-ROW(tblConteo[#Headers]))))</f>
        <v/>
      </c>
      <c r="L35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5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0" spans="2:13" x14ac:dyDescent="0.25">
      <c r="B360" s="43" t="str">
        <f>IF(INDEX(tblProductos[SKU],ROW()-ROW(tblConteo[#Headers]))="","",INDEX(tblProductos[SKU],ROW()-ROW(tblConteo[#Headers])))</f>
        <v/>
      </c>
      <c r="C360" s="50" t="str">
        <f>IF(tblConteo[[#This Row],[SKU]]="","",INDEX(tblProductos[Producto],ROW()-ROW(tblConteo[#Headers])))</f>
        <v/>
      </c>
      <c r="D360" s="50" t="str">
        <f>IF(tblConteo[[#This Row],[SKU]]="","",INDEX(tblProductos[Categoría],ROW()-ROW(tblConteo[#Headers]))&amp;"")</f>
        <v/>
      </c>
      <c r="E360" s="43" t="str">
        <f>IF(tblConteo[[#This Row],[SKU]]="","",INDEX(tblProductos[Ubicación],ROW()-ROW(tblConteo[#Headers]))&amp;"")</f>
        <v/>
      </c>
      <c r="F360" s="43" t="str">
        <f>IF(tblConteo[[#This Row],[SKU]]="","",INDEX(tblProductos[Unidad],ROW()-ROW(tblConteo[#Headers]))&amp;"")</f>
        <v/>
      </c>
      <c r="G360" s="43" t="str">
        <f>IF(tblConteo[[#This Row],[SKU]]="","",IF(INDEX(tblProductos[Activo],ROW()-ROW(tblConteo[#Headers]))="NO","NO","SI"))</f>
        <v/>
      </c>
      <c r="H360" s="54" t="str">
        <f>IF(tblConteo[[#This Row],[SKU]]="","",IFERROR(N(INDEX(tblStock[StockActual],MATCH(tblConteo[[#This Row],[SKU]],tblStock[SKU],0))),0))</f>
        <v/>
      </c>
      <c r="I360" s="53"/>
      <c r="J360" s="60" t="str">
        <f>IF(OR(tblConteo[[#This Row],[SKU]]="",tblConteo[[#This Row],[Conteo]]=""),"",IF(ISNUMBER(tblConteo[[#This Row],[Conteo]]),tblConteo[[#This Row],[Conteo]]-N(tblConteo[[#This Row],[Sistema]]),""))</f>
        <v/>
      </c>
      <c r="K360" s="63" t="str">
        <f>IF(tblConteo[[#This Row],[Diferencia]]="","",tblConteo[[#This Row],[Diferencia]]*N(INDEX(tblProductos[CostoUnitario],ROW()-ROW(tblConteo[#Headers]))))</f>
        <v/>
      </c>
      <c r="L36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1" spans="2:13" x14ac:dyDescent="0.25">
      <c r="B361" s="43" t="str">
        <f>IF(INDEX(tblProductos[SKU],ROW()-ROW(tblConteo[#Headers]))="","",INDEX(tblProductos[SKU],ROW()-ROW(tblConteo[#Headers])))</f>
        <v/>
      </c>
      <c r="C361" s="50" t="str">
        <f>IF(tblConteo[[#This Row],[SKU]]="","",INDEX(tblProductos[Producto],ROW()-ROW(tblConteo[#Headers])))</f>
        <v/>
      </c>
      <c r="D361" s="50" t="str">
        <f>IF(tblConteo[[#This Row],[SKU]]="","",INDEX(tblProductos[Categoría],ROW()-ROW(tblConteo[#Headers]))&amp;"")</f>
        <v/>
      </c>
      <c r="E361" s="43" t="str">
        <f>IF(tblConteo[[#This Row],[SKU]]="","",INDEX(tblProductos[Ubicación],ROW()-ROW(tblConteo[#Headers]))&amp;"")</f>
        <v/>
      </c>
      <c r="F361" s="43" t="str">
        <f>IF(tblConteo[[#This Row],[SKU]]="","",INDEX(tblProductos[Unidad],ROW()-ROW(tblConteo[#Headers]))&amp;"")</f>
        <v/>
      </c>
      <c r="G361" s="43" t="str">
        <f>IF(tblConteo[[#This Row],[SKU]]="","",IF(INDEX(tblProductos[Activo],ROW()-ROW(tblConteo[#Headers]))="NO","NO","SI"))</f>
        <v/>
      </c>
      <c r="H361" s="54" t="str">
        <f>IF(tblConteo[[#This Row],[SKU]]="","",IFERROR(N(INDEX(tblStock[StockActual],MATCH(tblConteo[[#This Row],[SKU]],tblStock[SKU],0))),0))</f>
        <v/>
      </c>
      <c r="I361" s="53"/>
      <c r="J361" s="60" t="str">
        <f>IF(OR(tblConteo[[#This Row],[SKU]]="",tblConteo[[#This Row],[Conteo]]=""),"",IF(ISNUMBER(tblConteo[[#This Row],[Conteo]]),tblConteo[[#This Row],[Conteo]]-N(tblConteo[[#This Row],[Sistema]]),""))</f>
        <v/>
      </c>
      <c r="K361" s="63" t="str">
        <f>IF(tblConteo[[#This Row],[Diferencia]]="","",tblConteo[[#This Row],[Diferencia]]*N(INDEX(tblProductos[CostoUnitario],ROW()-ROW(tblConteo[#Headers]))))</f>
        <v/>
      </c>
      <c r="L36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2" spans="2:13" x14ac:dyDescent="0.25">
      <c r="B362" s="43" t="str">
        <f>IF(INDEX(tblProductos[SKU],ROW()-ROW(tblConteo[#Headers]))="","",INDEX(tblProductos[SKU],ROW()-ROW(tblConteo[#Headers])))</f>
        <v/>
      </c>
      <c r="C362" s="50" t="str">
        <f>IF(tblConteo[[#This Row],[SKU]]="","",INDEX(tblProductos[Producto],ROW()-ROW(tblConteo[#Headers])))</f>
        <v/>
      </c>
      <c r="D362" s="50" t="str">
        <f>IF(tblConteo[[#This Row],[SKU]]="","",INDEX(tblProductos[Categoría],ROW()-ROW(tblConteo[#Headers]))&amp;"")</f>
        <v/>
      </c>
      <c r="E362" s="43" t="str">
        <f>IF(tblConteo[[#This Row],[SKU]]="","",INDEX(tblProductos[Ubicación],ROW()-ROW(tblConteo[#Headers]))&amp;"")</f>
        <v/>
      </c>
      <c r="F362" s="43" t="str">
        <f>IF(tblConteo[[#This Row],[SKU]]="","",INDEX(tblProductos[Unidad],ROW()-ROW(tblConteo[#Headers]))&amp;"")</f>
        <v/>
      </c>
      <c r="G362" s="43" t="str">
        <f>IF(tblConteo[[#This Row],[SKU]]="","",IF(INDEX(tblProductos[Activo],ROW()-ROW(tblConteo[#Headers]))="NO","NO","SI"))</f>
        <v/>
      </c>
      <c r="H362" s="54" t="str">
        <f>IF(tblConteo[[#This Row],[SKU]]="","",IFERROR(N(INDEX(tblStock[StockActual],MATCH(tblConteo[[#This Row],[SKU]],tblStock[SKU],0))),0))</f>
        <v/>
      </c>
      <c r="I362" s="53"/>
      <c r="J362" s="60" t="str">
        <f>IF(OR(tblConteo[[#This Row],[SKU]]="",tblConteo[[#This Row],[Conteo]]=""),"",IF(ISNUMBER(tblConteo[[#This Row],[Conteo]]),tblConteo[[#This Row],[Conteo]]-N(tblConteo[[#This Row],[Sistema]]),""))</f>
        <v/>
      </c>
      <c r="K362" s="63" t="str">
        <f>IF(tblConteo[[#This Row],[Diferencia]]="","",tblConteo[[#This Row],[Diferencia]]*N(INDEX(tblProductos[CostoUnitario],ROW()-ROW(tblConteo[#Headers]))))</f>
        <v/>
      </c>
      <c r="L36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3" spans="2:13" x14ac:dyDescent="0.25">
      <c r="B363" s="43" t="str">
        <f>IF(INDEX(tblProductos[SKU],ROW()-ROW(tblConteo[#Headers]))="","",INDEX(tblProductos[SKU],ROW()-ROW(tblConteo[#Headers])))</f>
        <v/>
      </c>
      <c r="C363" s="50" t="str">
        <f>IF(tblConteo[[#This Row],[SKU]]="","",INDEX(tblProductos[Producto],ROW()-ROW(tblConteo[#Headers])))</f>
        <v/>
      </c>
      <c r="D363" s="50" t="str">
        <f>IF(tblConteo[[#This Row],[SKU]]="","",INDEX(tblProductos[Categoría],ROW()-ROW(tblConteo[#Headers]))&amp;"")</f>
        <v/>
      </c>
      <c r="E363" s="43" t="str">
        <f>IF(tblConteo[[#This Row],[SKU]]="","",INDEX(tblProductos[Ubicación],ROW()-ROW(tblConteo[#Headers]))&amp;"")</f>
        <v/>
      </c>
      <c r="F363" s="43" t="str">
        <f>IF(tblConteo[[#This Row],[SKU]]="","",INDEX(tblProductos[Unidad],ROW()-ROW(tblConteo[#Headers]))&amp;"")</f>
        <v/>
      </c>
      <c r="G363" s="43" t="str">
        <f>IF(tblConteo[[#This Row],[SKU]]="","",IF(INDEX(tblProductos[Activo],ROW()-ROW(tblConteo[#Headers]))="NO","NO","SI"))</f>
        <v/>
      </c>
      <c r="H363" s="54" t="str">
        <f>IF(tblConteo[[#This Row],[SKU]]="","",IFERROR(N(INDEX(tblStock[StockActual],MATCH(tblConteo[[#This Row],[SKU]],tblStock[SKU],0))),0))</f>
        <v/>
      </c>
      <c r="I363" s="53"/>
      <c r="J363" s="60" t="str">
        <f>IF(OR(tblConteo[[#This Row],[SKU]]="",tblConteo[[#This Row],[Conteo]]=""),"",IF(ISNUMBER(tblConteo[[#This Row],[Conteo]]),tblConteo[[#This Row],[Conteo]]-N(tblConteo[[#This Row],[Sistema]]),""))</f>
        <v/>
      </c>
      <c r="K363" s="63" t="str">
        <f>IF(tblConteo[[#This Row],[Diferencia]]="","",tblConteo[[#This Row],[Diferencia]]*N(INDEX(tblProductos[CostoUnitario],ROW()-ROW(tblConteo[#Headers]))))</f>
        <v/>
      </c>
      <c r="L36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4" spans="2:13" x14ac:dyDescent="0.25">
      <c r="B364" s="43" t="str">
        <f>IF(INDEX(tblProductos[SKU],ROW()-ROW(tblConteo[#Headers]))="","",INDEX(tblProductos[SKU],ROW()-ROW(tblConteo[#Headers])))</f>
        <v/>
      </c>
      <c r="C364" s="50" t="str">
        <f>IF(tblConteo[[#This Row],[SKU]]="","",INDEX(tblProductos[Producto],ROW()-ROW(tblConteo[#Headers])))</f>
        <v/>
      </c>
      <c r="D364" s="50" t="str">
        <f>IF(tblConteo[[#This Row],[SKU]]="","",INDEX(tblProductos[Categoría],ROW()-ROW(tblConteo[#Headers]))&amp;"")</f>
        <v/>
      </c>
      <c r="E364" s="43" t="str">
        <f>IF(tblConteo[[#This Row],[SKU]]="","",INDEX(tblProductos[Ubicación],ROW()-ROW(tblConteo[#Headers]))&amp;"")</f>
        <v/>
      </c>
      <c r="F364" s="43" t="str">
        <f>IF(tblConteo[[#This Row],[SKU]]="","",INDEX(tblProductos[Unidad],ROW()-ROW(tblConteo[#Headers]))&amp;"")</f>
        <v/>
      </c>
      <c r="G364" s="43" t="str">
        <f>IF(tblConteo[[#This Row],[SKU]]="","",IF(INDEX(tblProductos[Activo],ROW()-ROW(tblConteo[#Headers]))="NO","NO","SI"))</f>
        <v/>
      </c>
      <c r="H364" s="54" t="str">
        <f>IF(tblConteo[[#This Row],[SKU]]="","",IFERROR(N(INDEX(tblStock[StockActual],MATCH(tblConteo[[#This Row],[SKU]],tblStock[SKU],0))),0))</f>
        <v/>
      </c>
      <c r="I364" s="53"/>
      <c r="J364" s="60" t="str">
        <f>IF(OR(tblConteo[[#This Row],[SKU]]="",tblConteo[[#This Row],[Conteo]]=""),"",IF(ISNUMBER(tblConteo[[#This Row],[Conteo]]),tblConteo[[#This Row],[Conteo]]-N(tblConteo[[#This Row],[Sistema]]),""))</f>
        <v/>
      </c>
      <c r="K364" s="63" t="str">
        <f>IF(tblConteo[[#This Row],[Diferencia]]="","",tblConteo[[#This Row],[Diferencia]]*N(INDEX(tblProductos[CostoUnitario],ROW()-ROW(tblConteo[#Headers]))))</f>
        <v/>
      </c>
      <c r="L36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5" spans="2:13" x14ac:dyDescent="0.25">
      <c r="B365" s="43" t="str">
        <f>IF(INDEX(tblProductos[SKU],ROW()-ROW(tblConteo[#Headers]))="","",INDEX(tblProductos[SKU],ROW()-ROW(tblConteo[#Headers])))</f>
        <v/>
      </c>
      <c r="C365" s="50" t="str">
        <f>IF(tblConteo[[#This Row],[SKU]]="","",INDEX(tblProductos[Producto],ROW()-ROW(tblConteo[#Headers])))</f>
        <v/>
      </c>
      <c r="D365" s="50" t="str">
        <f>IF(tblConteo[[#This Row],[SKU]]="","",INDEX(tblProductos[Categoría],ROW()-ROW(tblConteo[#Headers]))&amp;"")</f>
        <v/>
      </c>
      <c r="E365" s="43" t="str">
        <f>IF(tblConteo[[#This Row],[SKU]]="","",INDEX(tblProductos[Ubicación],ROW()-ROW(tblConteo[#Headers]))&amp;"")</f>
        <v/>
      </c>
      <c r="F365" s="43" t="str">
        <f>IF(tblConteo[[#This Row],[SKU]]="","",INDEX(tblProductos[Unidad],ROW()-ROW(tblConteo[#Headers]))&amp;"")</f>
        <v/>
      </c>
      <c r="G365" s="43" t="str">
        <f>IF(tblConteo[[#This Row],[SKU]]="","",IF(INDEX(tblProductos[Activo],ROW()-ROW(tblConteo[#Headers]))="NO","NO","SI"))</f>
        <v/>
      </c>
      <c r="H365" s="54" t="str">
        <f>IF(tblConteo[[#This Row],[SKU]]="","",IFERROR(N(INDEX(tblStock[StockActual],MATCH(tblConteo[[#This Row],[SKU]],tblStock[SKU],0))),0))</f>
        <v/>
      </c>
      <c r="I365" s="53"/>
      <c r="J365" s="60" t="str">
        <f>IF(OR(tblConteo[[#This Row],[SKU]]="",tblConteo[[#This Row],[Conteo]]=""),"",IF(ISNUMBER(tblConteo[[#This Row],[Conteo]]),tblConteo[[#This Row],[Conteo]]-N(tblConteo[[#This Row],[Sistema]]),""))</f>
        <v/>
      </c>
      <c r="K365" s="63" t="str">
        <f>IF(tblConteo[[#This Row],[Diferencia]]="","",tblConteo[[#This Row],[Diferencia]]*N(INDEX(tblProductos[CostoUnitario],ROW()-ROW(tblConteo[#Headers]))))</f>
        <v/>
      </c>
      <c r="L36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6" spans="2:13" x14ac:dyDescent="0.25">
      <c r="B366" s="43" t="str">
        <f>IF(INDEX(tblProductos[SKU],ROW()-ROW(tblConteo[#Headers]))="","",INDEX(tblProductos[SKU],ROW()-ROW(tblConteo[#Headers])))</f>
        <v/>
      </c>
      <c r="C366" s="50" t="str">
        <f>IF(tblConteo[[#This Row],[SKU]]="","",INDEX(tblProductos[Producto],ROW()-ROW(tblConteo[#Headers])))</f>
        <v/>
      </c>
      <c r="D366" s="50" t="str">
        <f>IF(tblConteo[[#This Row],[SKU]]="","",INDEX(tblProductos[Categoría],ROW()-ROW(tblConteo[#Headers]))&amp;"")</f>
        <v/>
      </c>
      <c r="E366" s="43" t="str">
        <f>IF(tblConteo[[#This Row],[SKU]]="","",INDEX(tblProductos[Ubicación],ROW()-ROW(tblConteo[#Headers]))&amp;"")</f>
        <v/>
      </c>
      <c r="F366" s="43" t="str">
        <f>IF(tblConteo[[#This Row],[SKU]]="","",INDEX(tblProductos[Unidad],ROW()-ROW(tblConteo[#Headers]))&amp;"")</f>
        <v/>
      </c>
      <c r="G366" s="43" t="str">
        <f>IF(tblConteo[[#This Row],[SKU]]="","",IF(INDEX(tblProductos[Activo],ROW()-ROW(tblConteo[#Headers]))="NO","NO","SI"))</f>
        <v/>
      </c>
      <c r="H366" s="54" t="str">
        <f>IF(tblConteo[[#This Row],[SKU]]="","",IFERROR(N(INDEX(tblStock[StockActual],MATCH(tblConteo[[#This Row],[SKU]],tblStock[SKU],0))),0))</f>
        <v/>
      </c>
      <c r="I366" s="53"/>
      <c r="J366" s="60" t="str">
        <f>IF(OR(tblConteo[[#This Row],[SKU]]="",tblConteo[[#This Row],[Conteo]]=""),"",IF(ISNUMBER(tblConteo[[#This Row],[Conteo]]),tblConteo[[#This Row],[Conteo]]-N(tblConteo[[#This Row],[Sistema]]),""))</f>
        <v/>
      </c>
      <c r="K366" s="63" t="str">
        <f>IF(tblConteo[[#This Row],[Diferencia]]="","",tblConteo[[#This Row],[Diferencia]]*N(INDEX(tblProductos[CostoUnitario],ROW()-ROW(tblConteo[#Headers]))))</f>
        <v/>
      </c>
      <c r="L36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7" spans="2:13" x14ac:dyDescent="0.25">
      <c r="B367" s="43" t="str">
        <f>IF(INDEX(tblProductos[SKU],ROW()-ROW(tblConteo[#Headers]))="","",INDEX(tblProductos[SKU],ROW()-ROW(tblConteo[#Headers])))</f>
        <v/>
      </c>
      <c r="C367" s="50" t="str">
        <f>IF(tblConteo[[#This Row],[SKU]]="","",INDEX(tblProductos[Producto],ROW()-ROW(tblConteo[#Headers])))</f>
        <v/>
      </c>
      <c r="D367" s="50" t="str">
        <f>IF(tblConteo[[#This Row],[SKU]]="","",INDEX(tblProductos[Categoría],ROW()-ROW(tblConteo[#Headers]))&amp;"")</f>
        <v/>
      </c>
      <c r="E367" s="43" t="str">
        <f>IF(tblConteo[[#This Row],[SKU]]="","",INDEX(tblProductos[Ubicación],ROW()-ROW(tblConteo[#Headers]))&amp;"")</f>
        <v/>
      </c>
      <c r="F367" s="43" t="str">
        <f>IF(tblConteo[[#This Row],[SKU]]="","",INDEX(tblProductos[Unidad],ROW()-ROW(tblConteo[#Headers]))&amp;"")</f>
        <v/>
      </c>
      <c r="G367" s="43" t="str">
        <f>IF(tblConteo[[#This Row],[SKU]]="","",IF(INDEX(tblProductos[Activo],ROW()-ROW(tblConteo[#Headers]))="NO","NO","SI"))</f>
        <v/>
      </c>
      <c r="H367" s="54" t="str">
        <f>IF(tblConteo[[#This Row],[SKU]]="","",IFERROR(N(INDEX(tblStock[StockActual],MATCH(tblConteo[[#This Row],[SKU]],tblStock[SKU],0))),0))</f>
        <v/>
      </c>
      <c r="I367" s="53"/>
      <c r="J367" s="60" t="str">
        <f>IF(OR(tblConteo[[#This Row],[SKU]]="",tblConteo[[#This Row],[Conteo]]=""),"",IF(ISNUMBER(tblConteo[[#This Row],[Conteo]]),tblConteo[[#This Row],[Conteo]]-N(tblConteo[[#This Row],[Sistema]]),""))</f>
        <v/>
      </c>
      <c r="K367" s="63" t="str">
        <f>IF(tblConteo[[#This Row],[Diferencia]]="","",tblConteo[[#This Row],[Diferencia]]*N(INDEX(tblProductos[CostoUnitario],ROW()-ROW(tblConteo[#Headers]))))</f>
        <v/>
      </c>
      <c r="L36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8" spans="2:13" x14ac:dyDescent="0.25">
      <c r="B368" s="43" t="str">
        <f>IF(INDEX(tblProductos[SKU],ROW()-ROW(tblConteo[#Headers]))="","",INDEX(tblProductos[SKU],ROW()-ROW(tblConteo[#Headers])))</f>
        <v/>
      </c>
      <c r="C368" s="50" t="str">
        <f>IF(tblConteo[[#This Row],[SKU]]="","",INDEX(tblProductos[Producto],ROW()-ROW(tblConteo[#Headers])))</f>
        <v/>
      </c>
      <c r="D368" s="50" t="str">
        <f>IF(tblConteo[[#This Row],[SKU]]="","",INDEX(tblProductos[Categoría],ROW()-ROW(tblConteo[#Headers]))&amp;"")</f>
        <v/>
      </c>
      <c r="E368" s="43" t="str">
        <f>IF(tblConteo[[#This Row],[SKU]]="","",INDEX(tblProductos[Ubicación],ROW()-ROW(tblConteo[#Headers]))&amp;"")</f>
        <v/>
      </c>
      <c r="F368" s="43" t="str">
        <f>IF(tblConteo[[#This Row],[SKU]]="","",INDEX(tblProductos[Unidad],ROW()-ROW(tblConteo[#Headers]))&amp;"")</f>
        <v/>
      </c>
      <c r="G368" s="43" t="str">
        <f>IF(tblConteo[[#This Row],[SKU]]="","",IF(INDEX(tblProductos[Activo],ROW()-ROW(tblConteo[#Headers]))="NO","NO","SI"))</f>
        <v/>
      </c>
      <c r="H368" s="54" t="str">
        <f>IF(tblConteo[[#This Row],[SKU]]="","",IFERROR(N(INDEX(tblStock[StockActual],MATCH(tblConteo[[#This Row],[SKU]],tblStock[SKU],0))),0))</f>
        <v/>
      </c>
      <c r="I368" s="53"/>
      <c r="J368" s="60" t="str">
        <f>IF(OR(tblConteo[[#This Row],[SKU]]="",tblConteo[[#This Row],[Conteo]]=""),"",IF(ISNUMBER(tblConteo[[#This Row],[Conteo]]),tblConteo[[#This Row],[Conteo]]-N(tblConteo[[#This Row],[Sistema]]),""))</f>
        <v/>
      </c>
      <c r="K368" s="63" t="str">
        <f>IF(tblConteo[[#This Row],[Diferencia]]="","",tblConteo[[#This Row],[Diferencia]]*N(INDEX(tblProductos[CostoUnitario],ROW()-ROW(tblConteo[#Headers]))))</f>
        <v/>
      </c>
      <c r="L36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69" spans="2:13" x14ac:dyDescent="0.25">
      <c r="B369" s="43" t="str">
        <f>IF(INDEX(tblProductos[SKU],ROW()-ROW(tblConteo[#Headers]))="","",INDEX(tblProductos[SKU],ROW()-ROW(tblConteo[#Headers])))</f>
        <v/>
      </c>
      <c r="C369" s="50" t="str">
        <f>IF(tblConteo[[#This Row],[SKU]]="","",INDEX(tblProductos[Producto],ROW()-ROW(tblConteo[#Headers])))</f>
        <v/>
      </c>
      <c r="D369" s="50" t="str">
        <f>IF(tblConteo[[#This Row],[SKU]]="","",INDEX(tblProductos[Categoría],ROW()-ROW(tblConteo[#Headers]))&amp;"")</f>
        <v/>
      </c>
      <c r="E369" s="43" t="str">
        <f>IF(tblConteo[[#This Row],[SKU]]="","",INDEX(tblProductos[Ubicación],ROW()-ROW(tblConteo[#Headers]))&amp;"")</f>
        <v/>
      </c>
      <c r="F369" s="43" t="str">
        <f>IF(tblConteo[[#This Row],[SKU]]="","",INDEX(tblProductos[Unidad],ROW()-ROW(tblConteo[#Headers]))&amp;"")</f>
        <v/>
      </c>
      <c r="G369" s="43" t="str">
        <f>IF(tblConteo[[#This Row],[SKU]]="","",IF(INDEX(tblProductos[Activo],ROW()-ROW(tblConteo[#Headers]))="NO","NO","SI"))</f>
        <v/>
      </c>
      <c r="H369" s="54" t="str">
        <f>IF(tblConteo[[#This Row],[SKU]]="","",IFERROR(N(INDEX(tblStock[StockActual],MATCH(tblConteo[[#This Row],[SKU]],tblStock[SKU],0))),0))</f>
        <v/>
      </c>
      <c r="I369" s="53"/>
      <c r="J369" s="60" t="str">
        <f>IF(OR(tblConteo[[#This Row],[SKU]]="",tblConteo[[#This Row],[Conteo]]=""),"",IF(ISNUMBER(tblConteo[[#This Row],[Conteo]]),tblConteo[[#This Row],[Conteo]]-N(tblConteo[[#This Row],[Sistema]]),""))</f>
        <v/>
      </c>
      <c r="K369" s="63" t="str">
        <f>IF(tblConteo[[#This Row],[Diferencia]]="","",tblConteo[[#This Row],[Diferencia]]*N(INDEX(tblProductos[CostoUnitario],ROW()-ROW(tblConteo[#Headers]))))</f>
        <v/>
      </c>
      <c r="L36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6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0" spans="2:13" x14ac:dyDescent="0.25">
      <c r="B370" s="43" t="str">
        <f>IF(INDEX(tblProductos[SKU],ROW()-ROW(tblConteo[#Headers]))="","",INDEX(tblProductos[SKU],ROW()-ROW(tblConteo[#Headers])))</f>
        <v/>
      </c>
      <c r="C370" s="50" t="str">
        <f>IF(tblConteo[[#This Row],[SKU]]="","",INDEX(tblProductos[Producto],ROW()-ROW(tblConteo[#Headers])))</f>
        <v/>
      </c>
      <c r="D370" s="50" t="str">
        <f>IF(tblConteo[[#This Row],[SKU]]="","",INDEX(tblProductos[Categoría],ROW()-ROW(tblConteo[#Headers]))&amp;"")</f>
        <v/>
      </c>
      <c r="E370" s="43" t="str">
        <f>IF(tblConteo[[#This Row],[SKU]]="","",INDEX(tblProductos[Ubicación],ROW()-ROW(tblConteo[#Headers]))&amp;"")</f>
        <v/>
      </c>
      <c r="F370" s="43" t="str">
        <f>IF(tblConteo[[#This Row],[SKU]]="","",INDEX(tblProductos[Unidad],ROW()-ROW(tblConteo[#Headers]))&amp;"")</f>
        <v/>
      </c>
      <c r="G370" s="43" t="str">
        <f>IF(tblConteo[[#This Row],[SKU]]="","",IF(INDEX(tblProductos[Activo],ROW()-ROW(tblConteo[#Headers]))="NO","NO","SI"))</f>
        <v/>
      </c>
      <c r="H370" s="54" t="str">
        <f>IF(tblConteo[[#This Row],[SKU]]="","",IFERROR(N(INDEX(tblStock[StockActual],MATCH(tblConteo[[#This Row],[SKU]],tblStock[SKU],0))),0))</f>
        <v/>
      </c>
      <c r="I370" s="53"/>
      <c r="J370" s="60" t="str">
        <f>IF(OR(tblConteo[[#This Row],[SKU]]="",tblConteo[[#This Row],[Conteo]]=""),"",IF(ISNUMBER(tblConteo[[#This Row],[Conteo]]),tblConteo[[#This Row],[Conteo]]-N(tblConteo[[#This Row],[Sistema]]),""))</f>
        <v/>
      </c>
      <c r="K370" s="63" t="str">
        <f>IF(tblConteo[[#This Row],[Diferencia]]="","",tblConteo[[#This Row],[Diferencia]]*N(INDEX(tblProductos[CostoUnitario],ROW()-ROW(tblConteo[#Headers]))))</f>
        <v/>
      </c>
      <c r="L37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1" spans="2:13" x14ac:dyDescent="0.25">
      <c r="B371" s="43" t="str">
        <f>IF(INDEX(tblProductos[SKU],ROW()-ROW(tblConteo[#Headers]))="","",INDEX(tblProductos[SKU],ROW()-ROW(tblConteo[#Headers])))</f>
        <v/>
      </c>
      <c r="C371" s="50" t="str">
        <f>IF(tblConteo[[#This Row],[SKU]]="","",INDEX(tblProductos[Producto],ROW()-ROW(tblConteo[#Headers])))</f>
        <v/>
      </c>
      <c r="D371" s="50" t="str">
        <f>IF(tblConteo[[#This Row],[SKU]]="","",INDEX(tblProductos[Categoría],ROW()-ROW(tblConteo[#Headers]))&amp;"")</f>
        <v/>
      </c>
      <c r="E371" s="43" t="str">
        <f>IF(tblConteo[[#This Row],[SKU]]="","",INDEX(tblProductos[Ubicación],ROW()-ROW(tblConteo[#Headers]))&amp;"")</f>
        <v/>
      </c>
      <c r="F371" s="43" t="str">
        <f>IF(tblConteo[[#This Row],[SKU]]="","",INDEX(tblProductos[Unidad],ROW()-ROW(tblConteo[#Headers]))&amp;"")</f>
        <v/>
      </c>
      <c r="G371" s="43" t="str">
        <f>IF(tblConteo[[#This Row],[SKU]]="","",IF(INDEX(tblProductos[Activo],ROW()-ROW(tblConteo[#Headers]))="NO","NO","SI"))</f>
        <v/>
      </c>
      <c r="H371" s="54" t="str">
        <f>IF(tblConteo[[#This Row],[SKU]]="","",IFERROR(N(INDEX(tblStock[StockActual],MATCH(tblConteo[[#This Row],[SKU]],tblStock[SKU],0))),0))</f>
        <v/>
      </c>
      <c r="I371" s="53"/>
      <c r="J371" s="60" t="str">
        <f>IF(OR(tblConteo[[#This Row],[SKU]]="",tblConteo[[#This Row],[Conteo]]=""),"",IF(ISNUMBER(tblConteo[[#This Row],[Conteo]]),tblConteo[[#This Row],[Conteo]]-N(tblConteo[[#This Row],[Sistema]]),""))</f>
        <v/>
      </c>
      <c r="K371" s="63" t="str">
        <f>IF(tblConteo[[#This Row],[Diferencia]]="","",tblConteo[[#This Row],[Diferencia]]*N(INDEX(tblProductos[CostoUnitario],ROW()-ROW(tblConteo[#Headers]))))</f>
        <v/>
      </c>
      <c r="L37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2" spans="2:13" x14ac:dyDescent="0.25">
      <c r="B372" s="43" t="str">
        <f>IF(INDEX(tblProductos[SKU],ROW()-ROW(tblConteo[#Headers]))="","",INDEX(tblProductos[SKU],ROW()-ROW(tblConteo[#Headers])))</f>
        <v/>
      </c>
      <c r="C372" s="50" t="str">
        <f>IF(tblConteo[[#This Row],[SKU]]="","",INDEX(tblProductos[Producto],ROW()-ROW(tblConteo[#Headers])))</f>
        <v/>
      </c>
      <c r="D372" s="50" t="str">
        <f>IF(tblConteo[[#This Row],[SKU]]="","",INDEX(tblProductos[Categoría],ROW()-ROW(tblConteo[#Headers]))&amp;"")</f>
        <v/>
      </c>
      <c r="E372" s="43" t="str">
        <f>IF(tblConteo[[#This Row],[SKU]]="","",INDEX(tblProductos[Ubicación],ROW()-ROW(tblConteo[#Headers]))&amp;"")</f>
        <v/>
      </c>
      <c r="F372" s="43" t="str">
        <f>IF(tblConteo[[#This Row],[SKU]]="","",INDEX(tblProductos[Unidad],ROW()-ROW(tblConteo[#Headers]))&amp;"")</f>
        <v/>
      </c>
      <c r="G372" s="43" t="str">
        <f>IF(tblConteo[[#This Row],[SKU]]="","",IF(INDEX(tblProductos[Activo],ROW()-ROW(tblConteo[#Headers]))="NO","NO","SI"))</f>
        <v/>
      </c>
      <c r="H372" s="54" t="str">
        <f>IF(tblConteo[[#This Row],[SKU]]="","",IFERROR(N(INDEX(tblStock[StockActual],MATCH(tblConteo[[#This Row],[SKU]],tblStock[SKU],0))),0))</f>
        <v/>
      </c>
      <c r="I372" s="53"/>
      <c r="J372" s="60" t="str">
        <f>IF(OR(tblConteo[[#This Row],[SKU]]="",tblConteo[[#This Row],[Conteo]]=""),"",IF(ISNUMBER(tblConteo[[#This Row],[Conteo]]),tblConteo[[#This Row],[Conteo]]-N(tblConteo[[#This Row],[Sistema]]),""))</f>
        <v/>
      </c>
      <c r="K372" s="63" t="str">
        <f>IF(tblConteo[[#This Row],[Diferencia]]="","",tblConteo[[#This Row],[Diferencia]]*N(INDEX(tblProductos[CostoUnitario],ROW()-ROW(tblConteo[#Headers]))))</f>
        <v/>
      </c>
      <c r="L37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3" spans="2:13" x14ac:dyDescent="0.25">
      <c r="B373" s="43" t="str">
        <f>IF(INDEX(tblProductos[SKU],ROW()-ROW(tblConteo[#Headers]))="","",INDEX(tblProductos[SKU],ROW()-ROW(tblConteo[#Headers])))</f>
        <v/>
      </c>
      <c r="C373" s="50" t="str">
        <f>IF(tblConteo[[#This Row],[SKU]]="","",INDEX(tblProductos[Producto],ROW()-ROW(tblConteo[#Headers])))</f>
        <v/>
      </c>
      <c r="D373" s="50" t="str">
        <f>IF(tblConteo[[#This Row],[SKU]]="","",INDEX(tblProductos[Categoría],ROW()-ROW(tblConteo[#Headers]))&amp;"")</f>
        <v/>
      </c>
      <c r="E373" s="43" t="str">
        <f>IF(tblConteo[[#This Row],[SKU]]="","",INDEX(tblProductos[Ubicación],ROW()-ROW(tblConteo[#Headers]))&amp;"")</f>
        <v/>
      </c>
      <c r="F373" s="43" t="str">
        <f>IF(tblConteo[[#This Row],[SKU]]="","",INDEX(tblProductos[Unidad],ROW()-ROW(tblConteo[#Headers]))&amp;"")</f>
        <v/>
      </c>
      <c r="G373" s="43" t="str">
        <f>IF(tblConteo[[#This Row],[SKU]]="","",IF(INDEX(tblProductos[Activo],ROW()-ROW(tblConteo[#Headers]))="NO","NO","SI"))</f>
        <v/>
      </c>
      <c r="H373" s="54" t="str">
        <f>IF(tblConteo[[#This Row],[SKU]]="","",IFERROR(N(INDEX(tblStock[StockActual],MATCH(tblConteo[[#This Row],[SKU]],tblStock[SKU],0))),0))</f>
        <v/>
      </c>
      <c r="I373" s="53"/>
      <c r="J373" s="60" t="str">
        <f>IF(OR(tblConteo[[#This Row],[SKU]]="",tblConteo[[#This Row],[Conteo]]=""),"",IF(ISNUMBER(tblConteo[[#This Row],[Conteo]]),tblConteo[[#This Row],[Conteo]]-N(tblConteo[[#This Row],[Sistema]]),""))</f>
        <v/>
      </c>
      <c r="K373" s="63" t="str">
        <f>IF(tblConteo[[#This Row],[Diferencia]]="","",tblConteo[[#This Row],[Diferencia]]*N(INDEX(tblProductos[CostoUnitario],ROW()-ROW(tblConteo[#Headers]))))</f>
        <v/>
      </c>
      <c r="L37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4" spans="2:13" x14ac:dyDescent="0.25">
      <c r="B374" s="43" t="str">
        <f>IF(INDEX(tblProductos[SKU],ROW()-ROW(tblConteo[#Headers]))="","",INDEX(tblProductos[SKU],ROW()-ROW(tblConteo[#Headers])))</f>
        <v/>
      </c>
      <c r="C374" s="50" t="str">
        <f>IF(tblConteo[[#This Row],[SKU]]="","",INDEX(tblProductos[Producto],ROW()-ROW(tblConteo[#Headers])))</f>
        <v/>
      </c>
      <c r="D374" s="50" t="str">
        <f>IF(tblConteo[[#This Row],[SKU]]="","",INDEX(tblProductos[Categoría],ROW()-ROW(tblConteo[#Headers]))&amp;"")</f>
        <v/>
      </c>
      <c r="E374" s="43" t="str">
        <f>IF(tblConteo[[#This Row],[SKU]]="","",INDEX(tblProductos[Ubicación],ROW()-ROW(tblConteo[#Headers]))&amp;"")</f>
        <v/>
      </c>
      <c r="F374" s="43" t="str">
        <f>IF(tblConteo[[#This Row],[SKU]]="","",INDEX(tblProductos[Unidad],ROW()-ROW(tblConteo[#Headers]))&amp;"")</f>
        <v/>
      </c>
      <c r="G374" s="43" t="str">
        <f>IF(tblConteo[[#This Row],[SKU]]="","",IF(INDEX(tblProductos[Activo],ROW()-ROW(tblConteo[#Headers]))="NO","NO","SI"))</f>
        <v/>
      </c>
      <c r="H374" s="54" t="str">
        <f>IF(tblConteo[[#This Row],[SKU]]="","",IFERROR(N(INDEX(tblStock[StockActual],MATCH(tblConteo[[#This Row],[SKU]],tblStock[SKU],0))),0))</f>
        <v/>
      </c>
      <c r="I374" s="53"/>
      <c r="J374" s="60" t="str">
        <f>IF(OR(tblConteo[[#This Row],[SKU]]="",tblConteo[[#This Row],[Conteo]]=""),"",IF(ISNUMBER(tblConteo[[#This Row],[Conteo]]),tblConteo[[#This Row],[Conteo]]-N(tblConteo[[#This Row],[Sistema]]),""))</f>
        <v/>
      </c>
      <c r="K374" s="63" t="str">
        <f>IF(tblConteo[[#This Row],[Diferencia]]="","",tblConteo[[#This Row],[Diferencia]]*N(INDEX(tblProductos[CostoUnitario],ROW()-ROW(tblConteo[#Headers]))))</f>
        <v/>
      </c>
      <c r="L37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5" spans="2:13" x14ac:dyDescent="0.25">
      <c r="B375" s="43" t="str">
        <f>IF(INDEX(tblProductos[SKU],ROW()-ROW(tblConteo[#Headers]))="","",INDEX(tblProductos[SKU],ROW()-ROW(tblConteo[#Headers])))</f>
        <v/>
      </c>
      <c r="C375" s="50" t="str">
        <f>IF(tblConteo[[#This Row],[SKU]]="","",INDEX(tblProductos[Producto],ROW()-ROW(tblConteo[#Headers])))</f>
        <v/>
      </c>
      <c r="D375" s="50" t="str">
        <f>IF(tblConteo[[#This Row],[SKU]]="","",INDEX(tblProductos[Categoría],ROW()-ROW(tblConteo[#Headers]))&amp;"")</f>
        <v/>
      </c>
      <c r="E375" s="43" t="str">
        <f>IF(tblConteo[[#This Row],[SKU]]="","",INDEX(tblProductos[Ubicación],ROW()-ROW(tblConteo[#Headers]))&amp;"")</f>
        <v/>
      </c>
      <c r="F375" s="43" t="str">
        <f>IF(tblConteo[[#This Row],[SKU]]="","",INDEX(tblProductos[Unidad],ROW()-ROW(tblConteo[#Headers]))&amp;"")</f>
        <v/>
      </c>
      <c r="G375" s="43" t="str">
        <f>IF(tblConteo[[#This Row],[SKU]]="","",IF(INDEX(tblProductos[Activo],ROW()-ROW(tblConteo[#Headers]))="NO","NO","SI"))</f>
        <v/>
      </c>
      <c r="H375" s="54" t="str">
        <f>IF(tblConteo[[#This Row],[SKU]]="","",IFERROR(N(INDEX(tblStock[StockActual],MATCH(tblConteo[[#This Row],[SKU]],tblStock[SKU],0))),0))</f>
        <v/>
      </c>
      <c r="I375" s="53"/>
      <c r="J375" s="60" t="str">
        <f>IF(OR(tblConteo[[#This Row],[SKU]]="",tblConteo[[#This Row],[Conteo]]=""),"",IF(ISNUMBER(tblConteo[[#This Row],[Conteo]]),tblConteo[[#This Row],[Conteo]]-N(tblConteo[[#This Row],[Sistema]]),""))</f>
        <v/>
      </c>
      <c r="K375" s="63" t="str">
        <f>IF(tblConteo[[#This Row],[Diferencia]]="","",tblConteo[[#This Row],[Diferencia]]*N(INDEX(tblProductos[CostoUnitario],ROW()-ROW(tblConteo[#Headers]))))</f>
        <v/>
      </c>
      <c r="L37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6" spans="2:13" x14ac:dyDescent="0.25">
      <c r="B376" s="43" t="str">
        <f>IF(INDEX(tblProductos[SKU],ROW()-ROW(tblConteo[#Headers]))="","",INDEX(tblProductos[SKU],ROW()-ROW(tblConteo[#Headers])))</f>
        <v/>
      </c>
      <c r="C376" s="50" t="str">
        <f>IF(tblConteo[[#This Row],[SKU]]="","",INDEX(tblProductos[Producto],ROW()-ROW(tblConteo[#Headers])))</f>
        <v/>
      </c>
      <c r="D376" s="50" t="str">
        <f>IF(tblConteo[[#This Row],[SKU]]="","",INDEX(tblProductos[Categoría],ROW()-ROW(tblConteo[#Headers]))&amp;"")</f>
        <v/>
      </c>
      <c r="E376" s="43" t="str">
        <f>IF(tblConteo[[#This Row],[SKU]]="","",INDEX(tblProductos[Ubicación],ROW()-ROW(tblConteo[#Headers]))&amp;"")</f>
        <v/>
      </c>
      <c r="F376" s="43" t="str">
        <f>IF(tblConteo[[#This Row],[SKU]]="","",INDEX(tblProductos[Unidad],ROW()-ROW(tblConteo[#Headers]))&amp;"")</f>
        <v/>
      </c>
      <c r="G376" s="43" t="str">
        <f>IF(tblConteo[[#This Row],[SKU]]="","",IF(INDEX(tblProductos[Activo],ROW()-ROW(tblConteo[#Headers]))="NO","NO","SI"))</f>
        <v/>
      </c>
      <c r="H376" s="54" t="str">
        <f>IF(tblConteo[[#This Row],[SKU]]="","",IFERROR(N(INDEX(tblStock[StockActual],MATCH(tblConteo[[#This Row],[SKU]],tblStock[SKU],0))),0))</f>
        <v/>
      </c>
      <c r="I376" s="53"/>
      <c r="J376" s="60" t="str">
        <f>IF(OR(tblConteo[[#This Row],[SKU]]="",tblConteo[[#This Row],[Conteo]]=""),"",IF(ISNUMBER(tblConteo[[#This Row],[Conteo]]),tblConteo[[#This Row],[Conteo]]-N(tblConteo[[#This Row],[Sistema]]),""))</f>
        <v/>
      </c>
      <c r="K376" s="63" t="str">
        <f>IF(tblConteo[[#This Row],[Diferencia]]="","",tblConteo[[#This Row],[Diferencia]]*N(INDEX(tblProductos[CostoUnitario],ROW()-ROW(tblConteo[#Headers]))))</f>
        <v/>
      </c>
      <c r="L37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7" spans="2:13" x14ac:dyDescent="0.25">
      <c r="B377" s="43" t="str">
        <f>IF(INDEX(tblProductos[SKU],ROW()-ROW(tblConteo[#Headers]))="","",INDEX(tblProductos[SKU],ROW()-ROW(tblConteo[#Headers])))</f>
        <v/>
      </c>
      <c r="C377" s="50" t="str">
        <f>IF(tblConteo[[#This Row],[SKU]]="","",INDEX(tblProductos[Producto],ROW()-ROW(tblConteo[#Headers])))</f>
        <v/>
      </c>
      <c r="D377" s="50" t="str">
        <f>IF(tblConteo[[#This Row],[SKU]]="","",INDEX(tblProductos[Categoría],ROW()-ROW(tblConteo[#Headers]))&amp;"")</f>
        <v/>
      </c>
      <c r="E377" s="43" t="str">
        <f>IF(tblConteo[[#This Row],[SKU]]="","",INDEX(tblProductos[Ubicación],ROW()-ROW(tblConteo[#Headers]))&amp;"")</f>
        <v/>
      </c>
      <c r="F377" s="43" t="str">
        <f>IF(tblConteo[[#This Row],[SKU]]="","",INDEX(tblProductos[Unidad],ROW()-ROW(tblConteo[#Headers]))&amp;"")</f>
        <v/>
      </c>
      <c r="G377" s="43" t="str">
        <f>IF(tblConteo[[#This Row],[SKU]]="","",IF(INDEX(tblProductos[Activo],ROW()-ROW(tblConteo[#Headers]))="NO","NO","SI"))</f>
        <v/>
      </c>
      <c r="H377" s="54" t="str">
        <f>IF(tblConteo[[#This Row],[SKU]]="","",IFERROR(N(INDEX(tblStock[StockActual],MATCH(tblConteo[[#This Row],[SKU]],tblStock[SKU],0))),0))</f>
        <v/>
      </c>
      <c r="I377" s="53"/>
      <c r="J377" s="60" t="str">
        <f>IF(OR(tblConteo[[#This Row],[SKU]]="",tblConteo[[#This Row],[Conteo]]=""),"",IF(ISNUMBER(tblConteo[[#This Row],[Conteo]]),tblConteo[[#This Row],[Conteo]]-N(tblConteo[[#This Row],[Sistema]]),""))</f>
        <v/>
      </c>
      <c r="K377" s="63" t="str">
        <f>IF(tblConteo[[#This Row],[Diferencia]]="","",tblConteo[[#This Row],[Diferencia]]*N(INDEX(tblProductos[CostoUnitario],ROW()-ROW(tblConteo[#Headers]))))</f>
        <v/>
      </c>
      <c r="L37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8" spans="2:13" x14ac:dyDescent="0.25">
      <c r="B378" s="43" t="str">
        <f>IF(INDEX(tblProductos[SKU],ROW()-ROW(tblConteo[#Headers]))="","",INDEX(tblProductos[SKU],ROW()-ROW(tblConteo[#Headers])))</f>
        <v/>
      </c>
      <c r="C378" s="50" t="str">
        <f>IF(tblConteo[[#This Row],[SKU]]="","",INDEX(tblProductos[Producto],ROW()-ROW(tblConteo[#Headers])))</f>
        <v/>
      </c>
      <c r="D378" s="50" t="str">
        <f>IF(tblConteo[[#This Row],[SKU]]="","",INDEX(tblProductos[Categoría],ROW()-ROW(tblConteo[#Headers]))&amp;"")</f>
        <v/>
      </c>
      <c r="E378" s="43" t="str">
        <f>IF(tblConteo[[#This Row],[SKU]]="","",INDEX(tblProductos[Ubicación],ROW()-ROW(tblConteo[#Headers]))&amp;"")</f>
        <v/>
      </c>
      <c r="F378" s="43" t="str">
        <f>IF(tblConteo[[#This Row],[SKU]]="","",INDEX(tblProductos[Unidad],ROW()-ROW(tblConteo[#Headers]))&amp;"")</f>
        <v/>
      </c>
      <c r="G378" s="43" t="str">
        <f>IF(tblConteo[[#This Row],[SKU]]="","",IF(INDEX(tblProductos[Activo],ROW()-ROW(tblConteo[#Headers]))="NO","NO","SI"))</f>
        <v/>
      </c>
      <c r="H378" s="54" t="str">
        <f>IF(tblConteo[[#This Row],[SKU]]="","",IFERROR(N(INDEX(tblStock[StockActual],MATCH(tblConteo[[#This Row],[SKU]],tblStock[SKU],0))),0))</f>
        <v/>
      </c>
      <c r="I378" s="53"/>
      <c r="J378" s="60" t="str">
        <f>IF(OR(tblConteo[[#This Row],[SKU]]="",tblConteo[[#This Row],[Conteo]]=""),"",IF(ISNUMBER(tblConteo[[#This Row],[Conteo]]),tblConteo[[#This Row],[Conteo]]-N(tblConteo[[#This Row],[Sistema]]),""))</f>
        <v/>
      </c>
      <c r="K378" s="63" t="str">
        <f>IF(tblConteo[[#This Row],[Diferencia]]="","",tblConteo[[#This Row],[Diferencia]]*N(INDEX(tblProductos[CostoUnitario],ROW()-ROW(tblConteo[#Headers]))))</f>
        <v/>
      </c>
      <c r="L37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79" spans="2:13" x14ac:dyDescent="0.25">
      <c r="B379" s="43" t="str">
        <f>IF(INDEX(tblProductos[SKU],ROW()-ROW(tblConteo[#Headers]))="","",INDEX(tblProductos[SKU],ROW()-ROW(tblConteo[#Headers])))</f>
        <v/>
      </c>
      <c r="C379" s="50" t="str">
        <f>IF(tblConteo[[#This Row],[SKU]]="","",INDEX(tblProductos[Producto],ROW()-ROW(tblConteo[#Headers])))</f>
        <v/>
      </c>
      <c r="D379" s="50" t="str">
        <f>IF(tblConteo[[#This Row],[SKU]]="","",INDEX(tblProductos[Categoría],ROW()-ROW(tblConteo[#Headers]))&amp;"")</f>
        <v/>
      </c>
      <c r="E379" s="43" t="str">
        <f>IF(tblConteo[[#This Row],[SKU]]="","",INDEX(tblProductos[Ubicación],ROW()-ROW(tblConteo[#Headers]))&amp;"")</f>
        <v/>
      </c>
      <c r="F379" s="43" t="str">
        <f>IF(tblConteo[[#This Row],[SKU]]="","",INDEX(tblProductos[Unidad],ROW()-ROW(tblConteo[#Headers]))&amp;"")</f>
        <v/>
      </c>
      <c r="G379" s="43" t="str">
        <f>IF(tblConteo[[#This Row],[SKU]]="","",IF(INDEX(tblProductos[Activo],ROW()-ROW(tblConteo[#Headers]))="NO","NO","SI"))</f>
        <v/>
      </c>
      <c r="H379" s="54" t="str">
        <f>IF(tblConteo[[#This Row],[SKU]]="","",IFERROR(N(INDEX(tblStock[StockActual],MATCH(tblConteo[[#This Row],[SKU]],tblStock[SKU],0))),0))</f>
        <v/>
      </c>
      <c r="I379" s="53"/>
      <c r="J379" s="60" t="str">
        <f>IF(OR(tblConteo[[#This Row],[SKU]]="",tblConteo[[#This Row],[Conteo]]=""),"",IF(ISNUMBER(tblConteo[[#This Row],[Conteo]]),tblConteo[[#This Row],[Conteo]]-N(tblConteo[[#This Row],[Sistema]]),""))</f>
        <v/>
      </c>
      <c r="K379" s="63" t="str">
        <f>IF(tblConteo[[#This Row],[Diferencia]]="","",tblConteo[[#This Row],[Diferencia]]*N(INDEX(tblProductos[CostoUnitario],ROW()-ROW(tblConteo[#Headers]))))</f>
        <v/>
      </c>
      <c r="L37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7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0" spans="2:13" x14ac:dyDescent="0.25">
      <c r="B380" s="43" t="str">
        <f>IF(INDEX(tblProductos[SKU],ROW()-ROW(tblConteo[#Headers]))="","",INDEX(tblProductos[SKU],ROW()-ROW(tblConteo[#Headers])))</f>
        <v/>
      </c>
      <c r="C380" s="50" t="str">
        <f>IF(tblConteo[[#This Row],[SKU]]="","",INDEX(tblProductos[Producto],ROW()-ROW(tblConteo[#Headers])))</f>
        <v/>
      </c>
      <c r="D380" s="50" t="str">
        <f>IF(tblConteo[[#This Row],[SKU]]="","",INDEX(tblProductos[Categoría],ROW()-ROW(tblConteo[#Headers]))&amp;"")</f>
        <v/>
      </c>
      <c r="E380" s="43" t="str">
        <f>IF(tblConteo[[#This Row],[SKU]]="","",INDEX(tblProductos[Ubicación],ROW()-ROW(tblConteo[#Headers]))&amp;"")</f>
        <v/>
      </c>
      <c r="F380" s="43" t="str">
        <f>IF(tblConteo[[#This Row],[SKU]]="","",INDEX(tblProductos[Unidad],ROW()-ROW(tblConteo[#Headers]))&amp;"")</f>
        <v/>
      </c>
      <c r="G380" s="43" t="str">
        <f>IF(tblConteo[[#This Row],[SKU]]="","",IF(INDEX(tblProductos[Activo],ROW()-ROW(tblConteo[#Headers]))="NO","NO","SI"))</f>
        <v/>
      </c>
      <c r="H380" s="54" t="str">
        <f>IF(tblConteo[[#This Row],[SKU]]="","",IFERROR(N(INDEX(tblStock[StockActual],MATCH(tblConteo[[#This Row],[SKU]],tblStock[SKU],0))),0))</f>
        <v/>
      </c>
      <c r="I380" s="53"/>
      <c r="J380" s="60" t="str">
        <f>IF(OR(tblConteo[[#This Row],[SKU]]="",tblConteo[[#This Row],[Conteo]]=""),"",IF(ISNUMBER(tblConteo[[#This Row],[Conteo]]),tblConteo[[#This Row],[Conteo]]-N(tblConteo[[#This Row],[Sistema]]),""))</f>
        <v/>
      </c>
      <c r="K380" s="63" t="str">
        <f>IF(tblConteo[[#This Row],[Diferencia]]="","",tblConteo[[#This Row],[Diferencia]]*N(INDEX(tblProductos[CostoUnitario],ROW()-ROW(tblConteo[#Headers]))))</f>
        <v/>
      </c>
      <c r="L38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1" spans="2:13" x14ac:dyDescent="0.25">
      <c r="B381" s="43" t="str">
        <f>IF(INDEX(tblProductos[SKU],ROW()-ROW(tblConteo[#Headers]))="","",INDEX(tblProductos[SKU],ROW()-ROW(tblConteo[#Headers])))</f>
        <v/>
      </c>
      <c r="C381" s="50" t="str">
        <f>IF(tblConteo[[#This Row],[SKU]]="","",INDEX(tblProductos[Producto],ROW()-ROW(tblConteo[#Headers])))</f>
        <v/>
      </c>
      <c r="D381" s="50" t="str">
        <f>IF(tblConteo[[#This Row],[SKU]]="","",INDEX(tblProductos[Categoría],ROW()-ROW(tblConteo[#Headers]))&amp;"")</f>
        <v/>
      </c>
      <c r="E381" s="43" t="str">
        <f>IF(tblConteo[[#This Row],[SKU]]="","",INDEX(tblProductos[Ubicación],ROW()-ROW(tblConteo[#Headers]))&amp;"")</f>
        <v/>
      </c>
      <c r="F381" s="43" t="str">
        <f>IF(tblConteo[[#This Row],[SKU]]="","",INDEX(tblProductos[Unidad],ROW()-ROW(tblConteo[#Headers]))&amp;"")</f>
        <v/>
      </c>
      <c r="G381" s="43" t="str">
        <f>IF(tblConteo[[#This Row],[SKU]]="","",IF(INDEX(tblProductos[Activo],ROW()-ROW(tblConteo[#Headers]))="NO","NO","SI"))</f>
        <v/>
      </c>
      <c r="H381" s="54" t="str">
        <f>IF(tblConteo[[#This Row],[SKU]]="","",IFERROR(N(INDEX(tblStock[StockActual],MATCH(tblConteo[[#This Row],[SKU]],tblStock[SKU],0))),0))</f>
        <v/>
      </c>
      <c r="I381" s="53"/>
      <c r="J381" s="60" t="str">
        <f>IF(OR(tblConteo[[#This Row],[SKU]]="",tblConteo[[#This Row],[Conteo]]=""),"",IF(ISNUMBER(tblConteo[[#This Row],[Conteo]]),tblConteo[[#This Row],[Conteo]]-N(tblConteo[[#This Row],[Sistema]]),""))</f>
        <v/>
      </c>
      <c r="K381" s="63" t="str">
        <f>IF(tblConteo[[#This Row],[Diferencia]]="","",tblConteo[[#This Row],[Diferencia]]*N(INDEX(tblProductos[CostoUnitario],ROW()-ROW(tblConteo[#Headers]))))</f>
        <v/>
      </c>
      <c r="L38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2" spans="2:13" x14ac:dyDescent="0.25">
      <c r="B382" s="43" t="str">
        <f>IF(INDEX(tblProductos[SKU],ROW()-ROW(tblConteo[#Headers]))="","",INDEX(tblProductos[SKU],ROW()-ROW(tblConteo[#Headers])))</f>
        <v/>
      </c>
      <c r="C382" s="50" t="str">
        <f>IF(tblConteo[[#This Row],[SKU]]="","",INDEX(tblProductos[Producto],ROW()-ROW(tblConteo[#Headers])))</f>
        <v/>
      </c>
      <c r="D382" s="50" t="str">
        <f>IF(tblConteo[[#This Row],[SKU]]="","",INDEX(tblProductos[Categoría],ROW()-ROW(tblConteo[#Headers]))&amp;"")</f>
        <v/>
      </c>
      <c r="E382" s="43" t="str">
        <f>IF(tblConteo[[#This Row],[SKU]]="","",INDEX(tblProductos[Ubicación],ROW()-ROW(tblConteo[#Headers]))&amp;"")</f>
        <v/>
      </c>
      <c r="F382" s="43" t="str">
        <f>IF(tblConteo[[#This Row],[SKU]]="","",INDEX(tblProductos[Unidad],ROW()-ROW(tblConteo[#Headers]))&amp;"")</f>
        <v/>
      </c>
      <c r="G382" s="43" t="str">
        <f>IF(tblConteo[[#This Row],[SKU]]="","",IF(INDEX(tblProductos[Activo],ROW()-ROW(tblConteo[#Headers]))="NO","NO","SI"))</f>
        <v/>
      </c>
      <c r="H382" s="54" t="str">
        <f>IF(tblConteo[[#This Row],[SKU]]="","",IFERROR(N(INDEX(tblStock[StockActual],MATCH(tblConteo[[#This Row],[SKU]],tblStock[SKU],0))),0))</f>
        <v/>
      </c>
      <c r="I382" s="53"/>
      <c r="J382" s="60" t="str">
        <f>IF(OR(tblConteo[[#This Row],[SKU]]="",tblConteo[[#This Row],[Conteo]]=""),"",IF(ISNUMBER(tblConteo[[#This Row],[Conteo]]),tblConteo[[#This Row],[Conteo]]-N(tblConteo[[#This Row],[Sistema]]),""))</f>
        <v/>
      </c>
      <c r="K382" s="63" t="str">
        <f>IF(tblConteo[[#This Row],[Diferencia]]="","",tblConteo[[#This Row],[Diferencia]]*N(INDEX(tblProductos[CostoUnitario],ROW()-ROW(tblConteo[#Headers]))))</f>
        <v/>
      </c>
      <c r="L38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3" spans="2:13" x14ac:dyDescent="0.25">
      <c r="B383" s="43" t="str">
        <f>IF(INDEX(tblProductos[SKU],ROW()-ROW(tblConteo[#Headers]))="","",INDEX(tblProductos[SKU],ROW()-ROW(tblConteo[#Headers])))</f>
        <v/>
      </c>
      <c r="C383" s="50" t="str">
        <f>IF(tblConteo[[#This Row],[SKU]]="","",INDEX(tblProductos[Producto],ROW()-ROW(tblConteo[#Headers])))</f>
        <v/>
      </c>
      <c r="D383" s="50" t="str">
        <f>IF(tblConteo[[#This Row],[SKU]]="","",INDEX(tblProductos[Categoría],ROW()-ROW(tblConteo[#Headers]))&amp;"")</f>
        <v/>
      </c>
      <c r="E383" s="43" t="str">
        <f>IF(tblConteo[[#This Row],[SKU]]="","",INDEX(tblProductos[Ubicación],ROW()-ROW(tblConteo[#Headers]))&amp;"")</f>
        <v/>
      </c>
      <c r="F383" s="43" t="str">
        <f>IF(tblConteo[[#This Row],[SKU]]="","",INDEX(tblProductos[Unidad],ROW()-ROW(tblConteo[#Headers]))&amp;"")</f>
        <v/>
      </c>
      <c r="G383" s="43" t="str">
        <f>IF(tblConteo[[#This Row],[SKU]]="","",IF(INDEX(tblProductos[Activo],ROW()-ROW(tblConteo[#Headers]))="NO","NO","SI"))</f>
        <v/>
      </c>
      <c r="H383" s="54" t="str">
        <f>IF(tblConteo[[#This Row],[SKU]]="","",IFERROR(N(INDEX(tblStock[StockActual],MATCH(tblConteo[[#This Row],[SKU]],tblStock[SKU],0))),0))</f>
        <v/>
      </c>
      <c r="I383" s="53"/>
      <c r="J383" s="60" t="str">
        <f>IF(OR(tblConteo[[#This Row],[SKU]]="",tblConteo[[#This Row],[Conteo]]=""),"",IF(ISNUMBER(tblConteo[[#This Row],[Conteo]]),tblConteo[[#This Row],[Conteo]]-N(tblConteo[[#This Row],[Sistema]]),""))</f>
        <v/>
      </c>
      <c r="K383" s="63" t="str">
        <f>IF(tblConteo[[#This Row],[Diferencia]]="","",tblConteo[[#This Row],[Diferencia]]*N(INDEX(tblProductos[CostoUnitario],ROW()-ROW(tblConteo[#Headers]))))</f>
        <v/>
      </c>
      <c r="L38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4" spans="2:13" x14ac:dyDescent="0.25">
      <c r="B384" s="43" t="str">
        <f>IF(INDEX(tblProductos[SKU],ROW()-ROW(tblConteo[#Headers]))="","",INDEX(tblProductos[SKU],ROW()-ROW(tblConteo[#Headers])))</f>
        <v/>
      </c>
      <c r="C384" s="50" t="str">
        <f>IF(tblConteo[[#This Row],[SKU]]="","",INDEX(tblProductos[Producto],ROW()-ROW(tblConteo[#Headers])))</f>
        <v/>
      </c>
      <c r="D384" s="50" t="str">
        <f>IF(tblConteo[[#This Row],[SKU]]="","",INDEX(tblProductos[Categoría],ROW()-ROW(tblConteo[#Headers]))&amp;"")</f>
        <v/>
      </c>
      <c r="E384" s="43" t="str">
        <f>IF(tblConteo[[#This Row],[SKU]]="","",INDEX(tblProductos[Ubicación],ROW()-ROW(tblConteo[#Headers]))&amp;"")</f>
        <v/>
      </c>
      <c r="F384" s="43" t="str">
        <f>IF(tblConteo[[#This Row],[SKU]]="","",INDEX(tblProductos[Unidad],ROW()-ROW(tblConteo[#Headers]))&amp;"")</f>
        <v/>
      </c>
      <c r="G384" s="43" t="str">
        <f>IF(tblConteo[[#This Row],[SKU]]="","",IF(INDEX(tblProductos[Activo],ROW()-ROW(tblConteo[#Headers]))="NO","NO","SI"))</f>
        <v/>
      </c>
      <c r="H384" s="54" t="str">
        <f>IF(tblConteo[[#This Row],[SKU]]="","",IFERROR(N(INDEX(tblStock[StockActual],MATCH(tblConteo[[#This Row],[SKU]],tblStock[SKU],0))),0))</f>
        <v/>
      </c>
      <c r="I384" s="53"/>
      <c r="J384" s="60" t="str">
        <f>IF(OR(tblConteo[[#This Row],[SKU]]="",tblConteo[[#This Row],[Conteo]]=""),"",IF(ISNUMBER(tblConteo[[#This Row],[Conteo]]),tblConteo[[#This Row],[Conteo]]-N(tblConteo[[#This Row],[Sistema]]),""))</f>
        <v/>
      </c>
      <c r="K384" s="63" t="str">
        <f>IF(tblConteo[[#This Row],[Diferencia]]="","",tblConteo[[#This Row],[Diferencia]]*N(INDEX(tblProductos[CostoUnitario],ROW()-ROW(tblConteo[#Headers]))))</f>
        <v/>
      </c>
      <c r="L38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5" spans="2:13" x14ac:dyDescent="0.25">
      <c r="B385" s="43" t="str">
        <f>IF(INDEX(tblProductos[SKU],ROW()-ROW(tblConteo[#Headers]))="","",INDEX(tblProductos[SKU],ROW()-ROW(tblConteo[#Headers])))</f>
        <v/>
      </c>
      <c r="C385" s="50" t="str">
        <f>IF(tblConteo[[#This Row],[SKU]]="","",INDEX(tblProductos[Producto],ROW()-ROW(tblConteo[#Headers])))</f>
        <v/>
      </c>
      <c r="D385" s="50" t="str">
        <f>IF(tblConteo[[#This Row],[SKU]]="","",INDEX(tblProductos[Categoría],ROW()-ROW(tblConteo[#Headers]))&amp;"")</f>
        <v/>
      </c>
      <c r="E385" s="43" t="str">
        <f>IF(tblConteo[[#This Row],[SKU]]="","",INDEX(tblProductos[Ubicación],ROW()-ROW(tblConteo[#Headers]))&amp;"")</f>
        <v/>
      </c>
      <c r="F385" s="43" t="str">
        <f>IF(tblConteo[[#This Row],[SKU]]="","",INDEX(tblProductos[Unidad],ROW()-ROW(tblConteo[#Headers]))&amp;"")</f>
        <v/>
      </c>
      <c r="G385" s="43" t="str">
        <f>IF(tblConteo[[#This Row],[SKU]]="","",IF(INDEX(tblProductos[Activo],ROW()-ROW(tblConteo[#Headers]))="NO","NO","SI"))</f>
        <v/>
      </c>
      <c r="H385" s="54" t="str">
        <f>IF(tblConteo[[#This Row],[SKU]]="","",IFERROR(N(INDEX(tblStock[StockActual],MATCH(tblConteo[[#This Row],[SKU]],tblStock[SKU],0))),0))</f>
        <v/>
      </c>
      <c r="I385" s="53"/>
      <c r="J385" s="60" t="str">
        <f>IF(OR(tblConteo[[#This Row],[SKU]]="",tblConteo[[#This Row],[Conteo]]=""),"",IF(ISNUMBER(tblConteo[[#This Row],[Conteo]]),tblConteo[[#This Row],[Conteo]]-N(tblConteo[[#This Row],[Sistema]]),""))</f>
        <v/>
      </c>
      <c r="K385" s="63" t="str">
        <f>IF(tblConteo[[#This Row],[Diferencia]]="","",tblConteo[[#This Row],[Diferencia]]*N(INDEX(tblProductos[CostoUnitario],ROW()-ROW(tblConteo[#Headers]))))</f>
        <v/>
      </c>
      <c r="L38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6" spans="2:13" x14ac:dyDescent="0.25">
      <c r="B386" s="43" t="str">
        <f>IF(INDEX(tblProductos[SKU],ROW()-ROW(tblConteo[#Headers]))="","",INDEX(tblProductos[SKU],ROW()-ROW(tblConteo[#Headers])))</f>
        <v/>
      </c>
      <c r="C386" s="50" t="str">
        <f>IF(tblConteo[[#This Row],[SKU]]="","",INDEX(tblProductos[Producto],ROW()-ROW(tblConteo[#Headers])))</f>
        <v/>
      </c>
      <c r="D386" s="50" t="str">
        <f>IF(tblConteo[[#This Row],[SKU]]="","",INDEX(tblProductos[Categoría],ROW()-ROW(tblConteo[#Headers]))&amp;"")</f>
        <v/>
      </c>
      <c r="E386" s="43" t="str">
        <f>IF(tblConteo[[#This Row],[SKU]]="","",INDEX(tblProductos[Ubicación],ROW()-ROW(tblConteo[#Headers]))&amp;"")</f>
        <v/>
      </c>
      <c r="F386" s="43" t="str">
        <f>IF(tblConteo[[#This Row],[SKU]]="","",INDEX(tblProductos[Unidad],ROW()-ROW(tblConteo[#Headers]))&amp;"")</f>
        <v/>
      </c>
      <c r="G386" s="43" t="str">
        <f>IF(tblConteo[[#This Row],[SKU]]="","",IF(INDEX(tblProductos[Activo],ROW()-ROW(tblConteo[#Headers]))="NO","NO","SI"))</f>
        <v/>
      </c>
      <c r="H386" s="54" t="str">
        <f>IF(tblConteo[[#This Row],[SKU]]="","",IFERROR(N(INDEX(tblStock[StockActual],MATCH(tblConteo[[#This Row],[SKU]],tblStock[SKU],0))),0))</f>
        <v/>
      </c>
      <c r="I386" s="53"/>
      <c r="J386" s="60" t="str">
        <f>IF(OR(tblConteo[[#This Row],[SKU]]="",tblConteo[[#This Row],[Conteo]]=""),"",IF(ISNUMBER(tblConteo[[#This Row],[Conteo]]),tblConteo[[#This Row],[Conteo]]-N(tblConteo[[#This Row],[Sistema]]),""))</f>
        <v/>
      </c>
      <c r="K386" s="63" t="str">
        <f>IF(tblConteo[[#This Row],[Diferencia]]="","",tblConteo[[#This Row],[Diferencia]]*N(INDEX(tblProductos[CostoUnitario],ROW()-ROW(tblConteo[#Headers]))))</f>
        <v/>
      </c>
      <c r="L38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7" spans="2:13" x14ac:dyDescent="0.25">
      <c r="B387" s="43" t="str">
        <f>IF(INDEX(tblProductos[SKU],ROW()-ROW(tblConteo[#Headers]))="","",INDEX(tblProductos[SKU],ROW()-ROW(tblConteo[#Headers])))</f>
        <v/>
      </c>
      <c r="C387" s="50" t="str">
        <f>IF(tblConteo[[#This Row],[SKU]]="","",INDEX(tblProductos[Producto],ROW()-ROW(tblConteo[#Headers])))</f>
        <v/>
      </c>
      <c r="D387" s="50" t="str">
        <f>IF(tblConteo[[#This Row],[SKU]]="","",INDEX(tblProductos[Categoría],ROW()-ROW(tblConteo[#Headers]))&amp;"")</f>
        <v/>
      </c>
      <c r="E387" s="43" t="str">
        <f>IF(tblConteo[[#This Row],[SKU]]="","",INDEX(tblProductos[Ubicación],ROW()-ROW(tblConteo[#Headers]))&amp;"")</f>
        <v/>
      </c>
      <c r="F387" s="43" t="str">
        <f>IF(tblConteo[[#This Row],[SKU]]="","",INDEX(tblProductos[Unidad],ROW()-ROW(tblConteo[#Headers]))&amp;"")</f>
        <v/>
      </c>
      <c r="G387" s="43" t="str">
        <f>IF(tblConteo[[#This Row],[SKU]]="","",IF(INDEX(tblProductos[Activo],ROW()-ROW(tblConteo[#Headers]))="NO","NO","SI"))</f>
        <v/>
      </c>
      <c r="H387" s="54" t="str">
        <f>IF(tblConteo[[#This Row],[SKU]]="","",IFERROR(N(INDEX(tblStock[StockActual],MATCH(tblConteo[[#This Row],[SKU]],tblStock[SKU],0))),0))</f>
        <v/>
      </c>
      <c r="I387" s="53"/>
      <c r="J387" s="60" t="str">
        <f>IF(OR(tblConteo[[#This Row],[SKU]]="",tblConteo[[#This Row],[Conteo]]=""),"",IF(ISNUMBER(tblConteo[[#This Row],[Conteo]]),tblConteo[[#This Row],[Conteo]]-N(tblConteo[[#This Row],[Sistema]]),""))</f>
        <v/>
      </c>
      <c r="K387" s="63" t="str">
        <f>IF(tblConteo[[#This Row],[Diferencia]]="","",tblConteo[[#This Row],[Diferencia]]*N(INDEX(tblProductos[CostoUnitario],ROW()-ROW(tblConteo[#Headers]))))</f>
        <v/>
      </c>
      <c r="L38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8" spans="2:13" x14ac:dyDescent="0.25">
      <c r="B388" s="43" t="str">
        <f>IF(INDEX(tblProductos[SKU],ROW()-ROW(tblConteo[#Headers]))="","",INDEX(tblProductos[SKU],ROW()-ROW(tblConteo[#Headers])))</f>
        <v/>
      </c>
      <c r="C388" s="50" t="str">
        <f>IF(tblConteo[[#This Row],[SKU]]="","",INDEX(tblProductos[Producto],ROW()-ROW(tblConteo[#Headers])))</f>
        <v/>
      </c>
      <c r="D388" s="50" t="str">
        <f>IF(tblConteo[[#This Row],[SKU]]="","",INDEX(tblProductos[Categoría],ROW()-ROW(tblConteo[#Headers]))&amp;"")</f>
        <v/>
      </c>
      <c r="E388" s="43" t="str">
        <f>IF(tblConteo[[#This Row],[SKU]]="","",INDEX(tblProductos[Ubicación],ROW()-ROW(tblConteo[#Headers]))&amp;"")</f>
        <v/>
      </c>
      <c r="F388" s="43" t="str">
        <f>IF(tblConteo[[#This Row],[SKU]]="","",INDEX(tblProductos[Unidad],ROW()-ROW(tblConteo[#Headers]))&amp;"")</f>
        <v/>
      </c>
      <c r="G388" s="43" t="str">
        <f>IF(tblConteo[[#This Row],[SKU]]="","",IF(INDEX(tblProductos[Activo],ROW()-ROW(tblConteo[#Headers]))="NO","NO","SI"))</f>
        <v/>
      </c>
      <c r="H388" s="54" t="str">
        <f>IF(tblConteo[[#This Row],[SKU]]="","",IFERROR(N(INDEX(tblStock[StockActual],MATCH(tblConteo[[#This Row],[SKU]],tblStock[SKU],0))),0))</f>
        <v/>
      </c>
      <c r="I388" s="53"/>
      <c r="J388" s="60" t="str">
        <f>IF(OR(tblConteo[[#This Row],[SKU]]="",tblConteo[[#This Row],[Conteo]]=""),"",IF(ISNUMBER(tblConteo[[#This Row],[Conteo]]),tblConteo[[#This Row],[Conteo]]-N(tblConteo[[#This Row],[Sistema]]),""))</f>
        <v/>
      </c>
      <c r="K388" s="63" t="str">
        <f>IF(tblConteo[[#This Row],[Diferencia]]="","",tblConteo[[#This Row],[Diferencia]]*N(INDEX(tblProductos[CostoUnitario],ROW()-ROW(tblConteo[#Headers]))))</f>
        <v/>
      </c>
      <c r="L38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89" spans="2:13" x14ac:dyDescent="0.25">
      <c r="B389" s="43" t="str">
        <f>IF(INDEX(tblProductos[SKU],ROW()-ROW(tblConteo[#Headers]))="","",INDEX(tblProductos[SKU],ROW()-ROW(tblConteo[#Headers])))</f>
        <v/>
      </c>
      <c r="C389" s="50" t="str">
        <f>IF(tblConteo[[#This Row],[SKU]]="","",INDEX(tblProductos[Producto],ROW()-ROW(tblConteo[#Headers])))</f>
        <v/>
      </c>
      <c r="D389" s="50" t="str">
        <f>IF(tblConteo[[#This Row],[SKU]]="","",INDEX(tblProductos[Categoría],ROW()-ROW(tblConteo[#Headers]))&amp;"")</f>
        <v/>
      </c>
      <c r="E389" s="43" t="str">
        <f>IF(tblConteo[[#This Row],[SKU]]="","",INDEX(tblProductos[Ubicación],ROW()-ROW(tblConteo[#Headers]))&amp;"")</f>
        <v/>
      </c>
      <c r="F389" s="43" t="str">
        <f>IF(tblConteo[[#This Row],[SKU]]="","",INDEX(tblProductos[Unidad],ROW()-ROW(tblConteo[#Headers]))&amp;"")</f>
        <v/>
      </c>
      <c r="G389" s="43" t="str">
        <f>IF(tblConteo[[#This Row],[SKU]]="","",IF(INDEX(tblProductos[Activo],ROW()-ROW(tblConteo[#Headers]))="NO","NO","SI"))</f>
        <v/>
      </c>
      <c r="H389" s="54" t="str">
        <f>IF(tblConteo[[#This Row],[SKU]]="","",IFERROR(N(INDEX(tblStock[StockActual],MATCH(tblConteo[[#This Row],[SKU]],tblStock[SKU],0))),0))</f>
        <v/>
      </c>
      <c r="I389" s="53"/>
      <c r="J389" s="60" t="str">
        <f>IF(OR(tblConteo[[#This Row],[SKU]]="",tblConteo[[#This Row],[Conteo]]=""),"",IF(ISNUMBER(tblConteo[[#This Row],[Conteo]]),tblConteo[[#This Row],[Conteo]]-N(tblConteo[[#This Row],[Sistema]]),""))</f>
        <v/>
      </c>
      <c r="K389" s="63" t="str">
        <f>IF(tblConteo[[#This Row],[Diferencia]]="","",tblConteo[[#This Row],[Diferencia]]*N(INDEX(tblProductos[CostoUnitario],ROW()-ROW(tblConteo[#Headers]))))</f>
        <v/>
      </c>
      <c r="L38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8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0" spans="2:13" x14ac:dyDescent="0.25">
      <c r="B390" s="43" t="str">
        <f>IF(INDEX(tblProductos[SKU],ROW()-ROW(tblConteo[#Headers]))="","",INDEX(tblProductos[SKU],ROW()-ROW(tblConteo[#Headers])))</f>
        <v/>
      </c>
      <c r="C390" s="50" t="str">
        <f>IF(tblConteo[[#This Row],[SKU]]="","",INDEX(tblProductos[Producto],ROW()-ROW(tblConteo[#Headers])))</f>
        <v/>
      </c>
      <c r="D390" s="50" t="str">
        <f>IF(tblConteo[[#This Row],[SKU]]="","",INDEX(tblProductos[Categoría],ROW()-ROW(tblConteo[#Headers]))&amp;"")</f>
        <v/>
      </c>
      <c r="E390" s="43" t="str">
        <f>IF(tblConteo[[#This Row],[SKU]]="","",INDEX(tblProductos[Ubicación],ROW()-ROW(tblConteo[#Headers]))&amp;"")</f>
        <v/>
      </c>
      <c r="F390" s="43" t="str">
        <f>IF(tblConteo[[#This Row],[SKU]]="","",INDEX(tblProductos[Unidad],ROW()-ROW(tblConteo[#Headers]))&amp;"")</f>
        <v/>
      </c>
      <c r="G390" s="43" t="str">
        <f>IF(tblConteo[[#This Row],[SKU]]="","",IF(INDEX(tblProductos[Activo],ROW()-ROW(tblConteo[#Headers]))="NO","NO","SI"))</f>
        <v/>
      </c>
      <c r="H390" s="54" t="str">
        <f>IF(tblConteo[[#This Row],[SKU]]="","",IFERROR(N(INDEX(tblStock[StockActual],MATCH(tblConteo[[#This Row],[SKU]],tblStock[SKU],0))),0))</f>
        <v/>
      </c>
      <c r="I390" s="53"/>
      <c r="J390" s="60" t="str">
        <f>IF(OR(tblConteo[[#This Row],[SKU]]="",tblConteo[[#This Row],[Conteo]]=""),"",IF(ISNUMBER(tblConteo[[#This Row],[Conteo]]),tblConteo[[#This Row],[Conteo]]-N(tblConteo[[#This Row],[Sistema]]),""))</f>
        <v/>
      </c>
      <c r="K390" s="63" t="str">
        <f>IF(tblConteo[[#This Row],[Diferencia]]="","",tblConteo[[#This Row],[Diferencia]]*N(INDEX(tblProductos[CostoUnitario],ROW()-ROW(tblConteo[#Headers]))))</f>
        <v/>
      </c>
      <c r="L39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1" spans="2:13" x14ac:dyDescent="0.25">
      <c r="B391" s="43" t="str">
        <f>IF(INDEX(tblProductos[SKU],ROW()-ROW(tblConteo[#Headers]))="","",INDEX(tblProductos[SKU],ROW()-ROW(tblConteo[#Headers])))</f>
        <v/>
      </c>
      <c r="C391" s="50" t="str">
        <f>IF(tblConteo[[#This Row],[SKU]]="","",INDEX(tblProductos[Producto],ROW()-ROW(tblConteo[#Headers])))</f>
        <v/>
      </c>
      <c r="D391" s="50" t="str">
        <f>IF(tblConteo[[#This Row],[SKU]]="","",INDEX(tblProductos[Categoría],ROW()-ROW(tblConteo[#Headers]))&amp;"")</f>
        <v/>
      </c>
      <c r="E391" s="43" t="str">
        <f>IF(tblConteo[[#This Row],[SKU]]="","",INDEX(tblProductos[Ubicación],ROW()-ROW(tblConteo[#Headers]))&amp;"")</f>
        <v/>
      </c>
      <c r="F391" s="43" t="str">
        <f>IF(tblConteo[[#This Row],[SKU]]="","",INDEX(tblProductos[Unidad],ROW()-ROW(tblConteo[#Headers]))&amp;"")</f>
        <v/>
      </c>
      <c r="G391" s="43" t="str">
        <f>IF(tblConteo[[#This Row],[SKU]]="","",IF(INDEX(tblProductos[Activo],ROW()-ROW(tblConteo[#Headers]))="NO","NO","SI"))</f>
        <v/>
      </c>
      <c r="H391" s="54" t="str">
        <f>IF(tblConteo[[#This Row],[SKU]]="","",IFERROR(N(INDEX(tblStock[StockActual],MATCH(tblConteo[[#This Row],[SKU]],tblStock[SKU],0))),0))</f>
        <v/>
      </c>
      <c r="I391" s="53"/>
      <c r="J391" s="60" t="str">
        <f>IF(OR(tblConteo[[#This Row],[SKU]]="",tblConteo[[#This Row],[Conteo]]=""),"",IF(ISNUMBER(tblConteo[[#This Row],[Conteo]]),tblConteo[[#This Row],[Conteo]]-N(tblConteo[[#This Row],[Sistema]]),""))</f>
        <v/>
      </c>
      <c r="K391" s="63" t="str">
        <f>IF(tblConteo[[#This Row],[Diferencia]]="","",tblConteo[[#This Row],[Diferencia]]*N(INDEX(tblProductos[CostoUnitario],ROW()-ROW(tblConteo[#Headers]))))</f>
        <v/>
      </c>
      <c r="L39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2" spans="2:13" x14ac:dyDescent="0.25">
      <c r="B392" s="43" t="str">
        <f>IF(INDEX(tblProductos[SKU],ROW()-ROW(tblConteo[#Headers]))="","",INDEX(tblProductos[SKU],ROW()-ROW(tblConteo[#Headers])))</f>
        <v/>
      </c>
      <c r="C392" s="50" t="str">
        <f>IF(tblConteo[[#This Row],[SKU]]="","",INDEX(tblProductos[Producto],ROW()-ROW(tblConteo[#Headers])))</f>
        <v/>
      </c>
      <c r="D392" s="50" t="str">
        <f>IF(tblConteo[[#This Row],[SKU]]="","",INDEX(tblProductos[Categoría],ROW()-ROW(tblConteo[#Headers]))&amp;"")</f>
        <v/>
      </c>
      <c r="E392" s="43" t="str">
        <f>IF(tblConteo[[#This Row],[SKU]]="","",INDEX(tblProductos[Ubicación],ROW()-ROW(tblConteo[#Headers]))&amp;"")</f>
        <v/>
      </c>
      <c r="F392" s="43" t="str">
        <f>IF(tblConteo[[#This Row],[SKU]]="","",INDEX(tblProductos[Unidad],ROW()-ROW(tblConteo[#Headers]))&amp;"")</f>
        <v/>
      </c>
      <c r="G392" s="43" t="str">
        <f>IF(tblConteo[[#This Row],[SKU]]="","",IF(INDEX(tblProductos[Activo],ROW()-ROW(tblConteo[#Headers]))="NO","NO","SI"))</f>
        <v/>
      </c>
      <c r="H392" s="54" t="str">
        <f>IF(tblConteo[[#This Row],[SKU]]="","",IFERROR(N(INDEX(tblStock[StockActual],MATCH(tblConteo[[#This Row],[SKU]],tblStock[SKU],0))),0))</f>
        <v/>
      </c>
      <c r="I392" s="53"/>
      <c r="J392" s="60" t="str">
        <f>IF(OR(tblConteo[[#This Row],[SKU]]="",tblConteo[[#This Row],[Conteo]]=""),"",IF(ISNUMBER(tblConteo[[#This Row],[Conteo]]),tblConteo[[#This Row],[Conteo]]-N(tblConteo[[#This Row],[Sistema]]),""))</f>
        <v/>
      </c>
      <c r="K392" s="63" t="str">
        <f>IF(tblConteo[[#This Row],[Diferencia]]="","",tblConteo[[#This Row],[Diferencia]]*N(INDEX(tblProductos[CostoUnitario],ROW()-ROW(tblConteo[#Headers]))))</f>
        <v/>
      </c>
      <c r="L39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3" spans="2:13" x14ac:dyDescent="0.25">
      <c r="B393" s="43" t="str">
        <f>IF(INDEX(tblProductos[SKU],ROW()-ROW(tblConteo[#Headers]))="","",INDEX(tblProductos[SKU],ROW()-ROW(tblConteo[#Headers])))</f>
        <v/>
      </c>
      <c r="C393" s="50" t="str">
        <f>IF(tblConteo[[#This Row],[SKU]]="","",INDEX(tblProductos[Producto],ROW()-ROW(tblConteo[#Headers])))</f>
        <v/>
      </c>
      <c r="D393" s="50" t="str">
        <f>IF(tblConteo[[#This Row],[SKU]]="","",INDEX(tblProductos[Categoría],ROW()-ROW(tblConteo[#Headers]))&amp;"")</f>
        <v/>
      </c>
      <c r="E393" s="43" t="str">
        <f>IF(tblConteo[[#This Row],[SKU]]="","",INDEX(tblProductos[Ubicación],ROW()-ROW(tblConteo[#Headers]))&amp;"")</f>
        <v/>
      </c>
      <c r="F393" s="43" t="str">
        <f>IF(tblConteo[[#This Row],[SKU]]="","",INDEX(tblProductos[Unidad],ROW()-ROW(tblConteo[#Headers]))&amp;"")</f>
        <v/>
      </c>
      <c r="G393" s="43" t="str">
        <f>IF(tblConteo[[#This Row],[SKU]]="","",IF(INDEX(tblProductos[Activo],ROW()-ROW(tblConteo[#Headers]))="NO","NO","SI"))</f>
        <v/>
      </c>
      <c r="H393" s="54" t="str">
        <f>IF(tblConteo[[#This Row],[SKU]]="","",IFERROR(N(INDEX(tblStock[StockActual],MATCH(tblConteo[[#This Row],[SKU]],tblStock[SKU],0))),0))</f>
        <v/>
      </c>
      <c r="I393" s="53"/>
      <c r="J393" s="60" t="str">
        <f>IF(OR(tblConteo[[#This Row],[SKU]]="",tblConteo[[#This Row],[Conteo]]=""),"",IF(ISNUMBER(tblConteo[[#This Row],[Conteo]]),tblConteo[[#This Row],[Conteo]]-N(tblConteo[[#This Row],[Sistema]]),""))</f>
        <v/>
      </c>
      <c r="K393" s="63" t="str">
        <f>IF(tblConteo[[#This Row],[Diferencia]]="","",tblConteo[[#This Row],[Diferencia]]*N(INDEX(tblProductos[CostoUnitario],ROW()-ROW(tblConteo[#Headers]))))</f>
        <v/>
      </c>
      <c r="L39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4" spans="2:13" x14ac:dyDescent="0.25">
      <c r="B394" s="43" t="str">
        <f>IF(INDEX(tblProductos[SKU],ROW()-ROW(tblConteo[#Headers]))="","",INDEX(tblProductos[SKU],ROW()-ROW(tblConteo[#Headers])))</f>
        <v/>
      </c>
      <c r="C394" s="50" t="str">
        <f>IF(tblConteo[[#This Row],[SKU]]="","",INDEX(tblProductos[Producto],ROW()-ROW(tblConteo[#Headers])))</f>
        <v/>
      </c>
      <c r="D394" s="50" t="str">
        <f>IF(tblConteo[[#This Row],[SKU]]="","",INDEX(tblProductos[Categoría],ROW()-ROW(tblConteo[#Headers]))&amp;"")</f>
        <v/>
      </c>
      <c r="E394" s="43" t="str">
        <f>IF(tblConteo[[#This Row],[SKU]]="","",INDEX(tblProductos[Ubicación],ROW()-ROW(tblConteo[#Headers]))&amp;"")</f>
        <v/>
      </c>
      <c r="F394" s="43" t="str">
        <f>IF(tblConteo[[#This Row],[SKU]]="","",INDEX(tblProductos[Unidad],ROW()-ROW(tblConteo[#Headers]))&amp;"")</f>
        <v/>
      </c>
      <c r="G394" s="43" t="str">
        <f>IF(tblConteo[[#This Row],[SKU]]="","",IF(INDEX(tblProductos[Activo],ROW()-ROW(tblConteo[#Headers]))="NO","NO","SI"))</f>
        <v/>
      </c>
      <c r="H394" s="54" t="str">
        <f>IF(tblConteo[[#This Row],[SKU]]="","",IFERROR(N(INDEX(tblStock[StockActual],MATCH(tblConteo[[#This Row],[SKU]],tblStock[SKU],0))),0))</f>
        <v/>
      </c>
      <c r="I394" s="53"/>
      <c r="J394" s="60" t="str">
        <f>IF(OR(tblConteo[[#This Row],[SKU]]="",tblConteo[[#This Row],[Conteo]]=""),"",IF(ISNUMBER(tblConteo[[#This Row],[Conteo]]),tblConteo[[#This Row],[Conteo]]-N(tblConteo[[#This Row],[Sistema]]),""))</f>
        <v/>
      </c>
      <c r="K394" s="63" t="str">
        <f>IF(tblConteo[[#This Row],[Diferencia]]="","",tblConteo[[#This Row],[Diferencia]]*N(INDEX(tblProductos[CostoUnitario],ROW()-ROW(tblConteo[#Headers]))))</f>
        <v/>
      </c>
      <c r="L39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5" spans="2:13" x14ac:dyDescent="0.25">
      <c r="B395" s="43" t="str">
        <f>IF(INDEX(tblProductos[SKU],ROW()-ROW(tblConteo[#Headers]))="","",INDEX(tblProductos[SKU],ROW()-ROW(tblConteo[#Headers])))</f>
        <v/>
      </c>
      <c r="C395" s="50" t="str">
        <f>IF(tblConteo[[#This Row],[SKU]]="","",INDEX(tblProductos[Producto],ROW()-ROW(tblConteo[#Headers])))</f>
        <v/>
      </c>
      <c r="D395" s="50" t="str">
        <f>IF(tblConteo[[#This Row],[SKU]]="","",INDEX(tblProductos[Categoría],ROW()-ROW(tblConteo[#Headers]))&amp;"")</f>
        <v/>
      </c>
      <c r="E395" s="43" t="str">
        <f>IF(tblConteo[[#This Row],[SKU]]="","",INDEX(tblProductos[Ubicación],ROW()-ROW(tblConteo[#Headers]))&amp;"")</f>
        <v/>
      </c>
      <c r="F395" s="43" t="str">
        <f>IF(tblConteo[[#This Row],[SKU]]="","",INDEX(tblProductos[Unidad],ROW()-ROW(tblConteo[#Headers]))&amp;"")</f>
        <v/>
      </c>
      <c r="G395" s="43" t="str">
        <f>IF(tblConteo[[#This Row],[SKU]]="","",IF(INDEX(tblProductos[Activo],ROW()-ROW(tblConteo[#Headers]))="NO","NO","SI"))</f>
        <v/>
      </c>
      <c r="H395" s="54" t="str">
        <f>IF(tblConteo[[#This Row],[SKU]]="","",IFERROR(N(INDEX(tblStock[StockActual],MATCH(tblConteo[[#This Row],[SKU]],tblStock[SKU],0))),0))</f>
        <v/>
      </c>
      <c r="I395" s="53"/>
      <c r="J395" s="60" t="str">
        <f>IF(OR(tblConteo[[#This Row],[SKU]]="",tblConteo[[#This Row],[Conteo]]=""),"",IF(ISNUMBER(tblConteo[[#This Row],[Conteo]]),tblConteo[[#This Row],[Conteo]]-N(tblConteo[[#This Row],[Sistema]]),""))</f>
        <v/>
      </c>
      <c r="K395" s="63" t="str">
        <f>IF(tblConteo[[#This Row],[Diferencia]]="","",tblConteo[[#This Row],[Diferencia]]*N(INDEX(tblProductos[CostoUnitario],ROW()-ROW(tblConteo[#Headers]))))</f>
        <v/>
      </c>
      <c r="L39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6" spans="2:13" x14ac:dyDescent="0.25">
      <c r="B396" s="43" t="str">
        <f>IF(INDEX(tblProductos[SKU],ROW()-ROW(tblConteo[#Headers]))="","",INDEX(tblProductos[SKU],ROW()-ROW(tblConteo[#Headers])))</f>
        <v/>
      </c>
      <c r="C396" s="50" t="str">
        <f>IF(tblConteo[[#This Row],[SKU]]="","",INDEX(tblProductos[Producto],ROW()-ROW(tblConteo[#Headers])))</f>
        <v/>
      </c>
      <c r="D396" s="50" t="str">
        <f>IF(tblConteo[[#This Row],[SKU]]="","",INDEX(tblProductos[Categoría],ROW()-ROW(tblConteo[#Headers]))&amp;"")</f>
        <v/>
      </c>
      <c r="E396" s="43" t="str">
        <f>IF(tblConteo[[#This Row],[SKU]]="","",INDEX(tblProductos[Ubicación],ROW()-ROW(tblConteo[#Headers]))&amp;"")</f>
        <v/>
      </c>
      <c r="F396" s="43" t="str">
        <f>IF(tblConteo[[#This Row],[SKU]]="","",INDEX(tblProductos[Unidad],ROW()-ROW(tblConteo[#Headers]))&amp;"")</f>
        <v/>
      </c>
      <c r="G396" s="43" t="str">
        <f>IF(tblConteo[[#This Row],[SKU]]="","",IF(INDEX(tblProductos[Activo],ROW()-ROW(tblConteo[#Headers]))="NO","NO","SI"))</f>
        <v/>
      </c>
      <c r="H396" s="54" t="str">
        <f>IF(tblConteo[[#This Row],[SKU]]="","",IFERROR(N(INDEX(tblStock[StockActual],MATCH(tblConteo[[#This Row],[SKU]],tblStock[SKU],0))),0))</f>
        <v/>
      </c>
      <c r="I396" s="53"/>
      <c r="J396" s="60" t="str">
        <f>IF(OR(tblConteo[[#This Row],[SKU]]="",tblConteo[[#This Row],[Conteo]]=""),"",IF(ISNUMBER(tblConteo[[#This Row],[Conteo]]),tblConteo[[#This Row],[Conteo]]-N(tblConteo[[#This Row],[Sistema]]),""))</f>
        <v/>
      </c>
      <c r="K396" s="63" t="str">
        <f>IF(tblConteo[[#This Row],[Diferencia]]="","",tblConteo[[#This Row],[Diferencia]]*N(INDEX(tblProductos[CostoUnitario],ROW()-ROW(tblConteo[#Headers]))))</f>
        <v/>
      </c>
      <c r="L39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7" spans="2:13" x14ac:dyDescent="0.25">
      <c r="B397" s="43" t="str">
        <f>IF(INDEX(tblProductos[SKU],ROW()-ROW(tblConteo[#Headers]))="","",INDEX(tblProductos[SKU],ROW()-ROW(tblConteo[#Headers])))</f>
        <v/>
      </c>
      <c r="C397" s="50" t="str">
        <f>IF(tblConteo[[#This Row],[SKU]]="","",INDEX(tblProductos[Producto],ROW()-ROW(tblConteo[#Headers])))</f>
        <v/>
      </c>
      <c r="D397" s="50" t="str">
        <f>IF(tblConteo[[#This Row],[SKU]]="","",INDEX(tblProductos[Categoría],ROW()-ROW(tblConteo[#Headers]))&amp;"")</f>
        <v/>
      </c>
      <c r="E397" s="43" t="str">
        <f>IF(tblConteo[[#This Row],[SKU]]="","",INDEX(tblProductos[Ubicación],ROW()-ROW(tblConteo[#Headers]))&amp;"")</f>
        <v/>
      </c>
      <c r="F397" s="43" t="str">
        <f>IF(tblConteo[[#This Row],[SKU]]="","",INDEX(tblProductos[Unidad],ROW()-ROW(tblConteo[#Headers]))&amp;"")</f>
        <v/>
      </c>
      <c r="G397" s="43" t="str">
        <f>IF(tblConteo[[#This Row],[SKU]]="","",IF(INDEX(tblProductos[Activo],ROW()-ROW(tblConteo[#Headers]))="NO","NO","SI"))</f>
        <v/>
      </c>
      <c r="H397" s="54" t="str">
        <f>IF(tblConteo[[#This Row],[SKU]]="","",IFERROR(N(INDEX(tblStock[StockActual],MATCH(tblConteo[[#This Row],[SKU]],tblStock[SKU],0))),0))</f>
        <v/>
      </c>
      <c r="I397" s="53"/>
      <c r="J397" s="60" t="str">
        <f>IF(OR(tblConteo[[#This Row],[SKU]]="",tblConteo[[#This Row],[Conteo]]=""),"",IF(ISNUMBER(tblConteo[[#This Row],[Conteo]]),tblConteo[[#This Row],[Conteo]]-N(tblConteo[[#This Row],[Sistema]]),""))</f>
        <v/>
      </c>
      <c r="K397" s="63" t="str">
        <f>IF(tblConteo[[#This Row],[Diferencia]]="","",tblConteo[[#This Row],[Diferencia]]*N(INDEX(tblProductos[CostoUnitario],ROW()-ROW(tblConteo[#Headers]))))</f>
        <v/>
      </c>
      <c r="L39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8" spans="2:13" x14ac:dyDescent="0.25">
      <c r="B398" s="43" t="str">
        <f>IF(INDEX(tblProductos[SKU],ROW()-ROW(tblConteo[#Headers]))="","",INDEX(tblProductos[SKU],ROW()-ROW(tblConteo[#Headers])))</f>
        <v/>
      </c>
      <c r="C398" s="50" t="str">
        <f>IF(tblConteo[[#This Row],[SKU]]="","",INDEX(tblProductos[Producto],ROW()-ROW(tblConteo[#Headers])))</f>
        <v/>
      </c>
      <c r="D398" s="50" t="str">
        <f>IF(tblConteo[[#This Row],[SKU]]="","",INDEX(tblProductos[Categoría],ROW()-ROW(tblConteo[#Headers]))&amp;"")</f>
        <v/>
      </c>
      <c r="E398" s="43" t="str">
        <f>IF(tblConteo[[#This Row],[SKU]]="","",INDEX(tblProductos[Ubicación],ROW()-ROW(tblConteo[#Headers]))&amp;"")</f>
        <v/>
      </c>
      <c r="F398" s="43" t="str">
        <f>IF(tblConteo[[#This Row],[SKU]]="","",INDEX(tblProductos[Unidad],ROW()-ROW(tblConteo[#Headers]))&amp;"")</f>
        <v/>
      </c>
      <c r="G398" s="43" t="str">
        <f>IF(tblConteo[[#This Row],[SKU]]="","",IF(INDEX(tblProductos[Activo],ROW()-ROW(tblConteo[#Headers]))="NO","NO","SI"))</f>
        <v/>
      </c>
      <c r="H398" s="54" t="str">
        <f>IF(tblConteo[[#This Row],[SKU]]="","",IFERROR(N(INDEX(tblStock[StockActual],MATCH(tblConteo[[#This Row],[SKU]],tblStock[SKU],0))),0))</f>
        <v/>
      </c>
      <c r="I398" s="53"/>
      <c r="J398" s="60" t="str">
        <f>IF(OR(tblConteo[[#This Row],[SKU]]="",tblConteo[[#This Row],[Conteo]]=""),"",IF(ISNUMBER(tblConteo[[#This Row],[Conteo]]),tblConteo[[#This Row],[Conteo]]-N(tblConteo[[#This Row],[Sistema]]),""))</f>
        <v/>
      </c>
      <c r="K398" s="63" t="str">
        <f>IF(tblConteo[[#This Row],[Diferencia]]="","",tblConteo[[#This Row],[Diferencia]]*N(INDEX(tblProductos[CostoUnitario],ROW()-ROW(tblConteo[#Headers]))))</f>
        <v/>
      </c>
      <c r="L39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399" spans="2:13" x14ac:dyDescent="0.25">
      <c r="B399" s="43" t="str">
        <f>IF(INDEX(tblProductos[SKU],ROW()-ROW(tblConteo[#Headers]))="","",INDEX(tblProductos[SKU],ROW()-ROW(tblConteo[#Headers])))</f>
        <v/>
      </c>
      <c r="C399" s="50" t="str">
        <f>IF(tblConteo[[#This Row],[SKU]]="","",INDEX(tblProductos[Producto],ROW()-ROW(tblConteo[#Headers])))</f>
        <v/>
      </c>
      <c r="D399" s="50" t="str">
        <f>IF(tblConteo[[#This Row],[SKU]]="","",INDEX(tblProductos[Categoría],ROW()-ROW(tblConteo[#Headers]))&amp;"")</f>
        <v/>
      </c>
      <c r="E399" s="43" t="str">
        <f>IF(tblConteo[[#This Row],[SKU]]="","",INDEX(tblProductos[Ubicación],ROW()-ROW(tblConteo[#Headers]))&amp;"")</f>
        <v/>
      </c>
      <c r="F399" s="43" t="str">
        <f>IF(tblConteo[[#This Row],[SKU]]="","",INDEX(tblProductos[Unidad],ROW()-ROW(tblConteo[#Headers]))&amp;"")</f>
        <v/>
      </c>
      <c r="G399" s="43" t="str">
        <f>IF(tblConteo[[#This Row],[SKU]]="","",IF(INDEX(tblProductos[Activo],ROW()-ROW(tblConteo[#Headers]))="NO","NO","SI"))</f>
        <v/>
      </c>
      <c r="H399" s="54" t="str">
        <f>IF(tblConteo[[#This Row],[SKU]]="","",IFERROR(N(INDEX(tblStock[StockActual],MATCH(tblConteo[[#This Row],[SKU]],tblStock[SKU],0))),0))</f>
        <v/>
      </c>
      <c r="I399" s="53"/>
      <c r="J399" s="60" t="str">
        <f>IF(OR(tblConteo[[#This Row],[SKU]]="",tblConteo[[#This Row],[Conteo]]=""),"",IF(ISNUMBER(tblConteo[[#This Row],[Conteo]]),tblConteo[[#This Row],[Conteo]]-N(tblConteo[[#This Row],[Sistema]]),""))</f>
        <v/>
      </c>
      <c r="K399" s="63" t="str">
        <f>IF(tblConteo[[#This Row],[Diferencia]]="","",tblConteo[[#This Row],[Diferencia]]*N(INDEX(tblProductos[CostoUnitario],ROW()-ROW(tblConteo[#Headers]))))</f>
        <v/>
      </c>
      <c r="L39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39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0" spans="2:13" x14ac:dyDescent="0.25">
      <c r="B400" s="43" t="str">
        <f>IF(INDEX(tblProductos[SKU],ROW()-ROW(tblConteo[#Headers]))="","",INDEX(tblProductos[SKU],ROW()-ROW(tblConteo[#Headers])))</f>
        <v/>
      </c>
      <c r="C400" s="50" t="str">
        <f>IF(tblConteo[[#This Row],[SKU]]="","",INDEX(tblProductos[Producto],ROW()-ROW(tblConteo[#Headers])))</f>
        <v/>
      </c>
      <c r="D400" s="50" t="str">
        <f>IF(tblConteo[[#This Row],[SKU]]="","",INDEX(tblProductos[Categoría],ROW()-ROW(tblConteo[#Headers]))&amp;"")</f>
        <v/>
      </c>
      <c r="E400" s="43" t="str">
        <f>IF(tblConteo[[#This Row],[SKU]]="","",INDEX(tblProductos[Ubicación],ROW()-ROW(tblConteo[#Headers]))&amp;"")</f>
        <v/>
      </c>
      <c r="F400" s="43" t="str">
        <f>IF(tblConteo[[#This Row],[SKU]]="","",INDEX(tblProductos[Unidad],ROW()-ROW(tblConteo[#Headers]))&amp;"")</f>
        <v/>
      </c>
      <c r="G400" s="43" t="str">
        <f>IF(tblConteo[[#This Row],[SKU]]="","",IF(INDEX(tblProductos[Activo],ROW()-ROW(tblConteo[#Headers]))="NO","NO","SI"))</f>
        <v/>
      </c>
      <c r="H400" s="54" t="str">
        <f>IF(tblConteo[[#This Row],[SKU]]="","",IFERROR(N(INDEX(tblStock[StockActual],MATCH(tblConteo[[#This Row],[SKU]],tblStock[SKU],0))),0))</f>
        <v/>
      </c>
      <c r="I400" s="53"/>
      <c r="J400" s="60" t="str">
        <f>IF(OR(tblConteo[[#This Row],[SKU]]="",tblConteo[[#This Row],[Conteo]]=""),"",IF(ISNUMBER(tblConteo[[#This Row],[Conteo]]),tblConteo[[#This Row],[Conteo]]-N(tblConteo[[#This Row],[Sistema]]),""))</f>
        <v/>
      </c>
      <c r="K400" s="63" t="str">
        <f>IF(tblConteo[[#This Row],[Diferencia]]="","",tblConteo[[#This Row],[Diferencia]]*N(INDEX(tblProductos[CostoUnitario],ROW()-ROW(tblConteo[#Headers]))))</f>
        <v/>
      </c>
      <c r="L40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1" spans="2:13" x14ac:dyDescent="0.25">
      <c r="B401" s="43" t="str">
        <f>IF(INDEX(tblProductos[SKU],ROW()-ROW(tblConteo[#Headers]))="","",INDEX(tblProductos[SKU],ROW()-ROW(tblConteo[#Headers])))</f>
        <v/>
      </c>
      <c r="C401" s="50" t="str">
        <f>IF(tblConteo[[#This Row],[SKU]]="","",INDEX(tblProductos[Producto],ROW()-ROW(tblConteo[#Headers])))</f>
        <v/>
      </c>
      <c r="D401" s="50" t="str">
        <f>IF(tblConteo[[#This Row],[SKU]]="","",INDEX(tblProductos[Categoría],ROW()-ROW(tblConteo[#Headers]))&amp;"")</f>
        <v/>
      </c>
      <c r="E401" s="43" t="str">
        <f>IF(tblConteo[[#This Row],[SKU]]="","",INDEX(tblProductos[Ubicación],ROW()-ROW(tblConteo[#Headers]))&amp;"")</f>
        <v/>
      </c>
      <c r="F401" s="43" t="str">
        <f>IF(tblConteo[[#This Row],[SKU]]="","",INDEX(tblProductos[Unidad],ROW()-ROW(tblConteo[#Headers]))&amp;"")</f>
        <v/>
      </c>
      <c r="G401" s="43" t="str">
        <f>IF(tblConteo[[#This Row],[SKU]]="","",IF(INDEX(tblProductos[Activo],ROW()-ROW(tblConteo[#Headers]))="NO","NO","SI"))</f>
        <v/>
      </c>
      <c r="H401" s="54" t="str">
        <f>IF(tblConteo[[#This Row],[SKU]]="","",IFERROR(N(INDEX(tblStock[StockActual],MATCH(tblConteo[[#This Row],[SKU]],tblStock[SKU],0))),0))</f>
        <v/>
      </c>
      <c r="I401" s="53"/>
      <c r="J401" s="60" t="str">
        <f>IF(OR(tblConteo[[#This Row],[SKU]]="",tblConteo[[#This Row],[Conteo]]=""),"",IF(ISNUMBER(tblConteo[[#This Row],[Conteo]]),tblConteo[[#This Row],[Conteo]]-N(tblConteo[[#This Row],[Sistema]]),""))</f>
        <v/>
      </c>
      <c r="K401" s="63" t="str">
        <f>IF(tblConteo[[#This Row],[Diferencia]]="","",tblConteo[[#This Row],[Diferencia]]*N(INDEX(tblProductos[CostoUnitario],ROW()-ROW(tblConteo[#Headers]))))</f>
        <v/>
      </c>
      <c r="L40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2" spans="2:13" x14ac:dyDescent="0.25">
      <c r="B402" s="43" t="str">
        <f>IF(INDEX(tblProductos[SKU],ROW()-ROW(tblConteo[#Headers]))="","",INDEX(tblProductos[SKU],ROW()-ROW(tblConteo[#Headers])))</f>
        <v/>
      </c>
      <c r="C402" s="50" t="str">
        <f>IF(tblConteo[[#This Row],[SKU]]="","",INDEX(tblProductos[Producto],ROW()-ROW(tblConteo[#Headers])))</f>
        <v/>
      </c>
      <c r="D402" s="50" t="str">
        <f>IF(tblConteo[[#This Row],[SKU]]="","",INDEX(tblProductos[Categoría],ROW()-ROW(tblConteo[#Headers]))&amp;"")</f>
        <v/>
      </c>
      <c r="E402" s="43" t="str">
        <f>IF(tblConteo[[#This Row],[SKU]]="","",INDEX(tblProductos[Ubicación],ROW()-ROW(tblConteo[#Headers]))&amp;"")</f>
        <v/>
      </c>
      <c r="F402" s="43" t="str">
        <f>IF(tblConteo[[#This Row],[SKU]]="","",INDEX(tblProductos[Unidad],ROW()-ROW(tblConteo[#Headers]))&amp;"")</f>
        <v/>
      </c>
      <c r="G402" s="43" t="str">
        <f>IF(tblConteo[[#This Row],[SKU]]="","",IF(INDEX(tblProductos[Activo],ROW()-ROW(tblConteo[#Headers]))="NO","NO","SI"))</f>
        <v/>
      </c>
      <c r="H402" s="54" t="str">
        <f>IF(tblConteo[[#This Row],[SKU]]="","",IFERROR(N(INDEX(tblStock[StockActual],MATCH(tblConteo[[#This Row],[SKU]],tblStock[SKU],0))),0))</f>
        <v/>
      </c>
      <c r="I402" s="53"/>
      <c r="J402" s="60" t="str">
        <f>IF(OR(tblConteo[[#This Row],[SKU]]="",tblConteo[[#This Row],[Conteo]]=""),"",IF(ISNUMBER(tblConteo[[#This Row],[Conteo]]),tblConteo[[#This Row],[Conteo]]-N(tblConteo[[#This Row],[Sistema]]),""))</f>
        <v/>
      </c>
      <c r="K402" s="63" t="str">
        <f>IF(tblConteo[[#This Row],[Diferencia]]="","",tblConteo[[#This Row],[Diferencia]]*N(INDEX(tblProductos[CostoUnitario],ROW()-ROW(tblConteo[#Headers]))))</f>
        <v/>
      </c>
      <c r="L40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3" spans="2:13" x14ac:dyDescent="0.25">
      <c r="B403" s="43" t="str">
        <f>IF(INDEX(tblProductos[SKU],ROW()-ROW(tblConteo[#Headers]))="","",INDEX(tblProductos[SKU],ROW()-ROW(tblConteo[#Headers])))</f>
        <v/>
      </c>
      <c r="C403" s="50" t="str">
        <f>IF(tblConteo[[#This Row],[SKU]]="","",INDEX(tblProductos[Producto],ROW()-ROW(tblConteo[#Headers])))</f>
        <v/>
      </c>
      <c r="D403" s="50" t="str">
        <f>IF(tblConteo[[#This Row],[SKU]]="","",INDEX(tblProductos[Categoría],ROW()-ROW(tblConteo[#Headers]))&amp;"")</f>
        <v/>
      </c>
      <c r="E403" s="43" t="str">
        <f>IF(tblConteo[[#This Row],[SKU]]="","",INDEX(tblProductos[Ubicación],ROW()-ROW(tblConteo[#Headers]))&amp;"")</f>
        <v/>
      </c>
      <c r="F403" s="43" t="str">
        <f>IF(tblConteo[[#This Row],[SKU]]="","",INDEX(tblProductos[Unidad],ROW()-ROW(tblConteo[#Headers]))&amp;"")</f>
        <v/>
      </c>
      <c r="G403" s="43" t="str">
        <f>IF(tblConteo[[#This Row],[SKU]]="","",IF(INDEX(tblProductos[Activo],ROW()-ROW(tblConteo[#Headers]))="NO","NO","SI"))</f>
        <v/>
      </c>
      <c r="H403" s="54" t="str">
        <f>IF(tblConteo[[#This Row],[SKU]]="","",IFERROR(N(INDEX(tblStock[StockActual],MATCH(tblConteo[[#This Row],[SKU]],tblStock[SKU],0))),0))</f>
        <v/>
      </c>
      <c r="I403" s="53"/>
      <c r="J403" s="60" t="str">
        <f>IF(OR(tblConteo[[#This Row],[SKU]]="",tblConteo[[#This Row],[Conteo]]=""),"",IF(ISNUMBER(tblConteo[[#This Row],[Conteo]]),tblConteo[[#This Row],[Conteo]]-N(tblConteo[[#This Row],[Sistema]]),""))</f>
        <v/>
      </c>
      <c r="K403" s="63" t="str">
        <f>IF(tblConteo[[#This Row],[Diferencia]]="","",tblConteo[[#This Row],[Diferencia]]*N(INDEX(tblProductos[CostoUnitario],ROW()-ROW(tblConteo[#Headers]))))</f>
        <v/>
      </c>
      <c r="L40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4" spans="2:13" x14ac:dyDescent="0.25">
      <c r="B404" s="43" t="str">
        <f>IF(INDEX(tblProductos[SKU],ROW()-ROW(tblConteo[#Headers]))="","",INDEX(tblProductos[SKU],ROW()-ROW(tblConteo[#Headers])))</f>
        <v/>
      </c>
      <c r="C404" s="50" t="str">
        <f>IF(tblConteo[[#This Row],[SKU]]="","",INDEX(tblProductos[Producto],ROW()-ROW(tblConteo[#Headers])))</f>
        <v/>
      </c>
      <c r="D404" s="50" t="str">
        <f>IF(tblConteo[[#This Row],[SKU]]="","",INDEX(tblProductos[Categoría],ROW()-ROW(tblConteo[#Headers]))&amp;"")</f>
        <v/>
      </c>
      <c r="E404" s="43" t="str">
        <f>IF(tblConteo[[#This Row],[SKU]]="","",INDEX(tblProductos[Ubicación],ROW()-ROW(tblConteo[#Headers]))&amp;"")</f>
        <v/>
      </c>
      <c r="F404" s="43" t="str">
        <f>IF(tblConteo[[#This Row],[SKU]]="","",INDEX(tblProductos[Unidad],ROW()-ROW(tblConteo[#Headers]))&amp;"")</f>
        <v/>
      </c>
      <c r="G404" s="43" t="str">
        <f>IF(tblConteo[[#This Row],[SKU]]="","",IF(INDEX(tblProductos[Activo],ROW()-ROW(tblConteo[#Headers]))="NO","NO","SI"))</f>
        <v/>
      </c>
      <c r="H404" s="54" t="str">
        <f>IF(tblConteo[[#This Row],[SKU]]="","",IFERROR(N(INDEX(tblStock[StockActual],MATCH(tblConteo[[#This Row],[SKU]],tblStock[SKU],0))),0))</f>
        <v/>
      </c>
      <c r="I404" s="53"/>
      <c r="J404" s="60" t="str">
        <f>IF(OR(tblConteo[[#This Row],[SKU]]="",tblConteo[[#This Row],[Conteo]]=""),"",IF(ISNUMBER(tblConteo[[#This Row],[Conteo]]),tblConteo[[#This Row],[Conteo]]-N(tblConteo[[#This Row],[Sistema]]),""))</f>
        <v/>
      </c>
      <c r="K404" s="63" t="str">
        <f>IF(tblConteo[[#This Row],[Diferencia]]="","",tblConteo[[#This Row],[Diferencia]]*N(INDEX(tblProductos[CostoUnitario],ROW()-ROW(tblConteo[#Headers]))))</f>
        <v/>
      </c>
      <c r="L40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5" spans="2:13" x14ac:dyDescent="0.25">
      <c r="B405" s="43" t="str">
        <f>IF(INDEX(tblProductos[SKU],ROW()-ROW(tblConteo[#Headers]))="","",INDEX(tblProductos[SKU],ROW()-ROW(tblConteo[#Headers])))</f>
        <v/>
      </c>
      <c r="C405" s="50" t="str">
        <f>IF(tblConteo[[#This Row],[SKU]]="","",INDEX(tblProductos[Producto],ROW()-ROW(tblConteo[#Headers])))</f>
        <v/>
      </c>
      <c r="D405" s="50" t="str">
        <f>IF(tblConteo[[#This Row],[SKU]]="","",INDEX(tblProductos[Categoría],ROW()-ROW(tblConteo[#Headers]))&amp;"")</f>
        <v/>
      </c>
      <c r="E405" s="43" t="str">
        <f>IF(tblConteo[[#This Row],[SKU]]="","",INDEX(tblProductos[Ubicación],ROW()-ROW(tblConteo[#Headers]))&amp;"")</f>
        <v/>
      </c>
      <c r="F405" s="43" t="str">
        <f>IF(tblConteo[[#This Row],[SKU]]="","",INDEX(tblProductos[Unidad],ROW()-ROW(tblConteo[#Headers]))&amp;"")</f>
        <v/>
      </c>
      <c r="G405" s="43" t="str">
        <f>IF(tblConteo[[#This Row],[SKU]]="","",IF(INDEX(tblProductos[Activo],ROW()-ROW(tblConteo[#Headers]))="NO","NO","SI"))</f>
        <v/>
      </c>
      <c r="H405" s="54" t="str">
        <f>IF(tblConteo[[#This Row],[SKU]]="","",IFERROR(N(INDEX(tblStock[StockActual],MATCH(tblConteo[[#This Row],[SKU]],tblStock[SKU],0))),0))</f>
        <v/>
      </c>
      <c r="I405" s="53"/>
      <c r="J405" s="60" t="str">
        <f>IF(OR(tblConteo[[#This Row],[SKU]]="",tblConteo[[#This Row],[Conteo]]=""),"",IF(ISNUMBER(tblConteo[[#This Row],[Conteo]]),tblConteo[[#This Row],[Conteo]]-N(tblConteo[[#This Row],[Sistema]]),""))</f>
        <v/>
      </c>
      <c r="K405" s="63" t="str">
        <f>IF(tblConteo[[#This Row],[Diferencia]]="","",tblConteo[[#This Row],[Diferencia]]*N(INDEX(tblProductos[CostoUnitario],ROW()-ROW(tblConteo[#Headers]))))</f>
        <v/>
      </c>
      <c r="L40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6" spans="2:13" x14ac:dyDescent="0.25">
      <c r="B406" s="43" t="str">
        <f>IF(INDEX(tblProductos[SKU],ROW()-ROW(tblConteo[#Headers]))="","",INDEX(tblProductos[SKU],ROW()-ROW(tblConteo[#Headers])))</f>
        <v/>
      </c>
      <c r="C406" s="50" t="str">
        <f>IF(tblConteo[[#This Row],[SKU]]="","",INDEX(tblProductos[Producto],ROW()-ROW(tblConteo[#Headers])))</f>
        <v/>
      </c>
      <c r="D406" s="50" t="str">
        <f>IF(tblConteo[[#This Row],[SKU]]="","",INDEX(tblProductos[Categoría],ROW()-ROW(tblConteo[#Headers]))&amp;"")</f>
        <v/>
      </c>
      <c r="E406" s="43" t="str">
        <f>IF(tblConteo[[#This Row],[SKU]]="","",INDEX(tblProductos[Ubicación],ROW()-ROW(tblConteo[#Headers]))&amp;"")</f>
        <v/>
      </c>
      <c r="F406" s="43" t="str">
        <f>IF(tblConteo[[#This Row],[SKU]]="","",INDEX(tblProductos[Unidad],ROW()-ROW(tblConteo[#Headers]))&amp;"")</f>
        <v/>
      </c>
      <c r="G406" s="43" t="str">
        <f>IF(tblConteo[[#This Row],[SKU]]="","",IF(INDEX(tblProductos[Activo],ROW()-ROW(tblConteo[#Headers]))="NO","NO","SI"))</f>
        <v/>
      </c>
      <c r="H406" s="54" t="str">
        <f>IF(tblConteo[[#This Row],[SKU]]="","",IFERROR(N(INDEX(tblStock[StockActual],MATCH(tblConteo[[#This Row],[SKU]],tblStock[SKU],0))),0))</f>
        <v/>
      </c>
      <c r="I406" s="53"/>
      <c r="J406" s="60" t="str">
        <f>IF(OR(tblConteo[[#This Row],[SKU]]="",tblConteo[[#This Row],[Conteo]]=""),"",IF(ISNUMBER(tblConteo[[#This Row],[Conteo]]),tblConteo[[#This Row],[Conteo]]-N(tblConteo[[#This Row],[Sistema]]),""))</f>
        <v/>
      </c>
      <c r="K406" s="63" t="str">
        <f>IF(tblConteo[[#This Row],[Diferencia]]="","",tblConteo[[#This Row],[Diferencia]]*N(INDEX(tblProductos[CostoUnitario],ROW()-ROW(tblConteo[#Headers]))))</f>
        <v/>
      </c>
      <c r="L40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7" spans="2:13" x14ac:dyDescent="0.25">
      <c r="B407" s="43" t="str">
        <f>IF(INDEX(tblProductos[SKU],ROW()-ROW(tblConteo[#Headers]))="","",INDEX(tblProductos[SKU],ROW()-ROW(tblConteo[#Headers])))</f>
        <v/>
      </c>
      <c r="C407" s="50" t="str">
        <f>IF(tblConteo[[#This Row],[SKU]]="","",INDEX(tblProductos[Producto],ROW()-ROW(tblConteo[#Headers])))</f>
        <v/>
      </c>
      <c r="D407" s="50" t="str">
        <f>IF(tblConteo[[#This Row],[SKU]]="","",INDEX(tblProductos[Categoría],ROW()-ROW(tblConteo[#Headers]))&amp;"")</f>
        <v/>
      </c>
      <c r="E407" s="43" t="str">
        <f>IF(tblConteo[[#This Row],[SKU]]="","",INDEX(tblProductos[Ubicación],ROW()-ROW(tblConteo[#Headers]))&amp;"")</f>
        <v/>
      </c>
      <c r="F407" s="43" t="str">
        <f>IF(tblConteo[[#This Row],[SKU]]="","",INDEX(tblProductos[Unidad],ROW()-ROW(tblConteo[#Headers]))&amp;"")</f>
        <v/>
      </c>
      <c r="G407" s="43" t="str">
        <f>IF(tblConteo[[#This Row],[SKU]]="","",IF(INDEX(tblProductos[Activo],ROW()-ROW(tblConteo[#Headers]))="NO","NO","SI"))</f>
        <v/>
      </c>
      <c r="H407" s="54" t="str">
        <f>IF(tblConteo[[#This Row],[SKU]]="","",IFERROR(N(INDEX(tblStock[StockActual],MATCH(tblConteo[[#This Row],[SKU]],tblStock[SKU],0))),0))</f>
        <v/>
      </c>
      <c r="I407" s="53"/>
      <c r="J407" s="60" t="str">
        <f>IF(OR(tblConteo[[#This Row],[SKU]]="",tblConteo[[#This Row],[Conteo]]=""),"",IF(ISNUMBER(tblConteo[[#This Row],[Conteo]]),tblConteo[[#This Row],[Conteo]]-N(tblConteo[[#This Row],[Sistema]]),""))</f>
        <v/>
      </c>
      <c r="K407" s="63" t="str">
        <f>IF(tblConteo[[#This Row],[Diferencia]]="","",tblConteo[[#This Row],[Diferencia]]*N(INDEX(tblProductos[CostoUnitario],ROW()-ROW(tblConteo[#Headers]))))</f>
        <v/>
      </c>
      <c r="L40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8" spans="2:13" x14ac:dyDescent="0.25">
      <c r="B408" s="43" t="str">
        <f>IF(INDEX(tblProductos[SKU],ROW()-ROW(tblConteo[#Headers]))="","",INDEX(tblProductos[SKU],ROW()-ROW(tblConteo[#Headers])))</f>
        <v/>
      </c>
      <c r="C408" s="50" t="str">
        <f>IF(tblConteo[[#This Row],[SKU]]="","",INDEX(tblProductos[Producto],ROW()-ROW(tblConteo[#Headers])))</f>
        <v/>
      </c>
      <c r="D408" s="50" t="str">
        <f>IF(tblConteo[[#This Row],[SKU]]="","",INDEX(tblProductos[Categoría],ROW()-ROW(tblConteo[#Headers]))&amp;"")</f>
        <v/>
      </c>
      <c r="E408" s="43" t="str">
        <f>IF(tblConteo[[#This Row],[SKU]]="","",INDEX(tblProductos[Ubicación],ROW()-ROW(tblConteo[#Headers]))&amp;"")</f>
        <v/>
      </c>
      <c r="F408" s="43" t="str">
        <f>IF(tblConteo[[#This Row],[SKU]]="","",INDEX(tblProductos[Unidad],ROW()-ROW(tblConteo[#Headers]))&amp;"")</f>
        <v/>
      </c>
      <c r="G408" s="43" t="str">
        <f>IF(tblConteo[[#This Row],[SKU]]="","",IF(INDEX(tblProductos[Activo],ROW()-ROW(tblConteo[#Headers]))="NO","NO","SI"))</f>
        <v/>
      </c>
      <c r="H408" s="54" t="str">
        <f>IF(tblConteo[[#This Row],[SKU]]="","",IFERROR(N(INDEX(tblStock[StockActual],MATCH(tblConteo[[#This Row],[SKU]],tblStock[SKU],0))),0))</f>
        <v/>
      </c>
      <c r="I408" s="53"/>
      <c r="J408" s="60" t="str">
        <f>IF(OR(tblConteo[[#This Row],[SKU]]="",tblConteo[[#This Row],[Conteo]]=""),"",IF(ISNUMBER(tblConteo[[#This Row],[Conteo]]),tblConteo[[#This Row],[Conteo]]-N(tblConteo[[#This Row],[Sistema]]),""))</f>
        <v/>
      </c>
      <c r="K408" s="63" t="str">
        <f>IF(tblConteo[[#This Row],[Diferencia]]="","",tblConteo[[#This Row],[Diferencia]]*N(INDEX(tblProductos[CostoUnitario],ROW()-ROW(tblConteo[#Headers]))))</f>
        <v/>
      </c>
      <c r="L40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09" spans="2:13" x14ac:dyDescent="0.25">
      <c r="B409" s="43" t="str">
        <f>IF(INDEX(tblProductos[SKU],ROW()-ROW(tblConteo[#Headers]))="","",INDEX(tblProductos[SKU],ROW()-ROW(tblConteo[#Headers])))</f>
        <v/>
      </c>
      <c r="C409" s="50" t="str">
        <f>IF(tblConteo[[#This Row],[SKU]]="","",INDEX(tblProductos[Producto],ROW()-ROW(tblConteo[#Headers])))</f>
        <v/>
      </c>
      <c r="D409" s="50" t="str">
        <f>IF(tblConteo[[#This Row],[SKU]]="","",INDEX(tblProductos[Categoría],ROW()-ROW(tblConteo[#Headers]))&amp;"")</f>
        <v/>
      </c>
      <c r="E409" s="43" t="str">
        <f>IF(tblConteo[[#This Row],[SKU]]="","",INDEX(tblProductos[Ubicación],ROW()-ROW(tblConteo[#Headers]))&amp;"")</f>
        <v/>
      </c>
      <c r="F409" s="43" t="str">
        <f>IF(tblConteo[[#This Row],[SKU]]="","",INDEX(tblProductos[Unidad],ROW()-ROW(tblConteo[#Headers]))&amp;"")</f>
        <v/>
      </c>
      <c r="G409" s="43" t="str">
        <f>IF(tblConteo[[#This Row],[SKU]]="","",IF(INDEX(tblProductos[Activo],ROW()-ROW(tblConteo[#Headers]))="NO","NO","SI"))</f>
        <v/>
      </c>
      <c r="H409" s="54" t="str">
        <f>IF(tblConteo[[#This Row],[SKU]]="","",IFERROR(N(INDEX(tblStock[StockActual],MATCH(tblConteo[[#This Row],[SKU]],tblStock[SKU],0))),0))</f>
        <v/>
      </c>
      <c r="I409" s="53"/>
      <c r="J409" s="60" t="str">
        <f>IF(OR(tblConteo[[#This Row],[SKU]]="",tblConteo[[#This Row],[Conteo]]=""),"",IF(ISNUMBER(tblConteo[[#This Row],[Conteo]]),tblConteo[[#This Row],[Conteo]]-N(tblConteo[[#This Row],[Sistema]]),""))</f>
        <v/>
      </c>
      <c r="K409" s="63" t="str">
        <f>IF(tblConteo[[#This Row],[Diferencia]]="","",tblConteo[[#This Row],[Diferencia]]*N(INDEX(tblProductos[CostoUnitario],ROW()-ROW(tblConteo[#Headers]))))</f>
        <v/>
      </c>
      <c r="L40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0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0" spans="2:13" x14ac:dyDescent="0.25">
      <c r="B410" s="43" t="str">
        <f>IF(INDEX(tblProductos[SKU],ROW()-ROW(tblConteo[#Headers]))="","",INDEX(tblProductos[SKU],ROW()-ROW(tblConteo[#Headers])))</f>
        <v/>
      </c>
      <c r="C410" s="50" t="str">
        <f>IF(tblConteo[[#This Row],[SKU]]="","",INDEX(tblProductos[Producto],ROW()-ROW(tblConteo[#Headers])))</f>
        <v/>
      </c>
      <c r="D410" s="50" t="str">
        <f>IF(tblConteo[[#This Row],[SKU]]="","",INDEX(tblProductos[Categoría],ROW()-ROW(tblConteo[#Headers]))&amp;"")</f>
        <v/>
      </c>
      <c r="E410" s="43" t="str">
        <f>IF(tblConteo[[#This Row],[SKU]]="","",INDEX(tblProductos[Ubicación],ROW()-ROW(tblConteo[#Headers]))&amp;"")</f>
        <v/>
      </c>
      <c r="F410" s="43" t="str">
        <f>IF(tblConteo[[#This Row],[SKU]]="","",INDEX(tblProductos[Unidad],ROW()-ROW(tblConteo[#Headers]))&amp;"")</f>
        <v/>
      </c>
      <c r="G410" s="43" t="str">
        <f>IF(tblConteo[[#This Row],[SKU]]="","",IF(INDEX(tblProductos[Activo],ROW()-ROW(tblConteo[#Headers]))="NO","NO","SI"))</f>
        <v/>
      </c>
      <c r="H410" s="54" t="str">
        <f>IF(tblConteo[[#This Row],[SKU]]="","",IFERROR(N(INDEX(tblStock[StockActual],MATCH(tblConteo[[#This Row],[SKU]],tblStock[SKU],0))),0))</f>
        <v/>
      </c>
      <c r="I410" s="53"/>
      <c r="J410" s="60" t="str">
        <f>IF(OR(tblConteo[[#This Row],[SKU]]="",tblConteo[[#This Row],[Conteo]]=""),"",IF(ISNUMBER(tblConteo[[#This Row],[Conteo]]),tblConteo[[#This Row],[Conteo]]-N(tblConteo[[#This Row],[Sistema]]),""))</f>
        <v/>
      </c>
      <c r="K410" s="63" t="str">
        <f>IF(tblConteo[[#This Row],[Diferencia]]="","",tblConteo[[#This Row],[Diferencia]]*N(INDEX(tblProductos[CostoUnitario],ROW()-ROW(tblConteo[#Headers]))))</f>
        <v/>
      </c>
      <c r="L41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1" spans="2:13" x14ac:dyDescent="0.25">
      <c r="B411" s="43" t="str">
        <f>IF(INDEX(tblProductos[SKU],ROW()-ROW(tblConteo[#Headers]))="","",INDEX(tblProductos[SKU],ROW()-ROW(tblConteo[#Headers])))</f>
        <v/>
      </c>
      <c r="C411" s="50" t="str">
        <f>IF(tblConteo[[#This Row],[SKU]]="","",INDEX(tblProductos[Producto],ROW()-ROW(tblConteo[#Headers])))</f>
        <v/>
      </c>
      <c r="D411" s="50" t="str">
        <f>IF(tblConteo[[#This Row],[SKU]]="","",INDEX(tblProductos[Categoría],ROW()-ROW(tblConteo[#Headers]))&amp;"")</f>
        <v/>
      </c>
      <c r="E411" s="43" t="str">
        <f>IF(tblConteo[[#This Row],[SKU]]="","",INDEX(tblProductos[Ubicación],ROW()-ROW(tblConteo[#Headers]))&amp;"")</f>
        <v/>
      </c>
      <c r="F411" s="43" t="str">
        <f>IF(tblConteo[[#This Row],[SKU]]="","",INDEX(tblProductos[Unidad],ROW()-ROW(tblConteo[#Headers]))&amp;"")</f>
        <v/>
      </c>
      <c r="G411" s="43" t="str">
        <f>IF(tblConteo[[#This Row],[SKU]]="","",IF(INDEX(tblProductos[Activo],ROW()-ROW(tblConteo[#Headers]))="NO","NO","SI"))</f>
        <v/>
      </c>
      <c r="H411" s="54" t="str">
        <f>IF(tblConteo[[#This Row],[SKU]]="","",IFERROR(N(INDEX(tblStock[StockActual],MATCH(tblConteo[[#This Row],[SKU]],tblStock[SKU],0))),0))</f>
        <v/>
      </c>
      <c r="I411" s="53"/>
      <c r="J411" s="60" t="str">
        <f>IF(OR(tblConteo[[#This Row],[SKU]]="",tblConteo[[#This Row],[Conteo]]=""),"",IF(ISNUMBER(tblConteo[[#This Row],[Conteo]]),tblConteo[[#This Row],[Conteo]]-N(tblConteo[[#This Row],[Sistema]]),""))</f>
        <v/>
      </c>
      <c r="K411" s="63" t="str">
        <f>IF(tblConteo[[#This Row],[Diferencia]]="","",tblConteo[[#This Row],[Diferencia]]*N(INDEX(tblProductos[CostoUnitario],ROW()-ROW(tblConteo[#Headers]))))</f>
        <v/>
      </c>
      <c r="L41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2" spans="2:13" x14ac:dyDescent="0.25">
      <c r="B412" s="43" t="str">
        <f>IF(INDEX(tblProductos[SKU],ROW()-ROW(tblConteo[#Headers]))="","",INDEX(tblProductos[SKU],ROW()-ROW(tblConteo[#Headers])))</f>
        <v/>
      </c>
      <c r="C412" s="50" t="str">
        <f>IF(tblConteo[[#This Row],[SKU]]="","",INDEX(tblProductos[Producto],ROW()-ROW(tblConteo[#Headers])))</f>
        <v/>
      </c>
      <c r="D412" s="50" t="str">
        <f>IF(tblConteo[[#This Row],[SKU]]="","",INDEX(tblProductos[Categoría],ROW()-ROW(tblConteo[#Headers]))&amp;"")</f>
        <v/>
      </c>
      <c r="E412" s="43" t="str">
        <f>IF(tblConteo[[#This Row],[SKU]]="","",INDEX(tblProductos[Ubicación],ROW()-ROW(tblConteo[#Headers]))&amp;"")</f>
        <v/>
      </c>
      <c r="F412" s="43" t="str">
        <f>IF(tblConteo[[#This Row],[SKU]]="","",INDEX(tblProductos[Unidad],ROW()-ROW(tblConteo[#Headers]))&amp;"")</f>
        <v/>
      </c>
      <c r="G412" s="43" t="str">
        <f>IF(tblConteo[[#This Row],[SKU]]="","",IF(INDEX(tblProductos[Activo],ROW()-ROW(tblConteo[#Headers]))="NO","NO","SI"))</f>
        <v/>
      </c>
      <c r="H412" s="54" t="str">
        <f>IF(tblConteo[[#This Row],[SKU]]="","",IFERROR(N(INDEX(tblStock[StockActual],MATCH(tblConteo[[#This Row],[SKU]],tblStock[SKU],0))),0))</f>
        <v/>
      </c>
      <c r="I412" s="53"/>
      <c r="J412" s="60" t="str">
        <f>IF(OR(tblConteo[[#This Row],[SKU]]="",tblConteo[[#This Row],[Conteo]]=""),"",IF(ISNUMBER(tblConteo[[#This Row],[Conteo]]),tblConteo[[#This Row],[Conteo]]-N(tblConteo[[#This Row],[Sistema]]),""))</f>
        <v/>
      </c>
      <c r="K412" s="63" t="str">
        <f>IF(tblConteo[[#This Row],[Diferencia]]="","",tblConteo[[#This Row],[Diferencia]]*N(INDEX(tblProductos[CostoUnitario],ROW()-ROW(tblConteo[#Headers]))))</f>
        <v/>
      </c>
      <c r="L41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3" spans="2:13" x14ac:dyDescent="0.25">
      <c r="B413" s="43" t="str">
        <f>IF(INDEX(tblProductos[SKU],ROW()-ROW(tblConteo[#Headers]))="","",INDEX(tblProductos[SKU],ROW()-ROW(tblConteo[#Headers])))</f>
        <v/>
      </c>
      <c r="C413" s="50" t="str">
        <f>IF(tblConteo[[#This Row],[SKU]]="","",INDEX(tblProductos[Producto],ROW()-ROW(tblConteo[#Headers])))</f>
        <v/>
      </c>
      <c r="D413" s="50" t="str">
        <f>IF(tblConteo[[#This Row],[SKU]]="","",INDEX(tblProductos[Categoría],ROW()-ROW(tblConteo[#Headers]))&amp;"")</f>
        <v/>
      </c>
      <c r="E413" s="43" t="str">
        <f>IF(tblConteo[[#This Row],[SKU]]="","",INDEX(tblProductos[Ubicación],ROW()-ROW(tblConteo[#Headers]))&amp;"")</f>
        <v/>
      </c>
      <c r="F413" s="43" t="str">
        <f>IF(tblConteo[[#This Row],[SKU]]="","",INDEX(tblProductos[Unidad],ROW()-ROW(tblConteo[#Headers]))&amp;"")</f>
        <v/>
      </c>
      <c r="G413" s="43" t="str">
        <f>IF(tblConteo[[#This Row],[SKU]]="","",IF(INDEX(tblProductos[Activo],ROW()-ROW(tblConteo[#Headers]))="NO","NO","SI"))</f>
        <v/>
      </c>
      <c r="H413" s="54" t="str">
        <f>IF(tblConteo[[#This Row],[SKU]]="","",IFERROR(N(INDEX(tblStock[StockActual],MATCH(tblConteo[[#This Row],[SKU]],tblStock[SKU],0))),0))</f>
        <v/>
      </c>
      <c r="I413" s="53"/>
      <c r="J413" s="60" t="str">
        <f>IF(OR(tblConteo[[#This Row],[SKU]]="",tblConteo[[#This Row],[Conteo]]=""),"",IF(ISNUMBER(tblConteo[[#This Row],[Conteo]]),tblConteo[[#This Row],[Conteo]]-N(tblConteo[[#This Row],[Sistema]]),""))</f>
        <v/>
      </c>
      <c r="K413" s="63" t="str">
        <f>IF(tblConteo[[#This Row],[Diferencia]]="","",tblConteo[[#This Row],[Diferencia]]*N(INDEX(tblProductos[CostoUnitario],ROW()-ROW(tblConteo[#Headers]))))</f>
        <v/>
      </c>
      <c r="L41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4" spans="2:13" x14ac:dyDescent="0.25">
      <c r="B414" s="43" t="str">
        <f>IF(INDEX(tblProductos[SKU],ROW()-ROW(tblConteo[#Headers]))="","",INDEX(tblProductos[SKU],ROW()-ROW(tblConteo[#Headers])))</f>
        <v/>
      </c>
      <c r="C414" s="50" t="str">
        <f>IF(tblConteo[[#This Row],[SKU]]="","",INDEX(tblProductos[Producto],ROW()-ROW(tblConteo[#Headers])))</f>
        <v/>
      </c>
      <c r="D414" s="50" t="str">
        <f>IF(tblConteo[[#This Row],[SKU]]="","",INDEX(tblProductos[Categoría],ROW()-ROW(tblConteo[#Headers]))&amp;"")</f>
        <v/>
      </c>
      <c r="E414" s="43" t="str">
        <f>IF(tblConteo[[#This Row],[SKU]]="","",INDEX(tblProductos[Ubicación],ROW()-ROW(tblConteo[#Headers]))&amp;"")</f>
        <v/>
      </c>
      <c r="F414" s="43" t="str">
        <f>IF(tblConteo[[#This Row],[SKU]]="","",INDEX(tblProductos[Unidad],ROW()-ROW(tblConteo[#Headers]))&amp;"")</f>
        <v/>
      </c>
      <c r="G414" s="43" t="str">
        <f>IF(tblConteo[[#This Row],[SKU]]="","",IF(INDEX(tblProductos[Activo],ROW()-ROW(tblConteo[#Headers]))="NO","NO","SI"))</f>
        <v/>
      </c>
      <c r="H414" s="54" t="str">
        <f>IF(tblConteo[[#This Row],[SKU]]="","",IFERROR(N(INDEX(tblStock[StockActual],MATCH(tblConteo[[#This Row],[SKU]],tblStock[SKU],0))),0))</f>
        <v/>
      </c>
      <c r="I414" s="53"/>
      <c r="J414" s="60" t="str">
        <f>IF(OR(tblConteo[[#This Row],[SKU]]="",tblConteo[[#This Row],[Conteo]]=""),"",IF(ISNUMBER(tblConteo[[#This Row],[Conteo]]),tblConteo[[#This Row],[Conteo]]-N(tblConteo[[#This Row],[Sistema]]),""))</f>
        <v/>
      </c>
      <c r="K414" s="63" t="str">
        <f>IF(tblConteo[[#This Row],[Diferencia]]="","",tblConteo[[#This Row],[Diferencia]]*N(INDEX(tblProductos[CostoUnitario],ROW()-ROW(tblConteo[#Headers]))))</f>
        <v/>
      </c>
      <c r="L41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5" spans="2:13" x14ac:dyDescent="0.25">
      <c r="B415" s="43" t="str">
        <f>IF(INDEX(tblProductos[SKU],ROW()-ROW(tblConteo[#Headers]))="","",INDEX(tblProductos[SKU],ROW()-ROW(tblConteo[#Headers])))</f>
        <v/>
      </c>
      <c r="C415" s="50" t="str">
        <f>IF(tblConteo[[#This Row],[SKU]]="","",INDEX(tblProductos[Producto],ROW()-ROW(tblConteo[#Headers])))</f>
        <v/>
      </c>
      <c r="D415" s="50" t="str">
        <f>IF(tblConteo[[#This Row],[SKU]]="","",INDEX(tblProductos[Categoría],ROW()-ROW(tblConteo[#Headers]))&amp;"")</f>
        <v/>
      </c>
      <c r="E415" s="43" t="str">
        <f>IF(tblConteo[[#This Row],[SKU]]="","",INDEX(tblProductos[Ubicación],ROW()-ROW(tblConteo[#Headers]))&amp;"")</f>
        <v/>
      </c>
      <c r="F415" s="43" t="str">
        <f>IF(tblConteo[[#This Row],[SKU]]="","",INDEX(tblProductos[Unidad],ROW()-ROW(tblConteo[#Headers]))&amp;"")</f>
        <v/>
      </c>
      <c r="G415" s="43" t="str">
        <f>IF(tblConteo[[#This Row],[SKU]]="","",IF(INDEX(tblProductos[Activo],ROW()-ROW(tblConteo[#Headers]))="NO","NO","SI"))</f>
        <v/>
      </c>
      <c r="H415" s="54" t="str">
        <f>IF(tblConteo[[#This Row],[SKU]]="","",IFERROR(N(INDEX(tblStock[StockActual],MATCH(tblConteo[[#This Row],[SKU]],tblStock[SKU],0))),0))</f>
        <v/>
      </c>
      <c r="I415" s="53"/>
      <c r="J415" s="60" t="str">
        <f>IF(OR(tblConteo[[#This Row],[SKU]]="",tblConteo[[#This Row],[Conteo]]=""),"",IF(ISNUMBER(tblConteo[[#This Row],[Conteo]]),tblConteo[[#This Row],[Conteo]]-N(tblConteo[[#This Row],[Sistema]]),""))</f>
        <v/>
      </c>
      <c r="K415" s="63" t="str">
        <f>IF(tblConteo[[#This Row],[Diferencia]]="","",tblConteo[[#This Row],[Diferencia]]*N(INDEX(tblProductos[CostoUnitario],ROW()-ROW(tblConteo[#Headers]))))</f>
        <v/>
      </c>
      <c r="L41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6" spans="2:13" x14ac:dyDescent="0.25">
      <c r="B416" s="43" t="str">
        <f>IF(INDEX(tblProductos[SKU],ROW()-ROW(tblConteo[#Headers]))="","",INDEX(tblProductos[SKU],ROW()-ROW(tblConteo[#Headers])))</f>
        <v/>
      </c>
      <c r="C416" s="50" t="str">
        <f>IF(tblConteo[[#This Row],[SKU]]="","",INDEX(tblProductos[Producto],ROW()-ROW(tblConteo[#Headers])))</f>
        <v/>
      </c>
      <c r="D416" s="50" t="str">
        <f>IF(tblConteo[[#This Row],[SKU]]="","",INDEX(tblProductos[Categoría],ROW()-ROW(tblConteo[#Headers]))&amp;"")</f>
        <v/>
      </c>
      <c r="E416" s="43" t="str">
        <f>IF(tblConteo[[#This Row],[SKU]]="","",INDEX(tblProductos[Ubicación],ROW()-ROW(tblConteo[#Headers]))&amp;"")</f>
        <v/>
      </c>
      <c r="F416" s="43" t="str">
        <f>IF(tblConteo[[#This Row],[SKU]]="","",INDEX(tblProductos[Unidad],ROW()-ROW(tblConteo[#Headers]))&amp;"")</f>
        <v/>
      </c>
      <c r="G416" s="43" t="str">
        <f>IF(tblConteo[[#This Row],[SKU]]="","",IF(INDEX(tblProductos[Activo],ROW()-ROW(tblConteo[#Headers]))="NO","NO","SI"))</f>
        <v/>
      </c>
      <c r="H416" s="54" t="str">
        <f>IF(tblConteo[[#This Row],[SKU]]="","",IFERROR(N(INDEX(tblStock[StockActual],MATCH(tblConteo[[#This Row],[SKU]],tblStock[SKU],0))),0))</f>
        <v/>
      </c>
      <c r="I416" s="53"/>
      <c r="J416" s="60" t="str">
        <f>IF(OR(tblConteo[[#This Row],[SKU]]="",tblConteo[[#This Row],[Conteo]]=""),"",IF(ISNUMBER(tblConteo[[#This Row],[Conteo]]),tblConteo[[#This Row],[Conteo]]-N(tblConteo[[#This Row],[Sistema]]),""))</f>
        <v/>
      </c>
      <c r="K416" s="63" t="str">
        <f>IF(tblConteo[[#This Row],[Diferencia]]="","",tblConteo[[#This Row],[Diferencia]]*N(INDEX(tblProductos[CostoUnitario],ROW()-ROW(tblConteo[#Headers]))))</f>
        <v/>
      </c>
      <c r="L41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7" spans="2:13" x14ac:dyDescent="0.25">
      <c r="B417" s="43" t="str">
        <f>IF(INDEX(tblProductos[SKU],ROW()-ROW(tblConteo[#Headers]))="","",INDEX(tblProductos[SKU],ROW()-ROW(tblConteo[#Headers])))</f>
        <v/>
      </c>
      <c r="C417" s="50" t="str">
        <f>IF(tblConteo[[#This Row],[SKU]]="","",INDEX(tblProductos[Producto],ROW()-ROW(tblConteo[#Headers])))</f>
        <v/>
      </c>
      <c r="D417" s="50" t="str">
        <f>IF(tblConteo[[#This Row],[SKU]]="","",INDEX(tblProductos[Categoría],ROW()-ROW(tblConteo[#Headers]))&amp;"")</f>
        <v/>
      </c>
      <c r="E417" s="43" t="str">
        <f>IF(tblConteo[[#This Row],[SKU]]="","",INDEX(tblProductos[Ubicación],ROW()-ROW(tblConteo[#Headers]))&amp;"")</f>
        <v/>
      </c>
      <c r="F417" s="43" t="str">
        <f>IF(tblConteo[[#This Row],[SKU]]="","",INDEX(tblProductos[Unidad],ROW()-ROW(tblConteo[#Headers]))&amp;"")</f>
        <v/>
      </c>
      <c r="G417" s="43" t="str">
        <f>IF(tblConteo[[#This Row],[SKU]]="","",IF(INDEX(tblProductos[Activo],ROW()-ROW(tblConteo[#Headers]))="NO","NO","SI"))</f>
        <v/>
      </c>
      <c r="H417" s="54" t="str">
        <f>IF(tblConteo[[#This Row],[SKU]]="","",IFERROR(N(INDEX(tblStock[StockActual],MATCH(tblConteo[[#This Row],[SKU]],tblStock[SKU],0))),0))</f>
        <v/>
      </c>
      <c r="I417" s="53"/>
      <c r="J417" s="60" t="str">
        <f>IF(OR(tblConteo[[#This Row],[SKU]]="",tblConteo[[#This Row],[Conteo]]=""),"",IF(ISNUMBER(tblConteo[[#This Row],[Conteo]]),tblConteo[[#This Row],[Conteo]]-N(tblConteo[[#This Row],[Sistema]]),""))</f>
        <v/>
      </c>
      <c r="K417" s="63" t="str">
        <f>IF(tblConteo[[#This Row],[Diferencia]]="","",tblConteo[[#This Row],[Diferencia]]*N(INDEX(tblProductos[CostoUnitario],ROW()-ROW(tblConteo[#Headers]))))</f>
        <v/>
      </c>
      <c r="L41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8" spans="2:13" x14ac:dyDescent="0.25">
      <c r="B418" s="43" t="str">
        <f>IF(INDEX(tblProductos[SKU],ROW()-ROW(tblConteo[#Headers]))="","",INDEX(tblProductos[SKU],ROW()-ROW(tblConteo[#Headers])))</f>
        <v/>
      </c>
      <c r="C418" s="50" t="str">
        <f>IF(tblConteo[[#This Row],[SKU]]="","",INDEX(tblProductos[Producto],ROW()-ROW(tblConteo[#Headers])))</f>
        <v/>
      </c>
      <c r="D418" s="50" t="str">
        <f>IF(tblConteo[[#This Row],[SKU]]="","",INDEX(tblProductos[Categoría],ROW()-ROW(tblConteo[#Headers]))&amp;"")</f>
        <v/>
      </c>
      <c r="E418" s="43" t="str">
        <f>IF(tblConteo[[#This Row],[SKU]]="","",INDEX(tblProductos[Ubicación],ROW()-ROW(tblConteo[#Headers]))&amp;"")</f>
        <v/>
      </c>
      <c r="F418" s="43" t="str">
        <f>IF(tblConteo[[#This Row],[SKU]]="","",INDEX(tblProductos[Unidad],ROW()-ROW(tblConteo[#Headers]))&amp;"")</f>
        <v/>
      </c>
      <c r="G418" s="43" t="str">
        <f>IF(tblConteo[[#This Row],[SKU]]="","",IF(INDEX(tblProductos[Activo],ROW()-ROW(tblConteo[#Headers]))="NO","NO","SI"))</f>
        <v/>
      </c>
      <c r="H418" s="54" t="str">
        <f>IF(tblConteo[[#This Row],[SKU]]="","",IFERROR(N(INDEX(tblStock[StockActual],MATCH(tblConteo[[#This Row],[SKU]],tblStock[SKU],0))),0))</f>
        <v/>
      </c>
      <c r="I418" s="53"/>
      <c r="J418" s="60" t="str">
        <f>IF(OR(tblConteo[[#This Row],[SKU]]="",tblConteo[[#This Row],[Conteo]]=""),"",IF(ISNUMBER(tblConteo[[#This Row],[Conteo]]),tblConteo[[#This Row],[Conteo]]-N(tblConteo[[#This Row],[Sistema]]),""))</f>
        <v/>
      </c>
      <c r="K418" s="63" t="str">
        <f>IF(tblConteo[[#This Row],[Diferencia]]="","",tblConteo[[#This Row],[Diferencia]]*N(INDEX(tblProductos[CostoUnitario],ROW()-ROW(tblConteo[#Headers]))))</f>
        <v/>
      </c>
      <c r="L41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19" spans="2:13" x14ac:dyDescent="0.25">
      <c r="B419" s="43" t="str">
        <f>IF(INDEX(tblProductos[SKU],ROW()-ROW(tblConteo[#Headers]))="","",INDEX(tblProductos[SKU],ROW()-ROW(tblConteo[#Headers])))</f>
        <v/>
      </c>
      <c r="C419" s="50" t="str">
        <f>IF(tblConteo[[#This Row],[SKU]]="","",INDEX(tblProductos[Producto],ROW()-ROW(tblConteo[#Headers])))</f>
        <v/>
      </c>
      <c r="D419" s="50" t="str">
        <f>IF(tblConteo[[#This Row],[SKU]]="","",INDEX(tblProductos[Categoría],ROW()-ROW(tblConteo[#Headers]))&amp;"")</f>
        <v/>
      </c>
      <c r="E419" s="43" t="str">
        <f>IF(tblConteo[[#This Row],[SKU]]="","",INDEX(tblProductos[Ubicación],ROW()-ROW(tblConteo[#Headers]))&amp;"")</f>
        <v/>
      </c>
      <c r="F419" s="43" t="str">
        <f>IF(tblConteo[[#This Row],[SKU]]="","",INDEX(tblProductos[Unidad],ROW()-ROW(tblConteo[#Headers]))&amp;"")</f>
        <v/>
      </c>
      <c r="G419" s="43" t="str">
        <f>IF(tblConteo[[#This Row],[SKU]]="","",IF(INDEX(tblProductos[Activo],ROW()-ROW(tblConteo[#Headers]))="NO","NO","SI"))</f>
        <v/>
      </c>
      <c r="H419" s="54" t="str">
        <f>IF(tblConteo[[#This Row],[SKU]]="","",IFERROR(N(INDEX(tblStock[StockActual],MATCH(tblConteo[[#This Row],[SKU]],tblStock[SKU],0))),0))</f>
        <v/>
      </c>
      <c r="I419" s="53"/>
      <c r="J419" s="60" t="str">
        <f>IF(OR(tblConteo[[#This Row],[SKU]]="",tblConteo[[#This Row],[Conteo]]=""),"",IF(ISNUMBER(tblConteo[[#This Row],[Conteo]]),tblConteo[[#This Row],[Conteo]]-N(tblConteo[[#This Row],[Sistema]]),""))</f>
        <v/>
      </c>
      <c r="K419" s="63" t="str">
        <f>IF(tblConteo[[#This Row],[Diferencia]]="","",tblConteo[[#This Row],[Diferencia]]*N(INDEX(tblProductos[CostoUnitario],ROW()-ROW(tblConteo[#Headers]))))</f>
        <v/>
      </c>
      <c r="L41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1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0" spans="2:13" x14ac:dyDescent="0.25">
      <c r="B420" s="43" t="str">
        <f>IF(INDEX(tblProductos[SKU],ROW()-ROW(tblConteo[#Headers]))="","",INDEX(tblProductos[SKU],ROW()-ROW(tblConteo[#Headers])))</f>
        <v/>
      </c>
      <c r="C420" s="50" t="str">
        <f>IF(tblConteo[[#This Row],[SKU]]="","",INDEX(tblProductos[Producto],ROW()-ROW(tblConteo[#Headers])))</f>
        <v/>
      </c>
      <c r="D420" s="50" t="str">
        <f>IF(tblConteo[[#This Row],[SKU]]="","",INDEX(tblProductos[Categoría],ROW()-ROW(tblConteo[#Headers]))&amp;"")</f>
        <v/>
      </c>
      <c r="E420" s="43" t="str">
        <f>IF(tblConteo[[#This Row],[SKU]]="","",INDEX(tblProductos[Ubicación],ROW()-ROW(tblConteo[#Headers]))&amp;"")</f>
        <v/>
      </c>
      <c r="F420" s="43" t="str">
        <f>IF(tblConteo[[#This Row],[SKU]]="","",INDEX(tblProductos[Unidad],ROW()-ROW(tblConteo[#Headers]))&amp;"")</f>
        <v/>
      </c>
      <c r="G420" s="43" t="str">
        <f>IF(tblConteo[[#This Row],[SKU]]="","",IF(INDEX(tblProductos[Activo],ROW()-ROW(tblConteo[#Headers]))="NO","NO","SI"))</f>
        <v/>
      </c>
      <c r="H420" s="54" t="str">
        <f>IF(tblConteo[[#This Row],[SKU]]="","",IFERROR(N(INDEX(tblStock[StockActual],MATCH(tblConteo[[#This Row],[SKU]],tblStock[SKU],0))),0))</f>
        <v/>
      </c>
      <c r="I420" s="53"/>
      <c r="J420" s="60" t="str">
        <f>IF(OR(tblConteo[[#This Row],[SKU]]="",tblConteo[[#This Row],[Conteo]]=""),"",IF(ISNUMBER(tblConteo[[#This Row],[Conteo]]),tblConteo[[#This Row],[Conteo]]-N(tblConteo[[#This Row],[Sistema]]),""))</f>
        <v/>
      </c>
      <c r="K420" s="63" t="str">
        <f>IF(tblConteo[[#This Row],[Diferencia]]="","",tblConteo[[#This Row],[Diferencia]]*N(INDEX(tblProductos[CostoUnitario],ROW()-ROW(tblConteo[#Headers]))))</f>
        <v/>
      </c>
      <c r="L42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1" spans="2:13" x14ac:dyDescent="0.25">
      <c r="B421" s="43" t="str">
        <f>IF(INDEX(tblProductos[SKU],ROW()-ROW(tblConteo[#Headers]))="","",INDEX(tblProductos[SKU],ROW()-ROW(tblConteo[#Headers])))</f>
        <v/>
      </c>
      <c r="C421" s="50" t="str">
        <f>IF(tblConteo[[#This Row],[SKU]]="","",INDEX(tblProductos[Producto],ROW()-ROW(tblConteo[#Headers])))</f>
        <v/>
      </c>
      <c r="D421" s="50" t="str">
        <f>IF(tblConteo[[#This Row],[SKU]]="","",INDEX(tblProductos[Categoría],ROW()-ROW(tblConteo[#Headers]))&amp;"")</f>
        <v/>
      </c>
      <c r="E421" s="43" t="str">
        <f>IF(tblConteo[[#This Row],[SKU]]="","",INDEX(tblProductos[Ubicación],ROW()-ROW(tblConteo[#Headers]))&amp;"")</f>
        <v/>
      </c>
      <c r="F421" s="43" t="str">
        <f>IF(tblConteo[[#This Row],[SKU]]="","",INDEX(tblProductos[Unidad],ROW()-ROW(tblConteo[#Headers]))&amp;"")</f>
        <v/>
      </c>
      <c r="G421" s="43" t="str">
        <f>IF(tblConteo[[#This Row],[SKU]]="","",IF(INDEX(tblProductos[Activo],ROW()-ROW(tblConteo[#Headers]))="NO","NO","SI"))</f>
        <v/>
      </c>
      <c r="H421" s="54" t="str">
        <f>IF(tblConteo[[#This Row],[SKU]]="","",IFERROR(N(INDEX(tblStock[StockActual],MATCH(tblConteo[[#This Row],[SKU]],tblStock[SKU],0))),0))</f>
        <v/>
      </c>
      <c r="I421" s="53"/>
      <c r="J421" s="60" t="str">
        <f>IF(OR(tblConteo[[#This Row],[SKU]]="",tblConteo[[#This Row],[Conteo]]=""),"",IF(ISNUMBER(tblConteo[[#This Row],[Conteo]]),tblConteo[[#This Row],[Conteo]]-N(tblConteo[[#This Row],[Sistema]]),""))</f>
        <v/>
      </c>
      <c r="K421" s="63" t="str">
        <f>IF(tblConteo[[#This Row],[Diferencia]]="","",tblConteo[[#This Row],[Diferencia]]*N(INDEX(tblProductos[CostoUnitario],ROW()-ROW(tblConteo[#Headers]))))</f>
        <v/>
      </c>
      <c r="L42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2" spans="2:13" x14ac:dyDescent="0.25">
      <c r="B422" s="43" t="str">
        <f>IF(INDEX(tblProductos[SKU],ROW()-ROW(tblConteo[#Headers]))="","",INDEX(tblProductos[SKU],ROW()-ROW(tblConteo[#Headers])))</f>
        <v/>
      </c>
      <c r="C422" s="50" t="str">
        <f>IF(tblConteo[[#This Row],[SKU]]="","",INDEX(tblProductos[Producto],ROW()-ROW(tblConteo[#Headers])))</f>
        <v/>
      </c>
      <c r="D422" s="50" t="str">
        <f>IF(tblConteo[[#This Row],[SKU]]="","",INDEX(tblProductos[Categoría],ROW()-ROW(tblConteo[#Headers]))&amp;"")</f>
        <v/>
      </c>
      <c r="E422" s="43" t="str">
        <f>IF(tblConteo[[#This Row],[SKU]]="","",INDEX(tblProductos[Ubicación],ROW()-ROW(tblConteo[#Headers]))&amp;"")</f>
        <v/>
      </c>
      <c r="F422" s="43" t="str">
        <f>IF(tblConteo[[#This Row],[SKU]]="","",INDEX(tblProductos[Unidad],ROW()-ROW(tblConteo[#Headers]))&amp;"")</f>
        <v/>
      </c>
      <c r="G422" s="43" t="str">
        <f>IF(tblConteo[[#This Row],[SKU]]="","",IF(INDEX(tblProductos[Activo],ROW()-ROW(tblConteo[#Headers]))="NO","NO","SI"))</f>
        <v/>
      </c>
      <c r="H422" s="54" t="str">
        <f>IF(tblConteo[[#This Row],[SKU]]="","",IFERROR(N(INDEX(tblStock[StockActual],MATCH(tblConteo[[#This Row],[SKU]],tblStock[SKU],0))),0))</f>
        <v/>
      </c>
      <c r="I422" s="53"/>
      <c r="J422" s="60" t="str">
        <f>IF(OR(tblConteo[[#This Row],[SKU]]="",tblConteo[[#This Row],[Conteo]]=""),"",IF(ISNUMBER(tblConteo[[#This Row],[Conteo]]),tblConteo[[#This Row],[Conteo]]-N(tblConteo[[#This Row],[Sistema]]),""))</f>
        <v/>
      </c>
      <c r="K422" s="63" t="str">
        <f>IF(tblConteo[[#This Row],[Diferencia]]="","",tblConteo[[#This Row],[Diferencia]]*N(INDEX(tblProductos[CostoUnitario],ROW()-ROW(tblConteo[#Headers]))))</f>
        <v/>
      </c>
      <c r="L42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3" spans="2:13" x14ac:dyDescent="0.25">
      <c r="B423" s="43" t="str">
        <f>IF(INDEX(tblProductos[SKU],ROW()-ROW(tblConteo[#Headers]))="","",INDEX(tblProductos[SKU],ROW()-ROW(tblConteo[#Headers])))</f>
        <v/>
      </c>
      <c r="C423" s="50" t="str">
        <f>IF(tblConteo[[#This Row],[SKU]]="","",INDEX(tblProductos[Producto],ROW()-ROW(tblConteo[#Headers])))</f>
        <v/>
      </c>
      <c r="D423" s="50" t="str">
        <f>IF(tblConteo[[#This Row],[SKU]]="","",INDEX(tblProductos[Categoría],ROW()-ROW(tblConteo[#Headers]))&amp;"")</f>
        <v/>
      </c>
      <c r="E423" s="43" t="str">
        <f>IF(tblConteo[[#This Row],[SKU]]="","",INDEX(tblProductos[Ubicación],ROW()-ROW(tblConteo[#Headers]))&amp;"")</f>
        <v/>
      </c>
      <c r="F423" s="43" t="str">
        <f>IF(tblConteo[[#This Row],[SKU]]="","",INDEX(tblProductos[Unidad],ROW()-ROW(tblConteo[#Headers]))&amp;"")</f>
        <v/>
      </c>
      <c r="G423" s="43" t="str">
        <f>IF(tblConteo[[#This Row],[SKU]]="","",IF(INDEX(tblProductos[Activo],ROW()-ROW(tblConteo[#Headers]))="NO","NO","SI"))</f>
        <v/>
      </c>
      <c r="H423" s="54" t="str">
        <f>IF(tblConteo[[#This Row],[SKU]]="","",IFERROR(N(INDEX(tblStock[StockActual],MATCH(tblConteo[[#This Row],[SKU]],tblStock[SKU],0))),0))</f>
        <v/>
      </c>
      <c r="I423" s="53"/>
      <c r="J423" s="60" t="str">
        <f>IF(OR(tblConteo[[#This Row],[SKU]]="",tblConteo[[#This Row],[Conteo]]=""),"",IF(ISNUMBER(tblConteo[[#This Row],[Conteo]]),tblConteo[[#This Row],[Conteo]]-N(tblConteo[[#This Row],[Sistema]]),""))</f>
        <v/>
      </c>
      <c r="K423" s="63" t="str">
        <f>IF(tblConteo[[#This Row],[Diferencia]]="","",tblConteo[[#This Row],[Diferencia]]*N(INDEX(tblProductos[CostoUnitario],ROW()-ROW(tblConteo[#Headers]))))</f>
        <v/>
      </c>
      <c r="L42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4" spans="2:13" x14ac:dyDescent="0.25">
      <c r="B424" s="43" t="str">
        <f>IF(INDEX(tblProductos[SKU],ROW()-ROW(tblConteo[#Headers]))="","",INDEX(tblProductos[SKU],ROW()-ROW(tblConteo[#Headers])))</f>
        <v/>
      </c>
      <c r="C424" s="50" t="str">
        <f>IF(tblConteo[[#This Row],[SKU]]="","",INDEX(tblProductos[Producto],ROW()-ROW(tblConteo[#Headers])))</f>
        <v/>
      </c>
      <c r="D424" s="50" t="str">
        <f>IF(tblConteo[[#This Row],[SKU]]="","",INDEX(tblProductos[Categoría],ROW()-ROW(tblConteo[#Headers]))&amp;"")</f>
        <v/>
      </c>
      <c r="E424" s="43" t="str">
        <f>IF(tblConteo[[#This Row],[SKU]]="","",INDEX(tblProductos[Ubicación],ROW()-ROW(tblConteo[#Headers]))&amp;"")</f>
        <v/>
      </c>
      <c r="F424" s="43" t="str">
        <f>IF(tblConteo[[#This Row],[SKU]]="","",INDEX(tblProductos[Unidad],ROW()-ROW(tblConteo[#Headers]))&amp;"")</f>
        <v/>
      </c>
      <c r="G424" s="43" t="str">
        <f>IF(tblConteo[[#This Row],[SKU]]="","",IF(INDEX(tblProductos[Activo],ROW()-ROW(tblConteo[#Headers]))="NO","NO","SI"))</f>
        <v/>
      </c>
      <c r="H424" s="54" t="str">
        <f>IF(tblConteo[[#This Row],[SKU]]="","",IFERROR(N(INDEX(tblStock[StockActual],MATCH(tblConteo[[#This Row],[SKU]],tblStock[SKU],0))),0))</f>
        <v/>
      </c>
      <c r="I424" s="53"/>
      <c r="J424" s="60" t="str">
        <f>IF(OR(tblConteo[[#This Row],[SKU]]="",tblConteo[[#This Row],[Conteo]]=""),"",IF(ISNUMBER(tblConteo[[#This Row],[Conteo]]),tblConteo[[#This Row],[Conteo]]-N(tblConteo[[#This Row],[Sistema]]),""))</f>
        <v/>
      </c>
      <c r="K424" s="63" t="str">
        <f>IF(tblConteo[[#This Row],[Diferencia]]="","",tblConteo[[#This Row],[Diferencia]]*N(INDEX(tblProductos[CostoUnitario],ROW()-ROW(tblConteo[#Headers]))))</f>
        <v/>
      </c>
      <c r="L42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5" spans="2:13" x14ac:dyDescent="0.25">
      <c r="B425" s="43" t="str">
        <f>IF(INDEX(tblProductos[SKU],ROW()-ROW(tblConteo[#Headers]))="","",INDEX(tblProductos[SKU],ROW()-ROW(tblConteo[#Headers])))</f>
        <v/>
      </c>
      <c r="C425" s="50" t="str">
        <f>IF(tblConteo[[#This Row],[SKU]]="","",INDEX(tblProductos[Producto],ROW()-ROW(tblConteo[#Headers])))</f>
        <v/>
      </c>
      <c r="D425" s="50" t="str">
        <f>IF(tblConteo[[#This Row],[SKU]]="","",INDEX(tblProductos[Categoría],ROW()-ROW(tblConteo[#Headers]))&amp;"")</f>
        <v/>
      </c>
      <c r="E425" s="43" t="str">
        <f>IF(tblConteo[[#This Row],[SKU]]="","",INDEX(tblProductos[Ubicación],ROW()-ROW(tblConteo[#Headers]))&amp;"")</f>
        <v/>
      </c>
      <c r="F425" s="43" t="str">
        <f>IF(tblConteo[[#This Row],[SKU]]="","",INDEX(tblProductos[Unidad],ROW()-ROW(tblConteo[#Headers]))&amp;"")</f>
        <v/>
      </c>
      <c r="G425" s="43" t="str">
        <f>IF(tblConteo[[#This Row],[SKU]]="","",IF(INDEX(tblProductos[Activo],ROW()-ROW(tblConteo[#Headers]))="NO","NO","SI"))</f>
        <v/>
      </c>
      <c r="H425" s="54" t="str">
        <f>IF(tblConteo[[#This Row],[SKU]]="","",IFERROR(N(INDEX(tblStock[StockActual],MATCH(tblConteo[[#This Row],[SKU]],tblStock[SKU],0))),0))</f>
        <v/>
      </c>
      <c r="I425" s="53"/>
      <c r="J425" s="60" t="str">
        <f>IF(OR(tblConteo[[#This Row],[SKU]]="",tblConteo[[#This Row],[Conteo]]=""),"",IF(ISNUMBER(tblConteo[[#This Row],[Conteo]]),tblConteo[[#This Row],[Conteo]]-N(tblConteo[[#This Row],[Sistema]]),""))</f>
        <v/>
      </c>
      <c r="K425" s="63" t="str">
        <f>IF(tblConteo[[#This Row],[Diferencia]]="","",tblConteo[[#This Row],[Diferencia]]*N(INDEX(tblProductos[CostoUnitario],ROW()-ROW(tblConteo[#Headers]))))</f>
        <v/>
      </c>
      <c r="L42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6" spans="2:13" x14ac:dyDescent="0.25">
      <c r="B426" s="43" t="str">
        <f>IF(INDEX(tblProductos[SKU],ROW()-ROW(tblConteo[#Headers]))="","",INDEX(tblProductos[SKU],ROW()-ROW(tblConteo[#Headers])))</f>
        <v/>
      </c>
      <c r="C426" s="50" t="str">
        <f>IF(tblConteo[[#This Row],[SKU]]="","",INDEX(tblProductos[Producto],ROW()-ROW(tblConteo[#Headers])))</f>
        <v/>
      </c>
      <c r="D426" s="50" t="str">
        <f>IF(tblConteo[[#This Row],[SKU]]="","",INDEX(tblProductos[Categoría],ROW()-ROW(tblConteo[#Headers]))&amp;"")</f>
        <v/>
      </c>
      <c r="E426" s="43" t="str">
        <f>IF(tblConteo[[#This Row],[SKU]]="","",INDEX(tblProductos[Ubicación],ROW()-ROW(tblConteo[#Headers]))&amp;"")</f>
        <v/>
      </c>
      <c r="F426" s="43" t="str">
        <f>IF(tblConteo[[#This Row],[SKU]]="","",INDEX(tblProductos[Unidad],ROW()-ROW(tblConteo[#Headers]))&amp;"")</f>
        <v/>
      </c>
      <c r="G426" s="43" t="str">
        <f>IF(tblConteo[[#This Row],[SKU]]="","",IF(INDEX(tblProductos[Activo],ROW()-ROW(tblConteo[#Headers]))="NO","NO","SI"))</f>
        <v/>
      </c>
      <c r="H426" s="54" t="str">
        <f>IF(tblConteo[[#This Row],[SKU]]="","",IFERROR(N(INDEX(tblStock[StockActual],MATCH(tblConteo[[#This Row],[SKU]],tblStock[SKU],0))),0))</f>
        <v/>
      </c>
      <c r="I426" s="53"/>
      <c r="J426" s="60" t="str">
        <f>IF(OR(tblConteo[[#This Row],[SKU]]="",tblConteo[[#This Row],[Conteo]]=""),"",IF(ISNUMBER(tblConteo[[#This Row],[Conteo]]),tblConteo[[#This Row],[Conteo]]-N(tblConteo[[#This Row],[Sistema]]),""))</f>
        <v/>
      </c>
      <c r="K426" s="63" t="str">
        <f>IF(tblConteo[[#This Row],[Diferencia]]="","",tblConteo[[#This Row],[Diferencia]]*N(INDEX(tblProductos[CostoUnitario],ROW()-ROW(tblConteo[#Headers]))))</f>
        <v/>
      </c>
      <c r="L42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7" spans="2:13" x14ac:dyDescent="0.25">
      <c r="B427" s="43" t="str">
        <f>IF(INDEX(tblProductos[SKU],ROW()-ROW(tblConteo[#Headers]))="","",INDEX(tblProductos[SKU],ROW()-ROW(tblConteo[#Headers])))</f>
        <v/>
      </c>
      <c r="C427" s="50" t="str">
        <f>IF(tblConteo[[#This Row],[SKU]]="","",INDEX(tblProductos[Producto],ROW()-ROW(tblConteo[#Headers])))</f>
        <v/>
      </c>
      <c r="D427" s="50" t="str">
        <f>IF(tblConteo[[#This Row],[SKU]]="","",INDEX(tblProductos[Categoría],ROW()-ROW(tblConteo[#Headers]))&amp;"")</f>
        <v/>
      </c>
      <c r="E427" s="43" t="str">
        <f>IF(tblConteo[[#This Row],[SKU]]="","",INDEX(tblProductos[Ubicación],ROW()-ROW(tblConteo[#Headers]))&amp;"")</f>
        <v/>
      </c>
      <c r="F427" s="43" t="str">
        <f>IF(tblConteo[[#This Row],[SKU]]="","",INDEX(tblProductos[Unidad],ROW()-ROW(tblConteo[#Headers]))&amp;"")</f>
        <v/>
      </c>
      <c r="G427" s="43" t="str">
        <f>IF(tblConteo[[#This Row],[SKU]]="","",IF(INDEX(tblProductos[Activo],ROW()-ROW(tblConteo[#Headers]))="NO","NO","SI"))</f>
        <v/>
      </c>
      <c r="H427" s="54" t="str">
        <f>IF(tblConteo[[#This Row],[SKU]]="","",IFERROR(N(INDEX(tblStock[StockActual],MATCH(tblConteo[[#This Row],[SKU]],tblStock[SKU],0))),0))</f>
        <v/>
      </c>
      <c r="I427" s="53"/>
      <c r="J427" s="60" t="str">
        <f>IF(OR(tblConteo[[#This Row],[SKU]]="",tblConteo[[#This Row],[Conteo]]=""),"",IF(ISNUMBER(tblConteo[[#This Row],[Conteo]]),tblConteo[[#This Row],[Conteo]]-N(tblConteo[[#This Row],[Sistema]]),""))</f>
        <v/>
      </c>
      <c r="K427" s="63" t="str">
        <f>IF(tblConteo[[#This Row],[Diferencia]]="","",tblConteo[[#This Row],[Diferencia]]*N(INDEX(tblProductos[CostoUnitario],ROW()-ROW(tblConteo[#Headers]))))</f>
        <v/>
      </c>
      <c r="L42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8" spans="2:13" x14ac:dyDescent="0.25">
      <c r="B428" s="43" t="str">
        <f>IF(INDEX(tblProductos[SKU],ROW()-ROW(tblConteo[#Headers]))="","",INDEX(tblProductos[SKU],ROW()-ROW(tblConteo[#Headers])))</f>
        <v/>
      </c>
      <c r="C428" s="50" t="str">
        <f>IF(tblConteo[[#This Row],[SKU]]="","",INDEX(tblProductos[Producto],ROW()-ROW(tblConteo[#Headers])))</f>
        <v/>
      </c>
      <c r="D428" s="50" t="str">
        <f>IF(tblConteo[[#This Row],[SKU]]="","",INDEX(tblProductos[Categoría],ROW()-ROW(tblConteo[#Headers]))&amp;"")</f>
        <v/>
      </c>
      <c r="E428" s="43" t="str">
        <f>IF(tblConteo[[#This Row],[SKU]]="","",INDEX(tblProductos[Ubicación],ROW()-ROW(tblConteo[#Headers]))&amp;"")</f>
        <v/>
      </c>
      <c r="F428" s="43" t="str">
        <f>IF(tblConteo[[#This Row],[SKU]]="","",INDEX(tblProductos[Unidad],ROW()-ROW(tblConteo[#Headers]))&amp;"")</f>
        <v/>
      </c>
      <c r="G428" s="43" t="str">
        <f>IF(tblConteo[[#This Row],[SKU]]="","",IF(INDEX(tblProductos[Activo],ROW()-ROW(tblConteo[#Headers]))="NO","NO","SI"))</f>
        <v/>
      </c>
      <c r="H428" s="54" t="str">
        <f>IF(tblConteo[[#This Row],[SKU]]="","",IFERROR(N(INDEX(tblStock[StockActual],MATCH(tblConteo[[#This Row],[SKU]],tblStock[SKU],0))),0))</f>
        <v/>
      </c>
      <c r="I428" s="53"/>
      <c r="J428" s="60" t="str">
        <f>IF(OR(tblConteo[[#This Row],[SKU]]="",tblConteo[[#This Row],[Conteo]]=""),"",IF(ISNUMBER(tblConteo[[#This Row],[Conteo]]),tblConteo[[#This Row],[Conteo]]-N(tblConteo[[#This Row],[Sistema]]),""))</f>
        <v/>
      </c>
      <c r="K428" s="63" t="str">
        <f>IF(tblConteo[[#This Row],[Diferencia]]="","",tblConteo[[#This Row],[Diferencia]]*N(INDEX(tblProductos[CostoUnitario],ROW()-ROW(tblConteo[#Headers]))))</f>
        <v/>
      </c>
      <c r="L42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29" spans="2:13" x14ac:dyDescent="0.25">
      <c r="B429" s="43" t="str">
        <f>IF(INDEX(tblProductos[SKU],ROW()-ROW(tblConteo[#Headers]))="","",INDEX(tblProductos[SKU],ROW()-ROW(tblConteo[#Headers])))</f>
        <v/>
      </c>
      <c r="C429" s="50" t="str">
        <f>IF(tblConteo[[#This Row],[SKU]]="","",INDEX(tblProductos[Producto],ROW()-ROW(tblConteo[#Headers])))</f>
        <v/>
      </c>
      <c r="D429" s="50" t="str">
        <f>IF(tblConteo[[#This Row],[SKU]]="","",INDEX(tblProductos[Categoría],ROW()-ROW(tblConteo[#Headers]))&amp;"")</f>
        <v/>
      </c>
      <c r="E429" s="43" t="str">
        <f>IF(tblConteo[[#This Row],[SKU]]="","",INDEX(tblProductos[Ubicación],ROW()-ROW(tblConteo[#Headers]))&amp;"")</f>
        <v/>
      </c>
      <c r="F429" s="43" t="str">
        <f>IF(tblConteo[[#This Row],[SKU]]="","",INDEX(tblProductos[Unidad],ROW()-ROW(tblConteo[#Headers]))&amp;"")</f>
        <v/>
      </c>
      <c r="G429" s="43" t="str">
        <f>IF(tblConteo[[#This Row],[SKU]]="","",IF(INDEX(tblProductos[Activo],ROW()-ROW(tblConteo[#Headers]))="NO","NO","SI"))</f>
        <v/>
      </c>
      <c r="H429" s="54" t="str">
        <f>IF(tblConteo[[#This Row],[SKU]]="","",IFERROR(N(INDEX(tblStock[StockActual],MATCH(tblConteo[[#This Row],[SKU]],tblStock[SKU],0))),0))</f>
        <v/>
      </c>
      <c r="I429" s="53"/>
      <c r="J429" s="60" t="str">
        <f>IF(OR(tblConteo[[#This Row],[SKU]]="",tblConteo[[#This Row],[Conteo]]=""),"",IF(ISNUMBER(tblConteo[[#This Row],[Conteo]]),tblConteo[[#This Row],[Conteo]]-N(tblConteo[[#This Row],[Sistema]]),""))</f>
        <v/>
      </c>
      <c r="K429" s="63" t="str">
        <f>IF(tblConteo[[#This Row],[Diferencia]]="","",tblConteo[[#This Row],[Diferencia]]*N(INDEX(tblProductos[CostoUnitario],ROW()-ROW(tblConteo[#Headers]))))</f>
        <v/>
      </c>
      <c r="L42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2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0" spans="2:13" x14ac:dyDescent="0.25">
      <c r="B430" s="43" t="str">
        <f>IF(INDEX(tblProductos[SKU],ROW()-ROW(tblConteo[#Headers]))="","",INDEX(tblProductos[SKU],ROW()-ROW(tblConteo[#Headers])))</f>
        <v/>
      </c>
      <c r="C430" s="50" t="str">
        <f>IF(tblConteo[[#This Row],[SKU]]="","",INDEX(tblProductos[Producto],ROW()-ROW(tblConteo[#Headers])))</f>
        <v/>
      </c>
      <c r="D430" s="50" t="str">
        <f>IF(tblConteo[[#This Row],[SKU]]="","",INDEX(tblProductos[Categoría],ROW()-ROW(tblConteo[#Headers]))&amp;"")</f>
        <v/>
      </c>
      <c r="E430" s="43" t="str">
        <f>IF(tblConteo[[#This Row],[SKU]]="","",INDEX(tblProductos[Ubicación],ROW()-ROW(tblConteo[#Headers]))&amp;"")</f>
        <v/>
      </c>
      <c r="F430" s="43" t="str">
        <f>IF(tblConteo[[#This Row],[SKU]]="","",INDEX(tblProductos[Unidad],ROW()-ROW(tblConteo[#Headers]))&amp;"")</f>
        <v/>
      </c>
      <c r="G430" s="43" t="str">
        <f>IF(tblConteo[[#This Row],[SKU]]="","",IF(INDEX(tblProductos[Activo],ROW()-ROW(tblConteo[#Headers]))="NO","NO","SI"))</f>
        <v/>
      </c>
      <c r="H430" s="54" t="str">
        <f>IF(tblConteo[[#This Row],[SKU]]="","",IFERROR(N(INDEX(tblStock[StockActual],MATCH(tblConteo[[#This Row],[SKU]],tblStock[SKU],0))),0))</f>
        <v/>
      </c>
      <c r="I430" s="53"/>
      <c r="J430" s="60" t="str">
        <f>IF(OR(tblConteo[[#This Row],[SKU]]="",tblConteo[[#This Row],[Conteo]]=""),"",IF(ISNUMBER(tblConteo[[#This Row],[Conteo]]),tblConteo[[#This Row],[Conteo]]-N(tblConteo[[#This Row],[Sistema]]),""))</f>
        <v/>
      </c>
      <c r="K430" s="63" t="str">
        <f>IF(tblConteo[[#This Row],[Diferencia]]="","",tblConteo[[#This Row],[Diferencia]]*N(INDEX(tblProductos[CostoUnitario],ROW()-ROW(tblConteo[#Headers]))))</f>
        <v/>
      </c>
      <c r="L43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1" spans="2:13" x14ac:dyDescent="0.25">
      <c r="B431" s="43" t="str">
        <f>IF(INDEX(tblProductos[SKU],ROW()-ROW(tblConteo[#Headers]))="","",INDEX(tblProductos[SKU],ROW()-ROW(tblConteo[#Headers])))</f>
        <v/>
      </c>
      <c r="C431" s="50" t="str">
        <f>IF(tblConteo[[#This Row],[SKU]]="","",INDEX(tblProductos[Producto],ROW()-ROW(tblConteo[#Headers])))</f>
        <v/>
      </c>
      <c r="D431" s="50" t="str">
        <f>IF(tblConteo[[#This Row],[SKU]]="","",INDEX(tblProductos[Categoría],ROW()-ROW(tblConteo[#Headers]))&amp;"")</f>
        <v/>
      </c>
      <c r="E431" s="43" t="str">
        <f>IF(tblConteo[[#This Row],[SKU]]="","",INDEX(tblProductos[Ubicación],ROW()-ROW(tblConteo[#Headers]))&amp;"")</f>
        <v/>
      </c>
      <c r="F431" s="43" t="str">
        <f>IF(tblConteo[[#This Row],[SKU]]="","",INDEX(tblProductos[Unidad],ROW()-ROW(tblConteo[#Headers]))&amp;"")</f>
        <v/>
      </c>
      <c r="G431" s="43" t="str">
        <f>IF(tblConteo[[#This Row],[SKU]]="","",IF(INDEX(tblProductos[Activo],ROW()-ROW(tblConteo[#Headers]))="NO","NO","SI"))</f>
        <v/>
      </c>
      <c r="H431" s="54" t="str">
        <f>IF(tblConteo[[#This Row],[SKU]]="","",IFERROR(N(INDEX(tblStock[StockActual],MATCH(tblConteo[[#This Row],[SKU]],tblStock[SKU],0))),0))</f>
        <v/>
      </c>
      <c r="I431" s="53"/>
      <c r="J431" s="60" t="str">
        <f>IF(OR(tblConteo[[#This Row],[SKU]]="",tblConteo[[#This Row],[Conteo]]=""),"",IF(ISNUMBER(tblConteo[[#This Row],[Conteo]]),tblConteo[[#This Row],[Conteo]]-N(tblConteo[[#This Row],[Sistema]]),""))</f>
        <v/>
      </c>
      <c r="K431" s="63" t="str">
        <f>IF(tblConteo[[#This Row],[Diferencia]]="","",tblConteo[[#This Row],[Diferencia]]*N(INDEX(tblProductos[CostoUnitario],ROW()-ROW(tblConteo[#Headers]))))</f>
        <v/>
      </c>
      <c r="L43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2" spans="2:13" x14ac:dyDescent="0.25">
      <c r="B432" s="43" t="str">
        <f>IF(INDEX(tblProductos[SKU],ROW()-ROW(tblConteo[#Headers]))="","",INDEX(tblProductos[SKU],ROW()-ROW(tblConteo[#Headers])))</f>
        <v/>
      </c>
      <c r="C432" s="50" t="str">
        <f>IF(tblConteo[[#This Row],[SKU]]="","",INDEX(tblProductos[Producto],ROW()-ROW(tblConteo[#Headers])))</f>
        <v/>
      </c>
      <c r="D432" s="50" t="str">
        <f>IF(tblConteo[[#This Row],[SKU]]="","",INDEX(tblProductos[Categoría],ROW()-ROW(tblConteo[#Headers]))&amp;"")</f>
        <v/>
      </c>
      <c r="E432" s="43" t="str">
        <f>IF(tblConteo[[#This Row],[SKU]]="","",INDEX(tblProductos[Ubicación],ROW()-ROW(tblConteo[#Headers]))&amp;"")</f>
        <v/>
      </c>
      <c r="F432" s="43" t="str">
        <f>IF(tblConteo[[#This Row],[SKU]]="","",INDEX(tblProductos[Unidad],ROW()-ROW(tblConteo[#Headers]))&amp;"")</f>
        <v/>
      </c>
      <c r="G432" s="43" t="str">
        <f>IF(tblConteo[[#This Row],[SKU]]="","",IF(INDEX(tblProductos[Activo],ROW()-ROW(tblConteo[#Headers]))="NO","NO","SI"))</f>
        <v/>
      </c>
      <c r="H432" s="54" t="str">
        <f>IF(tblConteo[[#This Row],[SKU]]="","",IFERROR(N(INDEX(tblStock[StockActual],MATCH(tblConteo[[#This Row],[SKU]],tblStock[SKU],0))),0))</f>
        <v/>
      </c>
      <c r="I432" s="53"/>
      <c r="J432" s="60" t="str">
        <f>IF(OR(tblConteo[[#This Row],[SKU]]="",tblConteo[[#This Row],[Conteo]]=""),"",IF(ISNUMBER(tblConteo[[#This Row],[Conteo]]),tblConteo[[#This Row],[Conteo]]-N(tblConteo[[#This Row],[Sistema]]),""))</f>
        <v/>
      </c>
      <c r="K432" s="63" t="str">
        <f>IF(tblConteo[[#This Row],[Diferencia]]="","",tblConteo[[#This Row],[Diferencia]]*N(INDEX(tblProductos[CostoUnitario],ROW()-ROW(tblConteo[#Headers]))))</f>
        <v/>
      </c>
      <c r="L43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3" spans="2:13" x14ac:dyDescent="0.25">
      <c r="B433" s="43" t="str">
        <f>IF(INDEX(tblProductos[SKU],ROW()-ROW(tblConteo[#Headers]))="","",INDEX(tblProductos[SKU],ROW()-ROW(tblConteo[#Headers])))</f>
        <v/>
      </c>
      <c r="C433" s="50" t="str">
        <f>IF(tblConteo[[#This Row],[SKU]]="","",INDEX(tblProductos[Producto],ROW()-ROW(tblConteo[#Headers])))</f>
        <v/>
      </c>
      <c r="D433" s="50" t="str">
        <f>IF(tblConteo[[#This Row],[SKU]]="","",INDEX(tblProductos[Categoría],ROW()-ROW(tblConteo[#Headers]))&amp;"")</f>
        <v/>
      </c>
      <c r="E433" s="43" t="str">
        <f>IF(tblConteo[[#This Row],[SKU]]="","",INDEX(tblProductos[Ubicación],ROW()-ROW(tblConteo[#Headers]))&amp;"")</f>
        <v/>
      </c>
      <c r="F433" s="43" t="str">
        <f>IF(tblConteo[[#This Row],[SKU]]="","",INDEX(tblProductos[Unidad],ROW()-ROW(tblConteo[#Headers]))&amp;"")</f>
        <v/>
      </c>
      <c r="G433" s="43" t="str">
        <f>IF(tblConteo[[#This Row],[SKU]]="","",IF(INDEX(tblProductos[Activo],ROW()-ROW(tblConteo[#Headers]))="NO","NO","SI"))</f>
        <v/>
      </c>
      <c r="H433" s="54" t="str">
        <f>IF(tblConteo[[#This Row],[SKU]]="","",IFERROR(N(INDEX(tblStock[StockActual],MATCH(tblConteo[[#This Row],[SKU]],tblStock[SKU],0))),0))</f>
        <v/>
      </c>
      <c r="I433" s="53"/>
      <c r="J433" s="60" t="str">
        <f>IF(OR(tblConteo[[#This Row],[SKU]]="",tblConteo[[#This Row],[Conteo]]=""),"",IF(ISNUMBER(tblConteo[[#This Row],[Conteo]]),tblConteo[[#This Row],[Conteo]]-N(tblConteo[[#This Row],[Sistema]]),""))</f>
        <v/>
      </c>
      <c r="K433" s="63" t="str">
        <f>IF(tblConteo[[#This Row],[Diferencia]]="","",tblConteo[[#This Row],[Diferencia]]*N(INDEX(tblProductos[CostoUnitario],ROW()-ROW(tblConteo[#Headers]))))</f>
        <v/>
      </c>
      <c r="L43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4" spans="2:13" x14ac:dyDescent="0.25">
      <c r="B434" s="43" t="str">
        <f>IF(INDEX(tblProductos[SKU],ROW()-ROW(tblConteo[#Headers]))="","",INDEX(tblProductos[SKU],ROW()-ROW(tblConteo[#Headers])))</f>
        <v/>
      </c>
      <c r="C434" s="50" t="str">
        <f>IF(tblConteo[[#This Row],[SKU]]="","",INDEX(tblProductos[Producto],ROW()-ROW(tblConteo[#Headers])))</f>
        <v/>
      </c>
      <c r="D434" s="50" t="str">
        <f>IF(tblConteo[[#This Row],[SKU]]="","",INDEX(tblProductos[Categoría],ROW()-ROW(tblConteo[#Headers]))&amp;"")</f>
        <v/>
      </c>
      <c r="E434" s="43" t="str">
        <f>IF(tblConteo[[#This Row],[SKU]]="","",INDEX(tblProductos[Ubicación],ROW()-ROW(tblConteo[#Headers]))&amp;"")</f>
        <v/>
      </c>
      <c r="F434" s="43" t="str">
        <f>IF(tblConteo[[#This Row],[SKU]]="","",INDEX(tblProductos[Unidad],ROW()-ROW(tblConteo[#Headers]))&amp;"")</f>
        <v/>
      </c>
      <c r="G434" s="43" t="str">
        <f>IF(tblConteo[[#This Row],[SKU]]="","",IF(INDEX(tblProductos[Activo],ROW()-ROW(tblConteo[#Headers]))="NO","NO","SI"))</f>
        <v/>
      </c>
      <c r="H434" s="54" t="str">
        <f>IF(tblConteo[[#This Row],[SKU]]="","",IFERROR(N(INDEX(tblStock[StockActual],MATCH(tblConteo[[#This Row],[SKU]],tblStock[SKU],0))),0))</f>
        <v/>
      </c>
      <c r="I434" s="53"/>
      <c r="J434" s="60" t="str">
        <f>IF(OR(tblConteo[[#This Row],[SKU]]="",tblConteo[[#This Row],[Conteo]]=""),"",IF(ISNUMBER(tblConteo[[#This Row],[Conteo]]),tblConteo[[#This Row],[Conteo]]-N(tblConteo[[#This Row],[Sistema]]),""))</f>
        <v/>
      </c>
      <c r="K434" s="63" t="str">
        <f>IF(tblConteo[[#This Row],[Diferencia]]="","",tblConteo[[#This Row],[Diferencia]]*N(INDEX(tblProductos[CostoUnitario],ROW()-ROW(tblConteo[#Headers]))))</f>
        <v/>
      </c>
      <c r="L43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5" spans="2:13" x14ac:dyDescent="0.25">
      <c r="B435" s="43" t="str">
        <f>IF(INDEX(tblProductos[SKU],ROW()-ROW(tblConteo[#Headers]))="","",INDEX(tblProductos[SKU],ROW()-ROW(tblConteo[#Headers])))</f>
        <v/>
      </c>
      <c r="C435" s="50" t="str">
        <f>IF(tblConteo[[#This Row],[SKU]]="","",INDEX(tblProductos[Producto],ROW()-ROW(tblConteo[#Headers])))</f>
        <v/>
      </c>
      <c r="D435" s="50" t="str">
        <f>IF(tblConteo[[#This Row],[SKU]]="","",INDEX(tblProductos[Categoría],ROW()-ROW(tblConteo[#Headers]))&amp;"")</f>
        <v/>
      </c>
      <c r="E435" s="43" t="str">
        <f>IF(tblConteo[[#This Row],[SKU]]="","",INDEX(tblProductos[Ubicación],ROW()-ROW(tblConteo[#Headers]))&amp;"")</f>
        <v/>
      </c>
      <c r="F435" s="43" t="str">
        <f>IF(tblConteo[[#This Row],[SKU]]="","",INDEX(tblProductos[Unidad],ROW()-ROW(tblConteo[#Headers]))&amp;"")</f>
        <v/>
      </c>
      <c r="G435" s="43" t="str">
        <f>IF(tblConteo[[#This Row],[SKU]]="","",IF(INDEX(tblProductos[Activo],ROW()-ROW(tblConteo[#Headers]))="NO","NO","SI"))</f>
        <v/>
      </c>
      <c r="H435" s="54" t="str">
        <f>IF(tblConteo[[#This Row],[SKU]]="","",IFERROR(N(INDEX(tblStock[StockActual],MATCH(tblConteo[[#This Row],[SKU]],tblStock[SKU],0))),0))</f>
        <v/>
      </c>
      <c r="I435" s="53"/>
      <c r="J435" s="60" t="str">
        <f>IF(OR(tblConteo[[#This Row],[SKU]]="",tblConteo[[#This Row],[Conteo]]=""),"",IF(ISNUMBER(tblConteo[[#This Row],[Conteo]]),tblConteo[[#This Row],[Conteo]]-N(tblConteo[[#This Row],[Sistema]]),""))</f>
        <v/>
      </c>
      <c r="K435" s="63" t="str">
        <f>IF(tblConteo[[#This Row],[Diferencia]]="","",tblConteo[[#This Row],[Diferencia]]*N(INDEX(tblProductos[CostoUnitario],ROW()-ROW(tblConteo[#Headers]))))</f>
        <v/>
      </c>
      <c r="L43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6" spans="2:13" x14ac:dyDescent="0.25">
      <c r="B436" s="43" t="str">
        <f>IF(INDEX(tblProductos[SKU],ROW()-ROW(tblConteo[#Headers]))="","",INDEX(tblProductos[SKU],ROW()-ROW(tblConteo[#Headers])))</f>
        <v/>
      </c>
      <c r="C436" s="50" t="str">
        <f>IF(tblConteo[[#This Row],[SKU]]="","",INDEX(tblProductos[Producto],ROW()-ROW(tblConteo[#Headers])))</f>
        <v/>
      </c>
      <c r="D436" s="50" t="str">
        <f>IF(tblConteo[[#This Row],[SKU]]="","",INDEX(tblProductos[Categoría],ROW()-ROW(tblConteo[#Headers]))&amp;"")</f>
        <v/>
      </c>
      <c r="E436" s="43" t="str">
        <f>IF(tblConteo[[#This Row],[SKU]]="","",INDEX(tblProductos[Ubicación],ROW()-ROW(tblConteo[#Headers]))&amp;"")</f>
        <v/>
      </c>
      <c r="F436" s="43" t="str">
        <f>IF(tblConteo[[#This Row],[SKU]]="","",INDEX(tblProductos[Unidad],ROW()-ROW(tblConteo[#Headers]))&amp;"")</f>
        <v/>
      </c>
      <c r="G436" s="43" t="str">
        <f>IF(tblConteo[[#This Row],[SKU]]="","",IF(INDEX(tblProductos[Activo],ROW()-ROW(tblConteo[#Headers]))="NO","NO","SI"))</f>
        <v/>
      </c>
      <c r="H436" s="54" t="str">
        <f>IF(tblConteo[[#This Row],[SKU]]="","",IFERROR(N(INDEX(tblStock[StockActual],MATCH(tblConteo[[#This Row],[SKU]],tblStock[SKU],0))),0))</f>
        <v/>
      </c>
      <c r="I436" s="53"/>
      <c r="J436" s="60" t="str">
        <f>IF(OR(tblConteo[[#This Row],[SKU]]="",tblConteo[[#This Row],[Conteo]]=""),"",IF(ISNUMBER(tblConteo[[#This Row],[Conteo]]),tblConteo[[#This Row],[Conteo]]-N(tblConteo[[#This Row],[Sistema]]),""))</f>
        <v/>
      </c>
      <c r="K436" s="63" t="str">
        <f>IF(tblConteo[[#This Row],[Diferencia]]="","",tblConteo[[#This Row],[Diferencia]]*N(INDEX(tblProductos[CostoUnitario],ROW()-ROW(tblConteo[#Headers]))))</f>
        <v/>
      </c>
      <c r="L43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7" spans="2:13" x14ac:dyDescent="0.25">
      <c r="B437" s="43" t="str">
        <f>IF(INDEX(tblProductos[SKU],ROW()-ROW(tblConteo[#Headers]))="","",INDEX(tblProductos[SKU],ROW()-ROW(tblConteo[#Headers])))</f>
        <v/>
      </c>
      <c r="C437" s="50" t="str">
        <f>IF(tblConteo[[#This Row],[SKU]]="","",INDEX(tblProductos[Producto],ROW()-ROW(tblConteo[#Headers])))</f>
        <v/>
      </c>
      <c r="D437" s="50" t="str">
        <f>IF(tblConteo[[#This Row],[SKU]]="","",INDEX(tblProductos[Categoría],ROW()-ROW(tblConteo[#Headers]))&amp;"")</f>
        <v/>
      </c>
      <c r="E437" s="43" t="str">
        <f>IF(tblConteo[[#This Row],[SKU]]="","",INDEX(tblProductos[Ubicación],ROW()-ROW(tblConteo[#Headers]))&amp;"")</f>
        <v/>
      </c>
      <c r="F437" s="43" t="str">
        <f>IF(tblConteo[[#This Row],[SKU]]="","",INDEX(tblProductos[Unidad],ROW()-ROW(tblConteo[#Headers]))&amp;"")</f>
        <v/>
      </c>
      <c r="G437" s="43" t="str">
        <f>IF(tblConteo[[#This Row],[SKU]]="","",IF(INDEX(tblProductos[Activo],ROW()-ROW(tblConteo[#Headers]))="NO","NO","SI"))</f>
        <v/>
      </c>
      <c r="H437" s="54" t="str">
        <f>IF(tblConteo[[#This Row],[SKU]]="","",IFERROR(N(INDEX(tblStock[StockActual],MATCH(tblConteo[[#This Row],[SKU]],tblStock[SKU],0))),0))</f>
        <v/>
      </c>
      <c r="I437" s="53"/>
      <c r="J437" s="60" t="str">
        <f>IF(OR(tblConteo[[#This Row],[SKU]]="",tblConteo[[#This Row],[Conteo]]=""),"",IF(ISNUMBER(tblConteo[[#This Row],[Conteo]]),tblConteo[[#This Row],[Conteo]]-N(tblConteo[[#This Row],[Sistema]]),""))</f>
        <v/>
      </c>
      <c r="K437" s="63" t="str">
        <f>IF(tblConteo[[#This Row],[Diferencia]]="","",tblConteo[[#This Row],[Diferencia]]*N(INDEX(tblProductos[CostoUnitario],ROW()-ROW(tblConteo[#Headers]))))</f>
        <v/>
      </c>
      <c r="L43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8" spans="2:13" x14ac:dyDescent="0.25">
      <c r="B438" s="43" t="str">
        <f>IF(INDEX(tblProductos[SKU],ROW()-ROW(tblConteo[#Headers]))="","",INDEX(tblProductos[SKU],ROW()-ROW(tblConteo[#Headers])))</f>
        <v/>
      </c>
      <c r="C438" s="50" t="str">
        <f>IF(tblConteo[[#This Row],[SKU]]="","",INDEX(tblProductos[Producto],ROW()-ROW(tblConteo[#Headers])))</f>
        <v/>
      </c>
      <c r="D438" s="50" t="str">
        <f>IF(tblConteo[[#This Row],[SKU]]="","",INDEX(tblProductos[Categoría],ROW()-ROW(tblConteo[#Headers]))&amp;"")</f>
        <v/>
      </c>
      <c r="E438" s="43" t="str">
        <f>IF(tblConteo[[#This Row],[SKU]]="","",INDEX(tblProductos[Ubicación],ROW()-ROW(tblConteo[#Headers]))&amp;"")</f>
        <v/>
      </c>
      <c r="F438" s="43" t="str">
        <f>IF(tblConteo[[#This Row],[SKU]]="","",INDEX(tblProductos[Unidad],ROW()-ROW(tblConteo[#Headers]))&amp;"")</f>
        <v/>
      </c>
      <c r="G438" s="43" t="str">
        <f>IF(tblConteo[[#This Row],[SKU]]="","",IF(INDEX(tblProductos[Activo],ROW()-ROW(tblConteo[#Headers]))="NO","NO","SI"))</f>
        <v/>
      </c>
      <c r="H438" s="54" t="str">
        <f>IF(tblConteo[[#This Row],[SKU]]="","",IFERROR(N(INDEX(tblStock[StockActual],MATCH(tblConteo[[#This Row],[SKU]],tblStock[SKU],0))),0))</f>
        <v/>
      </c>
      <c r="I438" s="53"/>
      <c r="J438" s="60" t="str">
        <f>IF(OR(tblConteo[[#This Row],[SKU]]="",tblConteo[[#This Row],[Conteo]]=""),"",IF(ISNUMBER(tblConteo[[#This Row],[Conteo]]),tblConteo[[#This Row],[Conteo]]-N(tblConteo[[#This Row],[Sistema]]),""))</f>
        <v/>
      </c>
      <c r="K438" s="63" t="str">
        <f>IF(tblConteo[[#This Row],[Diferencia]]="","",tblConteo[[#This Row],[Diferencia]]*N(INDEX(tblProductos[CostoUnitario],ROW()-ROW(tblConteo[#Headers]))))</f>
        <v/>
      </c>
      <c r="L43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39" spans="2:13" x14ac:dyDescent="0.25">
      <c r="B439" s="43" t="str">
        <f>IF(INDEX(tblProductos[SKU],ROW()-ROW(tblConteo[#Headers]))="","",INDEX(tblProductos[SKU],ROW()-ROW(tblConteo[#Headers])))</f>
        <v/>
      </c>
      <c r="C439" s="50" t="str">
        <f>IF(tblConteo[[#This Row],[SKU]]="","",INDEX(tblProductos[Producto],ROW()-ROW(tblConteo[#Headers])))</f>
        <v/>
      </c>
      <c r="D439" s="50" t="str">
        <f>IF(tblConteo[[#This Row],[SKU]]="","",INDEX(tblProductos[Categoría],ROW()-ROW(tblConteo[#Headers]))&amp;"")</f>
        <v/>
      </c>
      <c r="E439" s="43" t="str">
        <f>IF(tblConteo[[#This Row],[SKU]]="","",INDEX(tblProductos[Ubicación],ROW()-ROW(tblConteo[#Headers]))&amp;"")</f>
        <v/>
      </c>
      <c r="F439" s="43" t="str">
        <f>IF(tblConteo[[#This Row],[SKU]]="","",INDEX(tblProductos[Unidad],ROW()-ROW(tblConteo[#Headers]))&amp;"")</f>
        <v/>
      </c>
      <c r="G439" s="43" t="str">
        <f>IF(tblConteo[[#This Row],[SKU]]="","",IF(INDEX(tblProductos[Activo],ROW()-ROW(tblConteo[#Headers]))="NO","NO","SI"))</f>
        <v/>
      </c>
      <c r="H439" s="54" t="str">
        <f>IF(tblConteo[[#This Row],[SKU]]="","",IFERROR(N(INDEX(tblStock[StockActual],MATCH(tblConteo[[#This Row],[SKU]],tblStock[SKU],0))),0))</f>
        <v/>
      </c>
      <c r="I439" s="53"/>
      <c r="J439" s="60" t="str">
        <f>IF(OR(tblConteo[[#This Row],[SKU]]="",tblConteo[[#This Row],[Conteo]]=""),"",IF(ISNUMBER(tblConteo[[#This Row],[Conteo]]),tblConteo[[#This Row],[Conteo]]-N(tblConteo[[#This Row],[Sistema]]),""))</f>
        <v/>
      </c>
      <c r="K439" s="63" t="str">
        <f>IF(tblConteo[[#This Row],[Diferencia]]="","",tblConteo[[#This Row],[Diferencia]]*N(INDEX(tblProductos[CostoUnitario],ROW()-ROW(tblConteo[#Headers]))))</f>
        <v/>
      </c>
      <c r="L43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3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0" spans="2:13" x14ac:dyDescent="0.25">
      <c r="B440" s="43" t="str">
        <f>IF(INDEX(tblProductos[SKU],ROW()-ROW(tblConteo[#Headers]))="","",INDEX(tblProductos[SKU],ROW()-ROW(tblConteo[#Headers])))</f>
        <v/>
      </c>
      <c r="C440" s="50" t="str">
        <f>IF(tblConteo[[#This Row],[SKU]]="","",INDEX(tblProductos[Producto],ROW()-ROW(tblConteo[#Headers])))</f>
        <v/>
      </c>
      <c r="D440" s="50" t="str">
        <f>IF(tblConteo[[#This Row],[SKU]]="","",INDEX(tblProductos[Categoría],ROW()-ROW(tblConteo[#Headers]))&amp;"")</f>
        <v/>
      </c>
      <c r="E440" s="43" t="str">
        <f>IF(tblConteo[[#This Row],[SKU]]="","",INDEX(tblProductos[Ubicación],ROW()-ROW(tblConteo[#Headers]))&amp;"")</f>
        <v/>
      </c>
      <c r="F440" s="43" t="str">
        <f>IF(tblConteo[[#This Row],[SKU]]="","",INDEX(tblProductos[Unidad],ROW()-ROW(tblConteo[#Headers]))&amp;"")</f>
        <v/>
      </c>
      <c r="G440" s="43" t="str">
        <f>IF(tblConteo[[#This Row],[SKU]]="","",IF(INDEX(tblProductos[Activo],ROW()-ROW(tblConteo[#Headers]))="NO","NO","SI"))</f>
        <v/>
      </c>
      <c r="H440" s="54" t="str">
        <f>IF(tblConteo[[#This Row],[SKU]]="","",IFERROR(N(INDEX(tblStock[StockActual],MATCH(tblConteo[[#This Row],[SKU]],tblStock[SKU],0))),0))</f>
        <v/>
      </c>
      <c r="I440" s="53"/>
      <c r="J440" s="60" t="str">
        <f>IF(OR(tblConteo[[#This Row],[SKU]]="",tblConteo[[#This Row],[Conteo]]=""),"",IF(ISNUMBER(tblConteo[[#This Row],[Conteo]]),tblConteo[[#This Row],[Conteo]]-N(tblConteo[[#This Row],[Sistema]]),""))</f>
        <v/>
      </c>
      <c r="K440" s="63" t="str">
        <f>IF(tblConteo[[#This Row],[Diferencia]]="","",tblConteo[[#This Row],[Diferencia]]*N(INDEX(tblProductos[CostoUnitario],ROW()-ROW(tblConteo[#Headers]))))</f>
        <v/>
      </c>
      <c r="L44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1" spans="2:13" x14ac:dyDescent="0.25">
      <c r="B441" s="43" t="str">
        <f>IF(INDEX(tblProductos[SKU],ROW()-ROW(tblConteo[#Headers]))="","",INDEX(tblProductos[SKU],ROW()-ROW(tblConteo[#Headers])))</f>
        <v/>
      </c>
      <c r="C441" s="50" t="str">
        <f>IF(tblConteo[[#This Row],[SKU]]="","",INDEX(tblProductos[Producto],ROW()-ROW(tblConteo[#Headers])))</f>
        <v/>
      </c>
      <c r="D441" s="50" t="str">
        <f>IF(tblConteo[[#This Row],[SKU]]="","",INDEX(tblProductos[Categoría],ROW()-ROW(tblConteo[#Headers]))&amp;"")</f>
        <v/>
      </c>
      <c r="E441" s="43" t="str">
        <f>IF(tblConteo[[#This Row],[SKU]]="","",INDEX(tblProductos[Ubicación],ROW()-ROW(tblConteo[#Headers]))&amp;"")</f>
        <v/>
      </c>
      <c r="F441" s="43" t="str">
        <f>IF(tblConteo[[#This Row],[SKU]]="","",INDEX(tblProductos[Unidad],ROW()-ROW(tblConteo[#Headers]))&amp;"")</f>
        <v/>
      </c>
      <c r="G441" s="43" t="str">
        <f>IF(tblConteo[[#This Row],[SKU]]="","",IF(INDEX(tblProductos[Activo],ROW()-ROW(tblConteo[#Headers]))="NO","NO","SI"))</f>
        <v/>
      </c>
      <c r="H441" s="54" t="str">
        <f>IF(tblConteo[[#This Row],[SKU]]="","",IFERROR(N(INDEX(tblStock[StockActual],MATCH(tblConteo[[#This Row],[SKU]],tblStock[SKU],0))),0))</f>
        <v/>
      </c>
      <c r="I441" s="53"/>
      <c r="J441" s="60" t="str">
        <f>IF(OR(tblConteo[[#This Row],[SKU]]="",tblConteo[[#This Row],[Conteo]]=""),"",IF(ISNUMBER(tblConteo[[#This Row],[Conteo]]),tblConteo[[#This Row],[Conteo]]-N(tblConteo[[#This Row],[Sistema]]),""))</f>
        <v/>
      </c>
      <c r="K441" s="63" t="str">
        <f>IF(tblConteo[[#This Row],[Diferencia]]="","",tblConteo[[#This Row],[Diferencia]]*N(INDEX(tblProductos[CostoUnitario],ROW()-ROW(tblConteo[#Headers]))))</f>
        <v/>
      </c>
      <c r="L44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2" spans="2:13" x14ac:dyDescent="0.25">
      <c r="B442" s="43" t="str">
        <f>IF(INDEX(tblProductos[SKU],ROW()-ROW(tblConteo[#Headers]))="","",INDEX(tblProductos[SKU],ROW()-ROW(tblConteo[#Headers])))</f>
        <v/>
      </c>
      <c r="C442" s="50" t="str">
        <f>IF(tblConteo[[#This Row],[SKU]]="","",INDEX(tblProductos[Producto],ROW()-ROW(tblConteo[#Headers])))</f>
        <v/>
      </c>
      <c r="D442" s="50" t="str">
        <f>IF(tblConteo[[#This Row],[SKU]]="","",INDEX(tblProductos[Categoría],ROW()-ROW(tblConteo[#Headers]))&amp;"")</f>
        <v/>
      </c>
      <c r="E442" s="43" t="str">
        <f>IF(tblConteo[[#This Row],[SKU]]="","",INDEX(tblProductos[Ubicación],ROW()-ROW(tblConteo[#Headers]))&amp;"")</f>
        <v/>
      </c>
      <c r="F442" s="43" t="str">
        <f>IF(tblConteo[[#This Row],[SKU]]="","",INDEX(tblProductos[Unidad],ROW()-ROW(tblConteo[#Headers]))&amp;"")</f>
        <v/>
      </c>
      <c r="G442" s="43" t="str">
        <f>IF(tblConteo[[#This Row],[SKU]]="","",IF(INDEX(tblProductos[Activo],ROW()-ROW(tblConteo[#Headers]))="NO","NO","SI"))</f>
        <v/>
      </c>
      <c r="H442" s="54" t="str">
        <f>IF(tblConteo[[#This Row],[SKU]]="","",IFERROR(N(INDEX(tblStock[StockActual],MATCH(tblConteo[[#This Row],[SKU]],tblStock[SKU],0))),0))</f>
        <v/>
      </c>
      <c r="I442" s="53"/>
      <c r="J442" s="60" t="str">
        <f>IF(OR(tblConteo[[#This Row],[SKU]]="",tblConteo[[#This Row],[Conteo]]=""),"",IF(ISNUMBER(tblConteo[[#This Row],[Conteo]]),tblConteo[[#This Row],[Conteo]]-N(tblConteo[[#This Row],[Sistema]]),""))</f>
        <v/>
      </c>
      <c r="K442" s="63" t="str">
        <f>IF(tblConteo[[#This Row],[Diferencia]]="","",tblConteo[[#This Row],[Diferencia]]*N(INDEX(tblProductos[CostoUnitario],ROW()-ROW(tblConteo[#Headers]))))</f>
        <v/>
      </c>
      <c r="L44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3" spans="2:13" x14ac:dyDescent="0.25">
      <c r="B443" s="43" t="str">
        <f>IF(INDEX(tblProductos[SKU],ROW()-ROW(tblConteo[#Headers]))="","",INDEX(tblProductos[SKU],ROW()-ROW(tblConteo[#Headers])))</f>
        <v/>
      </c>
      <c r="C443" s="50" t="str">
        <f>IF(tblConteo[[#This Row],[SKU]]="","",INDEX(tblProductos[Producto],ROW()-ROW(tblConteo[#Headers])))</f>
        <v/>
      </c>
      <c r="D443" s="50" t="str">
        <f>IF(tblConteo[[#This Row],[SKU]]="","",INDEX(tblProductos[Categoría],ROW()-ROW(tblConteo[#Headers]))&amp;"")</f>
        <v/>
      </c>
      <c r="E443" s="43" t="str">
        <f>IF(tblConteo[[#This Row],[SKU]]="","",INDEX(tblProductos[Ubicación],ROW()-ROW(tblConteo[#Headers]))&amp;"")</f>
        <v/>
      </c>
      <c r="F443" s="43" t="str">
        <f>IF(tblConteo[[#This Row],[SKU]]="","",INDEX(tblProductos[Unidad],ROW()-ROW(tblConteo[#Headers]))&amp;"")</f>
        <v/>
      </c>
      <c r="G443" s="43" t="str">
        <f>IF(tblConteo[[#This Row],[SKU]]="","",IF(INDEX(tblProductos[Activo],ROW()-ROW(tblConteo[#Headers]))="NO","NO","SI"))</f>
        <v/>
      </c>
      <c r="H443" s="54" t="str">
        <f>IF(tblConteo[[#This Row],[SKU]]="","",IFERROR(N(INDEX(tblStock[StockActual],MATCH(tblConteo[[#This Row],[SKU]],tblStock[SKU],0))),0))</f>
        <v/>
      </c>
      <c r="I443" s="53"/>
      <c r="J443" s="60" t="str">
        <f>IF(OR(tblConteo[[#This Row],[SKU]]="",tblConteo[[#This Row],[Conteo]]=""),"",IF(ISNUMBER(tblConteo[[#This Row],[Conteo]]),tblConteo[[#This Row],[Conteo]]-N(tblConteo[[#This Row],[Sistema]]),""))</f>
        <v/>
      </c>
      <c r="K443" s="63" t="str">
        <f>IF(tblConteo[[#This Row],[Diferencia]]="","",tblConteo[[#This Row],[Diferencia]]*N(INDEX(tblProductos[CostoUnitario],ROW()-ROW(tblConteo[#Headers]))))</f>
        <v/>
      </c>
      <c r="L44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4" spans="2:13" x14ac:dyDescent="0.25">
      <c r="B444" s="43" t="str">
        <f>IF(INDEX(tblProductos[SKU],ROW()-ROW(tblConteo[#Headers]))="","",INDEX(tblProductos[SKU],ROW()-ROW(tblConteo[#Headers])))</f>
        <v/>
      </c>
      <c r="C444" s="50" t="str">
        <f>IF(tblConteo[[#This Row],[SKU]]="","",INDEX(tblProductos[Producto],ROW()-ROW(tblConteo[#Headers])))</f>
        <v/>
      </c>
      <c r="D444" s="50" t="str">
        <f>IF(tblConteo[[#This Row],[SKU]]="","",INDEX(tblProductos[Categoría],ROW()-ROW(tblConteo[#Headers]))&amp;"")</f>
        <v/>
      </c>
      <c r="E444" s="43" t="str">
        <f>IF(tblConteo[[#This Row],[SKU]]="","",INDEX(tblProductos[Ubicación],ROW()-ROW(tblConteo[#Headers]))&amp;"")</f>
        <v/>
      </c>
      <c r="F444" s="43" t="str">
        <f>IF(tblConteo[[#This Row],[SKU]]="","",INDEX(tblProductos[Unidad],ROW()-ROW(tblConteo[#Headers]))&amp;"")</f>
        <v/>
      </c>
      <c r="G444" s="43" t="str">
        <f>IF(tblConteo[[#This Row],[SKU]]="","",IF(INDEX(tblProductos[Activo],ROW()-ROW(tblConteo[#Headers]))="NO","NO","SI"))</f>
        <v/>
      </c>
      <c r="H444" s="54" t="str">
        <f>IF(tblConteo[[#This Row],[SKU]]="","",IFERROR(N(INDEX(tblStock[StockActual],MATCH(tblConteo[[#This Row],[SKU]],tblStock[SKU],0))),0))</f>
        <v/>
      </c>
      <c r="I444" s="53"/>
      <c r="J444" s="60" t="str">
        <f>IF(OR(tblConteo[[#This Row],[SKU]]="",tblConteo[[#This Row],[Conteo]]=""),"",IF(ISNUMBER(tblConteo[[#This Row],[Conteo]]),tblConteo[[#This Row],[Conteo]]-N(tblConteo[[#This Row],[Sistema]]),""))</f>
        <v/>
      </c>
      <c r="K444" s="63" t="str">
        <f>IF(tblConteo[[#This Row],[Diferencia]]="","",tblConteo[[#This Row],[Diferencia]]*N(INDEX(tblProductos[CostoUnitario],ROW()-ROW(tblConteo[#Headers]))))</f>
        <v/>
      </c>
      <c r="L44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5" spans="2:13" x14ac:dyDescent="0.25">
      <c r="B445" s="43" t="str">
        <f>IF(INDEX(tblProductos[SKU],ROW()-ROW(tblConteo[#Headers]))="","",INDEX(tblProductos[SKU],ROW()-ROW(tblConteo[#Headers])))</f>
        <v/>
      </c>
      <c r="C445" s="50" t="str">
        <f>IF(tblConteo[[#This Row],[SKU]]="","",INDEX(tblProductos[Producto],ROW()-ROW(tblConteo[#Headers])))</f>
        <v/>
      </c>
      <c r="D445" s="50" t="str">
        <f>IF(tblConteo[[#This Row],[SKU]]="","",INDEX(tblProductos[Categoría],ROW()-ROW(tblConteo[#Headers]))&amp;"")</f>
        <v/>
      </c>
      <c r="E445" s="43" t="str">
        <f>IF(tblConteo[[#This Row],[SKU]]="","",INDEX(tblProductos[Ubicación],ROW()-ROW(tblConteo[#Headers]))&amp;"")</f>
        <v/>
      </c>
      <c r="F445" s="43" t="str">
        <f>IF(tblConteo[[#This Row],[SKU]]="","",INDEX(tblProductos[Unidad],ROW()-ROW(tblConteo[#Headers]))&amp;"")</f>
        <v/>
      </c>
      <c r="G445" s="43" t="str">
        <f>IF(tblConteo[[#This Row],[SKU]]="","",IF(INDEX(tblProductos[Activo],ROW()-ROW(tblConteo[#Headers]))="NO","NO","SI"))</f>
        <v/>
      </c>
      <c r="H445" s="54" t="str">
        <f>IF(tblConteo[[#This Row],[SKU]]="","",IFERROR(N(INDEX(tblStock[StockActual],MATCH(tblConteo[[#This Row],[SKU]],tblStock[SKU],0))),0))</f>
        <v/>
      </c>
      <c r="I445" s="53"/>
      <c r="J445" s="60" t="str">
        <f>IF(OR(tblConteo[[#This Row],[SKU]]="",tblConteo[[#This Row],[Conteo]]=""),"",IF(ISNUMBER(tblConteo[[#This Row],[Conteo]]),tblConteo[[#This Row],[Conteo]]-N(tblConteo[[#This Row],[Sistema]]),""))</f>
        <v/>
      </c>
      <c r="K445" s="63" t="str">
        <f>IF(tblConteo[[#This Row],[Diferencia]]="","",tblConteo[[#This Row],[Diferencia]]*N(INDEX(tblProductos[CostoUnitario],ROW()-ROW(tblConteo[#Headers]))))</f>
        <v/>
      </c>
      <c r="L44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6" spans="2:13" x14ac:dyDescent="0.25">
      <c r="B446" s="43" t="str">
        <f>IF(INDEX(tblProductos[SKU],ROW()-ROW(tblConteo[#Headers]))="","",INDEX(tblProductos[SKU],ROW()-ROW(tblConteo[#Headers])))</f>
        <v/>
      </c>
      <c r="C446" s="50" t="str">
        <f>IF(tblConteo[[#This Row],[SKU]]="","",INDEX(tblProductos[Producto],ROW()-ROW(tblConteo[#Headers])))</f>
        <v/>
      </c>
      <c r="D446" s="50" t="str">
        <f>IF(tblConteo[[#This Row],[SKU]]="","",INDEX(tblProductos[Categoría],ROW()-ROW(tblConteo[#Headers]))&amp;"")</f>
        <v/>
      </c>
      <c r="E446" s="43" t="str">
        <f>IF(tblConteo[[#This Row],[SKU]]="","",INDEX(tblProductos[Ubicación],ROW()-ROW(tblConteo[#Headers]))&amp;"")</f>
        <v/>
      </c>
      <c r="F446" s="43" t="str">
        <f>IF(tblConteo[[#This Row],[SKU]]="","",INDEX(tblProductos[Unidad],ROW()-ROW(tblConteo[#Headers]))&amp;"")</f>
        <v/>
      </c>
      <c r="G446" s="43" t="str">
        <f>IF(tblConteo[[#This Row],[SKU]]="","",IF(INDEX(tblProductos[Activo],ROW()-ROW(tblConteo[#Headers]))="NO","NO","SI"))</f>
        <v/>
      </c>
      <c r="H446" s="54" t="str">
        <f>IF(tblConteo[[#This Row],[SKU]]="","",IFERROR(N(INDEX(tblStock[StockActual],MATCH(tblConteo[[#This Row],[SKU]],tblStock[SKU],0))),0))</f>
        <v/>
      </c>
      <c r="I446" s="53"/>
      <c r="J446" s="60" t="str">
        <f>IF(OR(tblConteo[[#This Row],[SKU]]="",tblConteo[[#This Row],[Conteo]]=""),"",IF(ISNUMBER(tblConteo[[#This Row],[Conteo]]),tblConteo[[#This Row],[Conteo]]-N(tblConteo[[#This Row],[Sistema]]),""))</f>
        <v/>
      </c>
      <c r="K446" s="63" t="str">
        <f>IF(tblConteo[[#This Row],[Diferencia]]="","",tblConteo[[#This Row],[Diferencia]]*N(INDEX(tblProductos[CostoUnitario],ROW()-ROW(tblConteo[#Headers]))))</f>
        <v/>
      </c>
      <c r="L44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7" spans="2:13" x14ac:dyDescent="0.25">
      <c r="B447" s="43" t="str">
        <f>IF(INDEX(tblProductos[SKU],ROW()-ROW(tblConteo[#Headers]))="","",INDEX(tblProductos[SKU],ROW()-ROW(tblConteo[#Headers])))</f>
        <v/>
      </c>
      <c r="C447" s="50" t="str">
        <f>IF(tblConteo[[#This Row],[SKU]]="","",INDEX(tblProductos[Producto],ROW()-ROW(tblConteo[#Headers])))</f>
        <v/>
      </c>
      <c r="D447" s="50" t="str">
        <f>IF(tblConteo[[#This Row],[SKU]]="","",INDEX(tblProductos[Categoría],ROW()-ROW(tblConteo[#Headers]))&amp;"")</f>
        <v/>
      </c>
      <c r="E447" s="43" t="str">
        <f>IF(tblConteo[[#This Row],[SKU]]="","",INDEX(tblProductos[Ubicación],ROW()-ROW(tblConteo[#Headers]))&amp;"")</f>
        <v/>
      </c>
      <c r="F447" s="43" t="str">
        <f>IF(tblConteo[[#This Row],[SKU]]="","",INDEX(tblProductos[Unidad],ROW()-ROW(tblConteo[#Headers]))&amp;"")</f>
        <v/>
      </c>
      <c r="G447" s="43" t="str">
        <f>IF(tblConteo[[#This Row],[SKU]]="","",IF(INDEX(tblProductos[Activo],ROW()-ROW(tblConteo[#Headers]))="NO","NO","SI"))</f>
        <v/>
      </c>
      <c r="H447" s="54" t="str">
        <f>IF(tblConteo[[#This Row],[SKU]]="","",IFERROR(N(INDEX(tblStock[StockActual],MATCH(tblConteo[[#This Row],[SKU]],tblStock[SKU],0))),0))</f>
        <v/>
      </c>
      <c r="I447" s="53"/>
      <c r="J447" s="60" t="str">
        <f>IF(OR(tblConteo[[#This Row],[SKU]]="",tblConteo[[#This Row],[Conteo]]=""),"",IF(ISNUMBER(tblConteo[[#This Row],[Conteo]]),tblConteo[[#This Row],[Conteo]]-N(tblConteo[[#This Row],[Sistema]]),""))</f>
        <v/>
      </c>
      <c r="K447" s="63" t="str">
        <f>IF(tblConteo[[#This Row],[Diferencia]]="","",tblConteo[[#This Row],[Diferencia]]*N(INDEX(tblProductos[CostoUnitario],ROW()-ROW(tblConteo[#Headers]))))</f>
        <v/>
      </c>
      <c r="L44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8" spans="2:13" x14ac:dyDescent="0.25">
      <c r="B448" s="43" t="str">
        <f>IF(INDEX(tblProductos[SKU],ROW()-ROW(tblConteo[#Headers]))="","",INDEX(tblProductos[SKU],ROW()-ROW(tblConteo[#Headers])))</f>
        <v/>
      </c>
      <c r="C448" s="50" t="str">
        <f>IF(tblConteo[[#This Row],[SKU]]="","",INDEX(tblProductos[Producto],ROW()-ROW(tblConteo[#Headers])))</f>
        <v/>
      </c>
      <c r="D448" s="50" t="str">
        <f>IF(tblConteo[[#This Row],[SKU]]="","",INDEX(tblProductos[Categoría],ROW()-ROW(tblConteo[#Headers]))&amp;"")</f>
        <v/>
      </c>
      <c r="E448" s="43" t="str">
        <f>IF(tblConteo[[#This Row],[SKU]]="","",INDEX(tblProductos[Ubicación],ROW()-ROW(tblConteo[#Headers]))&amp;"")</f>
        <v/>
      </c>
      <c r="F448" s="43" t="str">
        <f>IF(tblConteo[[#This Row],[SKU]]="","",INDEX(tblProductos[Unidad],ROW()-ROW(tblConteo[#Headers]))&amp;"")</f>
        <v/>
      </c>
      <c r="G448" s="43" t="str">
        <f>IF(tblConteo[[#This Row],[SKU]]="","",IF(INDEX(tblProductos[Activo],ROW()-ROW(tblConteo[#Headers]))="NO","NO","SI"))</f>
        <v/>
      </c>
      <c r="H448" s="54" t="str">
        <f>IF(tblConteo[[#This Row],[SKU]]="","",IFERROR(N(INDEX(tblStock[StockActual],MATCH(tblConteo[[#This Row],[SKU]],tblStock[SKU],0))),0))</f>
        <v/>
      </c>
      <c r="I448" s="53"/>
      <c r="J448" s="60" t="str">
        <f>IF(OR(tblConteo[[#This Row],[SKU]]="",tblConteo[[#This Row],[Conteo]]=""),"",IF(ISNUMBER(tblConteo[[#This Row],[Conteo]]),tblConteo[[#This Row],[Conteo]]-N(tblConteo[[#This Row],[Sistema]]),""))</f>
        <v/>
      </c>
      <c r="K448" s="63" t="str">
        <f>IF(tblConteo[[#This Row],[Diferencia]]="","",tblConteo[[#This Row],[Diferencia]]*N(INDEX(tblProductos[CostoUnitario],ROW()-ROW(tblConteo[#Headers]))))</f>
        <v/>
      </c>
      <c r="L44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49" spans="2:13" x14ac:dyDescent="0.25">
      <c r="B449" s="43" t="str">
        <f>IF(INDEX(tblProductos[SKU],ROW()-ROW(tblConteo[#Headers]))="","",INDEX(tblProductos[SKU],ROW()-ROW(tblConteo[#Headers])))</f>
        <v/>
      </c>
      <c r="C449" s="50" t="str">
        <f>IF(tblConteo[[#This Row],[SKU]]="","",INDEX(tblProductos[Producto],ROW()-ROW(tblConteo[#Headers])))</f>
        <v/>
      </c>
      <c r="D449" s="50" t="str">
        <f>IF(tblConteo[[#This Row],[SKU]]="","",INDEX(tblProductos[Categoría],ROW()-ROW(tblConteo[#Headers]))&amp;"")</f>
        <v/>
      </c>
      <c r="E449" s="43" t="str">
        <f>IF(tblConteo[[#This Row],[SKU]]="","",INDEX(tblProductos[Ubicación],ROW()-ROW(tblConteo[#Headers]))&amp;"")</f>
        <v/>
      </c>
      <c r="F449" s="43" t="str">
        <f>IF(tblConteo[[#This Row],[SKU]]="","",INDEX(tblProductos[Unidad],ROW()-ROW(tblConteo[#Headers]))&amp;"")</f>
        <v/>
      </c>
      <c r="G449" s="43" t="str">
        <f>IF(tblConteo[[#This Row],[SKU]]="","",IF(INDEX(tblProductos[Activo],ROW()-ROW(tblConteo[#Headers]))="NO","NO","SI"))</f>
        <v/>
      </c>
      <c r="H449" s="54" t="str">
        <f>IF(tblConteo[[#This Row],[SKU]]="","",IFERROR(N(INDEX(tblStock[StockActual],MATCH(tblConteo[[#This Row],[SKU]],tblStock[SKU],0))),0))</f>
        <v/>
      </c>
      <c r="I449" s="53"/>
      <c r="J449" s="60" t="str">
        <f>IF(OR(tblConteo[[#This Row],[SKU]]="",tblConteo[[#This Row],[Conteo]]=""),"",IF(ISNUMBER(tblConteo[[#This Row],[Conteo]]),tblConteo[[#This Row],[Conteo]]-N(tblConteo[[#This Row],[Sistema]]),""))</f>
        <v/>
      </c>
      <c r="K449" s="63" t="str">
        <f>IF(tblConteo[[#This Row],[Diferencia]]="","",tblConteo[[#This Row],[Diferencia]]*N(INDEX(tblProductos[CostoUnitario],ROW()-ROW(tblConteo[#Headers]))))</f>
        <v/>
      </c>
      <c r="L44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4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0" spans="2:13" x14ac:dyDescent="0.25">
      <c r="B450" s="43" t="str">
        <f>IF(INDEX(tblProductos[SKU],ROW()-ROW(tblConteo[#Headers]))="","",INDEX(tblProductos[SKU],ROW()-ROW(tblConteo[#Headers])))</f>
        <v/>
      </c>
      <c r="C450" s="50" t="str">
        <f>IF(tblConteo[[#This Row],[SKU]]="","",INDEX(tblProductos[Producto],ROW()-ROW(tblConteo[#Headers])))</f>
        <v/>
      </c>
      <c r="D450" s="50" t="str">
        <f>IF(tblConteo[[#This Row],[SKU]]="","",INDEX(tblProductos[Categoría],ROW()-ROW(tblConteo[#Headers]))&amp;"")</f>
        <v/>
      </c>
      <c r="E450" s="43" t="str">
        <f>IF(tblConteo[[#This Row],[SKU]]="","",INDEX(tblProductos[Ubicación],ROW()-ROW(tblConteo[#Headers]))&amp;"")</f>
        <v/>
      </c>
      <c r="F450" s="43" t="str">
        <f>IF(tblConteo[[#This Row],[SKU]]="","",INDEX(tblProductos[Unidad],ROW()-ROW(tblConteo[#Headers]))&amp;"")</f>
        <v/>
      </c>
      <c r="G450" s="43" t="str">
        <f>IF(tblConteo[[#This Row],[SKU]]="","",IF(INDEX(tblProductos[Activo],ROW()-ROW(tblConteo[#Headers]))="NO","NO","SI"))</f>
        <v/>
      </c>
      <c r="H450" s="54" t="str">
        <f>IF(tblConteo[[#This Row],[SKU]]="","",IFERROR(N(INDEX(tblStock[StockActual],MATCH(tblConteo[[#This Row],[SKU]],tblStock[SKU],0))),0))</f>
        <v/>
      </c>
      <c r="I450" s="53"/>
      <c r="J450" s="60" t="str">
        <f>IF(OR(tblConteo[[#This Row],[SKU]]="",tblConteo[[#This Row],[Conteo]]=""),"",IF(ISNUMBER(tblConteo[[#This Row],[Conteo]]),tblConteo[[#This Row],[Conteo]]-N(tblConteo[[#This Row],[Sistema]]),""))</f>
        <v/>
      </c>
      <c r="K450" s="63" t="str">
        <f>IF(tblConteo[[#This Row],[Diferencia]]="","",tblConteo[[#This Row],[Diferencia]]*N(INDEX(tblProductos[CostoUnitario],ROW()-ROW(tblConteo[#Headers]))))</f>
        <v/>
      </c>
      <c r="L45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1" spans="2:13" x14ac:dyDescent="0.25">
      <c r="B451" s="43" t="str">
        <f>IF(INDEX(tblProductos[SKU],ROW()-ROW(tblConteo[#Headers]))="","",INDEX(tblProductos[SKU],ROW()-ROW(tblConteo[#Headers])))</f>
        <v/>
      </c>
      <c r="C451" s="50" t="str">
        <f>IF(tblConteo[[#This Row],[SKU]]="","",INDEX(tblProductos[Producto],ROW()-ROW(tblConteo[#Headers])))</f>
        <v/>
      </c>
      <c r="D451" s="50" t="str">
        <f>IF(tblConteo[[#This Row],[SKU]]="","",INDEX(tblProductos[Categoría],ROW()-ROW(tblConteo[#Headers]))&amp;"")</f>
        <v/>
      </c>
      <c r="E451" s="43" t="str">
        <f>IF(tblConteo[[#This Row],[SKU]]="","",INDEX(tblProductos[Ubicación],ROW()-ROW(tblConteo[#Headers]))&amp;"")</f>
        <v/>
      </c>
      <c r="F451" s="43" t="str">
        <f>IF(tblConteo[[#This Row],[SKU]]="","",INDEX(tblProductos[Unidad],ROW()-ROW(tblConteo[#Headers]))&amp;"")</f>
        <v/>
      </c>
      <c r="G451" s="43" t="str">
        <f>IF(tblConteo[[#This Row],[SKU]]="","",IF(INDEX(tblProductos[Activo],ROW()-ROW(tblConteo[#Headers]))="NO","NO","SI"))</f>
        <v/>
      </c>
      <c r="H451" s="54" t="str">
        <f>IF(tblConteo[[#This Row],[SKU]]="","",IFERROR(N(INDEX(tblStock[StockActual],MATCH(tblConteo[[#This Row],[SKU]],tblStock[SKU],0))),0))</f>
        <v/>
      </c>
      <c r="I451" s="53"/>
      <c r="J451" s="60" t="str">
        <f>IF(OR(tblConteo[[#This Row],[SKU]]="",tblConteo[[#This Row],[Conteo]]=""),"",IF(ISNUMBER(tblConteo[[#This Row],[Conteo]]),tblConteo[[#This Row],[Conteo]]-N(tblConteo[[#This Row],[Sistema]]),""))</f>
        <v/>
      </c>
      <c r="K451" s="63" t="str">
        <f>IF(tblConteo[[#This Row],[Diferencia]]="","",tblConteo[[#This Row],[Diferencia]]*N(INDEX(tblProductos[CostoUnitario],ROW()-ROW(tblConteo[#Headers]))))</f>
        <v/>
      </c>
      <c r="L45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2" spans="2:13" x14ac:dyDescent="0.25">
      <c r="B452" s="43" t="str">
        <f>IF(INDEX(tblProductos[SKU],ROW()-ROW(tblConteo[#Headers]))="","",INDEX(tblProductos[SKU],ROW()-ROW(tblConteo[#Headers])))</f>
        <v/>
      </c>
      <c r="C452" s="50" t="str">
        <f>IF(tblConteo[[#This Row],[SKU]]="","",INDEX(tblProductos[Producto],ROW()-ROW(tblConteo[#Headers])))</f>
        <v/>
      </c>
      <c r="D452" s="50" t="str">
        <f>IF(tblConteo[[#This Row],[SKU]]="","",INDEX(tblProductos[Categoría],ROW()-ROW(tblConteo[#Headers]))&amp;"")</f>
        <v/>
      </c>
      <c r="E452" s="43" t="str">
        <f>IF(tblConteo[[#This Row],[SKU]]="","",INDEX(tblProductos[Ubicación],ROW()-ROW(tblConteo[#Headers]))&amp;"")</f>
        <v/>
      </c>
      <c r="F452" s="43" t="str">
        <f>IF(tblConteo[[#This Row],[SKU]]="","",INDEX(tblProductos[Unidad],ROW()-ROW(tblConteo[#Headers]))&amp;"")</f>
        <v/>
      </c>
      <c r="G452" s="43" t="str">
        <f>IF(tblConteo[[#This Row],[SKU]]="","",IF(INDEX(tblProductos[Activo],ROW()-ROW(tblConteo[#Headers]))="NO","NO","SI"))</f>
        <v/>
      </c>
      <c r="H452" s="54" t="str">
        <f>IF(tblConteo[[#This Row],[SKU]]="","",IFERROR(N(INDEX(tblStock[StockActual],MATCH(tblConteo[[#This Row],[SKU]],tblStock[SKU],0))),0))</f>
        <v/>
      </c>
      <c r="I452" s="53"/>
      <c r="J452" s="60" t="str">
        <f>IF(OR(tblConteo[[#This Row],[SKU]]="",tblConteo[[#This Row],[Conteo]]=""),"",IF(ISNUMBER(tblConteo[[#This Row],[Conteo]]),tblConteo[[#This Row],[Conteo]]-N(tblConteo[[#This Row],[Sistema]]),""))</f>
        <v/>
      </c>
      <c r="K452" s="63" t="str">
        <f>IF(tblConteo[[#This Row],[Diferencia]]="","",tblConteo[[#This Row],[Diferencia]]*N(INDEX(tblProductos[CostoUnitario],ROW()-ROW(tblConteo[#Headers]))))</f>
        <v/>
      </c>
      <c r="L45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3" spans="2:13" x14ac:dyDescent="0.25">
      <c r="B453" s="43" t="str">
        <f>IF(INDEX(tblProductos[SKU],ROW()-ROW(tblConteo[#Headers]))="","",INDEX(tblProductos[SKU],ROW()-ROW(tblConteo[#Headers])))</f>
        <v/>
      </c>
      <c r="C453" s="50" t="str">
        <f>IF(tblConteo[[#This Row],[SKU]]="","",INDEX(tblProductos[Producto],ROW()-ROW(tblConteo[#Headers])))</f>
        <v/>
      </c>
      <c r="D453" s="50" t="str">
        <f>IF(tblConteo[[#This Row],[SKU]]="","",INDEX(tblProductos[Categoría],ROW()-ROW(tblConteo[#Headers]))&amp;"")</f>
        <v/>
      </c>
      <c r="E453" s="43" t="str">
        <f>IF(tblConteo[[#This Row],[SKU]]="","",INDEX(tblProductos[Ubicación],ROW()-ROW(tblConteo[#Headers]))&amp;"")</f>
        <v/>
      </c>
      <c r="F453" s="43" t="str">
        <f>IF(tblConteo[[#This Row],[SKU]]="","",INDEX(tblProductos[Unidad],ROW()-ROW(tblConteo[#Headers]))&amp;"")</f>
        <v/>
      </c>
      <c r="G453" s="43" t="str">
        <f>IF(tblConteo[[#This Row],[SKU]]="","",IF(INDEX(tblProductos[Activo],ROW()-ROW(tblConteo[#Headers]))="NO","NO","SI"))</f>
        <v/>
      </c>
      <c r="H453" s="54" t="str">
        <f>IF(tblConteo[[#This Row],[SKU]]="","",IFERROR(N(INDEX(tblStock[StockActual],MATCH(tblConteo[[#This Row],[SKU]],tblStock[SKU],0))),0))</f>
        <v/>
      </c>
      <c r="I453" s="53"/>
      <c r="J453" s="60" t="str">
        <f>IF(OR(tblConteo[[#This Row],[SKU]]="",tblConteo[[#This Row],[Conteo]]=""),"",IF(ISNUMBER(tblConteo[[#This Row],[Conteo]]),tblConteo[[#This Row],[Conteo]]-N(tblConteo[[#This Row],[Sistema]]),""))</f>
        <v/>
      </c>
      <c r="K453" s="63" t="str">
        <f>IF(tblConteo[[#This Row],[Diferencia]]="","",tblConteo[[#This Row],[Diferencia]]*N(INDEX(tblProductos[CostoUnitario],ROW()-ROW(tblConteo[#Headers]))))</f>
        <v/>
      </c>
      <c r="L45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4" spans="2:13" x14ac:dyDescent="0.25">
      <c r="B454" s="43" t="str">
        <f>IF(INDEX(tblProductos[SKU],ROW()-ROW(tblConteo[#Headers]))="","",INDEX(tblProductos[SKU],ROW()-ROW(tblConteo[#Headers])))</f>
        <v/>
      </c>
      <c r="C454" s="50" t="str">
        <f>IF(tblConteo[[#This Row],[SKU]]="","",INDEX(tblProductos[Producto],ROW()-ROW(tblConteo[#Headers])))</f>
        <v/>
      </c>
      <c r="D454" s="50" t="str">
        <f>IF(tblConteo[[#This Row],[SKU]]="","",INDEX(tblProductos[Categoría],ROW()-ROW(tblConteo[#Headers]))&amp;"")</f>
        <v/>
      </c>
      <c r="E454" s="43" t="str">
        <f>IF(tblConteo[[#This Row],[SKU]]="","",INDEX(tblProductos[Ubicación],ROW()-ROW(tblConteo[#Headers]))&amp;"")</f>
        <v/>
      </c>
      <c r="F454" s="43" t="str">
        <f>IF(tblConteo[[#This Row],[SKU]]="","",INDEX(tblProductos[Unidad],ROW()-ROW(tblConteo[#Headers]))&amp;"")</f>
        <v/>
      </c>
      <c r="G454" s="43" t="str">
        <f>IF(tblConteo[[#This Row],[SKU]]="","",IF(INDEX(tblProductos[Activo],ROW()-ROW(tblConteo[#Headers]))="NO","NO","SI"))</f>
        <v/>
      </c>
      <c r="H454" s="54" t="str">
        <f>IF(tblConteo[[#This Row],[SKU]]="","",IFERROR(N(INDEX(tblStock[StockActual],MATCH(tblConteo[[#This Row],[SKU]],tblStock[SKU],0))),0))</f>
        <v/>
      </c>
      <c r="I454" s="53"/>
      <c r="J454" s="60" t="str">
        <f>IF(OR(tblConteo[[#This Row],[SKU]]="",tblConteo[[#This Row],[Conteo]]=""),"",IF(ISNUMBER(tblConteo[[#This Row],[Conteo]]),tblConteo[[#This Row],[Conteo]]-N(tblConteo[[#This Row],[Sistema]]),""))</f>
        <v/>
      </c>
      <c r="K454" s="63" t="str">
        <f>IF(tblConteo[[#This Row],[Diferencia]]="","",tblConteo[[#This Row],[Diferencia]]*N(INDEX(tblProductos[CostoUnitario],ROW()-ROW(tblConteo[#Headers]))))</f>
        <v/>
      </c>
      <c r="L45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5" spans="2:13" x14ac:dyDescent="0.25">
      <c r="B455" s="43" t="str">
        <f>IF(INDEX(tblProductos[SKU],ROW()-ROW(tblConteo[#Headers]))="","",INDEX(tblProductos[SKU],ROW()-ROW(tblConteo[#Headers])))</f>
        <v/>
      </c>
      <c r="C455" s="50" t="str">
        <f>IF(tblConteo[[#This Row],[SKU]]="","",INDEX(tblProductos[Producto],ROW()-ROW(tblConteo[#Headers])))</f>
        <v/>
      </c>
      <c r="D455" s="50" t="str">
        <f>IF(tblConteo[[#This Row],[SKU]]="","",INDEX(tblProductos[Categoría],ROW()-ROW(tblConteo[#Headers]))&amp;"")</f>
        <v/>
      </c>
      <c r="E455" s="43" t="str">
        <f>IF(tblConteo[[#This Row],[SKU]]="","",INDEX(tblProductos[Ubicación],ROW()-ROW(tblConteo[#Headers]))&amp;"")</f>
        <v/>
      </c>
      <c r="F455" s="43" t="str">
        <f>IF(tblConteo[[#This Row],[SKU]]="","",INDEX(tblProductos[Unidad],ROW()-ROW(tblConteo[#Headers]))&amp;"")</f>
        <v/>
      </c>
      <c r="G455" s="43" t="str">
        <f>IF(tblConteo[[#This Row],[SKU]]="","",IF(INDEX(tblProductos[Activo],ROW()-ROW(tblConteo[#Headers]))="NO","NO","SI"))</f>
        <v/>
      </c>
      <c r="H455" s="54" t="str">
        <f>IF(tblConteo[[#This Row],[SKU]]="","",IFERROR(N(INDEX(tblStock[StockActual],MATCH(tblConteo[[#This Row],[SKU]],tblStock[SKU],0))),0))</f>
        <v/>
      </c>
      <c r="I455" s="53"/>
      <c r="J455" s="60" t="str">
        <f>IF(OR(tblConteo[[#This Row],[SKU]]="",tblConteo[[#This Row],[Conteo]]=""),"",IF(ISNUMBER(tblConteo[[#This Row],[Conteo]]),tblConteo[[#This Row],[Conteo]]-N(tblConteo[[#This Row],[Sistema]]),""))</f>
        <v/>
      </c>
      <c r="K455" s="63" t="str">
        <f>IF(tblConteo[[#This Row],[Diferencia]]="","",tblConteo[[#This Row],[Diferencia]]*N(INDEX(tblProductos[CostoUnitario],ROW()-ROW(tblConteo[#Headers]))))</f>
        <v/>
      </c>
      <c r="L45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6" spans="2:13" x14ac:dyDescent="0.25">
      <c r="B456" s="43" t="str">
        <f>IF(INDEX(tblProductos[SKU],ROW()-ROW(tblConteo[#Headers]))="","",INDEX(tblProductos[SKU],ROW()-ROW(tblConteo[#Headers])))</f>
        <v/>
      </c>
      <c r="C456" s="50" t="str">
        <f>IF(tblConteo[[#This Row],[SKU]]="","",INDEX(tblProductos[Producto],ROW()-ROW(tblConteo[#Headers])))</f>
        <v/>
      </c>
      <c r="D456" s="50" t="str">
        <f>IF(tblConteo[[#This Row],[SKU]]="","",INDEX(tblProductos[Categoría],ROW()-ROW(tblConteo[#Headers]))&amp;"")</f>
        <v/>
      </c>
      <c r="E456" s="43" t="str">
        <f>IF(tblConteo[[#This Row],[SKU]]="","",INDEX(tblProductos[Ubicación],ROW()-ROW(tblConteo[#Headers]))&amp;"")</f>
        <v/>
      </c>
      <c r="F456" s="43" t="str">
        <f>IF(tblConteo[[#This Row],[SKU]]="","",INDEX(tblProductos[Unidad],ROW()-ROW(tblConteo[#Headers]))&amp;"")</f>
        <v/>
      </c>
      <c r="G456" s="43" t="str">
        <f>IF(tblConteo[[#This Row],[SKU]]="","",IF(INDEX(tblProductos[Activo],ROW()-ROW(tblConteo[#Headers]))="NO","NO","SI"))</f>
        <v/>
      </c>
      <c r="H456" s="54" t="str">
        <f>IF(tblConteo[[#This Row],[SKU]]="","",IFERROR(N(INDEX(tblStock[StockActual],MATCH(tblConteo[[#This Row],[SKU]],tblStock[SKU],0))),0))</f>
        <v/>
      </c>
      <c r="I456" s="53"/>
      <c r="J456" s="60" t="str">
        <f>IF(OR(tblConteo[[#This Row],[SKU]]="",tblConteo[[#This Row],[Conteo]]=""),"",IF(ISNUMBER(tblConteo[[#This Row],[Conteo]]),tblConteo[[#This Row],[Conteo]]-N(tblConteo[[#This Row],[Sistema]]),""))</f>
        <v/>
      </c>
      <c r="K456" s="63" t="str">
        <f>IF(tblConteo[[#This Row],[Diferencia]]="","",tblConteo[[#This Row],[Diferencia]]*N(INDEX(tblProductos[CostoUnitario],ROW()-ROW(tblConteo[#Headers]))))</f>
        <v/>
      </c>
      <c r="L45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7" spans="2:13" x14ac:dyDescent="0.25">
      <c r="B457" s="43" t="str">
        <f>IF(INDEX(tblProductos[SKU],ROW()-ROW(tblConteo[#Headers]))="","",INDEX(tblProductos[SKU],ROW()-ROW(tblConteo[#Headers])))</f>
        <v/>
      </c>
      <c r="C457" s="50" t="str">
        <f>IF(tblConteo[[#This Row],[SKU]]="","",INDEX(tblProductos[Producto],ROW()-ROW(tblConteo[#Headers])))</f>
        <v/>
      </c>
      <c r="D457" s="50" t="str">
        <f>IF(tblConteo[[#This Row],[SKU]]="","",INDEX(tblProductos[Categoría],ROW()-ROW(tblConteo[#Headers]))&amp;"")</f>
        <v/>
      </c>
      <c r="E457" s="43" t="str">
        <f>IF(tblConteo[[#This Row],[SKU]]="","",INDEX(tblProductos[Ubicación],ROW()-ROW(tblConteo[#Headers]))&amp;"")</f>
        <v/>
      </c>
      <c r="F457" s="43" t="str">
        <f>IF(tblConteo[[#This Row],[SKU]]="","",INDEX(tblProductos[Unidad],ROW()-ROW(tblConteo[#Headers]))&amp;"")</f>
        <v/>
      </c>
      <c r="G457" s="43" t="str">
        <f>IF(tblConteo[[#This Row],[SKU]]="","",IF(INDEX(tblProductos[Activo],ROW()-ROW(tblConteo[#Headers]))="NO","NO","SI"))</f>
        <v/>
      </c>
      <c r="H457" s="54" t="str">
        <f>IF(tblConteo[[#This Row],[SKU]]="","",IFERROR(N(INDEX(tblStock[StockActual],MATCH(tblConteo[[#This Row],[SKU]],tblStock[SKU],0))),0))</f>
        <v/>
      </c>
      <c r="I457" s="53"/>
      <c r="J457" s="60" t="str">
        <f>IF(OR(tblConteo[[#This Row],[SKU]]="",tblConteo[[#This Row],[Conteo]]=""),"",IF(ISNUMBER(tblConteo[[#This Row],[Conteo]]),tblConteo[[#This Row],[Conteo]]-N(tblConteo[[#This Row],[Sistema]]),""))</f>
        <v/>
      </c>
      <c r="K457" s="63" t="str">
        <f>IF(tblConteo[[#This Row],[Diferencia]]="","",tblConteo[[#This Row],[Diferencia]]*N(INDEX(tblProductos[CostoUnitario],ROW()-ROW(tblConteo[#Headers]))))</f>
        <v/>
      </c>
      <c r="L45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8" spans="2:13" x14ac:dyDescent="0.25">
      <c r="B458" s="43" t="str">
        <f>IF(INDEX(tblProductos[SKU],ROW()-ROW(tblConteo[#Headers]))="","",INDEX(tblProductos[SKU],ROW()-ROW(tblConteo[#Headers])))</f>
        <v/>
      </c>
      <c r="C458" s="50" t="str">
        <f>IF(tblConteo[[#This Row],[SKU]]="","",INDEX(tblProductos[Producto],ROW()-ROW(tblConteo[#Headers])))</f>
        <v/>
      </c>
      <c r="D458" s="50" t="str">
        <f>IF(tblConteo[[#This Row],[SKU]]="","",INDEX(tblProductos[Categoría],ROW()-ROW(tblConteo[#Headers]))&amp;"")</f>
        <v/>
      </c>
      <c r="E458" s="43" t="str">
        <f>IF(tblConteo[[#This Row],[SKU]]="","",INDEX(tblProductos[Ubicación],ROW()-ROW(tblConteo[#Headers]))&amp;"")</f>
        <v/>
      </c>
      <c r="F458" s="43" t="str">
        <f>IF(tblConteo[[#This Row],[SKU]]="","",INDEX(tblProductos[Unidad],ROW()-ROW(tblConteo[#Headers]))&amp;"")</f>
        <v/>
      </c>
      <c r="G458" s="43" t="str">
        <f>IF(tblConteo[[#This Row],[SKU]]="","",IF(INDEX(tblProductos[Activo],ROW()-ROW(tblConteo[#Headers]))="NO","NO","SI"))</f>
        <v/>
      </c>
      <c r="H458" s="54" t="str">
        <f>IF(tblConteo[[#This Row],[SKU]]="","",IFERROR(N(INDEX(tblStock[StockActual],MATCH(tblConteo[[#This Row],[SKU]],tblStock[SKU],0))),0))</f>
        <v/>
      </c>
      <c r="I458" s="53"/>
      <c r="J458" s="60" t="str">
        <f>IF(OR(tblConteo[[#This Row],[SKU]]="",tblConteo[[#This Row],[Conteo]]=""),"",IF(ISNUMBER(tblConteo[[#This Row],[Conteo]]),tblConteo[[#This Row],[Conteo]]-N(tblConteo[[#This Row],[Sistema]]),""))</f>
        <v/>
      </c>
      <c r="K458" s="63" t="str">
        <f>IF(tblConteo[[#This Row],[Diferencia]]="","",tblConteo[[#This Row],[Diferencia]]*N(INDEX(tblProductos[CostoUnitario],ROW()-ROW(tblConteo[#Headers]))))</f>
        <v/>
      </c>
      <c r="L45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59" spans="2:13" x14ac:dyDescent="0.25">
      <c r="B459" s="43" t="str">
        <f>IF(INDEX(tblProductos[SKU],ROW()-ROW(tblConteo[#Headers]))="","",INDEX(tblProductos[SKU],ROW()-ROW(tblConteo[#Headers])))</f>
        <v/>
      </c>
      <c r="C459" s="50" t="str">
        <f>IF(tblConteo[[#This Row],[SKU]]="","",INDEX(tblProductos[Producto],ROW()-ROW(tblConteo[#Headers])))</f>
        <v/>
      </c>
      <c r="D459" s="50" t="str">
        <f>IF(tblConteo[[#This Row],[SKU]]="","",INDEX(tblProductos[Categoría],ROW()-ROW(tblConteo[#Headers]))&amp;"")</f>
        <v/>
      </c>
      <c r="E459" s="43" t="str">
        <f>IF(tblConteo[[#This Row],[SKU]]="","",INDEX(tblProductos[Ubicación],ROW()-ROW(tblConteo[#Headers]))&amp;"")</f>
        <v/>
      </c>
      <c r="F459" s="43" t="str">
        <f>IF(tblConteo[[#This Row],[SKU]]="","",INDEX(tblProductos[Unidad],ROW()-ROW(tblConteo[#Headers]))&amp;"")</f>
        <v/>
      </c>
      <c r="G459" s="43" t="str">
        <f>IF(tblConteo[[#This Row],[SKU]]="","",IF(INDEX(tblProductos[Activo],ROW()-ROW(tblConteo[#Headers]))="NO","NO","SI"))</f>
        <v/>
      </c>
      <c r="H459" s="54" t="str">
        <f>IF(tblConteo[[#This Row],[SKU]]="","",IFERROR(N(INDEX(tblStock[StockActual],MATCH(tblConteo[[#This Row],[SKU]],tblStock[SKU],0))),0))</f>
        <v/>
      </c>
      <c r="I459" s="53"/>
      <c r="J459" s="60" t="str">
        <f>IF(OR(tblConteo[[#This Row],[SKU]]="",tblConteo[[#This Row],[Conteo]]=""),"",IF(ISNUMBER(tblConteo[[#This Row],[Conteo]]),tblConteo[[#This Row],[Conteo]]-N(tblConteo[[#This Row],[Sistema]]),""))</f>
        <v/>
      </c>
      <c r="K459" s="63" t="str">
        <f>IF(tblConteo[[#This Row],[Diferencia]]="","",tblConteo[[#This Row],[Diferencia]]*N(INDEX(tblProductos[CostoUnitario],ROW()-ROW(tblConteo[#Headers]))))</f>
        <v/>
      </c>
      <c r="L45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5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0" spans="2:13" x14ac:dyDescent="0.25">
      <c r="B460" s="43" t="str">
        <f>IF(INDEX(tblProductos[SKU],ROW()-ROW(tblConteo[#Headers]))="","",INDEX(tblProductos[SKU],ROW()-ROW(tblConteo[#Headers])))</f>
        <v/>
      </c>
      <c r="C460" s="50" t="str">
        <f>IF(tblConteo[[#This Row],[SKU]]="","",INDEX(tblProductos[Producto],ROW()-ROW(tblConteo[#Headers])))</f>
        <v/>
      </c>
      <c r="D460" s="50" t="str">
        <f>IF(tblConteo[[#This Row],[SKU]]="","",INDEX(tblProductos[Categoría],ROW()-ROW(tblConteo[#Headers]))&amp;"")</f>
        <v/>
      </c>
      <c r="E460" s="43" t="str">
        <f>IF(tblConteo[[#This Row],[SKU]]="","",INDEX(tblProductos[Ubicación],ROW()-ROW(tblConteo[#Headers]))&amp;"")</f>
        <v/>
      </c>
      <c r="F460" s="43" t="str">
        <f>IF(tblConteo[[#This Row],[SKU]]="","",INDEX(tblProductos[Unidad],ROW()-ROW(tblConteo[#Headers]))&amp;"")</f>
        <v/>
      </c>
      <c r="G460" s="43" t="str">
        <f>IF(tblConteo[[#This Row],[SKU]]="","",IF(INDEX(tblProductos[Activo],ROW()-ROW(tblConteo[#Headers]))="NO","NO","SI"))</f>
        <v/>
      </c>
      <c r="H460" s="54" t="str">
        <f>IF(tblConteo[[#This Row],[SKU]]="","",IFERROR(N(INDEX(tblStock[StockActual],MATCH(tblConteo[[#This Row],[SKU]],tblStock[SKU],0))),0))</f>
        <v/>
      </c>
      <c r="I460" s="53"/>
      <c r="J460" s="60" t="str">
        <f>IF(OR(tblConteo[[#This Row],[SKU]]="",tblConteo[[#This Row],[Conteo]]=""),"",IF(ISNUMBER(tblConteo[[#This Row],[Conteo]]),tblConteo[[#This Row],[Conteo]]-N(tblConteo[[#This Row],[Sistema]]),""))</f>
        <v/>
      </c>
      <c r="K460" s="63" t="str">
        <f>IF(tblConteo[[#This Row],[Diferencia]]="","",tblConteo[[#This Row],[Diferencia]]*N(INDEX(tblProductos[CostoUnitario],ROW()-ROW(tblConteo[#Headers]))))</f>
        <v/>
      </c>
      <c r="L46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1" spans="2:13" x14ac:dyDescent="0.25">
      <c r="B461" s="43" t="str">
        <f>IF(INDEX(tblProductos[SKU],ROW()-ROW(tblConteo[#Headers]))="","",INDEX(tblProductos[SKU],ROW()-ROW(tblConteo[#Headers])))</f>
        <v/>
      </c>
      <c r="C461" s="50" t="str">
        <f>IF(tblConteo[[#This Row],[SKU]]="","",INDEX(tblProductos[Producto],ROW()-ROW(tblConteo[#Headers])))</f>
        <v/>
      </c>
      <c r="D461" s="50" t="str">
        <f>IF(tblConteo[[#This Row],[SKU]]="","",INDEX(tblProductos[Categoría],ROW()-ROW(tblConteo[#Headers]))&amp;"")</f>
        <v/>
      </c>
      <c r="E461" s="43" t="str">
        <f>IF(tblConteo[[#This Row],[SKU]]="","",INDEX(tblProductos[Ubicación],ROW()-ROW(tblConteo[#Headers]))&amp;"")</f>
        <v/>
      </c>
      <c r="F461" s="43" t="str">
        <f>IF(tblConteo[[#This Row],[SKU]]="","",INDEX(tblProductos[Unidad],ROW()-ROW(tblConteo[#Headers]))&amp;"")</f>
        <v/>
      </c>
      <c r="G461" s="43" t="str">
        <f>IF(tblConteo[[#This Row],[SKU]]="","",IF(INDEX(tblProductos[Activo],ROW()-ROW(tblConteo[#Headers]))="NO","NO","SI"))</f>
        <v/>
      </c>
      <c r="H461" s="54" t="str">
        <f>IF(tblConteo[[#This Row],[SKU]]="","",IFERROR(N(INDEX(tblStock[StockActual],MATCH(tblConteo[[#This Row],[SKU]],tblStock[SKU],0))),0))</f>
        <v/>
      </c>
      <c r="I461" s="53"/>
      <c r="J461" s="60" t="str">
        <f>IF(OR(tblConteo[[#This Row],[SKU]]="",tblConteo[[#This Row],[Conteo]]=""),"",IF(ISNUMBER(tblConteo[[#This Row],[Conteo]]),tblConteo[[#This Row],[Conteo]]-N(tblConteo[[#This Row],[Sistema]]),""))</f>
        <v/>
      </c>
      <c r="K461" s="63" t="str">
        <f>IF(tblConteo[[#This Row],[Diferencia]]="","",tblConteo[[#This Row],[Diferencia]]*N(INDEX(tblProductos[CostoUnitario],ROW()-ROW(tblConteo[#Headers]))))</f>
        <v/>
      </c>
      <c r="L46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2" spans="2:13" x14ac:dyDescent="0.25">
      <c r="B462" s="43" t="str">
        <f>IF(INDEX(tblProductos[SKU],ROW()-ROW(tblConteo[#Headers]))="","",INDEX(tblProductos[SKU],ROW()-ROW(tblConteo[#Headers])))</f>
        <v/>
      </c>
      <c r="C462" s="50" t="str">
        <f>IF(tblConteo[[#This Row],[SKU]]="","",INDEX(tblProductos[Producto],ROW()-ROW(tblConteo[#Headers])))</f>
        <v/>
      </c>
      <c r="D462" s="50" t="str">
        <f>IF(tblConteo[[#This Row],[SKU]]="","",INDEX(tblProductos[Categoría],ROW()-ROW(tblConteo[#Headers]))&amp;"")</f>
        <v/>
      </c>
      <c r="E462" s="43" t="str">
        <f>IF(tblConteo[[#This Row],[SKU]]="","",INDEX(tblProductos[Ubicación],ROW()-ROW(tblConteo[#Headers]))&amp;"")</f>
        <v/>
      </c>
      <c r="F462" s="43" t="str">
        <f>IF(tblConteo[[#This Row],[SKU]]="","",INDEX(tblProductos[Unidad],ROW()-ROW(tblConteo[#Headers]))&amp;"")</f>
        <v/>
      </c>
      <c r="G462" s="43" t="str">
        <f>IF(tblConteo[[#This Row],[SKU]]="","",IF(INDEX(tblProductos[Activo],ROW()-ROW(tblConteo[#Headers]))="NO","NO","SI"))</f>
        <v/>
      </c>
      <c r="H462" s="54" t="str">
        <f>IF(tblConteo[[#This Row],[SKU]]="","",IFERROR(N(INDEX(tblStock[StockActual],MATCH(tblConteo[[#This Row],[SKU]],tblStock[SKU],0))),0))</f>
        <v/>
      </c>
      <c r="I462" s="53"/>
      <c r="J462" s="60" t="str">
        <f>IF(OR(tblConteo[[#This Row],[SKU]]="",tblConteo[[#This Row],[Conteo]]=""),"",IF(ISNUMBER(tblConteo[[#This Row],[Conteo]]),tblConteo[[#This Row],[Conteo]]-N(tblConteo[[#This Row],[Sistema]]),""))</f>
        <v/>
      </c>
      <c r="K462" s="63" t="str">
        <f>IF(tblConteo[[#This Row],[Diferencia]]="","",tblConteo[[#This Row],[Diferencia]]*N(INDEX(tblProductos[CostoUnitario],ROW()-ROW(tblConteo[#Headers]))))</f>
        <v/>
      </c>
      <c r="L46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3" spans="2:13" x14ac:dyDescent="0.25">
      <c r="B463" s="43" t="str">
        <f>IF(INDEX(tblProductos[SKU],ROW()-ROW(tblConteo[#Headers]))="","",INDEX(tblProductos[SKU],ROW()-ROW(tblConteo[#Headers])))</f>
        <v/>
      </c>
      <c r="C463" s="50" t="str">
        <f>IF(tblConteo[[#This Row],[SKU]]="","",INDEX(tblProductos[Producto],ROW()-ROW(tblConteo[#Headers])))</f>
        <v/>
      </c>
      <c r="D463" s="50" t="str">
        <f>IF(tblConteo[[#This Row],[SKU]]="","",INDEX(tblProductos[Categoría],ROW()-ROW(tblConteo[#Headers]))&amp;"")</f>
        <v/>
      </c>
      <c r="E463" s="43" t="str">
        <f>IF(tblConteo[[#This Row],[SKU]]="","",INDEX(tblProductos[Ubicación],ROW()-ROW(tblConteo[#Headers]))&amp;"")</f>
        <v/>
      </c>
      <c r="F463" s="43" t="str">
        <f>IF(tblConteo[[#This Row],[SKU]]="","",INDEX(tblProductos[Unidad],ROW()-ROW(tblConteo[#Headers]))&amp;"")</f>
        <v/>
      </c>
      <c r="G463" s="43" t="str">
        <f>IF(tblConteo[[#This Row],[SKU]]="","",IF(INDEX(tblProductos[Activo],ROW()-ROW(tblConteo[#Headers]))="NO","NO","SI"))</f>
        <v/>
      </c>
      <c r="H463" s="54" t="str">
        <f>IF(tblConteo[[#This Row],[SKU]]="","",IFERROR(N(INDEX(tblStock[StockActual],MATCH(tblConteo[[#This Row],[SKU]],tblStock[SKU],0))),0))</f>
        <v/>
      </c>
      <c r="I463" s="53"/>
      <c r="J463" s="60" t="str">
        <f>IF(OR(tblConteo[[#This Row],[SKU]]="",tblConteo[[#This Row],[Conteo]]=""),"",IF(ISNUMBER(tblConteo[[#This Row],[Conteo]]),tblConteo[[#This Row],[Conteo]]-N(tblConteo[[#This Row],[Sistema]]),""))</f>
        <v/>
      </c>
      <c r="K463" s="63" t="str">
        <f>IF(tblConteo[[#This Row],[Diferencia]]="","",tblConteo[[#This Row],[Diferencia]]*N(INDEX(tblProductos[CostoUnitario],ROW()-ROW(tblConteo[#Headers]))))</f>
        <v/>
      </c>
      <c r="L46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4" spans="2:13" x14ac:dyDescent="0.25">
      <c r="B464" s="43" t="str">
        <f>IF(INDEX(tblProductos[SKU],ROW()-ROW(tblConteo[#Headers]))="","",INDEX(tblProductos[SKU],ROW()-ROW(tblConteo[#Headers])))</f>
        <v/>
      </c>
      <c r="C464" s="50" t="str">
        <f>IF(tblConteo[[#This Row],[SKU]]="","",INDEX(tblProductos[Producto],ROW()-ROW(tblConteo[#Headers])))</f>
        <v/>
      </c>
      <c r="D464" s="50" t="str">
        <f>IF(tblConteo[[#This Row],[SKU]]="","",INDEX(tblProductos[Categoría],ROW()-ROW(tblConteo[#Headers]))&amp;"")</f>
        <v/>
      </c>
      <c r="E464" s="43" t="str">
        <f>IF(tblConteo[[#This Row],[SKU]]="","",INDEX(tblProductos[Ubicación],ROW()-ROW(tblConteo[#Headers]))&amp;"")</f>
        <v/>
      </c>
      <c r="F464" s="43" t="str">
        <f>IF(tblConteo[[#This Row],[SKU]]="","",INDEX(tblProductos[Unidad],ROW()-ROW(tblConteo[#Headers]))&amp;"")</f>
        <v/>
      </c>
      <c r="G464" s="43" t="str">
        <f>IF(tblConteo[[#This Row],[SKU]]="","",IF(INDEX(tblProductos[Activo],ROW()-ROW(tblConteo[#Headers]))="NO","NO","SI"))</f>
        <v/>
      </c>
      <c r="H464" s="54" t="str">
        <f>IF(tblConteo[[#This Row],[SKU]]="","",IFERROR(N(INDEX(tblStock[StockActual],MATCH(tblConteo[[#This Row],[SKU]],tblStock[SKU],0))),0))</f>
        <v/>
      </c>
      <c r="I464" s="53"/>
      <c r="J464" s="60" t="str">
        <f>IF(OR(tblConteo[[#This Row],[SKU]]="",tblConteo[[#This Row],[Conteo]]=""),"",IF(ISNUMBER(tblConteo[[#This Row],[Conteo]]),tblConteo[[#This Row],[Conteo]]-N(tblConteo[[#This Row],[Sistema]]),""))</f>
        <v/>
      </c>
      <c r="K464" s="63" t="str">
        <f>IF(tblConteo[[#This Row],[Diferencia]]="","",tblConteo[[#This Row],[Diferencia]]*N(INDEX(tblProductos[CostoUnitario],ROW()-ROW(tblConteo[#Headers]))))</f>
        <v/>
      </c>
      <c r="L46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5" spans="2:13" x14ac:dyDescent="0.25">
      <c r="B465" s="43" t="str">
        <f>IF(INDEX(tblProductos[SKU],ROW()-ROW(tblConteo[#Headers]))="","",INDEX(tblProductos[SKU],ROW()-ROW(tblConteo[#Headers])))</f>
        <v/>
      </c>
      <c r="C465" s="50" t="str">
        <f>IF(tblConteo[[#This Row],[SKU]]="","",INDEX(tblProductos[Producto],ROW()-ROW(tblConteo[#Headers])))</f>
        <v/>
      </c>
      <c r="D465" s="50" t="str">
        <f>IF(tblConteo[[#This Row],[SKU]]="","",INDEX(tblProductos[Categoría],ROW()-ROW(tblConteo[#Headers]))&amp;"")</f>
        <v/>
      </c>
      <c r="E465" s="43" t="str">
        <f>IF(tblConteo[[#This Row],[SKU]]="","",INDEX(tblProductos[Ubicación],ROW()-ROW(tblConteo[#Headers]))&amp;"")</f>
        <v/>
      </c>
      <c r="F465" s="43" t="str">
        <f>IF(tblConteo[[#This Row],[SKU]]="","",INDEX(tblProductos[Unidad],ROW()-ROW(tblConteo[#Headers]))&amp;"")</f>
        <v/>
      </c>
      <c r="G465" s="43" t="str">
        <f>IF(tblConteo[[#This Row],[SKU]]="","",IF(INDEX(tblProductos[Activo],ROW()-ROW(tblConteo[#Headers]))="NO","NO","SI"))</f>
        <v/>
      </c>
      <c r="H465" s="54" t="str">
        <f>IF(tblConteo[[#This Row],[SKU]]="","",IFERROR(N(INDEX(tblStock[StockActual],MATCH(tblConteo[[#This Row],[SKU]],tblStock[SKU],0))),0))</f>
        <v/>
      </c>
      <c r="I465" s="53"/>
      <c r="J465" s="60" t="str">
        <f>IF(OR(tblConteo[[#This Row],[SKU]]="",tblConteo[[#This Row],[Conteo]]=""),"",IF(ISNUMBER(tblConteo[[#This Row],[Conteo]]),tblConteo[[#This Row],[Conteo]]-N(tblConteo[[#This Row],[Sistema]]),""))</f>
        <v/>
      </c>
      <c r="K465" s="63" t="str">
        <f>IF(tblConteo[[#This Row],[Diferencia]]="","",tblConteo[[#This Row],[Diferencia]]*N(INDEX(tblProductos[CostoUnitario],ROW()-ROW(tblConteo[#Headers]))))</f>
        <v/>
      </c>
      <c r="L46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6" spans="2:13" x14ac:dyDescent="0.25">
      <c r="B466" s="43" t="str">
        <f>IF(INDEX(tblProductos[SKU],ROW()-ROW(tblConteo[#Headers]))="","",INDEX(tblProductos[SKU],ROW()-ROW(tblConteo[#Headers])))</f>
        <v/>
      </c>
      <c r="C466" s="50" t="str">
        <f>IF(tblConteo[[#This Row],[SKU]]="","",INDEX(tblProductos[Producto],ROW()-ROW(tblConteo[#Headers])))</f>
        <v/>
      </c>
      <c r="D466" s="50" t="str">
        <f>IF(tblConteo[[#This Row],[SKU]]="","",INDEX(tblProductos[Categoría],ROW()-ROW(tblConteo[#Headers]))&amp;"")</f>
        <v/>
      </c>
      <c r="E466" s="43" t="str">
        <f>IF(tblConteo[[#This Row],[SKU]]="","",INDEX(tblProductos[Ubicación],ROW()-ROW(tblConteo[#Headers]))&amp;"")</f>
        <v/>
      </c>
      <c r="F466" s="43" t="str">
        <f>IF(tblConteo[[#This Row],[SKU]]="","",INDEX(tblProductos[Unidad],ROW()-ROW(tblConteo[#Headers]))&amp;"")</f>
        <v/>
      </c>
      <c r="G466" s="43" t="str">
        <f>IF(tblConteo[[#This Row],[SKU]]="","",IF(INDEX(tblProductos[Activo],ROW()-ROW(tblConteo[#Headers]))="NO","NO","SI"))</f>
        <v/>
      </c>
      <c r="H466" s="54" t="str">
        <f>IF(tblConteo[[#This Row],[SKU]]="","",IFERROR(N(INDEX(tblStock[StockActual],MATCH(tblConteo[[#This Row],[SKU]],tblStock[SKU],0))),0))</f>
        <v/>
      </c>
      <c r="I466" s="53"/>
      <c r="J466" s="60" t="str">
        <f>IF(OR(tblConteo[[#This Row],[SKU]]="",tblConteo[[#This Row],[Conteo]]=""),"",IF(ISNUMBER(tblConteo[[#This Row],[Conteo]]),tblConteo[[#This Row],[Conteo]]-N(tblConteo[[#This Row],[Sistema]]),""))</f>
        <v/>
      </c>
      <c r="K466" s="63" t="str">
        <f>IF(tblConteo[[#This Row],[Diferencia]]="","",tblConteo[[#This Row],[Diferencia]]*N(INDEX(tblProductos[CostoUnitario],ROW()-ROW(tblConteo[#Headers]))))</f>
        <v/>
      </c>
      <c r="L46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7" spans="2:13" x14ac:dyDescent="0.25">
      <c r="B467" s="43" t="str">
        <f>IF(INDEX(tblProductos[SKU],ROW()-ROW(tblConteo[#Headers]))="","",INDEX(tblProductos[SKU],ROW()-ROW(tblConteo[#Headers])))</f>
        <v/>
      </c>
      <c r="C467" s="50" t="str">
        <f>IF(tblConteo[[#This Row],[SKU]]="","",INDEX(tblProductos[Producto],ROW()-ROW(tblConteo[#Headers])))</f>
        <v/>
      </c>
      <c r="D467" s="50" t="str">
        <f>IF(tblConteo[[#This Row],[SKU]]="","",INDEX(tblProductos[Categoría],ROW()-ROW(tblConteo[#Headers]))&amp;"")</f>
        <v/>
      </c>
      <c r="E467" s="43" t="str">
        <f>IF(tblConteo[[#This Row],[SKU]]="","",INDEX(tblProductos[Ubicación],ROW()-ROW(tblConteo[#Headers]))&amp;"")</f>
        <v/>
      </c>
      <c r="F467" s="43" t="str">
        <f>IF(tblConteo[[#This Row],[SKU]]="","",INDEX(tblProductos[Unidad],ROW()-ROW(tblConteo[#Headers]))&amp;"")</f>
        <v/>
      </c>
      <c r="G467" s="43" t="str">
        <f>IF(tblConteo[[#This Row],[SKU]]="","",IF(INDEX(tblProductos[Activo],ROW()-ROW(tblConteo[#Headers]))="NO","NO","SI"))</f>
        <v/>
      </c>
      <c r="H467" s="54" t="str">
        <f>IF(tblConteo[[#This Row],[SKU]]="","",IFERROR(N(INDEX(tblStock[StockActual],MATCH(tblConteo[[#This Row],[SKU]],tblStock[SKU],0))),0))</f>
        <v/>
      </c>
      <c r="I467" s="53"/>
      <c r="J467" s="60" t="str">
        <f>IF(OR(tblConteo[[#This Row],[SKU]]="",tblConteo[[#This Row],[Conteo]]=""),"",IF(ISNUMBER(tblConteo[[#This Row],[Conteo]]),tblConteo[[#This Row],[Conteo]]-N(tblConteo[[#This Row],[Sistema]]),""))</f>
        <v/>
      </c>
      <c r="K467" s="63" t="str">
        <f>IF(tblConteo[[#This Row],[Diferencia]]="","",tblConteo[[#This Row],[Diferencia]]*N(INDEX(tblProductos[CostoUnitario],ROW()-ROW(tblConteo[#Headers]))))</f>
        <v/>
      </c>
      <c r="L46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8" spans="2:13" x14ac:dyDescent="0.25">
      <c r="B468" s="43" t="str">
        <f>IF(INDEX(tblProductos[SKU],ROW()-ROW(tblConteo[#Headers]))="","",INDEX(tblProductos[SKU],ROW()-ROW(tblConteo[#Headers])))</f>
        <v/>
      </c>
      <c r="C468" s="50" t="str">
        <f>IF(tblConteo[[#This Row],[SKU]]="","",INDEX(tblProductos[Producto],ROW()-ROW(tblConteo[#Headers])))</f>
        <v/>
      </c>
      <c r="D468" s="50" t="str">
        <f>IF(tblConteo[[#This Row],[SKU]]="","",INDEX(tblProductos[Categoría],ROW()-ROW(tblConteo[#Headers]))&amp;"")</f>
        <v/>
      </c>
      <c r="E468" s="43" t="str">
        <f>IF(tblConteo[[#This Row],[SKU]]="","",INDEX(tblProductos[Ubicación],ROW()-ROW(tblConteo[#Headers]))&amp;"")</f>
        <v/>
      </c>
      <c r="F468" s="43" t="str">
        <f>IF(tblConteo[[#This Row],[SKU]]="","",INDEX(tblProductos[Unidad],ROW()-ROW(tblConteo[#Headers]))&amp;"")</f>
        <v/>
      </c>
      <c r="G468" s="43" t="str">
        <f>IF(tblConteo[[#This Row],[SKU]]="","",IF(INDEX(tblProductos[Activo],ROW()-ROW(tblConteo[#Headers]))="NO","NO","SI"))</f>
        <v/>
      </c>
      <c r="H468" s="54" t="str">
        <f>IF(tblConteo[[#This Row],[SKU]]="","",IFERROR(N(INDEX(tblStock[StockActual],MATCH(tblConteo[[#This Row],[SKU]],tblStock[SKU],0))),0))</f>
        <v/>
      </c>
      <c r="I468" s="53"/>
      <c r="J468" s="60" t="str">
        <f>IF(OR(tblConteo[[#This Row],[SKU]]="",tblConteo[[#This Row],[Conteo]]=""),"",IF(ISNUMBER(tblConteo[[#This Row],[Conteo]]),tblConteo[[#This Row],[Conteo]]-N(tblConteo[[#This Row],[Sistema]]),""))</f>
        <v/>
      </c>
      <c r="K468" s="63" t="str">
        <f>IF(tblConteo[[#This Row],[Diferencia]]="","",tblConteo[[#This Row],[Diferencia]]*N(INDEX(tblProductos[CostoUnitario],ROW()-ROW(tblConteo[#Headers]))))</f>
        <v/>
      </c>
      <c r="L46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69" spans="2:13" x14ac:dyDescent="0.25">
      <c r="B469" s="43" t="str">
        <f>IF(INDEX(tblProductos[SKU],ROW()-ROW(tblConteo[#Headers]))="","",INDEX(tblProductos[SKU],ROW()-ROW(tblConteo[#Headers])))</f>
        <v/>
      </c>
      <c r="C469" s="50" t="str">
        <f>IF(tblConteo[[#This Row],[SKU]]="","",INDEX(tblProductos[Producto],ROW()-ROW(tblConteo[#Headers])))</f>
        <v/>
      </c>
      <c r="D469" s="50" t="str">
        <f>IF(tblConteo[[#This Row],[SKU]]="","",INDEX(tblProductos[Categoría],ROW()-ROW(tblConteo[#Headers]))&amp;"")</f>
        <v/>
      </c>
      <c r="E469" s="43" t="str">
        <f>IF(tblConteo[[#This Row],[SKU]]="","",INDEX(tblProductos[Ubicación],ROW()-ROW(tblConteo[#Headers]))&amp;"")</f>
        <v/>
      </c>
      <c r="F469" s="43" t="str">
        <f>IF(tblConteo[[#This Row],[SKU]]="","",INDEX(tblProductos[Unidad],ROW()-ROW(tblConteo[#Headers]))&amp;"")</f>
        <v/>
      </c>
      <c r="G469" s="43" t="str">
        <f>IF(tblConteo[[#This Row],[SKU]]="","",IF(INDEX(tblProductos[Activo],ROW()-ROW(tblConteo[#Headers]))="NO","NO","SI"))</f>
        <v/>
      </c>
      <c r="H469" s="54" t="str">
        <f>IF(tblConteo[[#This Row],[SKU]]="","",IFERROR(N(INDEX(tblStock[StockActual],MATCH(tblConteo[[#This Row],[SKU]],tblStock[SKU],0))),0))</f>
        <v/>
      </c>
      <c r="I469" s="53"/>
      <c r="J469" s="60" t="str">
        <f>IF(OR(tblConteo[[#This Row],[SKU]]="",tblConteo[[#This Row],[Conteo]]=""),"",IF(ISNUMBER(tblConteo[[#This Row],[Conteo]]),tblConteo[[#This Row],[Conteo]]-N(tblConteo[[#This Row],[Sistema]]),""))</f>
        <v/>
      </c>
      <c r="K469" s="63" t="str">
        <f>IF(tblConteo[[#This Row],[Diferencia]]="","",tblConteo[[#This Row],[Diferencia]]*N(INDEX(tblProductos[CostoUnitario],ROW()-ROW(tblConteo[#Headers]))))</f>
        <v/>
      </c>
      <c r="L46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6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0" spans="2:13" x14ac:dyDescent="0.25">
      <c r="B470" s="43" t="str">
        <f>IF(INDEX(tblProductos[SKU],ROW()-ROW(tblConteo[#Headers]))="","",INDEX(tblProductos[SKU],ROW()-ROW(tblConteo[#Headers])))</f>
        <v/>
      </c>
      <c r="C470" s="50" t="str">
        <f>IF(tblConteo[[#This Row],[SKU]]="","",INDEX(tblProductos[Producto],ROW()-ROW(tblConteo[#Headers])))</f>
        <v/>
      </c>
      <c r="D470" s="50" t="str">
        <f>IF(tblConteo[[#This Row],[SKU]]="","",INDEX(tblProductos[Categoría],ROW()-ROW(tblConteo[#Headers]))&amp;"")</f>
        <v/>
      </c>
      <c r="E470" s="43" t="str">
        <f>IF(tblConteo[[#This Row],[SKU]]="","",INDEX(tblProductos[Ubicación],ROW()-ROW(tblConteo[#Headers]))&amp;"")</f>
        <v/>
      </c>
      <c r="F470" s="43" t="str">
        <f>IF(tblConteo[[#This Row],[SKU]]="","",INDEX(tblProductos[Unidad],ROW()-ROW(tblConteo[#Headers]))&amp;"")</f>
        <v/>
      </c>
      <c r="G470" s="43" t="str">
        <f>IF(tblConteo[[#This Row],[SKU]]="","",IF(INDEX(tblProductos[Activo],ROW()-ROW(tblConteo[#Headers]))="NO","NO","SI"))</f>
        <v/>
      </c>
      <c r="H470" s="54" t="str">
        <f>IF(tblConteo[[#This Row],[SKU]]="","",IFERROR(N(INDEX(tblStock[StockActual],MATCH(tblConteo[[#This Row],[SKU]],tblStock[SKU],0))),0))</f>
        <v/>
      </c>
      <c r="I470" s="53"/>
      <c r="J470" s="60" t="str">
        <f>IF(OR(tblConteo[[#This Row],[SKU]]="",tblConteo[[#This Row],[Conteo]]=""),"",IF(ISNUMBER(tblConteo[[#This Row],[Conteo]]),tblConteo[[#This Row],[Conteo]]-N(tblConteo[[#This Row],[Sistema]]),""))</f>
        <v/>
      </c>
      <c r="K470" s="63" t="str">
        <f>IF(tblConteo[[#This Row],[Diferencia]]="","",tblConteo[[#This Row],[Diferencia]]*N(INDEX(tblProductos[CostoUnitario],ROW()-ROW(tblConteo[#Headers]))))</f>
        <v/>
      </c>
      <c r="L47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1" spans="2:13" x14ac:dyDescent="0.25">
      <c r="B471" s="43" t="str">
        <f>IF(INDEX(tblProductos[SKU],ROW()-ROW(tblConteo[#Headers]))="","",INDEX(tblProductos[SKU],ROW()-ROW(tblConteo[#Headers])))</f>
        <v/>
      </c>
      <c r="C471" s="50" t="str">
        <f>IF(tblConteo[[#This Row],[SKU]]="","",INDEX(tblProductos[Producto],ROW()-ROW(tblConteo[#Headers])))</f>
        <v/>
      </c>
      <c r="D471" s="50" t="str">
        <f>IF(tblConteo[[#This Row],[SKU]]="","",INDEX(tblProductos[Categoría],ROW()-ROW(tblConteo[#Headers]))&amp;"")</f>
        <v/>
      </c>
      <c r="E471" s="43" t="str">
        <f>IF(tblConteo[[#This Row],[SKU]]="","",INDEX(tblProductos[Ubicación],ROW()-ROW(tblConteo[#Headers]))&amp;"")</f>
        <v/>
      </c>
      <c r="F471" s="43" t="str">
        <f>IF(tblConteo[[#This Row],[SKU]]="","",INDEX(tblProductos[Unidad],ROW()-ROW(tblConteo[#Headers]))&amp;"")</f>
        <v/>
      </c>
      <c r="G471" s="43" t="str">
        <f>IF(tblConteo[[#This Row],[SKU]]="","",IF(INDEX(tblProductos[Activo],ROW()-ROW(tblConteo[#Headers]))="NO","NO","SI"))</f>
        <v/>
      </c>
      <c r="H471" s="54" t="str">
        <f>IF(tblConteo[[#This Row],[SKU]]="","",IFERROR(N(INDEX(tblStock[StockActual],MATCH(tblConteo[[#This Row],[SKU]],tblStock[SKU],0))),0))</f>
        <v/>
      </c>
      <c r="I471" s="53"/>
      <c r="J471" s="60" t="str">
        <f>IF(OR(tblConteo[[#This Row],[SKU]]="",tblConteo[[#This Row],[Conteo]]=""),"",IF(ISNUMBER(tblConteo[[#This Row],[Conteo]]),tblConteo[[#This Row],[Conteo]]-N(tblConteo[[#This Row],[Sistema]]),""))</f>
        <v/>
      </c>
      <c r="K471" s="63" t="str">
        <f>IF(tblConteo[[#This Row],[Diferencia]]="","",tblConteo[[#This Row],[Diferencia]]*N(INDEX(tblProductos[CostoUnitario],ROW()-ROW(tblConteo[#Headers]))))</f>
        <v/>
      </c>
      <c r="L47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2" spans="2:13" x14ac:dyDescent="0.25">
      <c r="B472" s="43" t="str">
        <f>IF(INDEX(tblProductos[SKU],ROW()-ROW(tblConteo[#Headers]))="","",INDEX(tblProductos[SKU],ROW()-ROW(tblConteo[#Headers])))</f>
        <v/>
      </c>
      <c r="C472" s="50" t="str">
        <f>IF(tblConteo[[#This Row],[SKU]]="","",INDEX(tblProductos[Producto],ROW()-ROW(tblConteo[#Headers])))</f>
        <v/>
      </c>
      <c r="D472" s="50" t="str">
        <f>IF(tblConteo[[#This Row],[SKU]]="","",INDEX(tblProductos[Categoría],ROW()-ROW(tblConteo[#Headers]))&amp;"")</f>
        <v/>
      </c>
      <c r="E472" s="43" t="str">
        <f>IF(tblConteo[[#This Row],[SKU]]="","",INDEX(tblProductos[Ubicación],ROW()-ROW(tblConteo[#Headers]))&amp;"")</f>
        <v/>
      </c>
      <c r="F472" s="43" t="str">
        <f>IF(tblConteo[[#This Row],[SKU]]="","",INDEX(tblProductos[Unidad],ROW()-ROW(tblConteo[#Headers]))&amp;"")</f>
        <v/>
      </c>
      <c r="G472" s="43" t="str">
        <f>IF(tblConteo[[#This Row],[SKU]]="","",IF(INDEX(tblProductos[Activo],ROW()-ROW(tblConteo[#Headers]))="NO","NO","SI"))</f>
        <v/>
      </c>
      <c r="H472" s="54" t="str">
        <f>IF(tblConteo[[#This Row],[SKU]]="","",IFERROR(N(INDEX(tblStock[StockActual],MATCH(tblConteo[[#This Row],[SKU]],tblStock[SKU],0))),0))</f>
        <v/>
      </c>
      <c r="I472" s="53"/>
      <c r="J472" s="60" t="str">
        <f>IF(OR(tblConteo[[#This Row],[SKU]]="",tblConteo[[#This Row],[Conteo]]=""),"",IF(ISNUMBER(tblConteo[[#This Row],[Conteo]]),tblConteo[[#This Row],[Conteo]]-N(tblConteo[[#This Row],[Sistema]]),""))</f>
        <v/>
      </c>
      <c r="K472" s="63" t="str">
        <f>IF(tblConteo[[#This Row],[Diferencia]]="","",tblConteo[[#This Row],[Diferencia]]*N(INDEX(tblProductos[CostoUnitario],ROW()-ROW(tblConteo[#Headers]))))</f>
        <v/>
      </c>
      <c r="L47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3" spans="2:13" x14ac:dyDescent="0.25">
      <c r="B473" s="43" t="str">
        <f>IF(INDEX(tblProductos[SKU],ROW()-ROW(tblConteo[#Headers]))="","",INDEX(tblProductos[SKU],ROW()-ROW(tblConteo[#Headers])))</f>
        <v/>
      </c>
      <c r="C473" s="50" t="str">
        <f>IF(tblConteo[[#This Row],[SKU]]="","",INDEX(tblProductos[Producto],ROW()-ROW(tblConteo[#Headers])))</f>
        <v/>
      </c>
      <c r="D473" s="50" t="str">
        <f>IF(tblConteo[[#This Row],[SKU]]="","",INDEX(tblProductos[Categoría],ROW()-ROW(tblConteo[#Headers]))&amp;"")</f>
        <v/>
      </c>
      <c r="E473" s="43" t="str">
        <f>IF(tblConteo[[#This Row],[SKU]]="","",INDEX(tblProductos[Ubicación],ROW()-ROW(tblConteo[#Headers]))&amp;"")</f>
        <v/>
      </c>
      <c r="F473" s="43" t="str">
        <f>IF(tblConteo[[#This Row],[SKU]]="","",INDEX(tblProductos[Unidad],ROW()-ROW(tblConteo[#Headers]))&amp;"")</f>
        <v/>
      </c>
      <c r="G473" s="43" t="str">
        <f>IF(tblConteo[[#This Row],[SKU]]="","",IF(INDEX(tblProductos[Activo],ROW()-ROW(tblConteo[#Headers]))="NO","NO","SI"))</f>
        <v/>
      </c>
      <c r="H473" s="54" t="str">
        <f>IF(tblConteo[[#This Row],[SKU]]="","",IFERROR(N(INDEX(tblStock[StockActual],MATCH(tblConteo[[#This Row],[SKU]],tblStock[SKU],0))),0))</f>
        <v/>
      </c>
      <c r="I473" s="53"/>
      <c r="J473" s="60" t="str">
        <f>IF(OR(tblConteo[[#This Row],[SKU]]="",tblConteo[[#This Row],[Conteo]]=""),"",IF(ISNUMBER(tblConteo[[#This Row],[Conteo]]),tblConteo[[#This Row],[Conteo]]-N(tblConteo[[#This Row],[Sistema]]),""))</f>
        <v/>
      </c>
      <c r="K473" s="63" t="str">
        <f>IF(tblConteo[[#This Row],[Diferencia]]="","",tblConteo[[#This Row],[Diferencia]]*N(INDEX(tblProductos[CostoUnitario],ROW()-ROW(tblConteo[#Headers]))))</f>
        <v/>
      </c>
      <c r="L47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4" spans="2:13" x14ac:dyDescent="0.25">
      <c r="B474" s="43" t="str">
        <f>IF(INDEX(tblProductos[SKU],ROW()-ROW(tblConteo[#Headers]))="","",INDEX(tblProductos[SKU],ROW()-ROW(tblConteo[#Headers])))</f>
        <v/>
      </c>
      <c r="C474" s="50" t="str">
        <f>IF(tblConteo[[#This Row],[SKU]]="","",INDEX(tblProductos[Producto],ROW()-ROW(tblConteo[#Headers])))</f>
        <v/>
      </c>
      <c r="D474" s="50" t="str">
        <f>IF(tblConteo[[#This Row],[SKU]]="","",INDEX(tblProductos[Categoría],ROW()-ROW(tblConteo[#Headers]))&amp;"")</f>
        <v/>
      </c>
      <c r="E474" s="43" t="str">
        <f>IF(tblConteo[[#This Row],[SKU]]="","",INDEX(tblProductos[Ubicación],ROW()-ROW(tblConteo[#Headers]))&amp;"")</f>
        <v/>
      </c>
      <c r="F474" s="43" t="str">
        <f>IF(tblConteo[[#This Row],[SKU]]="","",INDEX(tblProductos[Unidad],ROW()-ROW(tblConteo[#Headers]))&amp;"")</f>
        <v/>
      </c>
      <c r="G474" s="43" t="str">
        <f>IF(tblConteo[[#This Row],[SKU]]="","",IF(INDEX(tblProductos[Activo],ROW()-ROW(tblConteo[#Headers]))="NO","NO","SI"))</f>
        <v/>
      </c>
      <c r="H474" s="54" t="str">
        <f>IF(tblConteo[[#This Row],[SKU]]="","",IFERROR(N(INDEX(tblStock[StockActual],MATCH(tblConteo[[#This Row],[SKU]],tblStock[SKU],0))),0))</f>
        <v/>
      </c>
      <c r="I474" s="53"/>
      <c r="J474" s="60" t="str">
        <f>IF(OR(tblConteo[[#This Row],[SKU]]="",tblConteo[[#This Row],[Conteo]]=""),"",IF(ISNUMBER(tblConteo[[#This Row],[Conteo]]),tblConteo[[#This Row],[Conteo]]-N(tblConteo[[#This Row],[Sistema]]),""))</f>
        <v/>
      </c>
      <c r="K474" s="63" t="str">
        <f>IF(tblConteo[[#This Row],[Diferencia]]="","",tblConteo[[#This Row],[Diferencia]]*N(INDEX(tblProductos[CostoUnitario],ROW()-ROW(tblConteo[#Headers]))))</f>
        <v/>
      </c>
      <c r="L47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5" spans="2:13" x14ac:dyDescent="0.25">
      <c r="B475" s="43" t="str">
        <f>IF(INDEX(tblProductos[SKU],ROW()-ROW(tblConteo[#Headers]))="","",INDEX(tblProductos[SKU],ROW()-ROW(tblConteo[#Headers])))</f>
        <v/>
      </c>
      <c r="C475" s="50" t="str">
        <f>IF(tblConteo[[#This Row],[SKU]]="","",INDEX(tblProductos[Producto],ROW()-ROW(tblConteo[#Headers])))</f>
        <v/>
      </c>
      <c r="D475" s="50" t="str">
        <f>IF(tblConteo[[#This Row],[SKU]]="","",INDEX(tblProductos[Categoría],ROW()-ROW(tblConteo[#Headers]))&amp;"")</f>
        <v/>
      </c>
      <c r="E475" s="43" t="str">
        <f>IF(tblConteo[[#This Row],[SKU]]="","",INDEX(tblProductos[Ubicación],ROW()-ROW(tblConteo[#Headers]))&amp;"")</f>
        <v/>
      </c>
      <c r="F475" s="43" t="str">
        <f>IF(tblConteo[[#This Row],[SKU]]="","",INDEX(tblProductos[Unidad],ROW()-ROW(tblConteo[#Headers]))&amp;"")</f>
        <v/>
      </c>
      <c r="G475" s="43" t="str">
        <f>IF(tblConteo[[#This Row],[SKU]]="","",IF(INDEX(tblProductos[Activo],ROW()-ROW(tblConteo[#Headers]))="NO","NO","SI"))</f>
        <v/>
      </c>
      <c r="H475" s="54" t="str">
        <f>IF(tblConteo[[#This Row],[SKU]]="","",IFERROR(N(INDEX(tblStock[StockActual],MATCH(tblConteo[[#This Row],[SKU]],tblStock[SKU],0))),0))</f>
        <v/>
      </c>
      <c r="I475" s="53"/>
      <c r="J475" s="60" t="str">
        <f>IF(OR(tblConteo[[#This Row],[SKU]]="",tblConteo[[#This Row],[Conteo]]=""),"",IF(ISNUMBER(tblConteo[[#This Row],[Conteo]]),tblConteo[[#This Row],[Conteo]]-N(tblConteo[[#This Row],[Sistema]]),""))</f>
        <v/>
      </c>
      <c r="K475" s="63" t="str">
        <f>IF(tblConteo[[#This Row],[Diferencia]]="","",tblConteo[[#This Row],[Diferencia]]*N(INDEX(tblProductos[CostoUnitario],ROW()-ROW(tblConteo[#Headers]))))</f>
        <v/>
      </c>
      <c r="L47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6" spans="2:13" x14ac:dyDescent="0.25">
      <c r="B476" s="43" t="str">
        <f>IF(INDEX(tblProductos[SKU],ROW()-ROW(tblConteo[#Headers]))="","",INDEX(tblProductos[SKU],ROW()-ROW(tblConteo[#Headers])))</f>
        <v/>
      </c>
      <c r="C476" s="50" t="str">
        <f>IF(tblConteo[[#This Row],[SKU]]="","",INDEX(tblProductos[Producto],ROW()-ROW(tblConteo[#Headers])))</f>
        <v/>
      </c>
      <c r="D476" s="50" t="str">
        <f>IF(tblConteo[[#This Row],[SKU]]="","",INDEX(tblProductos[Categoría],ROW()-ROW(tblConteo[#Headers]))&amp;"")</f>
        <v/>
      </c>
      <c r="E476" s="43" t="str">
        <f>IF(tblConteo[[#This Row],[SKU]]="","",INDEX(tblProductos[Ubicación],ROW()-ROW(tblConteo[#Headers]))&amp;"")</f>
        <v/>
      </c>
      <c r="F476" s="43" t="str">
        <f>IF(tblConteo[[#This Row],[SKU]]="","",INDEX(tblProductos[Unidad],ROW()-ROW(tblConteo[#Headers]))&amp;"")</f>
        <v/>
      </c>
      <c r="G476" s="43" t="str">
        <f>IF(tblConteo[[#This Row],[SKU]]="","",IF(INDEX(tblProductos[Activo],ROW()-ROW(tblConteo[#Headers]))="NO","NO","SI"))</f>
        <v/>
      </c>
      <c r="H476" s="54" t="str">
        <f>IF(tblConteo[[#This Row],[SKU]]="","",IFERROR(N(INDEX(tblStock[StockActual],MATCH(tblConteo[[#This Row],[SKU]],tblStock[SKU],0))),0))</f>
        <v/>
      </c>
      <c r="I476" s="53"/>
      <c r="J476" s="60" t="str">
        <f>IF(OR(tblConteo[[#This Row],[SKU]]="",tblConteo[[#This Row],[Conteo]]=""),"",IF(ISNUMBER(tblConteo[[#This Row],[Conteo]]),tblConteo[[#This Row],[Conteo]]-N(tblConteo[[#This Row],[Sistema]]),""))</f>
        <v/>
      </c>
      <c r="K476" s="63" t="str">
        <f>IF(tblConteo[[#This Row],[Diferencia]]="","",tblConteo[[#This Row],[Diferencia]]*N(INDEX(tblProductos[CostoUnitario],ROW()-ROW(tblConteo[#Headers]))))</f>
        <v/>
      </c>
      <c r="L47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7" spans="2:13" x14ac:dyDescent="0.25">
      <c r="B477" s="43" t="str">
        <f>IF(INDEX(tblProductos[SKU],ROW()-ROW(tblConteo[#Headers]))="","",INDEX(tblProductos[SKU],ROW()-ROW(tblConteo[#Headers])))</f>
        <v/>
      </c>
      <c r="C477" s="50" t="str">
        <f>IF(tblConteo[[#This Row],[SKU]]="","",INDEX(tblProductos[Producto],ROW()-ROW(tblConteo[#Headers])))</f>
        <v/>
      </c>
      <c r="D477" s="50" t="str">
        <f>IF(tblConteo[[#This Row],[SKU]]="","",INDEX(tblProductos[Categoría],ROW()-ROW(tblConteo[#Headers]))&amp;"")</f>
        <v/>
      </c>
      <c r="E477" s="43" t="str">
        <f>IF(tblConteo[[#This Row],[SKU]]="","",INDEX(tblProductos[Ubicación],ROW()-ROW(tblConteo[#Headers]))&amp;"")</f>
        <v/>
      </c>
      <c r="F477" s="43" t="str">
        <f>IF(tblConteo[[#This Row],[SKU]]="","",INDEX(tblProductos[Unidad],ROW()-ROW(tblConteo[#Headers]))&amp;"")</f>
        <v/>
      </c>
      <c r="G477" s="43" t="str">
        <f>IF(tblConteo[[#This Row],[SKU]]="","",IF(INDEX(tblProductos[Activo],ROW()-ROW(tblConteo[#Headers]))="NO","NO","SI"))</f>
        <v/>
      </c>
      <c r="H477" s="54" t="str">
        <f>IF(tblConteo[[#This Row],[SKU]]="","",IFERROR(N(INDEX(tblStock[StockActual],MATCH(tblConteo[[#This Row],[SKU]],tblStock[SKU],0))),0))</f>
        <v/>
      </c>
      <c r="I477" s="53"/>
      <c r="J477" s="60" t="str">
        <f>IF(OR(tblConteo[[#This Row],[SKU]]="",tblConteo[[#This Row],[Conteo]]=""),"",IF(ISNUMBER(tblConteo[[#This Row],[Conteo]]),tblConteo[[#This Row],[Conteo]]-N(tblConteo[[#This Row],[Sistema]]),""))</f>
        <v/>
      </c>
      <c r="K477" s="63" t="str">
        <f>IF(tblConteo[[#This Row],[Diferencia]]="","",tblConteo[[#This Row],[Diferencia]]*N(INDEX(tblProductos[CostoUnitario],ROW()-ROW(tblConteo[#Headers]))))</f>
        <v/>
      </c>
      <c r="L47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8" spans="2:13" x14ac:dyDescent="0.25">
      <c r="B478" s="43" t="str">
        <f>IF(INDEX(tblProductos[SKU],ROW()-ROW(tblConteo[#Headers]))="","",INDEX(tblProductos[SKU],ROW()-ROW(tblConteo[#Headers])))</f>
        <v/>
      </c>
      <c r="C478" s="50" t="str">
        <f>IF(tblConteo[[#This Row],[SKU]]="","",INDEX(tblProductos[Producto],ROW()-ROW(tblConteo[#Headers])))</f>
        <v/>
      </c>
      <c r="D478" s="50" t="str">
        <f>IF(tblConteo[[#This Row],[SKU]]="","",INDEX(tblProductos[Categoría],ROW()-ROW(tblConteo[#Headers]))&amp;"")</f>
        <v/>
      </c>
      <c r="E478" s="43" t="str">
        <f>IF(tblConteo[[#This Row],[SKU]]="","",INDEX(tblProductos[Ubicación],ROW()-ROW(tblConteo[#Headers]))&amp;"")</f>
        <v/>
      </c>
      <c r="F478" s="43" t="str">
        <f>IF(tblConteo[[#This Row],[SKU]]="","",INDEX(tblProductos[Unidad],ROW()-ROW(tblConteo[#Headers]))&amp;"")</f>
        <v/>
      </c>
      <c r="G478" s="43" t="str">
        <f>IF(tblConteo[[#This Row],[SKU]]="","",IF(INDEX(tblProductos[Activo],ROW()-ROW(tblConteo[#Headers]))="NO","NO","SI"))</f>
        <v/>
      </c>
      <c r="H478" s="54" t="str">
        <f>IF(tblConteo[[#This Row],[SKU]]="","",IFERROR(N(INDEX(tblStock[StockActual],MATCH(tblConteo[[#This Row],[SKU]],tblStock[SKU],0))),0))</f>
        <v/>
      </c>
      <c r="I478" s="53"/>
      <c r="J478" s="60" t="str">
        <f>IF(OR(tblConteo[[#This Row],[SKU]]="",tblConteo[[#This Row],[Conteo]]=""),"",IF(ISNUMBER(tblConteo[[#This Row],[Conteo]]),tblConteo[[#This Row],[Conteo]]-N(tblConteo[[#This Row],[Sistema]]),""))</f>
        <v/>
      </c>
      <c r="K478" s="63" t="str">
        <f>IF(tblConteo[[#This Row],[Diferencia]]="","",tblConteo[[#This Row],[Diferencia]]*N(INDEX(tblProductos[CostoUnitario],ROW()-ROW(tblConteo[#Headers]))))</f>
        <v/>
      </c>
      <c r="L47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79" spans="2:13" x14ac:dyDescent="0.25">
      <c r="B479" s="43" t="str">
        <f>IF(INDEX(tblProductos[SKU],ROW()-ROW(tblConteo[#Headers]))="","",INDEX(tblProductos[SKU],ROW()-ROW(tblConteo[#Headers])))</f>
        <v/>
      </c>
      <c r="C479" s="50" t="str">
        <f>IF(tblConteo[[#This Row],[SKU]]="","",INDEX(tblProductos[Producto],ROW()-ROW(tblConteo[#Headers])))</f>
        <v/>
      </c>
      <c r="D479" s="50" t="str">
        <f>IF(tblConteo[[#This Row],[SKU]]="","",INDEX(tblProductos[Categoría],ROW()-ROW(tblConteo[#Headers]))&amp;"")</f>
        <v/>
      </c>
      <c r="E479" s="43" t="str">
        <f>IF(tblConteo[[#This Row],[SKU]]="","",INDEX(tblProductos[Ubicación],ROW()-ROW(tblConteo[#Headers]))&amp;"")</f>
        <v/>
      </c>
      <c r="F479" s="43" t="str">
        <f>IF(tblConteo[[#This Row],[SKU]]="","",INDEX(tblProductos[Unidad],ROW()-ROW(tblConteo[#Headers]))&amp;"")</f>
        <v/>
      </c>
      <c r="G479" s="43" t="str">
        <f>IF(tblConteo[[#This Row],[SKU]]="","",IF(INDEX(tblProductos[Activo],ROW()-ROW(tblConteo[#Headers]))="NO","NO","SI"))</f>
        <v/>
      </c>
      <c r="H479" s="54" t="str">
        <f>IF(tblConteo[[#This Row],[SKU]]="","",IFERROR(N(INDEX(tblStock[StockActual],MATCH(tblConteo[[#This Row],[SKU]],tblStock[SKU],0))),0))</f>
        <v/>
      </c>
      <c r="I479" s="53"/>
      <c r="J479" s="60" t="str">
        <f>IF(OR(tblConteo[[#This Row],[SKU]]="",tblConteo[[#This Row],[Conteo]]=""),"",IF(ISNUMBER(tblConteo[[#This Row],[Conteo]]),tblConteo[[#This Row],[Conteo]]-N(tblConteo[[#This Row],[Sistema]]),""))</f>
        <v/>
      </c>
      <c r="K479" s="63" t="str">
        <f>IF(tblConteo[[#This Row],[Diferencia]]="","",tblConteo[[#This Row],[Diferencia]]*N(INDEX(tblProductos[CostoUnitario],ROW()-ROW(tblConteo[#Headers]))))</f>
        <v/>
      </c>
      <c r="L47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7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0" spans="2:13" x14ac:dyDescent="0.25">
      <c r="B480" s="43" t="str">
        <f>IF(INDEX(tblProductos[SKU],ROW()-ROW(tblConteo[#Headers]))="","",INDEX(tblProductos[SKU],ROW()-ROW(tblConteo[#Headers])))</f>
        <v/>
      </c>
      <c r="C480" s="50" t="str">
        <f>IF(tblConteo[[#This Row],[SKU]]="","",INDEX(tblProductos[Producto],ROW()-ROW(tblConteo[#Headers])))</f>
        <v/>
      </c>
      <c r="D480" s="50" t="str">
        <f>IF(tblConteo[[#This Row],[SKU]]="","",INDEX(tblProductos[Categoría],ROW()-ROW(tblConteo[#Headers]))&amp;"")</f>
        <v/>
      </c>
      <c r="E480" s="43" t="str">
        <f>IF(tblConteo[[#This Row],[SKU]]="","",INDEX(tblProductos[Ubicación],ROW()-ROW(tblConteo[#Headers]))&amp;"")</f>
        <v/>
      </c>
      <c r="F480" s="43" t="str">
        <f>IF(tblConteo[[#This Row],[SKU]]="","",INDEX(tblProductos[Unidad],ROW()-ROW(tblConteo[#Headers]))&amp;"")</f>
        <v/>
      </c>
      <c r="G480" s="43" t="str">
        <f>IF(tblConteo[[#This Row],[SKU]]="","",IF(INDEX(tblProductos[Activo],ROW()-ROW(tblConteo[#Headers]))="NO","NO","SI"))</f>
        <v/>
      </c>
      <c r="H480" s="54" t="str">
        <f>IF(tblConteo[[#This Row],[SKU]]="","",IFERROR(N(INDEX(tblStock[StockActual],MATCH(tblConteo[[#This Row],[SKU]],tblStock[SKU],0))),0))</f>
        <v/>
      </c>
      <c r="I480" s="53"/>
      <c r="J480" s="60" t="str">
        <f>IF(OR(tblConteo[[#This Row],[SKU]]="",tblConteo[[#This Row],[Conteo]]=""),"",IF(ISNUMBER(tblConteo[[#This Row],[Conteo]]),tblConteo[[#This Row],[Conteo]]-N(tblConteo[[#This Row],[Sistema]]),""))</f>
        <v/>
      </c>
      <c r="K480" s="63" t="str">
        <f>IF(tblConteo[[#This Row],[Diferencia]]="","",tblConteo[[#This Row],[Diferencia]]*N(INDEX(tblProductos[CostoUnitario],ROW()-ROW(tblConteo[#Headers]))))</f>
        <v/>
      </c>
      <c r="L48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1" spans="2:13" x14ac:dyDescent="0.25">
      <c r="B481" s="43" t="str">
        <f>IF(INDEX(tblProductos[SKU],ROW()-ROW(tblConteo[#Headers]))="","",INDEX(tblProductos[SKU],ROW()-ROW(tblConteo[#Headers])))</f>
        <v/>
      </c>
      <c r="C481" s="50" t="str">
        <f>IF(tblConteo[[#This Row],[SKU]]="","",INDEX(tblProductos[Producto],ROW()-ROW(tblConteo[#Headers])))</f>
        <v/>
      </c>
      <c r="D481" s="50" t="str">
        <f>IF(tblConteo[[#This Row],[SKU]]="","",INDEX(tblProductos[Categoría],ROW()-ROW(tblConteo[#Headers]))&amp;"")</f>
        <v/>
      </c>
      <c r="E481" s="43" t="str">
        <f>IF(tblConteo[[#This Row],[SKU]]="","",INDEX(tblProductos[Ubicación],ROW()-ROW(tblConteo[#Headers]))&amp;"")</f>
        <v/>
      </c>
      <c r="F481" s="43" t="str">
        <f>IF(tblConteo[[#This Row],[SKU]]="","",INDEX(tblProductos[Unidad],ROW()-ROW(tblConteo[#Headers]))&amp;"")</f>
        <v/>
      </c>
      <c r="G481" s="43" t="str">
        <f>IF(tblConteo[[#This Row],[SKU]]="","",IF(INDEX(tblProductos[Activo],ROW()-ROW(tblConteo[#Headers]))="NO","NO","SI"))</f>
        <v/>
      </c>
      <c r="H481" s="54" t="str">
        <f>IF(tblConteo[[#This Row],[SKU]]="","",IFERROR(N(INDEX(tblStock[StockActual],MATCH(tblConteo[[#This Row],[SKU]],tblStock[SKU],0))),0))</f>
        <v/>
      </c>
      <c r="I481" s="53"/>
      <c r="J481" s="60" t="str">
        <f>IF(OR(tblConteo[[#This Row],[SKU]]="",tblConteo[[#This Row],[Conteo]]=""),"",IF(ISNUMBER(tblConteo[[#This Row],[Conteo]]),tblConteo[[#This Row],[Conteo]]-N(tblConteo[[#This Row],[Sistema]]),""))</f>
        <v/>
      </c>
      <c r="K481" s="63" t="str">
        <f>IF(tblConteo[[#This Row],[Diferencia]]="","",tblConteo[[#This Row],[Diferencia]]*N(INDEX(tblProductos[CostoUnitario],ROW()-ROW(tblConteo[#Headers]))))</f>
        <v/>
      </c>
      <c r="L48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2" spans="2:13" x14ac:dyDescent="0.25">
      <c r="B482" s="43" t="str">
        <f>IF(INDEX(tblProductos[SKU],ROW()-ROW(tblConteo[#Headers]))="","",INDEX(tblProductos[SKU],ROW()-ROW(tblConteo[#Headers])))</f>
        <v/>
      </c>
      <c r="C482" s="50" t="str">
        <f>IF(tblConteo[[#This Row],[SKU]]="","",INDEX(tblProductos[Producto],ROW()-ROW(tblConteo[#Headers])))</f>
        <v/>
      </c>
      <c r="D482" s="50" t="str">
        <f>IF(tblConteo[[#This Row],[SKU]]="","",INDEX(tblProductos[Categoría],ROW()-ROW(tblConteo[#Headers]))&amp;"")</f>
        <v/>
      </c>
      <c r="E482" s="43" t="str">
        <f>IF(tblConteo[[#This Row],[SKU]]="","",INDEX(tblProductos[Ubicación],ROW()-ROW(tblConteo[#Headers]))&amp;"")</f>
        <v/>
      </c>
      <c r="F482" s="43" t="str">
        <f>IF(tblConteo[[#This Row],[SKU]]="","",INDEX(tblProductos[Unidad],ROW()-ROW(tblConteo[#Headers]))&amp;"")</f>
        <v/>
      </c>
      <c r="G482" s="43" t="str">
        <f>IF(tblConteo[[#This Row],[SKU]]="","",IF(INDEX(tblProductos[Activo],ROW()-ROW(tblConteo[#Headers]))="NO","NO","SI"))</f>
        <v/>
      </c>
      <c r="H482" s="54" t="str">
        <f>IF(tblConteo[[#This Row],[SKU]]="","",IFERROR(N(INDEX(tblStock[StockActual],MATCH(tblConteo[[#This Row],[SKU]],tblStock[SKU],0))),0))</f>
        <v/>
      </c>
      <c r="I482" s="53"/>
      <c r="J482" s="60" t="str">
        <f>IF(OR(tblConteo[[#This Row],[SKU]]="",tblConteo[[#This Row],[Conteo]]=""),"",IF(ISNUMBER(tblConteo[[#This Row],[Conteo]]),tblConteo[[#This Row],[Conteo]]-N(tblConteo[[#This Row],[Sistema]]),""))</f>
        <v/>
      </c>
      <c r="K482" s="63" t="str">
        <f>IF(tblConteo[[#This Row],[Diferencia]]="","",tblConteo[[#This Row],[Diferencia]]*N(INDEX(tblProductos[CostoUnitario],ROW()-ROW(tblConteo[#Headers]))))</f>
        <v/>
      </c>
      <c r="L48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3" spans="2:13" x14ac:dyDescent="0.25">
      <c r="B483" s="43" t="str">
        <f>IF(INDEX(tblProductos[SKU],ROW()-ROW(tblConteo[#Headers]))="","",INDEX(tblProductos[SKU],ROW()-ROW(tblConteo[#Headers])))</f>
        <v/>
      </c>
      <c r="C483" s="50" t="str">
        <f>IF(tblConteo[[#This Row],[SKU]]="","",INDEX(tblProductos[Producto],ROW()-ROW(tblConteo[#Headers])))</f>
        <v/>
      </c>
      <c r="D483" s="50" t="str">
        <f>IF(tblConteo[[#This Row],[SKU]]="","",INDEX(tblProductos[Categoría],ROW()-ROW(tblConteo[#Headers]))&amp;"")</f>
        <v/>
      </c>
      <c r="E483" s="43" t="str">
        <f>IF(tblConteo[[#This Row],[SKU]]="","",INDEX(tblProductos[Ubicación],ROW()-ROW(tblConteo[#Headers]))&amp;"")</f>
        <v/>
      </c>
      <c r="F483" s="43" t="str">
        <f>IF(tblConteo[[#This Row],[SKU]]="","",INDEX(tblProductos[Unidad],ROW()-ROW(tblConteo[#Headers]))&amp;"")</f>
        <v/>
      </c>
      <c r="G483" s="43" t="str">
        <f>IF(tblConteo[[#This Row],[SKU]]="","",IF(INDEX(tblProductos[Activo],ROW()-ROW(tblConteo[#Headers]))="NO","NO","SI"))</f>
        <v/>
      </c>
      <c r="H483" s="54" t="str">
        <f>IF(tblConteo[[#This Row],[SKU]]="","",IFERROR(N(INDEX(tblStock[StockActual],MATCH(tblConteo[[#This Row],[SKU]],tblStock[SKU],0))),0))</f>
        <v/>
      </c>
      <c r="I483" s="53"/>
      <c r="J483" s="60" t="str">
        <f>IF(OR(tblConteo[[#This Row],[SKU]]="",tblConteo[[#This Row],[Conteo]]=""),"",IF(ISNUMBER(tblConteo[[#This Row],[Conteo]]),tblConteo[[#This Row],[Conteo]]-N(tblConteo[[#This Row],[Sistema]]),""))</f>
        <v/>
      </c>
      <c r="K483" s="63" t="str">
        <f>IF(tblConteo[[#This Row],[Diferencia]]="","",tblConteo[[#This Row],[Diferencia]]*N(INDEX(tblProductos[CostoUnitario],ROW()-ROW(tblConteo[#Headers]))))</f>
        <v/>
      </c>
      <c r="L48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4" spans="2:13" x14ac:dyDescent="0.25">
      <c r="B484" s="43" t="str">
        <f>IF(INDEX(tblProductos[SKU],ROW()-ROW(tblConteo[#Headers]))="","",INDEX(tblProductos[SKU],ROW()-ROW(tblConteo[#Headers])))</f>
        <v/>
      </c>
      <c r="C484" s="50" t="str">
        <f>IF(tblConteo[[#This Row],[SKU]]="","",INDEX(tblProductos[Producto],ROW()-ROW(tblConteo[#Headers])))</f>
        <v/>
      </c>
      <c r="D484" s="50" t="str">
        <f>IF(tblConteo[[#This Row],[SKU]]="","",INDEX(tblProductos[Categoría],ROW()-ROW(tblConteo[#Headers]))&amp;"")</f>
        <v/>
      </c>
      <c r="E484" s="43" t="str">
        <f>IF(tblConteo[[#This Row],[SKU]]="","",INDEX(tblProductos[Ubicación],ROW()-ROW(tblConteo[#Headers]))&amp;"")</f>
        <v/>
      </c>
      <c r="F484" s="43" t="str">
        <f>IF(tblConteo[[#This Row],[SKU]]="","",INDEX(tblProductos[Unidad],ROW()-ROW(tblConteo[#Headers]))&amp;"")</f>
        <v/>
      </c>
      <c r="G484" s="43" t="str">
        <f>IF(tblConteo[[#This Row],[SKU]]="","",IF(INDEX(tblProductos[Activo],ROW()-ROW(tblConteo[#Headers]))="NO","NO","SI"))</f>
        <v/>
      </c>
      <c r="H484" s="54" t="str">
        <f>IF(tblConteo[[#This Row],[SKU]]="","",IFERROR(N(INDEX(tblStock[StockActual],MATCH(tblConteo[[#This Row],[SKU]],tblStock[SKU],0))),0))</f>
        <v/>
      </c>
      <c r="I484" s="53"/>
      <c r="J484" s="60" t="str">
        <f>IF(OR(tblConteo[[#This Row],[SKU]]="",tblConteo[[#This Row],[Conteo]]=""),"",IF(ISNUMBER(tblConteo[[#This Row],[Conteo]]),tblConteo[[#This Row],[Conteo]]-N(tblConteo[[#This Row],[Sistema]]),""))</f>
        <v/>
      </c>
      <c r="K484" s="63" t="str">
        <f>IF(tblConteo[[#This Row],[Diferencia]]="","",tblConteo[[#This Row],[Diferencia]]*N(INDEX(tblProductos[CostoUnitario],ROW()-ROW(tblConteo[#Headers]))))</f>
        <v/>
      </c>
      <c r="L48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5" spans="2:13" x14ac:dyDescent="0.25">
      <c r="B485" s="43" t="str">
        <f>IF(INDEX(tblProductos[SKU],ROW()-ROW(tblConteo[#Headers]))="","",INDEX(tblProductos[SKU],ROW()-ROW(tblConteo[#Headers])))</f>
        <v/>
      </c>
      <c r="C485" s="50" t="str">
        <f>IF(tblConteo[[#This Row],[SKU]]="","",INDEX(tblProductos[Producto],ROW()-ROW(tblConteo[#Headers])))</f>
        <v/>
      </c>
      <c r="D485" s="50" t="str">
        <f>IF(tblConteo[[#This Row],[SKU]]="","",INDEX(tblProductos[Categoría],ROW()-ROW(tblConteo[#Headers]))&amp;"")</f>
        <v/>
      </c>
      <c r="E485" s="43" t="str">
        <f>IF(tblConteo[[#This Row],[SKU]]="","",INDEX(tblProductos[Ubicación],ROW()-ROW(tblConteo[#Headers]))&amp;"")</f>
        <v/>
      </c>
      <c r="F485" s="43" t="str">
        <f>IF(tblConteo[[#This Row],[SKU]]="","",INDEX(tblProductos[Unidad],ROW()-ROW(tblConteo[#Headers]))&amp;"")</f>
        <v/>
      </c>
      <c r="G485" s="43" t="str">
        <f>IF(tblConteo[[#This Row],[SKU]]="","",IF(INDEX(tblProductos[Activo],ROW()-ROW(tblConteo[#Headers]))="NO","NO","SI"))</f>
        <v/>
      </c>
      <c r="H485" s="54" t="str">
        <f>IF(tblConteo[[#This Row],[SKU]]="","",IFERROR(N(INDEX(tblStock[StockActual],MATCH(tblConteo[[#This Row],[SKU]],tblStock[SKU],0))),0))</f>
        <v/>
      </c>
      <c r="I485" s="53"/>
      <c r="J485" s="60" t="str">
        <f>IF(OR(tblConteo[[#This Row],[SKU]]="",tblConteo[[#This Row],[Conteo]]=""),"",IF(ISNUMBER(tblConteo[[#This Row],[Conteo]]),tblConteo[[#This Row],[Conteo]]-N(tblConteo[[#This Row],[Sistema]]),""))</f>
        <v/>
      </c>
      <c r="K485" s="63" t="str">
        <f>IF(tblConteo[[#This Row],[Diferencia]]="","",tblConteo[[#This Row],[Diferencia]]*N(INDEX(tblProductos[CostoUnitario],ROW()-ROW(tblConteo[#Headers]))))</f>
        <v/>
      </c>
      <c r="L48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6" spans="2:13" x14ac:dyDescent="0.25">
      <c r="B486" s="43" t="str">
        <f>IF(INDEX(tblProductos[SKU],ROW()-ROW(tblConteo[#Headers]))="","",INDEX(tblProductos[SKU],ROW()-ROW(tblConteo[#Headers])))</f>
        <v/>
      </c>
      <c r="C486" s="50" t="str">
        <f>IF(tblConteo[[#This Row],[SKU]]="","",INDEX(tblProductos[Producto],ROW()-ROW(tblConteo[#Headers])))</f>
        <v/>
      </c>
      <c r="D486" s="50" t="str">
        <f>IF(tblConteo[[#This Row],[SKU]]="","",INDEX(tblProductos[Categoría],ROW()-ROW(tblConteo[#Headers]))&amp;"")</f>
        <v/>
      </c>
      <c r="E486" s="43" t="str">
        <f>IF(tblConteo[[#This Row],[SKU]]="","",INDEX(tblProductos[Ubicación],ROW()-ROW(tblConteo[#Headers]))&amp;"")</f>
        <v/>
      </c>
      <c r="F486" s="43" t="str">
        <f>IF(tblConteo[[#This Row],[SKU]]="","",INDEX(tblProductos[Unidad],ROW()-ROW(tblConteo[#Headers]))&amp;"")</f>
        <v/>
      </c>
      <c r="G486" s="43" t="str">
        <f>IF(tblConteo[[#This Row],[SKU]]="","",IF(INDEX(tblProductos[Activo],ROW()-ROW(tblConteo[#Headers]))="NO","NO","SI"))</f>
        <v/>
      </c>
      <c r="H486" s="54" t="str">
        <f>IF(tblConteo[[#This Row],[SKU]]="","",IFERROR(N(INDEX(tblStock[StockActual],MATCH(tblConteo[[#This Row],[SKU]],tblStock[SKU],0))),0))</f>
        <v/>
      </c>
      <c r="I486" s="53"/>
      <c r="J486" s="60" t="str">
        <f>IF(OR(tblConteo[[#This Row],[SKU]]="",tblConteo[[#This Row],[Conteo]]=""),"",IF(ISNUMBER(tblConteo[[#This Row],[Conteo]]),tblConteo[[#This Row],[Conteo]]-N(tblConteo[[#This Row],[Sistema]]),""))</f>
        <v/>
      </c>
      <c r="K486" s="63" t="str">
        <f>IF(tblConteo[[#This Row],[Diferencia]]="","",tblConteo[[#This Row],[Diferencia]]*N(INDEX(tblProductos[CostoUnitario],ROW()-ROW(tblConteo[#Headers]))))</f>
        <v/>
      </c>
      <c r="L48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7" spans="2:13" x14ac:dyDescent="0.25">
      <c r="B487" s="43" t="str">
        <f>IF(INDEX(tblProductos[SKU],ROW()-ROW(tblConteo[#Headers]))="","",INDEX(tblProductos[SKU],ROW()-ROW(tblConteo[#Headers])))</f>
        <v/>
      </c>
      <c r="C487" s="50" t="str">
        <f>IF(tblConteo[[#This Row],[SKU]]="","",INDEX(tblProductos[Producto],ROW()-ROW(tblConteo[#Headers])))</f>
        <v/>
      </c>
      <c r="D487" s="50" t="str">
        <f>IF(tblConteo[[#This Row],[SKU]]="","",INDEX(tblProductos[Categoría],ROW()-ROW(tblConteo[#Headers]))&amp;"")</f>
        <v/>
      </c>
      <c r="E487" s="43" t="str">
        <f>IF(tblConteo[[#This Row],[SKU]]="","",INDEX(tblProductos[Ubicación],ROW()-ROW(tblConteo[#Headers]))&amp;"")</f>
        <v/>
      </c>
      <c r="F487" s="43" t="str">
        <f>IF(tblConteo[[#This Row],[SKU]]="","",INDEX(tblProductos[Unidad],ROW()-ROW(tblConteo[#Headers]))&amp;"")</f>
        <v/>
      </c>
      <c r="G487" s="43" t="str">
        <f>IF(tblConteo[[#This Row],[SKU]]="","",IF(INDEX(tblProductos[Activo],ROW()-ROW(tblConteo[#Headers]))="NO","NO","SI"))</f>
        <v/>
      </c>
      <c r="H487" s="54" t="str">
        <f>IF(tblConteo[[#This Row],[SKU]]="","",IFERROR(N(INDEX(tblStock[StockActual],MATCH(tblConteo[[#This Row],[SKU]],tblStock[SKU],0))),0))</f>
        <v/>
      </c>
      <c r="I487" s="53"/>
      <c r="J487" s="60" t="str">
        <f>IF(OR(tblConteo[[#This Row],[SKU]]="",tblConteo[[#This Row],[Conteo]]=""),"",IF(ISNUMBER(tblConteo[[#This Row],[Conteo]]),tblConteo[[#This Row],[Conteo]]-N(tblConteo[[#This Row],[Sistema]]),""))</f>
        <v/>
      </c>
      <c r="K487" s="63" t="str">
        <f>IF(tblConteo[[#This Row],[Diferencia]]="","",tblConteo[[#This Row],[Diferencia]]*N(INDEX(tblProductos[CostoUnitario],ROW()-ROW(tblConteo[#Headers]))))</f>
        <v/>
      </c>
      <c r="L48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8" spans="2:13" x14ac:dyDescent="0.25">
      <c r="B488" s="43" t="str">
        <f>IF(INDEX(tblProductos[SKU],ROW()-ROW(tblConteo[#Headers]))="","",INDEX(tblProductos[SKU],ROW()-ROW(tblConteo[#Headers])))</f>
        <v/>
      </c>
      <c r="C488" s="50" t="str">
        <f>IF(tblConteo[[#This Row],[SKU]]="","",INDEX(tblProductos[Producto],ROW()-ROW(tblConteo[#Headers])))</f>
        <v/>
      </c>
      <c r="D488" s="50" t="str">
        <f>IF(tblConteo[[#This Row],[SKU]]="","",INDEX(tblProductos[Categoría],ROW()-ROW(tblConteo[#Headers]))&amp;"")</f>
        <v/>
      </c>
      <c r="E488" s="43" t="str">
        <f>IF(tblConteo[[#This Row],[SKU]]="","",INDEX(tblProductos[Ubicación],ROW()-ROW(tblConteo[#Headers]))&amp;"")</f>
        <v/>
      </c>
      <c r="F488" s="43" t="str">
        <f>IF(tblConteo[[#This Row],[SKU]]="","",INDEX(tblProductos[Unidad],ROW()-ROW(tblConteo[#Headers]))&amp;"")</f>
        <v/>
      </c>
      <c r="G488" s="43" t="str">
        <f>IF(tblConteo[[#This Row],[SKU]]="","",IF(INDEX(tblProductos[Activo],ROW()-ROW(tblConteo[#Headers]))="NO","NO","SI"))</f>
        <v/>
      </c>
      <c r="H488" s="54" t="str">
        <f>IF(tblConteo[[#This Row],[SKU]]="","",IFERROR(N(INDEX(tblStock[StockActual],MATCH(tblConteo[[#This Row],[SKU]],tblStock[SKU],0))),0))</f>
        <v/>
      </c>
      <c r="I488" s="53"/>
      <c r="J488" s="60" t="str">
        <f>IF(OR(tblConteo[[#This Row],[SKU]]="",tblConteo[[#This Row],[Conteo]]=""),"",IF(ISNUMBER(tblConteo[[#This Row],[Conteo]]),tblConteo[[#This Row],[Conteo]]-N(tblConteo[[#This Row],[Sistema]]),""))</f>
        <v/>
      </c>
      <c r="K488" s="63" t="str">
        <f>IF(tblConteo[[#This Row],[Diferencia]]="","",tblConteo[[#This Row],[Diferencia]]*N(INDEX(tblProductos[CostoUnitario],ROW()-ROW(tblConteo[#Headers]))))</f>
        <v/>
      </c>
      <c r="L48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89" spans="2:13" x14ac:dyDescent="0.25">
      <c r="B489" s="43" t="str">
        <f>IF(INDEX(tblProductos[SKU],ROW()-ROW(tblConteo[#Headers]))="","",INDEX(tblProductos[SKU],ROW()-ROW(tblConteo[#Headers])))</f>
        <v/>
      </c>
      <c r="C489" s="50" t="str">
        <f>IF(tblConteo[[#This Row],[SKU]]="","",INDEX(tblProductos[Producto],ROW()-ROW(tblConteo[#Headers])))</f>
        <v/>
      </c>
      <c r="D489" s="50" t="str">
        <f>IF(tblConteo[[#This Row],[SKU]]="","",INDEX(tblProductos[Categoría],ROW()-ROW(tblConteo[#Headers]))&amp;"")</f>
        <v/>
      </c>
      <c r="E489" s="43" t="str">
        <f>IF(tblConteo[[#This Row],[SKU]]="","",INDEX(tblProductos[Ubicación],ROW()-ROW(tblConteo[#Headers]))&amp;"")</f>
        <v/>
      </c>
      <c r="F489" s="43" t="str">
        <f>IF(tblConteo[[#This Row],[SKU]]="","",INDEX(tblProductos[Unidad],ROW()-ROW(tblConteo[#Headers]))&amp;"")</f>
        <v/>
      </c>
      <c r="G489" s="43" t="str">
        <f>IF(tblConteo[[#This Row],[SKU]]="","",IF(INDEX(tblProductos[Activo],ROW()-ROW(tblConteo[#Headers]))="NO","NO","SI"))</f>
        <v/>
      </c>
      <c r="H489" s="54" t="str">
        <f>IF(tblConteo[[#This Row],[SKU]]="","",IFERROR(N(INDEX(tblStock[StockActual],MATCH(tblConteo[[#This Row],[SKU]],tblStock[SKU],0))),0))</f>
        <v/>
      </c>
      <c r="I489" s="53"/>
      <c r="J489" s="60" t="str">
        <f>IF(OR(tblConteo[[#This Row],[SKU]]="",tblConteo[[#This Row],[Conteo]]=""),"",IF(ISNUMBER(tblConteo[[#This Row],[Conteo]]),tblConteo[[#This Row],[Conteo]]-N(tblConteo[[#This Row],[Sistema]]),""))</f>
        <v/>
      </c>
      <c r="K489" s="63" t="str">
        <f>IF(tblConteo[[#This Row],[Diferencia]]="","",tblConteo[[#This Row],[Diferencia]]*N(INDEX(tblProductos[CostoUnitario],ROW()-ROW(tblConteo[#Headers]))))</f>
        <v/>
      </c>
      <c r="L48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8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0" spans="2:13" x14ac:dyDescent="0.25">
      <c r="B490" s="43" t="str">
        <f>IF(INDEX(tblProductos[SKU],ROW()-ROW(tblConteo[#Headers]))="","",INDEX(tblProductos[SKU],ROW()-ROW(tblConteo[#Headers])))</f>
        <v/>
      </c>
      <c r="C490" s="50" t="str">
        <f>IF(tblConteo[[#This Row],[SKU]]="","",INDEX(tblProductos[Producto],ROW()-ROW(tblConteo[#Headers])))</f>
        <v/>
      </c>
      <c r="D490" s="50" t="str">
        <f>IF(tblConteo[[#This Row],[SKU]]="","",INDEX(tblProductos[Categoría],ROW()-ROW(tblConteo[#Headers]))&amp;"")</f>
        <v/>
      </c>
      <c r="E490" s="43" t="str">
        <f>IF(tblConteo[[#This Row],[SKU]]="","",INDEX(tblProductos[Ubicación],ROW()-ROW(tblConteo[#Headers]))&amp;"")</f>
        <v/>
      </c>
      <c r="F490" s="43" t="str">
        <f>IF(tblConteo[[#This Row],[SKU]]="","",INDEX(tblProductos[Unidad],ROW()-ROW(tblConteo[#Headers]))&amp;"")</f>
        <v/>
      </c>
      <c r="G490" s="43" t="str">
        <f>IF(tblConteo[[#This Row],[SKU]]="","",IF(INDEX(tblProductos[Activo],ROW()-ROW(tblConteo[#Headers]))="NO","NO","SI"))</f>
        <v/>
      </c>
      <c r="H490" s="54" t="str">
        <f>IF(tblConteo[[#This Row],[SKU]]="","",IFERROR(N(INDEX(tblStock[StockActual],MATCH(tblConteo[[#This Row],[SKU]],tblStock[SKU],0))),0))</f>
        <v/>
      </c>
      <c r="I490" s="53"/>
      <c r="J490" s="60" t="str">
        <f>IF(OR(tblConteo[[#This Row],[SKU]]="",tblConteo[[#This Row],[Conteo]]=""),"",IF(ISNUMBER(tblConteo[[#This Row],[Conteo]]),tblConteo[[#This Row],[Conteo]]-N(tblConteo[[#This Row],[Sistema]]),""))</f>
        <v/>
      </c>
      <c r="K490" s="63" t="str">
        <f>IF(tblConteo[[#This Row],[Diferencia]]="","",tblConteo[[#This Row],[Diferencia]]*N(INDEX(tblProductos[CostoUnitario],ROW()-ROW(tblConteo[#Headers]))))</f>
        <v/>
      </c>
      <c r="L49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1" spans="2:13" x14ac:dyDescent="0.25">
      <c r="B491" s="43" t="str">
        <f>IF(INDEX(tblProductos[SKU],ROW()-ROW(tblConteo[#Headers]))="","",INDEX(tblProductos[SKU],ROW()-ROW(tblConteo[#Headers])))</f>
        <v/>
      </c>
      <c r="C491" s="50" t="str">
        <f>IF(tblConteo[[#This Row],[SKU]]="","",INDEX(tblProductos[Producto],ROW()-ROW(tblConteo[#Headers])))</f>
        <v/>
      </c>
      <c r="D491" s="50" t="str">
        <f>IF(tblConteo[[#This Row],[SKU]]="","",INDEX(tblProductos[Categoría],ROW()-ROW(tblConteo[#Headers]))&amp;"")</f>
        <v/>
      </c>
      <c r="E491" s="43" t="str">
        <f>IF(tblConteo[[#This Row],[SKU]]="","",INDEX(tblProductos[Ubicación],ROW()-ROW(tblConteo[#Headers]))&amp;"")</f>
        <v/>
      </c>
      <c r="F491" s="43" t="str">
        <f>IF(tblConteo[[#This Row],[SKU]]="","",INDEX(tblProductos[Unidad],ROW()-ROW(tblConteo[#Headers]))&amp;"")</f>
        <v/>
      </c>
      <c r="G491" s="43" t="str">
        <f>IF(tblConteo[[#This Row],[SKU]]="","",IF(INDEX(tblProductos[Activo],ROW()-ROW(tblConteo[#Headers]))="NO","NO","SI"))</f>
        <v/>
      </c>
      <c r="H491" s="54" t="str">
        <f>IF(tblConteo[[#This Row],[SKU]]="","",IFERROR(N(INDEX(tblStock[StockActual],MATCH(tblConteo[[#This Row],[SKU]],tblStock[SKU],0))),0))</f>
        <v/>
      </c>
      <c r="I491" s="53"/>
      <c r="J491" s="60" t="str">
        <f>IF(OR(tblConteo[[#This Row],[SKU]]="",tblConteo[[#This Row],[Conteo]]=""),"",IF(ISNUMBER(tblConteo[[#This Row],[Conteo]]),tblConteo[[#This Row],[Conteo]]-N(tblConteo[[#This Row],[Sistema]]),""))</f>
        <v/>
      </c>
      <c r="K491" s="63" t="str">
        <f>IF(tblConteo[[#This Row],[Diferencia]]="","",tblConteo[[#This Row],[Diferencia]]*N(INDEX(tblProductos[CostoUnitario],ROW()-ROW(tblConteo[#Headers]))))</f>
        <v/>
      </c>
      <c r="L49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2" spans="2:13" x14ac:dyDescent="0.25">
      <c r="B492" s="43" t="str">
        <f>IF(INDEX(tblProductos[SKU],ROW()-ROW(tblConteo[#Headers]))="","",INDEX(tblProductos[SKU],ROW()-ROW(tblConteo[#Headers])))</f>
        <v/>
      </c>
      <c r="C492" s="50" t="str">
        <f>IF(tblConteo[[#This Row],[SKU]]="","",INDEX(tblProductos[Producto],ROW()-ROW(tblConteo[#Headers])))</f>
        <v/>
      </c>
      <c r="D492" s="50" t="str">
        <f>IF(tblConteo[[#This Row],[SKU]]="","",INDEX(tblProductos[Categoría],ROW()-ROW(tblConteo[#Headers]))&amp;"")</f>
        <v/>
      </c>
      <c r="E492" s="43" t="str">
        <f>IF(tblConteo[[#This Row],[SKU]]="","",INDEX(tblProductos[Ubicación],ROW()-ROW(tblConteo[#Headers]))&amp;"")</f>
        <v/>
      </c>
      <c r="F492" s="43" t="str">
        <f>IF(tblConteo[[#This Row],[SKU]]="","",INDEX(tblProductos[Unidad],ROW()-ROW(tblConteo[#Headers]))&amp;"")</f>
        <v/>
      </c>
      <c r="G492" s="43" t="str">
        <f>IF(tblConteo[[#This Row],[SKU]]="","",IF(INDEX(tblProductos[Activo],ROW()-ROW(tblConteo[#Headers]))="NO","NO","SI"))</f>
        <v/>
      </c>
      <c r="H492" s="54" t="str">
        <f>IF(tblConteo[[#This Row],[SKU]]="","",IFERROR(N(INDEX(tblStock[StockActual],MATCH(tblConteo[[#This Row],[SKU]],tblStock[SKU],0))),0))</f>
        <v/>
      </c>
      <c r="I492" s="53"/>
      <c r="J492" s="60" t="str">
        <f>IF(OR(tblConteo[[#This Row],[SKU]]="",tblConteo[[#This Row],[Conteo]]=""),"",IF(ISNUMBER(tblConteo[[#This Row],[Conteo]]),tblConteo[[#This Row],[Conteo]]-N(tblConteo[[#This Row],[Sistema]]),""))</f>
        <v/>
      </c>
      <c r="K492" s="63" t="str">
        <f>IF(tblConteo[[#This Row],[Diferencia]]="","",tblConteo[[#This Row],[Diferencia]]*N(INDEX(tblProductos[CostoUnitario],ROW()-ROW(tblConteo[#Headers]))))</f>
        <v/>
      </c>
      <c r="L49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3" spans="2:13" x14ac:dyDescent="0.25">
      <c r="B493" s="43" t="str">
        <f>IF(INDEX(tblProductos[SKU],ROW()-ROW(tblConteo[#Headers]))="","",INDEX(tblProductos[SKU],ROW()-ROW(tblConteo[#Headers])))</f>
        <v/>
      </c>
      <c r="C493" s="50" t="str">
        <f>IF(tblConteo[[#This Row],[SKU]]="","",INDEX(tblProductos[Producto],ROW()-ROW(tblConteo[#Headers])))</f>
        <v/>
      </c>
      <c r="D493" s="50" t="str">
        <f>IF(tblConteo[[#This Row],[SKU]]="","",INDEX(tblProductos[Categoría],ROW()-ROW(tblConteo[#Headers]))&amp;"")</f>
        <v/>
      </c>
      <c r="E493" s="43" t="str">
        <f>IF(tblConteo[[#This Row],[SKU]]="","",INDEX(tblProductos[Ubicación],ROW()-ROW(tblConteo[#Headers]))&amp;"")</f>
        <v/>
      </c>
      <c r="F493" s="43" t="str">
        <f>IF(tblConteo[[#This Row],[SKU]]="","",INDEX(tblProductos[Unidad],ROW()-ROW(tblConteo[#Headers]))&amp;"")</f>
        <v/>
      </c>
      <c r="G493" s="43" t="str">
        <f>IF(tblConteo[[#This Row],[SKU]]="","",IF(INDEX(tblProductos[Activo],ROW()-ROW(tblConteo[#Headers]))="NO","NO","SI"))</f>
        <v/>
      </c>
      <c r="H493" s="54" t="str">
        <f>IF(tblConteo[[#This Row],[SKU]]="","",IFERROR(N(INDEX(tblStock[StockActual],MATCH(tblConteo[[#This Row],[SKU]],tblStock[SKU],0))),0))</f>
        <v/>
      </c>
      <c r="I493" s="53"/>
      <c r="J493" s="60" t="str">
        <f>IF(OR(tblConteo[[#This Row],[SKU]]="",tblConteo[[#This Row],[Conteo]]=""),"",IF(ISNUMBER(tblConteo[[#This Row],[Conteo]]),tblConteo[[#This Row],[Conteo]]-N(tblConteo[[#This Row],[Sistema]]),""))</f>
        <v/>
      </c>
      <c r="K493" s="63" t="str">
        <f>IF(tblConteo[[#This Row],[Diferencia]]="","",tblConteo[[#This Row],[Diferencia]]*N(INDEX(tblProductos[CostoUnitario],ROW()-ROW(tblConteo[#Headers]))))</f>
        <v/>
      </c>
      <c r="L49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4" spans="2:13" x14ac:dyDescent="0.25">
      <c r="B494" s="43" t="str">
        <f>IF(INDEX(tblProductos[SKU],ROW()-ROW(tblConteo[#Headers]))="","",INDEX(tblProductos[SKU],ROW()-ROW(tblConteo[#Headers])))</f>
        <v/>
      </c>
      <c r="C494" s="50" t="str">
        <f>IF(tblConteo[[#This Row],[SKU]]="","",INDEX(tblProductos[Producto],ROW()-ROW(tblConteo[#Headers])))</f>
        <v/>
      </c>
      <c r="D494" s="50" t="str">
        <f>IF(tblConteo[[#This Row],[SKU]]="","",INDEX(tblProductos[Categoría],ROW()-ROW(tblConteo[#Headers]))&amp;"")</f>
        <v/>
      </c>
      <c r="E494" s="43" t="str">
        <f>IF(tblConteo[[#This Row],[SKU]]="","",INDEX(tblProductos[Ubicación],ROW()-ROW(tblConteo[#Headers]))&amp;"")</f>
        <v/>
      </c>
      <c r="F494" s="43" t="str">
        <f>IF(tblConteo[[#This Row],[SKU]]="","",INDEX(tblProductos[Unidad],ROW()-ROW(tblConteo[#Headers]))&amp;"")</f>
        <v/>
      </c>
      <c r="G494" s="43" t="str">
        <f>IF(tblConteo[[#This Row],[SKU]]="","",IF(INDEX(tblProductos[Activo],ROW()-ROW(tblConteo[#Headers]))="NO","NO","SI"))</f>
        <v/>
      </c>
      <c r="H494" s="54" t="str">
        <f>IF(tblConteo[[#This Row],[SKU]]="","",IFERROR(N(INDEX(tblStock[StockActual],MATCH(tblConteo[[#This Row],[SKU]],tblStock[SKU],0))),0))</f>
        <v/>
      </c>
      <c r="I494" s="53"/>
      <c r="J494" s="60" t="str">
        <f>IF(OR(tblConteo[[#This Row],[SKU]]="",tblConteo[[#This Row],[Conteo]]=""),"",IF(ISNUMBER(tblConteo[[#This Row],[Conteo]]),tblConteo[[#This Row],[Conteo]]-N(tblConteo[[#This Row],[Sistema]]),""))</f>
        <v/>
      </c>
      <c r="K494" s="63" t="str">
        <f>IF(tblConteo[[#This Row],[Diferencia]]="","",tblConteo[[#This Row],[Diferencia]]*N(INDEX(tblProductos[CostoUnitario],ROW()-ROW(tblConteo[#Headers]))))</f>
        <v/>
      </c>
      <c r="L49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5" spans="2:13" x14ac:dyDescent="0.25">
      <c r="B495" s="43" t="str">
        <f>IF(INDEX(tblProductos[SKU],ROW()-ROW(tblConteo[#Headers]))="","",INDEX(tblProductos[SKU],ROW()-ROW(tblConteo[#Headers])))</f>
        <v/>
      </c>
      <c r="C495" s="50" t="str">
        <f>IF(tblConteo[[#This Row],[SKU]]="","",INDEX(tblProductos[Producto],ROW()-ROW(tblConteo[#Headers])))</f>
        <v/>
      </c>
      <c r="D495" s="50" t="str">
        <f>IF(tblConteo[[#This Row],[SKU]]="","",INDEX(tblProductos[Categoría],ROW()-ROW(tblConteo[#Headers]))&amp;"")</f>
        <v/>
      </c>
      <c r="E495" s="43" t="str">
        <f>IF(tblConteo[[#This Row],[SKU]]="","",INDEX(tblProductos[Ubicación],ROW()-ROW(tblConteo[#Headers]))&amp;"")</f>
        <v/>
      </c>
      <c r="F495" s="43" t="str">
        <f>IF(tblConteo[[#This Row],[SKU]]="","",INDEX(tblProductos[Unidad],ROW()-ROW(tblConteo[#Headers]))&amp;"")</f>
        <v/>
      </c>
      <c r="G495" s="43" t="str">
        <f>IF(tblConteo[[#This Row],[SKU]]="","",IF(INDEX(tblProductos[Activo],ROW()-ROW(tblConteo[#Headers]))="NO","NO","SI"))</f>
        <v/>
      </c>
      <c r="H495" s="54" t="str">
        <f>IF(tblConteo[[#This Row],[SKU]]="","",IFERROR(N(INDEX(tblStock[StockActual],MATCH(tblConteo[[#This Row],[SKU]],tblStock[SKU],0))),0))</f>
        <v/>
      </c>
      <c r="I495" s="53"/>
      <c r="J495" s="60" t="str">
        <f>IF(OR(tblConteo[[#This Row],[SKU]]="",tblConteo[[#This Row],[Conteo]]=""),"",IF(ISNUMBER(tblConteo[[#This Row],[Conteo]]),tblConteo[[#This Row],[Conteo]]-N(tblConteo[[#This Row],[Sistema]]),""))</f>
        <v/>
      </c>
      <c r="K495" s="63" t="str">
        <f>IF(tblConteo[[#This Row],[Diferencia]]="","",tblConteo[[#This Row],[Diferencia]]*N(INDEX(tblProductos[CostoUnitario],ROW()-ROW(tblConteo[#Headers]))))</f>
        <v/>
      </c>
      <c r="L49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6" spans="2:13" x14ac:dyDescent="0.25">
      <c r="B496" s="43" t="str">
        <f>IF(INDEX(tblProductos[SKU],ROW()-ROW(tblConteo[#Headers]))="","",INDEX(tblProductos[SKU],ROW()-ROW(tblConteo[#Headers])))</f>
        <v/>
      </c>
      <c r="C496" s="50" t="str">
        <f>IF(tblConteo[[#This Row],[SKU]]="","",INDEX(tblProductos[Producto],ROW()-ROW(tblConteo[#Headers])))</f>
        <v/>
      </c>
      <c r="D496" s="50" t="str">
        <f>IF(tblConteo[[#This Row],[SKU]]="","",INDEX(tblProductos[Categoría],ROW()-ROW(tblConteo[#Headers]))&amp;"")</f>
        <v/>
      </c>
      <c r="E496" s="43" t="str">
        <f>IF(tblConteo[[#This Row],[SKU]]="","",INDEX(tblProductos[Ubicación],ROW()-ROW(tblConteo[#Headers]))&amp;"")</f>
        <v/>
      </c>
      <c r="F496" s="43" t="str">
        <f>IF(tblConteo[[#This Row],[SKU]]="","",INDEX(tblProductos[Unidad],ROW()-ROW(tblConteo[#Headers]))&amp;"")</f>
        <v/>
      </c>
      <c r="G496" s="43" t="str">
        <f>IF(tblConteo[[#This Row],[SKU]]="","",IF(INDEX(tblProductos[Activo],ROW()-ROW(tblConteo[#Headers]))="NO","NO","SI"))</f>
        <v/>
      </c>
      <c r="H496" s="54" t="str">
        <f>IF(tblConteo[[#This Row],[SKU]]="","",IFERROR(N(INDEX(tblStock[StockActual],MATCH(tblConteo[[#This Row],[SKU]],tblStock[SKU],0))),0))</f>
        <v/>
      </c>
      <c r="I496" s="53"/>
      <c r="J496" s="60" t="str">
        <f>IF(OR(tblConteo[[#This Row],[SKU]]="",tblConteo[[#This Row],[Conteo]]=""),"",IF(ISNUMBER(tblConteo[[#This Row],[Conteo]]),tblConteo[[#This Row],[Conteo]]-N(tblConteo[[#This Row],[Sistema]]),""))</f>
        <v/>
      </c>
      <c r="K496" s="63" t="str">
        <f>IF(tblConteo[[#This Row],[Diferencia]]="","",tblConteo[[#This Row],[Diferencia]]*N(INDEX(tblProductos[CostoUnitario],ROW()-ROW(tblConteo[#Headers]))))</f>
        <v/>
      </c>
      <c r="L49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7" spans="2:13" x14ac:dyDescent="0.25">
      <c r="B497" s="43" t="str">
        <f>IF(INDEX(tblProductos[SKU],ROW()-ROW(tblConteo[#Headers]))="","",INDEX(tblProductos[SKU],ROW()-ROW(tblConteo[#Headers])))</f>
        <v/>
      </c>
      <c r="C497" s="50" t="str">
        <f>IF(tblConteo[[#This Row],[SKU]]="","",INDEX(tblProductos[Producto],ROW()-ROW(tblConteo[#Headers])))</f>
        <v/>
      </c>
      <c r="D497" s="50" t="str">
        <f>IF(tblConteo[[#This Row],[SKU]]="","",INDEX(tblProductos[Categoría],ROW()-ROW(tblConteo[#Headers]))&amp;"")</f>
        <v/>
      </c>
      <c r="E497" s="43" t="str">
        <f>IF(tblConteo[[#This Row],[SKU]]="","",INDEX(tblProductos[Ubicación],ROW()-ROW(tblConteo[#Headers]))&amp;"")</f>
        <v/>
      </c>
      <c r="F497" s="43" t="str">
        <f>IF(tblConteo[[#This Row],[SKU]]="","",INDEX(tblProductos[Unidad],ROW()-ROW(tblConteo[#Headers]))&amp;"")</f>
        <v/>
      </c>
      <c r="G497" s="43" t="str">
        <f>IF(tblConteo[[#This Row],[SKU]]="","",IF(INDEX(tblProductos[Activo],ROW()-ROW(tblConteo[#Headers]))="NO","NO","SI"))</f>
        <v/>
      </c>
      <c r="H497" s="54" t="str">
        <f>IF(tblConteo[[#This Row],[SKU]]="","",IFERROR(N(INDEX(tblStock[StockActual],MATCH(tblConteo[[#This Row],[SKU]],tblStock[SKU],0))),0))</f>
        <v/>
      </c>
      <c r="I497" s="53"/>
      <c r="J497" s="60" t="str">
        <f>IF(OR(tblConteo[[#This Row],[SKU]]="",tblConteo[[#This Row],[Conteo]]=""),"",IF(ISNUMBER(tblConteo[[#This Row],[Conteo]]),tblConteo[[#This Row],[Conteo]]-N(tblConteo[[#This Row],[Sistema]]),""))</f>
        <v/>
      </c>
      <c r="K497" s="63" t="str">
        <f>IF(tblConteo[[#This Row],[Diferencia]]="","",tblConteo[[#This Row],[Diferencia]]*N(INDEX(tblProductos[CostoUnitario],ROW()-ROW(tblConteo[#Headers]))))</f>
        <v/>
      </c>
      <c r="L49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8" spans="2:13" x14ac:dyDescent="0.25">
      <c r="B498" s="43" t="str">
        <f>IF(INDEX(tblProductos[SKU],ROW()-ROW(tblConteo[#Headers]))="","",INDEX(tblProductos[SKU],ROW()-ROW(tblConteo[#Headers])))</f>
        <v/>
      </c>
      <c r="C498" s="50" t="str">
        <f>IF(tblConteo[[#This Row],[SKU]]="","",INDEX(tblProductos[Producto],ROW()-ROW(tblConteo[#Headers])))</f>
        <v/>
      </c>
      <c r="D498" s="50" t="str">
        <f>IF(tblConteo[[#This Row],[SKU]]="","",INDEX(tblProductos[Categoría],ROW()-ROW(tblConteo[#Headers]))&amp;"")</f>
        <v/>
      </c>
      <c r="E498" s="43" t="str">
        <f>IF(tblConteo[[#This Row],[SKU]]="","",INDEX(tblProductos[Ubicación],ROW()-ROW(tblConteo[#Headers]))&amp;"")</f>
        <v/>
      </c>
      <c r="F498" s="43" t="str">
        <f>IF(tblConteo[[#This Row],[SKU]]="","",INDEX(tblProductos[Unidad],ROW()-ROW(tblConteo[#Headers]))&amp;"")</f>
        <v/>
      </c>
      <c r="G498" s="43" t="str">
        <f>IF(tblConteo[[#This Row],[SKU]]="","",IF(INDEX(tblProductos[Activo],ROW()-ROW(tblConteo[#Headers]))="NO","NO","SI"))</f>
        <v/>
      </c>
      <c r="H498" s="54" t="str">
        <f>IF(tblConteo[[#This Row],[SKU]]="","",IFERROR(N(INDEX(tblStock[StockActual],MATCH(tblConteo[[#This Row],[SKU]],tblStock[SKU],0))),0))</f>
        <v/>
      </c>
      <c r="I498" s="53"/>
      <c r="J498" s="60" t="str">
        <f>IF(OR(tblConteo[[#This Row],[SKU]]="",tblConteo[[#This Row],[Conteo]]=""),"",IF(ISNUMBER(tblConteo[[#This Row],[Conteo]]),tblConteo[[#This Row],[Conteo]]-N(tblConteo[[#This Row],[Sistema]]),""))</f>
        <v/>
      </c>
      <c r="K498" s="63" t="str">
        <f>IF(tblConteo[[#This Row],[Diferencia]]="","",tblConteo[[#This Row],[Diferencia]]*N(INDEX(tblProductos[CostoUnitario],ROW()-ROW(tblConteo[#Headers]))))</f>
        <v/>
      </c>
      <c r="L49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499" spans="2:13" x14ac:dyDescent="0.25">
      <c r="B499" s="43" t="str">
        <f>IF(INDEX(tblProductos[SKU],ROW()-ROW(tblConteo[#Headers]))="","",INDEX(tblProductos[SKU],ROW()-ROW(tblConteo[#Headers])))</f>
        <v/>
      </c>
      <c r="C499" s="50" t="str">
        <f>IF(tblConteo[[#This Row],[SKU]]="","",INDEX(tblProductos[Producto],ROW()-ROW(tblConteo[#Headers])))</f>
        <v/>
      </c>
      <c r="D499" s="50" t="str">
        <f>IF(tblConteo[[#This Row],[SKU]]="","",INDEX(tblProductos[Categoría],ROW()-ROW(tblConteo[#Headers]))&amp;"")</f>
        <v/>
      </c>
      <c r="E499" s="43" t="str">
        <f>IF(tblConteo[[#This Row],[SKU]]="","",INDEX(tblProductos[Ubicación],ROW()-ROW(tblConteo[#Headers]))&amp;"")</f>
        <v/>
      </c>
      <c r="F499" s="43" t="str">
        <f>IF(tblConteo[[#This Row],[SKU]]="","",INDEX(tblProductos[Unidad],ROW()-ROW(tblConteo[#Headers]))&amp;"")</f>
        <v/>
      </c>
      <c r="G499" s="43" t="str">
        <f>IF(tblConteo[[#This Row],[SKU]]="","",IF(INDEX(tblProductos[Activo],ROW()-ROW(tblConteo[#Headers]))="NO","NO","SI"))</f>
        <v/>
      </c>
      <c r="H499" s="54" t="str">
        <f>IF(tblConteo[[#This Row],[SKU]]="","",IFERROR(N(INDEX(tblStock[StockActual],MATCH(tblConteo[[#This Row],[SKU]],tblStock[SKU],0))),0))</f>
        <v/>
      </c>
      <c r="I499" s="53"/>
      <c r="J499" s="60" t="str">
        <f>IF(OR(tblConteo[[#This Row],[SKU]]="",tblConteo[[#This Row],[Conteo]]=""),"",IF(ISNUMBER(tblConteo[[#This Row],[Conteo]]),tblConteo[[#This Row],[Conteo]]-N(tblConteo[[#This Row],[Sistema]]),""))</f>
        <v/>
      </c>
      <c r="K499" s="63" t="str">
        <f>IF(tblConteo[[#This Row],[Diferencia]]="","",tblConteo[[#This Row],[Diferencia]]*N(INDEX(tblProductos[CostoUnitario],ROW()-ROW(tblConteo[#Headers]))))</f>
        <v/>
      </c>
      <c r="L499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499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0" spans="2:13" x14ac:dyDescent="0.25">
      <c r="B500" s="43" t="str">
        <f>IF(INDEX(tblProductos[SKU],ROW()-ROW(tblConteo[#Headers]))="","",INDEX(tblProductos[SKU],ROW()-ROW(tblConteo[#Headers])))</f>
        <v/>
      </c>
      <c r="C500" s="50" t="str">
        <f>IF(tblConteo[[#This Row],[SKU]]="","",INDEX(tblProductos[Producto],ROW()-ROW(tblConteo[#Headers])))</f>
        <v/>
      </c>
      <c r="D500" s="50" t="str">
        <f>IF(tblConteo[[#This Row],[SKU]]="","",INDEX(tblProductos[Categoría],ROW()-ROW(tblConteo[#Headers]))&amp;"")</f>
        <v/>
      </c>
      <c r="E500" s="43" t="str">
        <f>IF(tblConteo[[#This Row],[SKU]]="","",INDEX(tblProductos[Ubicación],ROW()-ROW(tblConteo[#Headers]))&amp;"")</f>
        <v/>
      </c>
      <c r="F500" s="43" t="str">
        <f>IF(tblConteo[[#This Row],[SKU]]="","",INDEX(tblProductos[Unidad],ROW()-ROW(tblConteo[#Headers]))&amp;"")</f>
        <v/>
      </c>
      <c r="G500" s="43" t="str">
        <f>IF(tblConteo[[#This Row],[SKU]]="","",IF(INDEX(tblProductos[Activo],ROW()-ROW(tblConteo[#Headers]))="NO","NO","SI"))</f>
        <v/>
      </c>
      <c r="H500" s="54" t="str">
        <f>IF(tblConteo[[#This Row],[SKU]]="","",IFERROR(N(INDEX(tblStock[StockActual],MATCH(tblConteo[[#This Row],[SKU]],tblStock[SKU],0))),0))</f>
        <v/>
      </c>
      <c r="I500" s="53"/>
      <c r="J500" s="60" t="str">
        <f>IF(OR(tblConteo[[#This Row],[SKU]]="",tblConteo[[#This Row],[Conteo]]=""),"",IF(ISNUMBER(tblConteo[[#This Row],[Conteo]]),tblConteo[[#This Row],[Conteo]]-N(tblConteo[[#This Row],[Sistema]]),""))</f>
        <v/>
      </c>
      <c r="K500" s="63" t="str">
        <f>IF(tblConteo[[#This Row],[Diferencia]]="","",tblConteo[[#This Row],[Diferencia]]*N(INDEX(tblProductos[CostoUnitario],ROW()-ROW(tblConteo[#Headers]))))</f>
        <v/>
      </c>
      <c r="L500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0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1" spans="2:13" x14ac:dyDescent="0.25">
      <c r="B501" s="43" t="str">
        <f>IF(INDEX(tblProductos[SKU],ROW()-ROW(tblConteo[#Headers]))="","",INDEX(tblProductos[SKU],ROW()-ROW(tblConteo[#Headers])))</f>
        <v/>
      </c>
      <c r="C501" s="50" t="str">
        <f>IF(tblConteo[[#This Row],[SKU]]="","",INDEX(tblProductos[Producto],ROW()-ROW(tblConteo[#Headers])))</f>
        <v/>
      </c>
      <c r="D501" s="50" t="str">
        <f>IF(tblConteo[[#This Row],[SKU]]="","",INDEX(tblProductos[Categoría],ROW()-ROW(tblConteo[#Headers]))&amp;"")</f>
        <v/>
      </c>
      <c r="E501" s="43" t="str">
        <f>IF(tblConteo[[#This Row],[SKU]]="","",INDEX(tblProductos[Ubicación],ROW()-ROW(tblConteo[#Headers]))&amp;"")</f>
        <v/>
      </c>
      <c r="F501" s="43" t="str">
        <f>IF(tblConteo[[#This Row],[SKU]]="","",INDEX(tblProductos[Unidad],ROW()-ROW(tblConteo[#Headers]))&amp;"")</f>
        <v/>
      </c>
      <c r="G501" s="43" t="str">
        <f>IF(tblConteo[[#This Row],[SKU]]="","",IF(INDEX(tblProductos[Activo],ROW()-ROW(tblConteo[#Headers]))="NO","NO","SI"))</f>
        <v/>
      </c>
      <c r="H501" s="54" t="str">
        <f>IF(tblConteo[[#This Row],[SKU]]="","",IFERROR(N(INDEX(tblStock[StockActual],MATCH(tblConteo[[#This Row],[SKU]],tblStock[SKU],0))),0))</f>
        <v/>
      </c>
      <c r="I501" s="53"/>
      <c r="J501" s="60" t="str">
        <f>IF(OR(tblConteo[[#This Row],[SKU]]="",tblConteo[[#This Row],[Conteo]]=""),"",IF(ISNUMBER(tblConteo[[#This Row],[Conteo]]),tblConteo[[#This Row],[Conteo]]-N(tblConteo[[#This Row],[Sistema]]),""))</f>
        <v/>
      </c>
      <c r="K501" s="63" t="str">
        <f>IF(tblConteo[[#This Row],[Diferencia]]="","",tblConteo[[#This Row],[Diferencia]]*N(INDEX(tblProductos[CostoUnitario],ROW()-ROW(tblConteo[#Headers]))))</f>
        <v/>
      </c>
      <c r="L501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1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2" spans="2:13" x14ac:dyDescent="0.25">
      <c r="B502" s="43" t="str">
        <f>IF(INDEX(tblProductos[SKU],ROW()-ROW(tblConteo[#Headers]))="","",INDEX(tblProductos[SKU],ROW()-ROW(tblConteo[#Headers])))</f>
        <v/>
      </c>
      <c r="C502" s="50" t="str">
        <f>IF(tblConteo[[#This Row],[SKU]]="","",INDEX(tblProductos[Producto],ROW()-ROW(tblConteo[#Headers])))</f>
        <v/>
      </c>
      <c r="D502" s="50" t="str">
        <f>IF(tblConteo[[#This Row],[SKU]]="","",INDEX(tblProductos[Categoría],ROW()-ROW(tblConteo[#Headers]))&amp;"")</f>
        <v/>
      </c>
      <c r="E502" s="43" t="str">
        <f>IF(tblConteo[[#This Row],[SKU]]="","",INDEX(tblProductos[Ubicación],ROW()-ROW(tblConteo[#Headers]))&amp;"")</f>
        <v/>
      </c>
      <c r="F502" s="43" t="str">
        <f>IF(tblConteo[[#This Row],[SKU]]="","",INDEX(tblProductos[Unidad],ROW()-ROW(tblConteo[#Headers]))&amp;"")</f>
        <v/>
      </c>
      <c r="G502" s="43" t="str">
        <f>IF(tblConteo[[#This Row],[SKU]]="","",IF(INDEX(tblProductos[Activo],ROW()-ROW(tblConteo[#Headers]))="NO","NO","SI"))</f>
        <v/>
      </c>
      <c r="H502" s="54" t="str">
        <f>IF(tblConteo[[#This Row],[SKU]]="","",IFERROR(N(INDEX(tblStock[StockActual],MATCH(tblConteo[[#This Row],[SKU]],tblStock[SKU],0))),0))</f>
        <v/>
      </c>
      <c r="I502" s="53"/>
      <c r="J502" s="60" t="str">
        <f>IF(OR(tblConteo[[#This Row],[SKU]]="",tblConteo[[#This Row],[Conteo]]=""),"",IF(ISNUMBER(tblConteo[[#This Row],[Conteo]]),tblConteo[[#This Row],[Conteo]]-N(tblConteo[[#This Row],[Sistema]]),""))</f>
        <v/>
      </c>
      <c r="K502" s="63" t="str">
        <f>IF(tblConteo[[#This Row],[Diferencia]]="","",tblConteo[[#This Row],[Diferencia]]*N(INDEX(tblProductos[CostoUnitario],ROW()-ROW(tblConteo[#Headers]))))</f>
        <v/>
      </c>
      <c r="L502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2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3" spans="2:13" x14ac:dyDescent="0.25">
      <c r="B503" s="43" t="str">
        <f>IF(INDEX(tblProductos[SKU],ROW()-ROW(tblConteo[#Headers]))="","",INDEX(tblProductos[SKU],ROW()-ROW(tblConteo[#Headers])))</f>
        <v/>
      </c>
      <c r="C503" s="50" t="str">
        <f>IF(tblConteo[[#This Row],[SKU]]="","",INDEX(tblProductos[Producto],ROW()-ROW(tblConteo[#Headers])))</f>
        <v/>
      </c>
      <c r="D503" s="50" t="str">
        <f>IF(tblConteo[[#This Row],[SKU]]="","",INDEX(tblProductos[Categoría],ROW()-ROW(tblConteo[#Headers]))&amp;"")</f>
        <v/>
      </c>
      <c r="E503" s="43" t="str">
        <f>IF(tblConteo[[#This Row],[SKU]]="","",INDEX(tblProductos[Ubicación],ROW()-ROW(tblConteo[#Headers]))&amp;"")</f>
        <v/>
      </c>
      <c r="F503" s="43" t="str">
        <f>IF(tblConteo[[#This Row],[SKU]]="","",INDEX(tblProductos[Unidad],ROW()-ROW(tblConteo[#Headers]))&amp;"")</f>
        <v/>
      </c>
      <c r="G503" s="43" t="str">
        <f>IF(tblConteo[[#This Row],[SKU]]="","",IF(INDEX(tblProductos[Activo],ROW()-ROW(tblConteo[#Headers]))="NO","NO","SI"))</f>
        <v/>
      </c>
      <c r="H503" s="54" t="str">
        <f>IF(tblConteo[[#This Row],[SKU]]="","",IFERROR(N(INDEX(tblStock[StockActual],MATCH(tblConteo[[#This Row],[SKU]],tblStock[SKU],0))),0))</f>
        <v/>
      </c>
      <c r="I503" s="53"/>
      <c r="J503" s="60" t="str">
        <f>IF(OR(tblConteo[[#This Row],[SKU]]="",tblConteo[[#This Row],[Conteo]]=""),"",IF(ISNUMBER(tblConteo[[#This Row],[Conteo]]),tblConteo[[#This Row],[Conteo]]-N(tblConteo[[#This Row],[Sistema]]),""))</f>
        <v/>
      </c>
      <c r="K503" s="63" t="str">
        <f>IF(tblConteo[[#This Row],[Diferencia]]="","",tblConteo[[#This Row],[Diferencia]]*N(INDEX(tblProductos[CostoUnitario],ROW()-ROW(tblConteo[#Headers]))))</f>
        <v/>
      </c>
      <c r="L503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3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4" spans="2:13" x14ac:dyDescent="0.25">
      <c r="B504" s="43" t="str">
        <f>IF(INDEX(tblProductos[SKU],ROW()-ROW(tblConteo[#Headers]))="","",INDEX(tblProductos[SKU],ROW()-ROW(tblConteo[#Headers])))</f>
        <v/>
      </c>
      <c r="C504" s="50" t="str">
        <f>IF(tblConteo[[#This Row],[SKU]]="","",INDEX(tblProductos[Producto],ROW()-ROW(tblConteo[#Headers])))</f>
        <v/>
      </c>
      <c r="D504" s="50" t="str">
        <f>IF(tblConteo[[#This Row],[SKU]]="","",INDEX(tblProductos[Categoría],ROW()-ROW(tblConteo[#Headers]))&amp;"")</f>
        <v/>
      </c>
      <c r="E504" s="43" t="str">
        <f>IF(tblConteo[[#This Row],[SKU]]="","",INDEX(tblProductos[Ubicación],ROW()-ROW(tblConteo[#Headers]))&amp;"")</f>
        <v/>
      </c>
      <c r="F504" s="43" t="str">
        <f>IF(tblConteo[[#This Row],[SKU]]="","",INDEX(tblProductos[Unidad],ROW()-ROW(tblConteo[#Headers]))&amp;"")</f>
        <v/>
      </c>
      <c r="G504" s="43" t="str">
        <f>IF(tblConteo[[#This Row],[SKU]]="","",IF(INDEX(tblProductos[Activo],ROW()-ROW(tblConteo[#Headers]))="NO","NO","SI"))</f>
        <v/>
      </c>
      <c r="H504" s="54" t="str">
        <f>IF(tblConteo[[#This Row],[SKU]]="","",IFERROR(N(INDEX(tblStock[StockActual],MATCH(tblConteo[[#This Row],[SKU]],tblStock[SKU],0))),0))</f>
        <v/>
      </c>
      <c r="I504" s="53"/>
      <c r="J504" s="60" t="str">
        <f>IF(OR(tblConteo[[#This Row],[SKU]]="",tblConteo[[#This Row],[Conteo]]=""),"",IF(ISNUMBER(tblConteo[[#This Row],[Conteo]]),tblConteo[[#This Row],[Conteo]]-N(tblConteo[[#This Row],[Sistema]]),""))</f>
        <v/>
      </c>
      <c r="K504" s="63" t="str">
        <f>IF(tblConteo[[#This Row],[Diferencia]]="","",tblConteo[[#This Row],[Diferencia]]*N(INDEX(tblProductos[CostoUnitario],ROW()-ROW(tblConteo[#Headers]))))</f>
        <v/>
      </c>
      <c r="L504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4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5" spans="2:13" x14ac:dyDescent="0.25">
      <c r="B505" s="43" t="str">
        <f>IF(INDEX(tblProductos[SKU],ROW()-ROW(tblConteo[#Headers]))="","",INDEX(tblProductos[SKU],ROW()-ROW(tblConteo[#Headers])))</f>
        <v/>
      </c>
      <c r="C505" s="50" t="str">
        <f>IF(tblConteo[[#This Row],[SKU]]="","",INDEX(tblProductos[Producto],ROW()-ROW(tblConteo[#Headers])))</f>
        <v/>
      </c>
      <c r="D505" s="50" t="str">
        <f>IF(tblConteo[[#This Row],[SKU]]="","",INDEX(tblProductos[Categoría],ROW()-ROW(tblConteo[#Headers]))&amp;"")</f>
        <v/>
      </c>
      <c r="E505" s="43" t="str">
        <f>IF(tblConteo[[#This Row],[SKU]]="","",INDEX(tblProductos[Ubicación],ROW()-ROW(tblConteo[#Headers]))&amp;"")</f>
        <v/>
      </c>
      <c r="F505" s="43" t="str">
        <f>IF(tblConteo[[#This Row],[SKU]]="","",INDEX(tblProductos[Unidad],ROW()-ROW(tblConteo[#Headers]))&amp;"")</f>
        <v/>
      </c>
      <c r="G505" s="43" t="str">
        <f>IF(tblConteo[[#This Row],[SKU]]="","",IF(INDEX(tblProductos[Activo],ROW()-ROW(tblConteo[#Headers]))="NO","NO","SI"))</f>
        <v/>
      </c>
      <c r="H505" s="54" t="str">
        <f>IF(tblConteo[[#This Row],[SKU]]="","",IFERROR(N(INDEX(tblStock[StockActual],MATCH(tblConteo[[#This Row],[SKU]],tblStock[SKU],0))),0))</f>
        <v/>
      </c>
      <c r="I505" s="53"/>
      <c r="J505" s="60" t="str">
        <f>IF(OR(tblConteo[[#This Row],[SKU]]="",tblConteo[[#This Row],[Conteo]]=""),"",IF(ISNUMBER(tblConteo[[#This Row],[Conteo]]),tblConteo[[#This Row],[Conteo]]-N(tblConteo[[#This Row],[Sistema]]),""))</f>
        <v/>
      </c>
      <c r="K505" s="63" t="str">
        <f>IF(tblConteo[[#This Row],[Diferencia]]="","",tblConteo[[#This Row],[Diferencia]]*N(INDEX(tblProductos[CostoUnitario],ROW()-ROW(tblConteo[#Headers]))))</f>
        <v/>
      </c>
      <c r="L505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5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6" spans="2:13" x14ac:dyDescent="0.25">
      <c r="B506" s="43" t="str">
        <f>IF(INDEX(tblProductos[SKU],ROW()-ROW(tblConteo[#Headers]))="","",INDEX(tblProductos[SKU],ROW()-ROW(tblConteo[#Headers])))</f>
        <v/>
      </c>
      <c r="C506" s="50" t="str">
        <f>IF(tblConteo[[#This Row],[SKU]]="","",INDEX(tblProductos[Producto],ROW()-ROW(tblConteo[#Headers])))</f>
        <v/>
      </c>
      <c r="D506" s="50" t="str">
        <f>IF(tblConteo[[#This Row],[SKU]]="","",INDEX(tblProductos[Categoría],ROW()-ROW(tblConteo[#Headers]))&amp;"")</f>
        <v/>
      </c>
      <c r="E506" s="43" t="str">
        <f>IF(tblConteo[[#This Row],[SKU]]="","",INDEX(tblProductos[Ubicación],ROW()-ROW(tblConteo[#Headers]))&amp;"")</f>
        <v/>
      </c>
      <c r="F506" s="43" t="str">
        <f>IF(tblConteo[[#This Row],[SKU]]="","",INDEX(tblProductos[Unidad],ROW()-ROW(tblConteo[#Headers]))&amp;"")</f>
        <v/>
      </c>
      <c r="G506" s="43" t="str">
        <f>IF(tblConteo[[#This Row],[SKU]]="","",IF(INDEX(tblProductos[Activo],ROW()-ROW(tblConteo[#Headers]))="NO","NO","SI"))</f>
        <v/>
      </c>
      <c r="H506" s="54" t="str">
        <f>IF(tblConteo[[#This Row],[SKU]]="","",IFERROR(N(INDEX(tblStock[StockActual],MATCH(tblConteo[[#This Row],[SKU]],tblStock[SKU],0))),0))</f>
        <v/>
      </c>
      <c r="I506" s="53"/>
      <c r="J506" s="60" t="str">
        <f>IF(OR(tblConteo[[#This Row],[SKU]]="",tblConteo[[#This Row],[Conteo]]=""),"",IF(ISNUMBER(tblConteo[[#This Row],[Conteo]]),tblConteo[[#This Row],[Conteo]]-N(tblConteo[[#This Row],[Sistema]]),""))</f>
        <v/>
      </c>
      <c r="K506" s="63" t="str">
        <f>IF(tblConteo[[#This Row],[Diferencia]]="","",tblConteo[[#This Row],[Diferencia]]*N(INDEX(tblProductos[CostoUnitario],ROW()-ROW(tblConteo[#Headers]))))</f>
        <v/>
      </c>
      <c r="L506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6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7" spans="2:13" x14ac:dyDescent="0.25">
      <c r="B507" s="43" t="str">
        <f>IF(INDEX(tblProductos[SKU],ROW()-ROW(tblConteo[#Headers]))="","",INDEX(tblProductos[SKU],ROW()-ROW(tblConteo[#Headers])))</f>
        <v/>
      </c>
      <c r="C507" s="50" t="str">
        <f>IF(tblConteo[[#This Row],[SKU]]="","",INDEX(tblProductos[Producto],ROW()-ROW(tblConteo[#Headers])))</f>
        <v/>
      </c>
      <c r="D507" s="50" t="str">
        <f>IF(tblConteo[[#This Row],[SKU]]="","",INDEX(tblProductos[Categoría],ROW()-ROW(tblConteo[#Headers]))&amp;"")</f>
        <v/>
      </c>
      <c r="E507" s="43" t="str">
        <f>IF(tblConteo[[#This Row],[SKU]]="","",INDEX(tblProductos[Ubicación],ROW()-ROW(tblConteo[#Headers]))&amp;"")</f>
        <v/>
      </c>
      <c r="F507" s="43" t="str">
        <f>IF(tblConteo[[#This Row],[SKU]]="","",INDEX(tblProductos[Unidad],ROW()-ROW(tblConteo[#Headers]))&amp;"")</f>
        <v/>
      </c>
      <c r="G507" s="43" t="str">
        <f>IF(tblConteo[[#This Row],[SKU]]="","",IF(INDEX(tblProductos[Activo],ROW()-ROW(tblConteo[#Headers]))="NO","NO","SI"))</f>
        <v/>
      </c>
      <c r="H507" s="54" t="str">
        <f>IF(tblConteo[[#This Row],[SKU]]="","",IFERROR(N(INDEX(tblStock[StockActual],MATCH(tblConteo[[#This Row],[SKU]],tblStock[SKU],0))),0))</f>
        <v/>
      </c>
      <c r="I507" s="53"/>
      <c r="J507" s="60" t="str">
        <f>IF(OR(tblConteo[[#This Row],[SKU]]="",tblConteo[[#This Row],[Conteo]]=""),"",IF(ISNUMBER(tblConteo[[#This Row],[Conteo]]),tblConteo[[#This Row],[Conteo]]-N(tblConteo[[#This Row],[Sistema]]),""))</f>
        <v/>
      </c>
      <c r="K507" s="63" t="str">
        <f>IF(tblConteo[[#This Row],[Diferencia]]="","",tblConteo[[#This Row],[Diferencia]]*N(INDEX(tblProductos[CostoUnitario],ROW()-ROW(tblConteo[#Headers]))))</f>
        <v/>
      </c>
      <c r="L507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7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  <row r="508" spans="2:13" x14ac:dyDescent="0.25">
      <c r="B508" s="43" t="str">
        <f>IF(INDEX(tblProductos[SKU],ROW()-ROW(tblConteo[#Headers]))="","",INDEX(tblProductos[SKU],ROW()-ROW(tblConteo[#Headers])))</f>
        <v/>
      </c>
      <c r="C508" s="50" t="str">
        <f>IF(tblConteo[[#This Row],[SKU]]="","",INDEX(tblProductos[Producto],ROW()-ROW(tblConteo[#Headers])))</f>
        <v/>
      </c>
      <c r="D508" s="50" t="str">
        <f>IF(tblConteo[[#This Row],[SKU]]="","",INDEX(tblProductos[Categoría],ROW()-ROW(tblConteo[#Headers]))&amp;"")</f>
        <v/>
      </c>
      <c r="E508" s="43" t="str">
        <f>IF(tblConteo[[#This Row],[SKU]]="","",INDEX(tblProductos[Ubicación],ROW()-ROW(tblConteo[#Headers]))&amp;"")</f>
        <v/>
      </c>
      <c r="F508" s="43" t="str">
        <f>IF(tblConteo[[#This Row],[SKU]]="","",INDEX(tblProductos[Unidad],ROW()-ROW(tblConteo[#Headers]))&amp;"")</f>
        <v/>
      </c>
      <c r="G508" s="43" t="str">
        <f>IF(tblConteo[[#This Row],[SKU]]="","",IF(INDEX(tblProductos[Activo],ROW()-ROW(tblConteo[#Headers]))="NO","NO","SI"))</f>
        <v/>
      </c>
      <c r="H508" s="54" t="str">
        <f>IF(tblConteo[[#This Row],[SKU]]="","",IFERROR(N(INDEX(tblStock[StockActual],MATCH(tblConteo[[#This Row],[SKU]],tblStock[SKU],0))),0))</f>
        <v/>
      </c>
      <c r="I508" s="53"/>
      <c r="J508" s="60" t="str">
        <f>IF(OR(tblConteo[[#This Row],[SKU]]="",tblConteo[[#This Row],[Conteo]]=""),"",IF(ISNUMBER(tblConteo[[#This Row],[Conteo]]),tblConteo[[#This Row],[Conteo]]-N(tblConteo[[#This Row],[Sistema]]),""))</f>
        <v/>
      </c>
      <c r="K508" s="63" t="str">
        <f>IF(tblConteo[[#This Row],[Diferencia]]="","",tblConteo[[#This Row],[Diferencia]]*N(INDEX(tblProductos[CostoUnitario],ROW()-ROW(tblConteo[#Headers]))))</f>
        <v/>
      </c>
      <c r="L508" s="44" t="str">
        <f>IF(OR(tblConteo[[#This Row],[SKU]]="",tblConteo[[#This Row],[Conteo]]=""),"",IF(OR(NOT(ISNUMBER(tblConteo[[#This Row],[Conteo]])),N(tblConteo[[#This Row],[Conteo]])&lt;0),"✖ Conteo no válido",IF(AND(tblConteo[[#This Row],[Conteo]]&lt;&gt;INT(tblConteo[[#This Row],[Conteo]]),IFERROR(INDEX(lstUniDec,MATCH(tblConteo[[#This Row],[Unidad]],lstUniCod,0)),"SI")="NO"),"✖ "&amp;tblConteo[[#This Row],[Unidad]]&amp;" no admite decimales",IF(IFERROR(INDEX(tblStock[UltimoMov],MATCH(tblConteo[[#This Row],[SKU]],tblStock[SKU],0))="",TRUE),"● Saldo inicial",IF(tblConteo[[#This Row],[Diferencia]]=0,"✔ Cuadra",IF(tblConteo[[#This Row],[Diferencia]]&gt;0,"▲ Sobrante","▼ Faltante"))))))</f>
        <v/>
      </c>
      <c r="M508" s="50" t="str">
        <f>IF(OR(tblConteo[[#This Row],[Conteo]]="",LEFT(tblConteo[[#This Row],[Resultado]],1)="✖"),"",IF(LEFT(tblConteo[[#This Row],[Resultado]],1)="●",IF(N(tblConteo[[#This Row],[Conteo]])&gt;0,"SALDO INICIAL "&amp;tblConteo[[#This Row],[Conteo]]&amp;" "&amp;tblConteo[[#This Row],[Unidad]],"Sin movimiento (conteo en 0)"),IF(tblConteo[[#This Row],[Diferencia]]=0,"",IF(tblConteo[[#This Row],[Diferencia]]&gt;0,"AJUSTE (+) ","AJUSTE (-) ")&amp;ABS(tblConteo[[#This Row],[Diferencia]])&amp;" "&amp;tblConteo[[#This Row],[Unidad]])))</f>
        <v/>
      </c>
    </row>
  </sheetData>
  <sheetProtection password="930D" sheet="1" objects="1" scenarios="1" formatColumns="0" autoFilter="0"/>
  <protectedRanges>
    <protectedRange sqref="I9:I508" name="Conteo"/>
    <protectedRange sqref="D7" name="Fecha del conteo"/>
    <protectedRange sqref="H7" name="Confirmar conteo"/>
  </protectedRanges>
  <mergeCells count="8">
    <mergeCell ref="B7:C7"/>
    <mergeCell ref="E7:G7"/>
    <mergeCell ref="I7:M7"/>
    <mergeCell ref="G5:H5"/>
    <mergeCell ref="B6:C6"/>
    <mergeCell ref="D6:E6"/>
    <mergeCell ref="F6:H6"/>
    <mergeCell ref="J6:M6"/>
  </mergeCells>
  <conditionalFormatting sqref="B9:M508">
    <cfRule type="expression" dxfId="93" priority="10">
      <formula>$G9="NO"</formula>
    </cfRule>
  </conditionalFormatting>
  <conditionalFormatting sqref="H9:H508">
    <cfRule type="expression" dxfId="92" priority="11">
      <formula>AND(ISNUMBER(H9),H9&lt;&gt;INT(H9))</formula>
    </cfRule>
  </conditionalFormatting>
  <conditionalFormatting sqref="I9:I508">
    <cfRule type="expression" dxfId="91" priority="12">
      <formula>AND(ISNUMBER(I9),I9&lt;&gt;INT(I9))</formula>
    </cfRule>
  </conditionalFormatting>
  <conditionalFormatting sqref="I7:M7">
    <cfRule type="expression" dxfId="90" priority="1">
      <formula>LEFT($I$7,1)="✔"</formula>
    </cfRule>
    <cfRule type="expression" dxfId="89" priority="2">
      <formula>LEFT($I$7,1)="✖"</formula>
    </cfRule>
  </conditionalFormatting>
  <conditionalFormatting sqref="J9:J508">
    <cfRule type="expression" dxfId="88" priority="8">
      <formula>AND(ISNUMBER($J9),$J9&gt;0)</formula>
    </cfRule>
    <cfRule type="expression" dxfId="87" priority="9">
      <formula>AND(ISNUMBER($J9),$J9&lt;0)</formula>
    </cfRule>
    <cfRule type="expression" dxfId="86" priority="13">
      <formula>AND(ISNUMBER(J9),J9&lt;&gt;INT(J9))</formula>
    </cfRule>
  </conditionalFormatting>
  <conditionalFormatting sqref="L9:L508">
    <cfRule type="expression" dxfId="85" priority="3">
      <formula>LEFT($L9,1)="✔"</formula>
    </cfRule>
    <cfRule type="expression" dxfId="84" priority="4">
      <formula>LEFT($L9,1)="✖"</formula>
    </cfRule>
    <cfRule type="expression" dxfId="83" priority="5">
      <formula>LEFT($L9,1)="▲"</formula>
    </cfRule>
    <cfRule type="expression" dxfId="82" priority="6">
      <formula>LEFT($L9,1)="▼"</formula>
    </cfRule>
    <cfRule type="expression" dxfId="81" priority="7">
      <formula>LEFT($L9,1)="●"</formula>
    </cfRule>
  </conditionalFormatting>
  <dataValidations count="12">
    <dataValidation type="date" allowBlank="1" showInputMessage="1" showErrorMessage="1" errorTitle="Fecha no válida" error="Use dd/mm/aaaa, sin fechas futuras." promptTitle="Fecha del conteo" prompt="Opcional. Vacía = hoy." sqref="D7" xr:uid="{00000000-0002-0000-0B00-000000000000}">
      <formula1>cfgFechaMin</formula1>
      <formula2>TODAY()</formula2>
    </dataValidation>
    <dataValidation type="list" allowBlank="1" showInputMessage="1" showErrorMessage="1" errorTitle="Valor no válido" error="Escriba SI o deje vacío." promptTitle="Confirmar" prompt="Escriba SI justo antes de pulsar «Generar ajustes». El script lo borra al terminar (evita ejecutarlo por accidente)." sqref="H7" xr:uid="{00000000-0002-0000-0B00-000001000000}">
      <formula1>"SI"</formula1>
    </dataValidation>
    <dataValidation allowBlank="1" showInputMessage="1" showErrorMessage="1" promptTitle="ƒx SKU" prompt="Producto n del catálogo (05_PRODUCTOS)." sqref="B8" xr:uid="{00000000-0002-0000-0B00-000002000000}"/>
    <dataValidation allowBlank="1" showInputMessage="1" showErrorMessage="1" promptTitle="ƒx Categoría" prompt="Filtre por categoría para repartir el conteo." sqref="D8" xr:uid="{00000000-0002-0000-0B00-000003000000}"/>
    <dataValidation allowBlank="1" showInputMessage="1" showErrorMessage="1" promptTitle="ƒx Ubicación" prompt="Filtre por ubicación para recorrer la bodega en orden." sqref="E8" xr:uid="{00000000-0002-0000-0B00-000004000000}"/>
    <dataValidation allowBlank="1" showInputMessage="1" showErrorMessage="1" promptTitle="ƒx Sistema" prompt="Stock según la instantánea (15_STOCK). El ajuste final usa el stock EXACTO al generar." sqref="H8" xr:uid="{00000000-0002-0000-0B00-000005000000}"/>
    <dataValidation allowBlank="1" showInputMessage="1" showErrorMessage="1" promptTitle="✎ Conteo" prompt="Cantidad contada físicamente. Deje vacío lo que no contó: solo se ajustan los productos con conteo." sqref="I8" xr:uid="{00000000-0002-0000-0B00-000006000000}"/>
    <dataValidation allowBlank="1" showInputMessage="1" showErrorMessage="1" promptTitle="ƒx Diferencia" prompt="Conteo − sistema (vista previa con la instantánea)." sqref="J8" xr:uid="{00000000-0002-0000-0B00-000007000000}"/>
    <dataValidation allowBlank="1" showInputMessage="1" showErrorMessage="1" promptTitle="ƒx ValorDiferencia" prompt="Diferencia × costo unitario." sqref="K8" xr:uid="{00000000-0002-0000-0B00-000008000000}"/>
    <dataValidation allowBlank="1" showInputMessage="1" showErrorMessage="1" promptTitle="ƒx Resultado" prompt="✔ cuadra · ▲ sobrante · ▼ faltante · ● saldo inicial." sqref="L8" xr:uid="{00000000-0002-0000-0B00-000009000000}"/>
    <dataValidation allowBlank="1" showInputMessage="1" showErrorMessage="1" promptTitle="ƒx AjusteSugerido" prompt="Movimiento que registrará el script." sqref="M8" xr:uid="{00000000-0002-0000-0B00-00000A000000}"/>
    <dataValidation type="decimal" operator="greaterThanOrEqual" allowBlank="1" showInputMessage="1" showErrorMessage="1" errorTitle="Conteo no válido" error="Escriba un número mayor o igual a 0." promptTitle="Conteo físico" prompt="Cantidad contada (0 o más). Deje vacío lo que no contó." sqref="I9:I508" xr:uid="{00000000-0002-0000-0B00-00000B000000}">
      <formula1>0</formula1>
    </dataValidation>
  </dataValidations>
  <hyperlinks>
    <hyperlink ref="B5" location="'00_PORTADA_BODEGA'!A1" tooltip="Portada de Bodega" display="⌂ Bodega" xr:uid="{00000000-0004-0000-0B00-000000000000}"/>
    <hyperlink ref="C5" location="'00_PORTADA_VENTAS'!A1" tooltip="Portada de Ventas" display="⌂ Ventas" xr:uid="{00000000-0004-0000-0B00-000001000000}"/>
    <hyperlink ref="D5" location="'00_PORTADA_GERENCIA'!A1" tooltip="Portada de Gerencia: indicadores, pedido y actividad" display="◈ Gerencia" xr:uid="{00000000-0004-0000-0B00-000002000000}"/>
    <hyperlink ref="E5" location="'10A_ENTRADAS'!C9" tooltip="Registrar entradas y ajustes (Bodega)" display="⇩ Entradas" xr:uid="{00000000-0004-0000-0B00-000003000000}"/>
    <hyperlink ref="F5" location="'10B_SALIDAS'!E9" tooltip="Registrar salidas (Ventas)" display="⇧ Salidas" xr:uid="{00000000-0004-0000-0B00-000004000000}"/>
    <hyperlink ref="G5" location="'17_CONSULTA'!C9" tooltip="Consultar un producto en su fila" display="⌕ Consulta" xr:uid="{00000000-0004-0000-0B00-000005000000}"/>
    <hyperlink ref="I5" location="'15_STOCK'!A1" tooltip="Stock (instantánea recalculada a demanda)" display="▦ Stock" xr:uid="{00000000-0004-0000-0B00-000006000000}"/>
    <hyperlink ref="J5" location="'18_PEDIDO'!A1" tooltip="Pedido sugerido por proveedor" display="✚ Pedido" xr:uid="{00000000-0004-0000-0B00-000007000000}"/>
    <hyperlink ref="K5" location="'13_CONTEO'!I9" tooltip="Toma física (conteo) colaborativa" display="✓ Conteo" xr:uid="{00000000-0004-0000-0B00-000008000000}"/>
    <hyperlink ref="L5" location="'99_AYUDA'!A1" tooltip="Guía de uso, acceso e instalación" display="? Guía" xr:uid="{00000000-0004-0000-0B00-000009000000}"/>
  </hyperlinks>
  <pageMargins left="0.7" right="0.7" top="0.75" bottom="0.75" header="0.3" footer="0.3"/>
  <pageSetup fitToHeight="0"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55A64"/>
    <pageSetUpPr fitToPage="1"/>
  </sheetPr>
  <dimension ref="B1:K8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27.140625" customWidth="1"/>
    <col min="3" max="3" width="20" customWidth="1"/>
    <col min="4" max="4" width="35.7109375" customWidth="1"/>
    <col min="5" max="5" width="24.28515625" customWidth="1"/>
    <col min="6" max="7" width="27.140625" customWidth="1"/>
    <col min="8" max="8" width="80" customWidth="1"/>
    <col min="9" max="11" width="13.7109375" customWidth="1"/>
    <col min="12" max="12" width="2.28515625" customWidth="1"/>
    <col min="13" max="13" width="0" hidden="1" customWidth="1"/>
  </cols>
  <sheetData>
    <row r="1" spans="2:11" s="1" customFormat="1" ht="4.5" customHeight="1" x14ac:dyDescent="0.25"/>
    <row r="2" spans="2:11" s="1" customFormat="1" ht="22.5" customHeight="1" x14ac:dyDescent="0.25">
      <c r="B2" s="2" t="s">
        <v>211</v>
      </c>
    </row>
    <row r="3" spans="2:11" s="1" customFormat="1" ht="14.25" x14ac:dyDescent="0.25">
      <c r="B3" s="16" t="s">
        <v>212</v>
      </c>
    </row>
    <row r="4" spans="2:11" s="1" customFormat="1" ht="4.5" customHeight="1" x14ac:dyDescent="0.25"/>
    <row r="5" spans="2:11" s="4" customFormat="1" ht="21" customHeight="1" x14ac:dyDescent="0.25">
      <c r="B5" s="6" t="s">
        <v>82</v>
      </c>
      <c r="C5" s="6" t="s">
        <v>83</v>
      </c>
      <c r="D5" s="6" t="s">
        <v>84</v>
      </c>
      <c r="E5" s="6" t="s">
        <v>85</v>
      </c>
      <c r="F5" s="6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6" t="s">
        <v>91</v>
      </c>
    </row>
    <row r="6" spans="2:11" s="7" customFormat="1" ht="22.5" customHeight="1" x14ac:dyDescent="0.25">
      <c r="B6" s="39" t="str">
        <f>"Ejecuciones: "&amp;FIXED(kpiEjecuciones,0)</f>
        <v>Ejecuciones: 0</v>
      </c>
      <c r="C6" s="129" t="str">
        <f ca="1">IF(kpiBloqMes=0,"✔ Sin bloqueos este mes","✖ Bloqueos del mes: "&amp;kpiBloqMes)</f>
        <v>✔ Sin bloqueos este mes</v>
      </c>
      <c r="D6" s="129"/>
      <c r="E6" s="129" t="str">
        <f>txtUltimaEjecucion</f>
        <v>Sin ejecuciones registradas</v>
      </c>
      <c r="F6" s="129"/>
      <c r="G6" s="129"/>
      <c r="H6" s="40" t="s">
        <v>215</v>
      </c>
    </row>
    <row r="7" spans="2:11" ht="24" customHeight="1" x14ac:dyDescent="0.25">
      <c r="B7" s="18" t="s">
        <v>190</v>
      </c>
      <c r="C7" s="18" t="s">
        <v>194</v>
      </c>
      <c r="D7" s="18" t="s">
        <v>193</v>
      </c>
      <c r="E7" s="18" t="s">
        <v>93</v>
      </c>
      <c r="F7" s="18" t="s">
        <v>213</v>
      </c>
      <c r="G7" s="18" t="s">
        <v>185</v>
      </c>
      <c r="H7" s="18" t="s">
        <v>214</v>
      </c>
    </row>
    <row r="8" spans="2:11" x14ac:dyDescent="0.25">
      <c r="B8" s="58"/>
      <c r="C8" s="64"/>
      <c r="D8" s="65"/>
      <c r="E8" s="65"/>
      <c r="F8" s="65"/>
      <c r="G8" s="66"/>
      <c r="H8" s="65"/>
    </row>
  </sheetData>
  <sheetProtection password="930D" sheet="1" objects="1" scenarios="1" formatColumns="0" autoFilter="0"/>
  <mergeCells count="2">
    <mergeCell ref="C6:D6"/>
    <mergeCell ref="E6:G6"/>
  </mergeCells>
  <conditionalFormatting sqref="B8:H50008">
    <cfRule type="expression" dxfId="80" priority="3">
      <formula>AND($B8&lt;&gt;"",MOD(ROW(),2)=0)</formula>
    </cfRule>
  </conditionalFormatting>
  <conditionalFormatting sqref="C6:D6">
    <cfRule type="expression" dxfId="79" priority="4">
      <formula>kpiBloqMes&gt;0</formula>
    </cfRule>
  </conditionalFormatting>
  <conditionalFormatting sqref="G8:G50008">
    <cfRule type="expression" dxfId="78" priority="1">
      <formula>LEFT($G8,1)="✖"</formula>
    </cfRule>
    <cfRule type="expression" dxfId="77" priority="2">
      <formula>LEFT($G8,1)="✔"</formula>
    </cfRule>
  </conditionalFormatting>
  <dataValidations count="7">
    <dataValidation allowBlank="1" showInputMessage="1" showErrorMessage="1" promptTitle="ƒx ID" prompt="Identificador de la ejecución (A-fecha-hora-aleatorio)." sqref="B7" xr:uid="{00000000-0002-0000-0C00-000000000000}"/>
    <dataValidation allowBlank="1" showInputMessage="1" showErrorMessage="1" promptTitle="ƒx Timestamp" prompt="Fecha y hora de la ejecución." sqref="C7" xr:uid="{00000000-0002-0000-0C00-000001000000}"/>
    <dataValidation allowBlank="1" showInputMessage="1" showErrorMessage="1" promptTitle="ƒx Usuario_O365" prompt="Correo de Microsoft 365 de quien ejecutó el script." sqref="D7" xr:uid="{00000000-0002-0000-0C00-000002000000}"/>
    <dataValidation allowBlank="1" showInputMessage="1" showErrorMessage="1" promptTitle="ƒx Nombre" prompt="Nombre visible (02_USUARIOS o cuenta de Microsoft 365)." sqref="E7" xr:uid="{00000000-0002-0000-0C00-000003000000}"/>
    <dataValidation allowBlank="1" showInputMessage="1" showErrorMessage="1" promptTitle="ƒx Script" prompt="Office Script ejecutado." sqref="F7" xr:uid="{00000000-0002-0000-0C00-000004000000}"/>
    <dataValidation allowBlank="1" showInputMessage="1" showErrorMessage="1" promptTitle="ƒx Resultado" prompt="✔ correcto · ✖ bloqueado (el motivo está en Detalle)." sqref="G7" xr:uid="{00000000-0002-0000-0C00-000005000000}"/>
    <dataValidation allowBlank="1" showInputMessage="1" showErrorMessage="1" promptTitle="ƒx Detalle" prompt="Mensaje completo que recibió el usuario." sqref="H7" xr:uid="{00000000-0002-0000-0C00-000006000000}"/>
  </dataValidations>
  <hyperlinks>
    <hyperlink ref="B5" location="'00_PORTADA_BODEGA'!A1" tooltip="Portada de Bodega" display="⌂ Bodega" xr:uid="{00000000-0004-0000-0C00-000000000000}"/>
    <hyperlink ref="C5" location="'00_PORTADA_VENTAS'!A1" tooltip="Portada de Ventas" display="⌂ Ventas" xr:uid="{00000000-0004-0000-0C00-000001000000}"/>
    <hyperlink ref="D5" location="'00_PORTADA_GERENCIA'!A1" tooltip="Portada de Gerencia: indicadores, pedido y actividad" display="◈ Gerencia" xr:uid="{00000000-0004-0000-0C00-000002000000}"/>
    <hyperlink ref="E5" location="'10A_ENTRADAS'!C9" tooltip="Registrar entradas y ajustes (Bodega)" display="⇩ Entradas" xr:uid="{00000000-0004-0000-0C00-000003000000}"/>
    <hyperlink ref="F5" location="'10B_SALIDAS'!E9" tooltip="Registrar salidas (Ventas)" display="⇧ Salidas" xr:uid="{00000000-0004-0000-0C00-000004000000}"/>
    <hyperlink ref="G5" location="'17_CONSULTA'!C9" tooltip="Consultar un producto en su fila" display="⌕ Consulta" xr:uid="{00000000-0004-0000-0C00-000005000000}"/>
    <hyperlink ref="H5" location="'15_STOCK'!A1" tooltip="Stock (instantánea recalculada a demanda)" display="▦ Stock" xr:uid="{00000000-0004-0000-0C00-000006000000}"/>
    <hyperlink ref="I5" location="'18_PEDIDO'!A1" tooltip="Pedido sugerido por proveedor" display="✚ Pedido" xr:uid="{00000000-0004-0000-0C00-000007000000}"/>
    <hyperlink ref="J5" location="'13_CONTEO'!I9" tooltip="Toma física (conteo) colaborativa" display="✓ Conteo" xr:uid="{00000000-0004-0000-0C00-000008000000}"/>
    <hyperlink ref="K5" location="'99_AYUDA'!A1" tooltip="Guía de uso, acceso e instalación" display="? Guía" xr:uid="{00000000-0004-0000-0C00-000009000000}"/>
  </hyperlinks>
  <pageMargins left="0.7" right="0.7" top="0.75" bottom="0.75" header="0.3" footer="0.3"/>
  <pageSetup fitToHeight="0" orientation="landscape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96B"/>
    <pageSetUpPr fitToPage="1"/>
  </sheetPr>
  <dimension ref="B1:U507"/>
  <sheetViews>
    <sheetView showGridLines="0" showRowColHeaders="0" zoomScale="90" zoomScaleNormal="9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12" customWidth="1"/>
    <col min="3" max="3" width="38.5703125" customWidth="1"/>
    <col min="4" max="4" width="22.85546875" customWidth="1"/>
    <col min="5" max="5" width="28.5703125" customWidth="1"/>
    <col min="6" max="6" width="12" customWidth="1"/>
    <col min="7" max="7" width="11.140625" customWidth="1"/>
    <col min="8" max="9" width="13.7109375" customWidth="1"/>
    <col min="10" max="10" width="16.85546875" customWidth="1"/>
    <col min="11" max="13" width="14.85546875" customWidth="1"/>
    <col min="14" max="15" width="18.5703125" customWidth="1"/>
    <col min="16" max="16" width="20.85546875" customWidth="1"/>
    <col min="17" max="18" width="16.85546875" customWidth="1"/>
    <col min="19" max="19" width="16.5703125" customWidth="1"/>
    <col min="20" max="20" width="19.140625" customWidth="1"/>
    <col min="21" max="21" width="20.85546875" customWidth="1"/>
    <col min="22" max="22" width="2.28515625" customWidth="1"/>
    <col min="23" max="23" width="0" hidden="1" customWidth="1"/>
  </cols>
  <sheetData>
    <row r="1" spans="2:21" s="1" customFormat="1" ht="4.5" customHeight="1" x14ac:dyDescent="0.25"/>
    <row r="2" spans="2:21" s="1" customFormat="1" ht="22.5" customHeight="1" x14ac:dyDescent="0.25">
      <c r="B2" s="2" t="s">
        <v>216</v>
      </c>
    </row>
    <row r="3" spans="2:21" s="1" customFormat="1" ht="14.25" x14ac:dyDescent="0.25">
      <c r="B3" s="16" t="s">
        <v>217</v>
      </c>
    </row>
    <row r="4" spans="2:21" s="1" customFormat="1" ht="4.5" customHeight="1" x14ac:dyDescent="0.25"/>
    <row r="5" spans="2:21" s="4" customFormat="1" ht="21" customHeight="1" x14ac:dyDescent="0.25">
      <c r="H5" s="6" t="s">
        <v>82</v>
      </c>
      <c r="I5" s="6" t="s">
        <v>83</v>
      </c>
      <c r="J5" s="6" t="s">
        <v>84</v>
      </c>
      <c r="K5" s="6" t="s">
        <v>85</v>
      </c>
      <c r="L5" s="6" t="s">
        <v>86</v>
      </c>
      <c r="M5" s="6" t="s">
        <v>87</v>
      </c>
      <c r="N5" s="5" t="s">
        <v>88</v>
      </c>
      <c r="O5" s="6" t="s">
        <v>89</v>
      </c>
      <c r="P5" s="6" t="s">
        <v>90</v>
      </c>
      <c r="Q5" s="6" t="s">
        <v>91</v>
      </c>
    </row>
    <row r="6" spans="2:21" s="7" customFormat="1" ht="27" customHeight="1" x14ac:dyDescent="0.25">
      <c r="B6" s="129" t="str">
        <f>txtStockActualizado</f>
        <v>Stock aún no calculado</v>
      </c>
      <c r="C6" s="129"/>
      <c r="D6" s="129" t="str">
        <f>txtFrescuraCorta</f>
        <v>⚠ Sin calcular</v>
      </c>
      <c r="E6" s="129"/>
      <c r="F6" s="129"/>
      <c r="G6" s="95" t="s">
        <v>228</v>
      </c>
      <c r="H6" s="95"/>
      <c r="I6" s="95"/>
      <c r="J6" s="95"/>
      <c r="K6" s="95"/>
    </row>
    <row r="7" spans="2:21" ht="24" customHeight="1" x14ac:dyDescent="0.25">
      <c r="B7" s="18" t="s">
        <v>114</v>
      </c>
      <c r="C7" s="18" t="s">
        <v>115</v>
      </c>
      <c r="D7" s="18" t="s">
        <v>116</v>
      </c>
      <c r="E7" s="18" t="s">
        <v>103</v>
      </c>
      <c r="F7" s="18" t="s">
        <v>117</v>
      </c>
      <c r="G7" s="18" t="s">
        <v>95</v>
      </c>
      <c r="H7" s="18" t="s">
        <v>218</v>
      </c>
      <c r="I7" s="18" t="s">
        <v>219</v>
      </c>
      <c r="J7" s="18" t="s">
        <v>220</v>
      </c>
      <c r="K7" s="18" t="s">
        <v>118</v>
      </c>
      <c r="L7" s="18" t="s">
        <v>119</v>
      </c>
      <c r="M7" s="18" t="s">
        <v>221</v>
      </c>
      <c r="N7" s="18" t="s">
        <v>56</v>
      </c>
      <c r="O7" s="18" t="s">
        <v>120</v>
      </c>
      <c r="P7" s="18" t="s">
        <v>222</v>
      </c>
      <c r="Q7" s="18" t="s">
        <v>223</v>
      </c>
      <c r="R7" s="18" t="s">
        <v>224</v>
      </c>
      <c r="S7" s="18" t="s">
        <v>225</v>
      </c>
      <c r="T7" s="18" t="s">
        <v>226</v>
      </c>
      <c r="U7" s="18" t="s">
        <v>227</v>
      </c>
    </row>
    <row r="8" spans="2:21" x14ac:dyDescent="0.25">
      <c r="B8" s="67"/>
      <c r="C8" s="68"/>
      <c r="D8" s="68"/>
      <c r="E8" s="68"/>
      <c r="F8" s="67"/>
      <c r="G8" s="67"/>
      <c r="H8" s="69"/>
      <c r="I8" s="69"/>
      <c r="J8" s="70"/>
      <c r="K8" s="69"/>
      <c r="L8" s="69"/>
      <c r="M8" s="71"/>
      <c r="N8" s="72"/>
      <c r="O8" s="73"/>
      <c r="P8" s="73"/>
      <c r="Q8" s="74"/>
      <c r="R8" s="75"/>
      <c r="S8" s="69"/>
      <c r="T8" s="75"/>
      <c r="U8" s="67"/>
    </row>
    <row r="9" spans="2:21" x14ac:dyDescent="0.25">
      <c r="B9" s="67"/>
      <c r="C9" s="68"/>
      <c r="D9" s="68"/>
      <c r="E9" s="68"/>
      <c r="F9" s="67"/>
      <c r="G9" s="67"/>
      <c r="H9" s="69"/>
      <c r="I9" s="69"/>
      <c r="J9" s="70"/>
      <c r="K9" s="69"/>
      <c r="L9" s="69"/>
      <c r="M9" s="71"/>
      <c r="N9" s="72"/>
      <c r="O9" s="73"/>
      <c r="P9" s="73"/>
      <c r="Q9" s="74"/>
      <c r="R9" s="75"/>
      <c r="S9" s="69"/>
      <c r="T9" s="75"/>
      <c r="U9" s="67"/>
    </row>
    <row r="10" spans="2:21" x14ac:dyDescent="0.25">
      <c r="B10" s="67"/>
      <c r="C10" s="68"/>
      <c r="D10" s="68"/>
      <c r="E10" s="68"/>
      <c r="F10" s="67"/>
      <c r="G10" s="67"/>
      <c r="H10" s="69"/>
      <c r="I10" s="69"/>
      <c r="J10" s="70"/>
      <c r="K10" s="69"/>
      <c r="L10" s="69"/>
      <c r="M10" s="71"/>
      <c r="N10" s="72"/>
      <c r="O10" s="73"/>
      <c r="P10" s="73"/>
      <c r="Q10" s="74"/>
      <c r="R10" s="75"/>
      <c r="S10" s="69"/>
      <c r="T10" s="75"/>
      <c r="U10" s="67"/>
    </row>
    <row r="11" spans="2:21" x14ac:dyDescent="0.25">
      <c r="B11" s="67"/>
      <c r="C11" s="68"/>
      <c r="D11" s="68"/>
      <c r="E11" s="68"/>
      <c r="F11" s="67"/>
      <c r="G11" s="67"/>
      <c r="H11" s="69"/>
      <c r="I11" s="69"/>
      <c r="J11" s="70"/>
      <c r="K11" s="69"/>
      <c r="L11" s="69"/>
      <c r="M11" s="71"/>
      <c r="N11" s="72"/>
      <c r="O11" s="73"/>
      <c r="P11" s="73"/>
      <c r="Q11" s="74"/>
      <c r="R11" s="75"/>
      <c r="S11" s="69"/>
      <c r="T11" s="75"/>
      <c r="U11" s="67"/>
    </row>
    <row r="12" spans="2:21" x14ac:dyDescent="0.25">
      <c r="B12" s="67"/>
      <c r="C12" s="68"/>
      <c r="D12" s="68"/>
      <c r="E12" s="68"/>
      <c r="F12" s="67"/>
      <c r="G12" s="67"/>
      <c r="H12" s="69"/>
      <c r="I12" s="69"/>
      <c r="J12" s="70"/>
      <c r="K12" s="69"/>
      <c r="L12" s="69"/>
      <c r="M12" s="71"/>
      <c r="N12" s="72"/>
      <c r="O12" s="73"/>
      <c r="P12" s="73"/>
      <c r="Q12" s="74"/>
      <c r="R12" s="75"/>
      <c r="S12" s="69"/>
      <c r="T12" s="75"/>
      <c r="U12" s="67"/>
    </row>
    <row r="13" spans="2:21" x14ac:dyDescent="0.25">
      <c r="B13" s="67"/>
      <c r="C13" s="68"/>
      <c r="D13" s="68"/>
      <c r="E13" s="68"/>
      <c r="F13" s="67"/>
      <c r="G13" s="67"/>
      <c r="H13" s="69"/>
      <c r="I13" s="69"/>
      <c r="J13" s="70"/>
      <c r="K13" s="69"/>
      <c r="L13" s="69"/>
      <c r="M13" s="71"/>
      <c r="N13" s="72"/>
      <c r="O13" s="73"/>
      <c r="P13" s="73"/>
      <c r="Q13" s="74"/>
      <c r="R13" s="75"/>
      <c r="S13" s="69"/>
      <c r="T13" s="75"/>
      <c r="U13" s="67"/>
    </row>
    <row r="14" spans="2:21" x14ac:dyDescent="0.25">
      <c r="B14" s="67"/>
      <c r="C14" s="68"/>
      <c r="D14" s="68"/>
      <c r="E14" s="68"/>
      <c r="F14" s="67"/>
      <c r="G14" s="67"/>
      <c r="H14" s="69"/>
      <c r="I14" s="69"/>
      <c r="J14" s="70"/>
      <c r="K14" s="69"/>
      <c r="L14" s="69"/>
      <c r="M14" s="71"/>
      <c r="N14" s="72"/>
      <c r="O14" s="73"/>
      <c r="P14" s="73"/>
      <c r="Q14" s="74"/>
      <c r="R14" s="75"/>
      <c r="S14" s="69"/>
      <c r="T14" s="75"/>
      <c r="U14" s="67"/>
    </row>
    <row r="15" spans="2:21" x14ac:dyDescent="0.25">
      <c r="B15" s="67"/>
      <c r="C15" s="68"/>
      <c r="D15" s="68"/>
      <c r="E15" s="68"/>
      <c r="F15" s="67"/>
      <c r="G15" s="67"/>
      <c r="H15" s="69"/>
      <c r="I15" s="69"/>
      <c r="J15" s="70"/>
      <c r="K15" s="69"/>
      <c r="L15" s="69"/>
      <c r="M15" s="71"/>
      <c r="N15" s="72"/>
      <c r="O15" s="73"/>
      <c r="P15" s="73"/>
      <c r="Q15" s="74"/>
      <c r="R15" s="75"/>
      <c r="S15" s="69"/>
      <c r="T15" s="75"/>
      <c r="U15" s="67"/>
    </row>
    <row r="16" spans="2:21" x14ac:dyDescent="0.25">
      <c r="B16" s="67"/>
      <c r="C16" s="68"/>
      <c r="D16" s="68"/>
      <c r="E16" s="68"/>
      <c r="F16" s="67"/>
      <c r="G16" s="67"/>
      <c r="H16" s="69"/>
      <c r="I16" s="69"/>
      <c r="J16" s="70"/>
      <c r="K16" s="69"/>
      <c r="L16" s="69"/>
      <c r="M16" s="71"/>
      <c r="N16" s="72"/>
      <c r="O16" s="73"/>
      <c r="P16" s="73"/>
      <c r="Q16" s="74"/>
      <c r="R16" s="75"/>
      <c r="S16" s="69"/>
      <c r="T16" s="75"/>
      <c r="U16" s="67"/>
    </row>
    <row r="17" spans="2:21" x14ac:dyDescent="0.25">
      <c r="B17" s="67"/>
      <c r="C17" s="68"/>
      <c r="D17" s="68"/>
      <c r="E17" s="68"/>
      <c r="F17" s="67"/>
      <c r="G17" s="67"/>
      <c r="H17" s="69"/>
      <c r="I17" s="69"/>
      <c r="J17" s="70"/>
      <c r="K17" s="69"/>
      <c r="L17" s="69"/>
      <c r="M17" s="71"/>
      <c r="N17" s="72"/>
      <c r="O17" s="73"/>
      <c r="P17" s="73"/>
      <c r="Q17" s="74"/>
      <c r="R17" s="75"/>
      <c r="S17" s="69"/>
      <c r="T17" s="75"/>
      <c r="U17" s="67"/>
    </row>
    <row r="18" spans="2:21" x14ac:dyDescent="0.25">
      <c r="B18" s="67"/>
      <c r="C18" s="68"/>
      <c r="D18" s="68"/>
      <c r="E18" s="68"/>
      <c r="F18" s="67"/>
      <c r="G18" s="67"/>
      <c r="H18" s="69"/>
      <c r="I18" s="69"/>
      <c r="J18" s="70"/>
      <c r="K18" s="69"/>
      <c r="L18" s="69"/>
      <c r="M18" s="71"/>
      <c r="N18" s="72"/>
      <c r="O18" s="73"/>
      <c r="P18" s="73"/>
      <c r="Q18" s="74"/>
      <c r="R18" s="75"/>
      <c r="S18" s="69"/>
      <c r="T18" s="75"/>
      <c r="U18" s="67"/>
    </row>
    <row r="19" spans="2:21" x14ac:dyDescent="0.25">
      <c r="B19" s="67"/>
      <c r="C19" s="68"/>
      <c r="D19" s="68"/>
      <c r="E19" s="68"/>
      <c r="F19" s="67"/>
      <c r="G19" s="67"/>
      <c r="H19" s="69"/>
      <c r="I19" s="69"/>
      <c r="J19" s="70"/>
      <c r="K19" s="69"/>
      <c r="L19" s="69"/>
      <c r="M19" s="71"/>
      <c r="N19" s="72"/>
      <c r="O19" s="73"/>
      <c r="P19" s="73"/>
      <c r="Q19" s="74"/>
      <c r="R19" s="75"/>
      <c r="S19" s="69"/>
      <c r="T19" s="75"/>
      <c r="U19" s="67"/>
    </row>
    <row r="20" spans="2:21" x14ac:dyDescent="0.25">
      <c r="B20" s="67"/>
      <c r="C20" s="68"/>
      <c r="D20" s="68"/>
      <c r="E20" s="68"/>
      <c r="F20" s="67"/>
      <c r="G20" s="67"/>
      <c r="H20" s="69"/>
      <c r="I20" s="69"/>
      <c r="J20" s="70"/>
      <c r="K20" s="69"/>
      <c r="L20" s="69"/>
      <c r="M20" s="71"/>
      <c r="N20" s="72"/>
      <c r="O20" s="73"/>
      <c r="P20" s="73"/>
      <c r="Q20" s="74"/>
      <c r="R20" s="75"/>
      <c r="S20" s="69"/>
      <c r="T20" s="75"/>
      <c r="U20" s="67"/>
    </row>
    <row r="21" spans="2:21" x14ac:dyDescent="0.25">
      <c r="B21" s="67"/>
      <c r="C21" s="68"/>
      <c r="D21" s="68"/>
      <c r="E21" s="68"/>
      <c r="F21" s="67"/>
      <c r="G21" s="67"/>
      <c r="H21" s="69"/>
      <c r="I21" s="69"/>
      <c r="J21" s="70"/>
      <c r="K21" s="69"/>
      <c r="L21" s="69"/>
      <c r="M21" s="71"/>
      <c r="N21" s="72"/>
      <c r="O21" s="73"/>
      <c r="P21" s="73"/>
      <c r="Q21" s="74"/>
      <c r="R21" s="75"/>
      <c r="S21" s="69"/>
      <c r="T21" s="75"/>
      <c r="U21" s="67"/>
    </row>
    <row r="22" spans="2:21" x14ac:dyDescent="0.25">
      <c r="B22" s="67"/>
      <c r="C22" s="68"/>
      <c r="D22" s="68"/>
      <c r="E22" s="68"/>
      <c r="F22" s="67"/>
      <c r="G22" s="67"/>
      <c r="H22" s="69"/>
      <c r="I22" s="69"/>
      <c r="J22" s="70"/>
      <c r="K22" s="69"/>
      <c r="L22" s="69"/>
      <c r="M22" s="71"/>
      <c r="N22" s="72"/>
      <c r="O22" s="73"/>
      <c r="P22" s="73"/>
      <c r="Q22" s="74"/>
      <c r="R22" s="75"/>
      <c r="S22" s="69"/>
      <c r="T22" s="75"/>
      <c r="U22" s="67"/>
    </row>
    <row r="23" spans="2:21" x14ac:dyDescent="0.25">
      <c r="B23" s="67"/>
      <c r="C23" s="68"/>
      <c r="D23" s="68"/>
      <c r="E23" s="68"/>
      <c r="F23" s="67"/>
      <c r="G23" s="67"/>
      <c r="H23" s="69"/>
      <c r="I23" s="69"/>
      <c r="J23" s="70"/>
      <c r="K23" s="69"/>
      <c r="L23" s="69"/>
      <c r="M23" s="71"/>
      <c r="N23" s="72"/>
      <c r="O23" s="73"/>
      <c r="P23" s="73"/>
      <c r="Q23" s="74"/>
      <c r="R23" s="75"/>
      <c r="S23" s="69"/>
      <c r="T23" s="75"/>
      <c r="U23" s="67"/>
    </row>
    <row r="24" spans="2:21" x14ac:dyDescent="0.25">
      <c r="B24" s="67"/>
      <c r="C24" s="68"/>
      <c r="D24" s="68"/>
      <c r="E24" s="68"/>
      <c r="F24" s="67"/>
      <c r="G24" s="67"/>
      <c r="H24" s="69"/>
      <c r="I24" s="69"/>
      <c r="J24" s="70"/>
      <c r="K24" s="69"/>
      <c r="L24" s="69"/>
      <c r="M24" s="71"/>
      <c r="N24" s="72"/>
      <c r="O24" s="73"/>
      <c r="P24" s="73"/>
      <c r="Q24" s="74"/>
      <c r="R24" s="75"/>
      <c r="S24" s="69"/>
      <c r="T24" s="75"/>
      <c r="U24" s="67"/>
    </row>
    <row r="25" spans="2:21" x14ac:dyDescent="0.25">
      <c r="B25" s="67"/>
      <c r="C25" s="68"/>
      <c r="D25" s="68"/>
      <c r="E25" s="68"/>
      <c r="F25" s="67"/>
      <c r="G25" s="67"/>
      <c r="H25" s="69"/>
      <c r="I25" s="69"/>
      <c r="J25" s="70"/>
      <c r="K25" s="69"/>
      <c r="L25" s="69"/>
      <c r="M25" s="71"/>
      <c r="N25" s="72"/>
      <c r="O25" s="73"/>
      <c r="P25" s="73"/>
      <c r="Q25" s="74"/>
      <c r="R25" s="75"/>
      <c r="S25" s="69"/>
      <c r="T25" s="75"/>
      <c r="U25" s="67"/>
    </row>
    <row r="26" spans="2:21" x14ac:dyDescent="0.25">
      <c r="B26" s="67"/>
      <c r="C26" s="68"/>
      <c r="D26" s="68"/>
      <c r="E26" s="68"/>
      <c r="F26" s="67"/>
      <c r="G26" s="67"/>
      <c r="H26" s="69"/>
      <c r="I26" s="69"/>
      <c r="J26" s="70"/>
      <c r="K26" s="69"/>
      <c r="L26" s="69"/>
      <c r="M26" s="71"/>
      <c r="N26" s="72"/>
      <c r="O26" s="73"/>
      <c r="P26" s="73"/>
      <c r="Q26" s="74"/>
      <c r="R26" s="75"/>
      <c r="S26" s="69"/>
      <c r="T26" s="75"/>
      <c r="U26" s="67"/>
    </row>
    <row r="27" spans="2:21" x14ac:dyDescent="0.25">
      <c r="B27" s="67"/>
      <c r="C27" s="68"/>
      <c r="D27" s="68"/>
      <c r="E27" s="68"/>
      <c r="F27" s="67"/>
      <c r="G27" s="67"/>
      <c r="H27" s="69"/>
      <c r="I27" s="69"/>
      <c r="J27" s="70"/>
      <c r="K27" s="69"/>
      <c r="L27" s="69"/>
      <c r="M27" s="71"/>
      <c r="N27" s="72"/>
      <c r="O27" s="73"/>
      <c r="P27" s="73"/>
      <c r="Q27" s="74"/>
      <c r="R27" s="75"/>
      <c r="S27" s="69"/>
      <c r="T27" s="75"/>
      <c r="U27" s="67"/>
    </row>
    <row r="28" spans="2:21" x14ac:dyDescent="0.25">
      <c r="B28" s="67"/>
      <c r="C28" s="68"/>
      <c r="D28" s="68"/>
      <c r="E28" s="68"/>
      <c r="F28" s="67"/>
      <c r="G28" s="67"/>
      <c r="H28" s="69"/>
      <c r="I28" s="69"/>
      <c r="J28" s="70"/>
      <c r="K28" s="69"/>
      <c r="L28" s="69"/>
      <c r="M28" s="71"/>
      <c r="N28" s="72"/>
      <c r="O28" s="73"/>
      <c r="P28" s="73"/>
      <c r="Q28" s="74"/>
      <c r="R28" s="75"/>
      <c r="S28" s="69"/>
      <c r="T28" s="75"/>
      <c r="U28" s="67"/>
    </row>
    <row r="29" spans="2:21" x14ac:dyDescent="0.25">
      <c r="B29" s="67"/>
      <c r="C29" s="68"/>
      <c r="D29" s="68"/>
      <c r="E29" s="68"/>
      <c r="F29" s="67"/>
      <c r="G29" s="67"/>
      <c r="H29" s="69"/>
      <c r="I29" s="69"/>
      <c r="J29" s="70"/>
      <c r="K29" s="69"/>
      <c r="L29" s="69"/>
      <c r="M29" s="71"/>
      <c r="N29" s="72"/>
      <c r="O29" s="73"/>
      <c r="P29" s="73"/>
      <c r="Q29" s="74"/>
      <c r="R29" s="75"/>
      <c r="S29" s="69"/>
      <c r="T29" s="75"/>
      <c r="U29" s="67"/>
    </row>
    <row r="30" spans="2:21" x14ac:dyDescent="0.25">
      <c r="B30" s="67"/>
      <c r="C30" s="68"/>
      <c r="D30" s="68"/>
      <c r="E30" s="68"/>
      <c r="F30" s="67"/>
      <c r="G30" s="67"/>
      <c r="H30" s="69"/>
      <c r="I30" s="69"/>
      <c r="J30" s="70"/>
      <c r="K30" s="69"/>
      <c r="L30" s="69"/>
      <c r="M30" s="71"/>
      <c r="N30" s="72"/>
      <c r="O30" s="73"/>
      <c r="P30" s="73"/>
      <c r="Q30" s="74"/>
      <c r="R30" s="75"/>
      <c r="S30" s="69"/>
      <c r="T30" s="75"/>
      <c r="U30" s="67"/>
    </row>
    <row r="31" spans="2:21" x14ac:dyDescent="0.25">
      <c r="B31" s="67"/>
      <c r="C31" s="68"/>
      <c r="D31" s="68"/>
      <c r="E31" s="68"/>
      <c r="F31" s="67"/>
      <c r="G31" s="67"/>
      <c r="H31" s="69"/>
      <c r="I31" s="69"/>
      <c r="J31" s="70"/>
      <c r="K31" s="69"/>
      <c r="L31" s="69"/>
      <c r="M31" s="71"/>
      <c r="N31" s="72"/>
      <c r="O31" s="73"/>
      <c r="P31" s="73"/>
      <c r="Q31" s="74"/>
      <c r="R31" s="75"/>
      <c r="S31" s="69"/>
      <c r="T31" s="75"/>
      <c r="U31" s="67"/>
    </row>
    <row r="32" spans="2:21" x14ac:dyDescent="0.25">
      <c r="B32" s="67"/>
      <c r="C32" s="68"/>
      <c r="D32" s="68"/>
      <c r="E32" s="68"/>
      <c r="F32" s="67"/>
      <c r="G32" s="67"/>
      <c r="H32" s="69"/>
      <c r="I32" s="69"/>
      <c r="J32" s="70"/>
      <c r="K32" s="69"/>
      <c r="L32" s="69"/>
      <c r="M32" s="71"/>
      <c r="N32" s="72"/>
      <c r="O32" s="73"/>
      <c r="P32" s="73"/>
      <c r="Q32" s="74"/>
      <c r="R32" s="75"/>
      <c r="S32" s="69"/>
      <c r="T32" s="75"/>
      <c r="U32" s="67"/>
    </row>
    <row r="33" spans="2:21" x14ac:dyDescent="0.25">
      <c r="B33" s="67"/>
      <c r="C33" s="68"/>
      <c r="D33" s="68"/>
      <c r="E33" s="68"/>
      <c r="F33" s="67"/>
      <c r="G33" s="67"/>
      <c r="H33" s="69"/>
      <c r="I33" s="69"/>
      <c r="J33" s="70"/>
      <c r="K33" s="69"/>
      <c r="L33" s="69"/>
      <c r="M33" s="71"/>
      <c r="N33" s="72"/>
      <c r="O33" s="73"/>
      <c r="P33" s="73"/>
      <c r="Q33" s="74"/>
      <c r="R33" s="75"/>
      <c r="S33" s="69"/>
      <c r="T33" s="75"/>
      <c r="U33" s="67"/>
    </row>
    <row r="34" spans="2:21" x14ac:dyDescent="0.25">
      <c r="B34" s="67"/>
      <c r="C34" s="68"/>
      <c r="D34" s="68"/>
      <c r="E34" s="68"/>
      <c r="F34" s="67"/>
      <c r="G34" s="67"/>
      <c r="H34" s="69"/>
      <c r="I34" s="69"/>
      <c r="J34" s="70"/>
      <c r="K34" s="69"/>
      <c r="L34" s="69"/>
      <c r="M34" s="71"/>
      <c r="N34" s="72"/>
      <c r="O34" s="73"/>
      <c r="P34" s="73"/>
      <c r="Q34" s="74"/>
      <c r="R34" s="75"/>
      <c r="S34" s="69"/>
      <c r="T34" s="75"/>
      <c r="U34" s="67"/>
    </row>
    <row r="35" spans="2:21" x14ac:dyDescent="0.25">
      <c r="B35" s="67"/>
      <c r="C35" s="68"/>
      <c r="D35" s="68"/>
      <c r="E35" s="68"/>
      <c r="F35" s="67"/>
      <c r="G35" s="67"/>
      <c r="H35" s="69"/>
      <c r="I35" s="69"/>
      <c r="J35" s="70"/>
      <c r="K35" s="69"/>
      <c r="L35" s="69"/>
      <c r="M35" s="71"/>
      <c r="N35" s="72"/>
      <c r="O35" s="73"/>
      <c r="P35" s="73"/>
      <c r="Q35" s="74"/>
      <c r="R35" s="75"/>
      <c r="S35" s="69"/>
      <c r="T35" s="75"/>
      <c r="U35" s="67"/>
    </row>
    <row r="36" spans="2:21" x14ac:dyDescent="0.25">
      <c r="B36" s="67"/>
      <c r="C36" s="68"/>
      <c r="D36" s="68"/>
      <c r="E36" s="68"/>
      <c r="F36" s="67"/>
      <c r="G36" s="67"/>
      <c r="H36" s="69"/>
      <c r="I36" s="69"/>
      <c r="J36" s="70"/>
      <c r="K36" s="69"/>
      <c r="L36" s="69"/>
      <c r="M36" s="71"/>
      <c r="N36" s="72"/>
      <c r="O36" s="73"/>
      <c r="P36" s="73"/>
      <c r="Q36" s="74"/>
      <c r="R36" s="75"/>
      <c r="S36" s="69"/>
      <c r="T36" s="75"/>
      <c r="U36" s="67"/>
    </row>
    <row r="37" spans="2:21" x14ac:dyDescent="0.25">
      <c r="B37" s="67"/>
      <c r="C37" s="68"/>
      <c r="D37" s="68"/>
      <c r="E37" s="68"/>
      <c r="F37" s="67"/>
      <c r="G37" s="67"/>
      <c r="H37" s="69"/>
      <c r="I37" s="69"/>
      <c r="J37" s="70"/>
      <c r="K37" s="69"/>
      <c r="L37" s="69"/>
      <c r="M37" s="71"/>
      <c r="N37" s="72"/>
      <c r="O37" s="73"/>
      <c r="P37" s="73"/>
      <c r="Q37" s="74"/>
      <c r="R37" s="75"/>
      <c r="S37" s="69"/>
      <c r="T37" s="75"/>
      <c r="U37" s="67"/>
    </row>
    <row r="38" spans="2:21" x14ac:dyDescent="0.25">
      <c r="B38" s="67"/>
      <c r="C38" s="68"/>
      <c r="D38" s="68"/>
      <c r="E38" s="68"/>
      <c r="F38" s="67"/>
      <c r="G38" s="67"/>
      <c r="H38" s="69"/>
      <c r="I38" s="69"/>
      <c r="J38" s="70"/>
      <c r="K38" s="69"/>
      <c r="L38" s="69"/>
      <c r="M38" s="71"/>
      <c r="N38" s="72"/>
      <c r="O38" s="73"/>
      <c r="P38" s="73"/>
      <c r="Q38" s="74"/>
      <c r="R38" s="75"/>
      <c r="S38" s="69"/>
      <c r="T38" s="75"/>
      <c r="U38" s="67"/>
    </row>
    <row r="39" spans="2:21" x14ac:dyDescent="0.25">
      <c r="B39" s="67"/>
      <c r="C39" s="68"/>
      <c r="D39" s="68"/>
      <c r="E39" s="68"/>
      <c r="F39" s="67"/>
      <c r="G39" s="67"/>
      <c r="H39" s="69"/>
      <c r="I39" s="69"/>
      <c r="J39" s="70"/>
      <c r="K39" s="69"/>
      <c r="L39" s="69"/>
      <c r="M39" s="71"/>
      <c r="N39" s="72"/>
      <c r="O39" s="73"/>
      <c r="P39" s="73"/>
      <c r="Q39" s="74"/>
      <c r="R39" s="75"/>
      <c r="S39" s="69"/>
      <c r="T39" s="75"/>
      <c r="U39" s="67"/>
    </row>
    <row r="40" spans="2:21" x14ac:dyDescent="0.25">
      <c r="B40" s="67"/>
      <c r="C40" s="68"/>
      <c r="D40" s="68"/>
      <c r="E40" s="68"/>
      <c r="F40" s="67"/>
      <c r="G40" s="67"/>
      <c r="H40" s="69"/>
      <c r="I40" s="69"/>
      <c r="J40" s="70"/>
      <c r="K40" s="69"/>
      <c r="L40" s="69"/>
      <c r="M40" s="71"/>
      <c r="N40" s="72"/>
      <c r="O40" s="73"/>
      <c r="P40" s="73"/>
      <c r="Q40" s="74"/>
      <c r="R40" s="75"/>
      <c r="S40" s="69"/>
      <c r="T40" s="75"/>
      <c r="U40" s="67"/>
    </row>
    <row r="41" spans="2:21" x14ac:dyDescent="0.25">
      <c r="B41" s="67"/>
      <c r="C41" s="68"/>
      <c r="D41" s="68"/>
      <c r="E41" s="68"/>
      <c r="F41" s="67"/>
      <c r="G41" s="67"/>
      <c r="H41" s="69"/>
      <c r="I41" s="69"/>
      <c r="J41" s="70"/>
      <c r="K41" s="69"/>
      <c r="L41" s="69"/>
      <c r="M41" s="71"/>
      <c r="N41" s="72"/>
      <c r="O41" s="73"/>
      <c r="P41" s="73"/>
      <c r="Q41" s="74"/>
      <c r="R41" s="75"/>
      <c r="S41" s="69"/>
      <c r="T41" s="75"/>
      <c r="U41" s="67"/>
    </row>
    <row r="42" spans="2:21" x14ac:dyDescent="0.25">
      <c r="B42" s="67"/>
      <c r="C42" s="68"/>
      <c r="D42" s="68"/>
      <c r="E42" s="68"/>
      <c r="F42" s="67"/>
      <c r="G42" s="67"/>
      <c r="H42" s="69"/>
      <c r="I42" s="69"/>
      <c r="J42" s="70"/>
      <c r="K42" s="69"/>
      <c r="L42" s="69"/>
      <c r="M42" s="71"/>
      <c r="N42" s="72"/>
      <c r="O42" s="73"/>
      <c r="P42" s="73"/>
      <c r="Q42" s="74"/>
      <c r="R42" s="75"/>
      <c r="S42" s="69"/>
      <c r="T42" s="75"/>
      <c r="U42" s="67"/>
    </row>
    <row r="43" spans="2:21" x14ac:dyDescent="0.25">
      <c r="B43" s="67"/>
      <c r="C43" s="68"/>
      <c r="D43" s="68"/>
      <c r="E43" s="68"/>
      <c r="F43" s="67"/>
      <c r="G43" s="67"/>
      <c r="H43" s="69"/>
      <c r="I43" s="69"/>
      <c r="J43" s="70"/>
      <c r="K43" s="69"/>
      <c r="L43" s="69"/>
      <c r="M43" s="71"/>
      <c r="N43" s="72"/>
      <c r="O43" s="73"/>
      <c r="P43" s="73"/>
      <c r="Q43" s="74"/>
      <c r="R43" s="75"/>
      <c r="S43" s="69"/>
      <c r="T43" s="75"/>
      <c r="U43" s="67"/>
    </row>
    <row r="44" spans="2:21" x14ac:dyDescent="0.25">
      <c r="B44" s="67"/>
      <c r="C44" s="68"/>
      <c r="D44" s="68"/>
      <c r="E44" s="68"/>
      <c r="F44" s="67"/>
      <c r="G44" s="67"/>
      <c r="H44" s="69"/>
      <c r="I44" s="69"/>
      <c r="J44" s="70"/>
      <c r="K44" s="69"/>
      <c r="L44" s="69"/>
      <c r="M44" s="71"/>
      <c r="N44" s="72"/>
      <c r="O44" s="73"/>
      <c r="P44" s="73"/>
      <c r="Q44" s="74"/>
      <c r="R44" s="75"/>
      <c r="S44" s="69"/>
      <c r="T44" s="75"/>
      <c r="U44" s="67"/>
    </row>
    <row r="45" spans="2:21" x14ac:dyDescent="0.25">
      <c r="B45" s="67"/>
      <c r="C45" s="68"/>
      <c r="D45" s="68"/>
      <c r="E45" s="68"/>
      <c r="F45" s="67"/>
      <c r="G45" s="67"/>
      <c r="H45" s="69"/>
      <c r="I45" s="69"/>
      <c r="J45" s="70"/>
      <c r="K45" s="69"/>
      <c r="L45" s="69"/>
      <c r="M45" s="71"/>
      <c r="N45" s="72"/>
      <c r="O45" s="73"/>
      <c r="P45" s="73"/>
      <c r="Q45" s="74"/>
      <c r="R45" s="75"/>
      <c r="S45" s="69"/>
      <c r="T45" s="75"/>
      <c r="U45" s="67"/>
    </row>
    <row r="46" spans="2:21" x14ac:dyDescent="0.25">
      <c r="B46" s="67"/>
      <c r="C46" s="68"/>
      <c r="D46" s="68"/>
      <c r="E46" s="68"/>
      <c r="F46" s="67"/>
      <c r="G46" s="67"/>
      <c r="H46" s="69"/>
      <c r="I46" s="69"/>
      <c r="J46" s="70"/>
      <c r="K46" s="69"/>
      <c r="L46" s="69"/>
      <c r="M46" s="71"/>
      <c r="N46" s="72"/>
      <c r="O46" s="73"/>
      <c r="P46" s="73"/>
      <c r="Q46" s="74"/>
      <c r="R46" s="75"/>
      <c r="S46" s="69"/>
      <c r="T46" s="75"/>
      <c r="U46" s="67"/>
    </row>
    <row r="47" spans="2:21" x14ac:dyDescent="0.25">
      <c r="B47" s="67"/>
      <c r="C47" s="68"/>
      <c r="D47" s="68"/>
      <c r="E47" s="68"/>
      <c r="F47" s="67"/>
      <c r="G47" s="67"/>
      <c r="H47" s="69"/>
      <c r="I47" s="69"/>
      <c r="J47" s="70"/>
      <c r="K47" s="69"/>
      <c r="L47" s="69"/>
      <c r="M47" s="71"/>
      <c r="N47" s="72"/>
      <c r="O47" s="73"/>
      <c r="P47" s="73"/>
      <c r="Q47" s="74"/>
      <c r="R47" s="75"/>
      <c r="S47" s="69"/>
      <c r="T47" s="75"/>
      <c r="U47" s="67"/>
    </row>
    <row r="48" spans="2:21" x14ac:dyDescent="0.25">
      <c r="B48" s="67"/>
      <c r="C48" s="68"/>
      <c r="D48" s="68"/>
      <c r="E48" s="68"/>
      <c r="F48" s="67"/>
      <c r="G48" s="67"/>
      <c r="H48" s="69"/>
      <c r="I48" s="69"/>
      <c r="J48" s="70"/>
      <c r="K48" s="69"/>
      <c r="L48" s="69"/>
      <c r="M48" s="71"/>
      <c r="N48" s="72"/>
      <c r="O48" s="73"/>
      <c r="P48" s="73"/>
      <c r="Q48" s="74"/>
      <c r="R48" s="75"/>
      <c r="S48" s="69"/>
      <c r="T48" s="75"/>
      <c r="U48" s="67"/>
    </row>
    <row r="49" spans="2:21" x14ac:dyDescent="0.25">
      <c r="B49" s="67"/>
      <c r="C49" s="68"/>
      <c r="D49" s="68"/>
      <c r="E49" s="68"/>
      <c r="F49" s="67"/>
      <c r="G49" s="67"/>
      <c r="H49" s="69"/>
      <c r="I49" s="69"/>
      <c r="J49" s="70"/>
      <c r="K49" s="69"/>
      <c r="L49" s="69"/>
      <c r="M49" s="71"/>
      <c r="N49" s="72"/>
      <c r="O49" s="73"/>
      <c r="P49" s="73"/>
      <c r="Q49" s="74"/>
      <c r="R49" s="75"/>
      <c r="S49" s="69"/>
      <c r="T49" s="75"/>
      <c r="U49" s="67"/>
    </row>
    <row r="50" spans="2:21" x14ac:dyDescent="0.25">
      <c r="B50" s="67"/>
      <c r="C50" s="68"/>
      <c r="D50" s="68"/>
      <c r="E50" s="68"/>
      <c r="F50" s="67"/>
      <c r="G50" s="67"/>
      <c r="H50" s="69"/>
      <c r="I50" s="69"/>
      <c r="J50" s="70"/>
      <c r="K50" s="69"/>
      <c r="L50" s="69"/>
      <c r="M50" s="71"/>
      <c r="N50" s="72"/>
      <c r="O50" s="73"/>
      <c r="P50" s="73"/>
      <c r="Q50" s="74"/>
      <c r="R50" s="75"/>
      <c r="S50" s="69"/>
      <c r="T50" s="75"/>
      <c r="U50" s="67"/>
    </row>
    <row r="51" spans="2:21" x14ac:dyDescent="0.25">
      <c r="B51" s="67"/>
      <c r="C51" s="68"/>
      <c r="D51" s="68"/>
      <c r="E51" s="68"/>
      <c r="F51" s="67"/>
      <c r="G51" s="67"/>
      <c r="H51" s="69"/>
      <c r="I51" s="69"/>
      <c r="J51" s="70"/>
      <c r="K51" s="69"/>
      <c r="L51" s="69"/>
      <c r="M51" s="71"/>
      <c r="N51" s="72"/>
      <c r="O51" s="73"/>
      <c r="P51" s="73"/>
      <c r="Q51" s="74"/>
      <c r="R51" s="75"/>
      <c r="S51" s="69"/>
      <c r="T51" s="75"/>
      <c r="U51" s="67"/>
    </row>
    <row r="52" spans="2:21" x14ac:dyDescent="0.25">
      <c r="B52" s="67"/>
      <c r="C52" s="68"/>
      <c r="D52" s="68"/>
      <c r="E52" s="68"/>
      <c r="F52" s="67"/>
      <c r="G52" s="67"/>
      <c r="H52" s="69"/>
      <c r="I52" s="69"/>
      <c r="J52" s="70"/>
      <c r="K52" s="69"/>
      <c r="L52" s="69"/>
      <c r="M52" s="71"/>
      <c r="N52" s="72"/>
      <c r="O52" s="73"/>
      <c r="P52" s="73"/>
      <c r="Q52" s="74"/>
      <c r="R52" s="75"/>
      <c r="S52" s="69"/>
      <c r="T52" s="75"/>
      <c r="U52" s="67"/>
    </row>
    <row r="53" spans="2:21" x14ac:dyDescent="0.25">
      <c r="B53" s="67"/>
      <c r="C53" s="68"/>
      <c r="D53" s="68"/>
      <c r="E53" s="68"/>
      <c r="F53" s="67"/>
      <c r="G53" s="67"/>
      <c r="H53" s="69"/>
      <c r="I53" s="69"/>
      <c r="J53" s="70"/>
      <c r="K53" s="69"/>
      <c r="L53" s="69"/>
      <c r="M53" s="71"/>
      <c r="N53" s="72"/>
      <c r="O53" s="73"/>
      <c r="P53" s="73"/>
      <c r="Q53" s="74"/>
      <c r="R53" s="75"/>
      <c r="S53" s="69"/>
      <c r="T53" s="75"/>
      <c r="U53" s="67"/>
    </row>
    <row r="54" spans="2:21" x14ac:dyDescent="0.25">
      <c r="B54" s="67"/>
      <c r="C54" s="68"/>
      <c r="D54" s="68"/>
      <c r="E54" s="68"/>
      <c r="F54" s="67"/>
      <c r="G54" s="67"/>
      <c r="H54" s="69"/>
      <c r="I54" s="69"/>
      <c r="J54" s="70"/>
      <c r="K54" s="69"/>
      <c r="L54" s="69"/>
      <c r="M54" s="71"/>
      <c r="N54" s="72"/>
      <c r="O54" s="73"/>
      <c r="P54" s="73"/>
      <c r="Q54" s="74"/>
      <c r="R54" s="75"/>
      <c r="S54" s="69"/>
      <c r="T54" s="75"/>
      <c r="U54" s="67"/>
    </row>
    <row r="55" spans="2:21" x14ac:dyDescent="0.25">
      <c r="B55" s="67"/>
      <c r="C55" s="68"/>
      <c r="D55" s="68"/>
      <c r="E55" s="68"/>
      <c r="F55" s="67"/>
      <c r="G55" s="67"/>
      <c r="H55" s="69"/>
      <c r="I55" s="69"/>
      <c r="J55" s="70"/>
      <c r="K55" s="69"/>
      <c r="L55" s="69"/>
      <c r="M55" s="71"/>
      <c r="N55" s="72"/>
      <c r="O55" s="73"/>
      <c r="P55" s="73"/>
      <c r="Q55" s="74"/>
      <c r="R55" s="75"/>
      <c r="S55" s="69"/>
      <c r="T55" s="75"/>
      <c r="U55" s="67"/>
    </row>
    <row r="56" spans="2:21" x14ac:dyDescent="0.25">
      <c r="B56" s="67"/>
      <c r="C56" s="68"/>
      <c r="D56" s="68"/>
      <c r="E56" s="68"/>
      <c r="F56" s="67"/>
      <c r="G56" s="67"/>
      <c r="H56" s="69"/>
      <c r="I56" s="69"/>
      <c r="J56" s="70"/>
      <c r="K56" s="69"/>
      <c r="L56" s="69"/>
      <c r="M56" s="71"/>
      <c r="N56" s="72"/>
      <c r="O56" s="73"/>
      <c r="P56" s="73"/>
      <c r="Q56" s="74"/>
      <c r="R56" s="75"/>
      <c r="S56" s="69"/>
      <c r="T56" s="75"/>
      <c r="U56" s="67"/>
    </row>
    <row r="57" spans="2:21" x14ac:dyDescent="0.25">
      <c r="B57" s="67"/>
      <c r="C57" s="68"/>
      <c r="D57" s="68"/>
      <c r="E57" s="68"/>
      <c r="F57" s="67"/>
      <c r="G57" s="67"/>
      <c r="H57" s="69"/>
      <c r="I57" s="69"/>
      <c r="J57" s="70"/>
      <c r="K57" s="69"/>
      <c r="L57" s="69"/>
      <c r="M57" s="71"/>
      <c r="N57" s="72"/>
      <c r="O57" s="73"/>
      <c r="P57" s="73"/>
      <c r="Q57" s="74"/>
      <c r="R57" s="75"/>
      <c r="S57" s="69"/>
      <c r="T57" s="75"/>
      <c r="U57" s="67"/>
    </row>
    <row r="58" spans="2:21" x14ac:dyDescent="0.25">
      <c r="B58" s="67"/>
      <c r="C58" s="68"/>
      <c r="D58" s="68"/>
      <c r="E58" s="68"/>
      <c r="F58" s="67"/>
      <c r="G58" s="67"/>
      <c r="H58" s="69"/>
      <c r="I58" s="69"/>
      <c r="J58" s="70"/>
      <c r="K58" s="69"/>
      <c r="L58" s="69"/>
      <c r="M58" s="71"/>
      <c r="N58" s="72"/>
      <c r="O58" s="73"/>
      <c r="P58" s="73"/>
      <c r="Q58" s="74"/>
      <c r="R58" s="75"/>
      <c r="S58" s="69"/>
      <c r="T58" s="75"/>
      <c r="U58" s="67"/>
    </row>
    <row r="59" spans="2:21" x14ac:dyDescent="0.25">
      <c r="B59" s="67"/>
      <c r="C59" s="68"/>
      <c r="D59" s="68"/>
      <c r="E59" s="68"/>
      <c r="F59" s="67"/>
      <c r="G59" s="67"/>
      <c r="H59" s="69"/>
      <c r="I59" s="69"/>
      <c r="J59" s="70"/>
      <c r="K59" s="69"/>
      <c r="L59" s="69"/>
      <c r="M59" s="71"/>
      <c r="N59" s="72"/>
      <c r="O59" s="73"/>
      <c r="P59" s="73"/>
      <c r="Q59" s="74"/>
      <c r="R59" s="75"/>
      <c r="S59" s="69"/>
      <c r="T59" s="75"/>
      <c r="U59" s="67"/>
    </row>
    <row r="60" spans="2:21" x14ac:dyDescent="0.25">
      <c r="B60" s="67"/>
      <c r="C60" s="68"/>
      <c r="D60" s="68"/>
      <c r="E60" s="68"/>
      <c r="F60" s="67"/>
      <c r="G60" s="67"/>
      <c r="H60" s="69"/>
      <c r="I60" s="69"/>
      <c r="J60" s="70"/>
      <c r="K60" s="69"/>
      <c r="L60" s="69"/>
      <c r="M60" s="71"/>
      <c r="N60" s="72"/>
      <c r="O60" s="73"/>
      <c r="P60" s="73"/>
      <c r="Q60" s="74"/>
      <c r="R60" s="75"/>
      <c r="S60" s="69"/>
      <c r="T60" s="75"/>
      <c r="U60" s="67"/>
    </row>
    <row r="61" spans="2:21" x14ac:dyDescent="0.25">
      <c r="B61" s="67"/>
      <c r="C61" s="68"/>
      <c r="D61" s="68"/>
      <c r="E61" s="68"/>
      <c r="F61" s="67"/>
      <c r="G61" s="67"/>
      <c r="H61" s="69"/>
      <c r="I61" s="69"/>
      <c r="J61" s="70"/>
      <c r="K61" s="69"/>
      <c r="L61" s="69"/>
      <c r="M61" s="71"/>
      <c r="N61" s="72"/>
      <c r="O61" s="73"/>
      <c r="P61" s="73"/>
      <c r="Q61" s="74"/>
      <c r="R61" s="75"/>
      <c r="S61" s="69"/>
      <c r="T61" s="75"/>
      <c r="U61" s="67"/>
    </row>
    <row r="62" spans="2:21" x14ac:dyDescent="0.25">
      <c r="B62" s="67"/>
      <c r="C62" s="68"/>
      <c r="D62" s="68"/>
      <c r="E62" s="68"/>
      <c r="F62" s="67"/>
      <c r="G62" s="67"/>
      <c r="H62" s="69"/>
      <c r="I62" s="69"/>
      <c r="J62" s="70"/>
      <c r="K62" s="69"/>
      <c r="L62" s="69"/>
      <c r="M62" s="71"/>
      <c r="N62" s="72"/>
      <c r="O62" s="73"/>
      <c r="P62" s="73"/>
      <c r="Q62" s="74"/>
      <c r="R62" s="75"/>
      <c r="S62" s="69"/>
      <c r="T62" s="75"/>
      <c r="U62" s="67"/>
    </row>
    <row r="63" spans="2:21" x14ac:dyDescent="0.25">
      <c r="B63" s="67"/>
      <c r="C63" s="68"/>
      <c r="D63" s="68"/>
      <c r="E63" s="68"/>
      <c r="F63" s="67"/>
      <c r="G63" s="67"/>
      <c r="H63" s="69"/>
      <c r="I63" s="69"/>
      <c r="J63" s="70"/>
      <c r="K63" s="69"/>
      <c r="L63" s="69"/>
      <c r="M63" s="71"/>
      <c r="N63" s="72"/>
      <c r="O63" s="73"/>
      <c r="P63" s="73"/>
      <c r="Q63" s="74"/>
      <c r="R63" s="75"/>
      <c r="S63" s="69"/>
      <c r="T63" s="75"/>
      <c r="U63" s="67"/>
    </row>
    <row r="64" spans="2:21" x14ac:dyDescent="0.25">
      <c r="B64" s="67"/>
      <c r="C64" s="68"/>
      <c r="D64" s="68"/>
      <c r="E64" s="68"/>
      <c r="F64" s="67"/>
      <c r="G64" s="67"/>
      <c r="H64" s="69"/>
      <c r="I64" s="69"/>
      <c r="J64" s="70"/>
      <c r="K64" s="69"/>
      <c r="L64" s="69"/>
      <c r="M64" s="71"/>
      <c r="N64" s="72"/>
      <c r="O64" s="73"/>
      <c r="P64" s="73"/>
      <c r="Q64" s="74"/>
      <c r="R64" s="75"/>
      <c r="S64" s="69"/>
      <c r="T64" s="75"/>
      <c r="U64" s="67"/>
    </row>
    <row r="65" spans="2:21" x14ac:dyDescent="0.25">
      <c r="B65" s="67"/>
      <c r="C65" s="68"/>
      <c r="D65" s="68"/>
      <c r="E65" s="68"/>
      <c r="F65" s="67"/>
      <c r="G65" s="67"/>
      <c r="H65" s="69"/>
      <c r="I65" s="69"/>
      <c r="J65" s="70"/>
      <c r="K65" s="69"/>
      <c r="L65" s="69"/>
      <c r="M65" s="71"/>
      <c r="N65" s="72"/>
      <c r="O65" s="73"/>
      <c r="P65" s="73"/>
      <c r="Q65" s="74"/>
      <c r="R65" s="75"/>
      <c r="S65" s="69"/>
      <c r="T65" s="75"/>
      <c r="U65" s="67"/>
    </row>
    <row r="66" spans="2:21" x14ac:dyDescent="0.25">
      <c r="B66" s="67"/>
      <c r="C66" s="68"/>
      <c r="D66" s="68"/>
      <c r="E66" s="68"/>
      <c r="F66" s="67"/>
      <c r="G66" s="67"/>
      <c r="H66" s="69"/>
      <c r="I66" s="69"/>
      <c r="J66" s="70"/>
      <c r="K66" s="69"/>
      <c r="L66" s="69"/>
      <c r="M66" s="71"/>
      <c r="N66" s="72"/>
      <c r="O66" s="73"/>
      <c r="P66" s="73"/>
      <c r="Q66" s="74"/>
      <c r="R66" s="75"/>
      <c r="S66" s="69"/>
      <c r="T66" s="75"/>
      <c r="U66" s="67"/>
    </row>
    <row r="67" spans="2:21" x14ac:dyDescent="0.25">
      <c r="B67" s="67"/>
      <c r="C67" s="68"/>
      <c r="D67" s="68"/>
      <c r="E67" s="68"/>
      <c r="F67" s="67"/>
      <c r="G67" s="67"/>
      <c r="H67" s="69"/>
      <c r="I67" s="69"/>
      <c r="J67" s="70"/>
      <c r="K67" s="69"/>
      <c r="L67" s="69"/>
      <c r="M67" s="71"/>
      <c r="N67" s="72"/>
      <c r="O67" s="73"/>
      <c r="P67" s="73"/>
      <c r="Q67" s="74"/>
      <c r="R67" s="75"/>
      <c r="S67" s="69"/>
      <c r="T67" s="75"/>
      <c r="U67" s="67"/>
    </row>
    <row r="68" spans="2:21" x14ac:dyDescent="0.25">
      <c r="B68" s="67"/>
      <c r="C68" s="68"/>
      <c r="D68" s="68"/>
      <c r="E68" s="68"/>
      <c r="F68" s="67"/>
      <c r="G68" s="67"/>
      <c r="H68" s="69"/>
      <c r="I68" s="69"/>
      <c r="J68" s="70"/>
      <c r="K68" s="69"/>
      <c r="L68" s="69"/>
      <c r="M68" s="71"/>
      <c r="N68" s="72"/>
      <c r="O68" s="73"/>
      <c r="P68" s="73"/>
      <c r="Q68" s="74"/>
      <c r="R68" s="75"/>
      <c r="S68" s="69"/>
      <c r="T68" s="75"/>
      <c r="U68" s="67"/>
    </row>
    <row r="69" spans="2:21" x14ac:dyDescent="0.25">
      <c r="B69" s="67"/>
      <c r="C69" s="68"/>
      <c r="D69" s="68"/>
      <c r="E69" s="68"/>
      <c r="F69" s="67"/>
      <c r="G69" s="67"/>
      <c r="H69" s="69"/>
      <c r="I69" s="69"/>
      <c r="J69" s="70"/>
      <c r="K69" s="69"/>
      <c r="L69" s="69"/>
      <c r="M69" s="71"/>
      <c r="N69" s="72"/>
      <c r="O69" s="73"/>
      <c r="P69" s="73"/>
      <c r="Q69" s="74"/>
      <c r="R69" s="75"/>
      <c r="S69" s="69"/>
      <c r="T69" s="75"/>
      <c r="U69" s="67"/>
    </row>
    <row r="70" spans="2:21" x14ac:dyDescent="0.25">
      <c r="B70" s="67"/>
      <c r="C70" s="68"/>
      <c r="D70" s="68"/>
      <c r="E70" s="68"/>
      <c r="F70" s="67"/>
      <c r="G70" s="67"/>
      <c r="H70" s="69"/>
      <c r="I70" s="69"/>
      <c r="J70" s="70"/>
      <c r="K70" s="69"/>
      <c r="L70" s="69"/>
      <c r="M70" s="71"/>
      <c r="N70" s="72"/>
      <c r="O70" s="73"/>
      <c r="P70" s="73"/>
      <c r="Q70" s="74"/>
      <c r="R70" s="75"/>
      <c r="S70" s="69"/>
      <c r="T70" s="75"/>
      <c r="U70" s="67"/>
    </row>
    <row r="71" spans="2:21" x14ac:dyDescent="0.25">
      <c r="B71" s="67"/>
      <c r="C71" s="68"/>
      <c r="D71" s="68"/>
      <c r="E71" s="68"/>
      <c r="F71" s="67"/>
      <c r="G71" s="67"/>
      <c r="H71" s="69"/>
      <c r="I71" s="69"/>
      <c r="J71" s="70"/>
      <c r="K71" s="69"/>
      <c r="L71" s="69"/>
      <c r="M71" s="71"/>
      <c r="N71" s="72"/>
      <c r="O71" s="73"/>
      <c r="P71" s="73"/>
      <c r="Q71" s="74"/>
      <c r="R71" s="75"/>
      <c r="S71" s="69"/>
      <c r="T71" s="75"/>
      <c r="U71" s="67"/>
    </row>
    <row r="72" spans="2:21" x14ac:dyDescent="0.25">
      <c r="B72" s="67"/>
      <c r="C72" s="68"/>
      <c r="D72" s="68"/>
      <c r="E72" s="68"/>
      <c r="F72" s="67"/>
      <c r="G72" s="67"/>
      <c r="H72" s="69"/>
      <c r="I72" s="69"/>
      <c r="J72" s="70"/>
      <c r="K72" s="69"/>
      <c r="L72" s="69"/>
      <c r="M72" s="71"/>
      <c r="N72" s="72"/>
      <c r="O72" s="73"/>
      <c r="P72" s="73"/>
      <c r="Q72" s="74"/>
      <c r="R72" s="75"/>
      <c r="S72" s="69"/>
      <c r="T72" s="75"/>
      <c r="U72" s="67"/>
    </row>
    <row r="73" spans="2:21" x14ac:dyDescent="0.25">
      <c r="B73" s="67"/>
      <c r="C73" s="68"/>
      <c r="D73" s="68"/>
      <c r="E73" s="68"/>
      <c r="F73" s="67"/>
      <c r="G73" s="67"/>
      <c r="H73" s="69"/>
      <c r="I73" s="69"/>
      <c r="J73" s="70"/>
      <c r="K73" s="69"/>
      <c r="L73" s="69"/>
      <c r="M73" s="71"/>
      <c r="N73" s="72"/>
      <c r="O73" s="73"/>
      <c r="P73" s="73"/>
      <c r="Q73" s="74"/>
      <c r="R73" s="75"/>
      <c r="S73" s="69"/>
      <c r="T73" s="75"/>
      <c r="U73" s="67"/>
    </row>
    <row r="74" spans="2:21" x14ac:dyDescent="0.25">
      <c r="B74" s="67"/>
      <c r="C74" s="68"/>
      <c r="D74" s="68"/>
      <c r="E74" s="68"/>
      <c r="F74" s="67"/>
      <c r="G74" s="67"/>
      <c r="H74" s="69"/>
      <c r="I74" s="69"/>
      <c r="J74" s="70"/>
      <c r="K74" s="69"/>
      <c r="L74" s="69"/>
      <c r="M74" s="71"/>
      <c r="N74" s="72"/>
      <c r="O74" s="73"/>
      <c r="P74" s="73"/>
      <c r="Q74" s="74"/>
      <c r="R74" s="75"/>
      <c r="S74" s="69"/>
      <c r="T74" s="75"/>
      <c r="U74" s="67"/>
    </row>
    <row r="75" spans="2:21" x14ac:dyDescent="0.25">
      <c r="B75" s="67"/>
      <c r="C75" s="68"/>
      <c r="D75" s="68"/>
      <c r="E75" s="68"/>
      <c r="F75" s="67"/>
      <c r="G75" s="67"/>
      <c r="H75" s="69"/>
      <c r="I75" s="69"/>
      <c r="J75" s="70"/>
      <c r="K75" s="69"/>
      <c r="L75" s="69"/>
      <c r="M75" s="71"/>
      <c r="N75" s="72"/>
      <c r="O75" s="73"/>
      <c r="P75" s="73"/>
      <c r="Q75" s="74"/>
      <c r="R75" s="75"/>
      <c r="S75" s="69"/>
      <c r="T75" s="75"/>
      <c r="U75" s="67"/>
    </row>
    <row r="76" spans="2:21" x14ac:dyDescent="0.25">
      <c r="B76" s="67"/>
      <c r="C76" s="68"/>
      <c r="D76" s="68"/>
      <c r="E76" s="68"/>
      <c r="F76" s="67"/>
      <c r="G76" s="67"/>
      <c r="H76" s="69"/>
      <c r="I76" s="69"/>
      <c r="J76" s="70"/>
      <c r="K76" s="69"/>
      <c r="L76" s="69"/>
      <c r="M76" s="71"/>
      <c r="N76" s="72"/>
      <c r="O76" s="73"/>
      <c r="P76" s="73"/>
      <c r="Q76" s="74"/>
      <c r="R76" s="75"/>
      <c r="S76" s="69"/>
      <c r="T76" s="75"/>
      <c r="U76" s="67"/>
    </row>
    <row r="77" spans="2:21" x14ac:dyDescent="0.25">
      <c r="B77" s="67"/>
      <c r="C77" s="68"/>
      <c r="D77" s="68"/>
      <c r="E77" s="68"/>
      <c r="F77" s="67"/>
      <c r="G77" s="67"/>
      <c r="H77" s="69"/>
      <c r="I77" s="69"/>
      <c r="J77" s="70"/>
      <c r="K77" s="69"/>
      <c r="L77" s="69"/>
      <c r="M77" s="71"/>
      <c r="N77" s="72"/>
      <c r="O77" s="73"/>
      <c r="P77" s="73"/>
      <c r="Q77" s="74"/>
      <c r="R77" s="75"/>
      <c r="S77" s="69"/>
      <c r="T77" s="75"/>
      <c r="U77" s="67"/>
    </row>
    <row r="78" spans="2:21" x14ac:dyDescent="0.25">
      <c r="B78" s="67"/>
      <c r="C78" s="68"/>
      <c r="D78" s="68"/>
      <c r="E78" s="68"/>
      <c r="F78" s="67"/>
      <c r="G78" s="67"/>
      <c r="H78" s="69"/>
      <c r="I78" s="69"/>
      <c r="J78" s="70"/>
      <c r="K78" s="69"/>
      <c r="L78" s="69"/>
      <c r="M78" s="71"/>
      <c r="N78" s="72"/>
      <c r="O78" s="73"/>
      <c r="P78" s="73"/>
      <c r="Q78" s="74"/>
      <c r="R78" s="75"/>
      <c r="S78" s="69"/>
      <c r="T78" s="75"/>
      <c r="U78" s="67"/>
    </row>
    <row r="79" spans="2:21" x14ac:dyDescent="0.25">
      <c r="B79" s="67"/>
      <c r="C79" s="68"/>
      <c r="D79" s="68"/>
      <c r="E79" s="68"/>
      <c r="F79" s="67"/>
      <c r="G79" s="67"/>
      <c r="H79" s="69"/>
      <c r="I79" s="69"/>
      <c r="J79" s="70"/>
      <c r="K79" s="69"/>
      <c r="L79" s="69"/>
      <c r="M79" s="71"/>
      <c r="N79" s="72"/>
      <c r="O79" s="73"/>
      <c r="P79" s="73"/>
      <c r="Q79" s="74"/>
      <c r="R79" s="75"/>
      <c r="S79" s="69"/>
      <c r="T79" s="75"/>
      <c r="U79" s="67"/>
    </row>
    <row r="80" spans="2:21" x14ac:dyDescent="0.25">
      <c r="B80" s="67"/>
      <c r="C80" s="68"/>
      <c r="D80" s="68"/>
      <c r="E80" s="68"/>
      <c r="F80" s="67"/>
      <c r="G80" s="67"/>
      <c r="H80" s="69"/>
      <c r="I80" s="69"/>
      <c r="J80" s="70"/>
      <c r="K80" s="69"/>
      <c r="L80" s="69"/>
      <c r="M80" s="71"/>
      <c r="N80" s="72"/>
      <c r="O80" s="73"/>
      <c r="P80" s="73"/>
      <c r="Q80" s="74"/>
      <c r="R80" s="75"/>
      <c r="S80" s="69"/>
      <c r="T80" s="75"/>
      <c r="U80" s="67"/>
    </row>
    <row r="81" spans="2:21" x14ac:dyDescent="0.25">
      <c r="B81" s="67"/>
      <c r="C81" s="68"/>
      <c r="D81" s="68"/>
      <c r="E81" s="68"/>
      <c r="F81" s="67"/>
      <c r="G81" s="67"/>
      <c r="H81" s="69"/>
      <c r="I81" s="69"/>
      <c r="J81" s="70"/>
      <c r="K81" s="69"/>
      <c r="L81" s="69"/>
      <c r="M81" s="71"/>
      <c r="N81" s="72"/>
      <c r="O81" s="73"/>
      <c r="P81" s="73"/>
      <c r="Q81" s="74"/>
      <c r="R81" s="75"/>
      <c r="S81" s="69"/>
      <c r="T81" s="75"/>
      <c r="U81" s="67"/>
    </row>
    <row r="82" spans="2:21" x14ac:dyDescent="0.25">
      <c r="B82" s="67"/>
      <c r="C82" s="68"/>
      <c r="D82" s="68"/>
      <c r="E82" s="68"/>
      <c r="F82" s="67"/>
      <c r="G82" s="67"/>
      <c r="H82" s="69"/>
      <c r="I82" s="69"/>
      <c r="J82" s="70"/>
      <c r="K82" s="69"/>
      <c r="L82" s="69"/>
      <c r="M82" s="71"/>
      <c r="N82" s="72"/>
      <c r="O82" s="73"/>
      <c r="P82" s="73"/>
      <c r="Q82" s="74"/>
      <c r="R82" s="75"/>
      <c r="S82" s="69"/>
      <c r="T82" s="75"/>
      <c r="U82" s="67"/>
    </row>
    <row r="83" spans="2:21" x14ac:dyDescent="0.25">
      <c r="B83" s="67"/>
      <c r="C83" s="68"/>
      <c r="D83" s="68"/>
      <c r="E83" s="68"/>
      <c r="F83" s="67"/>
      <c r="G83" s="67"/>
      <c r="H83" s="69"/>
      <c r="I83" s="69"/>
      <c r="J83" s="70"/>
      <c r="K83" s="69"/>
      <c r="L83" s="69"/>
      <c r="M83" s="71"/>
      <c r="N83" s="72"/>
      <c r="O83" s="73"/>
      <c r="P83" s="73"/>
      <c r="Q83" s="74"/>
      <c r="R83" s="75"/>
      <c r="S83" s="69"/>
      <c r="T83" s="75"/>
      <c r="U83" s="67"/>
    </row>
    <row r="84" spans="2:21" x14ac:dyDescent="0.25">
      <c r="B84" s="67"/>
      <c r="C84" s="68"/>
      <c r="D84" s="68"/>
      <c r="E84" s="68"/>
      <c r="F84" s="67"/>
      <c r="G84" s="67"/>
      <c r="H84" s="69"/>
      <c r="I84" s="69"/>
      <c r="J84" s="70"/>
      <c r="K84" s="69"/>
      <c r="L84" s="69"/>
      <c r="M84" s="71"/>
      <c r="N84" s="72"/>
      <c r="O84" s="73"/>
      <c r="P84" s="73"/>
      <c r="Q84" s="74"/>
      <c r="R84" s="75"/>
      <c r="S84" s="69"/>
      <c r="T84" s="75"/>
      <c r="U84" s="67"/>
    </row>
    <row r="85" spans="2:21" x14ac:dyDescent="0.25">
      <c r="B85" s="67"/>
      <c r="C85" s="68"/>
      <c r="D85" s="68"/>
      <c r="E85" s="68"/>
      <c r="F85" s="67"/>
      <c r="G85" s="67"/>
      <c r="H85" s="69"/>
      <c r="I85" s="69"/>
      <c r="J85" s="70"/>
      <c r="K85" s="69"/>
      <c r="L85" s="69"/>
      <c r="M85" s="71"/>
      <c r="N85" s="72"/>
      <c r="O85" s="73"/>
      <c r="P85" s="73"/>
      <c r="Q85" s="74"/>
      <c r="R85" s="75"/>
      <c r="S85" s="69"/>
      <c r="T85" s="75"/>
      <c r="U85" s="67"/>
    </row>
    <row r="86" spans="2:21" x14ac:dyDescent="0.25">
      <c r="B86" s="67"/>
      <c r="C86" s="68"/>
      <c r="D86" s="68"/>
      <c r="E86" s="68"/>
      <c r="F86" s="67"/>
      <c r="G86" s="67"/>
      <c r="H86" s="69"/>
      <c r="I86" s="69"/>
      <c r="J86" s="70"/>
      <c r="K86" s="69"/>
      <c r="L86" s="69"/>
      <c r="M86" s="71"/>
      <c r="N86" s="72"/>
      <c r="O86" s="73"/>
      <c r="P86" s="73"/>
      <c r="Q86" s="74"/>
      <c r="R86" s="75"/>
      <c r="S86" s="69"/>
      <c r="T86" s="75"/>
      <c r="U86" s="67"/>
    </row>
    <row r="87" spans="2:21" x14ac:dyDescent="0.25">
      <c r="B87" s="67"/>
      <c r="C87" s="68"/>
      <c r="D87" s="68"/>
      <c r="E87" s="68"/>
      <c r="F87" s="67"/>
      <c r="G87" s="67"/>
      <c r="H87" s="69"/>
      <c r="I87" s="69"/>
      <c r="J87" s="70"/>
      <c r="K87" s="69"/>
      <c r="L87" s="69"/>
      <c r="M87" s="71"/>
      <c r="N87" s="72"/>
      <c r="O87" s="73"/>
      <c r="P87" s="73"/>
      <c r="Q87" s="74"/>
      <c r="R87" s="75"/>
      <c r="S87" s="69"/>
      <c r="T87" s="75"/>
      <c r="U87" s="67"/>
    </row>
    <row r="88" spans="2:21" x14ac:dyDescent="0.25">
      <c r="B88" s="67"/>
      <c r="C88" s="68"/>
      <c r="D88" s="68"/>
      <c r="E88" s="68"/>
      <c r="F88" s="67"/>
      <c r="G88" s="67"/>
      <c r="H88" s="69"/>
      <c r="I88" s="69"/>
      <c r="J88" s="70"/>
      <c r="K88" s="69"/>
      <c r="L88" s="69"/>
      <c r="M88" s="71"/>
      <c r="N88" s="72"/>
      <c r="O88" s="73"/>
      <c r="P88" s="73"/>
      <c r="Q88" s="74"/>
      <c r="R88" s="75"/>
      <c r="S88" s="69"/>
      <c r="T88" s="75"/>
      <c r="U88" s="67"/>
    </row>
    <row r="89" spans="2:21" x14ac:dyDescent="0.25">
      <c r="B89" s="67"/>
      <c r="C89" s="68"/>
      <c r="D89" s="68"/>
      <c r="E89" s="68"/>
      <c r="F89" s="67"/>
      <c r="G89" s="67"/>
      <c r="H89" s="69"/>
      <c r="I89" s="69"/>
      <c r="J89" s="70"/>
      <c r="K89" s="69"/>
      <c r="L89" s="69"/>
      <c r="M89" s="71"/>
      <c r="N89" s="72"/>
      <c r="O89" s="73"/>
      <c r="P89" s="73"/>
      <c r="Q89" s="74"/>
      <c r="R89" s="75"/>
      <c r="S89" s="69"/>
      <c r="T89" s="75"/>
      <c r="U89" s="67"/>
    </row>
    <row r="90" spans="2:21" x14ac:dyDescent="0.25">
      <c r="B90" s="67"/>
      <c r="C90" s="68"/>
      <c r="D90" s="68"/>
      <c r="E90" s="68"/>
      <c r="F90" s="67"/>
      <c r="G90" s="67"/>
      <c r="H90" s="69"/>
      <c r="I90" s="69"/>
      <c r="J90" s="70"/>
      <c r="K90" s="69"/>
      <c r="L90" s="69"/>
      <c r="M90" s="71"/>
      <c r="N90" s="72"/>
      <c r="O90" s="73"/>
      <c r="P90" s="73"/>
      <c r="Q90" s="74"/>
      <c r="R90" s="75"/>
      <c r="S90" s="69"/>
      <c r="T90" s="75"/>
      <c r="U90" s="67"/>
    </row>
    <row r="91" spans="2:21" x14ac:dyDescent="0.25">
      <c r="B91" s="67"/>
      <c r="C91" s="68"/>
      <c r="D91" s="68"/>
      <c r="E91" s="68"/>
      <c r="F91" s="67"/>
      <c r="G91" s="67"/>
      <c r="H91" s="69"/>
      <c r="I91" s="69"/>
      <c r="J91" s="70"/>
      <c r="K91" s="69"/>
      <c r="L91" s="69"/>
      <c r="M91" s="71"/>
      <c r="N91" s="72"/>
      <c r="O91" s="73"/>
      <c r="P91" s="73"/>
      <c r="Q91" s="74"/>
      <c r="R91" s="75"/>
      <c r="S91" s="69"/>
      <c r="T91" s="75"/>
      <c r="U91" s="67"/>
    </row>
    <row r="92" spans="2:21" x14ac:dyDescent="0.25">
      <c r="B92" s="67"/>
      <c r="C92" s="68"/>
      <c r="D92" s="68"/>
      <c r="E92" s="68"/>
      <c r="F92" s="67"/>
      <c r="G92" s="67"/>
      <c r="H92" s="69"/>
      <c r="I92" s="69"/>
      <c r="J92" s="70"/>
      <c r="K92" s="69"/>
      <c r="L92" s="69"/>
      <c r="M92" s="71"/>
      <c r="N92" s="72"/>
      <c r="O92" s="73"/>
      <c r="P92" s="73"/>
      <c r="Q92" s="74"/>
      <c r="R92" s="75"/>
      <c r="S92" s="69"/>
      <c r="T92" s="75"/>
      <c r="U92" s="67"/>
    </row>
    <row r="93" spans="2:21" x14ac:dyDescent="0.25">
      <c r="B93" s="67"/>
      <c r="C93" s="68"/>
      <c r="D93" s="68"/>
      <c r="E93" s="68"/>
      <c r="F93" s="67"/>
      <c r="G93" s="67"/>
      <c r="H93" s="69"/>
      <c r="I93" s="69"/>
      <c r="J93" s="70"/>
      <c r="K93" s="69"/>
      <c r="L93" s="69"/>
      <c r="M93" s="71"/>
      <c r="N93" s="72"/>
      <c r="O93" s="73"/>
      <c r="P93" s="73"/>
      <c r="Q93" s="74"/>
      <c r="R93" s="75"/>
      <c r="S93" s="69"/>
      <c r="T93" s="75"/>
      <c r="U93" s="67"/>
    </row>
    <row r="94" spans="2:21" x14ac:dyDescent="0.25">
      <c r="B94" s="67"/>
      <c r="C94" s="68"/>
      <c r="D94" s="68"/>
      <c r="E94" s="68"/>
      <c r="F94" s="67"/>
      <c r="G94" s="67"/>
      <c r="H94" s="69"/>
      <c r="I94" s="69"/>
      <c r="J94" s="70"/>
      <c r="K94" s="69"/>
      <c r="L94" s="69"/>
      <c r="M94" s="71"/>
      <c r="N94" s="72"/>
      <c r="O94" s="73"/>
      <c r="P94" s="73"/>
      <c r="Q94" s="74"/>
      <c r="R94" s="75"/>
      <c r="S94" s="69"/>
      <c r="T94" s="75"/>
      <c r="U94" s="67"/>
    </row>
    <row r="95" spans="2:21" x14ac:dyDescent="0.25">
      <c r="B95" s="67"/>
      <c r="C95" s="68"/>
      <c r="D95" s="68"/>
      <c r="E95" s="68"/>
      <c r="F95" s="67"/>
      <c r="G95" s="67"/>
      <c r="H95" s="69"/>
      <c r="I95" s="69"/>
      <c r="J95" s="70"/>
      <c r="K95" s="69"/>
      <c r="L95" s="69"/>
      <c r="M95" s="71"/>
      <c r="N95" s="72"/>
      <c r="O95" s="73"/>
      <c r="P95" s="73"/>
      <c r="Q95" s="74"/>
      <c r="R95" s="75"/>
      <c r="S95" s="69"/>
      <c r="T95" s="75"/>
      <c r="U95" s="67"/>
    </row>
    <row r="96" spans="2:21" x14ac:dyDescent="0.25">
      <c r="B96" s="67"/>
      <c r="C96" s="68"/>
      <c r="D96" s="68"/>
      <c r="E96" s="68"/>
      <c r="F96" s="67"/>
      <c r="G96" s="67"/>
      <c r="H96" s="69"/>
      <c r="I96" s="69"/>
      <c r="J96" s="70"/>
      <c r="K96" s="69"/>
      <c r="L96" s="69"/>
      <c r="M96" s="71"/>
      <c r="N96" s="72"/>
      <c r="O96" s="73"/>
      <c r="P96" s="73"/>
      <c r="Q96" s="74"/>
      <c r="R96" s="75"/>
      <c r="S96" s="69"/>
      <c r="T96" s="75"/>
      <c r="U96" s="67"/>
    </row>
    <row r="97" spans="2:21" x14ac:dyDescent="0.25">
      <c r="B97" s="67"/>
      <c r="C97" s="68"/>
      <c r="D97" s="68"/>
      <c r="E97" s="68"/>
      <c r="F97" s="67"/>
      <c r="G97" s="67"/>
      <c r="H97" s="69"/>
      <c r="I97" s="69"/>
      <c r="J97" s="70"/>
      <c r="K97" s="69"/>
      <c r="L97" s="69"/>
      <c r="M97" s="71"/>
      <c r="N97" s="72"/>
      <c r="O97" s="73"/>
      <c r="P97" s="73"/>
      <c r="Q97" s="74"/>
      <c r="R97" s="75"/>
      <c r="S97" s="69"/>
      <c r="T97" s="75"/>
      <c r="U97" s="67"/>
    </row>
    <row r="98" spans="2:21" x14ac:dyDescent="0.25">
      <c r="B98" s="67"/>
      <c r="C98" s="68"/>
      <c r="D98" s="68"/>
      <c r="E98" s="68"/>
      <c r="F98" s="67"/>
      <c r="G98" s="67"/>
      <c r="H98" s="69"/>
      <c r="I98" s="69"/>
      <c r="J98" s="70"/>
      <c r="K98" s="69"/>
      <c r="L98" s="69"/>
      <c r="M98" s="71"/>
      <c r="N98" s="72"/>
      <c r="O98" s="73"/>
      <c r="P98" s="73"/>
      <c r="Q98" s="74"/>
      <c r="R98" s="75"/>
      <c r="S98" s="69"/>
      <c r="T98" s="75"/>
      <c r="U98" s="67"/>
    </row>
    <row r="99" spans="2:21" x14ac:dyDescent="0.25">
      <c r="B99" s="67"/>
      <c r="C99" s="68"/>
      <c r="D99" s="68"/>
      <c r="E99" s="68"/>
      <c r="F99" s="67"/>
      <c r="G99" s="67"/>
      <c r="H99" s="69"/>
      <c r="I99" s="69"/>
      <c r="J99" s="70"/>
      <c r="K99" s="69"/>
      <c r="L99" s="69"/>
      <c r="M99" s="71"/>
      <c r="N99" s="72"/>
      <c r="O99" s="73"/>
      <c r="P99" s="73"/>
      <c r="Q99" s="74"/>
      <c r="R99" s="75"/>
      <c r="S99" s="69"/>
      <c r="T99" s="75"/>
      <c r="U99" s="67"/>
    </row>
    <row r="100" spans="2:21" x14ac:dyDescent="0.25">
      <c r="B100" s="67"/>
      <c r="C100" s="68"/>
      <c r="D100" s="68"/>
      <c r="E100" s="68"/>
      <c r="F100" s="67"/>
      <c r="G100" s="67"/>
      <c r="H100" s="69"/>
      <c r="I100" s="69"/>
      <c r="J100" s="70"/>
      <c r="K100" s="69"/>
      <c r="L100" s="69"/>
      <c r="M100" s="71"/>
      <c r="N100" s="72"/>
      <c r="O100" s="73"/>
      <c r="P100" s="73"/>
      <c r="Q100" s="74"/>
      <c r="R100" s="75"/>
      <c r="S100" s="69"/>
      <c r="T100" s="75"/>
      <c r="U100" s="67"/>
    </row>
    <row r="101" spans="2:21" x14ac:dyDescent="0.25">
      <c r="B101" s="67"/>
      <c r="C101" s="68"/>
      <c r="D101" s="68"/>
      <c r="E101" s="68"/>
      <c r="F101" s="67"/>
      <c r="G101" s="67"/>
      <c r="H101" s="69"/>
      <c r="I101" s="69"/>
      <c r="J101" s="70"/>
      <c r="K101" s="69"/>
      <c r="L101" s="69"/>
      <c r="M101" s="71"/>
      <c r="N101" s="72"/>
      <c r="O101" s="73"/>
      <c r="P101" s="73"/>
      <c r="Q101" s="74"/>
      <c r="R101" s="75"/>
      <c r="S101" s="69"/>
      <c r="T101" s="75"/>
      <c r="U101" s="67"/>
    </row>
    <row r="102" spans="2:21" x14ac:dyDescent="0.25">
      <c r="B102" s="67"/>
      <c r="C102" s="68"/>
      <c r="D102" s="68"/>
      <c r="E102" s="68"/>
      <c r="F102" s="67"/>
      <c r="G102" s="67"/>
      <c r="H102" s="69"/>
      <c r="I102" s="69"/>
      <c r="J102" s="70"/>
      <c r="K102" s="69"/>
      <c r="L102" s="69"/>
      <c r="M102" s="71"/>
      <c r="N102" s="72"/>
      <c r="O102" s="73"/>
      <c r="P102" s="73"/>
      <c r="Q102" s="74"/>
      <c r="R102" s="75"/>
      <c r="S102" s="69"/>
      <c r="T102" s="75"/>
      <c r="U102" s="67"/>
    </row>
    <row r="103" spans="2:21" x14ac:dyDescent="0.25">
      <c r="B103" s="67"/>
      <c r="C103" s="68"/>
      <c r="D103" s="68"/>
      <c r="E103" s="68"/>
      <c r="F103" s="67"/>
      <c r="G103" s="67"/>
      <c r="H103" s="69"/>
      <c r="I103" s="69"/>
      <c r="J103" s="70"/>
      <c r="K103" s="69"/>
      <c r="L103" s="69"/>
      <c r="M103" s="71"/>
      <c r="N103" s="72"/>
      <c r="O103" s="73"/>
      <c r="P103" s="73"/>
      <c r="Q103" s="74"/>
      <c r="R103" s="75"/>
      <c r="S103" s="69"/>
      <c r="T103" s="75"/>
      <c r="U103" s="67"/>
    </row>
    <row r="104" spans="2:21" x14ac:dyDescent="0.25">
      <c r="B104" s="67"/>
      <c r="C104" s="68"/>
      <c r="D104" s="68"/>
      <c r="E104" s="68"/>
      <c r="F104" s="67"/>
      <c r="G104" s="67"/>
      <c r="H104" s="69"/>
      <c r="I104" s="69"/>
      <c r="J104" s="70"/>
      <c r="K104" s="69"/>
      <c r="L104" s="69"/>
      <c r="M104" s="71"/>
      <c r="N104" s="72"/>
      <c r="O104" s="73"/>
      <c r="P104" s="73"/>
      <c r="Q104" s="74"/>
      <c r="R104" s="75"/>
      <c r="S104" s="69"/>
      <c r="T104" s="75"/>
      <c r="U104" s="67"/>
    </row>
    <row r="105" spans="2:21" x14ac:dyDescent="0.25">
      <c r="B105" s="67"/>
      <c r="C105" s="68"/>
      <c r="D105" s="68"/>
      <c r="E105" s="68"/>
      <c r="F105" s="67"/>
      <c r="G105" s="67"/>
      <c r="H105" s="69"/>
      <c r="I105" s="69"/>
      <c r="J105" s="70"/>
      <c r="K105" s="69"/>
      <c r="L105" s="69"/>
      <c r="M105" s="71"/>
      <c r="N105" s="72"/>
      <c r="O105" s="73"/>
      <c r="P105" s="73"/>
      <c r="Q105" s="74"/>
      <c r="R105" s="75"/>
      <c r="S105" s="69"/>
      <c r="T105" s="75"/>
      <c r="U105" s="67"/>
    </row>
    <row r="106" spans="2:21" x14ac:dyDescent="0.25">
      <c r="B106" s="67"/>
      <c r="C106" s="68"/>
      <c r="D106" s="68"/>
      <c r="E106" s="68"/>
      <c r="F106" s="67"/>
      <c r="G106" s="67"/>
      <c r="H106" s="69"/>
      <c r="I106" s="69"/>
      <c r="J106" s="70"/>
      <c r="K106" s="69"/>
      <c r="L106" s="69"/>
      <c r="M106" s="71"/>
      <c r="N106" s="72"/>
      <c r="O106" s="73"/>
      <c r="P106" s="73"/>
      <c r="Q106" s="74"/>
      <c r="R106" s="75"/>
      <c r="S106" s="69"/>
      <c r="T106" s="75"/>
      <c r="U106" s="67"/>
    </row>
    <row r="107" spans="2:21" x14ac:dyDescent="0.25">
      <c r="B107" s="67"/>
      <c r="C107" s="68"/>
      <c r="D107" s="68"/>
      <c r="E107" s="68"/>
      <c r="F107" s="67"/>
      <c r="G107" s="67"/>
      <c r="H107" s="69"/>
      <c r="I107" s="69"/>
      <c r="J107" s="70"/>
      <c r="K107" s="69"/>
      <c r="L107" s="69"/>
      <c r="M107" s="71"/>
      <c r="N107" s="72"/>
      <c r="O107" s="73"/>
      <c r="P107" s="73"/>
      <c r="Q107" s="74"/>
      <c r="R107" s="75"/>
      <c r="S107" s="69"/>
      <c r="T107" s="75"/>
      <c r="U107" s="67"/>
    </row>
    <row r="108" spans="2:21" x14ac:dyDescent="0.25">
      <c r="B108" s="67"/>
      <c r="C108" s="68"/>
      <c r="D108" s="68"/>
      <c r="E108" s="68"/>
      <c r="F108" s="67"/>
      <c r="G108" s="67"/>
      <c r="H108" s="69"/>
      <c r="I108" s="69"/>
      <c r="J108" s="70"/>
      <c r="K108" s="69"/>
      <c r="L108" s="69"/>
      <c r="M108" s="71"/>
      <c r="N108" s="72"/>
      <c r="O108" s="73"/>
      <c r="P108" s="73"/>
      <c r="Q108" s="74"/>
      <c r="R108" s="75"/>
      <c r="S108" s="69"/>
      <c r="T108" s="75"/>
      <c r="U108" s="67"/>
    </row>
    <row r="109" spans="2:21" x14ac:dyDescent="0.25">
      <c r="B109" s="67"/>
      <c r="C109" s="68"/>
      <c r="D109" s="68"/>
      <c r="E109" s="68"/>
      <c r="F109" s="67"/>
      <c r="G109" s="67"/>
      <c r="H109" s="69"/>
      <c r="I109" s="69"/>
      <c r="J109" s="70"/>
      <c r="K109" s="69"/>
      <c r="L109" s="69"/>
      <c r="M109" s="71"/>
      <c r="N109" s="72"/>
      <c r="O109" s="73"/>
      <c r="P109" s="73"/>
      <c r="Q109" s="74"/>
      <c r="R109" s="75"/>
      <c r="S109" s="69"/>
      <c r="T109" s="75"/>
      <c r="U109" s="67"/>
    </row>
    <row r="110" spans="2:21" x14ac:dyDescent="0.25">
      <c r="B110" s="67"/>
      <c r="C110" s="68"/>
      <c r="D110" s="68"/>
      <c r="E110" s="68"/>
      <c r="F110" s="67"/>
      <c r="G110" s="67"/>
      <c r="H110" s="69"/>
      <c r="I110" s="69"/>
      <c r="J110" s="70"/>
      <c r="K110" s="69"/>
      <c r="L110" s="69"/>
      <c r="M110" s="71"/>
      <c r="N110" s="72"/>
      <c r="O110" s="73"/>
      <c r="P110" s="73"/>
      <c r="Q110" s="74"/>
      <c r="R110" s="75"/>
      <c r="S110" s="69"/>
      <c r="T110" s="75"/>
      <c r="U110" s="67"/>
    </row>
    <row r="111" spans="2:21" x14ac:dyDescent="0.25">
      <c r="B111" s="67"/>
      <c r="C111" s="68"/>
      <c r="D111" s="68"/>
      <c r="E111" s="68"/>
      <c r="F111" s="67"/>
      <c r="G111" s="67"/>
      <c r="H111" s="69"/>
      <c r="I111" s="69"/>
      <c r="J111" s="70"/>
      <c r="K111" s="69"/>
      <c r="L111" s="69"/>
      <c r="M111" s="71"/>
      <c r="N111" s="72"/>
      <c r="O111" s="73"/>
      <c r="P111" s="73"/>
      <c r="Q111" s="74"/>
      <c r="R111" s="75"/>
      <c r="S111" s="69"/>
      <c r="T111" s="75"/>
      <c r="U111" s="67"/>
    </row>
    <row r="112" spans="2:21" x14ac:dyDescent="0.25">
      <c r="B112" s="67"/>
      <c r="C112" s="68"/>
      <c r="D112" s="68"/>
      <c r="E112" s="68"/>
      <c r="F112" s="67"/>
      <c r="G112" s="67"/>
      <c r="H112" s="69"/>
      <c r="I112" s="69"/>
      <c r="J112" s="70"/>
      <c r="K112" s="69"/>
      <c r="L112" s="69"/>
      <c r="M112" s="71"/>
      <c r="N112" s="72"/>
      <c r="O112" s="73"/>
      <c r="P112" s="73"/>
      <c r="Q112" s="74"/>
      <c r="R112" s="75"/>
      <c r="S112" s="69"/>
      <c r="T112" s="75"/>
      <c r="U112" s="67"/>
    </row>
    <row r="113" spans="2:21" x14ac:dyDescent="0.25">
      <c r="B113" s="67"/>
      <c r="C113" s="68"/>
      <c r="D113" s="68"/>
      <c r="E113" s="68"/>
      <c r="F113" s="67"/>
      <c r="G113" s="67"/>
      <c r="H113" s="69"/>
      <c r="I113" s="69"/>
      <c r="J113" s="70"/>
      <c r="K113" s="69"/>
      <c r="L113" s="69"/>
      <c r="M113" s="71"/>
      <c r="N113" s="72"/>
      <c r="O113" s="73"/>
      <c r="P113" s="73"/>
      <c r="Q113" s="74"/>
      <c r="R113" s="75"/>
      <c r="S113" s="69"/>
      <c r="T113" s="75"/>
      <c r="U113" s="67"/>
    </row>
    <row r="114" spans="2:21" x14ac:dyDescent="0.25">
      <c r="B114" s="67"/>
      <c r="C114" s="68"/>
      <c r="D114" s="68"/>
      <c r="E114" s="68"/>
      <c r="F114" s="67"/>
      <c r="G114" s="67"/>
      <c r="H114" s="69"/>
      <c r="I114" s="69"/>
      <c r="J114" s="70"/>
      <c r="K114" s="69"/>
      <c r="L114" s="69"/>
      <c r="M114" s="71"/>
      <c r="N114" s="72"/>
      <c r="O114" s="73"/>
      <c r="P114" s="73"/>
      <c r="Q114" s="74"/>
      <c r="R114" s="75"/>
      <c r="S114" s="69"/>
      <c r="T114" s="75"/>
      <c r="U114" s="67"/>
    </row>
    <row r="115" spans="2:21" x14ac:dyDescent="0.25">
      <c r="B115" s="67"/>
      <c r="C115" s="68"/>
      <c r="D115" s="68"/>
      <c r="E115" s="68"/>
      <c r="F115" s="67"/>
      <c r="G115" s="67"/>
      <c r="H115" s="69"/>
      <c r="I115" s="69"/>
      <c r="J115" s="70"/>
      <c r="K115" s="69"/>
      <c r="L115" s="69"/>
      <c r="M115" s="71"/>
      <c r="N115" s="72"/>
      <c r="O115" s="73"/>
      <c r="P115" s="73"/>
      <c r="Q115" s="74"/>
      <c r="R115" s="75"/>
      <c r="S115" s="69"/>
      <c r="T115" s="75"/>
      <c r="U115" s="67"/>
    </row>
    <row r="116" spans="2:21" x14ac:dyDescent="0.25">
      <c r="B116" s="67"/>
      <c r="C116" s="68"/>
      <c r="D116" s="68"/>
      <c r="E116" s="68"/>
      <c r="F116" s="67"/>
      <c r="G116" s="67"/>
      <c r="H116" s="69"/>
      <c r="I116" s="69"/>
      <c r="J116" s="70"/>
      <c r="K116" s="69"/>
      <c r="L116" s="69"/>
      <c r="M116" s="71"/>
      <c r="N116" s="72"/>
      <c r="O116" s="73"/>
      <c r="P116" s="73"/>
      <c r="Q116" s="74"/>
      <c r="R116" s="75"/>
      <c r="S116" s="69"/>
      <c r="T116" s="75"/>
      <c r="U116" s="67"/>
    </row>
    <row r="117" spans="2:21" x14ac:dyDescent="0.25">
      <c r="B117" s="67"/>
      <c r="C117" s="68"/>
      <c r="D117" s="68"/>
      <c r="E117" s="68"/>
      <c r="F117" s="67"/>
      <c r="G117" s="67"/>
      <c r="H117" s="69"/>
      <c r="I117" s="69"/>
      <c r="J117" s="70"/>
      <c r="K117" s="69"/>
      <c r="L117" s="69"/>
      <c r="M117" s="71"/>
      <c r="N117" s="72"/>
      <c r="O117" s="73"/>
      <c r="P117" s="73"/>
      <c r="Q117" s="74"/>
      <c r="R117" s="75"/>
      <c r="S117" s="69"/>
      <c r="T117" s="75"/>
      <c r="U117" s="67"/>
    </row>
    <row r="118" spans="2:21" x14ac:dyDescent="0.25">
      <c r="B118" s="67"/>
      <c r="C118" s="68"/>
      <c r="D118" s="68"/>
      <c r="E118" s="68"/>
      <c r="F118" s="67"/>
      <c r="G118" s="67"/>
      <c r="H118" s="69"/>
      <c r="I118" s="69"/>
      <c r="J118" s="70"/>
      <c r="K118" s="69"/>
      <c r="L118" s="69"/>
      <c r="M118" s="71"/>
      <c r="N118" s="72"/>
      <c r="O118" s="73"/>
      <c r="P118" s="73"/>
      <c r="Q118" s="74"/>
      <c r="R118" s="75"/>
      <c r="S118" s="69"/>
      <c r="T118" s="75"/>
      <c r="U118" s="67"/>
    </row>
    <row r="119" spans="2:21" x14ac:dyDescent="0.25">
      <c r="B119" s="67"/>
      <c r="C119" s="68"/>
      <c r="D119" s="68"/>
      <c r="E119" s="68"/>
      <c r="F119" s="67"/>
      <c r="G119" s="67"/>
      <c r="H119" s="69"/>
      <c r="I119" s="69"/>
      <c r="J119" s="70"/>
      <c r="K119" s="69"/>
      <c r="L119" s="69"/>
      <c r="M119" s="71"/>
      <c r="N119" s="72"/>
      <c r="O119" s="73"/>
      <c r="P119" s="73"/>
      <c r="Q119" s="74"/>
      <c r="R119" s="75"/>
      <c r="S119" s="69"/>
      <c r="T119" s="75"/>
      <c r="U119" s="67"/>
    </row>
    <row r="120" spans="2:21" x14ac:dyDescent="0.25">
      <c r="B120" s="67"/>
      <c r="C120" s="68"/>
      <c r="D120" s="68"/>
      <c r="E120" s="68"/>
      <c r="F120" s="67"/>
      <c r="G120" s="67"/>
      <c r="H120" s="69"/>
      <c r="I120" s="69"/>
      <c r="J120" s="70"/>
      <c r="K120" s="69"/>
      <c r="L120" s="69"/>
      <c r="M120" s="71"/>
      <c r="N120" s="72"/>
      <c r="O120" s="73"/>
      <c r="P120" s="73"/>
      <c r="Q120" s="74"/>
      <c r="R120" s="75"/>
      <c r="S120" s="69"/>
      <c r="T120" s="75"/>
      <c r="U120" s="67"/>
    </row>
    <row r="121" spans="2:21" x14ac:dyDescent="0.25">
      <c r="B121" s="67"/>
      <c r="C121" s="68"/>
      <c r="D121" s="68"/>
      <c r="E121" s="68"/>
      <c r="F121" s="67"/>
      <c r="G121" s="67"/>
      <c r="H121" s="69"/>
      <c r="I121" s="69"/>
      <c r="J121" s="70"/>
      <c r="K121" s="69"/>
      <c r="L121" s="69"/>
      <c r="M121" s="71"/>
      <c r="N121" s="72"/>
      <c r="O121" s="73"/>
      <c r="P121" s="73"/>
      <c r="Q121" s="74"/>
      <c r="R121" s="75"/>
      <c r="S121" s="69"/>
      <c r="T121" s="75"/>
      <c r="U121" s="67"/>
    </row>
    <row r="122" spans="2:21" x14ac:dyDescent="0.25">
      <c r="B122" s="67"/>
      <c r="C122" s="68"/>
      <c r="D122" s="68"/>
      <c r="E122" s="68"/>
      <c r="F122" s="67"/>
      <c r="G122" s="67"/>
      <c r="H122" s="69"/>
      <c r="I122" s="69"/>
      <c r="J122" s="70"/>
      <c r="K122" s="69"/>
      <c r="L122" s="69"/>
      <c r="M122" s="71"/>
      <c r="N122" s="72"/>
      <c r="O122" s="73"/>
      <c r="P122" s="73"/>
      <c r="Q122" s="74"/>
      <c r="R122" s="75"/>
      <c r="S122" s="69"/>
      <c r="T122" s="75"/>
      <c r="U122" s="67"/>
    </row>
    <row r="123" spans="2:21" x14ac:dyDescent="0.25">
      <c r="B123" s="67"/>
      <c r="C123" s="68"/>
      <c r="D123" s="68"/>
      <c r="E123" s="68"/>
      <c r="F123" s="67"/>
      <c r="G123" s="67"/>
      <c r="H123" s="69"/>
      <c r="I123" s="69"/>
      <c r="J123" s="70"/>
      <c r="K123" s="69"/>
      <c r="L123" s="69"/>
      <c r="M123" s="71"/>
      <c r="N123" s="72"/>
      <c r="O123" s="73"/>
      <c r="P123" s="73"/>
      <c r="Q123" s="74"/>
      <c r="R123" s="75"/>
      <c r="S123" s="69"/>
      <c r="T123" s="75"/>
      <c r="U123" s="67"/>
    </row>
    <row r="124" spans="2:21" x14ac:dyDescent="0.25">
      <c r="B124" s="67"/>
      <c r="C124" s="68"/>
      <c r="D124" s="68"/>
      <c r="E124" s="68"/>
      <c r="F124" s="67"/>
      <c r="G124" s="67"/>
      <c r="H124" s="69"/>
      <c r="I124" s="69"/>
      <c r="J124" s="70"/>
      <c r="K124" s="69"/>
      <c r="L124" s="69"/>
      <c r="M124" s="71"/>
      <c r="N124" s="72"/>
      <c r="O124" s="73"/>
      <c r="P124" s="73"/>
      <c r="Q124" s="74"/>
      <c r="R124" s="75"/>
      <c r="S124" s="69"/>
      <c r="T124" s="75"/>
      <c r="U124" s="67"/>
    </row>
    <row r="125" spans="2:21" x14ac:dyDescent="0.25">
      <c r="B125" s="67"/>
      <c r="C125" s="68"/>
      <c r="D125" s="68"/>
      <c r="E125" s="68"/>
      <c r="F125" s="67"/>
      <c r="G125" s="67"/>
      <c r="H125" s="69"/>
      <c r="I125" s="69"/>
      <c r="J125" s="70"/>
      <c r="K125" s="69"/>
      <c r="L125" s="69"/>
      <c r="M125" s="71"/>
      <c r="N125" s="72"/>
      <c r="O125" s="73"/>
      <c r="P125" s="73"/>
      <c r="Q125" s="74"/>
      <c r="R125" s="75"/>
      <c r="S125" s="69"/>
      <c r="T125" s="75"/>
      <c r="U125" s="67"/>
    </row>
    <row r="126" spans="2:21" x14ac:dyDescent="0.25">
      <c r="B126" s="67"/>
      <c r="C126" s="68"/>
      <c r="D126" s="68"/>
      <c r="E126" s="68"/>
      <c r="F126" s="67"/>
      <c r="G126" s="67"/>
      <c r="H126" s="69"/>
      <c r="I126" s="69"/>
      <c r="J126" s="70"/>
      <c r="K126" s="69"/>
      <c r="L126" s="69"/>
      <c r="M126" s="71"/>
      <c r="N126" s="72"/>
      <c r="O126" s="73"/>
      <c r="P126" s="73"/>
      <c r="Q126" s="74"/>
      <c r="R126" s="75"/>
      <c r="S126" s="69"/>
      <c r="T126" s="75"/>
      <c r="U126" s="67"/>
    </row>
    <row r="127" spans="2:21" x14ac:dyDescent="0.25">
      <c r="B127" s="67"/>
      <c r="C127" s="68"/>
      <c r="D127" s="68"/>
      <c r="E127" s="68"/>
      <c r="F127" s="67"/>
      <c r="G127" s="67"/>
      <c r="H127" s="69"/>
      <c r="I127" s="69"/>
      <c r="J127" s="70"/>
      <c r="K127" s="69"/>
      <c r="L127" s="69"/>
      <c r="M127" s="71"/>
      <c r="N127" s="72"/>
      <c r="O127" s="73"/>
      <c r="P127" s="73"/>
      <c r="Q127" s="74"/>
      <c r="R127" s="75"/>
      <c r="S127" s="69"/>
      <c r="T127" s="75"/>
      <c r="U127" s="67"/>
    </row>
    <row r="128" spans="2:21" x14ac:dyDescent="0.25">
      <c r="B128" s="67"/>
      <c r="C128" s="68"/>
      <c r="D128" s="68"/>
      <c r="E128" s="68"/>
      <c r="F128" s="67"/>
      <c r="G128" s="67"/>
      <c r="H128" s="69"/>
      <c r="I128" s="69"/>
      <c r="J128" s="70"/>
      <c r="K128" s="69"/>
      <c r="L128" s="69"/>
      <c r="M128" s="71"/>
      <c r="N128" s="72"/>
      <c r="O128" s="73"/>
      <c r="P128" s="73"/>
      <c r="Q128" s="74"/>
      <c r="R128" s="75"/>
      <c r="S128" s="69"/>
      <c r="T128" s="75"/>
      <c r="U128" s="67"/>
    </row>
    <row r="129" spans="2:21" x14ac:dyDescent="0.25">
      <c r="B129" s="67"/>
      <c r="C129" s="68"/>
      <c r="D129" s="68"/>
      <c r="E129" s="68"/>
      <c r="F129" s="67"/>
      <c r="G129" s="67"/>
      <c r="H129" s="69"/>
      <c r="I129" s="69"/>
      <c r="J129" s="70"/>
      <c r="K129" s="69"/>
      <c r="L129" s="69"/>
      <c r="M129" s="71"/>
      <c r="N129" s="72"/>
      <c r="O129" s="73"/>
      <c r="P129" s="73"/>
      <c r="Q129" s="74"/>
      <c r="R129" s="75"/>
      <c r="S129" s="69"/>
      <c r="T129" s="75"/>
      <c r="U129" s="67"/>
    </row>
    <row r="130" spans="2:21" x14ac:dyDescent="0.25">
      <c r="B130" s="67"/>
      <c r="C130" s="68"/>
      <c r="D130" s="68"/>
      <c r="E130" s="68"/>
      <c r="F130" s="67"/>
      <c r="G130" s="67"/>
      <c r="H130" s="69"/>
      <c r="I130" s="69"/>
      <c r="J130" s="70"/>
      <c r="K130" s="69"/>
      <c r="L130" s="69"/>
      <c r="M130" s="71"/>
      <c r="N130" s="72"/>
      <c r="O130" s="73"/>
      <c r="P130" s="73"/>
      <c r="Q130" s="74"/>
      <c r="R130" s="75"/>
      <c r="S130" s="69"/>
      <c r="T130" s="75"/>
      <c r="U130" s="67"/>
    </row>
    <row r="131" spans="2:21" x14ac:dyDescent="0.25">
      <c r="B131" s="67"/>
      <c r="C131" s="68"/>
      <c r="D131" s="68"/>
      <c r="E131" s="68"/>
      <c r="F131" s="67"/>
      <c r="G131" s="67"/>
      <c r="H131" s="69"/>
      <c r="I131" s="69"/>
      <c r="J131" s="70"/>
      <c r="K131" s="69"/>
      <c r="L131" s="69"/>
      <c r="M131" s="71"/>
      <c r="N131" s="72"/>
      <c r="O131" s="73"/>
      <c r="P131" s="73"/>
      <c r="Q131" s="74"/>
      <c r="R131" s="75"/>
      <c r="S131" s="69"/>
      <c r="T131" s="75"/>
      <c r="U131" s="67"/>
    </row>
    <row r="132" spans="2:21" x14ac:dyDescent="0.25">
      <c r="B132" s="67"/>
      <c r="C132" s="68"/>
      <c r="D132" s="68"/>
      <c r="E132" s="68"/>
      <c r="F132" s="67"/>
      <c r="G132" s="67"/>
      <c r="H132" s="69"/>
      <c r="I132" s="69"/>
      <c r="J132" s="70"/>
      <c r="K132" s="69"/>
      <c r="L132" s="69"/>
      <c r="M132" s="71"/>
      <c r="N132" s="72"/>
      <c r="O132" s="73"/>
      <c r="P132" s="73"/>
      <c r="Q132" s="74"/>
      <c r="R132" s="75"/>
      <c r="S132" s="69"/>
      <c r="T132" s="75"/>
      <c r="U132" s="67"/>
    </row>
    <row r="133" spans="2:21" x14ac:dyDescent="0.25">
      <c r="B133" s="67"/>
      <c r="C133" s="68"/>
      <c r="D133" s="68"/>
      <c r="E133" s="68"/>
      <c r="F133" s="67"/>
      <c r="G133" s="67"/>
      <c r="H133" s="69"/>
      <c r="I133" s="69"/>
      <c r="J133" s="70"/>
      <c r="K133" s="69"/>
      <c r="L133" s="69"/>
      <c r="M133" s="71"/>
      <c r="N133" s="72"/>
      <c r="O133" s="73"/>
      <c r="P133" s="73"/>
      <c r="Q133" s="74"/>
      <c r="R133" s="75"/>
      <c r="S133" s="69"/>
      <c r="T133" s="75"/>
      <c r="U133" s="67"/>
    </row>
    <row r="134" spans="2:21" x14ac:dyDescent="0.25">
      <c r="B134" s="67"/>
      <c r="C134" s="68"/>
      <c r="D134" s="68"/>
      <c r="E134" s="68"/>
      <c r="F134" s="67"/>
      <c r="G134" s="67"/>
      <c r="H134" s="69"/>
      <c r="I134" s="69"/>
      <c r="J134" s="70"/>
      <c r="K134" s="69"/>
      <c r="L134" s="69"/>
      <c r="M134" s="71"/>
      <c r="N134" s="72"/>
      <c r="O134" s="73"/>
      <c r="P134" s="73"/>
      <c r="Q134" s="74"/>
      <c r="R134" s="75"/>
      <c r="S134" s="69"/>
      <c r="T134" s="75"/>
      <c r="U134" s="67"/>
    </row>
    <row r="135" spans="2:21" x14ac:dyDescent="0.25">
      <c r="B135" s="67"/>
      <c r="C135" s="68"/>
      <c r="D135" s="68"/>
      <c r="E135" s="68"/>
      <c r="F135" s="67"/>
      <c r="G135" s="67"/>
      <c r="H135" s="69"/>
      <c r="I135" s="69"/>
      <c r="J135" s="70"/>
      <c r="K135" s="69"/>
      <c r="L135" s="69"/>
      <c r="M135" s="71"/>
      <c r="N135" s="72"/>
      <c r="O135" s="73"/>
      <c r="P135" s="73"/>
      <c r="Q135" s="74"/>
      <c r="R135" s="75"/>
      <c r="S135" s="69"/>
      <c r="T135" s="75"/>
      <c r="U135" s="67"/>
    </row>
    <row r="136" spans="2:21" x14ac:dyDescent="0.25">
      <c r="B136" s="67"/>
      <c r="C136" s="68"/>
      <c r="D136" s="68"/>
      <c r="E136" s="68"/>
      <c r="F136" s="67"/>
      <c r="G136" s="67"/>
      <c r="H136" s="69"/>
      <c r="I136" s="69"/>
      <c r="J136" s="70"/>
      <c r="K136" s="69"/>
      <c r="L136" s="69"/>
      <c r="M136" s="71"/>
      <c r="N136" s="72"/>
      <c r="O136" s="73"/>
      <c r="P136" s="73"/>
      <c r="Q136" s="74"/>
      <c r="R136" s="75"/>
      <c r="S136" s="69"/>
      <c r="T136" s="75"/>
      <c r="U136" s="67"/>
    </row>
    <row r="137" spans="2:21" x14ac:dyDescent="0.25">
      <c r="B137" s="67"/>
      <c r="C137" s="68"/>
      <c r="D137" s="68"/>
      <c r="E137" s="68"/>
      <c r="F137" s="67"/>
      <c r="G137" s="67"/>
      <c r="H137" s="69"/>
      <c r="I137" s="69"/>
      <c r="J137" s="70"/>
      <c r="K137" s="69"/>
      <c r="L137" s="69"/>
      <c r="M137" s="71"/>
      <c r="N137" s="72"/>
      <c r="O137" s="73"/>
      <c r="P137" s="73"/>
      <c r="Q137" s="74"/>
      <c r="R137" s="75"/>
      <c r="S137" s="69"/>
      <c r="T137" s="75"/>
      <c r="U137" s="67"/>
    </row>
    <row r="138" spans="2:21" x14ac:dyDescent="0.25">
      <c r="B138" s="67"/>
      <c r="C138" s="68"/>
      <c r="D138" s="68"/>
      <c r="E138" s="68"/>
      <c r="F138" s="67"/>
      <c r="G138" s="67"/>
      <c r="H138" s="69"/>
      <c r="I138" s="69"/>
      <c r="J138" s="70"/>
      <c r="K138" s="69"/>
      <c r="L138" s="69"/>
      <c r="M138" s="71"/>
      <c r="N138" s="72"/>
      <c r="O138" s="73"/>
      <c r="P138" s="73"/>
      <c r="Q138" s="74"/>
      <c r="R138" s="75"/>
      <c r="S138" s="69"/>
      <c r="T138" s="75"/>
      <c r="U138" s="67"/>
    </row>
    <row r="139" spans="2:21" x14ac:dyDescent="0.25">
      <c r="B139" s="67"/>
      <c r="C139" s="68"/>
      <c r="D139" s="68"/>
      <c r="E139" s="68"/>
      <c r="F139" s="67"/>
      <c r="G139" s="67"/>
      <c r="H139" s="69"/>
      <c r="I139" s="69"/>
      <c r="J139" s="70"/>
      <c r="K139" s="69"/>
      <c r="L139" s="69"/>
      <c r="M139" s="71"/>
      <c r="N139" s="72"/>
      <c r="O139" s="73"/>
      <c r="P139" s="73"/>
      <c r="Q139" s="74"/>
      <c r="R139" s="75"/>
      <c r="S139" s="69"/>
      <c r="T139" s="75"/>
      <c r="U139" s="67"/>
    </row>
    <row r="140" spans="2:21" x14ac:dyDescent="0.25">
      <c r="B140" s="67"/>
      <c r="C140" s="68"/>
      <c r="D140" s="68"/>
      <c r="E140" s="68"/>
      <c r="F140" s="67"/>
      <c r="G140" s="67"/>
      <c r="H140" s="69"/>
      <c r="I140" s="69"/>
      <c r="J140" s="70"/>
      <c r="K140" s="69"/>
      <c r="L140" s="69"/>
      <c r="M140" s="71"/>
      <c r="N140" s="72"/>
      <c r="O140" s="73"/>
      <c r="P140" s="73"/>
      <c r="Q140" s="74"/>
      <c r="R140" s="75"/>
      <c r="S140" s="69"/>
      <c r="T140" s="75"/>
      <c r="U140" s="67"/>
    </row>
    <row r="141" spans="2:21" x14ac:dyDescent="0.25">
      <c r="B141" s="67"/>
      <c r="C141" s="68"/>
      <c r="D141" s="68"/>
      <c r="E141" s="68"/>
      <c r="F141" s="67"/>
      <c r="G141" s="67"/>
      <c r="H141" s="69"/>
      <c r="I141" s="69"/>
      <c r="J141" s="70"/>
      <c r="K141" s="69"/>
      <c r="L141" s="69"/>
      <c r="M141" s="71"/>
      <c r="N141" s="72"/>
      <c r="O141" s="73"/>
      <c r="P141" s="73"/>
      <c r="Q141" s="74"/>
      <c r="R141" s="75"/>
      <c r="S141" s="69"/>
      <c r="T141" s="75"/>
      <c r="U141" s="67"/>
    </row>
    <row r="142" spans="2:21" x14ac:dyDescent="0.25">
      <c r="B142" s="67"/>
      <c r="C142" s="68"/>
      <c r="D142" s="68"/>
      <c r="E142" s="68"/>
      <c r="F142" s="67"/>
      <c r="G142" s="67"/>
      <c r="H142" s="69"/>
      <c r="I142" s="69"/>
      <c r="J142" s="70"/>
      <c r="K142" s="69"/>
      <c r="L142" s="69"/>
      <c r="M142" s="71"/>
      <c r="N142" s="72"/>
      <c r="O142" s="73"/>
      <c r="P142" s="73"/>
      <c r="Q142" s="74"/>
      <c r="R142" s="75"/>
      <c r="S142" s="69"/>
      <c r="T142" s="75"/>
      <c r="U142" s="67"/>
    </row>
    <row r="143" spans="2:21" x14ac:dyDescent="0.25">
      <c r="B143" s="67"/>
      <c r="C143" s="68"/>
      <c r="D143" s="68"/>
      <c r="E143" s="68"/>
      <c r="F143" s="67"/>
      <c r="G143" s="67"/>
      <c r="H143" s="69"/>
      <c r="I143" s="69"/>
      <c r="J143" s="70"/>
      <c r="K143" s="69"/>
      <c r="L143" s="69"/>
      <c r="M143" s="71"/>
      <c r="N143" s="72"/>
      <c r="O143" s="73"/>
      <c r="P143" s="73"/>
      <c r="Q143" s="74"/>
      <c r="R143" s="75"/>
      <c r="S143" s="69"/>
      <c r="T143" s="75"/>
      <c r="U143" s="67"/>
    </row>
    <row r="144" spans="2:21" x14ac:dyDescent="0.25">
      <c r="B144" s="67"/>
      <c r="C144" s="68"/>
      <c r="D144" s="68"/>
      <c r="E144" s="68"/>
      <c r="F144" s="67"/>
      <c r="G144" s="67"/>
      <c r="H144" s="69"/>
      <c r="I144" s="69"/>
      <c r="J144" s="70"/>
      <c r="K144" s="69"/>
      <c r="L144" s="69"/>
      <c r="M144" s="71"/>
      <c r="N144" s="72"/>
      <c r="O144" s="73"/>
      <c r="P144" s="73"/>
      <c r="Q144" s="74"/>
      <c r="R144" s="75"/>
      <c r="S144" s="69"/>
      <c r="T144" s="75"/>
      <c r="U144" s="67"/>
    </row>
    <row r="145" spans="2:21" x14ac:dyDescent="0.25">
      <c r="B145" s="67"/>
      <c r="C145" s="68"/>
      <c r="D145" s="68"/>
      <c r="E145" s="68"/>
      <c r="F145" s="67"/>
      <c r="G145" s="67"/>
      <c r="H145" s="69"/>
      <c r="I145" s="69"/>
      <c r="J145" s="70"/>
      <c r="K145" s="69"/>
      <c r="L145" s="69"/>
      <c r="M145" s="71"/>
      <c r="N145" s="72"/>
      <c r="O145" s="73"/>
      <c r="P145" s="73"/>
      <c r="Q145" s="74"/>
      <c r="R145" s="75"/>
      <c r="S145" s="69"/>
      <c r="T145" s="75"/>
      <c r="U145" s="67"/>
    </row>
    <row r="146" spans="2:21" x14ac:dyDescent="0.25">
      <c r="B146" s="67"/>
      <c r="C146" s="68"/>
      <c r="D146" s="68"/>
      <c r="E146" s="68"/>
      <c r="F146" s="67"/>
      <c r="G146" s="67"/>
      <c r="H146" s="69"/>
      <c r="I146" s="69"/>
      <c r="J146" s="70"/>
      <c r="K146" s="69"/>
      <c r="L146" s="69"/>
      <c r="M146" s="71"/>
      <c r="N146" s="72"/>
      <c r="O146" s="73"/>
      <c r="P146" s="73"/>
      <c r="Q146" s="74"/>
      <c r="R146" s="75"/>
      <c r="S146" s="69"/>
      <c r="T146" s="75"/>
      <c r="U146" s="67"/>
    </row>
    <row r="147" spans="2:21" x14ac:dyDescent="0.25">
      <c r="B147" s="67"/>
      <c r="C147" s="68"/>
      <c r="D147" s="68"/>
      <c r="E147" s="68"/>
      <c r="F147" s="67"/>
      <c r="G147" s="67"/>
      <c r="H147" s="69"/>
      <c r="I147" s="69"/>
      <c r="J147" s="70"/>
      <c r="K147" s="69"/>
      <c r="L147" s="69"/>
      <c r="M147" s="71"/>
      <c r="N147" s="72"/>
      <c r="O147" s="73"/>
      <c r="P147" s="73"/>
      <c r="Q147" s="74"/>
      <c r="R147" s="75"/>
      <c r="S147" s="69"/>
      <c r="T147" s="75"/>
      <c r="U147" s="67"/>
    </row>
    <row r="148" spans="2:21" x14ac:dyDescent="0.25">
      <c r="B148" s="67"/>
      <c r="C148" s="68"/>
      <c r="D148" s="68"/>
      <c r="E148" s="68"/>
      <c r="F148" s="67"/>
      <c r="G148" s="67"/>
      <c r="H148" s="69"/>
      <c r="I148" s="69"/>
      <c r="J148" s="70"/>
      <c r="K148" s="69"/>
      <c r="L148" s="69"/>
      <c r="M148" s="71"/>
      <c r="N148" s="72"/>
      <c r="O148" s="73"/>
      <c r="P148" s="73"/>
      <c r="Q148" s="74"/>
      <c r="R148" s="75"/>
      <c r="S148" s="69"/>
      <c r="T148" s="75"/>
      <c r="U148" s="67"/>
    </row>
    <row r="149" spans="2:21" x14ac:dyDescent="0.25">
      <c r="B149" s="67"/>
      <c r="C149" s="68"/>
      <c r="D149" s="68"/>
      <c r="E149" s="68"/>
      <c r="F149" s="67"/>
      <c r="G149" s="67"/>
      <c r="H149" s="69"/>
      <c r="I149" s="69"/>
      <c r="J149" s="70"/>
      <c r="K149" s="69"/>
      <c r="L149" s="69"/>
      <c r="M149" s="71"/>
      <c r="N149" s="72"/>
      <c r="O149" s="73"/>
      <c r="P149" s="73"/>
      <c r="Q149" s="74"/>
      <c r="R149" s="75"/>
      <c r="S149" s="69"/>
      <c r="T149" s="75"/>
      <c r="U149" s="67"/>
    </row>
    <row r="150" spans="2:21" x14ac:dyDescent="0.25">
      <c r="B150" s="67"/>
      <c r="C150" s="68"/>
      <c r="D150" s="68"/>
      <c r="E150" s="68"/>
      <c r="F150" s="67"/>
      <c r="G150" s="67"/>
      <c r="H150" s="69"/>
      <c r="I150" s="69"/>
      <c r="J150" s="70"/>
      <c r="K150" s="69"/>
      <c r="L150" s="69"/>
      <c r="M150" s="71"/>
      <c r="N150" s="72"/>
      <c r="O150" s="73"/>
      <c r="P150" s="73"/>
      <c r="Q150" s="74"/>
      <c r="R150" s="75"/>
      <c r="S150" s="69"/>
      <c r="T150" s="75"/>
      <c r="U150" s="67"/>
    </row>
    <row r="151" spans="2:21" x14ac:dyDescent="0.25">
      <c r="B151" s="67"/>
      <c r="C151" s="68"/>
      <c r="D151" s="68"/>
      <c r="E151" s="68"/>
      <c r="F151" s="67"/>
      <c r="G151" s="67"/>
      <c r="H151" s="69"/>
      <c r="I151" s="69"/>
      <c r="J151" s="70"/>
      <c r="K151" s="69"/>
      <c r="L151" s="69"/>
      <c r="M151" s="71"/>
      <c r="N151" s="72"/>
      <c r="O151" s="73"/>
      <c r="P151" s="73"/>
      <c r="Q151" s="74"/>
      <c r="R151" s="75"/>
      <c r="S151" s="69"/>
      <c r="T151" s="75"/>
      <c r="U151" s="67"/>
    </row>
    <row r="152" spans="2:21" x14ac:dyDescent="0.25">
      <c r="B152" s="67"/>
      <c r="C152" s="68"/>
      <c r="D152" s="68"/>
      <c r="E152" s="68"/>
      <c r="F152" s="67"/>
      <c r="G152" s="67"/>
      <c r="H152" s="69"/>
      <c r="I152" s="69"/>
      <c r="J152" s="70"/>
      <c r="K152" s="69"/>
      <c r="L152" s="69"/>
      <c r="M152" s="71"/>
      <c r="N152" s="72"/>
      <c r="O152" s="73"/>
      <c r="P152" s="73"/>
      <c r="Q152" s="74"/>
      <c r="R152" s="75"/>
      <c r="S152" s="69"/>
      <c r="T152" s="75"/>
      <c r="U152" s="67"/>
    </row>
    <row r="153" spans="2:21" x14ac:dyDescent="0.25">
      <c r="B153" s="67"/>
      <c r="C153" s="68"/>
      <c r="D153" s="68"/>
      <c r="E153" s="68"/>
      <c r="F153" s="67"/>
      <c r="G153" s="67"/>
      <c r="H153" s="69"/>
      <c r="I153" s="69"/>
      <c r="J153" s="70"/>
      <c r="K153" s="69"/>
      <c r="L153" s="69"/>
      <c r="M153" s="71"/>
      <c r="N153" s="72"/>
      <c r="O153" s="73"/>
      <c r="P153" s="73"/>
      <c r="Q153" s="74"/>
      <c r="R153" s="75"/>
      <c r="S153" s="69"/>
      <c r="T153" s="75"/>
      <c r="U153" s="67"/>
    </row>
    <row r="154" spans="2:21" x14ac:dyDescent="0.25">
      <c r="B154" s="67"/>
      <c r="C154" s="68"/>
      <c r="D154" s="68"/>
      <c r="E154" s="68"/>
      <c r="F154" s="67"/>
      <c r="G154" s="67"/>
      <c r="H154" s="69"/>
      <c r="I154" s="69"/>
      <c r="J154" s="70"/>
      <c r="K154" s="69"/>
      <c r="L154" s="69"/>
      <c r="M154" s="71"/>
      <c r="N154" s="72"/>
      <c r="O154" s="73"/>
      <c r="P154" s="73"/>
      <c r="Q154" s="74"/>
      <c r="R154" s="75"/>
      <c r="S154" s="69"/>
      <c r="T154" s="75"/>
      <c r="U154" s="67"/>
    </row>
    <row r="155" spans="2:21" x14ac:dyDescent="0.25">
      <c r="B155" s="67"/>
      <c r="C155" s="68"/>
      <c r="D155" s="68"/>
      <c r="E155" s="68"/>
      <c r="F155" s="67"/>
      <c r="G155" s="67"/>
      <c r="H155" s="69"/>
      <c r="I155" s="69"/>
      <c r="J155" s="70"/>
      <c r="K155" s="69"/>
      <c r="L155" s="69"/>
      <c r="M155" s="71"/>
      <c r="N155" s="72"/>
      <c r="O155" s="73"/>
      <c r="P155" s="73"/>
      <c r="Q155" s="74"/>
      <c r="R155" s="75"/>
      <c r="S155" s="69"/>
      <c r="T155" s="75"/>
      <c r="U155" s="67"/>
    </row>
    <row r="156" spans="2:21" x14ac:dyDescent="0.25">
      <c r="B156" s="67"/>
      <c r="C156" s="68"/>
      <c r="D156" s="68"/>
      <c r="E156" s="68"/>
      <c r="F156" s="67"/>
      <c r="G156" s="67"/>
      <c r="H156" s="69"/>
      <c r="I156" s="69"/>
      <c r="J156" s="70"/>
      <c r="K156" s="69"/>
      <c r="L156" s="69"/>
      <c r="M156" s="71"/>
      <c r="N156" s="72"/>
      <c r="O156" s="73"/>
      <c r="P156" s="73"/>
      <c r="Q156" s="74"/>
      <c r="R156" s="75"/>
      <c r="S156" s="69"/>
      <c r="T156" s="75"/>
      <c r="U156" s="67"/>
    </row>
    <row r="157" spans="2:21" x14ac:dyDescent="0.25">
      <c r="B157" s="67"/>
      <c r="C157" s="68"/>
      <c r="D157" s="68"/>
      <c r="E157" s="68"/>
      <c r="F157" s="67"/>
      <c r="G157" s="67"/>
      <c r="H157" s="69"/>
      <c r="I157" s="69"/>
      <c r="J157" s="70"/>
      <c r="K157" s="69"/>
      <c r="L157" s="69"/>
      <c r="M157" s="71"/>
      <c r="N157" s="72"/>
      <c r="O157" s="73"/>
      <c r="P157" s="73"/>
      <c r="Q157" s="74"/>
      <c r="R157" s="75"/>
      <c r="S157" s="69"/>
      <c r="T157" s="75"/>
      <c r="U157" s="67"/>
    </row>
    <row r="158" spans="2:21" x14ac:dyDescent="0.25">
      <c r="B158" s="67"/>
      <c r="C158" s="68"/>
      <c r="D158" s="68"/>
      <c r="E158" s="68"/>
      <c r="F158" s="67"/>
      <c r="G158" s="67"/>
      <c r="H158" s="69"/>
      <c r="I158" s="69"/>
      <c r="J158" s="70"/>
      <c r="K158" s="69"/>
      <c r="L158" s="69"/>
      <c r="M158" s="71"/>
      <c r="N158" s="72"/>
      <c r="O158" s="73"/>
      <c r="P158" s="73"/>
      <c r="Q158" s="74"/>
      <c r="R158" s="75"/>
      <c r="S158" s="69"/>
      <c r="T158" s="75"/>
      <c r="U158" s="67"/>
    </row>
    <row r="159" spans="2:21" x14ac:dyDescent="0.25">
      <c r="B159" s="67"/>
      <c r="C159" s="68"/>
      <c r="D159" s="68"/>
      <c r="E159" s="68"/>
      <c r="F159" s="67"/>
      <c r="G159" s="67"/>
      <c r="H159" s="69"/>
      <c r="I159" s="69"/>
      <c r="J159" s="70"/>
      <c r="K159" s="69"/>
      <c r="L159" s="69"/>
      <c r="M159" s="71"/>
      <c r="N159" s="72"/>
      <c r="O159" s="73"/>
      <c r="P159" s="73"/>
      <c r="Q159" s="74"/>
      <c r="R159" s="75"/>
      <c r="S159" s="69"/>
      <c r="T159" s="75"/>
      <c r="U159" s="67"/>
    </row>
    <row r="160" spans="2:21" x14ac:dyDescent="0.25">
      <c r="B160" s="67"/>
      <c r="C160" s="68"/>
      <c r="D160" s="68"/>
      <c r="E160" s="68"/>
      <c r="F160" s="67"/>
      <c r="G160" s="67"/>
      <c r="H160" s="69"/>
      <c r="I160" s="69"/>
      <c r="J160" s="70"/>
      <c r="K160" s="69"/>
      <c r="L160" s="69"/>
      <c r="M160" s="71"/>
      <c r="N160" s="72"/>
      <c r="O160" s="73"/>
      <c r="P160" s="73"/>
      <c r="Q160" s="74"/>
      <c r="R160" s="75"/>
      <c r="S160" s="69"/>
      <c r="T160" s="75"/>
      <c r="U160" s="67"/>
    </row>
    <row r="161" spans="2:21" x14ac:dyDescent="0.25">
      <c r="B161" s="67"/>
      <c r="C161" s="68"/>
      <c r="D161" s="68"/>
      <c r="E161" s="68"/>
      <c r="F161" s="67"/>
      <c r="G161" s="67"/>
      <c r="H161" s="69"/>
      <c r="I161" s="69"/>
      <c r="J161" s="70"/>
      <c r="K161" s="69"/>
      <c r="L161" s="69"/>
      <c r="M161" s="71"/>
      <c r="N161" s="72"/>
      <c r="O161" s="73"/>
      <c r="P161" s="73"/>
      <c r="Q161" s="74"/>
      <c r="R161" s="75"/>
      <c r="S161" s="69"/>
      <c r="T161" s="75"/>
      <c r="U161" s="67"/>
    </row>
    <row r="162" spans="2:21" x14ac:dyDescent="0.25">
      <c r="B162" s="67"/>
      <c r="C162" s="68"/>
      <c r="D162" s="68"/>
      <c r="E162" s="68"/>
      <c r="F162" s="67"/>
      <c r="G162" s="67"/>
      <c r="H162" s="69"/>
      <c r="I162" s="69"/>
      <c r="J162" s="70"/>
      <c r="K162" s="69"/>
      <c r="L162" s="69"/>
      <c r="M162" s="71"/>
      <c r="N162" s="72"/>
      <c r="O162" s="73"/>
      <c r="P162" s="73"/>
      <c r="Q162" s="74"/>
      <c r="R162" s="75"/>
      <c r="S162" s="69"/>
      <c r="T162" s="75"/>
      <c r="U162" s="67"/>
    </row>
    <row r="163" spans="2:21" x14ac:dyDescent="0.25">
      <c r="B163" s="67"/>
      <c r="C163" s="68"/>
      <c r="D163" s="68"/>
      <c r="E163" s="68"/>
      <c r="F163" s="67"/>
      <c r="G163" s="67"/>
      <c r="H163" s="69"/>
      <c r="I163" s="69"/>
      <c r="J163" s="70"/>
      <c r="K163" s="69"/>
      <c r="L163" s="69"/>
      <c r="M163" s="71"/>
      <c r="N163" s="72"/>
      <c r="O163" s="73"/>
      <c r="P163" s="73"/>
      <c r="Q163" s="74"/>
      <c r="R163" s="75"/>
      <c r="S163" s="69"/>
      <c r="T163" s="75"/>
      <c r="U163" s="67"/>
    </row>
    <row r="164" spans="2:21" x14ac:dyDescent="0.25">
      <c r="B164" s="67"/>
      <c r="C164" s="68"/>
      <c r="D164" s="68"/>
      <c r="E164" s="68"/>
      <c r="F164" s="67"/>
      <c r="G164" s="67"/>
      <c r="H164" s="69"/>
      <c r="I164" s="69"/>
      <c r="J164" s="70"/>
      <c r="K164" s="69"/>
      <c r="L164" s="69"/>
      <c r="M164" s="71"/>
      <c r="N164" s="72"/>
      <c r="O164" s="73"/>
      <c r="P164" s="73"/>
      <c r="Q164" s="74"/>
      <c r="R164" s="75"/>
      <c r="S164" s="69"/>
      <c r="T164" s="75"/>
      <c r="U164" s="67"/>
    </row>
    <row r="165" spans="2:21" x14ac:dyDescent="0.25">
      <c r="B165" s="67"/>
      <c r="C165" s="68"/>
      <c r="D165" s="68"/>
      <c r="E165" s="68"/>
      <c r="F165" s="67"/>
      <c r="G165" s="67"/>
      <c r="H165" s="69"/>
      <c r="I165" s="69"/>
      <c r="J165" s="70"/>
      <c r="K165" s="69"/>
      <c r="L165" s="69"/>
      <c r="M165" s="71"/>
      <c r="N165" s="72"/>
      <c r="O165" s="73"/>
      <c r="P165" s="73"/>
      <c r="Q165" s="74"/>
      <c r="R165" s="75"/>
      <c r="S165" s="69"/>
      <c r="T165" s="75"/>
      <c r="U165" s="67"/>
    </row>
    <row r="166" spans="2:21" x14ac:dyDescent="0.25">
      <c r="B166" s="67"/>
      <c r="C166" s="68"/>
      <c r="D166" s="68"/>
      <c r="E166" s="68"/>
      <c r="F166" s="67"/>
      <c r="G166" s="67"/>
      <c r="H166" s="69"/>
      <c r="I166" s="69"/>
      <c r="J166" s="70"/>
      <c r="K166" s="69"/>
      <c r="L166" s="69"/>
      <c r="M166" s="71"/>
      <c r="N166" s="72"/>
      <c r="O166" s="73"/>
      <c r="P166" s="73"/>
      <c r="Q166" s="74"/>
      <c r="R166" s="75"/>
      <c r="S166" s="69"/>
      <c r="T166" s="75"/>
      <c r="U166" s="67"/>
    </row>
    <row r="167" spans="2:21" x14ac:dyDescent="0.25">
      <c r="B167" s="67"/>
      <c r="C167" s="68"/>
      <c r="D167" s="68"/>
      <c r="E167" s="68"/>
      <c r="F167" s="67"/>
      <c r="G167" s="67"/>
      <c r="H167" s="69"/>
      <c r="I167" s="69"/>
      <c r="J167" s="70"/>
      <c r="K167" s="69"/>
      <c r="L167" s="69"/>
      <c r="M167" s="71"/>
      <c r="N167" s="72"/>
      <c r="O167" s="73"/>
      <c r="P167" s="73"/>
      <c r="Q167" s="74"/>
      <c r="R167" s="75"/>
      <c r="S167" s="69"/>
      <c r="T167" s="75"/>
      <c r="U167" s="67"/>
    </row>
    <row r="168" spans="2:21" x14ac:dyDescent="0.25">
      <c r="B168" s="67"/>
      <c r="C168" s="68"/>
      <c r="D168" s="68"/>
      <c r="E168" s="68"/>
      <c r="F168" s="67"/>
      <c r="G168" s="67"/>
      <c r="H168" s="69"/>
      <c r="I168" s="69"/>
      <c r="J168" s="70"/>
      <c r="K168" s="69"/>
      <c r="L168" s="69"/>
      <c r="M168" s="71"/>
      <c r="N168" s="72"/>
      <c r="O168" s="73"/>
      <c r="P168" s="73"/>
      <c r="Q168" s="74"/>
      <c r="R168" s="75"/>
      <c r="S168" s="69"/>
      <c r="T168" s="75"/>
      <c r="U168" s="67"/>
    </row>
    <row r="169" spans="2:21" x14ac:dyDescent="0.25">
      <c r="B169" s="67"/>
      <c r="C169" s="68"/>
      <c r="D169" s="68"/>
      <c r="E169" s="68"/>
      <c r="F169" s="67"/>
      <c r="G169" s="67"/>
      <c r="H169" s="69"/>
      <c r="I169" s="69"/>
      <c r="J169" s="70"/>
      <c r="K169" s="69"/>
      <c r="L169" s="69"/>
      <c r="M169" s="71"/>
      <c r="N169" s="72"/>
      <c r="O169" s="73"/>
      <c r="P169" s="73"/>
      <c r="Q169" s="74"/>
      <c r="R169" s="75"/>
      <c r="S169" s="69"/>
      <c r="T169" s="75"/>
      <c r="U169" s="67"/>
    </row>
    <row r="170" spans="2:21" x14ac:dyDescent="0.25">
      <c r="B170" s="67"/>
      <c r="C170" s="68"/>
      <c r="D170" s="68"/>
      <c r="E170" s="68"/>
      <c r="F170" s="67"/>
      <c r="G170" s="67"/>
      <c r="H170" s="69"/>
      <c r="I170" s="69"/>
      <c r="J170" s="70"/>
      <c r="K170" s="69"/>
      <c r="L170" s="69"/>
      <c r="M170" s="71"/>
      <c r="N170" s="72"/>
      <c r="O170" s="73"/>
      <c r="P170" s="73"/>
      <c r="Q170" s="74"/>
      <c r="R170" s="75"/>
      <c r="S170" s="69"/>
      <c r="T170" s="75"/>
      <c r="U170" s="67"/>
    </row>
    <row r="171" spans="2:21" x14ac:dyDescent="0.25">
      <c r="B171" s="67"/>
      <c r="C171" s="68"/>
      <c r="D171" s="68"/>
      <c r="E171" s="68"/>
      <c r="F171" s="67"/>
      <c r="G171" s="67"/>
      <c r="H171" s="69"/>
      <c r="I171" s="69"/>
      <c r="J171" s="70"/>
      <c r="K171" s="69"/>
      <c r="L171" s="69"/>
      <c r="M171" s="71"/>
      <c r="N171" s="72"/>
      <c r="O171" s="73"/>
      <c r="P171" s="73"/>
      <c r="Q171" s="74"/>
      <c r="R171" s="75"/>
      <c r="S171" s="69"/>
      <c r="T171" s="75"/>
      <c r="U171" s="67"/>
    </row>
    <row r="172" spans="2:21" x14ac:dyDescent="0.25">
      <c r="B172" s="67"/>
      <c r="C172" s="68"/>
      <c r="D172" s="68"/>
      <c r="E172" s="68"/>
      <c r="F172" s="67"/>
      <c r="G172" s="67"/>
      <c r="H172" s="69"/>
      <c r="I172" s="69"/>
      <c r="J172" s="70"/>
      <c r="K172" s="69"/>
      <c r="L172" s="69"/>
      <c r="M172" s="71"/>
      <c r="N172" s="72"/>
      <c r="O172" s="73"/>
      <c r="P172" s="73"/>
      <c r="Q172" s="74"/>
      <c r="R172" s="75"/>
      <c r="S172" s="69"/>
      <c r="T172" s="75"/>
      <c r="U172" s="67"/>
    </row>
    <row r="173" spans="2:21" x14ac:dyDescent="0.25">
      <c r="B173" s="67"/>
      <c r="C173" s="68"/>
      <c r="D173" s="68"/>
      <c r="E173" s="68"/>
      <c r="F173" s="67"/>
      <c r="G173" s="67"/>
      <c r="H173" s="69"/>
      <c r="I173" s="69"/>
      <c r="J173" s="70"/>
      <c r="K173" s="69"/>
      <c r="L173" s="69"/>
      <c r="M173" s="71"/>
      <c r="N173" s="72"/>
      <c r="O173" s="73"/>
      <c r="P173" s="73"/>
      <c r="Q173" s="74"/>
      <c r="R173" s="75"/>
      <c r="S173" s="69"/>
      <c r="T173" s="75"/>
      <c r="U173" s="67"/>
    </row>
    <row r="174" spans="2:21" x14ac:dyDescent="0.25">
      <c r="B174" s="67"/>
      <c r="C174" s="68"/>
      <c r="D174" s="68"/>
      <c r="E174" s="68"/>
      <c r="F174" s="67"/>
      <c r="G174" s="67"/>
      <c r="H174" s="69"/>
      <c r="I174" s="69"/>
      <c r="J174" s="70"/>
      <c r="K174" s="69"/>
      <c r="L174" s="69"/>
      <c r="M174" s="71"/>
      <c r="N174" s="72"/>
      <c r="O174" s="73"/>
      <c r="P174" s="73"/>
      <c r="Q174" s="74"/>
      <c r="R174" s="75"/>
      <c r="S174" s="69"/>
      <c r="T174" s="75"/>
      <c r="U174" s="67"/>
    </row>
    <row r="175" spans="2:21" x14ac:dyDescent="0.25">
      <c r="B175" s="67"/>
      <c r="C175" s="68"/>
      <c r="D175" s="68"/>
      <c r="E175" s="68"/>
      <c r="F175" s="67"/>
      <c r="G175" s="67"/>
      <c r="H175" s="69"/>
      <c r="I175" s="69"/>
      <c r="J175" s="70"/>
      <c r="K175" s="69"/>
      <c r="L175" s="69"/>
      <c r="M175" s="71"/>
      <c r="N175" s="72"/>
      <c r="O175" s="73"/>
      <c r="P175" s="73"/>
      <c r="Q175" s="74"/>
      <c r="R175" s="75"/>
      <c r="S175" s="69"/>
      <c r="T175" s="75"/>
      <c r="U175" s="67"/>
    </row>
    <row r="176" spans="2:21" x14ac:dyDescent="0.25">
      <c r="B176" s="67"/>
      <c r="C176" s="68"/>
      <c r="D176" s="68"/>
      <c r="E176" s="68"/>
      <c r="F176" s="67"/>
      <c r="G176" s="67"/>
      <c r="H176" s="69"/>
      <c r="I176" s="69"/>
      <c r="J176" s="70"/>
      <c r="K176" s="69"/>
      <c r="L176" s="69"/>
      <c r="M176" s="71"/>
      <c r="N176" s="72"/>
      <c r="O176" s="73"/>
      <c r="P176" s="73"/>
      <c r="Q176" s="74"/>
      <c r="R176" s="75"/>
      <c r="S176" s="69"/>
      <c r="T176" s="75"/>
      <c r="U176" s="67"/>
    </row>
    <row r="177" spans="2:21" x14ac:dyDescent="0.25">
      <c r="B177" s="67"/>
      <c r="C177" s="68"/>
      <c r="D177" s="68"/>
      <c r="E177" s="68"/>
      <c r="F177" s="67"/>
      <c r="G177" s="67"/>
      <c r="H177" s="69"/>
      <c r="I177" s="69"/>
      <c r="J177" s="70"/>
      <c r="K177" s="69"/>
      <c r="L177" s="69"/>
      <c r="M177" s="71"/>
      <c r="N177" s="72"/>
      <c r="O177" s="73"/>
      <c r="P177" s="73"/>
      <c r="Q177" s="74"/>
      <c r="R177" s="75"/>
      <c r="S177" s="69"/>
      <c r="T177" s="75"/>
      <c r="U177" s="67"/>
    </row>
    <row r="178" spans="2:21" x14ac:dyDescent="0.25">
      <c r="B178" s="67"/>
      <c r="C178" s="68"/>
      <c r="D178" s="68"/>
      <c r="E178" s="68"/>
      <c r="F178" s="67"/>
      <c r="G178" s="67"/>
      <c r="H178" s="69"/>
      <c r="I178" s="69"/>
      <c r="J178" s="70"/>
      <c r="K178" s="69"/>
      <c r="L178" s="69"/>
      <c r="M178" s="71"/>
      <c r="N178" s="72"/>
      <c r="O178" s="73"/>
      <c r="P178" s="73"/>
      <c r="Q178" s="74"/>
      <c r="R178" s="75"/>
      <c r="S178" s="69"/>
      <c r="T178" s="75"/>
      <c r="U178" s="67"/>
    </row>
    <row r="179" spans="2:21" x14ac:dyDescent="0.25">
      <c r="B179" s="67"/>
      <c r="C179" s="68"/>
      <c r="D179" s="68"/>
      <c r="E179" s="68"/>
      <c r="F179" s="67"/>
      <c r="G179" s="67"/>
      <c r="H179" s="69"/>
      <c r="I179" s="69"/>
      <c r="J179" s="70"/>
      <c r="K179" s="69"/>
      <c r="L179" s="69"/>
      <c r="M179" s="71"/>
      <c r="N179" s="72"/>
      <c r="O179" s="73"/>
      <c r="P179" s="73"/>
      <c r="Q179" s="74"/>
      <c r="R179" s="75"/>
      <c r="S179" s="69"/>
      <c r="T179" s="75"/>
      <c r="U179" s="67"/>
    </row>
    <row r="180" spans="2:21" x14ac:dyDescent="0.25">
      <c r="B180" s="67"/>
      <c r="C180" s="68"/>
      <c r="D180" s="68"/>
      <c r="E180" s="68"/>
      <c r="F180" s="67"/>
      <c r="G180" s="67"/>
      <c r="H180" s="69"/>
      <c r="I180" s="69"/>
      <c r="J180" s="70"/>
      <c r="K180" s="69"/>
      <c r="L180" s="69"/>
      <c r="M180" s="71"/>
      <c r="N180" s="72"/>
      <c r="O180" s="73"/>
      <c r="P180" s="73"/>
      <c r="Q180" s="74"/>
      <c r="R180" s="75"/>
      <c r="S180" s="69"/>
      <c r="T180" s="75"/>
      <c r="U180" s="67"/>
    </row>
    <row r="181" spans="2:21" x14ac:dyDescent="0.25">
      <c r="B181" s="67"/>
      <c r="C181" s="68"/>
      <c r="D181" s="68"/>
      <c r="E181" s="68"/>
      <c r="F181" s="67"/>
      <c r="G181" s="67"/>
      <c r="H181" s="69"/>
      <c r="I181" s="69"/>
      <c r="J181" s="70"/>
      <c r="K181" s="69"/>
      <c r="L181" s="69"/>
      <c r="M181" s="71"/>
      <c r="N181" s="72"/>
      <c r="O181" s="73"/>
      <c r="P181" s="73"/>
      <c r="Q181" s="74"/>
      <c r="R181" s="75"/>
      <c r="S181" s="69"/>
      <c r="T181" s="75"/>
      <c r="U181" s="67"/>
    </row>
    <row r="182" spans="2:21" x14ac:dyDescent="0.25">
      <c r="B182" s="67"/>
      <c r="C182" s="68"/>
      <c r="D182" s="68"/>
      <c r="E182" s="68"/>
      <c r="F182" s="67"/>
      <c r="G182" s="67"/>
      <c r="H182" s="69"/>
      <c r="I182" s="69"/>
      <c r="J182" s="70"/>
      <c r="K182" s="69"/>
      <c r="L182" s="69"/>
      <c r="M182" s="71"/>
      <c r="N182" s="72"/>
      <c r="O182" s="73"/>
      <c r="P182" s="73"/>
      <c r="Q182" s="74"/>
      <c r="R182" s="75"/>
      <c r="S182" s="69"/>
      <c r="T182" s="75"/>
      <c r="U182" s="67"/>
    </row>
    <row r="183" spans="2:21" x14ac:dyDescent="0.25">
      <c r="B183" s="67"/>
      <c r="C183" s="68"/>
      <c r="D183" s="68"/>
      <c r="E183" s="68"/>
      <c r="F183" s="67"/>
      <c r="G183" s="67"/>
      <c r="H183" s="69"/>
      <c r="I183" s="69"/>
      <c r="J183" s="70"/>
      <c r="K183" s="69"/>
      <c r="L183" s="69"/>
      <c r="M183" s="71"/>
      <c r="N183" s="72"/>
      <c r="O183" s="73"/>
      <c r="P183" s="73"/>
      <c r="Q183" s="74"/>
      <c r="R183" s="75"/>
      <c r="S183" s="69"/>
      <c r="T183" s="75"/>
      <c r="U183" s="67"/>
    </row>
    <row r="184" spans="2:21" x14ac:dyDescent="0.25">
      <c r="B184" s="67"/>
      <c r="C184" s="68"/>
      <c r="D184" s="68"/>
      <c r="E184" s="68"/>
      <c r="F184" s="67"/>
      <c r="G184" s="67"/>
      <c r="H184" s="69"/>
      <c r="I184" s="69"/>
      <c r="J184" s="70"/>
      <c r="K184" s="69"/>
      <c r="L184" s="69"/>
      <c r="M184" s="71"/>
      <c r="N184" s="72"/>
      <c r="O184" s="73"/>
      <c r="P184" s="73"/>
      <c r="Q184" s="74"/>
      <c r="R184" s="75"/>
      <c r="S184" s="69"/>
      <c r="T184" s="75"/>
      <c r="U184" s="67"/>
    </row>
    <row r="185" spans="2:21" x14ac:dyDescent="0.25">
      <c r="B185" s="67"/>
      <c r="C185" s="68"/>
      <c r="D185" s="68"/>
      <c r="E185" s="68"/>
      <c r="F185" s="67"/>
      <c r="G185" s="67"/>
      <c r="H185" s="69"/>
      <c r="I185" s="69"/>
      <c r="J185" s="70"/>
      <c r="K185" s="69"/>
      <c r="L185" s="69"/>
      <c r="M185" s="71"/>
      <c r="N185" s="72"/>
      <c r="O185" s="73"/>
      <c r="P185" s="73"/>
      <c r="Q185" s="74"/>
      <c r="R185" s="75"/>
      <c r="S185" s="69"/>
      <c r="T185" s="75"/>
      <c r="U185" s="67"/>
    </row>
    <row r="186" spans="2:21" x14ac:dyDescent="0.25">
      <c r="B186" s="67"/>
      <c r="C186" s="68"/>
      <c r="D186" s="68"/>
      <c r="E186" s="68"/>
      <c r="F186" s="67"/>
      <c r="G186" s="67"/>
      <c r="H186" s="69"/>
      <c r="I186" s="69"/>
      <c r="J186" s="70"/>
      <c r="K186" s="69"/>
      <c r="L186" s="69"/>
      <c r="M186" s="71"/>
      <c r="N186" s="72"/>
      <c r="O186" s="73"/>
      <c r="P186" s="73"/>
      <c r="Q186" s="74"/>
      <c r="R186" s="75"/>
      <c r="S186" s="69"/>
      <c r="T186" s="75"/>
      <c r="U186" s="67"/>
    </row>
    <row r="187" spans="2:21" x14ac:dyDescent="0.25">
      <c r="B187" s="67"/>
      <c r="C187" s="68"/>
      <c r="D187" s="68"/>
      <c r="E187" s="68"/>
      <c r="F187" s="67"/>
      <c r="G187" s="67"/>
      <c r="H187" s="69"/>
      <c r="I187" s="69"/>
      <c r="J187" s="70"/>
      <c r="K187" s="69"/>
      <c r="L187" s="69"/>
      <c r="M187" s="71"/>
      <c r="N187" s="72"/>
      <c r="O187" s="73"/>
      <c r="P187" s="73"/>
      <c r="Q187" s="74"/>
      <c r="R187" s="75"/>
      <c r="S187" s="69"/>
      <c r="T187" s="75"/>
      <c r="U187" s="67"/>
    </row>
    <row r="188" spans="2:21" x14ac:dyDescent="0.25">
      <c r="B188" s="67"/>
      <c r="C188" s="68"/>
      <c r="D188" s="68"/>
      <c r="E188" s="68"/>
      <c r="F188" s="67"/>
      <c r="G188" s="67"/>
      <c r="H188" s="69"/>
      <c r="I188" s="69"/>
      <c r="J188" s="70"/>
      <c r="K188" s="69"/>
      <c r="L188" s="69"/>
      <c r="M188" s="71"/>
      <c r="N188" s="72"/>
      <c r="O188" s="73"/>
      <c r="P188" s="73"/>
      <c r="Q188" s="74"/>
      <c r="R188" s="75"/>
      <c r="S188" s="69"/>
      <c r="T188" s="75"/>
      <c r="U188" s="67"/>
    </row>
    <row r="189" spans="2:21" x14ac:dyDescent="0.25">
      <c r="B189" s="67"/>
      <c r="C189" s="68"/>
      <c r="D189" s="68"/>
      <c r="E189" s="68"/>
      <c r="F189" s="67"/>
      <c r="G189" s="67"/>
      <c r="H189" s="69"/>
      <c r="I189" s="69"/>
      <c r="J189" s="70"/>
      <c r="K189" s="69"/>
      <c r="L189" s="69"/>
      <c r="M189" s="71"/>
      <c r="N189" s="72"/>
      <c r="O189" s="73"/>
      <c r="P189" s="73"/>
      <c r="Q189" s="74"/>
      <c r="R189" s="75"/>
      <c r="S189" s="69"/>
      <c r="T189" s="75"/>
      <c r="U189" s="67"/>
    </row>
    <row r="190" spans="2:21" x14ac:dyDescent="0.25">
      <c r="B190" s="67"/>
      <c r="C190" s="68"/>
      <c r="D190" s="68"/>
      <c r="E190" s="68"/>
      <c r="F190" s="67"/>
      <c r="G190" s="67"/>
      <c r="H190" s="69"/>
      <c r="I190" s="69"/>
      <c r="J190" s="70"/>
      <c r="K190" s="69"/>
      <c r="L190" s="69"/>
      <c r="M190" s="71"/>
      <c r="N190" s="72"/>
      <c r="O190" s="73"/>
      <c r="P190" s="73"/>
      <c r="Q190" s="74"/>
      <c r="R190" s="75"/>
      <c r="S190" s="69"/>
      <c r="T190" s="75"/>
      <c r="U190" s="67"/>
    </row>
    <row r="191" spans="2:21" x14ac:dyDescent="0.25">
      <c r="B191" s="67"/>
      <c r="C191" s="68"/>
      <c r="D191" s="68"/>
      <c r="E191" s="68"/>
      <c r="F191" s="67"/>
      <c r="G191" s="67"/>
      <c r="H191" s="69"/>
      <c r="I191" s="69"/>
      <c r="J191" s="70"/>
      <c r="K191" s="69"/>
      <c r="L191" s="69"/>
      <c r="M191" s="71"/>
      <c r="N191" s="72"/>
      <c r="O191" s="73"/>
      <c r="P191" s="73"/>
      <c r="Q191" s="74"/>
      <c r="R191" s="75"/>
      <c r="S191" s="69"/>
      <c r="T191" s="75"/>
      <c r="U191" s="67"/>
    </row>
    <row r="192" spans="2:21" x14ac:dyDescent="0.25">
      <c r="B192" s="67"/>
      <c r="C192" s="68"/>
      <c r="D192" s="68"/>
      <c r="E192" s="68"/>
      <c r="F192" s="67"/>
      <c r="G192" s="67"/>
      <c r="H192" s="69"/>
      <c r="I192" s="69"/>
      <c r="J192" s="70"/>
      <c r="K192" s="69"/>
      <c r="L192" s="69"/>
      <c r="M192" s="71"/>
      <c r="N192" s="72"/>
      <c r="O192" s="73"/>
      <c r="P192" s="73"/>
      <c r="Q192" s="74"/>
      <c r="R192" s="75"/>
      <c r="S192" s="69"/>
      <c r="T192" s="75"/>
      <c r="U192" s="67"/>
    </row>
    <row r="193" spans="2:21" x14ac:dyDescent="0.25">
      <c r="B193" s="67"/>
      <c r="C193" s="68"/>
      <c r="D193" s="68"/>
      <c r="E193" s="68"/>
      <c r="F193" s="67"/>
      <c r="G193" s="67"/>
      <c r="H193" s="69"/>
      <c r="I193" s="69"/>
      <c r="J193" s="70"/>
      <c r="K193" s="69"/>
      <c r="L193" s="69"/>
      <c r="M193" s="71"/>
      <c r="N193" s="72"/>
      <c r="O193" s="73"/>
      <c r="P193" s="73"/>
      <c r="Q193" s="74"/>
      <c r="R193" s="75"/>
      <c r="S193" s="69"/>
      <c r="T193" s="75"/>
      <c r="U193" s="67"/>
    </row>
    <row r="194" spans="2:21" x14ac:dyDescent="0.25">
      <c r="B194" s="67"/>
      <c r="C194" s="68"/>
      <c r="D194" s="68"/>
      <c r="E194" s="68"/>
      <c r="F194" s="67"/>
      <c r="G194" s="67"/>
      <c r="H194" s="69"/>
      <c r="I194" s="69"/>
      <c r="J194" s="70"/>
      <c r="K194" s="69"/>
      <c r="L194" s="69"/>
      <c r="M194" s="71"/>
      <c r="N194" s="72"/>
      <c r="O194" s="73"/>
      <c r="P194" s="73"/>
      <c r="Q194" s="74"/>
      <c r="R194" s="75"/>
      <c r="S194" s="69"/>
      <c r="T194" s="75"/>
      <c r="U194" s="67"/>
    </row>
    <row r="195" spans="2:21" x14ac:dyDescent="0.25">
      <c r="B195" s="67"/>
      <c r="C195" s="68"/>
      <c r="D195" s="68"/>
      <c r="E195" s="68"/>
      <c r="F195" s="67"/>
      <c r="G195" s="67"/>
      <c r="H195" s="69"/>
      <c r="I195" s="69"/>
      <c r="J195" s="70"/>
      <c r="K195" s="69"/>
      <c r="L195" s="69"/>
      <c r="M195" s="71"/>
      <c r="N195" s="72"/>
      <c r="O195" s="73"/>
      <c r="P195" s="73"/>
      <c r="Q195" s="74"/>
      <c r="R195" s="75"/>
      <c r="S195" s="69"/>
      <c r="T195" s="75"/>
      <c r="U195" s="67"/>
    </row>
    <row r="196" spans="2:21" x14ac:dyDescent="0.25">
      <c r="B196" s="67"/>
      <c r="C196" s="68"/>
      <c r="D196" s="68"/>
      <c r="E196" s="68"/>
      <c r="F196" s="67"/>
      <c r="G196" s="67"/>
      <c r="H196" s="69"/>
      <c r="I196" s="69"/>
      <c r="J196" s="70"/>
      <c r="K196" s="69"/>
      <c r="L196" s="69"/>
      <c r="M196" s="71"/>
      <c r="N196" s="72"/>
      <c r="O196" s="73"/>
      <c r="P196" s="73"/>
      <c r="Q196" s="74"/>
      <c r="R196" s="75"/>
      <c r="S196" s="69"/>
      <c r="T196" s="75"/>
      <c r="U196" s="67"/>
    </row>
    <row r="197" spans="2:21" x14ac:dyDescent="0.25">
      <c r="B197" s="67"/>
      <c r="C197" s="68"/>
      <c r="D197" s="68"/>
      <c r="E197" s="68"/>
      <c r="F197" s="67"/>
      <c r="G197" s="67"/>
      <c r="H197" s="69"/>
      <c r="I197" s="69"/>
      <c r="J197" s="70"/>
      <c r="K197" s="69"/>
      <c r="L197" s="69"/>
      <c r="M197" s="71"/>
      <c r="N197" s="72"/>
      <c r="O197" s="73"/>
      <c r="P197" s="73"/>
      <c r="Q197" s="74"/>
      <c r="R197" s="75"/>
      <c r="S197" s="69"/>
      <c r="T197" s="75"/>
      <c r="U197" s="67"/>
    </row>
    <row r="198" spans="2:21" x14ac:dyDescent="0.25">
      <c r="B198" s="67"/>
      <c r="C198" s="68"/>
      <c r="D198" s="68"/>
      <c r="E198" s="68"/>
      <c r="F198" s="67"/>
      <c r="G198" s="67"/>
      <c r="H198" s="69"/>
      <c r="I198" s="69"/>
      <c r="J198" s="70"/>
      <c r="K198" s="69"/>
      <c r="L198" s="69"/>
      <c r="M198" s="71"/>
      <c r="N198" s="72"/>
      <c r="O198" s="73"/>
      <c r="P198" s="73"/>
      <c r="Q198" s="74"/>
      <c r="R198" s="75"/>
      <c r="S198" s="69"/>
      <c r="T198" s="75"/>
      <c r="U198" s="67"/>
    </row>
    <row r="199" spans="2:21" x14ac:dyDescent="0.25">
      <c r="B199" s="67"/>
      <c r="C199" s="68"/>
      <c r="D199" s="68"/>
      <c r="E199" s="68"/>
      <c r="F199" s="67"/>
      <c r="G199" s="67"/>
      <c r="H199" s="69"/>
      <c r="I199" s="69"/>
      <c r="J199" s="70"/>
      <c r="K199" s="69"/>
      <c r="L199" s="69"/>
      <c r="M199" s="71"/>
      <c r="N199" s="72"/>
      <c r="O199" s="73"/>
      <c r="P199" s="73"/>
      <c r="Q199" s="74"/>
      <c r="R199" s="75"/>
      <c r="S199" s="69"/>
      <c r="T199" s="75"/>
      <c r="U199" s="67"/>
    </row>
    <row r="200" spans="2:21" x14ac:dyDescent="0.25">
      <c r="B200" s="67"/>
      <c r="C200" s="68"/>
      <c r="D200" s="68"/>
      <c r="E200" s="68"/>
      <c r="F200" s="67"/>
      <c r="G200" s="67"/>
      <c r="H200" s="69"/>
      <c r="I200" s="69"/>
      <c r="J200" s="70"/>
      <c r="K200" s="69"/>
      <c r="L200" s="69"/>
      <c r="M200" s="71"/>
      <c r="N200" s="72"/>
      <c r="O200" s="73"/>
      <c r="P200" s="73"/>
      <c r="Q200" s="74"/>
      <c r="R200" s="75"/>
      <c r="S200" s="69"/>
      <c r="T200" s="75"/>
      <c r="U200" s="67"/>
    </row>
    <row r="201" spans="2:21" x14ac:dyDescent="0.25">
      <c r="B201" s="67"/>
      <c r="C201" s="68"/>
      <c r="D201" s="68"/>
      <c r="E201" s="68"/>
      <c r="F201" s="67"/>
      <c r="G201" s="67"/>
      <c r="H201" s="69"/>
      <c r="I201" s="69"/>
      <c r="J201" s="70"/>
      <c r="K201" s="69"/>
      <c r="L201" s="69"/>
      <c r="M201" s="71"/>
      <c r="N201" s="72"/>
      <c r="O201" s="73"/>
      <c r="P201" s="73"/>
      <c r="Q201" s="74"/>
      <c r="R201" s="75"/>
      <c r="S201" s="69"/>
      <c r="T201" s="75"/>
      <c r="U201" s="67"/>
    </row>
    <row r="202" spans="2:21" x14ac:dyDescent="0.25">
      <c r="B202" s="67"/>
      <c r="C202" s="68"/>
      <c r="D202" s="68"/>
      <c r="E202" s="68"/>
      <c r="F202" s="67"/>
      <c r="G202" s="67"/>
      <c r="H202" s="69"/>
      <c r="I202" s="69"/>
      <c r="J202" s="70"/>
      <c r="K202" s="69"/>
      <c r="L202" s="69"/>
      <c r="M202" s="71"/>
      <c r="N202" s="72"/>
      <c r="O202" s="73"/>
      <c r="P202" s="73"/>
      <c r="Q202" s="74"/>
      <c r="R202" s="75"/>
      <c r="S202" s="69"/>
      <c r="T202" s="75"/>
      <c r="U202" s="67"/>
    </row>
    <row r="203" spans="2:21" x14ac:dyDescent="0.25">
      <c r="B203" s="67"/>
      <c r="C203" s="68"/>
      <c r="D203" s="68"/>
      <c r="E203" s="68"/>
      <c r="F203" s="67"/>
      <c r="G203" s="67"/>
      <c r="H203" s="69"/>
      <c r="I203" s="69"/>
      <c r="J203" s="70"/>
      <c r="K203" s="69"/>
      <c r="L203" s="69"/>
      <c r="M203" s="71"/>
      <c r="N203" s="72"/>
      <c r="O203" s="73"/>
      <c r="P203" s="73"/>
      <c r="Q203" s="74"/>
      <c r="R203" s="75"/>
      <c r="S203" s="69"/>
      <c r="T203" s="75"/>
      <c r="U203" s="67"/>
    </row>
    <row r="204" spans="2:21" x14ac:dyDescent="0.25">
      <c r="B204" s="67"/>
      <c r="C204" s="68"/>
      <c r="D204" s="68"/>
      <c r="E204" s="68"/>
      <c r="F204" s="67"/>
      <c r="G204" s="67"/>
      <c r="H204" s="69"/>
      <c r="I204" s="69"/>
      <c r="J204" s="70"/>
      <c r="K204" s="69"/>
      <c r="L204" s="69"/>
      <c r="M204" s="71"/>
      <c r="N204" s="72"/>
      <c r="O204" s="73"/>
      <c r="P204" s="73"/>
      <c r="Q204" s="74"/>
      <c r="R204" s="75"/>
      <c r="S204" s="69"/>
      <c r="T204" s="75"/>
      <c r="U204" s="67"/>
    </row>
    <row r="205" spans="2:21" x14ac:dyDescent="0.25">
      <c r="B205" s="67"/>
      <c r="C205" s="68"/>
      <c r="D205" s="68"/>
      <c r="E205" s="68"/>
      <c r="F205" s="67"/>
      <c r="G205" s="67"/>
      <c r="H205" s="69"/>
      <c r="I205" s="69"/>
      <c r="J205" s="70"/>
      <c r="K205" s="69"/>
      <c r="L205" s="69"/>
      <c r="M205" s="71"/>
      <c r="N205" s="72"/>
      <c r="O205" s="73"/>
      <c r="P205" s="73"/>
      <c r="Q205" s="74"/>
      <c r="R205" s="75"/>
      <c r="S205" s="69"/>
      <c r="T205" s="75"/>
      <c r="U205" s="67"/>
    </row>
    <row r="206" spans="2:21" x14ac:dyDescent="0.25">
      <c r="B206" s="67"/>
      <c r="C206" s="68"/>
      <c r="D206" s="68"/>
      <c r="E206" s="68"/>
      <c r="F206" s="67"/>
      <c r="G206" s="67"/>
      <c r="H206" s="69"/>
      <c r="I206" s="69"/>
      <c r="J206" s="70"/>
      <c r="K206" s="69"/>
      <c r="L206" s="69"/>
      <c r="M206" s="71"/>
      <c r="N206" s="72"/>
      <c r="O206" s="73"/>
      <c r="P206" s="73"/>
      <c r="Q206" s="74"/>
      <c r="R206" s="75"/>
      <c r="S206" s="69"/>
      <c r="T206" s="75"/>
      <c r="U206" s="67"/>
    </row>
    <row r="207" spans="2:21" x14ac:dyDescent="0.25">
      <c r="B207" s="67"/>
      <c r="C207" s="68"/>
      <c r="D207" s="68"/>
      <c r="E207" s="68"/>
      <c r="F207" s="67"/>
      <c r="G207" s="67"/>
      <c r="H207" s="69"/>
      <c r="I207" s="69"/>
      <c r="J207" s="70"/>
      <c r="K207" s="69"/>
      <c r="L207" s="69"/>
      <c r="M207" s="71"/>
      <c r="N207" s="72"/>
      <c r="O207" s="73"/>
      <c r="P207" s="73"/>
      <c r="Q207" s="74"/>
      <c r="R207" s="75"/>
      <c r="S207" s="69"/>
      <c r="T207" s="75"/>
      <c r="U207" s="67"/>
    </row>
    <row r="208" spans="2:21" x14ac:dyDescent="0.25">
      <c r="B208" s="67"/>
      <c r="C208" s="68"/>
      <c r="D208" s="68"/>
      <c r="E208" s="68"/>
      <c r="F208" s="67"/>
      <c r="G208" s="67"/>
      <c r="H208" s="69"/>
      <c r="I208" s="69"/>
      <c r="J208" s="70"/>
      <c r="K208" s="69"/>
      <c r="L208" s="69"/>
      <c r="M208" s="71"/>
      <c r="N208" s="72"/>
      <c r="O208" s="73"/>
      <c r="P208" s="73"/>
      <c r="Q208" s="74"/>
      <c r="R208" s="75"/>
      <c r="S208" s="69"/>
      <c r="T208" s="75"/>
      <c r="U208" s="67"/>
    </row>
    <row r="209" spans="2:21" x14ac:dyDescent="0.25">
      <c r="B209" s="67"/>
      <c r="C209" s="68"/>
      <c r="D209" s="68"/>
      <c r="E209" s="68"/>
      <c r="F209" s="67"/>
      <c r="G209" s="67"/>
      <c r="H209" s="69"/>
      <c r="I209" s="69"/>
      <c r="J209" s="70"/>
      <c r="K209" s="69"/>
      <c r="L209" s="69"/>
      <c r="M209" s="71"/>
      <c r="N209" s="72"/>
      <c r="O209" s="73"/>
      <c r="P209" s="73"/>
      <c r="Q209" s="74"/>
      <c r="R209" s="75"/>
      <c r="S209" s="69"/>
      <c r="T209" s="75"/>
      <c r="U209" s="67"/>
    </row>
    <row r="210" spans="2:21" x14ac:dyDescent="0.25">
      <c r="B210" s="67"/>
      <c r="C210" s="68"/>
      <c r="D210" s="68"/>
      <c r="E210" s="68"/>
      <c r="F210" s="67"/>
      <c r="G210" s="67"/>
      <c r="H210" s="69"/>
      <c r="I210" s="69"/>
      <c r="J210" s="70"/>
      <c r="K210" s="69"/>
      <c r="L210" s="69"/>
      <c r="M210" s="71"/>
      <c r="N210" s="72"/>
      <c r="O210" s="73"/>
      <c r="P210" s="73"/>
      <c r="Q210" s="74"/>
      <c r="R210" s="75"/>
      <c r="S210" s="69"/>
      <c r="T210" s="75"/>
      <c r="U210" s="67"/>
    </row>
    <row r="211" spans="2:21" x14ac:dyDescent="0.25">
      <c r="B211" s="67"/>
      <c r="C211" s="68"/>
      <c r="D211" s="68"/>
      <c r="E211" s="68"/>
      <c r="F211" s="67"/>
      <c r="G211" s="67"/>
      <c r="H211" s="69"/>
      <c r="I211" s="69"/>
      <c r="J211" s="70"/>
      <c r="K211" s="69"/>
      <c r="L211" s="69"/>
      <c r="M211" s="71"/>
      <c r="N211" s="72"/>
      <c r="O211" s="73"/>
      <c r="P211" s="73"/>
      <c r="Q211" s="74"/>
      <c r="R211" s="75"/>
      <c r="S211" s="69"/>
      <c r="T211" s="75"/>
      <c r="U211" s="67"/>
    </row>
    <row r="212" spans="2:21" x14ac:dyDescent="0.25">
      <c r="B212" s="67"/>
      <c r="C212" s="68"/>
      <c r="D212" s="68"/>
      <c r="E212" s="68"/>
      <c r="F212" s="67"/>
      <c r="G212" s="67"/>
      <c r="H212" s="69"/>
      <c r="I212" s="69"/>
      <c r="J212" s="70"/>
      <c r="K212" s="69"/>
      <c r="L212" s="69"/>
      <c r="M212" s="71"/>
      <c r="N212" s="72"/>
      <c r="O212" s="73"/>
      <c r="P212" s="73"/>
      <c r="Q212" s="74"/>
      <c r="R212" s="75"/>
      <c r="S212" s="69"/>
      <c r="T212" s="75"/>
      <c r="U212" s="67"/>
    </row>
    <row r="213" spans="2:21" x14ac:dyDescent="0.25">
      <c r="B213" s="67"/>
      <c r="C213" s="68"/>
      <c r="D213" s="68"/>
      <c r="E213" s="68"/>
      <c r="F213" s="67"/>
      <c r="G213" s="67"/>
      <c r="H213" s="69"/>
      <c r="I213" s="69"/>
      <c r="J213" s="70"/>
      <c r="K213" s="69"/>
      <c r="L213" s="69"/>
      <c r="M213" s="71"/>
      <c r="N213" s="72"/>
      <c r="O213" s="73"/>
      <c r="P213" s="73"/>
      <c r="Q213" s="74"/>
      <c r="R213" s="75"/>
      <c r="S213" s="69"/>
      <c r="T213" s="75"/>
      <c r="U213" s="67"/>
    </row>
    <row r="214" spans="2:21" x14ac:dyDescent="0.25">
      <c r="B214" s="67"/>
      <c r="C214" s="68"/>
      <c r="D214" s="68"/>
      <c r="E214" s="68"/>
      <c r="F214" s="67"/>
      <c r="G214" s="67"/>
      <c r="H214" s="69"/>
      <c r="I214" s="69"/>
      <c r="J214" s="70"/>
      <c r="K214" s="69"/>
      <c r="L214" s="69"/>
      <c r="M214" s="71"/>
      <c r="N214" s="72"/>
      <c r="O214" s="73"/>
      <c r="P214" s="73"/>
      <c r="Q214" s="74"/>
      <c r="R214" s="75"/>
      <c r="S214" s="69"/>
      <c r="T214" s="75"/>
      <c r="U214" s="67"/>
    </row>
    <row r="215" spans="2:21" x14ac:dyDescent="0.25">
      <c r="B215" s="67"/>
      <c r="C215" s="68"/>
      <c r="D215" s="68"/>
      <c r="E215" s="68"/>
      <c r="F215" s="67"/>
      <c r="G215" s="67"/>
      <c r="H215" s="69"/>
      <c r="I215" s="69"/>
      <c r="J215" s="70"/>
      <c r="K215" s="69"/>
      <c r="L215" s="69"/>
      <c r="M215" s="71"/>
      <c r="N215" s="72"/>
      <c r="O215" s="73"/>
      <c r="P215" s="73"/>
      <c r="Q215" s="74"/>
      <c r="R215" s="75"/>
      <c r="S215" s="69"/>
      <c r="T215" s="75"/>
      <c r="U215" s="67"/>
    </row>
    <row r="216" spans="2:21" x14ac:dyDescent="0.25">
      <c r="B216" s="67"/>
      <c r="C216" s="68"/>
      <c r="D216" s="68"/>
      <c r="E216" s="68"/>
      <c r="F216" s="67"/>
      <c r="G216" s="67"/>
      <c r="H216" s="69"/>
      <c r="I216" s="69"/>
      <c r="J216" s="70"/>
      <c r="K216" s="69"/>
      <c r="L216" s="69"/>
      <c r="M216" s="71"/>
      <c r="N216" s="72"/>
      <c r="O216" s="73"/>
      <c r="P216" s="73"/>
      <c r="Q216" s="74"/>
      <c r="R216" s="75"/>
      <c r="S216" s="69"/>
      <c r="T216" s="75"/>
      <c r="U216" s="67"/>
    </row>
    <row r="217" spans="2:21" x14ac:dyDescent="0.25">
      <c r="B217" s="67"/>
      <c r="C217" s="68"/>
      <c r="D217" s="68"/>
      <c r="E217" s="68"/>
      <c r="F217" s="67"/>
      <c r="G217" s="67"/>
      <c r="H217" s="69"/>
      <c r="I217" s="69"/>
      <c r="J217" s="70"/>
      <c r="K217" s="69"/>
      <c r="L217" s="69"/>
      <c r="M217" s="71"/>
      <c r="N217" s="72"/>
      <c r="O217" s="73"/>
      <c r="P217" s="73"/>
      <c r="Q217" s="74"/>
      <c r="R217" s="75"/>
      <c r="S217" s="69"/>
      <c r="T217" s="75"/>
      <c r="U217" s="67"/>
    </row>
    <row r="218" spans="2:21" x14ac:dyDescent="0.25">
      <c r="B218" s="67"/>
      <c r="C218" s="68"/>
      <c r="D218" s="68"/>
      <c r="E218" s="68"/>
      <c r="F218" s="67"/>
      <c r="G218" s="67"/>
      <c r="H218" s="69"/>
      <c r="I218" s="69"/>
      <c r="J218" s="70"/>
      <c r="K218" s="69"/>
      <c r="L218" s="69"/>
      <c r="M218" s="71"/>
      <c r="N218" s="72"/>
      <c r="O218" s="73"/>
      <c r="P218" s="73"/>
      <c r="Q218" s="74"/>
      <c r="R218" s="75"/>
      <c r="S218" s="69"/>
      <c r="T218" s="75"/>
      <c r="U218" s="67"/>
    </row>
    <row r="219" spans="2:21" x14ac:dyDescent="0.25">
      <c r="B219" s="67"/>
      <c r="C219" s="68"/>
      <c r="D219" s="68"/>
      <c r="E219" s="68"/>
      <c r="F219" s="67"/>
      <c r="G219" s="67"/>
      <c r="H219" s="69"/>
      <c r="I219" s="69"/>
      <c r="J219" s="70"/>
      <c r="K219" s="69"/>
      <c r="L219" s="69"/>
      <c r="M219" s="71"/>
      <c r="N219" s="72"/>
      <c r="O219" s="73"/>
      <c r="P219" s="73"/>
      <c r="Q219" s="74"/>
      <c r="R219" s="75"/>
      <c r="S219" s="69"/>
      <c r="T219" s="75"/>
      <c r="U219" s="67"/>
    </row>
    <row r="220" spans="2:21" x14ac:dyDescent="0.25">
      <c r="B220" s="67"/>
      <c r="C220" s="68"/>
      <c r="D220" s="68"/>
      <c r="E220" s="68"/>
      <c r="F220" s="67"/>
      <c r="G220" s="67"/>
      <c r="H220" s="69"/>
      <c r="I220" s="69"/>
      <c r="J220" s="70"/>
      <c r="K220" s="69"/>
      <c r="L220" s="69"/>
      <c r="M220" s="71"/>
      <c r="N220" s="72"/>
      <c r="O220" s="73"/>
      <c r="P220" s="73"/>
      <c r="Q220" s="74"/>
      <c r="R220" s="75"/>
      <c r="S220" s="69"/>
      <c r="T220" s="75"/>
      <c r="U220" s="67"/>
    </row>
    <row r="221" spans="2:21" x14ac:dyDescent="0.25">
      <c r="B221" s="67"/>
      <c r="C221" s="68"/>
      <c r="D221" s="68"/>
      <c r="E221" s="68"/>
      <c r="F221" s="67"/>
      <c r="G221" s="67"/>
      <c r="H221" s="69"/>
      <c r="I221" s="69"/>
      <c r="J221" s="70"/>
      <c r="K221" s="69"/>
      <c r="L221" s="69"/>
      <c r="M221" s="71"/>
      <c r="N221" s="72"/>
      <c r="O221" s="73"/>
      <c r="P221" s="73"/>
      <c r="Q221" s="74"/>
      <c r="R221" s="75"/>
      <c r="S221" s="69"/>
      <c r="T221" s="75"/>
      <c r="U221" s="67"/>
    </row>
    <row r="222" spans="2:21" x14ac:dyDescent="0.25">
      <c r="B222" s="67"/>
      <c r="C222" s="68"/>
      <c r="D222" s="68"/>
      <c r="E222" s="68"/>
      <c r="F222" s="67"/>
      <c r="G222" s="67"/>
      <c r="H222" s="69"/>
      <c r="I222" s="69"/>
      <c r="J222" s="70"/>
      <c r="K222" s="69"/>
      <c r="L222" s="69"/>
      <c r="M222" s="71"/>
      <c r="N222" s="72"/>
      <c r="O222" s="73"/>
      <c r="P222" s="73"/>
      <c r="Q222" s="74"/>
      <c r="R222" s="75"/>
      <c r="S222" s="69"/>
      <c r="T222" s="75"/>
      <c r="U222" s="67"/>
    </row>
    <row r="223" spans="2:21" x14ac:dyDescent="0.25">
      <c r="B223" s="67"/>
      <c r="C223" s="68"/>
      <c r="D223" s="68"/>
      <c r="E223" s="68"/>
      <c r="F223" s="67"/>
      <c r="G223" s="67"/>
      <c r="H223" s="69"/>
      <c r="I223" s="69"/>
      <c r="J223" s="70"/>
      <c r="K223" s="69"/>
      <c r="L223" s="69"/>
      <c r="M223" s="71"/>
      <c r="N223" s="72"/>
      <c r="O223" s="73"/>
      <c r="P223" s="73"/>
      <c r="Q223" s="74"/>
      <c r="R223" s="75"/>
      <c r="S223" s="69"/>
      <c r="T223" s="75"/>
      <c r="U223" s="67"/>
    </row>
    <row r="224" spans="2:21" x14ac:dyDescent="0.25">
      <c r="B224" s="67"/>
      <c r="C224" s="68"/>
      <c r="D224" s="68"/>
      <c r="E224" s="68"/>
      <c r="F224" s="67"/>
      <c r="G224" s="67"/>
      <c r="H224" s="69"/>
      <c r="I224" s="69"/>
      <c r="J224" s="70"/>
      <c r="K224" s="69"/>
      <c r="L224" s="69"/>
      <c r="M224" s="71"/>
      <c r="N224" s="72"/>
      <c r="O224" s="73"/>
      <c r="P224" s="73"/>
      <c r="Q224" s="74"/>
      <c r="R224" s="75"/>
      <c r="S224" s="69"/>
      <c r="T224" s="75"/>
      <c r="U224" s="67"/>
    </row>
    <row r="225" spans="2:21" x14ac:dyDescent="0.25">
      <c r="B225" s="67"/>
      <c r="C225" s="68"/>
      <c r="D225" s="68"/>
      <c r="E225" s="68"/>
      <c r="F225" s="67"/>
      <c r="G225" s="67"/>
      <c r="H225" s="69"/>
      <c r="I225" s="69"/>
      <c r="J225" s="70"/>
      <c r="K225" s="69"/>
      <c r="L225" s="69"/>
      <c r="M225" s="71"/>
      <c r="N225" s="72"/>
      <c r="O225" s="73"/>
      <c r="P225" s="73"/>
      <c r="Q225" s="74"/>
      <c r="R225" s="75"/>
      <c r="S225" s="69"/>
      <c r="T225" s="75"/>
      <c r="U225" s="67"/>
    </row>
    <row r="226" spans="2:21" x14ac:dyDescent="0.25">
      <c r="B226" s="67"/>
      <c r="C226" s="68"/>
      <c r="D226" s="68"/>
      <c r="E226" s="68"/>
      <c r="F226" s="67"/>
      <c r="G226" s="67"/>
      <c r="H226" s="69"/>
      <c r="I226" s="69"/>
      <c r="J226" s="70"/>
      <c r="K226" s="69"/>
      <c r="L226" s="69"/>
      <c r="M226" s="71"/>
      <c r="N226" s="72"/>
      <c r="O226" s="73"/>
      <c r="P226" s="73"/>
      <c r="Q226" s="74"/>
      <c r="R226" s="75"/>
      <c r="S226" s="69"/>
      <c r="T226" s="75"/>
      <c r="U226" s="67"/>
    </row>
    <row r="227" spans="2:21" x14ac:dyDescent="0.25">
      <c r="B227" s="67"/>
      <c r="C227" s="68"/>
      <c r="D227" s="68"/>
      <c r="E227" s="68"/>
      <c r="F227" s="67"/>
      <c r="G227" s="67"/>
      <c r="H227" s="69"/>
      <c r="I227" s="69"/>
      <c r="J227" s="70"/>
      <c r="K227" s="69"/>
      <c r="L227" s="69"/>
      <c r="M227" s="71"/>
      <c r="N227" s="72"/>
      <c r="O227" s="73"/>
      <c r="P227" s="73"/>
      <c r="Q227" s="74"/>
      <c r="R227" s="75"/>
      <c r="S227" s="69"/>
      <c r="T227" s="75"/>
      <c r="U227" s="67"/>
    </row>
    <row r="228" spans="2:21" x14ac:dyDescent="0.25">
      <c r="B228" s="67"/>
      <c r="C228" s="68"/>
      <c r="D228" s="68"/>
      <c r="E228" s="68"/>
      <c r="F228" s="67"/>
      <c r="G228" s="67"/>
      <c r="H228" s="69"/>
      <c r="I228" s="69"/>
      <c r="J228" s="70"/>
      <c r="K228" s="69"/>
      <c r="L228" s="69"/>
      <c r="M228" s="71"/>
      <c r="N228" s="72"/>
      <c r="O228" s="73"/>
      <c r="P228" s="73"/>
      <c r="Q228" s="74"/>
      <c r="R228" s="75"/>
      <c r="S228" s="69"/>
      <c r="T228" s="75"/>
      <c r="U228" s="67"/>
    </row>
    <row r="229" spans="2:21" x14ac:dyDescent="0.25">
      <c r="B229" s="67"/>
      <c r="C229" s="68"/>
      <c r="D229" s="68"/>
      <c r="E229" s="68"/>
      <c r="F229" s="67"/>
      <c r="G229" s="67"/>
      <c r="H229" s="69"/>
      <c r="I229" s="69"/>
      <c r="J229" s="70"/>
      <c r="K229" s="69"/>
      <c r="L229" s="69"/>
      <c r="M229" s="71"/>
      <c r="N229" s="72"/>
      <c r="O229" s="73"/>
      <c r="P229" s="73"/>
      <c r="Q229" s="74"/>
      <c r="R229" s="75"/>
      <c r="S229" s="69"/>
      <c r="T229" s="75"/>
      <c r="U229" s="67"/>
    </row>
    <row r="230" spans="2:21" x14ac:dyDescent="0.25">
      <c r="B230" s="67"/>
      <c r="C230" s="68"/>
      <c r="D230" s="68"/>
      <c r="E230" s="68"/>
      <c r="F230" s="67"/>
      <c r="G230" s="67"/>
      <c r="H230" s="69"/>
      <c r="I230" s="69"/>
      <c r="J230" s="70"/>
      <c r="K230" s="69"/>
      <c r="L230" s="69"/>
      <c r="M230" s="71"/>
      <c r="N230" s="72"/>
      <c r="O230" s="73"/>
      <c r="P230" s="73"/>
      <c r="Q230" s="74"/>
      <c r="R230" s="75"/>
      <c r="S230" s="69"/>
      <c r="T230" s="75"/>
      <c r="U230" s="67"/>
    </row>
    <row r="231" spans="2:21" x14ac:dyDescent="0.25">
      <c r="B231" s="67"/>
      <c r="C231" s="68"/>
      <c r="D231" s="68"/>
      <c r="E231" s="68"/>
      <c r="F231" s="67"/>
      <c r="G231" s="67"/>
      <c r="H231" s="69"/>
      <c r="I231" s="69"/>
      <c r="J231" s="70"/>
      <c r="K231" s="69"/>
      <c r="L231" s="69"/>
      <c r="M231" s="71"/>
      <c r="N231" s="72"/>
      <c r="O231" s="73"/>
      <c r="P231" s="73"/>
      <c r="Q231" s="74"/>
      <c r="R231" s="75"/>
      <c r="S231" s="69"/>
      <c r="T231" s="75"/>
      <c r="U231" s="67"/>
    </row>
    <row r="232" spans="2:21" x14ac:dyDescent="0.25">
      <c r="B232" s="67"/>
      <c r="C232" s="68"/>
      <c r="D232" s="68"/>
      <c r="E232" s="68"/>
      <c r="F232" s="67"/>
      <c r="G232" s="67"/>
      <c r="H232" s="69"/>
      <c r="I232" s="69"/>
      <c r="J232" s="70"/>
      <c r="K232" s="69"/>
      <c r="L232" s="69"/>
      <c r="M232" s="71"/>
      <c r="N232" s="72"/>
      <c r="O232" s="73"/>
      <c r="P232" s="73"/>
      <c r="Q232" s="74"/>
      <c r="R232" s="75"/>
      <c r="S232" s="69"/>
      <c r="T232" s="75"/>
      <c r="U232" s="67"/>
    </row>
    <row r="233" spans="2:21" x14ac:dyDescent="0.25">
      <c r="B233" s="67"/>
      <c r="C233" s="68"/>
      <c r="D233" s="68"/>
      <c r="E233" s="68"/>
      <c r="F233" s="67"/>
      <c r="G233" s="67"/>
      <c r="H233" s="69"/>
      <c r="I233" s="69"/>
      <c r="J233" s="70"/>
      <c r="K233" s="69"/>
      <c r="L233" s="69"/>
      <c r="M233" s="71"/>
      <c r="N233" s="72"/>
      <c r="O233" s="73"/>
      <c r="P233" s="73"/>
      <c r="Q233" s="74"/>
      <c r="R233" s="75"/>
      <c r="S233" s="69"/>
      <c r="T233" s="75"/>
      <c r="U233" s="67"/>
    </row>
    <row r="234" spans="2:21" x14ac:dyDescent="0.25">
      <c r="B234" s="67"/>
      <c r="C234" s="68"/>
      <c r="D234" s="68"/>
      <c r="E234" s="68"/>
      <c r="F234" s="67"/>
      <c r="G234" s="67"/>
      <c r="H234" s="69"/>
      <c r="I234" s="69"/>
      <c r="J234" s="70"/>
      <c r="K234" s="69"/>
      <c r="L234" s="69"/>
      <c r="M234" s="71"/>
      <c r="N234" s="72"/>
      <c r="O234" s="73"/>
      <c r="P234" s="73"/>
      <c r="Q234" s="74"/>
      <c r="R234" s="75"/>
      <c r="S234" s="69"/>
      <c r="T234" s="75"/>
      <c r="U234" s="67"/>
    </row>
    <row r="235" spans="2:21" x14ac:dyDescent="0.25">
      <c r="B235" s="67"/>
      <c r="C235" s="68"/>
      <c r="D235" s="68"/>
      <c r="E235" s="68"/>
      <c r="F235" s="67"/>
      <c r="G235" s="67"/>
      <c r="H235" s="69"/>
      <c r="I235" s="69"/>
      <c r="J235" s="70"/>
      <c r="K235" s="69"/>
      <c r="L235" s="69"/>
      <c r="M235" s="71"/>
      <c r="N235" s="72"/>
      <c r="O235" s="73"/>
      <c r="P235" s="73"/>
      <c r="Q235" s="74"/>
      <c r="R235" s="75"/>
      <c r="S235" s="69"/>
      <c r="T235" s="75"/>
      <c r="U235" s="67"/>
    </row>
    <row r="236" spans="2:21" x14ac:dyDescent="0.25">
      <c r="B236" s="67"/>
      <c r="C236" s="68"/>
      <c r="D236" s="68"/>
      <c r="E236" s="68"/>
      <c r="F236" s="67"/>
      <c r="G236" s="67"/>
      <c r="H236" s="69"/>
      <c r="I236" s="69"/>
      <c r="J236" s="70"/>
      <c r="K236" s="69"/>
      <c r="L236" s="69"/>
      <c r="M236" s="71"/>
      <c r="N236" s="72"/>
      <c r="O236" s="73"/>
      <c r="P236" s="73"/>
      <c r="Q236" s="74"/>
      <c r="R236" s="75"/>
      <c r="S236" s="69"/>
      <c r="T236" s="75"/>
      <c r="U236" s="67"/>
    </row>
    <row r="237" spans="2:21" x14ac:dyDescent="0.25">
      <c r="B237" s="67"/>
      <c r="C237" s="68"/>
      <c r="D237" s="68"/>
      <c r="E237" s="68"/>
      <c r="F237" s="67"/>
      <c r="G237" s="67"/>
      <c r="H237" s="69"/>
      <c r="I237" s="69"/>
      <c r="J237" s="70"/>
      <c r="K237" s="69"/>
      <c r="L237" s="69"/>
      <c r="M237" s="71"/>
      <c r="N237" s="72"/>
      <c r="O237" s="73"/>
      <c r="P237" s="73"/>
      <c r="Q237" s="74"/>
      <c r="R237" s="75"/>
      <c r="S237" s="69"/>
      <c r="T237" s="75"/>
      <c r="U237" s="67"/>
    </row>
    <row r="238" spans="2:21" x14ac:dyDescent="0.25">
      <c r="B238" s="67"/>
      <c r="C238" s="68"/>
      <c r="D238" s="68"/>
      <c r="E238" s="68"/>
      <c r="F238" s="67"/>
      <c r="G238" s="67"/>
      <c r="H238" s="69"/>
      <c r="I238" s="69"/>
      <c r="J238" s="70"/>
      <c r="K238" s="69"/>
      <c r="L238" s="69"/>
      <c r="M238" s="71"/>
      <c r="N238" s="72"/>
      <c r="O238" s="73"/>
      <c r="P238" s="73"/>
      <c r="Q238" s="74"/>
      <c r="R238" s="75"/>
      <c r="S238" s="69"/>
      <c r="T238" s="75"/>
      <c r="U238" s="67"/>
    </row>
    <row r="239" spans="2:21" x14ac:dyDescent="0.25">
      <c r="B239" s="67"/>
      <c r="C239" s="68"/>
      <c r="D239" s="68"/>
      <c r="E239" s="68"/>
      <c r="F239" s="67"/>
      <c r="G239" s="67"/>
      <c r="H239" s="69"/>
      <c r="I239" s="69"/>
      <c r="J239" s="70"/>
      <c r="K239" s="69"/>
      <c r="L239" s="69"/>
      <c r="M239" s="71"/>
      <c r="N239" s="72"/>
      <c r="O239" s="73"/>
      <c r="P239" s="73"/>
      <c r="Q239" s="74"/>
      <c r="R239" s="75"/>
      <c r="S239" s="69"/>
      <c r="T239" s="75"/>
      <c r="U239" s="67"/>
    </row>
    <row r="240" spans="2:21" x14ac:dyDescent="0.25">
      <c r="B240" s="67"/>
      <c r="C240" s="68"/>
      <c r="D240" s="68"/>
      <c r="E240" s="68"/>
      <c r="F240" s="67"/>
      <c r="G240" s="67"/>
      <c r="H240" s="69"/>
      <c r="I240" s="69"/>
      <c r="J240" s="70"/>
      <c r="K240" s="69"/>
      <c r="L240" s="69"/>
      <c r="M240" s="71"/>
      <c r="N240" s="72"/>
      <c r="O240" s="73"/>
      <c r="P240" s="73"/>
      <c r="Q240" s="74"/>
      <c r="R240" s="75"/>
      <c r="S240" s="69"/>
      <c r="T240" s="75"/>
      <c r="U240" s="67"/>
    </row>
    <row r="241" spans="2:21" x14ac:dyDescent="0.25">
      <c r="B241" s="67"/>
      <c r="C241" s="68"/>
      <c r="D241" s="68"/>
      <c r="E241" s="68"/>
      <c r="F241" s="67"/>
      <c r="G241" s="67"/>
      <c r="H241" s="69"/>
      <c r="I241" s="69"/>
      <c r="J241" s="70"/>
      <c r="K241" s="69"/>
      <c r="L241" s="69"/>
      <c r="M241" s="71"/>
      <c r="N241" s="72"/>
      <c r="O241" s="73"/>
      <c r="P241" s="73"/>
      <c r="Q241" s="74"/>
      <c r="R241" s="75"/>
      <c r="S241" s="69"/>
      <c r="T241" s="75"/>
      <c r="U241" s="67"/>
    </row>
    <row r="242" spans="2:21" x14ac:dyDescent="0.25">
      <c r="B242" s="67"/>
      <c r="C242" s="68"/>
      <c r="D242" s="68"/>
      <c r="E242" s="68"/>
      <c r="F242" s="67"/>
      <c r="G242" s="67"/>
      <c r="H242" s="69"/>
      <c r="I242" s="69"/>
      <c r="J242" s="70"/>
      <c r="K242" s="69"/>
      <c r="L242" s="69"/>
      <c r="M242" s="71"/>
      <c r="N242" s="72"/>
      <c r="O242" s="73"/>
      <c r="P242" s="73"/>
      <c r="Q242" s="74"/>
      <c r="R242" s="75"/>
      <c r="S242" s="69"/>
      <c r="T242" s="75"/>
      <c r="U242" s="67"/>
    </row>
    <row r="243" spans="2:21" x14ac:dyDescent="0.25">
      <c r="B243" s="67"/>
      <c r="C243" s="68"/>
      <c r="D243" s="68"/>
      <c r="E243" s="68"/>
      <c r="F243" s="67"/>
      <c r="G243" s="67"/>
      <c r="H243" s="69"/>
      <c r="I243" s="69"/>
      <c r="J243" s="70"/>
      <c r="K243" s="69"/>
      <c r="L243" s="69"/>
      <c r="M243" s="71"/>
      <c r="N243" s="72"/>
      <c r="O243" s="73"/>
      <c r="P243" s="73"/>
      <c r="Q243" s="74"/>
      <c r="R243" s="75"/>
      <c r="S243" s="69"/>
      <c r="T243" s="75"/>
      <c r="U243" s="67"/>
    </row>
    <row r="244" spans="2:21" x14ac:dyDescent="0.25">
      <c r="B244" s="67"/>
      <c r="C244" s="68"/>
      <c r="D244" s="68"/>
      <c r="E244" s="68"/>
      <c r="F244" s="67"/>
      <c r="G244" s="67"/>
      <c r="H244" s="69"/>
      <c r="I244" s="69"/>
      <c r="J244" s="70"/>
      <c r="K244" s="69"/>
      <c r="L244" s="69"/>
      <c r="M244" s="71"/>
      <c r="N244" s="72"/>
      <c r="O244" s="73"/>
      <c r="P244" s="73"/>
      <c r="Q244" s="74"/>
      <c r="R244" s="75"/>
      <c r="S244" s="69"/>
      <c r="T244" s="75"/>
      <c r="U244" s="67"/>
    </row>
    <row r="245" spans="2:21" x14ac:dyDescent="0.25">
      <c r="B245" s="67"/>
      <c r="C245" s="68"/>
      <c r="D245" s="68"/>
      <c r="E245" s="68"/>
      <c r="F245" s="67"/>
      <c r="G245" s="67"/>
      <c r="H245" s="69"/>
      <c r="I245" s="69"/>
      <c r="J245" s="70"/>
      <c r="K245" s="69"/>
      <c r="L245" s="69"/>
      <c r="M245" s="71"/>
      <c r="N245" s="72"/>
      <c r="O245" s="73"/>
      <c r="P245" s="73"/>
      <c r="Q245" s="74"/>
      <c r="R245" s="75"/>
      <c r="S245" s="69"/>
      <c r="T245" s="75"/>
      <c r="U245" s="67"/>
    </row>
    <row r="246" spans="2:21" x14ac:dyDescent="0.25">
      <c r="B246" s="67"/>
      <c r="C246" s="68"/>
      <c r="D246" s="68"/>
      <c r="E246" s="68"/>
      <c r="F246" s="67"/>
      <c r="G246" s="67"/>
      <c r="H246" s="69"/>
      <c r="I246" s="69"/>
      <c r="J246" s="70"/>
      <c r="K246" s="69"/>
      <c r="L246" s="69"/>
      <c r="M246" s="71"/>
      <c r="N246" s="72"/>
      <c r="O246" s="73"/>
      <c r="P246" s="73"/>
      <c r="Q246" s="74"/>
      <c r="R246" s="75"/>
      <c r="S246" s="69"/>
      <c r="T246" s="75"/>
      <c r="U246" s="67"/>
    </row>
    <row r="247" spans="2:21" x14ac:dyDescent="0.25">
      <c r="B247" s="67"/>
      <c r="C247" s="68"/>
      <c r="D247" s="68"/>
      <c r="E247" s="68"/>
      <c r="F247" s="67"/>
      <c r="G247" s="67"/>
      <c r="H247" s="69"/>
      <c r="I247" s="69"/>
      <c r="J247" s="70"/>
      <c r="K247" s="69"/>
      <c r="L247" s="69"/>
      <c r="M247" s="71"/>
      <c r="N247" s="72"/>
      <c r="O247" s="73"/>
      <c r="P247" s="73"/>
      <c r="Q247" s="74"/>
      <c r="R247" s="75"/>
      <c r="S247" s="69"/>
      <c r="T247" s="75"/>
      <c r="U247" s="67"/>
    </row>
    <row r="248" spans="2:21" x14ac:dyDescent="0.25">
      <c r="B248" s="67"/>
      <c r="C248" s="68"/>
      <c r="D248" s="68"/>
      <c r="E248" s="68"/>
      <c r="F248" s="67"/>
      <c r="G248" s="67"/>
      <c r="H248" s="69"/>
      <c r="I248" s="69"/>
      <c r="J248" s="70"/>
      <c r="K248" s="69"/>
      <c r="L248" s="69"/>
      <c r="M248" s="71"/>
      <c r="N248" s="72"/>
      <c r="O248" s="73"/>
      <c r="P248" s="73"/>
      <c r="Q248" s="74"/>
      <c r="R248" s="75"/>
      <c r="S248" s="69"/>
      <c r="T248" s="75"/>
      <c r="U248" s="67"/>
    </row>
    <row r="249" spans="2:21" x14ac:dyDescent="0.25">
      <c r="B249" s="67"/>
      <c r="C249" s="68"/>
      <c r="D249" s="68"/>
      <c r="E249" s="68"/>
      <c r="F249" s="67"/>
      <c r="G249" s="67"/>
      <c r="H249" s="69"/>
      <c r="I249" s="69"/>
      <c r="J249" s="70"/>
      <c r="K249" s="69"/>
      <c r="L249" s="69"/>
      <c r="M249" s="71"/>
      <c r="N249" s="72"/>
      <c r="O249" s="73"/>
      <c r="P249" s="73"/>
      <c r="Q249" s="74"/>
      <c r="R249" s="75"/>
      <c r="S249" s="69"/>
      <c r="T249" s="75"/>
      <c r="U249" s="67"/>
    </row>
    <row r="250" spans="2:21" x14ac:dyDescent="0.25">
      <c r="B250" s="67"/>
      <c r="C250" s="68"/>
      <c r="D250" s="68"/>
      <c r="E250" s="68"/>
      <c r="F250" s="67"/>
      <c r="G250" s="67"/>
      <c r="H250" s="69"/>
      <c r="I250" s="69"/>
      <c r="J250" s="70"/>
      <c r="K250" s="69"/>
      <c r="L250" s="69"/>
      <c r="M250" s="71"/>
      <c r="N250" s="72"/>
      <c r="O250" s="73"/>
      <c r="P250" s="73"/>
      <c r="Q250" s="74"/>
      <c r="R250" s="75"/>
      <c r="S250" s="69"/>
      <c r="T250" s="75"/>
      <c r="U250" s="67"/>
    </row>
    <row r="251" spans="2:21" x14ac:dyDescent="0.25">
      <c r="B251" s="67"/>
      <c r="C251" s="68"/>
      <c r="D251" s="68"/>
      <c r="E251" s="68"/>
      <c r="F251" s="67"/>
      <c r="G251" s="67"/>
      <c r="H251" s="69"/>
      <c r="I251" s="69"/>
      <c r="J251" s="70"/>
      <c r="K251" s="69"/>
      <c r="L251" s="69"/>
      <c r="M251" s="71"/>
      <c r="N251" s="72"/>
      <c r="O251" s="73"/>
      <c r="P251" s="73"/>
      <c r="Q251" s="74"/>
      <c r="R251" s="75"/>
      <c r="S251" s="69"/>
      <c r="T251" s="75"/>
      <c r="U251" s="67"/>
    </row>
    <row r="252" spans="2:21" x14ac:dyDescent="0.25">
      <c r="B252" s="67"/>
      <c r="C252" s="68"/>
      <c r="D252" s="68"/>
      <c r="E252" s="68"/>
      <c r="F252" s="67"/>
      <c r="G252" s="67"/>
      <c r="H252" s="69"/>
      <c r="I252" s="69"/>
      <c r="J252" s="70"/>
      <c r="K252" s="69"/>
      <c r="L252" s="69"/>
      <c r="M252" s="71"/>
      <c r="N252" s="72"/>
      <c r="O252" s="73"/>
      <c r="P252" s="73"/>
      <c r="Q252" s="74"/>
      <c r="R252" s="75"/>
      <c r="S252" s="69"/>
      <c r="T252" s="75"/>
      <c r="U252" s="67"/>
    </row>
    <row r="253" spans="2:21" x14ac:dyDescent="0.25">
      <c r="B253" s="67"/>
      <c r="C253" s="68"/>
      <c r="D253" s="68"/>
      <c r="E253" s="68"/>
      <c r="F253" s="67"/>
      <c r="G253" s="67"/>
      <c r="H253" s="69"/>
      <c r="I253" s="69"/>
      <c r="J253" s="70"/>
      <c r="K253" s="69"/>
      <c r="L253" s="69"/>
      <c r="M253" s="71"/>
      <c r="N253" s="72"/>
      <c r="O253" s="73"/>
      <c r="P253" s="73"/>
      <c r="Q253" s="74"/>
      <c r="R253" s="75"/>
      <c r="S253" s="69"/>
      <c r="T253" s="75"/>
      <c r="U253" s="67"/>
    </row>
    <row r="254" spans="2:21" x14ac:dyDescent="0.25">
      <c r="B254" s="67"/>
      <c r="C254" s="68"/>
      <c r="D254" s="68"/>
      <c r="E254" s="68"/>
      <c r="F254" s="67"/>
      <c r="G254" s="67"/>
      <c r="H254" s="69"/>
      <c r="I254" s="69"/>
      <c r="J254" s="70"/>
      <c r="K254" s="69"/>
      <c r="L254" s="69"/>
      <c r="M254" s="71"/>
      <c r="N254" s="72"/>
      <c r="O254" s="73"/>
      <c r="P254" s="73"/>
      <c r="Q254" s="74"/>
      <c r="R254" s="75"/>
      <c r="S254" s="69"/>
      <c r="T254" s="75"/>
      <c r="U254" s="67"/>
    </row>
    <row r="255" spans="2:21" x14ac:dyDescent="0.25">
      <c r="B255" s="67"/>
      <c r="C255" s="68"/>
      <c r="D255" s="68"/>
      <c r="E255" s="68"/>
      <c r="F255" s="67"/>
      <c r="G255" s="67"/>
      <c r="H255" s="69"/>
      <c r="I255" s="69"/>
      <c r="J255" s="70"/>
      <c r="K255" s="69"/>
      <c r="L255" s="69"/>
      <c r="M255" s="71"/>
      <c r="N255" s="72"/>
      <c r="O255" s="73"/>
      <c r="P255" s="73"/>
      <c r="Q255" s="74"/>
      <c r="R255" s="75"/>
      <c r="S255" s="69"/>
      <c r="T255" s="75"/>
      <c r="U255" s="67"/>
    </row>
    <row r="256" spans="2:21" x14ac:dyDescent="0.25">
      <c r="B256" s="67"/>
      <c r="C256" s="68"/>
      <c r="D256" s="68"/>
      <c r="E256" s="68"/>
      <c r="F256" s="67"/>
      <c r="G256" s="67"/>
      <c r="H256" s="69"/>
      <c r="I256" s="69"/>
      <c r="J256" s="70"/>
      <c r="K256" s="69"/>
      <c r="L256" s="69"/>
      <c r="M256" s="71"/>
      <c r="N256" s="72"/>
      <c r="O256" s="73"/>
      <c r="P256" s="73"/>
      <c r="Q256" s="74"/>
      <c r="R256" s="75"/>
      <c r="S256" s="69"/>
      <c r="T256" s="75"/>
      <c r="U256" s="67"/>
    </row>
    <row r="257" spans="2:21" x14ac:dyDescent="0.25">
      <c r="B257" s="67"/>
      <c r="C257" s="68"/>
      <c r="D257" s="68"/>
      <c r="E257" s="68"/>
      <c r="F257" s="67"/>
      <c r="G257" s="67"/>
      <c r="H257" s="69"/>
      <c r="I257" s="69"/>
      <c r="J257" s="70"/>
      <c r="K257" s="69"/>
      <c r="L257" s="69"/>
      <c r="M257" s="71"/>
      <c r="N257" s="72"/>
      <c r="O257" s="73"/>
      <c r="P257" s="73"/>
      <c r="Q257" s="74"/>
      <c r="R257" s="75"/>
      <c r="S257" s="69"/>
      <c r="T257" s="75"/>
      <c r="U257" s="67"/>
    </row>
    <row r="258" spans="2:21" x14ac:dyDescent="0.25">
      <c r="B258" s="67"/>
      <c r="C258" s="68"/>
      <c r="D258" s="68"/>
      <c r="E258" s="68"/>
      <c r="F258" s="67"/>
      <c r="G258" s="67"/>
      <c r="H258" s="69"/>
      <c r="I258" s="69"/>
      <c r="J258" s="70"/>
      <c r="K258" s="69"/>
      <c r="L258" s="69"/>
      <c r="M258" s="71"/>
      <c r="N258" s="72"/>
      <c r="O258" s="73"/>
      <c r="P258" s="73"/>
      <c r="Q258" s="74"/>
      <c r="R258" s="75"/>
      <c r="S258" s="69"/>
      <c r="T258" s="75"/>
      <c r="U258" s="67"/>
    </row>
    <row r="259" spans="2:21" x14ac:dyDescent="0.25">
      <c r="B259" s="67"/>
      <c r="C259" s="68"/>
      <c r="D259" s="68"/>
      <c r="E259" s="68"/>
      <c r="F259" s="67"/>
      <c r="G259" s="67"/>
      <c r="H259" s="69"/>
      <c r="I259" s="69"/>
      <c r="J259" s="70"/>
      <c r="K259" s="69"/>
      <c r="L259" s="69"/>
      <c r="M259" s="71"/>
      <c r="N259" s="72"/>
      <c r="O259" s="73"/>
      <c r="P259" s="73"/>
      <c r="Q259" s="74"/>
      <c r="R259" s="75"/>
      <c r="S259" s="69"/>
      <c r="T259" s="75"/>
      <c r="U259" s="67"/>
    </row>
    <row r="260" spans="2:21" x14ac:dyDescent="0.25">
      <c r="B260" s="67"/>
      <c r="C260" s="68"/>
      <c r="D260" s="68"/>
      <c r="E260" s="68"/>
      <c r="F260" s="67"/>
      <c r="G260" s="67"/>
      <c r="H260" s="69"/>
      <c r="I260" s="69"/>
      <c r="J260" s="70"/>
      <c r="K260" s="69"/>
      <c r="L260" s="69"/>
      <c r="M260" s="71"/>
      <c r="N260" s="72"/>
      <c r="O260" s="73"/>
      <c r="P260" s="73"/>
      <c r="Q260" s="74"/>
      <c r="R260" s="75"/>
      <c r="S260" s="69"/>
      <c r="T260" s="75"/>
      <c r="U260" s="67"/>
    </row>
    <row r="261" spans="2:21" x14ac:dyDescent="0.25">
      <c r="B261" s="67"/>
      <c r="C261" s="68"/>
      <c r="D261" s="68"/>
      <c r="E261" s="68"/>
      <c r="F261" s="67"/>
      <c r="G261" s="67"/>
      <c r="H261" s="69"/>
      <c r="I261" s="69"/>
      <c r="J261" s="70"/>
      <c r="K261" s="69"/>
      <c r="L261" s="69"/>
      <c r="M261" s="71"/>
      <c r="N261" s="72"/>
      <c r="O261" s="73"/>
      <c r="P261" s="73"/>
      <c r="Q261" s="74"/>
      <c r="R261" s="75"/>
      <c r="S261" s="69"/>
      <c r="T261" s="75"/>
      <c r="U261" s="67"/>
    </row>
    <row r="262" spans="2:21" x14ac:dyDescent="0.25">
      <c r="B262" s="67"/>
      <c r="C262" s="68"/>
      <c r="D262" s="68"/>
      <c r="E262" s="68"/>
      <c r="F262" s="67"/>
      <c r="G262" s="67"/>
      <c r="H262" s="69"/>
      <c r="I262" s="69"/>
      <c r="J262" s="70"/>
      <c r="K262" s="69"/>
      <c r="L262" s="69"/>
      <c r="M262" s="71"/>
      <c r="N262" s="72"/>
      <c r="O262" s="73"/>
      <c r="P262" s="73"/>
      <c r="Q262" s="74"/>
      <c r="R262" s="75"/>
      <c r="S262" s="69"/>
      <c r="T262" s="75"/>
      <c r="U262" s="67"/>
    </row>
    <row r="263" spans="2:21" x14ac:dyDescent="0.25">
      <c r="B263" s="67"/>
      <c r="C263" s="68"/>
      <c r="D263" s="68"/>
      <c r="E263" s="68"/>
      <c r="F263" s="67"/>
      <c r="G263" s="67"/>
      <c r="H263" s="69"/>
      <c r="I263" s="69"/>
      <c r="J263" s="70"/>
      <c r="K263" s="69"/>
      <c r="L263" s="69"/>
      <c r="M263" s="71"/>
      <c r="N263" s="72"/>
      <c r="O263" s="73"/>
      <c r="P263" s="73"/>
      <c r="Q263" s="74"/>
      <c r="R263" s="75"/>
      <c r="S263" s="69"/>
      <c r="T263" s="75"/>
      <c r="U263" s="67"/>
    </row>
    <row r="264" spans="2:21" x14ac:dyDescent="0.25">
      <c r="B264" s="67"/>
      <c r="C264" s="68"/>
      <c r="D264" s="68"/>
      <c r="E264" s="68"/>
      <c r="F264" s="67"/>
      <c r="G264" s="67"/>
      <c r="H264" s="69"/>
      <c r="I264" s="69"/>
      <c r="J264" s="70"/>
      <c r="K264" s="69"/>
      <c r="L264" s="69"/>
      <c r="M264" s="71"/>
      <c r="N264" s="72"/>
      <c r="O264" s="73"/>
      <c r="P264" s="73"/>
      <c r="Q264" s="74"/>
      <c r="R264" s="75"/>
      <c r="S264" s="69"/>
      <c r="T264" s="75"/>
      <c r="U264" s="67"/>
    </row>
    <row r="265" spans="2:21" x14ac:dyDescent="0.25">
      <c r="B265" s="67"/>
      <c r="C265" s="68"/>
      <c r="D265" s="68"/>
      <c r="E265" s="68"/>
      <c r="F265" s="67"/>
      <c r="G265" s="67"/>
      <c r="H265" s="69"/>
      <c r="I265" s="69"/>
      <c r="J265" s="70"/>
      <c r="K265" s="69"/>
      <c r="L265" s="69"/>
      <c r="M265" s="71"/>
      <c r="N265" s="72"/>
      <c r="O265" s="73"/>
      <c r="P265" s="73"/>
      <c r="Q265" s="74"/>
      <c r="R265" s="75"/>
      <c r="S265" s="69"/>
      <c r="T265" s="75"/>
      <c r="U265" s="67"/>
    </row>
    <row r="266" spans="2:21" x14ac:dyDescent="0.25">
      <c r="B266" s="67"/>
      <c r="C266" s="68"/>
      <c r="D266" s="68"/>
      <c r="E266" s="68"/>
      <c r="F266" s="67"/>
      <c r="G266" s="67"/>
      <c r="H266" s="69"/>
      <c r="I266" s="69"/>
      <c r="J266" s="70"/>
      <c r="K266" s="69"/>
      <c r="L266" s="69"/>
      <c r="M266" s="71"/>
      <c r="N266" s="72"/>
      <c r="O266" s="73"/>
      <c r="P266" s="73"/>
      <c r="Q266" s="74"/>
      <c r="R266" s="75"/>
      <c r="S266" s="69"/>
      <c r="T266" s="75"/>
      <c r="U266" s="67"/>
    </row>
    <row r="267" spans="2:21" x14ac:dyDescent="0.25">
      <c r="B267" s="67"/>
      <c r="C267" s="68"/>
      <c r="D267" s="68"/>
      <c r="E267" s="68"/>
      <c r="F267" s="67"/>
      <c r="G267" s="67"/>
      <c r="H267" s="69"/>
      <c r="I267" s="69"/>
      <c r="J267" s="70"/>
      <c r="K267" s="69"/>
      <c r="L267" s="69"/>
      <c r="M267" s="71"/>
      <c r="N267" s="72"/>
      <c r="O267" s="73"/>
      <c r="P267" s="73"/>
      <c r="Q267" s="74"/>
      <c r="R267" s="75"/>
      <c r="S267" s="69"/>
      <c r="T267" s="75"/>
      <c r="U267" s="67"/>
    </row>
    <row r="268" spans="2:21" x14ac:dyDescent="0.25">
      <c r="B268" s="67"/>
      <c r="C268" s="68"/>
      <c r="D268" s="68"/>
      <c r="E268" s="68"/>
      <c r="F268" s="67"/>
      <c r="G268" s="67"/>
      <c r="H268" s="69"/>
      <c r="I268" s="69"/>
      <c r="J268" s="70"/>
      <c r="K268" s="69"/>
      <c r="L268" s="69"/>
      <c r="M268" s="71"/>
      <c r="N268" s="72"/>
      <c r="O268" s="73"/>
      <c r="P268" s="73"/>
      <c r="Q268" s="74"/>
      <c r="R268" s="75"/>
      <c r="S268" s="69"/>
      <c r="T268" s="75"/>
      <c r="U268" s="67"/>
    </row>
    <row r="269" spans="2:21" x14ac:dyDescent="0.25">
      <c r="B269" s="67"/>
      <c r="C269" s="68"/>
      <c r="D269" s="68"/>
      <c r="E269" s="68"/>
      <c r="F269" s="67"/>
      <c r="G269" s="67"/>
      <c r="H269" s="69"/>
      <c r="I269" s="69"/>
      <c r="J269" s="70"/>
      <c r="K269" s="69"/>
      <c r="L269" s="69"/>
      <c r="M269" s="71"/>
      <c r="N269" s="72"/>
      <c r="O269" s="73"/>
      <c r="P269" s="73"/>
      <c r="Q269" s="74"/>
      <c r="R269" s="75"/>
      <c r="S269" s="69"/>
      <c r="T269" s="75"/>
      <c r="U269" s="67"/>
    </row>
    <row r="270" spans="2:21" x14ac:dyDescent="0.25">
      <c r="B270" s="67"/>
      <c r="C270" s="68"/>
      <c r="D270" s="68"/>
      <c r="E270" s="68"/>
      <c r="F270" s="67"/>
      <c r="G270" s="67"/>
      <c r="H270" s="69"/>
      <c r="I270" s="69"/>
      <c r="J270" s="70"/>
      <c r="K270" s="69"/>
      <c r="L270" s="69"/>
      <c r="M270" s="71"/>
      <c r="N270" s="72"/>
      <c r="O270" s="73"/>
      <c r="P270" s="73"/>
      <c r="Q270" s="74"/>
      <c r="R270" s="75"/>
      <c r="S270" s="69"/>
      <c r="T270" s="75"/>
      <c r="U270" s="67"/>
    </row>
    <row r="271" spans="2:21" x14ac:dyDescent="0.25">
      <c r="B271" s="67"/>
      <c r="C271" s="68"/>
      <c r="D271" s="68"/>
      <c r="E271" s="68"/>
      <c r="F271" s="67"/>
      <c r="G271" s="67"/>
      <c r="H271" s="69"/>
      <c r="I271" s="69"/>
      <c r="J271" s="70"/>
      <c r="K271" s="69"/>
      <c r="L271" s="69"/>
      <c r="M271" s="71"/>
      <c r="N271" s="72"/>
      <c r="O271" s="73"/>
      <c r="P271" s="73"/>
      <c r="Q271" s="74"/>
      <c r="R271" s="75"/>
      <c r="S271" s="69"/>
      <c r="T271" s="75"/>
      <c r="U271" s="67"/>
    </row>
    <row r="272" spans="2:21" x14ac:dyDescent="0.25">
      <c r="B272" s="67"/>
      <c r="C272" s="68"/>
      <c r="D272" s="68"/>
      <c r="E272" s="68"/>
      <c r="F272" s="67"/>
      <c r="G272" s="67"/>
      <c r="H272" s="69"/>
      <c r="I272" s="69"/>
      <c r="J272" s="70"/>
      <c r="K272" s="69"/>
      <c r="L272" s="69"/>
      <c r="M272" s="71"/>
      <c r="N272" s="72"/>
      <c r="O272" s="73"/>
      <c r="P272" s="73"/>
      <c r="Q272" s="74"/>
      <c r="R272" s="75"/>
      <c r="S272" s="69"/>
      <c r="T272" s="75"/>
      <c r="U272" s="67"/>
    </row>
    <row r="273" spans="2:21" x14ac:dyDescent="0.25">
      <c r="B273" s="67"/>
      <c r="C273" s="68"/>
      <c r="D273" s="68"/>
      <c r="E273" s="68"/>
      <c r="F273" s="67"/>
      <c r="G273" s="67"/>
      <c r="H273" s="69"/>
      <c r="I273" s="69"/>
      <c r="J273" s="70"/>
      <c r="K273" s="69"/>
      <c r="L273" s="69"/>
      <c r="M273" s="71"/>
      <c r="N273" s="72"/>
      <c r="O273" s="73"/>
      <c r="P273" s="73"/>
      <c r="Q273" s="74"/>
      <c r="R273" s="75"/>
      <c r="S273" s="69"/>
      <c r="T273" s="75"/>
      <c r="U273" s="67"/>
    </row>
    <row r="274" spans="2:21" x14ac:dyDescent="0.25">
      <c r="B274" s="67"/>
      <c r="C274" s="68"/>
      <c r="D274" s="68"/>
      <c r="E274" s="68"/>
      <c r="F274" s="67"/>
      <c r="G274" s="67"/>
      <c r="H274" s="69"/>
      <c r="I274" s="69"/>
      <c r="J274" s="70"/>
      <c r="K274" s="69"/>
      <c r="L274" s="69"/>
      <c r="M274" s="71"/>
      <c r="N274" s="72"/>
      <c r="O274" s="73"/>
      <c r="P274" s="73"/>
      <c r="Q274" s="74"/>
      <c r="R274" s="75"/>
      <c r="S274" s="69"/>
      <c r="T274" s="75"/>
      <c r="U274" s="67"/>
    </row>
    <row r="275" spans="2:21" x14ac:dyDescent="0.25">
      <c r="B275" s="67"/>
      <c r="C275" s="68"/>
      <c r="D275" s="68"/>
      <c r="E275" s="68"/>
      <c r="F275" s="67"/>
      <c r="G275" s="67"/>
      <c r="H275" s="69"/>
      <c r="I275" s="69"/>
      <c r="J275" s="70"/>
      <c r="K275" s="69"/>
      <c r="L275" s="69"/>
      <c r="M275" s="71"/>
      <c r="N275" s="72"/>
      <c r="O275" s="73"/>
      <c r="P275" s="73"/>
      <c r="Q275" s="74"/>
      <c r="R275" s="75"/>
      <c r="S275" s="69"/>
      <c r="T275" s="75"/>
      <c r="U275" s="67"/>
    </row>
    <row r="276" spans="2:21" x14ac:dyDescent="0.25">
      <c r="B276" s="67"/>
      <c r="C276" s="68"/>
      <c r="D276" s="68"/>
      <c r="E276" s="68"/>
      <c r="F276" s="67"/>
      <c r="G276" s="67"/>
      <c r="H276" s="69"/>
      <c r="I276" s="69"/>
      <c r="J276" s="70"/>
      <c r="K276" s="69"/>
      <c r="L276" s="69"/>
      <c r="M276" s="71"/>
      <c r="N276" s="72"/>
      <c r="O276" s="73"/>
      <c r="P276" s="73"/>
      <c r="Q276" s="74"/>
      <c r="R276" s="75"/>
      <c r="S276" s="69"/>
      <c r="T276" s="75"/>
      <c r="U276" s="67"/>
    </row>
    <row r="277" spans="2:21" x14ac:dyDescent="0.25">
      <c r="B277" s="67"/>
      <c r="C277" s="68"/>
      <c r="D277" s="68"/>
      <c r="E277" s="68"/>
      <c r="F277" s="67"/>
      <c r="G277" s="67"/>
      <c r="H277" s="69"/>
      <c r="I277" s="69"/>
      <c r="J277" s="70"/>
      <c r="K277" s="69"/>
      <c r="L277" s="69"/>
      <c r="M277" s="71"/>
      <c r="N277" s="72"/>
      <c r="O277" s="73"/>
      <c r="P277" s="73"/>
      <c r="Q277" s="74"/>
      <c r="R277" s="75"/>
      <c r="S277" s="69"/>
      <c r="T277" s="75"/>
      <c r="U277" s="67"/>
    </row>
    <row r="278" spans="2:21" x14ac:dyDescent="0.25">
      <c r="B278" s="67"/>
      <c r="C278" s="68"/>
      <c r="D278" s="68"/>
      <c r="E278" s="68"/>
      <c r="F278" s="67"/>
      <c r="G278" s="67"/>
      <c r="H278" s="69"/>
      <c r="I278" s="69"/>
      <c r="J278" s="70"/>
      <c r="K278" s="69"/>
      <c r="L278" s="69"/>
      <c r="M278" s="71"/>
      <c r="N278" s="72"/>
      <c r="O278" s="73"/>
      <c r="P278" s="73"/>
      <c r="Q278" s="74"/>
      <c r="R278" s="75"/>
      <c r="S278" s="69"/>
      <c r="T278" s="75"/>
      <c r="U278" s="67"/>
    </row>
    <row r="279" spans="2:21" x14ac:dyDescent="0.25">
      <c r="B279" s="67"/>
      <c r="C279" s="68"/>
      <c r="D279" s="68"/>
      <c r="E279" s="68"/>
      <c r="F279" s="67"/>
      <c r="G279" s="67"/>
      <c r="H279" s="69"/>
      <c r="I279" s="69"/>
      <c r="J279" s="70"/>
      <c r="K279" s="69"/>
      <c r="L279" s="69"/>
      <c r="M279" s="71"/>
      <c r="N279" s="72"/>
      <c r="O279" s="73"/>
      <c r="P279" s="73"/>
      <c r="Q279" s="74"/>
      <c r="R279" s="75"/>
      <c r="S279" s="69"/>
      <c r="T279" s="75"/>
      <c r="U279" s="67"/>
    </row>
    <row r="280" spans="2:21" x14ac:dyDescent="0.25">
      <c r="B280" s="67"/>
      <c r="C280" s="68"/>
      <c r="D280" s="68"/>
      <c r="E280" s="68"/>
      <c r="F280" s="67"/>
      <c r="G280" s="67"/>
      <c r="H280" s="69"/>
      <c r="I280" s="69"/>
      <c r="J280" s="70"/>
      <c r="K280" s="69"/>
      <c r="L280" s="69"/>
      <c r="M280" s="71"/>
      <c r="N280" s="72"/>
      <c r="O280" s="73"/>
      <c r="P280" s="73"/>
      <c r="Q280" s="74"/>
      <c r="R280" s="75"/>
      <c r="S280" s="69"/>
      <c r="T280" s="75"/>
      <c r="U280" s="67"/>
    </row>
    <row r="281" spans="2:21" x14ac:dyDescent="0.25">
      <c r="B281" s="67"/>
      <c r="C281" s="68"/>
      <c r="D281" s="68"/>
      <c r="E281" s="68"/>
      <c r="F281" s="67"/>
      <c r="G281" s="67"/>
      <c r="H281" s="69"/>
      <c r="I281" s="69"/>
      <c r="J281" s="70"/>
      <c r="K281" s="69"/>
      <c r="L281" s="69"/>
      <c r="M281" s="71"/>
      <c r="N281" s="72"/>
      <c r="O281" s="73"/>
      <c r="P281" s="73"/>
      <c r="Q281" s="74"/>
      <c r="R281" s="75"/>
      <c r="S281" s="69"/>
      <c r="T281" s="75"/>
      <c r="U281" s="67"/>
    </row>
    <row r="282" spans="2:21" x14ac:dyDescent="0.25">
      <c r="B282" s="67"/>
      <c r="C282" s="68"/>
      <c r="D282" s="68"/>
      <c r="E282" s="68"/>
      <c r="F282" s="67"/>
      <c r="G282" s="67"/>
      <c r="H282" s="69"/>
      <c r="I282" s="69"/>
      <c r="J282" s="70"/>
      <c r="K282" s="69"/>
      <c r="L282" s="69"/>
      <c r="M282" s="71"/>
      <c r="N282" s="72"/>
      <c r="O282" s="73"/>
      <c r="P282" s="73"/>
      <c r="Q282" s="74"/>
      <c r="R282" s="75"/>
      <c r="S282" s="69"/>
      <c r="T282" s="75"/>
      <c r="U282" s="67"/>
    </row>
    <row r="283" spans="2:21" x14ac:dyDescent="0.25">
      <c r="B283" s="67"/>
      <c r="C283" s="68"/>
      <c r="D283" s="68"/>
      <c r="E283" s="68"/>
      <c r="F283" s="67"/>
      <c r="G283" s="67"/>
      <c r="H283" s="69"/>
      <c r="I283" s="69"/>
      <c r="J283" s="70"/>
      <c r="K283" s="69"/>
      <c r="L283" s="69"/>
      <c r="M283" s="71"/>
      <c r="N283" s="72"/>
      <c r="O283" s="73"/>
      <c r="P283" s="73"/>
      <c r="Q283" s="74"/>
      <c r="R283" s="75"/>
      <c r="S283" s="69"/>
      <c r="T283" s="75"/>
      <c r="U283" s="67"/>
    </row>
    <row r="284" spans="2:21" x14ac:dyDescent="0.25">
      <c r="B284" s="67"/>
      <c r="C284" s="68"/>
      <c r="D284" s="68"/>
      <c r="E284" s="68"/>
      <c r="F284" s="67"/>
      <c r="G284" s="67"/>
      <c r="H284" s="69"/>
      <c r="I284" s="69"/>
      <c r="J284" s="70"/>
      <c r="K284" s="69"/>
      <c r="L284" s="69"/>
      <c r="M284" s="71"/>
      <c r="N284" s="72"/>
      <c r="O284" s="73"/>
      <c r="P284" s="73"/>
      <c r="Q284" s="74"/>
      <c r="R284" s="75"/>
      <c r="S284" s="69"/>
      <c r="T284" s="75"/>
      <c r="U284" s="67"/>
    </row>
    <row r="285" spans="2:21" x14ac:dyDescent="0.25">
      <c r="B285" s="67"/>
      <c r="C285" s="68"/>
      <c r="D285" s="68"/>
      <c r="E285" s="68"/>
      <c r="F285" s="67"/>
      <c r="G285" s="67"/>
      <c r="H285" s="69"/>
      <c r="I285" s="69"/>
      <c r="J285" s="70"/>
      <c r="K285" s="69"/>
      <c r="L285" s="69"/>
      <c r="M285" s="71"/>
      <c r="N285" s="72"/>
      <c r="O285" s="73"/>
      <c r="P285" s="73"/>
      <c r="Q285" s="74"/>
      <c r="R285" s="75"/>
      <c r="S285" s="69"/>
      <c r="T285" s="75"/>
      <c r="U285" s="67"/>
    </row>
    <row r="286" spans="2:21" x14ac:dyDescent="0.25">
      <c r="B286" s="67"/>
      <c r="C286" s="68"/>
      <c r="D286" s="68"/>
      <c r="E286" s="68"/>
      <c r="F286" s="67"/>
      <c r="G286" s="67"/>
      <c r="H286" s="69"/>
      <c r="I286" s="69"/>
      <c r="J286" s="70"/>
      <c r="K286" s="69"/>
      <c r="L286" s="69"/>
      <c r="M286" s="71"/>
      <c r="N286" s="72"/>
      <c r="O286" s="73"/>
      <c r="P286" s="73"/>
      <c r="Q286" s="74"/>
      <c r="R286" s="75"/>
      <c r="S286" s="69"/>
      <c r="T286" s="75"/>
      <c r="U286" s="67"/>
    </row>
    <row r="287" spans="2:21" x14ac:dyDescent="0.25">
      <c r="B287" s="67"/>
      <c r="C287" s="68"/>
      <c r="D287" s="68"/>
      <c r="E287" s="68"/>
      <c r="F287" s="67"/>
      <c r="G287" s="67"/>
      <c r="H287" s="69"/>
      <c r="I287" s="69"/>
      <c r="J287" s="70"/>
      <c r="K287" s="69"/>
      <c r="L287" s="69"/>
      <c r="M287" s="71"/>
      <c r="N287" s="72"/>
      <c r="O287" s="73"/>
      <c r="P287" s="73"/>
      <c r="Q287" s="74"/>
      <c r="R287" s="75"/>
      <c r="S287" s="69"/>
      <c r="T287" s="75"/>
      <c r="U287" s="67"/>
    </row>
    <row r="288" spans="2:21" x14ac:dyDescent="0.25">
      <c r="B288" s="67"/>
      <c r="C288" s="68"/>
      <c r="D288" s="68"/>
      <c r="E288" s="68"/>
      <c r="F288" s="67"/>
      <c r="G288" s="67"/>
      <c r="H288" s="69"/>
      <c r="I288" s="69"/>
      <c r="J288" s="70"/>
      <c r="K288" s="69"/>
      <c r="L288" s="69"/>
      <c r="M288" s="71"/>
      <c r="N288" s="72"/>
      <c r="O288" s="73"/>
      <c r="P288" s="73"/>
      <c r="Q288" s="74"/>
      <c r="R288" s="75"/>
      <c r="S288" s="69"/>
      <c r="T288" s="75"/>
      <c r="U288" s="67"/>
    </row>
    <row r="289" spans="2:21" x14ac:dyDescent="0.25">
      <c r="B289" s="67"/>
      <c r="C289" s="68"/>
      <c r="D289" s="68"/>
      <c r="E289" s="68"/>
      <c r="F289" s="67"/>
      <c r="G289" s="67"/>
      <c r="H289" s="69"/>
      <c r="I289" s="69"/>
      <c r="J289" s="70"/>
      <c r="K289" s="69"/>
      <c r="L289" s="69"/>
      <c r="M289" s="71"/>
      <c r="N289" s="72"/>
      <c r="O289" s="73"/>
      <c r="P289" s="73"/>
      <c r="Q289" s="74"/>
      <c r="R289" s="75"/>
      <c r="S289" s="69"/>
      <c r="T289" s="75"/>
      <c r="U289" s="67"/>
    </row>
    <row r="290" spans="2:21" x14ac:dyDescent="0.25">
      <c r="B290" s="67"/>
      <c r="C290" s="68"/>
      <c r="D290" s="68"/>
      <c r="E290" s="68"/>
      <c r="F290" s="67"/>
      <c r="G290" s="67"/>
      <c r="H290" s="69"/>
      <c r="I290" s="69"/>
      <c r="J290" s="70"/>
      <c r="K290" s="69"/>
      <c r="L290" s="69"/>
      <c r="M290" s="71"/>
      <c r="N290" s="72"/>
      <c r="O290" s="73"/>
      <c r="P290" s="73"/>
      <c r="Q290" s="74"/>
      <c r="R290" s="75"/>
      <c r="S290" s="69"/>
      <c r="T290" s="75"/>
      <c r="U290" s="67"/>
    </row>
    <row r="291" spans="2:21" x14ac:dyDescent="0.25">
      <c r="B291" s="67"/>
      <c r="C291" s="68"/>
      <c r="D291" s="68"/>
      <c r="E291" s="68"/>
      <c r="F291" s="67"/>
      <c r="G291" s="67"/>
      <c r="H291" s="69"/>
      <c r="I291" s="69"/>
      <c r="J291" s="70"/>
      <c r="K291" s="69"/>
      <c r="L291" s="69"/>
      <c r="M291" s="71"/>
      <c r="N291" s="72"/>
      <c r="O291" s="73"/>
      <c r="P291" s="73"/>
      <c r="Q291" s="74"/>
      <c r="R291" s="75"/>
      <c r="S291" s="69"/>
      <c r="T291" s="75"/>
      <c r="U291" s="67"/>
    </row>
    <row r="292" spans="2:21" x14ac:dyDescent="0.25">
      <c r="B292" s="67"/>
      <c r="C292" s="68"/>
      <c r="D292" s="68"/>
      <c r="E292" s="68"/>
      <c r="F292" s="67"/>
      <c r="G292" s="67"/>
      <c r="H292" s="69"/>
      <c r="I292" s="69"/>
      <c r="J292" s="70"/>
      <c r="K292" s="69"/>
      <c r="L292" s="69"/>
      <c r="M292" s="71"/>
      <c r="N292" s="72"/>
      <c r="O292" s="73"/>
      <c r="P292" s="73"/>
      <c r="Q292" s="74"/>
      <c r="R292" s="75"/>
      <c r="S292" s="69"/>
      <c r="T292" s="75"/>
      <c r="U292" s="67"/>
    </row>
    <row r="293" spans="2:21" x14ac:dyDescent="0.25">
      <c r="B293" s="67"/>
      <c r="C293" s="68"/>
      <c r="D293" s="68"/>
      <c r="E293" s="68"/>
      <c r="F293" s="67"/>
      <c r="G293" s="67"/>
      <c r="H293" s="69"/>
      <c r="I293" s="69"/>
      <c r="J293" s="70"/>
      <c r="K293" s="69"/>
      <c r="L293" s="69"/>
      <c r="M293" s="71"/>
      <c r="N293" s="72"/>
      <c r="O293" s="73"/>
      <c r="P293" s="73"/>
      <c r="Q293" s="74"/>
      <c r="R293" s="75"/>
      <c r="S293" s="69"/>
      <c r="T293" s="75"/>
      <c r="U293" s="67"/>
    </row>
    <row r="294" spans="2:21" x14ac:dyDescent="0.25">
      <c r="B294" s="67"/>
      <c r="C294" s="68"/>
      <c r="D294" s="68"/>
      <c r="E294" s="68"/>
      <c r="F294" s="67"/>
      <c r="G294" s="67"/>
      <c r="H294" s="69"/>
      <c r="I294" s="69"/>
      <c r="J294" s="70"/>
      <c r="K294" s="69"/>
      <c r="L294" s="69"/>
      <c r="M294" s="71"/>
      <c r="N294" s="72"/>
      <c r="O294" s="73"/>
      <c r="P294" s="73"/>
      <c r="Q294" s="74"/>
      <c r="R294" s="75"/>
      <c r="S294" s="69"/>
      <c r="T294" s="75"/>
      <c r="U294" s="67"/>
    </row>
    <row r="295" spans="2:21" x14ac:dyDescent="0.25">
      <c r="B295" s="67"/>
      <c r="C295" s="68"/>
      <c r="D295" s="68"/>
      <c r="E295" s="68"/>
      <c r="F295" s="67"/>
      <c r="G295" s="67"/>
      <c r="H295" s="69"/>
      <c r="I295" s="69"/>
      <c r="J295" s="70"/>
      <c r="K295" s="69"/>
      <c r="L295" s="69"/>
      <c r="M295" s="71"/>
      <c r="N295" s="72"/>
      <c r="O295" s="73"/>
      <c r="P295" s="73"/>
      <c r="Q295" s="74"/>
      <c r="R295" s="75"/>
      <c r="S295" s="69"/>
      <c r="T295" s="75"/>
      <c r="U295" s="67"/>
    </row>
    <row r="296" spans="2:21" x14ac:dyDescent="0.25">
      <c r="B296" s="67"/>
      <c r="C296" s="68"/>
      <c r="D296" s="68"/>
      <c r="E296" s="68"/>
      <c r="F296" s="67"/>
      <c r="G296" s="67"/>
      <c r="H296" s="69"/>
      <c r="I296" s="69"/>
      <c r="J296" s="70"/>
      <c r="K296" s="69"/>
      <c r="L296" s="69"/>
      <c r="M296" s="71"/>
      <c r="N296" s="72"/>
      <c r="O296" s="73"/>
      <c r="P296" s="73"/>
      <c r="Q296" s="74"/>
      <c r="R296" s="75"/>
      <c r="S296" s="69"/>
      <c r="T296" s="75"/>
      <c r="U296" s="67"/>
    </row>
    <row r="297" spans="2:21" x14ac:dyDescent="0.25">
      <c r="B297" s="67"/>
      <c r="C297" s="68"/>
      <c r="D297" s="68"/>
      <c r="E297" s="68"/>
      <c r="F297" s="67"/>
      <c r="G297" s="67"/>
      <c r="H297" s="69"/>
      <c r="I297" s="69"/>
      <c r="J297" s="70"/>
      <c r="K297" s="69"/>
      <c r="L297" s="69"/>
      <c r="M297" s="71"/>
      <c r="N297" s="72"/>
      <c r="O297" s="73"/>
      <c r="P297" s="73"/>
      <c r="Q297" s="74"/>
      <c r="R297" s="75"/>
      <c r="S297" s="69"/>
      <c r="T297" s="75"/>
      <c r="U297" s="67"/>
    </row>
    <row r="298" spans="2:21" x14ac:dyDescent="0.25">
      <c r="B298" s="67"/>
      <c r="C298" s="68"/>
      <c r="D298" s="68"/>
      <c r="E298" s="68"/>
      <c r="F298" s="67"/>
      <c r="G298" s="67"/>
      <c r="H298" s="69"/>
      <c r="I298" s="69"/>
      <c r="J298" s="70"/>
      <c r="K298" s="69"/>
      <c r="L298" s="69"/>
      <c r="M298" s="71"/>
      <c r="N298" s="72"/>
      <c r="O298" s="73"/>
      <c r="P298" s="73"/>
      <c r="Q298" s="74"/>
      <c r="R298" s="75"/>
      <c r="S298" s="69"/>
      <c r="T298" s="75"/>
      <c r="U298" s="67"/>
    </row>
    <row r="299" spans="2:21" x14ac:dyDescent="0.25">
      <c r="B299" s="67"/>
      <c r="C299" s="68"/>
      <c r="D299" s="68"/>
      <c r="E299" s="68"/>
      <c r="F299" s="67"/>
      <c r="G299" s="67"/>
      <c r="H299" s="69"/>
      <c r="I299" s="69"/>
      <c r="J299" s="70"/>
      <c r="K299" s="69"/>
      <c r="L299" s="69"/>
      <c r="M299" s="71"/>
      <c r="N299" s="72"/>
      <c r="O299" s="73"/>
      <c r="P299" s="73"/>
      <c r="Q299" s="74"/>
      <c r="R299" s="75"/>
      <c r="S299" s="69"/>
      <c r="T299" s="75"/>
      <c r="U299" s="67"/>
    </row>
    <row r="300" spans="2:21" x14ac:dyDescent="0.25">
      <c r="B300" s="67"/>
      <c r="C300" s="68"/>
      <c r="D300" s="68"/>
      <c r="E300" s="68"/>
      <c r="F300" s="67"/>
      <c r="G300" s="67"/>
      <c r="H300" s="69"/>
      <c r="I300" s="69"/>
      <c r="J300" s="70"/>
      <c r="K300" s="69"/>
      <c r="L300" s="69"/>
      <c r="M300" s="71"/>
      <c r="N300" s="72"/>
      <c r="O300" s="73"/>
      <c r="P300" s="73"/>
      <c r="Q300" s="74"/>
      <c r="R300" s="75"/>
      <c r="S300" s="69"/>
      <c r="T300" s="75"/>
      <c r="U300" s="67"/>
    </row>
    <row r="301" spans="2:21" x14ac:dyDescent="0.25">
      <c r="B301" s="67"/>
      <c r="C301" s="68"/>
      <c r="D301" s="68"/>
      <c r="E301" s="68"/>
      <c r="F301" s="67"/>
      <c r="G301" s="67"/>
      <c r="H301" s="69"/>
      <c r="I301" s="69"/>
      <c r="J301" s="70"/>
      <c r="K301" s="69"/>
      <c r="L301" s="69"/>
      <c r="M301" s="71"/>
      <c r="N301" s="72"/>
      <c r="O301" s="73"/>
      <c r="P301" s="73"/>
      <c r="Q301" s="74"/>
      <c r="R301" s="75"/>
      <c r="S301" s="69"/>
      <c r="T301" s="75"/>
      <c r="U301" s="67"/>
    </row>
    <row r="302" spans="2:21" x14ac:dyDescent="0.25">
      <c r="B302" s="67"/>
      <c r="C302" s="68"/>
      <c r="D302" s="68"/>
      <c r="E302" s="68"/>
      <c r="F302" s="67"/>
      <c r="G302" s="67"/>
      <c r="H302" s="69"/>
      <c r="I302" s="69"/>
      <c r="J302" s="70"/>
      <c r="K302" s="69"/>
      <c r="L302" s="69"/>
      <c r="M302" s="71"/>
      <c r="N302" s="72"/>
      <c r="O302" s="73"/>
      <c r="P302" s="73"/>
      <c r="Q302" s="74"/>
      <c r="R302" s="75"/>
      <c r="S302" s="69"/>
      <c r="T302" s="75"/>
      <c r="U302" s="67"/>
    </row>
    <row r="303" spans="2:21" x14ac:dyDescent="0.25">
      <c r="B303" s="67"/>
      <c r="C303" s="68"/>
      <c r="D303" s="68"/>
      <c r="E303" s="68"/>
      <c r="F303" s="67"/>
      <c r="G303" s="67"/>
      <c r="H303" s="69"/>
      <c r="I303" s="69"/>
      <c r="J303" s="70"/>
      <c r="K303" s="69"/>
      <c r="L303" s="69"/>
      <c r="M303" s="71"/>
      <c r="N303" s="72"/>
      <c r="O303" s="73"/>
      <c r="P303" s="73"/>
      <c r="Q303" s="74"/>
      <c r="R303" s="75"/>
      <c r="S303" s="69"/>
      <c r="T303" s="75"/>
      <c r="U303" s="67"/>
    </row>
    <row r="304" spans="2:21" x14ac:dyDescent="0.25">
      <c r="B304" s="67"/>
      <c r="C304" s="68"/>
      <c r="D304" s="68"/>
      <c r="E304" s="68"/>
      <c r="F304" s="67"/>
      <c r="G304" s="67"/>
      <c r="H304" s="69"/>
      <c r="I304" s="69"/>
      <c r="J304" s="70"/>
      <c r="K304" s="69"/>
      <c r="L304" s="69"/>
      <c r="M304" s="71"/>
      <c r="N304" s="72"/>
      <c r="O304" s="73"/>
      <c r="P304" s="73"/>
      <c r="Q304" s="74"/>
      <c r="R304" s="75"/>
      <c r="S304" s="69"/>
      <c r="T304" s="75"/>
      <c r="U304" s="67"/>
    </row>
    <row r="305" spans="2:21" x14ac:dyDescent="0.25">
      <c r="B305" s="67"/>
      <c r="C305" s="68"/>
      <c r="D305" s="68"/>
      <c r="E305" s="68"/>
      <c r="F305" s="67"/>
      <c r="G305" s="67"/>
      <c r="H305" s="69"/>
      <c r="I305" s="69"/>
      <c r="J305" s="70"/>
      <c r="K305" s="69"/>
      <c r="L305" s="69"/>
      <c r="M305" s="71"/>
      <c r="N305" s="72"/>
      <c r="O305" s="73"/>
      <c r="P305" s="73"/>
      <c r="Q305" s="74"/>
      <c r="R305" s="75"/>
      <c r="S305" s="69"/>
      <c r="T305" s="75"/>
      <c r="U305" s="67"/>
    </row>
    <row r="306" spans="2:21" x14ac:dyDescent="0.25">
      <c r="B306" s="67"/>
      <c r="C306" s="68"/>
      <c r="D306" s="68"/>
      <c r="E306" s="68"/>
      <c r="F306" s="67"/>
      <c r="G306" s="67"/>
      <c r="H306" s="69"/>
      <c r="I306" s="69"/>
      <c r="J306" s="70"/>
      <c r="K306" s="69"/>
      <c r="L306" s="69"/>
      <c r="M306" s="71"/>
      <c r="N306" s="72"/>
      <c r="O306" s="73"/>
      <c r="P306" s="73"/>
      <c r="Q306" s="74"/>
      <c r="R306" s="75"/>
      <c r="S306" s="69"/>
      <c r="T306" s="75"/>
      <c r="U306" s="67"/>
    </row>
    <row r="307" spans="2:21" x14ac:dyDescent="0.25">
      <c r="B307" s="67"/>
      <c r="C307" s="68"/>
      <c r="D307" s="68"/>
      <c r="E307" s="68"/>
      <c r="F307" s="67"/>
      <c r="G307" s="67"/>
      <c r="H307" s="69"/>
      <c r="I307" s="69"/>
      <c r="J307" s="70"/>
      <c r="K307" s="69"/>
      <c r="L307" s="69"/>
      <c r="M307" s="71"/>
      <c r="N307" s="72"/>
      <c r="O307" s="73"/>
      <c r="P307" s="73"/>
      <c r="Q307" s="74"/>
      <c r="R307" s="75"/>
      <c r="S307" s="69"/>
      <c r="T307" s="75"/>
      <c r="U307" s="67"/>
    </row>
    <row r="308" spans="2:21" x14ac:dyDescent="0.25">
      <c r="B308" s="67"/>
      <c r="C308" s="68"/>
      <c r="D308" s="68"/>
      <c r="E308" s="68"/>
      <c r="F308" s="67"/>
      <c r="G308" s="67"/>
      <c r="H308" s="69"/>
      <c r="I308" s="69"/>
      <c r="J308" s="70"/>
      <c r="K308" s="69"/>
      <c r="L308" s="69"/>
      <c r="M308" s="71"/>
      <c r="N308" s="72"/>
      <c r="O308" s="73"/>
      <c r="P308" s="73"/>
      <c r="Q308" s="74"/>
      <c r="R308" s="75"/>
      <c r="S308" s="69"/>
      <c r="T308" s="75"/>
      <c r="U308" s="67"/>
    </row>
    <row r="309" spans="2:21" x14ac:dyDescent="0.25">
      <c r="B309" s="67"/>
      <c r="C309" s="68"/>
      <c r="D309" s="68"/>
      <c r="E309" s="68"/>
      <c r="F309" s="67"/>
      <c r="G309" s="67"/>
      <c r="H309" s="69"/>
      <c r="I309" s="69"/>
      <c r="J309" s="70"/>
      <c r="K309" s="69"/>
      <c r="L309" s="69"/>
      <c r="M309" s="71"/>
      <c r="N309" s="72"/>
      <c r="O309" s="73"/>
      <c r="P309" s="73"/>
      <c r="Q309" s="74"/>
      <c r="R309" s="75"/>
      <c r="S309" s="69"/>
      <c r="T309" s="75"/>
      <c r="U309" s="67"/>
    </row>
    <row r="310" spans="2:21" x14ac:dyDescent="0.25">
      <c r="B310" s="67"/>
      <c r="C310" s="68"/>
      <c r="D310" s="68"/>
      <c r="E310" s="68"/>
      <c r="F310" s="67"/>
      <c r="G310" s="67"/>
      <c r="H310" s="69"/>
      <c r="I310" s="69"/>
      <c r="J310" s="70"/>
      <c r="K310" s="69"/>
      <c r="L310" s="69"/>
      <c r="M310" s="71"/>
      <c r="N310" s="72"/>
      <c r="O310" s="73"/>
      <c r="P310" s="73"/>
      <c r="Q310" s="74"/>
      <c r="R310" s="75"/>
      <c r="S310" s="69"/>
      <c r="T310" s="75"/>
      <c r="U310" s="67"/>
    </row>
    <row r="311" spans="2:21" x14ac:dyDescent="0.25">
      <c r="B311" s="67"/>
      <c r="C311" s="68"/>
      <c r="D311" s="68"/>
      <c r="E311" s="68"/>
      <c r="F311" s="67"/>
      <c r="G311" s="67"/>
      <c r="H311" s="69"/>
      <c r="I311" s="69"/>
      <c r="J311" s="70"/>
      <c r="K311" s="69"/>
      <c r="L311" s="69"/>
      <c r="M311" s="71"/>
      <c r="N311" s="72"/>
      <c r="O311" s="73"/>
      <c r="P311" s="73"/>
      <c r="Q311" s="74"/>
      <c r="R311" s="75"/>
      <c r="S311" s="69"/>
      <c r="T311" s="75"/>
      <c r="U311" s="67"/>
    </row>
    <row r="312" spans="2:21" x14ac:dyDescent="0.25">
      <c r="B312" s="67"/>
      <c r="C312" s="68"/>
      <c r="D312" s="68"/>
      <c r="E312" s="68"/>
      <c r="F312" s="67"/>
      <c r="G312" s="67"/>
      <c r="H312" s="69"/>
      <c r="I312" s="69"/>
      <c r="J312" s="70"/>
      <c r="K312" s="69"/>
      <c r="L312" s="69"/>
      <c r="M312" s="71"/>
      <c r="N312" s="72"/>
      <c r="O312" s="73"/>
      <c r="P312" s="73"/>
      <c r="Q312" s="74"/>
      <c r="R312" s="75"/>
      <c r="S312" s="69"/>
      <c r="T312" s="75"/>
      <c r="U312" s="67"/>
    </row>
    <row r="313" spans="2:21" x14ac:dyDescent="0.25">
      <c r="B313" s="67"/>
      <c r="C313" s="68"/>
      <c r="D313" s="68"/>
      <c r="E313" s="68"/>
      <c r="F313" s="67"/>
      <c r="G313" s="67"/>
      <c r="H313" s="69"/>
      <c r="I313" s="69"/>
      <c r="J313" s="70"/>
      <c r="K313" s="69"/>
      <c r="L313" s="69"/>
      <c r="M313" s="71"/>
      <c r="N313" s="72"/>
      <c r="O313" s="73"/>
      <c r="P313" s="73"/>
      <c r="Q313" s="74"/>
      <c r="R313" s="75"/>
      <c r="S313" s="69"/>
      <c r="T313" s="75"/>
      <c r="U313" s="67"/>
    </row>
    <row r="314" spans="2:21" x14ac:dyDescent="0.25">
      <c r="B314" s="67"/>
      <c r="C314" s="68"/>
      <c r="D314" s="68"/>
      <c r="E314" s="68"/>
      <c r="F314" s="67"/>
      <c r="G314" s="67"/>
      <c r="H314" s="69"/>
      <c r="I314" s="69"/>
      <c r="J314" s="70"/>
      <c r="K314" s="69"/>
      <c r="L314" s="69"/>
      <c r="M314" s="71"/>
      <c r="N314" s="72"/>
      <c r="O314" s="73"/>
      <c r="P314" s="73"/>
      <c r="Q314" s="74"/>
      <c r="R314" s="75"/>
      <c r="S314" s="69"/>
      <c r="T314" s="75"/>
      <c r="U314" s="67"/>
    </row>
    <row r="315" spans="2:21" x14ac:dyDescent="0.25">
      <c r="B315" s="67"/>
      <c r="C315" s="68"/>
      <c r="D315" s="68"/>
      <c r="E315" s="68"/>
      <c r="F315" s="67"/>
      <c r="G315" s="67"/>
      <c r="H315" s="69"/>
      <c r="I315" s="69"/>
      <c r="J315" s="70"/>
      <c r="K315" s="69"/>
      <c r="L315" s="69"/>
      <c r="M315" s="71"/>
      <c r="N315" s="72"/>
      <c r="O315" s="73"/>
      <c r="P315" s="73"/>
      <c r="Q315" s="74"/>
      <c r="R315" s="75"/>
      <c r="S315" s="69"/>
      <c r="T315" s="75"/>
      <c r="U315" s="67"/>
    </row>
    <row r="316" spans="2:21" x14ac:dyDescent="0.25">
      <c r="B316" s="67"/>
      <c r="C316" s="68"/>
      <c r="D316" s="68"/>
      <c r="E316" s="68"/>
      <c r="F316" s="67"/>
      <c r="G316" s="67"/>
      <c r="H316" s="69"/>
      <c r="I316" s="69"/>
      <c r="J316" s="70"/>
      <c r="K316" s="69"/>
      <c r="L316" s="69"/>
      <c r="M316" s="71"/>
      <c r="N316" s="72"/>
      <c r="O316" s="73"/>
      <c r="P316" s="73"/>
      <c r="Q316" s="74"/>
      <c r="R316" s="75"/>
      <c r="S316" s="69"/>
      <c r="T316" s="75"/>
      <c r="U316" s="67"/>
    </row>
    <row r="317" spans="2:21" x14ac:dyDescent="0.25">
      <c r="B317" s="67"/>
      <c r="C317" s="68"/>
      <c r="D317" s="68"/>
      <c r="E317" s="68"/>
      <c r="F317" s="67"/>
      <c r="G317" s="67"/>
      <c r="H317" s="69"/>
      <c r="I317" s="69"/>
      <c r="J317" s="70"/>
      <c r="K317" s="69"/>
      <c r="L317" s="69"/>
      <c r="M317" s="71"/>
      <c r="N317" s="72"/>
      <c r="O317" s="73"/>
      <c r="P317" s="73"/>
      <c r="Q317" s="74"/>
      <c r="R317" s="75"/>
      <c r="S317" s="69"/>
      <c r="T317" s="75"/>
      <c r="U317" s="67"/>
    </row>
    <row r="318" spans="2:21" x14ac:dyDescent="0.25">
      <c r="B318" s="67"/>
      <c r="C318" s="68"/>
      <c r="D318" s="68"/>
      <c r="E318" s="68"/>
      <c r="F318" s="67"/>
      <c r="G318" s="67"/>
      <c r="H318" s="69"/>
      <c r="I318" s="69"/>
      <c r="J318" s="70"/>
      <c r="K318" s="69"/>
      <c r="L318" s="69"/>
      <c r="M318" s="71"/>
      <c r="N318" s="72"/>
      <c r="O318" s="73"/>
      <c r="P318" s="73"/>
      <c r="Q318" s="74"/>
      <c r="R318" s="75"/>
      <c r="S318" s="69"/>
      <c r="T318" s="75"/>
      <c r="U318" s="67"/>
    </row>
    <row r="319" spans="2:21" x14ac:dyDescent="0.25">
      <c r="B319" s="67"/>
      <c r="C319" s="68"/>
      <c r="D319" s="68"/>
      <c r="E319" s="68"/>
      <c r="F319" s="67"/>
      <c r="G319" s="67"/>
      <c r="H319" s="69"/>
      <c r="I319" s="69"/>
      <c r="J319" s="70"/>
      <c r="K319" s="69"/>
      <c r="L319" s="69"/>
      <c r="M319" s="71"/>
      <c r="N319" s="72"/>
      <c r="O319" s="73"/>
      <c r="P319" s="73"/>
      <c r="Q319" s="74"/>
      <c r="R319" s="75"/>
      <c r="S319" s="69"/>
      <c r="T319" s="75"/>
      <c r="U319" s="67"/>
    </row>
    <row r="320" spans="2:21" x14ac:dyDescent="0.25">
      <c r="B320" s="67"/>
      <c r="C320" s="68"/>
      <c r="D320" s="68"/>
      <c r="E320" s="68"/>
      <c r="F320" s="67"/>
      <c r="G320" s="67"/>
      <c r="H320" s="69"/>
      <c r="I320" s="69"/>
      <c r="J320" s="70"/>
      <c r="K320" s="69"/>
      <c r="L320" s="69"/>
      <c r="M320" s="71"/>
      <c r="N320" s="72"/>
      <c r="O320" s="73"/>
      <c r="P320" s="73"/>
      <c r="Q320" s="74"/>
      <c r="R320" s="75"/>
      <c r="S320" s="69"/>
      <c r="T320" s="75"/>
      <c r="U320" s="67"/>
    </row>
    <row r="321" spans="2:21" x14ac:dyDescent="0.25">
      <c r="B321" s="67"/>
      <c r="C321" s="68"/>
      <c r="D321" s="68"/>
      <c r="E321" s="68"/>
      <c r="F321" s="67"/>
      <c r="G321" s="67"/>
      <c r="H321" s="69"/>
      <c r="I321" s="69"/>
      <c r="J321" s="70"/>
      <c r="K321" s="69"/>
      <c r="L321" s="69"/>
      <c r="M321" s="71"/>
      <c r="N321" s="72"/>
      <c r="O321" s="73"/>
      <c r="P321" s="73"/>
      <c r="Q321" s="74"/>
      <c r="R321" s="75"/>
      <c r="S321" s="69"/>
      <c r="T321" s="75"/>
      <c r="U321" s="67"/>
    </row>
    <row r="322" spans="2:21" x14ac:dyDescent="0.25">
      <c r="B322" s="67"/>
      <c r="C322" s="68"/>
      <c r="D322" s="68"/>
      <c r="E322" s="68"/>
      <c r="F322" s="67"/>
      <c r="G322" s="67"/>
      <c r="H322" s="69"/>
      <c r="I322" s="69"/>
      <c r="J322" s="70"/>
      <c r="K322" s="69"/>
      <c r="L322" s="69"/>
      <c r="M322" s="71"/>
      <c r="N322" s="72"/>
      <c r="O322" s="73"/>
      <c r="P322" s="73"/>
      <c r="Q322" s="74"/>
      <c r="R322" s="75"/>
      <c r="S322" s="69"/>
      <c r="T322" s="75"/>
      <c r="U322" s="67"/>
    </row>
    <row r="323" spans="2:21" x14ac:dyDescent="0.25">
      <c r="B323" s="67"/>
      <c r="C323" s="68"/>
      <c r="D323" s="68"/>
      <c r="E323" s="68"/>
      <c r="F323" s="67"/>
      <c r="G323" s="67"/>
      <c r="H323" s="69"/>
      <c r="I323" s="69"/>
      <c r="J323" s="70"/>
      <c r="K323" s="69"/>
      <c r="L323" s="69"/>
      <c r="M323" s="71"/>
      <c r="N323" s="72"/>
      <c r="O323" s="73"/>
      <c r="P323" s="73"/>
      <c r="Q323" s="74"/>
      <c r="R323" s="75"/>
      <c r="S323" s="69"/>
      <c r="T323" s="75"/>
      <c r="U323" s="67"/>
    </row>
    <row r="324" spans="2:21" x14ac:dyDescent="0.25">
      <c r="B324" s="67"/>
      <c r="C324" s="68"/>
      <c r="D324" s="68"/>
      <c r="E324" s="68"/>
      <c r="F324" s="67"/>
      <c r="G324" s="67"/>
      <c r="H324" s="69"/>
      <c r="I324" s="69"/>
      <c r="J324" s="70"/>
      <c r="K324" s="69"/>
      <c r="L324" s="69"/>
      <c r="M324" s="71"/>
      <c r="N324" s="72"/>
      <c r="O324" s="73"/>
      <c r="P324" s="73"/>
      <c r="Q324" s="74"/>
      <c r="R324" s="75"/>
      <c r="S324" s="69"/>
      <c r="T324" s="75"/>
      <c r="U324" s="67"/>
    </row>
    <row r="325" spans="2:21" x14ac:dyDescent="0.25">
      <c r="B325" s="67"/>
      <c r="C325" s="68"/>
      <c r="D325" s="68"/>
      <c r="E325" s="68"/>
      <c r="F325" s="67"/>
      <c r="G325" s="67"/>
      <c r="H325" s="69"/>
      <c r="I325" s="69"/>
      <c r="J325" s="70"/>
      <c r="K325" s="69"/>
      <c r="L325" s="69"/>
      <c r="M325" s="71"/>
      <c r="N325" s="72"/>
      <c r="O325" s="73"/>
      <c r="P325" s="73"/>
      <c r="Q325" s="74"/>
      <c r="R325" s="75"/>
      <c r="S325" s="69"/>
      <c r="T325" s="75"/>
      <c r="U325" s="67"/>
    </row>
    <row r="326" spans="2:21" x14ac:dyDescent="0.25">
      <c r="B326" s="67"/>
      <c r="C326" s="68"/>
      <c r="D326" s="68"/>
      <c r="E326" s="68"/>
      <c r="F326" s="67"/>
      <c r="G326" s="67"/>
      <c r="H326" s="69"/>
      <c r="I326" s="69"/>
      <c r="J326" s="70"/>
      <c r="K326" s="69"/>
      <c r="L326" s="69"/>
      <c r="M326" s="71"/>
      <c r="N326" s="72"/>
      <c r="O326" s="73"/>
      <c r="P326" s="73"/>
      <c r="Q326" s="74"/>
      <c r="R326" s="75"/>
      <c r="S326" s="69"/>
      <c r="T326" s="75"/>
      <c r="U326" s="67"/>
    </row>
    <row r="327" spans="2:21" x14ac:dyDescent="0.25">
      <c r="B327" s="67"/>
      <c r="C327" s="68"/>
      <c r="D327" s="68"/>
      <c r="E327" s="68"/>
      <c r="F327" s="67"/>
      <c r="G327" s="67"/>
      <c r="H327" s="69"/>
      <c r="I327" s="69"/>
      <c r="J327" s="70"/>
      <c r="K327" s="69"/>
      <c r="L327" s="69"/>
      <c r="M327" s="71"/>
      <c r="N327" s="72"/>
      <c r="O327" s="73"/>
      <c r="P327" s="73"/>
      <c r="Q327" s="74"/>
      <c r="R327" s="75"/>
      <c r="S327" s="69"/>
      <c r="T327" s="75"/>
      <c r="U327" s="67"/>
    </row>
    <row r="328" spans="2:21" x14ac:dyDescent="0.25">
      <c r="B328" s="67"/>
      <c r="C328" s="68"/>
      <c r="D328" s="68"/>
      <c r="E328" s="68"/>
      <c r="F328" s="67"/>
      <c r="G328" s="67"/>
      <c r="H328" s="69"/>
      <c r="I328" s="69"/>
      <c r="J328" s="70"/>
      <c r="K328" s="69"/>
      <c r="L328" s="69"/>
      <c r="M328" s="71"/>
      <c r="N328" s="72"/>
      <c r="O328" s="73"/>
      <c r="P328" s="73"/>
      <c r="Q328" s="74"/>
      <c r="R328" s="75"/>
      <c r="S328" s="69"/>
      <c r="T328" s="75"/>
      <c r="U328" s="67"/>
    </row>
    <row r="329" spans="2:21" x14ac:dyDescent="0.25">
      <c r="B329" s="67"/>
      <c r="C329" s="68"/>
      <c r="D329" s="68"/>
      <c r="E329" s="68"/>
      <c r="F329" s="67"/>
      <c r="G329" s="67"/>
      <c r="H329" s="69"/>
      <c r="I329" s="69"/>
      <c r="J329" s="70"/>
      <c r="K329" s="69"/>
      <c r="L329" s="69"/>
      <c r="M329" s="71"/>
      <c r="N329" s="72"/>
      <c r="O329" s="73"/>
      <c r="P329" s="73"/>
      <c r="Q329" s="74"/>
      <c r="R329" s="75"/>
      <c r="S329" s="69"/>
      <c r="T329" s="75"/>
      <c r="U329" s="67"/>
    </row>
    <row r="330" spans="2:21" x14ac:dyDescent="0.25">
      <c r="B330" s="67"/>
      <c r="C330" s="68"/>
      <c r="D330" s="68"/>
      <c r="E330" s="68"/>
      <c r="F330" s="67"/>
      <c r="G330" s="67"/>
      <c r="H330" s="69"/>
      <c r="I330" s="69"/>
      <c r="J330" s="70"/>
      <c r="K330" s="69"/>
      <c r="L330" s="69"/>
      <c r="M330" s="71"/>
      <c r="N330" s="72"/>
      <c r="O330" s="73"/>
      <c r="P330" s="73"/>
      <c r="Q330" s="74"/>
      <c r="R330" s="75"/>
      <c r="S330" s="69"/>
      <c r="T330" s="75"/>
      <c r="U330" s="67"/>
    </row>
    <row r="331" spans="2:21" x14ac:dyDescent="0.25">
      <c r="B331" s="67"/>
      <c r="C331" s="68"/>
      <c r="D331" s="68"/>
      <c r="E331" s="68"/>
      <c r="F331" s="67"/>
      <c r="G331" s="67"/>
      <c r="H331" s="69"/>
      <c r="I331" s="69"/>
      <c r="J331" s="70"/>
      <c r="K331" s="69"/>
      <c r="L331" s="69"/>
      <c r="M331" s="71"/>
      <c r="N331" s="72"/>
      <c r="O331" s="73"/>
      <c r="P331" s="73"/>
      <c r="Q331" s="74"/>
      <c r="R331" s="75"/>
      <c r="S331" s="69"/>
      <c r="T331" s="75"/>
      <c r="U331" s="67"/>
    </row>
    <row r="332" spans="2:21" x14ac:dyDescent="0.25">
      <c r="B332" s="67"/>
      <c r="C332" s="68"/>
      <c r="D332" s="68"/>
      <c r="E332" s="68"/>
      <c r="F332" s="67"/>
      <c r="G332" s="67"/>
      <c r="H332" s="69"/>
      <c r="I332" s="69"/>
      <c r="J332" s="70"/>
      <c r="K332" s="69"/>
      <c r="L332" s="69"/>
      <c r="M332" s="71"/>
      <c r="N332" s="72"/>
      <c r="O332" s="73"/>
      <c r="P332" s="73"/>
      <c r="Q332" s="74"/>
      <c r="R332" s="75"/>
      <c r="S332" s="69"/>
      <c r="T332" s="75"/>
      <c r="U332" s="67"/>
    </row>
    <row r="333" spans="2:21" x14ac:dyDescent="0.25">
      <c r="B333" s="67"/>
      <c r="C333" s="68"/>
      <c r="D333" s="68"/>
      <c r="E333" s="68"/>
      <c r="F333" s="67"/>
      <c r="G333" s="67"/>
      <c r="H333" s="69"/>
      <c r="I333" s="69"/>
      <c r="J333" s="70"/>
      <c r="K333" s="69"/>
      <c r="L333" s="69"/>
      <c r="M333" s="71"/>
      <c r="N333" s="72"/>
      <c r="O333" s="73"/>
      <c r="P333" s="73"/>
      <c r="Q333" s="74"/>
      <c r="R333" s="75"/>
      <c r="S333" s="69"/>
      <c r="T333" s="75"/>
      <c r="U333" s="67"/>
    </row>
    <row r="334" spans="2:21" x14ac:dyDescent="0.25">
      <c r="B334" s="67"/>
      <c r="C334" s="68"/>
      <c r="D334" s="68"/>
      <c r="E334" s="68"/>
      <c r="F334" s="67"/>
      <c r="G334" s="67"/>
      <c r="H334" s="69"/>
      <c r="I334" s="69"/>
      <c r="J334" s="70"/>
      <c r="K334" s="69"/>
      <c r="L334" s="69"/>
      <c r="M334" s="71"/>
      <c r="N334" s="72"/>
      <c r="O334" s="73"/>
      <c r="P334" s="73"/>
      <c r="Q334" s="74"/>
      <c r="R334" s="75"/>
      <c r="S334" s="69"/>
      <c r="T334" s="75"/>
      <c r="U334" s="67"/>
    </row>
    <row r="335" spans="2:21" x14ac:dyDescent="0.25">
      <c r="B335" s="67"/>
      <c r="C335" s="68"/>
      <c r="D335" s="68"/>
      <c r="E335" s="68"/>
      <c r="F335" s="67"/>
      <c r="G335" s="67"/>
      <c r="H335" s="69"/>
      <c r="I335" s="69"/>
      <c r="J335" s="70"/>
      <c r="K335" s="69"/>
      <c r="L335" s="69"/>
      <c r="M335" s="71"/>
      <c r="N335" s="72"/>
      <c r="O335" s="73"/>
      <c r="P335" s="73"/>
      <c r="Q335" s="74"/>
      <c r="R335" s="75"/>
      <c r="S335" s="69"/>
      <c r="T335" s="75"/>
      <c r="U335" s="67"/>
    </row>
    <row r="336" spans="2:21" x14ac:dyDescent="0.25">
      <c r="B336" s="67"/>
      <c r="C336" s="68"/>
      <c r="D336" s="68"/>
      <c r="E336" s="68"/>
      <c r="F336" s="67"/>
      <c r="G336" s="67"/>
      <c r="H336" s="69"/>
      <c r="I336" s="69"/>
      <c r="J336" s="70"/>
      <c r="K336" s="69"/>
      <c r="L336" s="69"/>
      <c r="M336" s="71"/>
      <c r="N336" s="72"/>
      <c r="O336" s="73"/>
      <c r="P336" s="73"/>
      <c r="Q336" s="74"/>
      <c r="R336" s="75"/>
      <c r="S336" s="69"/>
      <c r="T336" s="75"/>
      <c r="U336" s="67"/>
    </row>
    <row r="337" spans="2:21" x14ac:dyDescent="0.25">
      <c r="B337" s="67"/>
      <c r="C337" s="68"/>
      <c r="D337" s="68"/>
      <c r="E337" s="68"/>
      <c r="F337" s="67"/>
      <c r="G337" s="67"/>
      <c r="H337" s="69"/>
      <c r="I337" s="69"/>
      <c r="J337" s="70"/>
      <c r="K337" s="69"/>
      <c r="L337" s="69"/>
      <c r="M337" s="71"/>
      <c r="N337" s="72"/>
      <c r="O337" s="73"/>
      <c r="P337" s="73"/>
      <c r="Q337" s="74"/>
      <c r="R337" s="75"/>
      <c r="S337" s="69"/>
      <c r="T337" s="75"/>
      <c r="U337" s="67"/>
    </row>
    <row r="338" spans="2:21" x14ac:dyDescent="0.25">
      <c r="B338" s="67"/>
      <c r="C338" s="68"/>
      <c r="D338" s="68"/>
      <c r="E338" s="68"/>
      <c r="F338" s="67"/>
      <c r="G338" s="67"/>
      <c r="H338" s="69"/>
      <c r="I338" s="69"/>
      <c r="J338" s="70"/>
      <c r="K338" s="69"/>
      <c r="L338" s="69"/>
      <c r="M338" s="71"/>
      <c r="N338" s="72"/>
      <c r="O338" s="73"/>
      <c r="P338" s="73"/>
      <c r="Q338" s="74"/>
      <c r="R338" s="75"/>
      <c r="S338" s="69"/>
      <c r="T338" s="75"/>
      <c r="U338" s="67"/>
    </row>
    <row r="339" spans="2:21" x14ac:dyDescent="0.25">
      <c r="B339" s="67"/>
      <c r="C339" s="68"/>
      <c r="D339" s="68"/>
      <c r="E339" s="68"/>
      <c r="F339" s="67"/>
      <c r="G339" s="67"/>
      <c r="H339" s="69"/>
      <c r="I339" s="69"/>
      <c r="J339" s="70"/>
      <c r="K339" s="69"/>
      <c r="L339" s="69"/>
      <c r="M339" s="71"/>
      <c r="N339" s="72"/>
      <c r="O339" s="73"/>
      <c r="P339" s="73"/>
      <c r="Q339" s="74"/>
      <c r="R339" s="75"/>
      <c r="S339" s="69"/>
      <c r="T339" s="75"/>
      <c r="U339" s="67"/>
    </row>
    <row r="340" spans="2:21" x14ac:dyDescent="0.25">
      <c r="B340" s="67"/>
      <c r="C340" s="68"/>
      <c r="D340" s="68"/>
      <c r="E340" s="68"/>
      <c r="F340" s="67"/>
      <c r="G340" s="67"/>
      <c r="H340" s="69"/>
      <c r="I340" s="69"/>
      <c r="J340" s="70"/>
      <c r="K340" s="69"/>
      <c r="L340" s="69"/>
      <c r="M340" s="71"/>
      <c r="N340" s="72"/>
      <c r="O340" s="73"/>
      <c r="P340" s="73"/>
      <c r="Q340" s="74"/>
      <c r="R340" s="75"/>
      <c r="S340" s="69"/>
      <c r="T340" s="75"/>
      <c r="U340" s="67"/>
    </row>
    <row r="341" spans="2:21" x14ac:dyDescent="0.25">
      <c r="B341" s="67"/>
      <c r="C341" s="68"/>
      <c r="D341" s="68"/>
      <c r="E341" s="68"/>
      <c r="F341" s="67"/>
      <c r="G341" s="67"/>
      <c r="H341" s="69"/>
      <c r="I341" s="69"/>
      <c r="J341" s="70"/>
      <c r="K341" s="69"/>
      <c r="L341" s="69"/>
      <c r="M341" s="71"/>
      <c r="N341" s="72"/>
      <c r="O341" s="73"/>
      <c r="P341" s="73"/>
      <c r="Q341" s="74"/>
      <c r="R341" s="75"/>
      <c r="S341" s="69"/>
      <c r="T341" s="75"/>
      <c r="U341" s="67"/>
    </row>
    <row r="342" spans="2:21" x14ac:dyDescent="0.25">
      <c r="B342" s="67"/>
      <c r="C342" s="68"/>
      <c r="D342" s="68"/>
      <c r="E342" s="68"/>
      <c r="F342" s="67"/>
      <c r="G342" s="67"/>
      <c r="H342" s="69"/>
      <c r="I342" s="69"/>
      <c r="J342" s="70"/>
      <c r="K342" s="69"/>
      <c r="L342" s="69"/>
      <c r="M342" s="71"/>
      <c r="N342" s="72"/>
      <c r="O342" s="73"/>
      <c r="P342" s="73"/>
      <c r="Q342" s="74"/>
      <c r="R342" s="75"/>
      <c r="S342" s="69"/>
      <c r="T342" s="75"/>
      <c r="U342" s="67"/>
    </row>
    <row r="343" spans="2:21" x14ac:dyDescent="0.25">
      <c r="B343" s="67"/>
      <c r="C343" s="68"/>
      <c r="D343" s="68"/>
      <c r="E343" s="68"/>
      <c r="F343" s="67"/>
      <c r="G343" s="67"/>
      <c r="H343" s="69"/>
      <c r="I343" s="69"/>
      <c r="J343" s="70"/>
      <c r="K343" s="69"/>
      <c r="L343" s="69"/>
      <c r="M343" s="71"/>
      <c r="N343" s="72"/>
      <c r="O343" s="73"/>
      <c r="P343" s="73"/>
      <c r="Q343" s="74"/>
      <c r="R343" s="75"/>
      <c r="S343" s="69"/>
      <c r="T343" s="75"/>
      <c r="U343" s="67"/>
    </row>
    <row r="344" spans="2:21" x14ac:dyDescent="0.25">
      <c r="B344" s="67"/>
      <c r="C344" s="68"/>
      <c r="D344" s="68"/>
      <c r="E344" s="68"/>
      <c r="F344" s="67"/>
      <c r="G344" s="67"/>
      <c r="H344" s="69"/>
      <c r="I344" s="69"/>
      <c r="J344" s="70"/>
      <c r="K344" s="69"/>
      <c r="L344" s="69"/>
      <c r="M344" s="71"/>
      <c r="N344" s="72"/>
      <c r="O344" s="73"/>
      <c r="P344" s="73"/>
      <c r="Q344" s="74"/>
      <c r="R344" s="75"/>
      <c r="S344" s="69"/>
      <c r="T344" s="75"/>
      <c r="U344" s="67"/>
    </row>
    <row r="345" spans="2:21" x14ac:dyDescent="0.25">
      <c r="B345" s="67"/>
      <c r="C345" s="68"/>
      <c r="D345" s="68"/>
      <c r="E345" s="68"/>
      <c r="F345" s="67"/>
      <c r="G345" s="67"/>
      <c r="H345" s="69"/>
      <c r="I345" s="69"/>
      <c r="J345" s="70"/>
      <c r="K345" s="69"/>
      <c r="L345" s="69"/>
      <c r="M345" s="71"/>
      <c r="N345" s="72"/>
      <c r="O345" s="73"/>
      <c r="P345" s="73"/>
      <c r="Q345" s="74"/>
      <c r="R345" s="75"/>
      <c r="S345" s="69"/>
      <c r="T345" s="75"/>
      <c r="U345" s="67"/>
    </row>
    <row r="346" spans="2:21" x14ac:dyDescent="0.25">
      <c r="B346" s="67"/>
      <c r="C346" s="68"/>
      <c r="D346" s="68"/>
      <c r="E346" s="68"/>
      <c r="F346" s="67"/>
      <c r="G346" s="67"/>
      <c r="H346" s="69"/>
      <c r="I346" s="69"/>
      <c r="J346" s="70"/>
      <c r="K346" s="69"/>
      <c r="L346" s="69"/>
      <c r="M346" s="71"/>
      <c r="N346" s="72"/>
      <c r="O346" s="73"/>
      <c r="P346" s="73"/>
      <c r="Q346" s="74"/>
      <c r="R346" s="75"/>
      <c r="S346" s="69"/>
      <c r="T346" s="75"/>
      <c r="U346" s="67"/>
    </row>
    <row r="347" spans="2:21" x14ac:dyDescent="0.25">
      <c r="B347" s="67"/>
      <c r="C347" s="68"/>
      <c r="D347" s="68"/>
      <c r="E347" s="68"/>
      <c r="F347" s="67"/>
      <c r="G347" s="67"/>
      <c r="H347" s="69"/>
      <c r="I347" s="69"/>
      <c r="J347" s="70"/>
      <c r="K347" s="69"/>
      <c r="L347" s="69"/>
      <c r="M347" s="71"/>
      <c r="N347" s="72"/>
      <c r="O347" s="73"/>
      <c r="P347" s="73"/>
      <c r="Q347" s="74"/>
      <c r="R347" s="75"/>
      <c r="S347" s="69"/>
      <c r="T347" s="75"/>
      <c r="U347" s="67"/>
    </row>
    <row r="348" spans="2:21" x14ac:dyDescent="0.25">
      <c r="B348" s="67"/>
      <c r="C348" s="68"/>
      <c r="D348" s="68"/>
      <c r="E348" s="68"/>
      <c r="F348" s="67"/>
      <c r="G348" s="67"/>
      <c r="H348" s="69"/>
      <c r="I348" s="69"/>
      <c r="J348" s="70"/>
      <c r="K348" s="69"/>
      <c r="L348" s="69"/>
      <c r="M348" s="71"/>
      <c r="N348" s="72"/>
      <c r="O348" s="73"/>
      <c r="P348" s="73"/>
      <c r="Q348" s="74"/>
      <c r="R348" s="75"/>
      <c r="S348" s="69"/>
      <c r="T348" s="75"/>
      <c r="U348" s="67"/>
    </row>
    <row r="349" spans="2:21" x14ac:dyDescent="0.25">
      <c r="B349" s="67"/>
      <c r="C349" s="68"/>
      <c r="D349" s="68"/>
      <c r="E349" s="68"/>
      <c r="F349" s="67"/>
      <c r="G349" s="67"/>
      <c r="H349" s="69"/>
      <c r="I349" s="69"/>
      <c r="J349" s="70"/>
      <c r="K349" s="69"/>
      <c r="L349" s="69"/>
      <c r="M349" s="71"/>
      <c r="N349" s="72"/>
      <c r="O349" s="73"/>
      <c r="P349" s="73"/>
      <c r="Q349" s="74"/>
      <c r="R349" s="75"/>
      <c r="S349" s="69"/>
      <c r="T349" s="75"/>
      <c r="U349" s="67"/>
    </row>
    <row r="350" spans="2:21" x14ac:dyDescent="0.25">
      <c r="B350" s="67"/>
      <c r="C350" s="68"/>
      <c r="D350" s="68"/>
      <c r="E350" s="68"/>
      <c r="F350" s="67"/>
      <c r="G350" s="67"/>
      <c r="H350" s="69"/>
      <c r="I350" s="69"/>
      <c r="J350" s="70"/>
      <c r="K350" s="69"/>
      <c r="L350" s="69"/>
      <c r="M350" s="71"/>
      <c r="N350" s="72"/>
      <c r="O350" s="73"/>
      <c r="P350" s="73"/>
      <c r="Q350" s="74"/>
      <c r="R350" s="75"/>
      <c r="S350" s="69"/>
      <c r="T350" s="75"/>
      <c r="U350" s="67"/>
    </row>
    <row r="351" spans="2:21" x14ac:dyDescent="0.25">
      <c r="B351" s="67"/>
      <c r="C351" s="68"/>
      <c r="D351" s="68"/>
      <c r="E351" s="68"/>
      <c r="F351" s="67"/>
      <c r="G351" s="67"/>
      <c r="H351" s="69"/>
      <c r="I351" s="69"/>
      <c r="J351" s="70"/>
      <c r="K351" s="69"/>
      <c r="L351" s="69"/>
      <c r="M351" s="71"/>
      <c r="N351" s="72"/>
      <c r="O351" s="73"/>
      <c r="P351" s="73"/>
      <c r="Q351" s="74"/>
      <c r="R351" s="75"/>
      <c r="S351" s="69"/>
      <c r="T351" s="75"/>
      <c r="U351" s="67"/>
    </row>
    <row r="352" spans="2:21" x14ac:dyDescent="0.25">
      <c r="B352" s="67"/>
      <c r="C352" s="68"/>
      <c r="D352" s="68"/>
      <c r="E352" s="68"/>
      <c r="F352" s="67"/>
      <c r="G352" s="67"/>
      <c r="H352" s="69"/>
      <c r="I352" s="69"/>
      <c r="J352" s="70"/>
      <c r="K352" s="69"/>
      <c r="L352" s="69"/>
      <c r="M352" s="71"/>
      <c r="N352" s="72"/>
      <c r="O352" s="73"/>
      <c r="P352" s="73"/>
      <c r="Q352" s="74"/>
      <c r="R352" s="75"/>
      <c r="S352" s="69"/>
      <c r="T352" s="75"/>
      <c r="U352" s="67"/>
    </row>
    <row r="353" spans="2:21" x14ac:dyDescent="0.25">
      <c r="B353" s="67"/>
      <c r="C353" s="68"/>
      <c r="D353" s="68"/>
      <c r="E353" s="68"/>
      <c r="F353" s="67"/>
      <c r="G353" s="67"/>
      <c r="H353" s="69"/>
      <c r="I353" s="69"/>
      <c r="J353" s="70"/>
      <c r="K353" s="69"/>
      <c r="L353" s="69"/>
      <c r="M353" s="71"/>
      <c r="N353" s="72"/>
      <c r="O353" s="73"/>
      <c r="P353" s="73"/>
      <c r="Q353" s="74"/>
      <c r="R353" s="75"/>
      <c r="S353" s="69"/>
      <c r="T353" s="75"/>
      <c r="U353" s="67"/>
    </row>
    <row r="354" spans="2:21" x14ac:dyDescent="0.25">
      <c r="B354" s="67"/>
      <c r="C354" s="68"/>
      <c r="D354" s="68"/>
      <c r="E354" s="68"/>
      <c r="F354" s="67"/>
      <c r="G354" s="67"/>
      <c r="H354" s="69"/>
      <c r="I354" s="69"/>
      <c r="J354" s="70"/>
      <c r="K354" s="69"/>
      <c r="L354" s="69"/>
      <c r="M354" s="71"/>
      <c r="N354" s="72"/>
      <c r="O354" s="73"/>
      <c r="P354" s="73"/>
      <c r="Q354" s="74"/>
      <c r="R354" s="75"/>
      <c r="S354" s="69"/>
      <c r="T354" s="75"/>
      <c r="U354" s="67"/>
    </row>
    <row r="355" spans="2:21" x14ac:dyDescent="0.25">
      <c r="B355" s="67"/>
      <c r="C355" s="68"/>
      <c r="D355" s="68"/>
      <c r="E355" s="68"/>
      <c r="F355" s="67"/>
      <c r="G355" s="67"/>
      <c r="H355" s="69"/>
      <c r="I355" s="69"/>
      <c r="J355" s="70"/>
      <c r="K355" s="69"/>
      <c r="L355" s="69"/>
      <c r="M355" s="71"/>
      <c r="N355" s="72"/>
      <c r="O355" s="73"/>
      <c r="P355" s="73"/>
      <c r="Q355" s="74"/>
      <c r="R355" s="75"/>
      <c r="S355" s="69"/>
      <c r="T355" s="75"/>
      <c r="U355" s="67"/>
    </row>
    <row r="356" spans="2:21" x14ac:dyDescent="0.25">
      <c r="B356" s="67"/>
      <c r="C356" s="68"/>
      <c r="D356" s="68"/>
      <c r="E356" s="68"/>
      <c r="F356" s="67"/>
      <c r="G356" s="67"/>
      <c r="H356" s="69"/>
      <c r="I356" s="69"/>
      <c r="J356" s="70"/>
      <c r="K356" s="69"/>
      <c r="L356" s="69"/>
      <c r="M356" s="71"/>
      <c r="N356" s="72"/>
      <c r="O356" s="73"/>
      <c r="P356" s="73"/>
      <c r="Q356" s="74"/>
      <c r="R356" s="75"/>
      <c r="S356" s="69"/>
      <c r="T356" s="75"/>
      <c r="U356" s="67"/>
    </row>
    <row r="357" spans="2:21" x14ac:dyDescent="0.25">
      <c r="B357" s="67"/>
      <c r="C357" s="68"/>
      <c r="D357" s="68"/>
      <c r="E357" s="68"/>
      <c r="F357" s="67"/>
      <c r="G357" s="67"/>
      <c r="H357" s="69"/>
      <c r="I357" s="69"/>
      <c r="J357" s="70"/>
      <c r="K357" s="69"/>
      <c r="L357" s="69"/>
      <c r="M357" s="71"/>
      <c r="N357" s="72"/>
      <c r="O357" s="73"/>
      <c r="P357" s="73"/>
      <c r="Q357" s="74"/>
      <c r="R357" s="75"/>
      <c r="S357" s="69"/>
      <c r="T357" s="75"/>
      <c r="U357" s="67"/>
    </row>
    <row r="358" spans="2:21" x14ac:dyDescent="0.25">
      <c r="B358" s="67"/>
      <c r="C358" s="68"/>
      <c r="D358" s="68"/>
      <c r="E358" s="68"/>
      <c r="F358" s="67"/>
      <c r="G358" s="67"/>
      <c r="H358" s="69"/>
      <c r="I358" s="69"/>
      <c r="J358" s="70"/>
      <c r="K358" s="69"/>
      <c r="L358" s="69"/>
      <c r="M358" s="71"/>
      <c r="N358" s="72"/>
      <c r="O358" s="73"/>
      <c r="P358" s="73"/>
      <c r="Q358" s="74"/>
      <c r="R358" s="75"/>
      <c r="S358" s="69"/>
      <c r="T358" s="75"/>
      <c r="U358" s="67"/>
    </row>
    <row r="359" spans="2:21" x14ac:dyDescent="0.25">
      <c r="B359" s="67"/>
      <c r="C359" s="68"/>
      <c r="D359" s="68"/>
      <c r="E359" s="68"/>
      <c r="F359" s="67"/>
      <c r="G359" s="67"/>
      <c r="H359" s="69"/>
      <c r="I359" s="69"/>
      <c r="J359" s="70"/>
      <c r="K359" s="69"/>
      <c r="L359" s="69"/>
      <c r="M359" s="71"/>
      <c r="N359" s="72"/>
      <c r="O359" s="73"/>
      <c r="P359" s="73"/>
      <c r="Q359" s="74"/>
      <c r="R359" s="75"/>
      <c r="S359" s="69"/>
      <c r="T359" s="75"/>
      <c r="U359" s="67"/>
    </row>
    <row r="360" spans="2:21" x14ac:dyDescent="0.25">
      <c r="B360" s="67"/>
      <c r="C360" s="68"/>
      <c r="D360" s="68"/>
      <c r="E360" s="68"/>
      <c r="F360" s="67"/>
      <c r="G360" s="67"/>
      <c r="H360" s="69"/>
      <c r="I360" s="69"/>
      <c r="J360" s="70"/>
      <c r="K360" s="69"/>
      <c r="L360" s="69"/>
      <c r="M360" s="71"/>
      <c r="N360" s="72"/>
      <c r="O360" s="73"/>
      <c r="P360" s="73"/>
      <c r="Q360" s="74"/>
      <c r="R360" s="75"/>
      <c r="S360" s="69"/>
      <c r="T360" s="75"/>
      <c r="U360" s="67"/>
    </row>
    <row r="361" spans="2:21" x14ac:dyDescent="0.25">
      <c r="B361" s="67"/>
      <c r="C361" s="68"/>
      <c r="D361" s="68"/>
      <c r="E361" s="68"/>
      <c r="F361" s="67"/>
      <c r="G361" s="67"/>
      <c r="H361" s="69"/>
      <c r="I361" s="69"/>
      <c r="J361" s="70"/>
      <c r="K361" s="69"/>
      <c r="L361" s="69"/>
      <c r="M361" s="71"/>
      <c r="N361" s="72"/>
      <c r="O361" s="73"/>
      <c r="P361" s="73"/>
      <c r="Q361" s="74"/>
      <c r="R361" s="75"/>
      <c r="S361" s="69"/>
      <c r="T361" s="75"/>
      <c r="U361" s="67"/>
    </row>
    <row r="362" spans="2:21" x14ac:dyDescent="0.25">
      <c r="B362" s="67"/>
      <c r="C362" s="68"/>
      <c r="D362" s="68"/>
      <c r="E362" s="68"/>
      <c r="F362" s="67"/>
      <c r="G362" s="67"/>
      <c r="H362" s="69"/>
      <c r="I362" s="69"/>
      <c r="J362" s="70"/>
      <c r="K362" s="69"/>
      <c r="L362" s="69"/>
      <c r="M362" s="71"/>
      <c r="N362" s="72"/>
      <c r="O362" s="73"/>
      <c r="P362" s="73"/>
      <c r="Q362" s="74"/>
      <c r="R362" s="75"/>
      <c r="S362" s="69"/>
      <c r="T362" s="75"/>
      <c r="U362" s="67"/>
    </row>
    <row r="363" spans="2:21" x14ac:dyDescent="0.25">
      <c r="B363" s="67"/>
      <c r="C363" s="68"/>
      <c r="D363" s="68"/>
      <c r="E363" s="68"/>
      <c r="F363" s="67"/>
      <c r="G363" s="67"/>
      <c r="H363" s="69"/>
      <c r="I363" s="69"/>
      <c r="J363" s="70"/>
      <c r="K363" s="69"/>
      <c r="L363" s="69"/>
      <c r="M363" s="71"/>
      <c r="N363" s="72"/>
      <c r="O363" s="73"/>
      <c r="P363" s="73"/>
      <c r="Q363" s="74"/>
      <c r="R363" s="75"/>
      <c r="S363" s="69"/>
      <c r="T363" s="75"/>
      <c r="U363" s="67"/>
    </row>
    <row r="364" spans="2:21" x14ac:dyDescent="0.25">
      <c r="B364" s="67"/>
      <c r="C364" s="68"/>
      <c r="D364" s="68"/>
      <c r="E364" s="68"/>
      <c r="F364" s="67"/>
      <c r="G364" s="67"/>
      <c r="H364" s="69"/>
      <c r="I364" s="69"/>
      <c r="J364" s="70"/>
      <c r="K364" s="69"/>
      <c r="L364" s="69"/>
      <c r="M364" s="71"/>
      <c r="N364" s="72"/>
      <c r="O364" s="73"/>
      <c r="P364" s="73"/>
      <c r="Q364" s="74"/>
      <c r="R364" s="75"/>
      <c r="S364" s="69"/>
      <c r="T364" s="75"/>
      <c r="U364" s="67"/>
    </row>
    <row r="365" spans="2:21" x14ac:dyDescent="0.25">
      <c r="B365" s="67"/>
      <c r="C365" s="68"/>
      <c r="D365" s="68"/>
      <c r="E365" s="68"/>
      <c r="F365" s="67"/>
      <c r="G365" s="67"/>
      <c r="H365" s="69"/>
      <c r="I365" s="69"/>
      <c r="J365" s="70"/>
      <c r="K365" s="69"/>
      <c r="L365" s="69"/>
      <c r="M365" s="71"/>
      <c r="N365" s="72"/>
      <c r="O365" s="73"/>
      <c r="P365" s="73"/>
      <c r="Q365" s="74"/>
      <c r="R365" s="75"/>
      <c r="S365" s="69"/>
      <c r="T365" s="75"/>
      <c r="U365" s="67"/>
    </row>
    <row r="366" spans="2:21" x14ac:dyDescent="0.25">
      <c r="B366" s="67"/>
      <c r="C366" s="68"/>
      <c r="D366" s="68"/>
      <c r="E366" s="68"/>
      <c r="F366" s="67"/>
      <c r="G366" s="67"/>
      <c r="H366" s="69"/>
      <c r="I366" s="69"/>
      <c r="J366" s="70"/>
      <c r="K366" s="69"/>
      <c r="L366" s="69"/>
      <c r="M366" s="71"/>
      <c r="N366" s="72"/>
      <c r="O366" s="73"/>
      <c r="P366" s="73"/>
      <c r="Q366" s="74"/>
      <c r="R366" s="75"/>
      <c r="S366" s="69"/>
      <c r="T366" s="75"/>
      <c r="U366" s="67"/>
    </row>
    <row r="367" spans="2:21" x14ac:dyDescent="0.25">
      <c r="B367" s="67"/>
      <c r="C367" s="68"/>
      <c r="D367" s="68"/>
      <c r="E367" s="68"/>
      <c r="F367" s="67"/>
      <c r="G367" s="67"/>
      <c r="H367" s="69"/>
      <c r="I367" s="69"/>
      <c r="J367" s="70"/>
      <c r="K367" s="69"/>
      <c r="L367" s="69"/>
      <c r="M367" s="71"/>
      <c r="N367" s="72"/>
      <c r="O367" s="73"/>
      <c r="P367" s="73"/>
      <c r="Q367" s="74"/>
      <c r="R367" s="75"/>
      <c r="S367" s="69"/>
      <c r="T367" s="75"/>
      <c r="U367" s="67"/>
    </row>
    <row r="368" spans="2:21" x14ac:dyDescent="0.25">
      <c r="B368" s="67"/>
      <c r="C368" s="68"/>
      <c r="D368" s="68"/>
      <c r="E368" s="68"/>
      <c r="F368" s="67"/>
      <c r="G368" s="67"/>
      <c r="H368" s="69"/>
      <c r="I368" s="69"/>
      <c r="J368" s="70"/>
      <c r="K368" s="69"/>
      <c r="L368" s="69"/>
      <c r="M368" s="71"/>
      <c r="N368" s="72"/>
      <c r="O368" s="73"/>
      <c r="P368" s="73"/>
      <c r="Q368" s="74"/>
      <c r="R368" s="75"/>
      <c r="S368" s="69"/>
      <c r="T368" s="75"/>
      <c r="U368" s="67"/>
    </row>
    <row r="369" spans="2:21" x14ac:dyDescent="0.25">
      <c r="B369" s="67"/>
      <c r="C369" s="68"/>
      <c r="D369" s="68"/>
      <c r="E369" s="68"/>
      <c r="F369" s="67"/>
      <c r="G369" s="67"/>
      <c r="H369" s="69"/>
      <c r="I369" s="69"/>
      <c r="J369" s="70"/>
      <c r="K369" s="69"/>
      <c r="L369" s="69"/>
      <c r="M369" s="71"/>
      <c r="N369" s="72"/>
      <c r="O369" s="73"/>
      <c r="P369" s="73"/>
      <c r="Q369" s="74"/>
      <c r="R369" s="75"/>
      <c r="S369" s="69"/>
      <c r="T369" s="75"/>
      <c r="U369" s="67"/>
    </row>
    <row r="370" spans="2:21" x14ac:dyDescent="0.25">
      <c r="B370" s="67"/>
      <c r="C370" s="68"/>
      <c r="D370" s="68"/>
      <c r="E370" s="68"/>
      <c r="F370" s="67"/>
      <c r="G370" s="67"/>
      <c r="H370" s="69"/>
      <c r="I370" s="69"/>
      <c r="J370" s="70"/>
      <c r="K370" s="69"/>
      <c r="L370" s="69"/>
      <c r="M370" s="71"/>
      <c r="N370" s="72"/>
      <c r="O370" s="73"/>
      <c r="P370" s="73"/>
      <c r="Q370" s="74"/>
      <c r="R370" s="75"/>
      <c r="S370" s="69"/>
      <c r="T370" s="75"/>
      <c r="U370" s="67"/>
    </row>
    <row r="371" spans="2:21" x14ac:dyDescent="0.25">
      <c r="B371" s="67"/>
      <c r="C371" s="68"/>
      <c r="D371" s="68"/>
      <c r="E371" s="68"/>
      <c r="F371" s="67"/>
      <c r="G371" s="67"/>
      <c r="H371" s="69"/>
      <c r="I371" s="69"/>
      <c r="J371" s="70"/>
      <c r="K371" s="69"/>
      <c r="L371" s="69"/>
      <c r="M371" s="71"/>
      <c r="N371" s="72"/>
      <c r="O371" s="73"/>
      <c r="P371" s="73"/>
      <c r="Q371" s="74"/>
      <c r="R371" s="75"/>
      <c r="S371" s="69"/>
      <c r="T371" s="75"/>
      <c r="U371" s="67"/>
    </row>
    <row r="372" spans="2:21" x14ac:dyDescent="0.25">
      <c r="B372" s="67"/>
      <c r="C372" s="68"/>
      <c r="D372" s="68"/>
      <c r="E372" s="68"/>
      <c r="F372" s="67"/>
      <c r="G372" s="67"/>
      <c r="H372" s="69"/>
      <c r="I372" s="69"/>
      <c r="J372" s="70"/>
      <c r="K372" s="69"/>
      <c r="L372" s="69"/>
      <c r="M372" s="71"/>
      <c r="N372" s="72"/>
      <c r="O372" s="73"/>
      <c r="P372" s="73"/>
      <c r="Q372" s="74"/>
      <c r="R372" s="75"/>
      <c r="S372" s="69"/>
      <c r="T372" s="75"/>
      <c r="U372" s="67"/>
    </row>
    <row r="373" spans="2:21" x14ac:dyDescent="0.25">
      <c r="B373" s="67"/>
      <c r="C373" s="68"/>
      <c r="D373" s="68"/>
      <c r="E373" s="68"/>
      <c r="F373" s="67"/>
      <c r="G373" s="67"/>
      <c r="H373" s="69"/>
      <c r="I373" s="69"/>
      <c r="J373" s="70"/>
      <c r="K373" s="69"/>
      <c r="L373" s="69"/>
      <c r="M373" s="71"/>
      <c r="N373" s="72"/>
      <c r="O373" s="73"/>
      <c r="P373" s="73"/>
      <c r="Q373" s="74"/>
      <c r="R373" s="75"/>
      <c r="S373" s="69"/>
      <c r="T373" s="75"/>
      <c r="U373" s="67"/>
    </row>
    <row r="374" spans="2:21" x14ac:dyDescent="0.25">
      <c r="B374" s="67"/>
      <c r="C374" s="68"/>
      <c r="D374" s="68"/>
      <c r="E374" s="68"/>
      <c r="F374" s="67"/>
      <c r="G374" s="67"/>
      <c r="H374" s="69"/>
      <c r="I374" s="69"/>
      <c r="J374" s="70"/>
      <c r="K374" s="69"/>
      <c r="L374" s="69"/>
      <c r="M374" s="71"/>
      <c r="N374" s="72"/>
      <c r="O374" s="73"/>
      <c r="P374" s="73"/>
      <c r="Q374" s="74"/>
      <c r="R374" s="75"/>
      <c r="S374" s="69"/>
      <c r="T374" s="75"/>
      <c r="U374" s="67"/>
    </row>
    <row r="375" spans="2:21" x14ac:dyDescent="0.25">
      <c r="B375" s="67"/>
      <c r="C375" s="68"/>
      <c r="D375" s="68"/>
      <c r="E375" s="68"/>
      <c r="F375" s="67"/>
      <c r="G375" s="67"/>
      <c r="H375" s="69"/>
      <c r="I375" s="69"/>
      <c r="J375" s="70"/>
      <c r="K375" s="69"/>
      <c r="L375" s="69"/>
      <c r="M375" s="71"/>
      <c r="N375" s="72"/>
      <c r="O375" s="73"/>
      <c r="P375" s="73"/>
      <c r="Q375" s="74"/>
      <c r="R375" s="75"/>
      <c r="S375" s="69"/>
      <c r="T375" s="75"/>
      <c r="U375" s="67"/>
    </row>
    <row r="376" spans="2:21" x14ac:dyDescent="0.25">
      <c r="B376" s="67"/>
      <c r="C376" s="68"/>
      <c r="D376" s="68"/>
      <c r="E376" s="68"/>
      <c r="F376" s="67"/>
      <c r="G376" s="67"/>
      <c r="H376" s="69"/>
      <c r="I376" s="69"/>
      <c r="J376" s="70"/>
      <c r="K376" s="69"/>
      <c r="L376" s="69"/>
      <c r="M376" s="71"/>
      <c r="N376" s="72"/>
      <c r="O376" s="73"/>
      <c r="P376" s="73"/>
      <c r="Q376" s="74"/>
      <c r="R376" s="75"/>
      <c r="S376" s="69"/>
      <c r="T376" s="75"/>
      <c r="U376" s="67"/>
    </row>
    <row r="377" spans="2:21" x14ac:dyDescent="0.25">
      <c r="B377" s="67"/>
      <c r="C377" s="68"/>
      <c r="D377" s="68"/>
      <c r="E377" s="68"/>
      <c r="F377" s="67"/>
      <c r="G377" s="67"/>
      <c r="H377" s="69"/>
      <c r="I377" s="69"/>
      <c r="J377" s="70"/>
      <c r="K377" s="69"/>
      <c r="L377" s="69"/>
      <c r="M377" s="71"/>
      <c r="N377" s="72"/>
      <c r="O377" s="73"/>
      <c r="P377" s="73"/>
      <c r="Q377" s="74"/>
      <c r="R377" s="75"/>
      <c r="S377" s="69"/>
      <c r="T377" s="75"/>
      <c r="U377" s="67"/>
    </row>
    <row r="378" spans="2:21" x14ac:dyDescent="0.25">
      <c r="B378" s="67"/>
      <c r="C378" s="68"/>
      <c r="D378" s="68"/>
      <c r="E378" s="68"/>
      <c r="F378" s="67"/>
      <c r="G378" s="67"/>
      <c r="H378" s="69"/>
      <c r="I378" s="69"/>
      <c r="J378" s="70"/>
      <c r="K378" s="69"/>
      <c r="L378" s="69"/>
      <c r="M378" s="71"/>
      <c r="N378" s="72"/>
      <c r="O378" s="73"/>
      <c r="P378" s="73"/>
      <c r="Q378" s="74"/>
      <c r="R378" s="75"/>
      <c r="S378" s="69"/>
      <c r="T378" s="75"/>
      <c r="U378" s="67"/>
    </row>
    <row r="379" spans="2:21" x14ac:dyDescent="0.25">
      <c r="B379" s="67"/>
      <c r="C379" s="68"/>
      <c r="D379" s="68"/>
      <c r="E379" s="68"/>
      <c r="F379" s="67"/>
      <c r="G379" s="67"/>
      <c r="H379" s="69"/>
      <c r="I379" s="69"/>
      <c r="J379" s="70"/>
      <c r="K379" s="69"/>
      <c r="L379" s="69"/>
      <c r="M379" s="71"/>
      <c r="N379" s="72"/>
      <c r="O379" s="73"/>
      <c r="P379" s="73"/>
      <c r="Q379" s="74"/>
      <c r="R379" s="75"/>
      <c r="S379" s="69"/>
      <c r="T379" s="75"/>
      <c r="U379" s="67"/>
    </row>
    <row r="380" spans="2:21" x14ac:dyDescent="0.25">
      <c r="B380" s="67"/>
      <c r="C380" s="68"/>
      <c r="D380" s="68"/>
      <c r="E380" s="68"/>
      <c r="F380" s="67"/>
      <c r="G380" s="67"/>
      <c r="H380" s="69"/>
      <c r="I380" s="69"/>
      <c r="J380" s="70"/>
      <c r="K380" s="69"/>
      <c r="L380" s="69"/>
      <c r="M380" s="71"/>
      <c r="N380" s="72"/>
      <c r="O380" s="73"/>
      <c r="P380" s="73"/>
      <c r="Q380" s="74"/>
      <c r="R380" s="75"/>
      <c r="S380" s="69"/>
      <c r="T380" s="75"/>
      <c r="U380" s="67"/>
    </row>
    <row r="381" spans="2:21" x14ac:dyDescent="0.25">
      <c r="B381" s="67"/>
      <c r="C381" s="68"/>
      <c r="D381" s="68"/>
      <c r="E381" s="68"/>
      <c r="F381" s="67"/>
      <c r="G381" s="67"/>
      <c r="H381" s="69"/>
      <c r="I381" s="69"/>
      <c r="J381" s="70"/>
      <c r="K381" s="69"/>
      <c r="L381" s="69"/>
      <c r="M381" s="71"/>
      <c r="N381" s="72"/>
      <c r="O381" s="73"/>
      <c r="P381" s="73"/>
      <c r="Q381" s="74"/>
      <c r="R381" s="75"/>
      <c r="S381" s="69"/>
      <c r="T381" s="75"/>
      <c r="U381" s="67"/>
    </row>
    <row r="382" spans="2:21" x14ac:dyDescent="0.25">
      <c r="B382" s="67"/>
      <c r="C382" s="68"/>
      <c r="D382" s="68"/>
      <c r="E382" s="68"/>
      <c r="F382" s="67"/>
      <c r="G382" s="67"/>
      <c r="H382" s="69"/>
      <c r="I382" s="69"/>
      <c r="J382" s="70"/>
      <c r="K382" s="69"/>
      <c r="L382" s="69"/>
      <c r="M382" s="71"/>
      <c r="N382" s="72"/>
      <c r="O382" s="73"/>
      <c r="P382" s="73"/>
      <c r="Q382" s="74"/>
      <c r="R382" s="75"/>
      <c r="S382" s="69"/>
      <c r="T382" s="75"/>
      <c r="U382" s="67"/>
    </row>
    <row r="383" spans="2:21" x14ac:dyDescent="0.25">
      <c r="B383" s="67"/>
      <c r="C383" s="68"/>
      <c r="D383" s="68"/>
      <c r="E383" s="68"/>
      <c r="F383" s="67"/>
      <c r="G383" s="67"/>
      <c r="H383" s="69"/>
      <c r="I383" s="69"/>
      <c r="J383" s="70"/>
      <c r="K383" s="69"/>
      <c r="L383" s="69"/>
      <c r="M383" s="71"/>
      <c r="N383" s="72"/>
      <c r="O383" s="73"/>
      <c r="P383" s="73"/>
      <c r="Q383" s="74"/>
      <c r="R383" s="75"/>
      <c r="S383" s="69"/>
      <c r="T383" s="75"/>
      <c r="U383" s="67"/>
    </row>
    <row r="384" spans="2:21" x14ac:dyDescent="0.25">
      <c r="B384" s="67"/>
      <c r="C384" s="68"/>
      <c r="D384" s="68"/>
      <c r="E384" s="68"/>
      <c r="F384" s="67"/>
      <c r="G384" s="67"/>
      <c r="H384" s="69"/>
      <c r="I384" s="69"/>
      <c r="J384" s="70"/>
      <c r="K384" s="69"/>
      <c r="L384" s="69"/>
      <c r="M384" s="71"/>
      <c r="N384" s="72"/>
      <c r="O384" s="73"/>
      <c r="P384" s="73"/>
      <c r="Q384" s="74"/>
      <c r="R384" s="75"/>
      <c r="S384" s="69"/>
      <c r="T384" s="75"/>
      <c r="U384" s="67"/>
    </row>
    <row r="385" spans="2:21" x14ac:dyDescent="0.25">
      <c r="B385" s="67"/>
      <c r="C385" s="68"/>
      <c r="D385" s="68"/>
      <c r="E385" s="68"/>
      <c r="F385" s="67"/>
      <c r="G385" s="67"/>
      <c r="H385" s="69"/>
      <c r="I385" s="69"/>
      <c r="J385" s="70"/>
      <c r="K385" s="69"/>
      <c r="L385" s="69"/>
      <c r="M385" s="71"/>
      <c r="N385" s="72"/>
      <c r="O385" s="73"/>
      <c r="P385" s="73"/>
      <c r="Q385" s="74"/>
      <c r="R385" s="75"/>
      <c r="S385" s="69"/>
      <c r="T385" s="75"/>
      <c r="U385" s="67"/>
    </row>
    <row r="386" spans="2:21" x14ac:dyDescent="0.25">
      <c r="B386" s="67"/>
      <c r="C386" s="68"/>
      <c r="D386" s="68"/>
      <c r="E386" s="68"/>
      <c r="F386" s="67"/>
      <c r="G386" s="67"/>
      <c r="H386" s="69"/>
      <c r="I386" s="69"/>
      <c r="J386" s="70"/>
      <c r="K386" s="69"/>
      <c r="L386" s="69"/>
      <c r="M386" s="71"/>
      <c r="N386" s="72"/>
      <c r="O386" s="73"/>
      <c r="P386" s="73"/>
      <c r="Q386" s="74"/>
      <c r="R386" s="75"/>
      <c r="S386" s="69"/>
      <c r="T386" s="75"/>
      <c r="U386" s="67"/>
    </row>
    <row r="387" spans="2:21" x14ac:dyDescent="0.25">
      <c r="B387" s="67"/>
      <c r="C387" s="68"/>
      <c r="D387" s="68"/>
      <c r="E387" s="68"/>
      <c r="F387" s="67"/>
      <c r="G387" s="67"/>
      <c r="H387" s="69"/>
      <c r="I387" s="69"/>
      <c r="J387" s="70"/>
      <c r="K387" s="69"/>
      <c r="L387" s="69"/>
      <c r="M387" s="71"/>
      <c r="N387" s="72"/>
      <c r="O387" s="73"/>
      <c r="P387" s="73"/>
      <c r="Q387" s="74"/>
      <c r="R387" s="75"/>
      <c r="S387" s="69"/>
      <c r="T387" s="75"/>
      <c r="U387" s="67"/>
    </row>
    <row r="388" spans="2:21" x14ac:dyDescent="0.25">
      <c r="B388" s="67"/>
      <c r="C388" s="68"/>
      <c r="D388" s="68"/>
      <c r="E388" s="68"/>
      <c r="F388" s="67"/>
      <c r="G388" s="67"/>
      <c r="H388" s="69"/>
      <c r="I388" s="69"/>
      <c r="J388" s="70"/>
      <c r="K388" s="69"/>
      <c r="L388" s="69"/>
      <c r="M388" s="71"/>
      <c r="N388" s="72"/>
      <c r="O388" s="73"/>
      <c r="P388" s="73"/>
      <c r="Q388" s="74"/>
      <c r="R388" s="75"/>
      <c r="S388" s="69"/>
      <c r="T388" s="75"/>
      <c r="U388" s="67"/>
    </row>
    <row r="389" spans="2:21" x14ac:dyDescent="0.25">
      <c r="B389" s="67"/>
      <c r="C389" s="68"/>
      <c r="D389" s="68"/>
      <c r="E389" s="68"/>
      <c r="F389" s="67"/>
      <c r="G389" s="67"/>
      <c r="H389" s="69"/>
      <c r="I389" s="69"/>
      <c r="J389" s="70"/>
      <c r="K389" s="69"/>
      <c r="L389" s="69"/>
      <c r="M389" s="71"/>
      <c r="N389" s="72"/>
      <c r="O389" s="73"/>
      <c r="P389" s="73"/>
      <c r="Q389" s="74"/>
      <c r="R389" s="75"/>
      <c r="S389" s="69"/>
      <c r="T389" s="75"/>
      <c r="U389" s="67"/>
    </row>
    <row r="390" spans="2:21" x14ac:dyDescent="0.25">
      <c r="B390" s="67"/>
      <c r="C390" s="68"/>
      <c r="D390" s="68"/>
      <c r="E390" s="68"/>
      <c r="F390" s="67"/>
      <c r="G390" s="67"/>
      <c r="H390" s="69"/>
      <c r="I390" s="69"/>
      <c r="J390" s="70"/>
      <c r="K390" s="69"/>
      <c r="L390" s="69"/>
      <c r="M390" s="71"/>
      <c r="N390" s="72"/>
      <c r="O390" s="73"/>
      <c r="P390" s="73"/>
      <c r="Q390" s="74"/>
      <c r="R390" s="75"/>
      <c r="S390" s="69"/>
      <c r="T390" s="75"/>
      <c r="U390" s="67"/>
    </row>
    <row r="391" spans="2:21" x14ac:dyDescent="0.25">
      <c r="B391" s="67"/>
      <c r="C391" s="68"/>
      <c r="D391" s="68"/>
      <c r="E391" s="68"/>
      <c r="F391" s="67"/>
      <c r="G391" s="67"/>
      <c r="H391" s="69"/>
      <c r="I391" s="69"/>
      <c r="J391" s="70"/>
      <c r="K391" s="69"/>
      <c r="L391" s="69"/>
      <c r="M391" s="71"/>
      <c r="N391" s="72"/>
      <c r="O391" s="73"/>
      <c r="P391" s="73"/>
      <c r="Q391" s="74"/>
      <c r="R391" s="75"/>
      <c r="S391" s="69"/>
      <c r="T391" s="75"/>
      <c r="U391" s="67"/>
    </row>
    <row r="392" spans="2:21" x14ac:dyDescent="0.25">
      <c r="B392" s="67"/>
      <c r="C392" s="68"/>
      <c r="D392" s="68"/>
      <c r="E392" s="68"/>
      <c r="F392" s="67"/>
      <c r="G392" s="67"/>
      <c r="H392" s="69"/>
      <c r="I392" s="69"/>
      <c r="J392" s="70"/>
      <c r="K392" s="69"/>
      <c r="L392" s="69"/>
      <c r="M392" s="71"/>
      <c r="N392" s="72"/>
      <c r="O392" s="73"/>
      <c r="P392" s="73"/>
      <c r="Q392" s="74"/>
      <c r="R392" s="75"/>
      <c r="S392" s="69"/>
      <c r="T392" s="75"/>
      <c r="U392" s="67"/>
    </row>
    <row r="393" spans="2:21" x14ac:dyDescent="0.25">
      <c r="B393" s="67"/>
      <c r="C393" s="68"/>
      <c r="D393" s="68"/>
      <c r="E393" s="68"/>
      <c r="F393" s="67"/>
      <c r="G393" s="67"/>
      <c r="H393" s="69"/>
      <c r="I393" s="69"/>
      <c r="J393" s="70"/>
      <c r="K393" s="69"/>
      <c r="L393" s="69"/>
      <c r="M393" s="71"/>
      <c r="N393" s="72"/>
      <c r="O393" s="73"/>
      <c r="P393" s="73"/>
      <c r="Q393" s="74"/>
      <c r="R393" s="75"/>
      <c r="S393" s="69"/>
      <c r="T393" s="75"/>
      <c r="U393" s="67"/>
    </row>
    <row r="394" spans="2:21" x14ac:dyDescent="0.25">
      <c r="B394" s="67"/>
      <c r="C394" s="68"/>
      <c r="D394" s="68"/>
      <c r="E394" s="68"/>
      <c r="F394" s="67"/>
      <c r="G394" s="67"/>
      <c r="H394" s="69"/>
      <c r="I394" s="69"/>
      <c r="J394" s="70"/>
      <c r="K394" s="69"/>
      <c r="L394" s="69"/>
      <c r="M394" s="71"/>
      <c r="N394" s="72"/>
      <c r="O394" s="73"/>
      <c r="P394" s="73"/>
      <c r="Q394" s="74"/>
      <c r="R394" s="75"/>
      <c r="S394" s="69"/>
      <c r="T394" s="75"/>
      <c r="U394" s="67"/>
    </row>
    <row r="395" spans="2:21" x14ac:dyDescent="0.25">
      <c r="B395" s="67"/>
      <c r="C395" s="68"/>
      <c r="D395" s="68"/>
      <c r="E395" s="68"/>
      <c r="F395" s="67"/>
      <c r="G395" s="67"/>
      <c r="H395" s="69"/>
      <c r="I395" s="69"/>
      <c r="J395" s="70"/>
      <c r="K395" s="69"/>
      <c r="L395" s="69"/>
      <c r="M395" s="71"/>
      <c r="N395" s="72"/>
      <c r="O395" s="73"/>
      <c r="P395" s="73"/>
      <c r="Q395" s="74"/>
      <c r="R395" s="75"/>
      <c r="S395" s="69"/>
      <c r="T395" s="75"/>
      <c r="U395" s="67"/>
    </row>
    <row r="396" spans="2:21" x14ac:dyDescent="0.25">
      <c r="B396" s="67"/>
      <c r="C396" s="68"/>
      <c r="D396" s="68"/>
      <c r="E396" s="68"/>
      <c r="F396" s="67"/>
      <c r="G396" s="67"/>
      <c r="H396" s="69"/>
      <c r="I396" s="69"/>
      <c r="J396" s="70"/>
      <c r="K396" s="69"/>
      <c r="L396" s="69"/>
      <c r="M396" s="71"/>
      <c r="N396" s="72"/>
      <c r="O396" s="73"/>
      <c r="P396" s="73"/>
      <c r="Q396" s="74"/>
      <c r="R396" s="75"/>
      <c r="S396" s="69"/>
      <c r="T396" s="75"/>
      <c r="U396" s="67"/>
    </row>
    <row r="397" spans="2:21" x14ac:dyDescent="0.25">
      <c r="B397" s="67"/>
      <c r="C397" s="68"/>
      <c r="D397" s="68"/>
      <c r="E397" s="68"/>
      <c r="F397" s="67"/>
      <c r="G397" s="67"/>
      <c r="H397" s="69"/>
      <c r="I397" s="69"/>
      <c r="J397" s="70"/>
      <c r="K397" s="69"/>
      <c r="L397" s="69"/>
      <c r="M397" s="71"/>
      <c r="N397" s="72"/>
      <c r="O397" s="73"/>
      <c r="P397" s="73"/>
      <c r="Q397" s="74"/>
      <c r="R397" s="75"/>
      <c r="S397" s="69"/>
      <c r="T397" s="75"/>
      <c r="U397" s="67"/>
    </row>
    <row r="398" spans="2:21" x14ac:dyDescent="0.25">
      <c r="B398" s="67"/>
      <c r="C398" s="68"/>
      <c r="D398" s="68"/>
      <c r="E398" s="68"/>
      <c r="F398" s="67"/>
      <c r="G398" s="67"/>
      <c r="H398" s="69"/>
      <c r="I398" s="69"/>
      <c r="J398" s="70"/>
      <c r="K398" s="69"/>
      <c r="L398" s="69"/>
      <c r="M398" s="71"/>
      <c r="N398" s="72"/>
      <c r="O398" s="73"/>
      <c r="P398" s="73"/>
      <c r="Q398" s="74"/>
      <c r="R398" s="75"/>
      <c r="S398" s="69"/>
      <c r="T398" s="75"/>
      <c r="U398" s="67"/>
    </row>
    <row r="399" spans="2:21" x14ac:dyDescent="0.25">
      <c r="B399" s="67"/>
      <c r="C399" s="68"/>
      <c r="D399" s="68"/>
      <c r="E399" s="68"/>
      <c r="F399" s="67"/>
      <c r="G399" s="67"/>
      <c r="H399" s="69"/>
      <c r="I399" s="69"/>
      <c r="J399" s="70"/>
      <c r="K399" s="69"/>
      <c r="L399" s="69"/>
      <c r="M399" s="71"/>
      <c r="N399" s="72"/>
      <c r="O399" s="73"/>
      <c r="P399" s="73"/>
      <c r="Q399" s="74"/>
      <c r="R399" s="75"/>
      <c r="S399" s="69"/>
      <c r="T399" s="75"/>
      <c r="U399" s="67"/>
    </row>
    <row r="400" spans="2:21" x14ac:dyDescent="0.25">
      <c r="B400" s="67"/>
      <c r="C400" s="68"/>
      <c r="D400" s="68"/>
      <c r="E400" s="68"/>
      <c r="F400" s="67"/>
      <c r="G400" s="67"/>
      <c r="H400" s="69"/>
      <c r="I400" s="69"/>
      <c r="J400" s="70"/>
      <c r="K400" s="69"/>
      <c r="L400" s="69"/>
      <c r="M400" s="71"/>
      <c r="N400" s="72"/>
      <c r="O400" s="73"/>
      <c r="P400" s="73"/>
      <c r="Q400" s="74"/>
      <c r="R400" s="75"/>
      <c r="S400" s="69"/>
      <c r="T400" s="75"/>
      <c r="U400" s="67"/>
    </row>
    <row r="401" spans="2:21" x14ac:dyDescent="0.25">
      <c r="B401" s="67"/>
      <c r="C401" s="68"/>
      <c r="D401" s="68"/>
      <c r="E401" s="68"/>
      <c r="F401" s="67"/>
      <c r="G401" s="67"/>
      <c r="H401" s="69"/>
      <c r="I401" s="69"/>
      <c r="J401" s="70"/>
      <c r="K401" s="69"/>
      <c r="L401" s="69"/>
      <c r="M401" s="71"/>
      <c r="N401" s="72"/>
      <c r="O401" s="73"/>
      <c r="P401" s="73"/>
      <c r="Q401" s="74"/>
      <c r="R401" s="75"/>
      <c r="S401" s="69"/>
      <c r="T401" s="75"/>
      <c r="U401" s="67"/>
    </row>
    <row r="402" spans="2:21" x14ac:dyDescent="0.25">
      <c r="B402" s="67"/>
      <c r="C402" s="68"/>
      <c r="D402" s="68"/>
      <c r="E402" s="68"/>
      <c r="F402" s="67"/>
      <c r="G402" s="67"/>
      <c r="H402" s="69"/>
      <c r="I402" s="69"/>
      <c r="J402" s="70"/>
      <c r="K402" s="69"/>
      <c r="L402" s="69"/>
      <c r="M402" s="71"/>
      <c r="N402" s="72"/>
      <c r="O402" s="73"/>
      <c r="P402" s="73"/>
      <c r="Q402" s="74"/>
      <c r="R402" s="75"/>
      <c r="S402" s="69"/>
      <c r="T402" s="75"/>
      <c r="U402" s="67"/>
    </row>
    <row r="403" spans="2:21" x14ac:dyDescent="0.25">
      <c r="B403" s="67"/>
      <c r="C403" s="68"/>
      <c r="D403" s="68"/>
      <c r="E403" s="68"/>
      <c r="F403" s="67"/>
      <c r="G403" s="67"/>
      <c r="H403" s="69"/>
      <c r="I403" s="69"/>
      <c r="J403" s="70"/>
      <c r="K403" s="69"/>
      <c r="L403" s="69"/>
      <c r="M403" s="71"/>
      <c r="N403" s="72"/>
      <c r="O403" s="73"/>
      <c r="P403" s="73"/>
      <c r="Q403" s="74"/>
      <c r="R403" s="75"/>
      <c r="S403" s="69"/>
      <c r="T403" s="75"/>
      <c r="U403" s="67"/>
    </row>
    <row r="404" spans="2:21" x14ac:dyDescent="0.25">
      <c r="B404" s="67"/>
      <c r="C404" s="68"/>
      <c r="D404" s="68"/>
      <c r="E404" s="68"/>
      <c r="F404" s="67"/>
      <c r="G404" s="67"/>
      <c r="H404" s="69"/>
      <c r="I404" s="69"/>
      <c r="J404" s="70"/>
      <c r="K404" s="69"/>
      <c r="L404" s="69"/>
      <c r="M404" s="71"/>
      <c r="N404" s="72"/>
      <c r="O404" s="73"/>
      <c r="P404" s="73"/>
      <c r="Q404" s="74"/>
      <c r="R404" s="75"/>
      <c r="S404" s="69"/>
      <c r="T404" s="75"/>
      <c r="U404" s="67"/>
    </row>
    <row r="405" spans="2:21" x14ac:dyDescent="0.25">
      <c r="B405" s="67"/>
      <c r="C405" s="68"/>
      <c r="D405" s="68"/>
      <c r="E405" s="68"/>
      <c r="F405" s="67"/>
      <c r="G405" s="67"/>
      <c r="H405" s="69"/>
      <c r="I405" s="69"/>
      <c r="J405" s="70"/>
      <c r="K405" s="69"/>
      <c r="L405" s="69"/>
      <c r="M405" s="71"/>
      <c r="N405" s="72"/>
      <c r="O405" s="73"/>
      <c r="P405" s="73"/>
      <c r="Q405" s="74"/>
      <c r="R405" s="75"/>
      <c r="S405" s="69"/>
      <c r="T405" s="75"/>
      <c r="U405" s="67"/>
    </row>
    <row r="406" spans="2:21" x14ac:dyDescent="0.25">
      <c r="B406" s="67"/>
      <c r="C406" s="68"/>
      <c r="D406" s="68"/>
      <c r="E406" s="68"/>
      <c r="F406" s="67"/>
      <c r="G406" s="67"/>
      <c r="H406" s="69"/>
      <c r="I406" s="69"/>
      <c r="J406" s="70"/>
      <c r="K406" s="69"/>
      <c r="L406" s="69"/>
      <c r="M406" s="71"/>
      <c r="N406" s="72"/>
      <c r="O406" s="73"/>
      <c r="P406" s="73"/>
      <c r="Q406" s="74"/>
      <c r="R406" s="75"/>
      <c r="S406" s="69"/>
      <c r="T406" s="75"/>
      <c r="U406" s="67"/>
    </row>
    <row r="407" spans="2:21" x14ac:dyDescent="0.25">
      <c r="B407" s="67"/>
      <c r="C407" s="68"/>
      <c r="D407" s="68"/>
      <c r="E407" s="68"/>
      <c r="F407" s="67"/>
      <c r="G407" s="67"/>
      <c r="H407" s="69"/>
      <c r="I407" s="69"/>
      <c r="J407" s="70"/>
      <c r="K407" s="69"/>
      <c r="L407" s="69"/>
      <c r="M407" s="71"/>
      <c r="N407" s="72"/>
      <c r="O407" s="73"/>
      <c r="P407" s="73"/>
      <c r="Q407" s="74"/>
      <c r="R407" s="75"/>
      <c r="S407" s="69"/>
      <c r="T407" s="75"/>
      <c r="U407" s="67"/>
    </row>
    <row r="408" spans="2:21" x14ac:dyDescent="0.25">
      <c r="B408" s="67"/>
      <c r="C408" s="68"/>
      <c r="D408" s="68"/>
      <c r="E408" s="68"/>
      <c r="F408" s="67"/>
      <c r="G408" s="67"/>
      <c r="H408" s="69"/>
      <c r="I408" s="69"/>
      <c r="J408" s="70"/>
      <c r="K408" s="69"/>
      <c r="L408" s="69"/>
      <c r="M408" s="71"/>
      <c r="N408" s="72"/>
      <c r="O408" s="73"/>
      <c r="P408" s="73"/>
      <c r="Q408" s="74"/>
      <c r="R408" s="75"/>
      <c r="S408" s="69"/>
      <c r="T408" s="75"/>
      <c r="U408" s="67"/>
    </row>
    <row r="409" spans="2:21" x14ac:dyDescent="0.25">
      <c r="B409" s="67"/>
      <c r="C409" s="68"/>
      <c r="D409" s="68"/>
      <c r="E409" s="68"/>
      <c r="F409" s="67"/>
      <c r="G409" s="67"/>
      <c r="H409" s="69"/>
      <c r="I409" s="69"/>
      <c r="J409" s="70"/>
      <c r="K409" s="69"/>
      <c r="L409" s="69"/>
      <c r="M409" s="71"/>
      <c r="N409" s="72"/>
      <c r="O409" s="73"/>
      <c r="P409" s="73"/>
      <c r="Q409" s="74"/>
      <c r="R409" s="75"/>
      <c r="S409" s="69"/>
      <c r="T409" s="75"/>
      <c r="U409" s="67"/>
    </row>
    <row r="410" spans="2:21" x14ac:dyDescent="0.25">
      <c r="B410" s="67"/>
      <c r="C410" s="68"/>
      <c r="D410" s="68"/>
      <c r="E410" s="68"/>
      <c r="F410" s="67"/>
      <c r="G410" s="67"/>
      <c r="H410" s="69"/>
      <c r="I410" s="69"/>
      <c r="J410" s="70"/>
      <c r="K410" s="69"/>
      <c r="L410" s="69"/>
      <c r="M410" s="71"/>
      <c r="N410" s="72"/>
      <c r="O410" s="73"/>
      <c r="P410" s="73"/>
      <c r="Q410" s="74"/>
      <c r="R410" s="75"/>
      <c r="S410" s="69"/>
      <c r="T410" s="75"/>
      <c r="U410" s="67"/>
    </row>
    <row r="411" spans="2:21" x14ac:dyDescent="0.25">
      <c r="B411" s="67"/>
      <c r="C411" s="68"/>
      <c r="D411" s="68"/>
      <c r="E411" s="68"/>
      <c r="F411" s="67"/>
      <c r="G411" s="67"/>
      <c r="H411" s="69"/>
      <c r="I411" s="69"/>
      <c r="J411" s="70"/>
      <c r="K411" s="69"/>
      <c r="L411" s="69"/>
      <c r="M411" s="71"/>
      <c r="N411" s="72"/>
      <c r="O411" s="73"/>
      <c r="P411" s="73"/>
      <c r="Q411" s="74"/>
      <c r="R411" s="75"/>
      <c r="S411" s="69"/>
      <c r="T411" s="75"/>
      <c r="U411" s="67"/>
    </row>
    <row r="412" spans="2:21" x14ac:dyDescent="0.25">
      <c r="B412" s="67"/>
      <c r="C412" s="68"/>
      <c r="D412" s="68"/>
      <c r="E412" s="68"/>
      <c r="F412" s="67"/>
      <c r="G412" s="67"/>
      <c r="H412" s="69"/>
      <c r="I412" s="69"/>
      <c r="J412" s="70"/>
      <c r="K412" s="69"/>
      <c r="L412" s="69"/>
      <c r="M412" s="71"/>
      <c r="N412" s="72"/>
      <c r="O412" s="73"/>
      <c r="P412" s="73"/>
      <c r="Q412" s="74"/>
      <c r="R412" s="75"/>
      <c r="S412" s="69"/>
      <c r="T412" s="75"/>
      <c r="U412" s="67"/>
    </row>
    <row r="413" spans="2:21" x14ac:dyDescent="0.25">
      <c r="B413" s="67"/>
      <c r="C413" s="68"/>
      <c r="D413" s="68"/>
      <c r="E413" s="68"/>
      <c r="F413" s="67"/>
      <c r="G413" s="67"/>
      <c r="H413" s="69"/>
      <c r="I413" s="69"/>
      <c r="J413" s="70"/>
      <c r="K413" s="69"/>
      <c r="L413" s="69"/>
      <c r="M413" s="71"/>
      <c r="N413" s="72"/>
      <c r="O413" s="73"/>
      <c r="P413" s="73"/>
      <c r="Q413" s="74"/>
      <c r="R413" s="75"/>
      <c r="S413" s="69"/>
      <c r="T413" s="75"/>
      <c r="U413" s="67"/>
    </row>
    <row r="414" spans="2:21" x14ac:dyDescent="0.25">
      <c r="B414" s="67"/>
      <c r="C414" s="68"/>
      <c r="D414" s="68"/>
      <c r="E414" s="68"/>
      <c r="F414" s="67"/>
      <c r="G414" s="67"/>
      <c r="H414" s="69"/>
      <c r="I414" s="69"/>
      <c r="J414" s="70"/>
      <c r="K414" s="69"/>
      <c r="L414" s="69"/>
      <c r="M414" s="71"/>
      <c r="N414" s="72"/>
      <c r="O414" s="73"/>
      <c r="P414" s="73"/>
      <c r="Q414" s="74"/>
      <c r="R414" s="75"/>
      <c r="S414" s="69"/>
      <c r="T414" s="75"/>
      <c r="U414" s="67"/>
    </row>
    <row r="415" spans="2:21" x14ac:dyDescent="0.25">
      <c r="B415" s="67"/>
      <c r="C415" s="68"/>
      <c r="D415" s="68"/>
      <c r="E415" s="68"/>
      <c r="F415" s="67"/>
      <c r="G415" s="67"/>
      <c r="H415" s="69"/>
      <c r="I415" s="69"/>
      <c r="J415" s="70"/>
      <c r="K415" s="69"/>
      <c r="L415" s="69"/>
      <c r="M415" s="71"/>
      <c r="N415" s="72"/>
      <c r="O415" s="73"/>
      <c r="P415" s="73"/>
      <c r="Q415" s="74"/>
      <c r="R415" s="75"/>
      <c r="S415" s="69"/>
      <c r="T415" s="75"/>
      <c r="U415" s="67"/>
    </row>
    <row r="416" spans="2:21" x14ac:dyDescent="0.25">
      <c r="B416" s="67"/>
      <c r="C416" s="68"/>
      <c r="D416" s="68"/>
      <c r="E416" s="68"/>
      <c r="F416" s="67"/>
      <c r="G416" s="67"/>
      <c r="H416" s="69"/>
      <c r="I416" s="69"/>
      <c r="J416" s="70"/>
      <c r="K416" s="69"/>
      <c r="L416" s="69"/>
      <c r="M416" s="71"/>
      <c r="N416" s="72"/>
      <c r="O416" s="73"/>
      <c r="P416" s="73"/>
      <c r="Q416" s="74"/>
      <c r="R416" s="75"/>
      <c r="S416" s="69"/>
      <c r="T416" s="75"/>
      <c r="U416" s="67"/>
    </row>
    <row r="417" spans="2:21" x14ac:dyDescent="0.25">
      <c r="B417" s="67"/>
      <c r="C417" s="68"/>
      <c r="D417" s="68"/>
      <c r="E417" s="68"/>
      <c r="F417" s="67"/>
      <c r="G417" s="67"/>
      <c r="H417" s="69"/>
      <c r="I417" s="69"/>
      <c r="J417" s="70"/>
      <c r="K417" s="69"/>
      <c r="L417" s="69"/>
      <c r="M417" s="71"/>
      <c r="N417" s="72"/>
      <c r="O417" s="73"/>
      <c r="P417" s="73"/>
      <c r="Q417" s="74"/>
      <c r="R417" s="75"/>
      <c r="S417" s="69"/>
      <c r="T417" s="75"/>
      <c r="U417" s="67"/>
    </row>
    <row r="418" spans="2:21" x14ac:dyDescent="0.25">
      <c r="B418" s="67"/>
      <c r="C418" s="68"/>
      <c r="D418" s="68"/>
      <c r="E418" s="68"/>
      <c r="F418" s="67"/>
      <c r="G418" s="67"/>
      <c r="H418" s="69"/>
      <c r="I418" s="69"/>
      <c r="J418" s="70"/>
      <c r="K418" s="69"/>
      <c r="L418" s="69"/>
      <c r="M418" s="71"/>
      <c r="N418" s="72"/>
      <c r="O418" s="73"/>
      <c r="P418" s="73"/>
      <c r="Q418" s="74"/>
      <c r="R418" s="75"/>
      <c r="S418" s="69"/>
      <c r="T418" s="75"/>
      <c r="U418" s="67"/>
    </row>
    <row r="419" spans="2:21" x14ac:dyDescent="0.25">
      <c r="B419" s="67"/>
      <c r="C419" s="68"/>
      <c r="D419" s="68"/>
      <c r="E419" s="68"/>
      <c r="F419" s="67"/>
      <c r="G419" s="67"/>
      <c r="H419" s="69"/>
      <c r="I419" s="69"/>
      <c r="J419" s="70"/>
      <c r="K419" s="69"/>
      <c r="L419" s="69"/>
      <c r="M419" s="71"/>
      <c r="N419" s="72"/>
      <c r="O419" s="73"/>
      <c r="P419" s="73"/>
      <c r="Q419" s="74"/>
      <c r="R419" s="75"/>
      <c r="S419" s="69"/>
      <c r="T419" s="75"/>
      <c r="U419" s="67"/>
    </row>
    <row r="420" spans="2:21" x14ac:dyDescent="0.25">
      <c r="B420" s="67"/>
      <c r="C420" s="68"/>
      <c r="D420" s="68"/>
      <c r="E420" s="68"/>
      <c r="F420" s="67"/>
      <c r="G420" s="67"/>
      <c r="H420" s="69"/>
      <c r="I420" s="69"/>
      <c r="J420" s="70"/>
      <c r="K420" s="69"/>
      <c r="L420" s="69"/>
      <c r="M420" s="71"/>
      <c r="N420" s="72"/>
      <c r="O420" s="73"/>
      <c r="P420" s="73"/>
      <c r="Q420" s="74"/>
      <c r="R420" s="75"/>
      <c r="S420" s="69"/>
      <c r="T420" s="75"/>
      <c r="U420" s="67"/>
    </row>
    <row r="421" spans="2:21" x14ac:dyDescent="0.25">
      <c r="B421" s="67"/>
      <c r="C421" s="68"/>
      <c r="D421" s="68"/>
      <c r="E421" s="68"/>
      <c r="F421" s="67"/>
      <c r="G421" s="67"/>
      <c r="H421" s="69"/>
      <c r="I421" s="69"/>
      <c r="J421" s="70"/>
      <c r="K421" s="69"/>
      <c r="L421" s="69"/>
      <c r="M421" s="71"/>
      <c r="N421" s="72"/>
      <c r="O421" s="73"/>
      <c r="P421" s="73"/>
      <c r="Q421" s="74"/>
      <c r="R421" s="75"/>
      <c r="S421" s="69"/>
      <c r="T421" s="75"/>
      <c r="U421" s="67"/>
    </row>
    <row r="422" spans="2:21" x14ac:dyDescent="0.25">
      <c r="B422" s="67"/>
      <c r="C422" s="68"/>
      <c r="D422" s="68"/>
      <c r="E422" s="68"/>
      <c r="F422" s="67"/>
      <c r="G422" s="67"/>
      <c r="H422" s="69"/>
      <c r="I422" s="69"/>
      <c r="J422" s="70"/>
      <c r="K422" s="69"/>
      <c r="L422" s="69"/>
      <c r="M422" s="71"/>
      <c r="N422" s="72"/>
      <c r="O422" s="73"/>
      <c r="P422" s="73"/>
      <c r="Q422" s="74"/>
      <c r="R422" s="75"/>
      <c r="S422" s="69"/>
      <c r="T422" s="75"/>
      <c r="U422" s="67"/>
    </row>
    <row r="423" spans="2:21" x14ac:dyDescent="0.25">
      <c r="B423" s="67"/>
      <c r="C423" s="68"/>
      <c r="D423" s="68"/>
      <c r="E423" s="68"/>
      <c r="F423" s="67"/>
      <c r="G423" s="67"/>
      <c r="H423" s="69"/>
      <c r="I423" s="69"/>
      <c r="J423" s="70"/>
      <c r="K423" s="69"/>
      <c r="L423" s="69"/>
      <c r="M423" s="71"/>
      <c r="N423" s="72"/>
      <c r="O423" s="73"/>
      <c r="P423" s="73"/>
      <c r="Q423" s="74"/>
      <c r="R423" s="75"/>
      <c r="S423" s="69"/>
      <c r="T423" s="75"/>
      <c r="U423" s="67"/>
    </row>
    <row r="424" spans="2:21" x14ac:dyDescent="0.25">
      <c r="B424" s="67"/>
      <c r="C424" s="68"/>
      <c r="D424" s="68"/>
      <c r="E424" s="68"/>
      <c r="F424" s="67"/>
      <c r="G424" s="67"/>
      <c r="H424" s="69"/>
      <c r="I424" s="69"/>
      <c r="J424" s="70"/>
      <c r="K424" s="69"/>
      <c r="L424" s="69"/>
      <c r="M424" s="71"/>
      <c r="N424" s="72"/>
      <c r="O424" s="73"/>
      <c r="P424" s="73"/>
      <c r="Q424" s="74"/>
      <c r="R424" s="75"/>
      <c r="S424" s="69"/>
      <c r="T424" s="75"/>
      <c r="U424" s="67"/>
    </row>
    <row r="425" spans="2:21" x14ac:dyDescent="0.25">
      <c r="B425" s="67"/>
      <c r="C425" s="68"/>
      <c r="D425" s="68"/>
      <c r="E425" s="68"/>
      <c r="F425" s="67"/>
      <c r="G425" s="67"/>
      <c r="H425" s="69"/>
      <c r="I425" s="69"/>
      <c r="J425" s="70"/>
      <c r="K425" s="69"/>
      <c r="L425" s="69"/>
      <c r="M425" s="71"/>
      <c r="N425" s="72"/>
      <c r="O425" s="73"/>
      <c r="P425" s="73"/>
      <c r="Q425" s="74"/>
      <c r="R425" s="75"/>
      <c r="S425" s="69"/>
      <c r="T425" s="75"/>
      <c r="U425" s="67"/>
    </row>
    <row r="426" spans="2:21" x14ac:dyDescent="0.25">
      <c r="B426" s="67"/>
      <c r="C426" s="68"/>
      <c r="D426" s="68"/>
      <c r="E426" s="68"/>
      <c r="F426" s="67"/>
      <c r="G426" s="67"/>
      <c r="H426" s="69"/>
      <c r="I426" s="69"/>
      <c r="J426" s="70"/>
      <c r="K426" s="69"/>
      <c r="L426" s="69"/>
      <c r="M426" s="71"/>
      <c r="N426" s="72"/>
      <c r="O426" s="73"/>
      <c r="P426" s="73"/>
      <c r="Q426" s="74"/>
      <c r="R426" s="75"/>
      <c r="S426" s="69"/>
      <c r="T426" s="75"/>
      <c r="U426" s="67"/>
    </row>
    <row r="427" spans="2:21" x14ac:dyDescent="0.25">
      <c r="B427" s="67"/>
      <c r="C427" s="68"/>
      <c r="D427" s="68"/>
      <c r="E427" s="68"/>
      <c r="F427" s="67"/>
      <c r="G427" s="67"/>
      <c r="H427" s="69"/>
      <c r="I427" s="69"/>
      <c r="J427" s="70"/>
      <c r="K427" s="69"/>
      <c r="L427" s="69"/>
      <c r="M427" s="71"/>
      <c r="N427" s="72"/>
      <c r="O427" s="73"/>
      <c r="P427" s="73"/>
      <c r="Q427" s="74"/>
      <c r="R427" s="75"/>
      <c r="S427" s="69"/>
      <c r="T427" s="75"/>
      <c r="U427" s="67"/>
    </row>
    <row r="428" spans="2:21" x14ac:dyDescent="0.25">
      <c r="B428" s="67"/>
      <c r="C428" s="68"/>
      <c r="D428" s="68"/>
      <c r="E428" s="68"/>
      <c r="F428" s="67"/>
      <c r="G428" s="67"/>
      <c r="H428" s="69"/>
      <c r="I428" s="69"/>
      <c r="J428" s="70"/>
      <c r="K428" s="69"/>
      <c r="L428" s="69"/>
      <c r="M428" s="71"/>
      <c r="N428" s="72"/>
      <c r="O428" s="73"/>
      <c r="P428" s="73"/>
      <c r="Q428" s="74"/>
      <c r="R428" s="75"/>
      <c r="S428" s="69"/>
      <c r="T428" s="75"/>
      <c r="U428" s="67"/>
    </row>
    <row r="429" spans="2:21" x14ac:dyDescent="0.25">
      <c r="B429" s="67"/>
      <c r="C429" s="68"/>
      <c r="D429" s="68"/>
      <c r="E429" s="68"/>
      <c r="F429" s="67"/>
      <c r="G429" s="67"/>
      <c r="H429" s="69"/>
      <c r="I429" s="69"/>
      <c r="J429" s="70"/>
      <c r="K429" s="69"/>
      <c r="L429" s="69"/>
      <c r="M429" s="71"/>
      <c r="N429" s="72"/>
      <c r="O429" s="73"/>
      <c r="P429" s="73"/>
      <c r="Q429" s="74"/>
      <c r="R429" s="75"/>
      <c r="S429" s="69"/>
      <c r="T429" s="75"/>
      <c r="U429" s="67"/>
    </row>
    <row r="430" spans="2:21" x14ac:dyDescent="0.25">
      <c r="B430" s="67"/>
      <c r="C430" s="68"/>
      <c r="D430" s="68"/>
      <c r="E430" s="68"/>
      <c r="F430" s="67"/>
      <c r="G430" s="67"/>
      <c r="H430" s="69"/>
      <c r="I430" s="69"/>
      <c r="J430" s="70"/>
      <c r="K430" s="69"/>
      <c r="L430" s="69"/>
      <c r="M430" s="71"/>
      <c r="N430" s="72"/>
      <c r="O430" s="73"/>
      <c r="P430" s="73"/>
      <c r="Q430" s="74"/>
      <c r="R430" s="75"/>
      <c r="S430" s="69"/>
      <c r="T430" s="75"/>
      <c r="U430" s="67"/>
    </row>
    <row r="431" spans="2:21" x14ac:dyDescent="0.25">
      <c r="B431" s="67"/>
      <c r="C431" s="68"/>
      <c r="D431" s="68"/>
      <c r="E431" s="68"/>
      <c r="F431" s="67"/>
      <c r="G431" s="67"/>
      <c r="H431" s="69"/>
      <c r="I431" s="69"/>
      <c r="J431" s="70"/>
      <c r="K431" s="69"/>
      <c r="L431" s="69"/>
      <c r="M431" s="71"/>
      <c r="N431" s="72"/>
      <c r="O431" s="73"/>
      <c r="P431" s="73"/>
      <c r="Q431" s="74"/>
      <c r="R431" s="75"/>
      <c r="S431" s="69"/>
      <c r="T431" s="75"/>
      <c r="U431" s="67"/>
    </row>
    <row r="432" spans="2:21" x14ac:dyDescent="0.25">
      <c r="B432" s="67"/>
      <c r="C432" s="68"/>
      <c r="D432" s="68"/>
      <c r="E432" s="68"/>
      <c r="F432" s="67"/>
      <c r="G432" s="67"/>
      <c r="H432" s="69"/>
      <c r="I432" s="69"/>
      <c r="J432" s="70"/>
      <c r="K432" s="69"/>
      <c r="L432" s="69"/>
      <c r="M432" s="71"/>
      <c r="N432" s="72"/>
      <c r="O432" s="73"/>
      <c r="P432" s="73"/>
      <c r="Q432" s="74"/>
      <c r="R432" s="75"/>
      <c r="S432" s="69"/>
      <c r="T432" s="75"/>
      <c r="U432" s="67"/>
    </row>
    <row r="433" spans="2:21" x14ac:dyDescent="0.25">
      <c r="B433" s="67"/>
      <c r="C433" s="68"/>
      <c r="D433" s="68"/>
      <c r="E433" s="68"/>
      <c r="F433" s="67"/>
      <c r="G433" s="67"/>
      <c r="H433" s="69"/>
      <c r="I433" s="69"/>
      <c r="J433" s="70"/>
      <c r="K433" s="69"/>
      <c r="L433" s="69"/>
      <c r="M433" s="71"/>
      <c r="N433" s="72"/>
      <c r="O433" s="73"/>
      <c r="P433" s="73"/>
      <c r="Q433" s="74"/>
      <c r="R433" s="75"/>
      <c r="S433" s="69"/>
      <c r="T433" s="75"/>
      <c r="U433" s="67"/>
    </row>
    <row r="434" spans="2:21" x14ac:dyDescent="0.25">
      <c r="B434" s="67"/>
      <c r="C434" s="68"/>
      <c r="D434" s="68"/>
      <c r="E434" s="68"/>
      <c r="F434" s="67"/>
      <c r="G434" s="67"/>
      <c r="H434" s="69"/>
      <c r="I434" s="69"/>
      <c r="J434" s="70"/>
      <c r="K434" s="69"/>
      <c r="L434" s="69"/>
      <c r="M434" s="71"/>
      <c r="N434" s="72"/>
      <c r="O434" s="73"/>
      <c r="P434" s="73"/>
      <c r="Q434" s="74"/>
      <c r="R434" s="75"/>
      <c r="S434" s="69"/>
      <c r="T434" s="75"/>
      <c r="U434" s="67"/>
    </row>
    <row r="435" spans="2:21" x14ac:dyDescent="0.25">
      <c r="B435" s="67"/>
      <c r="C435" s="68"/>
      <c r="D435" s="68"/>
      <c r="E435" s="68"/>
      <c r="F435" s="67"/>
      <c r="G435" s="67"/>
      <c r="H435" s="69"/>
      <c r="I435" s="69"/>
      <c r="J435" s="70"/>
      <c r="K435" s="69"/>
      <c r="L435" s="69"/>
      <c r="M435" s="71"/>
      <c r="N435" s="72"/>
      <c r="O435" s="73"/>
      <c r="P435" s="73"/>
      <c r="Q435" s="74"/>
      <c r="R435" s="75"/>
      <c r="S435" s="69"/>
      <c r="T435" s="75"/>
      <c r="U435" s="67"/>
    </row>
    <row r="436" spans="2:21" x14ac:dyDescent="0.25">
      <c r="B436" s="67"/>
      <c r="C436" s="68"/>
      <c r="D436" s="68"/>
      <c r="E436" s="68"/>
      <c r="F436" s="67"/>
      <c r="G436" s="67"/>
      <c r="H436" s="69"/>
      <c r="I436" s="69"/>
      <c r="J436" s="70"/>
      <c r="K436" s="69"/>
      <c r="L436" s="69"/>
      <c r="M436" s="71"/>
      <c r="N436" s="72"/>
      <c r="O436" s="73"/>
      <c r="P436" s="73"/>
      <c r="Q436" s="74"/>
      <c r="R436" s="75"/>
      <c r="S436" s="69"/>
      <c r="T436" s="75"/>
      <c r="U436" s="67"/>
    </row>
    <row r="437" spans="2:21" x14ac:dyDescent="0.25">
      <c r="B437" s="67"/>
      <c r="C437" s="68"/>
      <c r="D437" s="68"/>
      <c r="E437" s="68"/>
      <c r="F437" s="67"/>
      <c r="G437" s="67"/>
      <c r="H437" s="69"/>
      <c r="I437" s="69"/>
      <c r="J437" s="70"/>
      <c r="K437" s="69"/>
      <c r="L437" s="69"/>
      <c r="M437" s="71"/>
      <c r="N437" s="72"/>
      <c r="O437" s="73"/>
      <c r="P437" s="73"/>
      <c r="Q437" s="74"/>
      <c r="R437" s="75"/>
      <c r="S437" s="69"/>
      <c r="T437" s="75"/>
      <c r="U437" s="67"/>
    </row>
    <row r="438" spans="2:21" x14ac:dyDescent="0.25">
      <c r="B438" s="67"/>
      <c r="C438" s="68"/>
      <c r="D438" s="68"/>
      <c r="E438" s="68"/>
      <c r="F438" s="67"/>
      <c r="G438" s="67"/>
      <c r="H438" s="69"/>
      <c r="I438" s="69"/>
      <c r="J438" s="70"/>
      <c r="K438" s="69"/>
      <c r="L438" s="69"/>
      <c r="M438" s="71"/>
      <c r="N438" s="72"/>
      <c r="O438" s="73"/>
      <c r="P438" s="73"/>
      <c r="Q438" s="74"/>
      <c r="R438" s="75"/>
      <c r="S438" s="69"/>
      <c r="T438" s="75"/>
      <c r="U438" s="67"/>
    </row>
    <row r="439" spans="2:21" x14ac:dyDescent="0.25">
      <c r="B439" s="67"/>
      <c r="C439" s="68"/>
      <c r="D439" s="68"/>
      <c r="E439" s="68"/>
      <c r="F439" s="67"/>
      <c r="G439" s="67"/>
      <c r="H439" s="69"/>
      <c r="I439" s="69"/>
      <c r="J439" s="70"/>
      <c r="K439" s="69"/>
      <c r="L439" s="69"/>
      <c r="M439" s="71"/>
      <c r="N439" s="72"/>
      <c r="O439" s="73"/>
      <c r="P439" s="73"/>
      <c r="Q439" s="74"/>
      <c r="R439" s="75"/>
      <c r="S439" s="69"/>
      <c r="T439" s="75"/>
      <c r="U439" s="67"/>
    </row>
    <row r="440" spans="2:21" x14ac:dyDescent="0.25">
      <c r="B440" s="67"/>
      <c r="C440" s="68"/>
      <c r="D440" s="68"/>
      <c r="E440" s="68"/>
      <c r="F440" s="67"/>
      <c r="G440" s="67"/>
      <c r="H440" s="69"/>
      <c r="I440" s="69"/>
      <c r="J440" s="70"/>
      <c r="K440" s="69"/>
      <c r="L440" s="69"/>
      <c r="M440" s="71"/>
      <c r="N440" s="72"/>
      <c r="O440" s="73"/>
      <c r="P440" s="73"/>
      <c r="Q440" s="74"/>
      <c r="R440" s="75"/>
      <c r="S440" s="69"/>
      <c r="T440" s="75"/>
      <c r="U440" s="67"/>
    </row>
    <row r="441" spans="2:21" x14ac:dyDescent="0.25">
      <c r="B441" s="67"/>
      <c r="C441" s="68"/>
      <c r="D441" s="68"/>
      <c r="E441" s="68"/>
      <c r="F441" s="67"/>
      <c r="G441" s="67"/>
      <c r="H441" s="69"/>
      <c r="I441" s="69"/>
      <c r="J441" s="70"/>
      <c r="K441" s="69"/>
      <c r="L441" s="69"/>
      <c r="M441" s="71"/>
      <c r="N441" s="72"/>
      <c r="O441" s="73"/>
      <c r="P441" s="73"/>
      <c r="Q441" s="74"/>
      <c r="R441" s="75"/>
      <c r="S441" s="69"/>
      <c r="T441" s="75"/>
      <c r="U441" s="67"/>
    </row>
    <row r="442" spans="2:21" x14ac:dyDescent="0.25">
      <c r="B442" s="67"/>
      <c r="C442" s="68"/>
      <c r="D442" s="68"/>
      <c r="E442" s="68"/>
      <c r="F442" s="67"/>
      <c r="G442" s="67"/>
      <c r="H442" s="69"/>
      <c r="I442" s="69"/>
      <c r="J442" s="70"/>
      <c r="K442" s="69"/>
      <c r="L442" s="69"/>
      <c r="M442" s="71"/>
      <c r="N442" s="72"/>
      <c r="O442" s="73"/>
      <c r="P442" s="73"/>
      <c r="Q442" s="74"/>
      <c r="R442" s="75"/>
      <c r="S442" s="69"/>
      <c r="T442" s="75"/>
      <c r="U442" s="67"/>
    </row>
    <row r="443" spans="2:21" x14ac:dyDescent="0.25">
      <c r="B443" s="67"/>
      <c r="C443" s="68"/>
      <c r="D443" s="68"/>
      <c r="E443" s="68"/>
      <c r="F443" s="67"/>
      <c r="G443" s="67"/>
      <c r="H443" s="69"/>
      <c r="I443" s="69"/>
      <c r="J443" s="70"/>
      <c r="K443" s="69"/>
      <c r="L443" s="69"/>
      <c r="M443" s="71"/>
      <c r="N443" s="72"/>
      <c r="O443" s="73"/>
      <c r="P443" s="73"/>
      <c r="Q443" s="74"/>
      <c r="R443" s="75"/>
      <c r="S443" s="69"/>
      <c r="T443" s="75"/>
      <c r="U443" s="67"/>
    </row>
    <row r="444" spans="2:21" x14ac:dyDescent="0.25">
      <c r="B444" s="67"/>
      <c r="C444" s="68"/>
      <c r="D444" s="68"/>
      <c r="E444" s="68"/>
      <c r="F444" s="67"/>
      <c r="G444" s="67"/>
      <c r="H444" s="69"/>
      <c r="I444" s="69"/>
      <c r="J444" s="70"/>
      <c r="K444" s="69"/>
      <c r="L444" s="69"/>
      <c r="M444" s="71"/>
      <c r="N444" s="72"/>
      <c r="O444" s="73"/>
      <c r="P444" s="73"/>
      <c r="Q444" s="74"/>
      <c r="R444" s="75"/>
      <c r="S444" s="69"/>
      <c r="T444" s="75"/>
      <c r="U444" s="67"/>
    </row>
    <row r="445" spans="2:21" x14ac:dyDescent="0.25">
      <c r="B445" s="67"/>
      <c r="C445" s="68"/>
      <c r="D445" s="68"/>
      <c r="E445" s="68"/>
      <c r="F445" s="67"/>
      <c r="G445" s="67"/>
      <c r="H445" s="69"/>
      <c r="I445" s="69"/>
      <c r="J445" s="70"/>
      <c r="K445" s="69"/>
      <c r="L445" s="69"/>
      <c r="M445" s="71"/>
      <c r="N445" s="72"/>
      <c r="O445" s="73"/>
      <c r="P445" s="73"/>
      <c r="Q445" s="74"/>
      <c r="R445" s="75"/>
      <c r="S445" s="69"/>
      <c r="T445" s="75"/>
      <c r="U445" s="67"/>
    </row>
    <row r="446" spans="2:21" x14ac:dyDescent="0.25">
      <c r="B446" s="67"/>
      <c r="C446" s="68"/>
      <c r="D446" s="68"/>
      <c r="E446" s="68"/>
      <c r="F446" s="67"/>
      <c r="G446" s="67"/>
      <c r="H446" s="69"/>
      <c r="I446" s="69"/>
      <c r="J446" s="70"/>
      <c r="K446" s="69"/>
      <c r="L446" s="69"/>
      <c r="M446" s="71"/>
      <c r="N446" s="72"/>
      <c r="O446" s="73"/>
      <c r="P446" s="73"/>
      <c r="Q446" s="74"/>
      <c r="R446" s="75"/>
      <c r="S446" s="69"/>
      <c r="T446" s="75"/>
      <c r="U446" s="67"/>
    </row>
    <row r="447" spans="2:21" x14ac:dyDescent="0.25">
      <c r="B447" s="67"/>
      <c r="C447" s="68"/>
      <c r="D447" s="68"/>
      <c r="E447" s="68"/>
      <c r="F447" s="67"/>
      <c r="G447" s="67"/>
      <c r="H447" s="69"/>
      <c r="I447" s="69"/>
      <c r="J447" s="70"/>
      <c r="K447" s="69"/>
      <c r="L447" s="69"/>
      <c r="M447" s="71"/>
      <c r="N447" s="72"/>
      <c r="O447" s="73"/>
      <c r="P447" s="73"/>
      <c r="Q447" s="74"/>
      <c r="R447" s="75"/>
      <c r="S447" s="69"/>
      <c r="T447" s="75"/>
      <c r="U447" s="67"/>
    </row>
    <row r="448" spans="2:21" x14ac:dyDescent="0.25">
      <c r="B448" s="67"/>
      <c r="C448" s="68"/>
      <c r="D448" s="68"/>
      <c r="E448" s="68"/>
      <c r="F448" s="67"/>
      <c r="G448" s="67"/>
      <c r="H448" s="69"/>
      <c r="I448" s="69"/>
      <c r="J448" s="70"/>
      <c r="K448" s="69"/>
      <c r="L448" s="69"/>
      <c r="M448" s="71"/>
      <c r="N448" s="72"/>
      <c r="O448" s="73"/>
      <c r="P448" s="73"/>
      <c r="Q448" s="74"/>
      <c r="R448" s="75"/>
      <c r="S448" s="69"/>
      <c r="T448" s="75"/>
      <c r="U448" s="67"/>
    </row>
    <row r="449" spans="2:21" x14ac:dyDescent="0.25">
      <c r="B449" s="67"/>
      <c r="C449" s="68"/>
      <c r="D449" s="68"/>
      <c r="E449" s="68"/>
      <c r="F449" s="67"/>
      <c r="G449" s="67"/>
      <c r="H449" s="69"/>
      <c r="I449" s="69"/>
      <c r="J449" s="70"/>
      <c r="K449" s="69"/>
      <c r="L449" s="69"/>
      <c r="M449" s="71"/>
      <c r="N449" s="72"/>
      <c r="O449" s="73"/>
      <c r="P449" s="73"/>
      <c r="Q449" s="74"/>
      <c r="R449" s="75"/>
      <c r="S449" s="69"/>
      <c r="T449" s="75"/>
      <c r="U449" s="67"/>
    </row>
    <row r="450" spans="2:21" x14ac:dyDescent="0.25">
      <c r="B450" s="67"/>
      <c r="C450" s="68"/>
      <c r="D450" s="68"/>
      <c r="E450" s="68"/>
      <c r="F450" s="67"/>
      <c r="G450" s="67"/>
      <c r="H450" s="69"/>
      <c r="I450" s="69"/>
      <c r="J450" s="70"/>
      <c r="K450" s="69"/>
      <c r="L450" s="69"/>
      <c r="M450" s="71"/>
      <c r="N450" s="72"/>
      <c r="O450" s="73"/>
      <c r="P450" s="73"/>
      <c r="Q450" s="74"/>
      <c r="R450" s="75"/>
      <c r="S450" s="69"/>
      <c r="T450" s="75"/>
      <c r="U450" s="67"/>
    </row>
    <row r="451" spans="2:21" x14ac:dyDescent="0.25">
      <c r="B451" s="67"/>
      <c r="C451" s="68"/>
      <c r="D451" s="68"/>
      <c r="E451" s="68"/>
      <c r="F451" s="67"/>
      <c r="G451" s="67"/>
      <c r="H451" s="69"/>
      <c r="I451" s="69"/>
      <c r="J451" s="70"/>
      <c r="K451" s="69"/>
      <c r="L451" s="69"/>
      <c r="M451" s="71"/>
      <c r="N451" s="72"/>
      <c r="O451" s="73"/>
      <c r="P451" s="73"/>
      <c r="Q451" s="74"/>
      <c r="R451" s="75"/>
      <c r="S451" s="69"/>
      <c r="T451" s="75"/>
      <c r="U451" s="67"/>
    </row>
    <row r="452" spans="2:21" x14ac:dyDescent="0.25">
      <c r="B452" s="67"/>
      <c r="C452" s="68"/>
      <c r="D452" s="68"/>
      <c r="E452" s="68"/>
      <c r="F452" s="67"/>
      <c r="G452" s="67"/>
      <c r="H452" s="69"/>
      <c r="I452" s="69"/>
      <c r="J452" s="70"/>
      <c r="K452" s="69"/>
      <c r="L452" s="69"/>
      <c r="M452" s="71"/>
      <c r="N452" s="72"/>
      <c r="O452" s="73"/>
      <c r="P452" s="73"/>
      <c r="Q452" s="74"/>
      <c r="R452" s="75"/>
      <c r="S452" s="69"/>
      <c r="T452" s="75"/>
      <c r="U452" s="67"/>
    </row>
    <row r="453" spans="2:21" x14ac:dyDescent="0.25">
      <c r="B453" s="67"/>
      <c r="C453" s="68"/>
      <c r="D453" s="68"/>
      <c r="E453" s="68"/>
      <c r="F453" s="67"/>
      <c r="G453" s="67"/>
      <c r="H453" s="69"/>
      <c r="I453" s="69"/>
      <c r="J453" s="70"/>
      <c r="K453" s="69"/>
      <c r="L453" s="69"/>
      <c r="M453" s="71"/>
      <c r="N453" s="72"/>
      <c r="O453" s="73"/>
      <c r="P453" s="73"/>
      <c r="Q453" s="74"/>
      <c r="R453" s="75"/>
      <c r="S453" s="69"/>
      <c r="T453" s="75"/>
      <c r="U453" s="67"/>
    </row>
    <row r="454" spans="2:21" x14ac:dyDescent="0.25">
      <c r="B454" s="67"/>
      <c r="C454" s="68"/>
      <c r="D454" s="68"/>
      <c r="E454" s="68"/>
      <c r="F454" s="67"/>
      <c r="G454" s="67"/>
      <c r="H454" s="69"/>
      <c r="I454" s="69"/>
      <c r="J454" s="70"/>
      <c r="K454" s="69"/>
      <c r="L454" s="69"/>
      <c r="M454" s="71"/>
      <c r="N454" s="72"/>
      <c r="O454" s="73"/>
      <c r="P454" s="73"/>
      <c r="Q454" s="74"/>
      <c r="R454" s="75"/>
      <c r="S454" s="69"/>
      <c r="T454" s="75"/>
      <c r="U454" s="67"/>
    </row>
    <row r="455" spans="2:21" x14ac:dyDescent="0.25">
      <c r="B455" s="67"/>
      <c r="C455" s="68"/>
      <c r="D455" s="68"/>
      <c r="E455" s="68"/>
      <c r="F455" s="67"/>
      <c r="G455" s="67"/>
      <c r="H455" s="69"/>
      <c r="I455" s="69"/>
      <c r="J455" s="70"/>
      <c r="K455" s="69"/>
      <c r="L455" s="69"/>
      <c r="M455" s="71"/>
      <c r="N455" s="72"/>
      <c r="O455" s="73"/>
      <c r="P455" s="73"/>
      <c r="Q455" s="74"/>
      <c r="R455" s="75"/>
      <c r="S455" s="69"/>
      <c r="T455" s="75"/>
      <c r="U455" s="67"/>
    </row>
    <row r="456" spans="2:21" x14ac:dyDescent="0.25">
      <c r="B456" s="67"/>
      <c r="C456" s="68"/>
      <c r="D456" s="68"/>
      <c r="E456" s="68"/>
      <c r="F456" s="67"/>
      <c r="G456" s="67"/>
      <c r="H456" s="69"/>
      <c r="I456" s="69"/>
      <c r="J456" s="70"/>
      <c r="K456" s="69"/>
      <c r="L456" s="69"/>
      <c r="M456" s="71"/>
      <c r="N456" s="72"/>
      <c r="O456" s="73"/>
      <c r="P456" s="73"/>
      <c r="Q456" s="74"/>
      <c r="R456" s="75"/>
      <c r="S456" s="69"/>
      <c r="T456" s="75"/>
      <c r="U456" s="67"/>
    </row>
    <row r="457" spans="2:21" x14ac:dyDescent="0.25">
      <c r="B457" s="67"/>
      <c r="C457" s="68"/>
      <c r="D457" s="68"/>
      <c r="E457" s="68"/>
      <c r="F457" s="67"/>
      <c r="G457" s="67"/>
      <c r="H457" s="69"/>
      <c r="I457" s="69"/>
      <c r="J457" s="70"/>
      <c r="K457" s="69"/>
      <c r="L457" s="69"/>
      <c r="M457" s="71"/>
      <c r="N457" s="72"/>
      <c r="O457" s="73"/>
      <c r="P457" s="73"/>
      <c r="Q457" s="74"/>
      <c r="R457" s="75"/>
      <c r="S457" s="69"/>
      <c r="T457" s="75"/>
      <c r="U457" s="67"/>
    </row>
    <row r="458" spans="2:21" x14ac:dyDescent="0.25">
      <c r="B458" s="67"/>
      <c r="C458" s="68"/>
      <c r="D458" s="68"/>
      <c r="E458" s="68"/>
      <c r="F458" s="67"/>
      <c r="G458" s="67"/>
      <c r="H458" s="69"/>
      <c r="I458" s="69"/>
      <c r="J458" s="70"/>
      <c r="K458" s="69"/>
      <c r="L458" s="69"/>
      <c r="M458" s="71"/>
      <c r="N458" s="72"/>
      <c r="O458" s="73"/>
      <c r="P458" s="73"/>
      <c r="Q458" s="74"/>
      <c r="R458" s="75"/>
      <c r="S458" s="69"/>
      <c r="T458" s="75"/>
      <c r="U458" s="67"/>
    </row>
    <row r="459" spans="2:21" x14ac:dyDescent="0.25">
      <c r="B459" s="67"/>
      <c r="C459" s="68"/>
      <c r="D459" s="68"/>
      <c r="E459" s="68"/>
      <c r="F459" s="67"/>
      <c r="G459" s="67"/>
      <c r="H459" s="69"/>
      <c r="I459" s="69"/>
      <c r="J459" s="70"/>
      <c r="K459" s="69"/>
      <c r="L459" s="69"/>
      <c r="M459" s="71"/>
      <c r="N459" s="72"/>
      <c r="O459" s="73"/>
      <c r="P459" s="73"/>
      <c r="Q459" s="74"/>
      <c r="R459" s="75"/>
      <c r="S459" s="69"/>
      <c r="T459" s="75"/>
      <c r="U459" s="67"/>
    </row>
    <row r="460" spans="2:21" x14ac:dyDescent="0.25">
      <c r="B460" s="67"/>
      <c r="C460" s="68"/>
      <c r="D460" s="68"/>
      <c r="E460" s="68"/>
      <c r="F460" s="67"/>
      <c r="G460" s="67"/>
      <c r="H460" s="69"/>
      <c r="I460" s="69"/>
      <c r="J460" s="70"/>
      <c r="K460" s="69"/>
      <c r="L460" s="69"/>
      <c r="M460" s="71"/>
      <c r="N460" s="72"/>
      <c r="O460" s="73"/>
      <c r="P460" s="73"/>
      <c r="Q460" s="74"/>
      <c r="R460" s="75"/>
      <c r="S460" s="69"/>
      <c r="T460" s="75"/>
      <c r="U460" s="67"/>
    </row>
    <row r="461" spans="2:21" x14ac:dyDescent="0.25">
      <c r="B461" s="67"/>
      <c r="C461" s="68"/>
      <c r="D461" s="68"/>
      <c r="E461" s="68"/>
      <c r="F461" s="67"/>
      <c r="G461" s="67"/>
      <c r="H461" s="69"/>
      <c r="I461" s="69"/>
      <c r="J461" s="70"/>
      <c r="K461" s="69"/>
      <c r="L461" s="69"/>
      <c r="M461" s="71"/>
      <c r="N461" s="72"/>
      <c r="O461" s="73"/>
      <c r="P461" s="73"/>
      <c r="Q461" s="74"/>
      <c r="R461" s="75"/>
      <c r="S461" s="69"/>
      <c r="T461" s="75"/>
      <c r="U461" s="67"/>
    </row>
    <row r="462" spans="2:21" x14ac:dyDescent="0.25">
      <c r="B462" s="67"/>
      <c r="C462" s="68"/>
      <c r="D462" s="68"/>
      <c r="E462" s="68"/>
      <c r="F462" s="67"/>
      <c r="G462" s="67"/>
      <c r="H462" s="69"/>
      <c r="I462" s="69"/>
      <c r="J462" s="70"/>
      <c r="K462" s="69"/>
      <c r="L462" s="69"/>
      <c r="M462" s="71"/>
      <c r="N462" s="72"/>
      <c r="O462" s="73"/>
      <c r="P462" s="73"/>
      <c r="Q462" s="74"/>
      <c r="R462" s="75"/>
      <c r="S462" s="69"/>
      <c r="T462" s="75"/>
      <c r="U462" s="67"/>
    </row>
    <row r="463" spans="2:21" x14ac:dyDescent="0.25">
      <c r="B463" s="67"/>
      <c r="C463" s="68"/>
      <c r="D463" s="68"/>
      <c r="E463" s="68"/>
      <c r="F463" s="67"/>
      <c r="G463" s="67"/>
      <c r="H463" s="69"/>
      <c r="I463" s="69"/>
      <c r="J463" s="70"/>
      <c r="K463" s="69"/>
      <c r="L463" s="69"/>
      <c r="M463" s="71"/>
      <c r="N463" s="72"/>
      <c r="O463" s="73"/>
      <c r="P463" s="73"/>
      <c r="Q463" s="74"/>
      <c r="R463" s="75"/>
      <c r="S463" s="69"/>
      <c r="T463" s="75"/>
      <c r="U463" s="67"/>
    </row>
    <row r="464" spans="2:21" x14ac:dyDescent="0.25">
      <c r="B464" s="67"/>
      <c r="C464" s="68"/>
      <c r="D464" s="68"/>
      <c r="E464" s="68"/>
      <c r="F464" s="67"/>
      <c r="G464" s="67"/>
      <c r="H464" s="69"/>
      <c r="I464" s="69"/>
      <c r="J464" s="70"/>
      <c r="K464" s="69"/>
      <c r="L464" s="69"/>
      <c r="M464" s="71"/>
      <c r="N464" s="72"/>
      <c r="O464" s="73"/>
      <c r="P464" s="73"/>
      <c r="Q464" s="74"/>
      <c r="R464" s="75"/>
      <c r="S464" s="69"/>
      <c r="T464" s="75"/>
      <c r="U464" s="67"/>
    </row>
    <row r="465" spans="2:21" x14ac:dyDescent="0.25">
      <c r="B465" s="67"/>
      <c r="C465" s="68"/>
      <c r="D465" s="68"/>
      <c r="E465" s="68"/>
      <c r="F465" s="67"/>
      <c r="G465" s="67"/>
      <c r="H465" s="69"/>
      <c r="I465" s="69"/>
      <c r="J465" s="70"/>
      <c r="K465" s="69"/>
      <c r="L465" s="69"/>
      <c r="M465" s="71"/>
      <c r="N465" s="72"/>
      <c r="O465" s="73"/>
      <c r="P465" s="73"/>
      <c r="Q465" s="74"/>
      <c r="R465" s="75"/>
      <c r="S465" s="69"/>
      <c r="T465" s="75"/>
      <c r="U465" s="67"/>
    </row>
    <row r="466" spans="2:21" x14ac:dyDescent="0.25">
      <c r="B466" s="67"/>
      <c r="C466" s="68"/>
      <c r="D466" s="68"/>
      <c r="E466" s="68"/>
      <c r="F466" s="67"/>
      <c r="G466" s="67"/>
      <c r="H466" s="69"/>
      <c r="I466" s="69"/>
      <c r="J466" s="70"/>
      <c r="K466" s="69"/>
      <c r="L466" s="69"/>
      <c r="M466" s="71"/>
      <c r="N466" s="72"/>
      <c r="O466" s="73"/>
      <c r="P466" s="73"/>
      <c r="Q466" s="74"/>
      <c r="R466" s="75"/>
      <c r="S466" s="69"/>
      <c r="T466" s="75"/>
      <c r="U466" s="67"/>
    </row>
    <row r="467" spans="2:21" x14ac:dyDescent="0.25">
      <c r="B467" s="67"/>
      <c r="C467" s="68"/>
      <c r="D467" s="68"/>
      <c r="E467" s="68"/>
      <c r="F467" s="67"/>
      <c r="G467" s="67"/>
      <c r="H467" s="69"/>
      <c r="I467" s="69"/>
      <c r="J467" s="70"/>
      <c r="K467" s="69"/>
      <c r="L467" s="69"/>
      <c r="M467" s="71"/>
      <c r="N467" s="72"/>
      <c r="O467" s="73"/>
      <c r="P467" s="73"/>
      <c r="Q467" s="74"/>
      <c r="R467" s="75"/>
      <c r="S467" s="69"/>
      <c r="T467" s="75"/>
      <c r="U467" s="67"/>
    </row>
    <row r="468" spans="2:21" x14ac:dyDescent="0.25">
      <c r="B468" s="67"/>
      <c r="C468" s="68"/>
      <c r="D468" s="68"/>
      <c r="E468" s="68"/>
      <c r="F468" s="67"/>
      <c r="G468" s="67"/>
      <c r="H468" s="69"/>
      <c r="I468" s="69"/>
      <c r="J468" s="70"/>
      <c r="K468" s="69"/>
      <c r="L468" s="69"/>
      <c r="M468" s="71"/>
      <c r="N468" s="72"/>
      <c r="O468" s="73"/>
      <c r="P468" s="73"/>
      <c r="Q468" s="74"/>
      <c r="R468" s="75"/>
      <c r="S468" s="69"/>
      <c r="T468" s="75"/>
      <c r="U468" s="67"/>
    </row>
    <row r="469" spans="2:21" x14ac:dyDescent="0.25">
      <c r="B469" s="67"/>
      <c r="C469" s="68"/>
      <c r="D469" s="68"/>
      <c r="E469" s="68"/>
      <c r="F469" s="67"/>
      <c r="G469" s="67"/>
      <c r="H469" s="69"/>
      <c r="I469" s="69"/>
      <c r="J469" s="70"/>
      <c r="K469" s="69"/>
      <c r="L469" s="69"/>
      <c r="M469" s="71"/>
      <c r="N469" s="72"/>
      <c r="O469" s="73"/>
      <c r="P469" s="73"/>
      <c r="Q469" s="74"/>
      <c r="R469" s="75"/>
      <c r="S469" s="69"/>
      <c r="T469" s="75"/>
      <c r="U469" s="67"/>
    </row>
    <row r="470" spans="2:21" x14ac:dyDescent="0.25">
      <c r="B470" s="67"/>
      <c r="C470" s="68"/>
      <c r="D470" s="68"/>
      <c r="E470" s="68"/>
      <c r="F470" s="67"/>
      <c r="G470" s="67"/>
      <c r="H470" s="69"/>
      <c r="I470" s="69"/>
      <c r="J470" s="70"/>
      <c r="K470" s="69"/>
      <c r="L470" s="69"/>
      <c r="M470" s="71"/>
      <c r="N470" s="72"/>
      <c r="O470" s="73"/>
      <c r="P470" s="73"/>
      <c r="Q470" s="74"/>
      <c r="R470" s="75"/>
      <c r="S470" s="69"/>
      <c r="T470" s="75"/>
      <c r="U470" s="67"/>
    </row>
    <row r="471" spans="2:21" x14ac:dyDescent="0.25">
      <c r="B471" s="67"/>
      <c r="C471" s="68"/>
      <c r="D471" s="68"/>
      <c r="E471" s="68"/>
      <c r="F471" s="67"/>
      <c r="G471" s="67"/>
      <c r="H471" s="69"/>
      <c r="I471" s="69"/>
      <c r="J471" s="70"/>
      <c r="K471" s="69"/>
      <c r="L471" s="69"/>
      <c r="M471" s="71"/>
      <c r="N471" s="72"/>
      <c r="O471" s="73"/>
      <c r="P471" s="73"/>
      <c r="Q471" s="74"/>
      <c r="R471" s="75"/>
      <c r="S471" s="69"/>
      <c r="T471" s="75"/>
      <c r="U471" s="67"/>
    </row>
    <row r="472" spans="2:21" x14ac:dyDescent="0.25">
      <c r="B472" s="67"/>
      <c r="C472" s="68"/>
      <c r="D472" s="68"/>
      <c r="E472" s="68"/>
      <c r="F472" s="67"/>
      <c r="G472" s="67"/>
      <c r="H472" s="69"/>
      <c r="I472" s="69"/>
      <c r="J472" s="70"/>
      <c r="K472" s="69"/>
      <c r="L472" s="69"/>
      <c r="M472" s="71"/>
      <c r="N472" s="72"/>
      <c r="O472" s="73"/>
      <c r="P472" s="73"/>
      <c r="Q472" s="74"/>
      <c r="R472" s="75"/>
      <c r="S472" s="69"/>
      <c r="T472" s="75"/>
      <c r="U472" s="67"/>
    </row>
    <row r="473" spans="2:21" x14ac:dyDescent="0.25">
      <c r="B473" s="67"/>
      <c r="C473" s="68"/>
      <c r="D473" s="68"/>
      <c r="E473" s="68"/>
      <c r="F473" s="67"/>
      <c r="G473" s="67"/>
      <c r="H473" s="69"/>
      <c r="I473" s="69"/>
      <c r="J473" s="70"/>
      <c r="K473" s="69"/>
      <c r="L473" s="69"/>
      <c r="M473" s="71"/>
      <c r="N473" s="72"/>
      <c r="O473" s="73"/>
      <c r="P473" s="73"/>
      <c r="Q473" s="74"/>
      <c r="R473" s="75"/>
      <c r="S473" s="69"/>
      <c r="T473" s="75"/>
      <c r="U473" s="67"/>
    </row>
    <row r="474" spans="2:21" x14ac:dyDescent="0.25">
      <c r="B474" s="67"/>
      <c r="C474" s="68"/>
      <c r="D474" s="68"/>
      <c r="E474" s="68"/>
      <c r="F474" s="67"/>
      <c r="G474" s="67"/>
      <c r="H474" s="69"/>
      <c r="I474" s="69"/>
      <c r="J474" s="70"/>
      <c r="K474" s="69"/>
      <c r="L474" s="69"/>
      <c r="M474" s="71"/>
      <c r="N474" s="72"/>
      <c r="O474" s="73"/>
      <c r="P474" s="73"/>
      <c r="Q474" s="74"/>
      <c r="R474" s="75"/>
      <c r="S474" s="69"/>
      <c r="T474" s="75"/>
      <c r="U474" s="67"/>
    </row>
    <row r="475" spans="2:21" x14ac:dyDescent="0.25">
      <c r="B475" s="67"/>
      <c r="C475" s="68"/>
      <c r="D475" s="68"/>
      <c r="E475" s="68"/>
      <c r="F475" s="67"/>
      <c r="G475" s="67"/>
      <c r="H475" s="69"/>
      <c r="I475" s="69"/>
      <c r="J475" s="70"/>
      <c r="K475" s="69"/>
      <c r="L475" s="69"/>
      <c r="M475" s="71"/>
      <c r="N475" s="72"/>
      <c r="O475" s="73"/>
      <c r="P475" s="73"/>
      <c r="Q475" s="74"/>
      <c r="R475" s="75"/>
      <c r="S475" s="69"/>
      <c r="T475" s="75"/>
      <c r="U475" s="67"/>
    </row>
    <row r="476" spans="2:21" x14ac:dyDescent="0.25">
      <c r="B476" s="67"/>
      <c r="C476" s="68"/>
      <c r="D476" s="68"/>
      <c r="E476" s="68"/>
      <c r="F476" s="67"/>
      <c r="G476" s="67"/>
      <c r="H476" s="69"/>
      <c r="I476" s="69"/>
      <c r="J476" s="70"/>
      <c r="K476" s="69"/>
      <c r="L476" s="69"/>
      <c r="M476" s="71"/>
      <c r="N476" s="72"/>
      <c r="O476" s="73"/>
      <c r="P476" s="73"/>
      <c r="Q476" s="74"/>
      <c r="R476" s="75"/>
      <c r="S476" s="69"/>
      <c r="T476" s="75"/>
      <c r="U476" s="67"/>
    </row>
    <row r="477" spans="2:21" x14ac:dyDescent="0.25">
      <c r="B477" s="67"/>
      <c r="C477" s="68"/>
      <c r="D477" s="68"/>
      <c r="E477" s="68"/>
      <c r="F477" s="67"/>
      <c r="G477" s="67"/>
      <c r="H477" s="69"/>
      <c r="I477" s="69"/>
      <c r="J477" s="70"/>
      <c r="K477" s="69"/>
      <c r="L477" s="69"/>
      <c r="M477" s="71"/>
      <c r="N477" s="72"/>
      <c r="O477" s="73"/>
      <c r="P477" s="73"/>
      <c r="Q477" s="74"/>
      <c r="R477" s="75"/>
      <c r="S477" s="69"/>
      <c r="T477" s="75"/>
      <c r="U477" s="67"/>
    </row>
    <row r="478" spans="2:21" x14ac:dyDescent="0.25">
      <c r="B478" s="67"/>
      <c r="C478" s="68"/>
      <c r="D478" s="68"/>
      <c r="E478" s="68"/>
      <c r="F478" s="67"/>
      <c r="G478" s="67"/>
      <c r="H478" s="69"/>
      <c r="I478" s="69"/>
      <c r="J478" s="70"/>
      <c r="K478" s="69"/>
      <c r="L478" s="69"/>
      <c r="M478" s="71"/>
      <c r="N478" s="72"/>
      <c r="O478" s="73"/>
      <c r="P478" s="73"/>
      <c r="Q478" s="74"/>
      <c r="R478" s="75"/>
      <c r="S478" s="69"/>
      <c r="T478" s="75"/>
      <c r="U478" s="67"/>
    </row>
    <row r="479" spans="2:21" x14ac:dyDescent="0.25">
      <c r="B479" s="67"/>
      <c r="C479" s="68"/>
      <c r="D479" s="68"/>
      <c r="E479" s="68"/>
      <c r="F479" s="67"/>
      <c r="G479" s="67"/>
      <c r="H479" s="69"/>
      <c r="I479" s="69"/>
      <c r="J479" s="70"/>
      <c r="K479" s="69"/>
      <c r="L479" s="69"/>
      <c r="M479" s="71"/>
      <c r="N479" s="72"/>
      <c r="O479" s="73"/>
      <c r="P479" s="73"/>
      <c r="Q479" s="74"/>
      <c r="R479" s="75"/>
      <c r="S479" s="69"/>
      <c r="T479" s="75"/>
      <c r="U479" s="67"/>
    </row>
    <row r="480" spans="2:21" x14ac:dyDescent="0.25">
      <c r="B480" s="67"/>
      <c r="C480" s="68"/>
      <c r="D480" s="68"/>
      <c r="E480" s="68"/>
      <c r="F480" s="67"/>
      <c r="G480" s="67"/>
      <c r="H480" s="69"/>
      <c r="I480" s="69"/>
      <c r="J480" s="70"/>
      <c r="K480" s="69"/>
      <c r="L480" s="69"/>
      <c r="M480" s="71"/>
      <c r="N480" s="72"/>
      <c r="O480" s="73"/>
      <c r="P480" s="73"/>
      <c r="Q480" s="74"/>
      <c r="R480" s="75"/>
      <c r="S480" s="69"/>
      <c r="T480" s="75"/>
      <c r="U480" s="67"/>
    </row>
    <row r="481" spans="2:21" x14ac:dyDescent="0.25">
      <c r="B481" s="67"/>
      <c r="C481" s="68"/>
      <c r="D481" s="68"/>
      <c r="E481" s="68"/>
      <c r="F481" s="67"/>
      <c r="G481" s="67"/>
      <c r="H481" s="69"/>
      <c r="I481" s="69"/>
      <c r="J481" s="70"/>
      <c r="K481" s="69"/>
      <c r="L481" s="69"/>
      <c r="M481" s="71"/>
      <c r="N481" s="72"/>
      <c r="O481" s="73"/>
      <c r="P481" s="73"/>
      <c r="Q481" s="74"/>
      <c r="R481" s="75"/>
      <c r="S481" s="69"/>
      <c r="T481" s="75"/>
      <c r="U481" s="67"/>
    </row>
    <row r="482" spans="2:21" x14ac:dyDescent="0.25">
      <c r="B482" s="67"/>
      <c r="C482" s="68"/>
      <c r="D482" s="68"/>
      <c r="E482" s="68"/>
      <c r="F482" s="67"/>
      <c r="G482" s="67"/>
      <c r="H482" s="69"/>
      <c r="I482" s="69"/>
      <c r="J482" s="70"/>
      <c r="K482" s="69"/>
      <c r="L482" s="69"/>
      <c r="M482" s="71"/>
      <c r="N482" s="72"/>
      <c r="O482" s="73"/>
      <c r="P482" s="73"/>
      <c r="Q482" s="74"/>
      <c r="R482" s="75"/>
      <c r="S482" s="69"/>
      <c r="T482" s="75"/>
      <c r="U482" s="67"/>
    </row>
    <row r="483" spans="2:21" x14ac:dyDescent="0.25">
      <c r="B483" s="67"/>
      <c r="C483" s="68"/>
      <c r="D483" s="68"/>
      <c r="E483" s="68"/>
      <c r="F483" s="67"/>
      <c r="G483" s="67"/>
      <c r="H483" s="69"/>
      <c r="I483" s="69"/>
      <c r="J483" s="70"/>
      <c r="K483" s="69"/>
      <c r="L483" s="69"/>
      <c r="M483" s="71"/>
      <c r="N483" s="72"/>
      <c r="O483" s="73"/>
      <c r="P483" s="73"/>
      <c r="Q483" s="74"/>
      <c r="R483" s="75"/>
      <c r="S483" s="69"/>
      <c r="T483" s="75"/>
      <c r="U483" s="67"/>
    </row>
    <row r="484" spans="2:21" x14ac:dyDescent="0.25">
      <c r="B484" s="67"/>
      <c r="C484" s="68"/>
      <c r="D484" s="68"/>
      <c r="E484" s="68"/>
      <c r="F484" s="67"/>
      <c r="G484" s="67"/>
      <c r="H484" s="69"/>
      <c r="I484" s="69"/>
      <c r="J484" s="70"/>
      <c r="K484" s="69"/>
      <c r="L484" s="69"/>
      <c r="M484" s="71"/>
      <c r="N484" s="72"/>
      <c r="O484" s="73"/>
      <c r="P484" s="73"/>
      <c r="Q484" s="74"/>
      <c r="R484" s="75"/>
      <c r="S484" s="69"/>
      <c r="T484" s="75"/>
      <c r="U484" s="67"/>
    </row>
    <row r="485" spans="2:21" x14ac:dyDescent="0.25">
      <c r="B485" s="67"/>
      <c r="C485" s="68"/>
      <c r="D485" s="68"/>
      <c r="E485" s="68"/>
      <c r="F485" s="67"/>
      <c r="G485" s="67"/>
      <c r="H485" s="69"/>
      <c r="I485" s="69"/>
      <c r="J485" s="70"/>
      <c r="K485" s="69"/>
      <c r="L485" s="69"/>
      <c r="M485" s="71"/>
      <c r="N485" s="72"/>
      <c r="O485" s="73"/>
      <c r="P485" s="73"/>
      <c r="Q485" s="74"/>
      <c r="R485" s="75"/>
      <c r="S485" s="69"/>
      <c r="T485" s="75"/>
      <c r="U485" s="67"/>
    </row>
    <row r="486" spans="2:21" x14ac:dyDescent="0.25">
      <c r="B486" s="67"/>
      <c r="C486" s="68"/>
      <c r="D486" s="68"/>
      <c r="E486" s="68"/>
      <c r="F486" s="67"/>
      <c r="G486" s="67"/>
      <c r="H486" s="69"/>
      <c r="I486" s="69"/>
      <c r="J486" s="70"/>
      <c r="K486" s="69"/>
      <c r="L486" s="69"/>
      <c r="M486" s="71"/>
      <c r="N486" s="72"/>
      <c r="O486" s="73"/>
      <c r="P486" s="73"/>
      <c r="Q486" s="74"/>
      <c r="R486" s="75"/>
      <c r="S486" s="69"/>
      <c r="T486" s="75"/>
      <c r="U486" s="67"/>
    </row>
    <row r="487" spans="2:21" x14ac:dyDescent="0.25">
      <c r="B487" s="67"/>
      <c r="C487" s="68"/>
      <c r="D487" s="68"/>
      <c r="E487" s="68"/>
      <c r="F487" s="67"/>
      <c r="G487" s="67"/>
      <c r="H487" s="69"/>
      <c r="I487" s="69"/>
      <c r="J487" s="70"/>
      <c r="K487" s="69"/>
      <c r="L487" s="69"/>
      <c r="M487" s="71"/>
      <c r="N487" s="72"/>
      <c r="O487" s="73"/>
      <c r="P487" s="73"/>
      <c r="Q487" s="74"/>
      <c r="R487" s="75"/>
      <c r="S487" s="69"/>
      <c r="T487" s="75"/>
      <c r="U487" s="67"/>
    </row>
    <row r="488" spans="2:21" x14ac:dyDescent="0.25">
      <c r="B488" s="67"/>
      <c r="C488" s="68"/>
      <c r="D488" s="68"/>
      <c r="E488" s="68"/>
      <c r="F488" s="67"/>
      <c r="G488" s="67"/>
      <c r="H488" s="69"/>
      <c r="I488" s="69"/>
      <c r="J488" s="70"/>
      <c r="K488" s="69"/>
      <c r="L488" s="69"/>
      <c r="M488" s="71"/>
      <c r="N488" s="72"/>
      <c r="O488" s="73"/>
      <c r="P488" s="73"/>
      <c r="Q488" s="74"/>
      <c r="R488" s="75"/>
      <c r="S488" s="69"/>
      <c r="T488" s="75"/>
      <c r="U488" s="67"/>
    </row>
    <row r="489" spans="2:21" x14ac:dyDescent="0.25">
      <c r="B489" s="67"/>
      <c r="C489" s="68"/>
      <c r="D489" s="68"/>
      <c r="E489" s="68"/>
      <c r="F489" s="67"/>
      <c r="G489" s="67"/>
      <c r="H489" s="69"/>
      <c r="I489" s="69"/>
      <c r="J489" s="70"/>
      <c r="K489" s="69"/>
      <c r="L489" s="69"/>
      <c r="M489" s="71"/>
      <c r="N489" s="72"/>
      <c r="O489" s="73"/>
      <c r="P489" s="73"/>
      <c r="Q489" s="74"/>
      <c r="R489" s="75"/>
      <c r="S489" s="69"/>
      <c r="T489" s="75"/>
      <c r="U489" s="67"/>
    </row>
    <row r="490" spans="2:21" x14ac:dyDescent="0.25">
      <c r="B490" s="67"/>
      <c r="C490" s="68"/>
      <c r="D490" s="68"/>
      <c r="E490" s="68"/>
      <c r="F490" s="67"/>
      <c r="G490" s="67"/>
      <c r="H490" s="69"/>
      <c r="I490" s="69"/>
      <c r="J490" s="70"/>
      <c r="K490" s="69"/>
      <c r="L490" s="69"/>
      <c r="M490" s="71"/>
      <c r="N490" s="72"/>
      <c r="O490" s="73"/>
      <c r="P490" s="73"/>
      <c r="Q490" s="74"/>
      <c r="R490" s="75"/>
      <c r="S490" s="69"/>
      <c r="T490" s="75"/>
      <c r="U490" s="67"/>
    </row>
    <row r="491" spans="2:21" x14ac:dyDescent="0.25">
      <c r="B491" s="67"/>
      <c r="C491" s="68"/>
      <c r="D491" s="68"/>
      <c r="E491" s="68"/>
      <c r="F491" s="67"/>
      <c r="G491" s="67"/>
      <c r="H491" s="69"/>
      <c r="I491" s="69"/>
      <c r="J491" s="70"/>
      <c r="K491" s="69"/>
      <c r="L491" s="69"/>
      <c r="M491" s="71"/>
      <c r="N491" s="72"/>
      <c r="O491" s="73"/>
      <c r="P491" s="73"/>
      <c r="Q491" s="74"/>
      <c r="R491" s="75"/>
      <c r="S491" s="69"/>
      <c r="T491" s="75"/>
      <c r="U491" s="67"/>
    </row>
    <row r="492" spans="2:21" x14ac:dyDescent="0.25">
      <c r="B492" s="67"/>
      <c r="C492" s="68"/>
      <c r="D492" s="68"/>
      <c r="E492" s="68"/>
      <c r="F492" s="67"/>
      <c r="G492" s="67"/>
      <c r="H492" s="69"/>
      <c r="I492" s="69"/>
      <c r="J492" s="70"/>
      <c r="K492" s="69"/>
      <c r="L492" s="69"/>
      <c r="M492" s="71"/>
      <c r="N492" s="72"/>
      <c r="O492" s="73"/>
      <c r="P492" s="73"/>
      <c r="Q492" s="74"/>
      <c r="R492" s="75"/>
      <c r="S492" s="69"/>
      <c r="T492" s="75"/>
      <c r="U492" s="67"/>
    </row>
    <row r="493" spans="2:21" x14ac:dyDescent="0.25">
      <c r="B493" s="67"/>
      <c r="C493" s="68"/>
      <c r="D493" s="68"/>
      <c r="E493" s="68"/>
      <c r="F493" s="67"/>
      <c r="G493" s="67"/>
      <c r="H493" s="69"/>
      <c r="I493" s="69"/>
      <c r="J493" s="70"/>
      <c r="K493" s="69"/>
      <c r="L493" s="69"/>
      <c r="M493" s="71"/>
      <c r="N493" s="72"/>
      <c r="O493" s="73"/>
      <c r="P493" s="73"/>
      <c r="Q493" s="74"/>
      <c r="R493" s="75"/>
      <c r="S493" s="69"/>
      <c r="T493" s="75"/>
      <c r="U493" s="67"/>
    </row>
    <row r="494" spans="2:21" x14ac:dyDescent="0.25">
      <c r="B494" s="67"/>
      <c r="C494" s="68"/>
      <c r="D494" s="68"/>
      <c r="E494" s="68"/>
      <c r="F494" s="67"/>
      <c r="G494" s="67"/>
      <c r="H494" s="69"/>
      <c r="I494" s="69"/>
      <c r="J494" s="70"/>
      <c r="K494" s="69"/>
      <c r="L494" s="69"/>
      <c r="M494" s="71"/>
      <c r="N494" s="72"/>
      <c r="O494" s="73"/>
      <c r="P494" s="73"/>
      <c r="Q494" s="74"/>
      <c r="R494" s="75"/>
      <c r="S494" s="69"/>
      <c r="T494" s="75"/>
      <c r="U494" s="67"/>
    </row>
    <row r="495" spans="2:21" x14ac:dyDescent="0.25">
      <c r="B495" s="67"/>
      <c r="C495" s="68"/>
      <c r="D495" s="68"/>
      <c r="E495" s="68"/>
      <c r="F495" s="67"/>
      <c r="G495" s="67"/>
      <c r="H495" s="69"/>
      <c r="I495" s="69"/>
      <c r="J495" s="70"/>
      <c r="K495" s="69"/>
      <c r="L495" s="69"/>
      <c r="M495" s="71"/>
      <c r="N495" s="72"/>
      <c r="O495" s="73"/>
      <c r="P495" s="73"/>
      <c r="Q495" s="74"/>
      <c r="R495" s="75"/>
      <c r="S495" s="69"/>
      <c r="T495" s="75"/>
      <c r="U495" s="67"/>
    </row>
    <row r="496" spans="2:21" x14ac:dyDescent="0.25">
      <c r="B496" s="67"/>
      <c r="C496" s="68"/>
      <c r="D496" s="68"/>
      <c r="E496" s="68"/>
      <c r="F496" s="67"/>
      <c r="G496" s="67"/>
      <c r="H496" s="69"/>
      <c r="I496" s="69"/>
      <c r="J496" s="70"/>
      <c r="K496" s="69"/>
      <c r="L496" s="69"/>
      <c r="M496" s="71"/>
      <c r="N496" s="72"/>
      <c r="O496" s="73"/>
      <c r="P496" s="73"/>
      <c r="Q496" s="74"/>
      <c r="R496" s="75"/>
      <c r="S496" s="69"/>
      <c r="T496" s="75"/>
      <c r="U496" s="67"/>
    </row>
    <row r="497" spans="2:21" x14ac:dyDescent="0.25">
      <c r="B497" s="67"/>
      <c r="C497" s="68"/>
      <c r="D497" s="68"/>
      <c r="E497" s="68"/>
      <c r="F497" s="67"/>
      <c r="G497" s="67"/>
      <c r="H497" s="69"/>
      <c r="I497" s="69"/>
      <c r="J497" s="70"/>
      <c r="K497" s="69"/>
      <c r="L497" s="69"/>
      <c r="M497" s="71"/>
      <c r="N497" s="72"/>
      <c r="O497" s="73"/>
      <c r="P497" s="73"/>
      <c r="Q497" s="74"/>
      <c r="R497" s="75"/>
      <c r="S497" s="69"/>
      <c r="T497" s="75"/>
      <c r="U497" s="67"/>
    </row>
    <row r="498" spans="2:21" x14ac:dyDescent="0.25">
      <c r="B498" s="67"/>
      <c r="C498" s="68"/>
      <c r="D498" s="68"/>
      <c r="E498" s="68"/>
      <c r="F498" s="67"/>
      <c r="G498" s="67"/>
      <c r="H498" s="69"/>
      <c r="I498" s="69"/>
      <c r="J498" s="70"/>
      <c r="K498" s="69"/>
      <c r="L498" s="69"/>
      <c r="M498" s="71"/>
      <c r="N498" s="72"/>
      <c r="O498" s="73"/>
      <c r="P498" s="73"/>
      <c r="Q498" s="74"/>
      <c r="R498" s="75"/>
      <c r="S498" s="69"/>
      <c r="T498" s="75"/>
      <c r="U498" s="67"/>
    </row>
    <row r="499" spans="2:21" x14ac:dyDescent="0.25">
      <c r="B499" s="67"/>
      <c r="C499" s="68"/>
      <c r="D499" s="68"/>
      <c r="E499" s="68"/>
      <c r="F499" s="67"/>
      <c r="G499" s="67"/>
      <c r="H499" s="69"/>
      <c r="I499" s="69"/>
      <c r="J499" s="70"/>
      <c r="K499" s="69"/>
      <c r="L499" s="69"/>
      <c r="M499" s="71"/>
      <c r="N499" s="72"/>
      <c r="O499" s="73"/>
      <c r="P499" s="73"/>
      <c r="Q499" s="74"/>
      <c r="R499" s="75"/>
      <c r="S499" s="69"/>
      <c r="T499" s="75"/>
      <c r="U499" s="67"/>
    </row>
    <row r="500" spans="2:21" x14ac:dyDescent="0.25">
      <c r="B500" s="67"/>
      <c r="C500" s="68"/>
      <c r="D500" s="68"/>
      <c r="E500" s="68"/>
      <c r="F500" s="67"/>
      <c r="G500" s="67"/>
      <c r="H500" s="69"/>
      <c r="I500" s="69"/>
      <c r="J500" s="70"/>
      <c r="K500" s="69"/>
      <c r="L500" s="69"/>
      <c r="M500" s="71"/>
      <c r="N500" s="72"/>
      <c r="O500" s="73"/>
      <c r="P500" s="73"/>
      <c r="Q500" s="74"/>
      <c r="R500" s="75"/>
      <c r="S500" s="69"/>
      <c r="T500" s="75"/>
      <c r="U500" s="67"/>
    </row>
    <row r="501" spans="2:21" x14ac:dyDescent="0.25">
      <c r="B501" s="67"/>
      <c r="C501" s="68"/>
      <c r="D501" s="68"/>
      <c r="E501" s="68"/>
      <c r="F501" s="67"/>
      <c r="G501" s="67"/>
      <c r="H501" s="69"/>
      <c r="I501" s="69"/>
      <c r="J501" s="70"/>
      <c r="K501" s="69"/>
      <c r="L501" s="69"/>
      <c r="M501" s="71"/>
      <c r="N501" s="72"/>
      <c r="O501" s="73"/>
      <c r="P501" s="73"/>
      <c r="Q501" s="74"/>
      <c r="R501" s="75"/>
      <c r="S501" s="69"/>
      <c r="T501" s="75"/>
      <c r="U501" s="67"/>
    </row>
    <row r="502" spans="2:21" x14ac:dyDescent="0.25">
      <c r="B502" s="67"/>
      <c r="C502" s="68"/>
      <c r="D502" s="68"/>
      <c r="E502" s="68"/>
      <c r="F502" s="67"/>
      <c r="G502" s="67"/>
      <c r="H502" s="69"/>
      <c r="I502" s="69"/>
      <c r="J502" s="70"/>
      <c r="K502" s="69"/>
      <c r="L502" s="69"/>
      <c r="M502" s="71"/>
      <c r="N502" s="72"/>
      <c r="O502" s="73"/>
      <c r="P502" s="73"/>
      <c r="Q502" s="74"/>
      <c r="R502" s="75"/>
      <c r="S502" s="69"/>
      <c r="T502" s="75"/>
      <c r="U502" s="67"/>
    </row>
    <row r="503" spans="2:21" x14ac:dyDescent="0.25">
      <c r="B503" s="67"/>
      <c r="C503" s="68"/>
      <c r="D503" s="68"/>
      <c r="E503" s="68"/>
      <c r="F503" s="67"/>
      <c r="G503" s="67"/>
      <c r="H503" s="69"/>
      <c r="I503" s="69"/>
      <c r="J503" s="70"/>
      <c r="K503" s="69"/>
      <c r="L503" s="69"/>
      <c r="M503" s="71"/>
      <c r="N503" s="72"/>
      <c r="O503" s="73"/>
      <c r="P503" s="73"/>
      <c r="Q503" s="74"/>
      <c r="R503" s="75"/>
      <c r="S503" s="69"/>
      <c r="T503" s="75"/>
      <c r="U503" s="67"/>
    </row>
    <row r="504" spans="2:21" x14ac:dyDescent="0.25">
      <c r="B504" s="67"/>
      <c r="C504" s="68"/>
      <c r="D504" s="68"/>
      <c r="E504" s="68"/>
      <c r="F504" s="67"/>
      <c r="G504" s="67"/>
      <c r="H504" s="69"/>
      <c r="I504" s="69"/>
      <c r="J504" s="70"/>
      <c r="K504" s="69"/>
      <c r="L504" s="69"/>
      <c r="M504" s="71"/>
      <c r="N504" s="72"/>
      <c r="O504" s="73"/>
      <c r="P504" s="73"/>
      <c r="Q504" s="74"/>
      <c r="R504" s="75"/>
      <c r="S504" s="69"/>
      <c r="T504" s="75"/>
      <c r="U504" s="67"/>
    </row>
    <row r="505" spans="2:21" x14ac:dyDescent="0.25">
      <c r="B505" s="67"/>
      <c r="C505" s="68"/>
      <c r="D505" s="68"/>
      <c r="E505" s="68"/>
      <c r="F505" s="67"/>
      <c r="G505" s="67"/>
      <c r="H505" s="69"/>
      <c r="I505" s="69"/>
      <c r="J505" s="70"/>
      <c r="K505" s="69"/>
      <c r="L505" s="69"/>
      <c r="M505" s="71"/>
      <c r="N505" s="72"/>
      <c r="O505" s="73"/>
      <c r="P505" s="73"/>
      <c r="Q505" s="74"/>
      <c r="R505" s="75"/>
      <c r="S505" s="69"/>
      <c r="T505" s="75"/>
      <c r="U505" s="67"/>
    </row>
    <row r="506" spans="2:21" x14ac:dyDescent="0.25">
      <c r="B506" s="67"/>
      <c r="C506" s="68"/>
      <c r="D506" s="68"/>
      <c r="E506" s="68"/>
      <c r="F506" s="67"/>
      <c r="G506" s="67"/>
      <c r="H506" s="69"/>
      <c r="I506" s="69"/>
      <c r="J506" s="70"/>
      <c r="K506" s="69"/>
      <c r="L506" s="69"/>
      <c r="M506" s="71"/>
      <c r="N506" s="72"/>
      <c r="O506" s="73"/>
      <c r="P506" s="73"/>
      <c r="Q506" s="74"/>
      <c r="R506" s="75"/>
      <c r="S506" s="69"/>
      <c r="T506" s="75"/>
      <c r="U506" s="67"/>
    </row>
    <row r="507" spans="2:21" x14ac:dyDescent="0.25">
      <c r="B507" s="67"/>
      <c r="C507" s="68"/>
      <c r="D507" s="68"/>
      <c r="E507" s="68"/>
      <c r="F507" s="67"/>
      <c r="G507" s="67"/>
      <c r="H507" s="69"/>
      <c r="I507" s="69"/>
      <c r="J507" s="70"/>
      <c r="K507" s="69"/>
      <c r="L507" s="69"/>
      <c r="M507" s="71"/>
      <c r="N507" s="72"/>
      <c r="O507" s="73"/>
      <c r="P507" s="73"/>
      <c r="Q507" s="74"/>
      <c r="R507" s="75"/>
      <c r="S507" s="69"/>
      <c r="T507" s="75"/>
      <c r="U507" s="67"/>
    </row>
  </sheetData>
  <sheetProtection password="930D" sheet="1" objects="1" scenarios="1" formatColumns="0" autoFilter="0"/>
  <mergeCells count="3">
    <mergeCell ref="B6:C6"/>
    <mergeCell ref="D6:F6"/>
    <mergeCell ref="G6:K6"/>
  </mergeCells>
  <conditionalFormatting sqref="B8:U507">
    <cfRule type="expression" dxfId="76" priority="18">
      <formula>AND($B8&lt;&gt;"",MOD(ROW(),2)=0)</formula>
    </cfRule>
  </conditionalFormatting>
  <conditionalFormatting sqref="D6:F6">
    <cfRule type="expression" dxfId="75" priority="19">
      <formula>kpiNuevosDesdeCalculo=0</formula>
    </cfRule>
    <cfRule type="expression" dxfId="74" priority="20">
      <formula>kpiNuevosDesdeCalculo&gt;0</formula>
    </cfRule>
  </conditionalFormatting>
  <conditionalFormatting sqref="H8:H507">
    <cfRule type="expression" dxfId="73" priority="10">
      <formula>AND(ISNUMBER(H8),H8&lt;&gt;INT(H8))</formula>
    </cfRule>
  </conditionalFormatting>
  <conditionalFormatting sqref="I8:I507">
    <cfRule type="expression" dxfId="72" priority="11">
      <formula>AND(ISNUMBER(I8),I8&lt;&gt;INT(I8))</formula>
    </cfRule>
  </conditionalFormatting>
  <conditionalFormatting sqref="J8:J507">
    <cfRule type="expression" dxfId="71" priority="12">
      <formula>AND(ISNUMBER(J8),J8&lt;&gt;INT(J8))</formula>
    </cfRule>
  </conditionalFormatting>
  <conditionalFormatting sqref="K8:K507">
    <cfRule type="expression" dxfId="70" priority="13">
      <formula>AND(ISNUMBER(K8),K8&lt;&gt;INT(K8))</formula>
    </cfRule>
  </conditionalFormatting>
  <conditionalFormatting sqref="L8:L507">
    <cfRule type="expression" dxfId="69" priority="14">
      <formula>AND(ISNUMBER(L8),L8&lt;&gt;INT(L8))</formula>
    </cfRule>
  </conditionalFormatting>
  <conditionalFormatting sqref="M8:M507">
    <cfRule type="dataBar" priority="8">
      <dataBar>
        <cfvo type="num" val="0"/>
        <cfvo type="num" val="1"/>
        <color rgb="FF90CAF9"/>
      </dataBar>
      <extLst>
        <ext xmlns:x14="http://schemas.microsoft.com/office/spreadsheetml/2009/9/main" uri="{B025F937-C7B1-47D3-B67F-A62EFF666E3E}">
          <x14:id>{DA7ABA51-AAAA-BBBB-000E-000000000001}</x14:id>
        </ext>
      </extLst>
    </cfRule>
  </conditionalFormatting>
  <conditionalFormatting sqref="N8:N507">
    <cfRule type="expression" dxfId="68" priority="1">
      <formula>$N8="INCONSISTENTE"</formula>
    </cfRule>
    <cfRule type="expression" dxfId="67" priority="2">
      <formula>$N8="AGOTADO"</formula>
    </cfRule>
    <cfRule type="expression" dxfId="66" priority="3">
      <formula>$N8="CRÍTICO"</formula>
    </cfRule>
    <cfRule type="expression" dxfId="65" priority="4">
      <formula>$N8="BAJO"</formula>
    </cfRule>
    <cfRule type="expression" dxfId="64" priority="5">
      <formula>$N8="ÓPTIMO"</formula>
    </cfRule>
    <cfRule type="expression" dxfId="63" priority="6">
      <formula>$N8="SOBRESTOCK"</formula>
    </cfRule>
    <cfRule type="expression" dxfId="62" priority="7">
      <formula>$N8="INACTIVO"</formula>
    </cfRule>
  </conditionalFormatting>
  <conditionalFormatting sqref="R8:R507">
    <cfRule type="expression" dxfId="61" priority="9">
      <formula>AND(ISNUMBER($R8),$R8&gt;cfgDiasSinRotacion,$J8&gt;0)</formula>
    </cfRule>
  </conditionalFormatting>
  <conditionalFormatting sqref="T8:T507">
    <cfRule type="expression" dxfId="60" priority="15" stopIfTrue="1">
      <formula>AND(ISNUMBER($T8),$T8&lt;3)</formula>
    </cfRule>
    <cfRule type="expression" dxfId="59" priority="16" stopIfTrue="1">
      <formula>AND(ISNUMBER($T8),$T8&lt;7)</formula>
    </cfRule>
  </conditionalFormatting>
  <conditionalFormatting sqref="U8:U507">
    <cfRule type="expression" dxfId="58" priority="17">
      <formula>AND(ISNUMBER($U8),$U8&lt;=10)</formula>
    </cfRule>
  </conditionalFormatting>
  <hyperlinks>
    <hyperlink ref="H5" location="'00_PORTADA_BODEGA'!A1" tooltip="Portada de Bodega" display="⌂ Bodega" xr:uid="{00000000-0004-0000-0D00-000000000000}"/>
    <hyperlink ref="I5" location="'00_PORTADA_VENTAS'!A1" tooltip="Portada de Ventas" display="⌂ Ventas" xr:uid="{00000000-0004-0000-0D00-000001000000}"/>
    <hyperlink ref="J5" location="'00_PORTADA_GERENCIA'!A1" tooltip="Portada de Gerencia: indicadores, pedido y actividad" display="◈ Gerencia" xr:uid="{00000000-0004-0000-0D00-000002000000}"/>
    <hyperlink ref="K5" location="'10A_ENTRADAS'!C9" tooltip="Registrar entradas y ajustes (Bodega)" display="⇩ Entradas" xr:uid="{00000000-0004-0000-0D00-000003000000}"/>
    <hyperlink ref="L5" location="'10B_SALIDAS'!E9" tooltip="Registrar salidas (Ventas)" display="⇧ Salidas" xr:uid="{00000000-0004-0000-0D00-000004000000}"/>
    <hyperlink ref="M5" location="'17_CONSULTA'!C9" tooltip="Consultar un producto en su fila" display="⌕ Consulta" xr:uid="{00000000-0004-0000-0D00-000005000000}"/>
    <hyperlink ref="N5" location="'15_STOCK'!A1" tooltip="Stock (instantánea recalculada a demanda)" display="▦ Stock" xr:uid="{00000000-0004-0000-0D00-000006000000}"/>
    <hyperlink ref="O5" location="'18_PEDIDO'!A1" tooltip="Pedido sugerido por proveedor" display="✚ Pedido" xr:uid="{00000000-0004-0000-0D00-000007000000}"/>
    <hyperlink ref="P5" location="'13_CONTEO'!I9" tooltip="Toma física (conteo) colaborativa" display="✓ Conteo" xr:uid="{00000000-0004-0000-0D00-000008000000}"/>
    <hyperlink ref="Q5" location="'99_AYUDA'!A1" tooltip="Guía de uso, acceso e instalación" display="? Guía" xr:uid="{00000000-0004-0000-0D00-000009000000}"/>
  </hyperlinks>
  <pageMargins left="0.7" right="0.7" top="0.75" bottom="0.75" header="0.3" footer="0.3"/>
  <pageSetup fitToHeight="0"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E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0CAF9"/>
              <x14:negativeFillColor rgb="FFFF0000"/>
              <x14:negativeBorderColor rgb="FFFF0000"/>
              <x14:axisColor rgb="FF000000"/>
            </x14:dataBar>
          </x14:cfRule>
          <xm:sqref>M8:M507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62828"/>
    <pageSetUpPr fitToPage="1"/>
  </sheetPr>
  <dimension ref="B1:O5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6.85546875" customWidth="1"/>
    <col min="3" max="3" width="18.5703125" customWidth="1"/>
    <col min="4" max="4" width="12" customWidth="1"/>
    <col min="5" max="5" width="38.5703125" customWidth="1"/>
    <col min="6" max="6" width="22.85546875" customWidth="1"/>
    <col min="7" max="7" width="28.5703125" customWidth="1"/>
    <col min="8" max="8" width="12.85546875" customWidth="1"/>
    <col min="9" max="10" width="13.7109375" customWidth="1"/>
    <col min="11" max="11" width="12" customWidth="1"/>
    <col min="12" max="12" width="13.7109375" customWidth="1"/>
    <col min="13" max="13" width="19.42578125" customWidth="1"/>
    <col min="14" max="14" width="35.7109375" customWidth="1"/>
    <col min="15" max="15" width="16.85546875" customWidth="1"/>
    <col min="16" max="16" width="2.28515625" customWidth="1"/>
    <col min="17" max="17" width="0" hidden="1" customWidth="1"/>
  </cols>
  <sheetData>
    <row r="1" spans="2:15" s="1" customFormat="1" ht="4.5" customHeight="1" x14ac:dyDescent="0.25"/>
    <row r="2" spans="2:15" s="1" customFormat="1" ht="22.5" customHeight="1" x14ac:dyDescent="0.25">
      <c r="B2" s="2" t="s">
        <v>229</v>
      </c>
    </row>
    <row r="3" spans="2:15" s="1" customFormat="1" ht="14.25" x14ac:dyDescent="0.25">
      <c r="B3" s="16" t="s">
        <v>230</v>
      </c>
    </row>
    <row r="4" spans="2:15" s="1" customFormat="1" ht="4.5" customHeight="1" x14ac:dyDescent="0.25"/>
    <row r="5" spans="2:15" s="4" customFormat="1" ht="21" customHeight="1" x14ac:dyDescent="0.25">
      <c r="B5" s="128" t="s">
        <v>82</v>
      </c>
      <c r="C5" s="128"/>
      <c r="D5" s="6" t="s">
        <v>83</v>
      </c>
      <c r="E5" s="6" t="s">
        <v>84</v>
      </c>
      <c r="F5" s="6" t="s">
        <v>85</v>
      </c>
      <c r="G5" s="6" t="s">
        <v>86</v>
      </c>
      <c r="H5" s="6" t="s">
        <v>87</v>
      </c>
      <c r="I5" s="6" t="s">
        <v>88</v>
      </c>
      <c r="J5" s="6" t="s">
        <v>89</v>
      </c>
      <c r="K5" s="6" t="s">
        <v>90</v>
      </c>
      <c r="L5" s="6" t="s">
        <v>91</v>
      </c>
    </row>
    <row r="6" spans="2:15" s="7" customFormat="1" ht="27" customHeight="1" x14ac:dyDescent="0.25">
      <c r="B6" s="129" t="str">
        <f>txtStockActualizado</f>
        <v>Stock aún no calculado</v>
      </c>
      <c r="C6" s="129"/>
      <c r="D6" s="129"/>
      <c r="E6" s="129"/>
      <c r="F6" s="129" t="str">
        <f>txtFrescuraCorta</f>
        <v>⚠ Sin calcular</v>
      </c>
      <c r="G6" s="129"/>
      <c r="H6" s="95" t="s">
        <v>228</v>
      </c>
      <c r="I6" s="95"/>
      <c r="J6" s="95"/>
      <c r="K6" s="95"/>
      <c r="L6" s="95"/>
      <c r="M6" s="95"/>
    </row>
    <row r="7" spans="2:15" ht="24" customHeight="1" x14ac:dyDescent="0.25">
      <c r="B7" s="18" t="s">
        <v>231</v>
      </c>
      <c r="C7" s="18" t="s">
        <v>56</v>
      </c>
      <c r="D7" s="18" t="s">
        <v>114</v>
      </c>
      <c r="E7" s="18" t="s">
        <v>115</v>
      </c>
      <c r="F7" s="18" t="s">
        <v>116</v>
      </c>
      <c r="G7" s="18" t="s">
        <v>103</v>
      </c>
      <c r="H7" s="18" t="s">
        <v>232</v>
      </c>
      <c r="I7" s="18" t="s">
        <v>233</v>
      </c>
      <c r="J7" s="18" t="s">
        <v>234</v>
      </c>
      <c r="K7" s="18" t="s">
        <v>117</v>
      </c>
      <c r="L7" s="18" t="s">
        <v>235</v>
      </c>
      <c r="M7" s="18" t="s">
        <v>236</v>
      </c>
      <c r="N7" s="18" t="s">
        <v>237</v>
      </c>
      <c r="O7" s="18" t="s">
        <v>223</v>
      </c>
    </row>
    <row r="8" spans="2:15" x14ac:dyDescent="0.25">
      <c r="B8" s="76"/>
      <c r="C8" s="72"/>
      <c r="D8" s="67"/>
      <c r="E8" s="68"/>
      <c r="F8" s="68"/>
      <c r="G8" s="68"/>
      <c r="H8" s="70"/>
      <c r="I8" s="69"/>
      <c r="J8" s="69"/>
      <c r="K8" s="67"/>
      <c r="L8" s="69"/>
      <c r="M8" s="69"/>
      <c r="N8" s="68"/>
      <c r="O8" s="74"/>
    </row>
    <row r="9" spans="2:15" x14ac:dyDescent="0.25">
      <c r="B9" s="76"/>
      <c r="C9" s="72"/>
      <c r="D9" s="67"/>
      <c r="E9" s="68"/>
      <c r="F9" s="68"/>
      <c r="G9" s="68"/>
      <c r="H9" s="70"/>
      <c r="I9" s="69"/>
      <c r="J9" s="69"/>
      <c r="K9" s="67"/>
      <c r="L9" s="69"/>
      <c r="M9" s="69"/>
      <c r="N9" s="68"/>
      <c r="O9" s="74"/>
    </row>
    <row r="10" spans="2:15" x14ac:dyDescent="0.25">
      <c r="B10" s="76"/>
      <c r="C10" s="72"/>
      <c r="D10" s="67"/>
      <c r="E10" s="68"/>
      <c r="F10" s="68"/>
      <c r="G10" s="68"/>
      <c r="H10" s="70"/>
      <c r="I10" s="69"/>
      <c r="J10" s="69"/>
      <c r="K10" s="67"/>
      <c r="L10" s="69"/>
      <c r="M10" s="69"/>
      <c r="N10" s="68"/>
      <c r="O10" s="74"/>
    </row>
    <row r="11" spans="2:15" x14ac:dyDescent="0.25">
      <c r="B11" s="76"/>
      <c r="C11" s="72"/>
      <c r="D11" s="67"/>
      <c r="E11" s="68"/>
      <c r="F11" s="68"/>
      <c r="G11" s="68"/>
      <c r="H11" s="70"/>
      <c r="I11" s="69"/>
      <c r="J11" s="69"/>
      <c r="K11" s="67"/>
      <c r="L11" s="69"/>
      <c r="M11" s="69"/>
      <c r="N11" s="68"/>
      <c r="O11" s="74"/>
    </row>
    <row r="12" spans="2:15" x14ac:dyDescent="0.25">
      <c r="B12" s="76"/>
      <c r="C12" s="72"/>
      <c r="D12" s="67"/>
      <c r="E12" s="68"/>
      <c r="F12" s="68"/>
      <c r="G12" s="68"/>
      <c r="H12" s="70"/>
      <c r="I12" s="69"/>
      <c r="J12" s="69"/>
      <c r="K12" s="67"/>
      <c r="L12" s="69"/>
      <c r="M12" s="69"/>
      <c r="N12" s="68"/>
      <c r="O12" s="74"/>
    </row>
    <row r="13" spans="2:15" x14ac:dyDescent="0.25">
      <c r="B13" s="76"/>
      <c r="C13" s="72"/>
      <c r="D13" s="67"/>
      <c r="E13" s="68"/>
      <c r="F13" s="68"/>
      <c r="G13" s="68"/>
      <c r="H13" s="70"/>
      <c r="I13" s="69"/>
      <c r="J13" s="69"/>
      <c r="K13" s="67"/>
      <c r="L13" s="69"/>
      <c r="M13" s="69"/>
      <c r="N13" s="68"/>
      <c r="O13" s="74"/>
    </row>
    <row r="14" spans="2:15" x14ac:dyDescent="0.25">
      <c r="B14" s="76"/>
      <c r="C14" s="72"/>
      <c r="D14" s="67"/>
      <c r="E14" s="68"/>
      <c r="F14" s="68"/>
      <c r="G14" s="68"/>
      <c r="H14" s="70"/>
      <c r="I14" s="69"/>
      <c r="J14" s="69"/>
      <c r="K14" s="67"/>
      <c r="L14" s="69"/>
      <c r="M14" s="69"/>
      <c r="N14" s="68"/>
      <c r="O14" s="74"/>
    </row>
    <row r="15" spans="2:15" x14ac:dyDescent="0.25">
      <c r="B15" s="76"/>
      <c r="C15" s="72"/>
      <c r="D15" s="67"/>
      <c r="E15" s="68"/>
      <c r="F15" s="68"/>
      <c r="G15" s="68"/>
      <c r="H15" s="70"/>
      <c r="I15" s="69"/>
      <c r="J15" s="69"/>
      <c r="K15" s="67"/>
      <c r="L15" s="69"/>
      <c r="M15" s="69"/>
      <c r="N15" s="68"/>
      <c r="O15" s="74"/>
    </row>
    <row r="16" spans="2:15" x14ac:dyDescent="0.25">
      <c r="B16" s="76"/>
      <c r="C16" s="72"/>
      <c r="D16" s="67"/>
      <c r="E16" s="68"/>
      <c r="F16" s="68"/>
      <c r="G16" s="68"/>
      <c r="H16" s="70"/>
      <c r="I16" s="69"/>
      <c r="J16" s="69"/>
      <c r="K16" s="67"/>
      <c r="L16" s="69"/>
      <c r="M16" s="69"/>
      <c r="N16" s="68"/>
      <c r="O16" s="74"/>
    </row>
    <row r="17" spans="2:15" x14ac:dyDescent="0.25">
      <c r="B17" s="76"/>
      <c r="C17" s="72"/>
      <c r="D17" s="67"/>
      <c r="E17" s="68"/>
      <c r="F17" s="68"/>
      <c r="G17" s="68"/>
      <c r="H17" s="70"/>
      <c r="I17" s="69"/>
      <c r="J17" s="69"/>
      <c r="K17" s="67"/>
      <c r="L17" s="69"/>
      <c r="M17" s="69"/>
      <c r="N17" s="68"/>
      <c r="O17" s="74"/>
    </row>
    <row r="18" spans="2:15" x14ac:dyDescent="0.25">
      <c r="B18" s="76"/>
      <c r="C18" s="72"/>
      <c r="D18" s="67"/>
      <c r="E18" s="68"/>
      <c r="F18" s="68"/>
      <c r="G18" s="68"/>
      <c r="H18" s="70"/>
      <c r="I18" s="69"/>
      <c r="J18" s="69"/>
      <c r="K18" s="67"/>
      <c r="L18" s="69"/>
      <c r="M18" s="69"/>
      <c r="N18" s="68"/>
      <c r="O18" s="74"/>
    </row>
    <row r="19" spans="2:15" x14ac:dyDescent="0.25">
      <c r="B19" s="76"/>
      <c r="C19" s="72"/>
      <c r="D19" s="67"/>
      <c r="E19" s="68"/>
      <c r="F19" s="68"/>
      <c r="G19" s="68"/>
      <c r="H19" s="70"/>
      <c r="I19" s="69"/>
      <c r="J19" s="69"/>
      <c r="K19" s="67"/>
      <c r="L19" s="69"/>
      <c r="M19" s="69"/>
      <c r="N19" s="68"/>
      <c r="O19" s="74"/>
    </row>
    <row r="20" spans="2:15" x14ac:dyDescent="0.25">
      <c r="B20" s="76"/>
      <c r="C20" s="72"/>
      <c r="D20" s="67"/>
      <c r="E20" s="68"/>
      <c r="F20" s="68"/>
      <c r="G20" s="68"/>
      <c r="H20" s="70"/>
      <c r="I20" s="69"/>
      <c r="J20" s="69"/>
      <c r="K20" s="67"/>
      <c r="L20" s="69"/>
      <c r="M20" s="69"/>
      <c r="N20" s="68"/>
      <c r="O20" s="74"/>
    </row>
    <row r="21" spans="2:15" x14ac:dyDescent="0.25">
      <c r="B21" s="76"/>
      <c r="C21" s="72"/>
      <c r="D21" s="67"/>
      <c r="E21" s="68"/>
      <c r="F21" s="68"/>
      <c r="G21" s="68"/>
      <c r="H21" s="70"/>
      <c r="I21" s="69"/>
      <c r="J21" s="69"/>
      <c r="K21" s="67"/>
      <c r="L21" s="69"/>
      <c r="M21" s="69"/>
      <c r="N21" s="68"/>
      <c r="O21" s="74"/>
    </row>
    <row r="22" spans="2:15" x14ac:dyDescent="0.25">
      <c r="B22" s="76"/>
      <c r="C22" s="72"/>
      <c r="D22" s="67"/>
      <c r="E22" s="68"/>
      <c r="F22" s="68"/>
      <c r="G22" s="68"/>
      <c r="H22" s="70"/>
      <c r="I22" s="69"/>
      <c r="J22" s="69"/>
      <c r="K22" s="67"/>
      <c r="L22" s="69"/>
      <c r="M22" s="69"/>
      <c r="N22" s="68"/>
      <c r="O22" s="74"/>
    </row>
    <row r="23" spans="2:15" x14ac:dyDescent="0.25">
      <c r="B23" s="76"/>
      <c r="C23" s="72"/>
      <c r="D23" s="67"/>
      <c r="E23" s="68"/>
      <c r="F23" s="68"/>
      <c r="G23" s="68"/>
      <c r="H23" s="70"/>
      <c r="I23" s="69"/>
      <c r="J23" s="69"/>
      <c r="K23" s="67"/>
      <c r="L23" s="69"/>
      <c r="M23" s="69"/>
      <c r="N23" s="68"/>
      <c r="O23" s="74"/>
    </row>
    <row r="24" spans="2:15" x14ac:dyDescent="0.25">
      <c r="B24" s="76"/>
      <c r="C24" s="72"/>
      <c r="D24" s="67"/>
      <c r="E24" s="68"/>
      <c r="F24" s="68"/>
      <c r="G24" s="68"/>
      <c r="H24" s="70"/>
      <c r="I24" s="69"/>
      <c r="J24" s="69"/>
      <c r="K24" s="67"/>
      <c r="L24" s="69"/>
      <c r="M24" s="69"/>
      <c r="N24" s="68"/>
      <c r="O24" s="74"/>
    </row>
    <row r="25" spans="2:15" x14ac:dyDescent="0.25">
      <c r="B25" s="76"/>
      <c r="C25" s="72"/>
      <c r="D25" s="67"/>
      <c r="E25" s="68"/>
      <c r="F25" s="68"/>
      <c r="G25" s="68"/>
      <c r="H25" s="70"/>
      <c r="I25" s="69"/>
      <c r="J25" s="69"/>
      <c r="K25" s="67"/>
      <c r="L25" s="69"/>
      <c r="M25" s="69"/>
      <c r="N25" s="68"/>
      <c r="O25" s="74"/>
    </row>
    <row r="26" spans="2:15" x14ac:dyDescent="0.25">
      <c r="B26" s="76"/>
      <c r="C26" s="72"/>
      <c r="D26" s="67"/>
      <c r="E26" s="68"/>
      <c r="F26" s="68"/>
      <c r="G26" s="68"/>
      <c r="H26" s="70"/>
      <c r="I26" s="69"/>
      <c r="J26" s="69"/>
      <c r="K26" s="67"/>
      <c r="L26" s="69"/>
      <c r="M26" s="69"/>
      <c r="N26" s="68"/>
      <c r="O26" s="74"/>
    </row>
    <row r="27" spans="2:15" x14ac:dyDescent="0.25">
      <c r="B27" s="76"/>
      <c r="C27" s="72"/>
      <c r="D27" s="67"/>
      <c r="E27" s="68"/>
      <c r="F27" s="68"/>
      <c r="G27" s="68"/>
      <c r="H27" s="70"/>
      <c r="I27" s="69"/>
      <c r="J27" s="69"/>
      <c r="K27" s="67"/>
      <c r="L27" s="69"/>
      <c r="M27" s="69"/>
      <c r="N27" s="68"/>
      <c r="O27" s="74"/>
    </row>
    <row r="28" spans="2:15" x14ac:dyDescent="0.25">
      <c r="B28" s="76"/>
      <c r="C28" s="72"/>
      <c r="D28" s="67"/>
      <c r="E28" s="68"/>
      <c r="F28" s="68"/>
      <c r="G28" s="68"/>
      <c r="H28" s="70"/>
      <c r="I28" s="69"/>
      <c r="J28" s="69"/>
      <c r="K28" s="67"/>
      <c r="L28" s="69"/>
      <c r="M28" s="69"/>
      <c r="N28" s="68"/>
      <c r="O28" s="74"/>
    </row>
    <row r="29" spans="2:15" x14ac:dyDescent="0.25">
      <c r="B29" s="76"/>
      <c r="C29" s="72"/>
      <c r="D29" s="67"/>
      <c r="E29" s="68"/>
      <c r="F29" s="68"/>
      <c r="G29" s="68"/>
      <c r="H29" s="70"/>
      <c r="I29" s="69"/>
      <c r="J29" s="69"/>
      <c r="K29" s="67"/>
      <c r="L29" s="69"/>
      <c r="M29" s="69"/>
      <c r="N29" s="68"/>
      <c r="O29" s="74"/>
    </row>
    <row r="30" spans="2:15" x14ac:dyDescent="0.25">
      <c r="B30" s="76"/>
      <c r="C30" s="72"/>
      <c r="D30" s="67"/>
      <c r="E30" s="68"/>
      <c r="F30" s="68"/>
      <c r="G30" s="68"/>
      <c r="H30" s="70"/>
      <c r="I30" s="69"/>
      <c r="J30" s="69"/>
      <c r="K30" s="67"/>
      <c r="L30" s="69"/>
      <c r="M30" s="69"/>
      <c r="N30" s="68"/>
      <c r="O30" s="74"/>
    </row>
    <row r="31" spans="2:15" x14ac:dyDescent="0.25">
      <c r="B31" s="76"/>
      <c r="C31" s="72"/>
      <c r="D31" s="67"/>
      <c r="E31" s="68"/>
      <c r="F31" s="68"/>
      <c r="G31" s="68"/>
      <c r="H31" s="70"/>
      <c r="I31" s="69"/>
      <c r="J31" s="69"/>
      <c r="K31" s="67"/>
      <c r="L31" s="69"/>
      <c r="M31" s="69"/>
      <c r="N31" s="68"/>
      <c r="O31" s="74"/>
    </row>
    <row r="32" spans="2:15" x14ac:dyDescent="0.25">
      <c r="B32" s="76"/>
      <c r="C32" s="72"/>
      <c r="D32" s="67"/>
      <c r="E32" s="68"/>
      <c r="F32" s="68"/>
      <c r="G32" s="68"/>
      <c r="H32" s="70"/>
      <c r="I32" s="69"/>
      <c r="J32" s="69"/>
      <c r="K32" s="67"/>
      <c r="L32" s="69"/>
      <c r="M32" s="69"/>
      <c r="N32" s="68"/>
      <c r="O32" s="74"/>
    </row>
    <row r="33" spans="2:15" x14ac:dyDescent="0.25">
      <c r="B33" s="76"/>
      <c r="C33" s="72"/>
      <c r="D33" s="67"/>
      <c r="E33" s="68"/>
      <c r="F33" s="68"/>
      <c r="G33" s="68"/>
      <c r="H33" s="70"/>
      <c r="I33" s="69"/>
      <c r="J33" s="69"/>
      <c r="K33" s="67"/>
      <c r="L33" s="69"/>
      <c r="M33" s="69"/>
      <c r="N33" s="68"/>
      <c r="O33" s="74"/>
    </row>
    <row r="34" spans="2:15" x14ac:dyDescent="0.25">
      <c r="B34" s="76"/>
      <c r="C34" s="72"/>
      <c r="D34" s="67"/>
      <c r="E34" s="68"/>
      <c r="F34" s="68"/>
      <c r="G34" s="68"/>
      <c r="H34" s="70"/>
      <c r="I34" s="69"/>
      <c r="J34" s="69"/>
      <c r="K34" s="67"/>
      <c r="L34" s="69"/>
      <c r="M34" s="69"/>
      <c r="N34" s="68"/>
      <c r="O34" s="74"/>
    </row>
    <row r="35" spans="2:15" x14ac:dyDescent="0.25">
      <c r="B35" s="76"/>
      <c r="C35" s="72"/>
      <c r="D35" s="67"/>
      <c r="E35" s="68"/>
      <c r="F35" s="68"/>
      <c r="G35" s="68"/>
      <c r="H35" s="70"/>
      <c r="I35" s="69"/>
      <c r="J35" s="69"/>
      <c r="K35" s="67"/>
      <c r="L35" s="69"/>
      <c r="M35" s="69"/>
      <c r="N35" s="68"/>
      <c r="O35" s="74"/>
    </row>
    <row r="36" spans="2:15" x14ac:dyDescent="0.25">
      <c r="B36" s="76"/>
      <c r="C36" s="72"/>
      <c r="D36" s="67"/>
      <c r="E36" s="68"/>
      <c r="F36" s="68"/>
      <c r="G36" s="68"/>
      <c r="H36" s="70"/>
      <c r="I36" s="69"/>
      <c r="J36" s="69"/>
      <c r="K36" s="67"/>
      <c r="L36" s="69"/>
      <c r="M36" s="69"/>
      <c r="N36" s="68"/>
      <c r="O36" s="74"/>
    </row>
    <row r="37" spans="2:15" x14ac:dyDescent="0.25">
      <c r="B37" s="76"/>
      <c r="C37" s="72"/>
      <c r="D37" s="67"/>
      <c r="E37" s="68"/>
      <c r="F37" s="68"/>
      <c r="G37" s="68"/>
      <c r="H37" s="70"/>
      <c r="I37" s="69"/>
      <c r="J37" s="69"/>
      <c r="K37" s="67"/>
      <c r="L37" s="69"/>
      <c r="M37" s="69"/>
      <c r="N37" s="68"/>
      <c r="O37" s="74"/>
    </row>
    <row r="38" spans="2:15" x14ac:dyDescent="0.25">
      <c r="B38" s="76"/>
      <c r="C38" s="72"/>
      <c r="D38" s="67"/>
      <c r="E38" s="68"/>
      <c r="F38" s="68"/>
      <c r="G38" s="68"/>
      <c r="H38" s="70"/>
      <c r="I38" s="69"/>
      <c r="J38" s="69"/>
      <c r="K38" s="67"/>
      <c r="L38" s="69"/>
      <c r="M38" s="69"/>
      <c r="N38" s="68"/>
      <c r="O38" s="74"/>
    </row>
    <row r="39" spans="2:15" x14ac:dyDescent="0.25">
      <c r="B39" s="76"/>
      <c r="C39" s="72"/>
      <c r="D39" s="67"/>
      <c r="E39" s="68"/>
      <c r="F39" s="68"/>
      <c r="G39" s="68"/>
      <c r="H39" s="70"/>
      <c r="I39" s="69"/>
      <c r="J39" s="69"/>
      <c r="K39" s="67"/>
      <c r="L39" s="69"/>
      <c r="M39" s="69"/>
      <c r="N39" s="68"/>
      <c r="O39" s="74"/>
    </row>
    <row r="40" spans="2:15" x14ac:dyDescent="0.25">
      <c r="B40" s="76"/>
      <c r="C40" s="72"/>
      <c r="D40" s="67"/>
      <c r="E40" s="68"/>
      <c r="F40" s="68"/>
      <c r="G40" s="68"/>
      <c r="H40" s="70"/>
      <c r="I40" s="69"/>
      <c r="J40" s="69"/>
      <c r="K40" s="67"/>
      <c r="L40" s="69"/>
      <c r="M40" s="69"/>
      <c r="N40" s="68"/>
      <c r="O40" s="74"/>
    </row>
    <row r="41" spans="2:15" x14ac:dyDescent="0.25">
      <c r="B41" s="76"/>
      <c r="C41" s="72"/>
      <c r="D41" s="67"/>
      <c r="E41" s="68"/>
      <c r="F41" s="68"/>
      <c r="G41" s="68"/>
      <c r="H41" s="70"/>
      <c r="I41" s="69"/>
      <c r="J41" s="69"/>
      <c r="K41" s="67"/>
      <c r="L41" s="69"/>
      <c r="M41" s="69"/>
      <c r="N41" s="68"/>
      <c r="O41" s="74"/>
    </row>
    <row r="42" spans="2:15" x14ac:dyDescent="0.25">
      <c r="B42" s="76"/>
      <c r="C42" s="72"/>
      <c r="D42" s="67"/>
      <c r="E42" s="68"/>
      <c r="F42" s="68"/>
      <c r="G42" s="68"/>
      <c r="H42" s="70"/>
      <c r="I42" s="69"/>
      <c r="J42" s="69"/>
      <c r="K42" s="67"/>
      <c r="L42" s="69"/>
      <c r="M42" s="69"/>
      <c r="N42" s="68"/>
      <c r="O42" s="74"/>
    </row>
    <row r="43" spans="2:15" x14ac:dyDescent="0.25">
      <c r="B43" s="76"/>
      <c r="C43" s="72"/>
      <c r="D43" s="67"/>
      <c r="E43" s="68"/>
      <c r="F43" s="68"/>
      <c r="G43" s="68"/>
      <c r="H43" s="70"/>
      <c r="I43" s="69"/>
      <c r="J43" s="69"/>
      <c r="K43" s="67"/>
      <c r="L43" s="69"/>
      <c r="M43" s="69"/>
      <c r="N43" s="68"/>
      <c r="O43" s="74"/>
    </row>
    <row r="44" spans="2:15" x14ac:dyDescent="0.25">
      <c r="B44" s="76"/>
      <c r="C44" s="72"/>
      <c r="D44" s="67"/>
      <c r="E44" s="68"/>
      <c r="F44" s="68"/>
      <c r="G44" s="68"/>
      <c r="H44" s="70"/>
      <c r="I44" s="69"/>
      <c r="J44" s="69"/>
      <c r="K44" s="67"/>
      <c r="L44" s="69"/>
      <c r="M44" s="69"/>
      <c r="N44" s="68"/>
      <c r="O44" s="74"/>
    </row>
    <row r="45" spans="2:15" x14ac:dyDescent="0.25">
      <c r="B45" s="76"/>
      <c r="C45" s="72"/>
      <c r="D45" s="67"/>
      <c r="E45" s="68"/>
      <c r="F45" s="68"/>
      <c r="G45" s="68"/>
      <c r="H45" s="70"/>
      <c r="I45" s="69"/>
      <c r="J45" s="69"/>
      <c r="K45" s="67"/>
      <c r="L45" s="69"/>
      <c r="M45" s="69"/>
      <c r="N45" s="68"/>
      <c r="O45" s="74"/>
    </row>
    <row r="46" spans="2:15" x14ac:dyDescent="0.25">
      <c r="B46" s="76"/>
      <c r="C46" s="72"/>
      <c r="D46" s="67"/>
      <c r="E46" s="68"/>
      <c r="F46" s="68"/>
      <c r="G46" s="68"/>
      <c r="H46" s="70"/>
      <c r="I46" s="69"/>
      <c r="J46" s="69"/>
      <c r="K46" s="67"/>
      <c r="L46" s="69"/>
      <c r="M46" s="69"/>
      <c r="N46" s="68"/>
      <c r="O46" s="74"/>
    </row>
    <row r="47" spans="2:15" x14ac:dyDescent="0.25">
      <c r="B47" s="76"/>
      <c r="C47" s="72"/>
      <c r="D47" s="67"/>
      <c r="E47" s="68"/>
      <c r="F47" s="68"/>
      <c r="G47" s="68"/>
      <c r="H47" s="70"/>
      <c r="I47" s="69"/>
      <c r="J47" s="69"/>
      <c r="K47" s="67"/>
      <c r="L47" s="69"/>
      <c r="M47" s="69"/>
      <c r="N47" s="68"/>
      <c r="O47" s="74"/>
    </row>
    <row r="48" spans="2:15" x14ac:dyDescent="0.25">
      <c r="B48" s="76"/>
      <c r="C48" s="72"/>
      <c r="D48" s="67"/>
      <c r="E48" s="68"/>
      <c r="F48" s="68"/>
      <c r="G48" s="68"/>
      <c r="H48" s="70"/>
      <c r="I48" s="69"/>
      <c r="J48" s="69"/>
      <c r="K48" s="67"/>
      <c r="L48" s="69"/>
      <c r="M48" s="69"/>
      <c r="N48" s="68"/>
      <c r="O48" s="74"/>
    </row>
    <row r="49" spans="2:15" x14ac:dyDescent="0.25">
      <c r="B49" s="76"/>
      <c r="C49" s="72"/>
      <c r="D49" s="67"/>
      <c r="E49" s="68"/>
      <c r="F49" s="68"/>
      <c r="G49" s="68"/>
      <c r="H49" s="70"/>
      <c r="I49" s="69"/>
      <c r="J49" s="69"/>
      <c r="K49" s="67"/>
      <c r="L49" s="69"/>
      <c r="M49" s="69"/>
      <c r="N49" s="68"/>
      <c r="O49" s="74"/>
    </row>
    <row r="50" spans="2:15" x14ac:dyDescent="0.25">
      <c r="B50" s="76"/>
      <c r="C50" s="72"/>
      <c r="D50" s="67"/>
      <c r="E50" s="68"/>
      <c r="F50" s="68"/>
      <c r="G50" s="68"/>
      <c r="H50" s="70"/>
      <c r="I50" s="69"/>
      <c r="J50" s="69"/>
      <c r="K50" s="67"/>
      <c r="L50" s="69"/>
      <c r="M50" s="69"/>
      <c r="N50" s="68"/>
      <c r="O50" s="74"/>
    </row>
    <row r="51" spans="2:15" x14ac:dyDescent="0.25">
      <c r="B51" s="76"/>
      <c r="C51" s="72"/>
      <c r="D51" s="67"/>
      <c r="E51" s="68"/>
      <c r="F51" s="68"/>
      <c r="G51" s="68"/>
      <c r="H51" s="70"/>
      <c r="I51" s="69"/>
      <c r="J51" s="69"/>
      <c r="K51" s="67"/>
      <c r="L51" s="69"/>
      <c r="M51" s="69"/>
      <c r="N51" s="68"/>
      <c r="O51" s="74"/>
    </row>
    <row r="52" spans="2:15" x14ac:dyDescent="0.25">
      <c r="B52" s="76"/>
      <c r="C52" s="72"/>
      <c r="D52" s="67"/>
      <c r="E52" s="68"/>
      <c r="F52" s="68"/>
      <c r="G52" s="68"/>
      <c r="H52" s="70"/>
      <c r="I52" s="69"/>
      <c r="J52" s="69"/>
      <c r="K52" s="67"/>
      <c r="L52" s="69"/>
      <c r="M52" s="69"/>
      <c r="N52" s="68"/>
      <c r="O52" s="74"/>
    </row>
    <row r="53" spans="2:15" x14ac:dyDescent="0.25">
      <c r="B53" s="76"/>
      <c r="C53" s="72"/>
      <c r="D53" s="67"/>
      <c r="E53" s="68"/>
      <c r="F53" s="68"/>
      <c r="G53" s="68"/>
      <c r="H53" s="70"/>
      <c r="I53" s="69"/>
      <c r="J53" s="69"/>
      <c r="K53" s="67"/>
      <c r="L53" s="69"/>
      <c r="M53" s="69"/>
      <c r="N53" s="68"/>
      <c r="O53" s="74"/>
    </row>
    <row r="54" spans="2:15" x14ac:dyDescent="0.25">
      <c r="B54" s="76"/>
      <c r="C54" s="72"/>
      <c r="D54" s="67"/>
      <c r="E54" s="68"/>
      <c r="F54" s="68"/>
      <c r="G54" s="68"/>
      <c r="H54" s="70"/>
      <c r="I54" s="69"/>
      <c r="J54" s="69"/>
      <c r="K54" s="67"/>
      <c r="L54" s="69"/>
      <c r="M54" s="69"/>
      <c r="N54" s="68"/>
      <c r="O54" s="74"/>
    </row>
    <row r="55" spans="2:15" x14ac:dyDescent="0.25">
      <c r="B55" s="76"/>
      <c r="C55" s="72"/>
      <c r="D55" s="67"/>
      <c r="E55" s="68"/>
      <c r="F55" s="68"/>
      <c r="G55" s="68"/>
      <c r="H55" s="70"/>
      <c r="I55" s="69"/>
      <c r="J55" s="69"/>
      <c r="K55" s="67"/>
      <c r="L55" s="69"/>
      <c r="M55" s="69"/>
      <c r="N55" s="68"/>
      <c r="O55" s="74"/>
    </row>
    <row r="56" spans="2:15" x14ac:dyDescent="0.25">
      <c r="B56" s="76"/>
      <c r="C56" s="72"/>
      <c r="D56" s="67"/>
      <c r="E56" s="68"/>
      <c r="F56" s="68"/>
      <c r="G56" s="68"/>
      <c r="H56" s="70"/>
      <c r="I56" s="69"/>
      <c r="J56" s="69"/>
      <c r="K56" s="67"/>
      <c r="L56" s="69"/>
      <c r="M56" s="69"/>
      <c r="N56" s="68"/>
      <c r="O56" s="74"/>
    </row>
    <row r="57" spans="2:15" x14ac:dyDescent="0.25">
      <c r="B57" s="76"/>
      <c r="C57" s="72"/>
      <c r="D57" s="67"/>
      <c r="E57" s="68"/>
      <c r="F57" s="68"/>
      <c r="G57" s="68"/>
      <c r="H57" s="70"/>
      <c r="I57" s="69"/>
      <c r="J57" s="69"/>
      <c r="K57" s="67"/>
      <c r="L57" s="69"/>
      <c r="M57" s="69"/>
      <c r="N57" s="68"/>
      <c r="O57" s="74"/>
    </row>
    <row r="58" spans="2:15" x14ac:dyDescent="0.25">
      <c r="B58" s="76"/>
      <c r="C58" s="72"/>
      <c r="D58" s="67"/>
      <c r="E58" s="68"/>
      <c r="F58" s="68"/>
      <c r="G58" s="68"/>
      <c r="H58" s="70"/>
      <c r="I58" s="69"/>
      <c r="J58" s="69"/>
      <c r="K58" s="67"/>
      <c r="L58" s="69"/>
      <c r="M58" s="69"/>
      <c r="N58" s="68"/>
      <c r="O58" s="74"/>
    </row>
    <row r="59" spans="2:15" x14ac:dyDescent="0.25">
      <c r="B59" s="76"/>
      <c r="C59" s="72"/>
      <c r="D59" s="67"/>
      <c r="E59" s="68"/>
      <c r="F59" s="68"/>
      <c r="G59" s="68"/>
      <c r="H59" s="70"/>
      <c r="I59" s="69"/>
      <c r="J59" s="69"/>
      <c r="K59" s="67"/>
      <c r="L59" s="69"/>
      <c r="M59" s="69"/>
      <c r="N59" s="68"/>
      <c r="O59" s="74"/>
    </row>
    <row r="60" spans="2:15" x14ac:dyDescent="0.25">
      <c r="B60" s="76"/>
      <c r="C60" s="72"/>
      <c r="D60" s="67"/>
      <c r="E60" s="68"/>
      <c r="F60" s="68"/>
      <c r="G60" s="68"/>
      <c r="H60" s="70"/>
      <c r="I60" s="69"/>
      <c r="J60" s="69"/>
      <c r="K60" s="67"/>
      <c r="L60" s="69"/>
      <c r="M60" s="69"/>
      <c r="N60" s="68"/>
      <c r="O60" s="74"/>
    </row>
    <row r="61" spans="2:15" x14ac:dyDescent="0.25">
      <c r="B61" s="76"/>
      <c r="C61" s="72"/>
      <c r="D61" s="67"/>
      <c r="E61" s="68"/>
      <c r="F61" s="68"/>
      <c r="G61" s="68"/>
      <c r="H61" s="70"/>
      <c r="I61" s="69"/>
      <c r="J61" s="69"/>
      <c r="K61" s="67"/>
      <c r="L61" s="69"/>
      <c r="M61" s="69"/>
      <c r="N61" s="68"/>
      <c r="O61" s="74"/>
    </row>
    <row r="62" spans="2:15" x14ac:dyDescent="0.25">
      <c r="B62" s="76"/>
      <c r="C62" s="72"/>
      <c r="D62" s="67"/>
      <c r="E62" s="68"/>
      <c r="F62" s="68"/>
      <c r="G62" s="68"/>
      <c r="H62" s="70"/>
      <c r="I62" s="69"/>
      <c r="J62" s="69"/>
      <c r="K62" s="67"/>
      <c r="L62" s="69"/>
      <c r="M62" s="69"/>
      <c r="N62" s="68"/>
      <c r="O62" s="74"/>
    </row>
    <row r="63" spans="2:15" x14ac:dyDescent="0.25">
      <c r="B63" s="76"/>
      <c r="C63" s="72"/>
      <c r="D63" s="67"/>
      <c r="E63" s="68"/>
      <c r="F63" s="68"/>
      <c r="G63" s="68"/>
      <c r="H63" s="70"/>
      <c r="I63" s="69"/>
      <c r="J63" s="69"/>
      <c r="K63" s="67"/>
      <c r="L63" s="69"/>
      <c r="M63" s="69"/>
      <c r="N63" s="68"/>
      <c r="O63" s="74"/>
    </row>
    <row r="64" spans="2:15" x14ac:dyDescent="0.25">
      <c r="B64" s="76"/>
      <c r="C64" s="72"/>
      <c r="D64" s="67"/>
      <c r="E64" s="68"/>
      <c r="F64" s="68"/>
      <c r="G64" s="68"/>
      <c r="H64" s="70"/>
      <c r="I64" s="69"/>
      <c r="J64" s="69"/>
      <c r="K64" s="67"/>
      <c r="L64" s="69"/>
      <c r="M64" s="69"/>
      <c r="N64" s="68"/>
      <c r="O64" s="74"/>
    </row>
    <row r="65" spans="2:15" x14ac:dyDescent="0.25">
      <c r="B65" s="76"/>
      <c r="C65" s="72"/>
      <c r="D65" s="67"/>
      <c r="E65" s="68"/>
      <c r="F65" s="68"/>
      <c r="G65" s="68"/>
      <c r="H65" s="70"/>
      <c r="I65" s="69"/>
      <c r="J65" s="69"/>
      <c r="K65" s="67"/>
      <c r="L65" s="69"/>
      <c r="M65" s="69"/>
      <c r="N65" s="68"/>
      <c r="O65" s="74"/>
    </row>
    <row r="66" spans="2:15" x14ac:dyDescent="0.25">
      <c r="B66" s="76"/>
      <c r="C66" s="72"/>
      <c r="D66" s="67"/>
      <c r="E66" s="68"/>
      <c r="F66" s="68"/>
      <c r="G66" s="68"/>
      <c r="H66" s="70"/>
      <c r="I66" s="69"/>
      <c r="J66" s="69"/>
      <c r="K66" s="67"/>
      <c r="L66" s="69"/>
      <c r="M66" s="69"/>
      <c r="N66" s="68"/>
      <c r="O66" s="74"/>
    </row>
    <row r="67" spans="2:15" x14ac:dyDescent="0.25">
      <c r="B67" s="76"/>
      <c r="C67" s="72"/>
      <c r="D67" s="67"/>
      <c r="E67" s="68"/>
      <c r="F67" s="68"/>
      <c r="G67" s="68"/>
      <c r="H67" s="70"/>
      <c r="I67" s="69"/>
      <c r="J67" s="69"/>
      <c r="K67" s="67"/>
      <c r="L67" s="69"/>
      <c r="M67" s="69"/>
      <c r="N67" s="68"/>
      <c r="O67" s="74"/>
    </row>
    <row r="68" spans="2:15" x14ac:dyDescent="0.25">
      <c r="B68" s="76"/>
      <c r="C68" s="72"/>
      <c r="D68" s="67"/>
      <c r="E68" s="68"/>
      <c r="F68" s="68"/>
      <c r="G68" s="68"/>
      <c r="H68" s="70"/>
      <c r="I68" s="69"/>
      <c r="J68" s="69"/>
      <c r="K68" s="67"/>
      <c r="L68" s="69"/>
      <c r="M68" s="69"/>
      <c r="N68" s="68"/>
      <c r="O68" s="74"/>
    </row>
    <row r="69" spans="2:15" x14ac:dyDescent="0.25">
      <c r="B69" s="76"/>
      <c r="C69" s="72"/>
      <c r="D69" s="67"/>
      <c r="E69" s="68"/>
      <c r="F69" s="68"/>
      <c r="G69" s="68"/>
      <c r="H69" s="70"/>
      <c r="I69" s="69"/>
      <c r="J69" s="69"/>
      <c r="K69" s="67"/>
      <c r="L69" s="69"/>
      <c r="M69" s="69"/>
      <c r="N69" s="68"/>
      <c r="O69" s="74"/>
    </row>
    <row r="70" spans="2:15" x14ac:dyDescent="0.25">
      <c r="B70" s="76"/>
      <c r="C70" s="72"/>
      <c r="D70" s="67"/>
      <c r="E70" s="68"/>
      <c r="F70" s="68"/>
      <c r="G70" s="68"/>
      <c r="H70" s="70"/>
      <c r="I70" s="69"/>
      <c r="J70" s="69"/>
      <c r="K70" s="67"/>
      <c r="L70" s="69"/>
      <c r="M70" s="69"/>
      <c r="N70" s="68"/>
      <c r="O70" s="74"/>
    </row>
    <row r="71" spans="2:15" x14ac:dyDescent="0.25">
      <c r="B71" s="76"/>
      <c r="C71" s="72"/>
      <c r="D71" s="67"/>
      <c r="E71" s="68"/>
      <c r="F71" s="68"/>
      <c r="G71" s="68"/>
      <c r="H71" s="70"/>
      <c r="I71" s="69"/>
      <c r="J71" s="69"/>
      <c r="K71" s="67"/>
      <c r="L71" s="69"/>
      <c r="M71" s="69"/>
      <c r="N71" s="68"/>
      <c r="O71" s="74"/>
    </row>
    <row r="72" spans="2:15" x14ac:dyDescent="0.25">
      <c r="B72" s="76"/>
      <c r="C72" s="72"/>
      <c r="D72" s="67"/>
      <c r="E72" s="68"/>
      <c r="F72" s="68"/>
      <c r="G72" s="68"/>
      <c r="H72" s="70"/>
      <c r="I72" s="69"/>
      <c r="J72" s="69"/>
      <c r="K72" s="67"/>
      <c r="L72" s="69"/>
      <c r="M72" s="69"/>
      <c r="N72" s="68"/>
      <c r="O72" s="74"/>
    </row>
    <row r="73" spans="2:15" x14ac:dyDescent="0.25">
      <c r="B73" s="76"/>
      <c r="C73" s="72"/>
      <c r="D73" s="67"/>
      <c r="E73" s="68"/>
      <c r="F73" s="68"/>
      <c r="G73" s="68"/>
      <c r="H73" s="70"/>
      <c r="I73" s="69"/>
      <c r="J73" s="69"/>
      <c r="K73" s="67"/>
      <c r="L73" s="69"/>
      <c r="M73" s="69"/>
      <c r="N73" s="68"/>
      <c r="O73" s="74"/>
    </row>
    <row r="74" spans="2:15" x14ac:dyDescent="0.25">
      <c r="B74" s="76"/>
      <c r="C74" s="72"/>
      <c r="D74" s="67"/>
      <c r="E74" s="68"/>
      <c r="F74" s="68"/>
      <c r="G74" s="68"/>
      <c r="H74" s="70"/>
      <c r="I74" s="69"/>
      <c r="J74" s="69"/>
      <c r="K74" s="67"/>
      <c r="L74" s="69"/>
      <c r="M74" s="69"/>
      <c r="N74" s="68"/>
      <c r="O74" s="74"/>
    </row>
    <row r="75" spans="2:15" x14ac:dyDescent="0.25">
      <c r="B75" s="76"/>
      <c r="C75" s="72"/>
      <c r="D75" s="67"/>
      <c r="E75" s="68"/>
      <c r="F75" s="68"/>
      <c r="G75" s="68"/>
      <c r="H75" s="70"/>
      <c r="I75" s="69"/>
      <c r="J75" s="69"/>
      <c r="K75" s="67"/>
      <c r="L75" s="69"/>
      <c r="M75" s="69"/>
      <c r="N75" s="68"/>
      <c r="O75" s="74"/>
    </row>
    <row r="76" spans="2:15" x14ac:dyDescent="0.25">
      <c r="B76" s="76"/>
      <c r="C76" s="72"/>
      <c r="D76" s="67"/>
      <c r="E76" s="68"/>
      <c r="F76" s="68"/>
      <c r="G76" s="68"/>
      <c r="H76" s="70"/>
      <c r="I76" s="69"/>
      <c r="J76" s="69"/>
      <c r="K76" s="67"/>
      <c r="L76" s="69"/>
      <c r="M76" s="69"/>
      <c r="N76" s="68"/>
      <c r="O76" s="74"/>
    </row>
    <row r="77" spans="2:15" x14ac:dyDescent="0.25">
      <c r="B77" s="76"/>
      <c r="C77" s="72"/>
      <c r="D77" s="67"/>
      <c r="E77" s="68"/>
      <c r="F77" s="68"/>
      <c r="G77" s="68"/>
      <c r="H77" s="70"/>
      <c r="I77" s="69"/>
      <c r="J77" s="69"/>
      <c r="K77" s="67"/>
      <c r="L77" s="69"/>
      <c r="M77" s="69"/>
      <c r="N77" s="68"/>
      <c r="O77" s="74"/>
    </row>
    <row r="78" spans="2:15" x14ac:dyDescent="0.25">
      <c r="B78" s="76"/>
      <c r="C78" s="72"/>
      <c r="D78" s="67"/>
      <c r="E78" s="68"/>
      <c r="F78" s="68"/>
      <c r="G78" s="68"/>
      <c r="H78" s="70"/>
      <c r="I78" s="69"/>
      <c r="J78" s="69"/>
      <c r="K78" s="67"/>
      <c r="L78" s="69"/>
      <c r="M78" s="69"/>
      <c r="N78" s="68"/>
      <c r="O78" s="74"/>
    </row>
    <row r="79" spans="2:15" x14ac:dyDescent="0.25">
      <c r="B79" s="76"/>
      <c r="C79" s="72"/>
      <c r="D79" s="67"/>
      <c r="E79" s="68"/>
      <c r="F79" s="68"/>
      <c r="G79" s="68"/>
      <c r="H79" s="70"/>
      <c r="I79" s="69"/>
      <c r="J79" s="69"/>
      <c r="K79" s="67"/>
      <c r="L79" s="69"/>
      <c r="M79" s="69"/>
      <c r="N79" s="68"/>
      <c r="O79" s="74"/>
    </row>
    <row r="80" spans="2:15" x14ac:dyDescent="0.25">
      <c r="B80" s="76"/>
      <c r="C80" s="72"/>
      <c r="D80" s="67"/>
      <c r="E80" s="68"/>
      <c r="F80" s="68"/>
      <c r="G80" s="68"/>
      <c r="H80" s="70"/>
      <c r="I80" s="69"/>
      <c r="J80" s="69"/>
      <c r="K80" s="67"/>
      <c r="L80" s="69"/>
      <c r="M80" s="69"/>
      <c r="N80" s="68"/>
      <c r="O80" s="74"/>
    </row>
    <row r="81" spans="2:15" x14ac:dyDescent="0.25">
      <c r="B81" s="76"/>
      <c r="C81" s="72"/>
      <c r="D81" s="67"/>
      <c r="E81" s="68"/>
      <c r="F81" s="68"/>
      <c r="G81" s="68"/>
      <c r="H81" s="70"/>
      <c r="I81" s="69"/>
      <c r="J81" s="69"/>
      <c r="K81" s="67"/>
      <c r="L81" s="69"/>
      <c r="M81" s="69"/>
      <c r="N81" s="68"/>
      <c r="O81" s="74"/>
    </row>
    <row r="82" spans="2:15" x14ac:dyDescent="0.25">
      <c r="B82" s="76"/>
      <c r="C82" s="72"/>
      <c r="D82" s="67"/>
      <c r="E82" s="68"/>
      <c r="F82" s="68"/>
      <c r="G82" s="68"/>
      <c r="H82" s="70"/>
      <c r="I82" s="69"/>
      <c r="J82" s="69"/>
      <c r="K82" s="67"/>
      <c r="L82" s="69"/>
      <c r="M82" s="69"/>
      <c r="N82" s="68"/>
      <c r="O82" s="74"/>
    </row>
    <row r="83" spans="2:15" x14ac:dyDescent="0.25">
      <c r="B83" s="76"/>
      <c r="C83" s="72"/>
      <c r="D83" s="67"/>
      <c r="E83" s="68"/>
      <c r="F83" s="68"/>
      <c r="G83" s="68"/>
      <c r="H83" s="70"/>
      <c r="I83" s="69"/>
      <c r="J83" s="69"/>
      <c r="K83" s="67"/>
      <c r="L83" s="69"/>
      <c r="M83" s="69"/>
      <c r="N83" s="68"/>
      <c r="O83" s="74"/>
    </row>
    <row r="84" spans="2:15" x14ac:dyDescent="0.25">
      <c r="B84" s="76"/>
      <c r="C84" s="72"/>
      <c r="D84" s="67"/>
      <c r="E84" s="68"/>
      <c r="F84" s="68"/>
      <c r="G84" s="68"/>
      <c r="H84" s="70"/>
      <c r="I84" s="69"/>
      <c r="J84" s="69"/>
      <c r="K84" s="67"/>
      <c r="L84" s="69"/>
      <c r="M84" s="69"/>
      <c r="N84" s="68"/>
      <c r="O84" s="74"/>
    </row>
    <row r="85" spans="2:15" x14ac:dyDescent="0.25">
      <c r="B85" s="76"/>
      <c r="C85" s="72"/>
      <c r="D85" s="67"/>
      <c r="E85" s="68"/>
      <c r="F85" s="68"/>
      <c r="G85" s="68"/>
      <c r="H85" s="70"/>
      <c r="I85" s="69"/>
      <c r="J85" s="69"/>
      <c r="K85" s="67"/>
      <c r="L85" s="69"/>
      <c r="M85" s="69"/>
      <c r="N85" s="68"/>
      <c r="O85" s="74"/>
    </row>
    <row r="86" spans="2:15" x14ac:dyDescent="0.25">
      <c r="B86" s="76"/>
      <c r="C86" s="72"/>
      <c r="D86" s="67"/>
      <c r="E86" s="68"/>
      <c r="F86" s="68"/>
      <c r="G86" s="68"/>
      <c r="H86" s="70"/>
      <c r="I86" s="69"/>
      <c r="J86" s="69"/>
      <c r="K86" s="67"/>
      <c r="L86" s="69"/>
      <c r="M86" s="69"/>
      <c r="N86" s="68"/>
      <c r="O86" s="74"/>
    </row>
    <row r="87" spans="2:15" x14ac:dyDescent="0.25">
      <c r="B87" s="76"/>
      <c r="C87" s="72"/>
      <c r="D87" s="67"/>
      <c r="E87" s="68"/>
      <c r="F87" s="68"/>
      <c r="G87" s="68"/>
      <c r="H87" s="70"/>
      <c r="I87" s="69"/>
      <c r="J87" s="69"/>
      <c r="K87" s="67"/>
      <c r="L87" s="69"/>
      <c r="M87" s="69"/>
      <c r="N87" s="68"/>
      <c r="O87" s="74"/>
    </row>
    <row r="88" spans="2:15" x14ac:dyDescent="0.25">
      <c r="B88" s="76"/>
      <c r="C88" s="72"/>
      <c r="D88" s="67"/>
      <c r="E88" s="68"/>
      <c r="F88" s="68"/>
      <c r="G88" s="68"/>
      <c r="H88" s="70"/>
      <c r="I88" s="69"/>
      <c r="J88" s="69"/>
      <c r="K88" s="67"/>
      <c r="L88" s="69"/>
      <c r="M88" s="69"/>
      <c r="N88" s="68"/>
      <c r="O88" s="74"/>
    </row>
    <row r="89" spans="2:15" x14ac:dyDescent="0.25">
      <c r="B89" s="76"/>
      <c r="C89" s="72"/>
      <c r="D89" s="67"/>
      <c r="E89" s="68"/>
      <c r="F89" s="68"/>
      <c r="G89" s="68"/>
      <c r="H89" s="70"/>
      <c r="I89" s="69"/>
      <c r="J89" s="69"/>
      <c r="K89" s="67"/>
      <c r="L89" s="69"/>
      <c r="M89" s="69"/>
      <c r="N89" s="68"/>
      <c r="O89" s="74"/>
    </row>
    <row r="90" spans="2:15" x14ac:dyDescent="0.25">
      <c r="B90" s="76"/>
      <c r="C90" s="72"/>
      <c r="D90" s="67"/>
      <c r="E90" s="68"/>
      <c r="F90" s="68"/>
      <c r="G90" s="68"/>
      <c r="H90" s="70"/>
      <c r="I90" s="69"/>
      <c r="J90" s="69"/>
      <c r="K90" s="67"/>
      <c r="L90" s="69"/>
      <c r="M90" s="69"/>
      <c r="N90" s="68"/>
      <c r="O90" s="74"/>
    </row>
    <row r="91" spans="2:15" x14ac:dyDescent="0.25">
      <c r="B91" s="76"/>
      <c r="C91" s="72"/>
      <c r="D91" s="67"/>
      <c r="E91" s="68"/>
      <c r="F91" s="68"/>
      <c r="G91" s="68"/>
      <c r="H91" s="70"/>
      <c r="I91" s="69"/>
      <c r="J91" s="69"/>
      <c r="K91" s="67"/>
      <c r="L91" s="69"/>
      <c r="M91" s="69"/>
      <c r="N91" s="68"/>
      <c r="O91" s="74"/>
    </row>
    <row r="92" spans="2:15" x14ac:dyDescent="0.25">
      <c r="B92" s="76"/>
      <c r="C92" s="72"/>
      <c r="D92" s="67"/>
      <c r="E92" s="68"/>
      <c r="F92" s="68"/>
      <c r="G92" s="68"/>
      <c r="H92" s="70"/>
      <c r="I92" s="69"/>
      <c r="J92" s="69"/>
      <c r="K92" s="67"/>
      <c r="L92" s="69"/>
      <c r="M92" s="69"/>
      <c r="N92" s="68"/>
      <c r="O92" s="74"/>
    </row>
    <row r="93" spans="2:15" x14ac:dyDescent="0.25">
      <c r="B93" s="76"/>
      <c r="C93" s="72"/>
      <c r="D93" s="67"/>
      <c r="E93" s="68"/>
      <c r="F93" s="68"/>
      <c r="G93" s="68"/>
      <c r="H93" s="70"/>
      <c r="I93" s="69"/>
      <c r="J93" s="69"/>
      <c r="K93" s="67"/>
      <c r="L93" s="69"/>
      <c r="M93" s="69"/>
      <c r="N93" s="68"/>
      <c r="O93" s="74"/>
    </row>
    <row r="94" spans="2:15" x14ac:dyDescent="0.25">
      <c r="B94" s="76"/>
      <c r="C94" s="72"/>
      <c r="D94" s="67"/>
      <c r="E94" s="68"/>
      <c r="F94" s="68"/>
      <c r="G94" s="68"/>
      <c r="H94" s="70"/>
      <c r="I94" s="69"/>
      <c r="J94" s="69"/>
      <c r="K94" s="67"/>
      <c r="L94" s="69"/>
      <c r="M94" s="69"/>
      <c r="N94" s="68"/>
      <c r="O94" s="74"/>
    </row>
    <row r="95" spans="2:15" x14ac:dyDescent="0.25">
      <c r="B95" s="76"/>
      <c r="C95" s="72"/>
      <c r="D95" s="67"/>
      <c r="E95" s="68"/>
      <c r="F95" s="68"/>
      <c r="G95" s="68"/>
      <c r="H95" s="70"/>
      <c r="I95" s="69"/>
      <c r="J95" s="69"/>
      <c r="K95" s="67"/>
      <c r="L95" s="69"/>
      <c r="M95" s="69"/>
      <c r="N95" s="68"/>
      <c r="O95" s="74"/>
    </row>
    <row r="96" spans="2:15" x14ac:dyDescent="0.25">
      <c r="B96" s="76"/>
      <c r="C96" s="72"/>
      <c r="D96" s="67"/>
      <c r="E96" s="68"/>
      <c r="F96" s="68"/>
      <c r="G96" s="68"/>
      <c r="H96" s="70"/>
      <c r="I96" s="69"/>
      <c r="J96" s="69"/>
      <c r="K96" s="67"/>
      <c r="L96" s="69"/>
      <c r="M96" s="69"/>
      <c r="N96" s="68"/>
      <c r="O96" s="74"/>
    </row>
    <row r="97" spans="2:15" x14ac:dyDescent="0.25">
      <c r="B97" s="76"/>
      <c r="C97" s="72"/>
      <c r="D97" s="67"/>
      <c r="E97" s="68"/>
      <c r="F97" s="68"/>
      <c r="G97" s="68"/>
      <c r="H97" s="70"/>
      <c r="I97" s="69"/>
      <c r="J97" s="69"/>
      <c r="K97" s="67"/>
      <c r="L97" s="69"/>
      <c r="M97" s="69"/>
      <c r="N97" s="68"/>
      <c r="O97" s="74"/>
    </row>
    <row r="98" spans="2:15" x14ac:dyDescent="0.25">
      <c r="B98" s="76"/>
      <c r="C98" s="72"/>
      <c r="D98" s="67"/>
      <c r="E98" s="68"/>
      <c r="F98" s="68"/>
      <c r="G98" s="68"/>
      <c r="H98" s="70"/>
      <c r="I98" s="69"/>
      <c r="J98" s="69"/>
      <c r="K98" s="67"/>
      <c r="L98" s="69"/>
      <c r="M98" s="69"/>
      <c r="N98" s="68"/>
      <c r="O98" s="74"/>
    </row>
    <row r="99" spans="2:15" x14ac:dyDescent="0.25">
      <c r="B99" s="76"/>
      <c r="C99" s="72"/>
      <c r="D99" s="67"/>
      <c r="E99" s="68"/>
      <c r="F99" s="68"/>
      <c r="G99" s="68"/>
      <c r="H99" s="70"/>
      <c r="I99" s="69"/>
      <c r="J99" s="69"/>
      <c r="K99" s="67"/>
      <c r="L99" s="69"/>
      <c r="M99" s="69"/>
      <c r="N99" s="68"/>
      <c r="O99" s="74"/>
    </row>
    <row r="100" spans="2:15" x14ac:dyDescent="0.25">
      <c r="B100" s="76"/>
      <c r="C100" s="72"/>
      <c r="D100" s="67"/>
      <c r="E100" s="68"/>
      <c r="F100" s="68"/>
      <c r="G100" s="68"/>
      <c r="H100" s="70"/>
      <c r="I100" s="69"/>
      <c r="J100" s="69"/>
      <c r="K100" s="67"/>
      <c r="L100" s="69"/>
      <c r="M100" s="69"/>
      <c r="N100" s="68"/>
      <c r="O100" s="74"/>
    </row>
    <row r="101" spans="2:15" x14ac:dyDescent="0.25">
      <c r="B101" s="76"/>
      <c r="C101" s="72"/>
      <c r="D101" s="67"/>
      <c r="E101" s="68"/>
      <c r="F101" s="68"/>
      <c r="G101" s="68"/>
      <c r="H101" s="70"/>
      <c r="I101" s="69"/>
      <c r="J101" s="69"/>
      <c r="K101" s="67"/>
      <c r="L101" s="69"/>
      <c r="M101" s="69"/>
      <c r="N101" s="68"/>
      <c r="O101" s="74"/>
    </row>
    <row r="102" spans="2:15" x14ac:dyDescent="0.25">
      <c r="B102" s="76"/>
      <c r="C102" s="72"/>
      <c r="D102" s="67"/>
      <c r="E102" s="68"/>
      <c r="F102" s="68"/>
      <c r="G102" s="68"/>
      <c r="H102" s="70"/>
      <c r="I102" s="69"/>
      <c r="J102" s="69"/>
      <c r="K102" s="67"/>
      <c r="L102" s="69"/>
      <c r="M102" s="69"/>
      <c r="N102" s="68"/>
      <c r="O102" s="74"/>
    </row>
    <row r="103" spans="2:15" x14ac:dyDescent="0.25">
      <c r="B103" s="76"/>
      <c r="C103" s="72"/>
      <c r="D103" s="67"/>
      <c r="E103" s="68"/>
      <c r="F103" s="68"/>
      <c r="G103" s="68"/>
      <c r="H103" s="70"/>
      <c r="I103" s="69"/>
      <c r="J103" s="69"/>
      <c r="K103" s="67"/>
      <c r="L103" s="69"/>
      <c r="M103" s="69"/>
      <c r="N103" s="68"/>
      <c r="O103" s="74"/>
    </row>
    <row r="104" spans="2:15" x14ac:dyDescent="0.25">
      <c r="B104" s="76"/>
      <c r="C104" s="72"/>
      <c r="D104" s="67"/>
      <c r="E104" s="68"/>
      <c r="F104" s="68"/>
      <c r="G104" s="68"/>
      <c r="H104" s="70"/>
      <c r="I104" s="69"/>
      <c r="J104" s="69"/>
      <c r="K104" s="67"/>
      <c r="L104" s="69"/>
      <c r="M104" s="69"/>
      <c r="N104" s="68"/>
      <c r="O104" s="74"/>
    </row>
    <row r="105" spans="2:15" x14ac:dyDescent="0.25">
      <c r="B105" s="76"/>
      <c r="C105" s="72"/>
      <c r="D105" s="67"/>
      <c r="E105" s="68"/>
      <c r="F105" s="68"/>
      <c r="G105" s="68"/>
      <c r="H105" s="70"/>
      <c r="I105" s="69"/>
      <c r="J105" s="69"/>
      <c r="K105" s="67"/>
      <c r="L105" s="69"/>
      <c r="M105" s="69"/>
      <c r="N105" s="68"/>
      <c r="O105" s="74"/>
    </row>
    <row r="106" spans="2:15" x14ac:dyDescent="0.25">
      <c r="B106" s="76"/>
      <c r="C106" s="72"/>
      <c r="D106" s="67"/>
      <c r="E106" s="68"/>
      <c r="F106" s="68"/>
      <c r="G106" s="68"/>
      <c r="H106" s="70"/>
      <c r="I106" s="69"/>
      <c r="J106" s="69"/>
      <c r="K106" s="67"/>
      <c r="L106" s="69"/>
      <c r="M106" s="69"/>
      <c r="N106" s="68"/>
      <c r="O106" s="74"/>
    </row>
    <row r="107" spans="2:15" x14ac:dyDescent="0.25">
      <c r="B107" s="76"/>
      <c r="C107" s="72"/>
      <c r="D107" s="67"/>
      <c r="E107" s="68"/>
      <c r="F107" s="68"/>
      <c r="G107" s="68"/>
      <c r="H107" s="70"/>
      <c r="I107" s="69"/>
      <c r="J107" s="69"/>
      <c r="K107" s="67"/>
      <c r="L107" s="69"/>
      <c r="M107" s="69"/>
      <c r="N107" s="68"/>
      <c r="O107" s="74"/>
    </row>
    <row r="108" spans="2:15" x14ac:dyDescent="0.25">
      <c r="B108" s="76"/>
      <c r="C108" s="72"/>
      <c r="D108" s="67"/>
      <c r="E108" s="68"/>
      <c r="F108" s="68"/>
      <c r="G108" s="68"/>
      <c r="H108" s="70"/>
      <c r="I108" s="69"/>
      <c r="J108" s="69"/>
      <c r="K108" s="67"/>
      <c r="L108" s="69"/>
      <c r="M108" s="69"/>
      <c r="N108" s="68"/>
      <c r="O108" s="74"/>
    </row>
    <row r="109" spans="2:15" x14ac:dyDescent="0.25">
      <c r="B109" s="76"/>
      <c r="C109" s="72"/>
      <c r="D109" s="67"/>
      <c r="E109" s="68"/>
      <c r="F109" s="68"/>
      <c r="G109" s="68"/>
      <c r="H109" s="70"/>
      <c r="I109" s="69"/>
      <c r="J109" s="69"/>
      <c r="K109" s="67"/>
      <c r="L109" s="69"/>
      <c r="M109" s="69"/>
      <c r="N109" s="68"/>
      <c r="O109" s="74"/>
    </row>
    <row r="110" spans="2:15" x14ac:dyDescent="0.25">
      <c r="B110" s="76"/>
      <c r="C110" s="72"/>
      <c r="D110" s="67"/>
      <c r="E110" s="68"/>
      <c r="F110" s="68"/>
      <c r="G110" s="68"/>
      <c r="H110" s="70"/>
      <c r="I110" s="69"/>
      <c r="J110" s="69"/>
      <c r="K110" s="67"/>
      <c r="L110" s="69"/>
      <c r="M110" s="69"/>
      <c r="N110" s="68"/>
      <c r="O110" s="74"/>
    </row>
    <row r="111" spans="2:15" x14ac:dyDescent="0.25">
      <c r="B111" s="76"/>
      <c r="C111" s="72"/>
      <c r="D111" s="67"/>
      <c r="E111" s="68"/>
      <c r="F111" s="68"/>
      <c r="G111" s="68"/>
      <c r="H111" s="70"/>
      <c r="I111" s="69"/>
      <c r="J111" s="69"/>
      <c r="K111" s="67"/>
      <c r="L111" s="69"/>
      <c r="M111" s="69"/>
      <c r="N111" s="68"/>
      <c r="O111" s="74"/>
    </row>
    <row r="112" spans="2:15" x14ac:dyDescent="0.25">
      <c r="B112" s="76"/>
      <c r="C112" s="72"/>
      <c r="D112" s="67"/>
      <c r="E112" s="68"/>
      <c r="F112" s="68"/>
      <c r="G112" s="68"/>
      <c r="H112" s="70"/>
      <c r="I112" s="69"/>
      <c r="J112" s="69"/>
      <c r="K112" s="67"/>
      <c r="L112" s="69"/>
      <c r="M112" s="69"/>
      <c r="N112" s="68"/>
      <c r="O112" s="74"/>
    </row>
    <row r="113" spans="2:15" x14ac:dyDescent="0.25">
      <c r="B113" s="76"/>
      <c r="C113" s="72"/>
      <c r="D113" s="67"/>
      <c r="E113" s="68"/>
      <c r="F113" s="68"/>
      <c r="G113" s="68"/>
      <c r="H113" s="70"/>
      <c r="I113" s="69"/>
      <c r="J113" s="69"/>
      <c r="K113" s="67"/>
      <c r="L113" s="69"/>
      <c r="M113" s="69"/>
      <c r="N113" s="68"/>
      <c r="O113" s="74"/>
    </row>
    <row r="114" spans="2:15" x14ac:dyDescent="0.25">
      <c r="B114" s="76"/>
      <c r="C114" s="72"/>
      <c r="D114" s="67"/>
      <c r="E114" s="68"/>
      <c r="F114" s="68"/>
      <c r="G114" s="68"/>
      <c r="H114" s="70"/>
      <c r="I114" s="69"/>
      <c r="J114" s="69"/>
      <c r="K114" s="67"/>
      <c r="L114" s="69"/>
      <c r="M114" s="69"/>
      <c r="N114" s="68"/>
      <c r="O114" s="74"/>
    </row>
    <row r="115" spans="2:15" x14ac:dyDescent="0.25">
      <c r="B115" s="76"/>
      <c r="C115" s="72"/>
      <c r="D115" s="67"/>
      <c r="E115" s="68"/>
      <c r="F115" s="68"/>
      <c r="G115" s="68"/>
      <c r="H115" s="70"/>
      <c r="I115" s="69"/>
      <c r="J115" s="69"/>
      <c r="K115" s="67"/>
      <c r="L115" s="69"/>
      <c r="M115" s="69"/>
      <c r="N115" s="68"/>
      <c r="O115" s="74"/>
    </row>
    <row r="116" spans="2:15" x14ac:dyDescent="0.25">
      <c r="B116" s="76"/>
      <c r="C116" s="72"/>
      <c r="D116" s="67"/>
      <c r="E116" s="68"/>
      <c r="F116" s="68"/>
      <c r="G116" s="68"/>
      <c r="H116" s="70"/>
      <c r="I116" s="69"/>
      <c r="J116" s="69"/>
      <c r="K116" s="67"/>
      <c r="L116" s="69"/>
      <c r="M116" s="69"/>
      <c r="N116" s="68"/>
      <c r="O116" s="74"/>
    </row>
    <row r="117" spans="2:15" x14ac:dyDescent="0.25">
      <c r="B117" s="76"/>
      <c r="C117" s="72"/>
      <c r="D117" s="67"/>
      <c r="E117" s="68"/>
      <c r="F117" s="68"/>
      <c r="G117" s="68"/>
      <c r="H117" s="70"/>
      <c r="I117" s="69"/>
      <c r="J117" s="69"/>
      <c r="K117" s="67"/>
      <c r="L117" s="69"/>
      <c r="M117" s="69"/>
      <c r="N117" s="68"/>
      <c r="O117" s="74"/>
    </row>
    <row r="118" spans="2:15" x14ac:dyDescent="0.25">
      <c r="B118" s="76"/>
      <c r="C118" s="72"/>
      <c r="D118" s="67"/>
      <c r="E118" s="68"/>
      <c r="F118" s="68"/>
      <c r="G118" s="68"/>
      <c r="H118" s="70"/>
      <c r="I118" s="69"/>
      <c r="J118" s="69"/>
      <c r="K118" s="67"/>
      <c r="L118" s="69"/>
      <c r="M118" s="69"/>
      <c r="N118" s="68"/>
      <c r="O118" s="74"/>
    </row>
    <row r="119" spans="2:15" x14ac:dyDescent="0.25">
      <c r="B119" s="76"/>
      <c r="C119" s="72"/>
      <c r="D119" s="67"/>
      <c r="E119" s="68"/>
      <c r="F119" s="68"/>
      <c r="G119" s="68"/>
      <c r="H119" s="70"/>
      <c r="I119" s="69"/>
      <c r="J119" s="69"/>
      <c r="K119" s="67"/>
      <c r="L119" s="69"/>
      <c r="M119" s="69"/>
      <c r="N119" s="68"/>
      <c r="O119" s="74"/>
    </row>
    <row r="120" spans="2:15" x14ac:dyDescent="0.25">
      <c r="B120" s="76"/>
      <c r="C120" s="72"/>
      <c r="D120" s="67"/>
      <c r="E120" s="68"/>
      <c r="F120" s="68"/>
      <c r="G120" s="68"/>
      <c r="H120" s="70"/>
      <c r="I120" s="69"/>
      <c r="J120" s="69"/>
      <c r="K120" s="67"/>
      <c r="L120" s="69"/>
      <c r="M120" s="69"/>
      <c r="N120" s="68"/>
      <c r="O120" s="74"/>
    </row>
    <row r="121" spans="2:15" x14ac:dyDescent="0.25">
      <c r="B121" s="76"/>
      <c r="C121" s="72"/>
      <c r="D121" s="67"/>
      <c r="E121" s="68"/>
      <c r="F121" s="68"/>
      <c r="G121" s="68"/>
      <c r="H121" s="70"/>
      <c r="I121" s="69"/>
      <c r="J121" s="69"/>
      <c r="K121" s="67"/>
      <c r="L121" s="69"/>
      <c r="M121" s="69"/>
      <c r="N121" s="68"/>
      <c r="O121" s="74"/>
    </row>
    <row r="122" spans="2:15" x14ac:dyDescent="0.25">
      <c r="B122" s="76"/>
      <c r="C122" s="72"/>
      <c r="D122" s="67"/>
      <c r="E122" s="68"/>
      <c r="F122" s="68"/>
      <c r="G122" s="68"/>
      <c r="H122" s="70"/>
      <c r="I122" s="69"/>
      <c r="J122" s="69"/>
      <c r="K122" s="67"/>
      <c r="L122" s="69"/>
      <c r="M122" s="69"/>
      <c r="N122" s="68"/>
      <c r="O122" s="74"/>
    </row>
    <row r="123" spans="2:15" x14ac:dyDescent="0.25">
      <c r="B123" s="76"/>
      <c r="C123" s="72"/>
      <c r="D123" s="67"/>
      <c r="E123" s="68"/>
      <c r="F123" s="68"/>
      <c r="G123" s="68"/>
      <c r="H123" s="70"/>
      <c r="I123" s="69"/>
      <c r="J123" s="69"/>
      <c r="K123" s="67"/>
      <c r="L123" s="69"/>
      <c r="M123" s="69"/>
      <c r="N123" s="68"/>
      <c r="O123" s="74"/>
    </row>
    <row r="124" spans="2:15" x14ac:dyDescent="0.25">
      <c r="B124" s="76"/>
      <c r="C124" s="72"/>
      <c r="D124" s="67"/>
      <c r="E124" s="68"/>
      <c r="F124" s="68"/>
      <c r="G124" s="68"/>
      <c r="H124" s="70"/>
      <c r="I124" s="69"/>
      <c r="J124" s="69"/>
      <c r="K124" s="67"/>
      <c r="L124" s="69"/>
      <c r="M124" s="69"/>
      <c r="N124" s="68"/>
      <c r="O124" s="74"/>
    </row>
    <row r="125" spans="2:15" x14ac:dyDescent="0.25">
      <c r="B125" s="76"/>
      <c r="C125" s="72"/>
      <c r="D125" s="67"/>
      <c r="E125" s="68"/>
      <c r="F125" s="68"/>
      <c r="G125" s="68"/>
      <c r="H125" s="70"/>
      <c r="I125" s="69"/>
      <c r="J125" s="69"/>
      <c r="K125" s="67"/>
      <c r="L125" s="69"/>
      <c r="M125" s="69"/>
      <c r="N125" s="68"/>
      <c r="O125" s="74"/>
    </row>
    <row r="126" spans="2:15" x14ac:dyDescent="0.25">
      <c r="B126" s="76"/>
      <c r="C126" s="72"/>
      <c r="D126" s="67"/>
      <c r="E126" s="68"/>
      <c r="F126" s="68"/>
      <c r="G126" s="68"/>
      <c r="H126" s="70"/>
      <c r="I126" s="69"/>
      <c r="J126" s="69"/>
      <c r="K126" s="67"/>
      <c r="L126" s="69"/>
      <c r="M126" s="69"/>
      <c r="N126" s="68"/>
      <c r="O126" s="74"/>
    </row>
    <row r="127" spans="2:15" x14ac:dyDescent="0.25">
      <c r="B127" s="76"/>
      <c r="C127" s="72"/>
      <c r="D127" s="67"/>
      <c r="E127" s="68"/>
      <c r="F127" s="68"/>
      <c r="G127" s="68"/>
      <c r="H127" s="70"/>
      <c r="I127" s="69"/>
      <c r="J127" s="69"/>
      <c r="K127" s="67"/>
      <c r="L127" s="69"/>
      <c r="M127" s="69"/>
      <c r="N127" s="68"/>
      <c r="O127" s="74"/>
    </row>
    <row r="128" spans="2:15" x14ac:dyDescent="0.25">
      <c r="B128" s="76"/>
      <c r="C128" s="72"/>
      <c r="D128" s="67"/>
      <c r="E128" s="68"/>
      <c r="F128" s="68"/>
      <c r="G128" s="68"/>
      <c r="H128" s="70"/>
      <c r="I128" s="69"/>
      <c r="J128" s="69"/>
      <c r="K128" s="67"/>
      <c r="L128" s="69"/>
      <c r="M128" s="69"/>
      <c r="N128" s="68"/>
      <c r="O128" s="74"/>
    </row>
    <row r="129" spans="2:15" x14ac:dyDescent="0.25">
      <c r="B129" s="76"/>
      <c r="C129" s="72"/>
      <c r="D129" s="67"/>
      <c r="E129" s="68"/>
      <c r="F129" s="68"/>
      <c r="G129" s="68"/>
      <c r="H129" s="70"/>
      <c r="I129" s="69"/>
      <c r="J129" s="69"/>
      <c r="K129" s="67"/>
      <c r="L129" s="69"/>
      <c r="M129" s="69"/>
      <c r="N129" s="68"/>
      <c r="O129" s="74"/>
    </row>
    <row r="130" spans="2:15" x14ac:dyDescent="0.25">
      <c r="B130" s="76"/>
      <c r="C130" s="72"/>
      <c r="D130" s="67"/>
      <c r="E130" s="68"/>
      <c r="F130" s="68"/>
      <c r="G130" s="68"/>
      <c r="H130" s="70"/>
      <c r="I130" s="69"/>
      <c r="J130" s="69"/>
      <c r="K130" s="67"/>
      <c r="L130" s="69"/>
      <c r="M130" s="69"/>
      <c r="N130" s="68"/>
      <c r="O130" s="74"/>
    </row>
    <row r="131" spans="2:15" x14ac:dyDescent="0.25">
      <c r="B131" s="76"/>
      <c r="C131" s="72"/>
      <c r="D131" s="67"/>
      <c r="E131" s="68"/>
      <c r="F131" s="68"/>
      <c r="G131" s="68"/>
      <c r="H131" s="70"/>
      <c r="I131" s="69"/>
      <c r="J131" s="69"/>
      <c r="K131" s="67"/>
      <c r="L131" s="69"/>
      <c r="M131" s="69"/>
      <c r="N131" s="68"/>
      <c r="O131" s="74"/>
    </row>
    <row r="132" spans="2:15" x14ac:dyDescent="0.25">
      <c r="B132" s="76"/>
      <c r="C132" s="72"/>
      <c r="D132" s="67"/>
      <c r="E132" s="68"/>
      <c r="F132" s="68"/>
      <c r="G132" s="68"/>
      <c r="H132" s="70"/>
      <c r="I132" s="69"/>
      <c r="J132" s="69"/>
      <c r="K132" s="67"/>
      <c r="L132" s="69"/>
      <c r="M132" s="69"/>
      <c r="N132" s="68"/>
      <c r="O132" s="74"/>
    </row>
    <row r="133" spans="2:15" x14ac:dyDescent="0.25">
      <c r="B133" s="76"/>
      <c r="C133" s="72"/>
      <c r="D133" s="67"/>
      <c r="E133" s="68"/>
      <c r="F133" s="68"/>
      <c r="G133" s="68"/>
      <c r="H133" s="70"/>
      <c r="I133" s="69"/>
      <c r="J133" s="69"/>
      <c r="K133" s="67"/>
      <c r="L133" s="69"/>
      <c r="M133" s="69"/>
      <c r="N133" s="68"/>
      <c r="O133" s="74"/>
    </row>
    <row r="134" spans="2:15" x14ac:dyDescent="0.25">
      <c r="B134" s="76"/>
      <c r="C134" s="72"/>
      <c r="D134" s="67"/>
      <c r="E134" s="68"/>
      <c r="F134" s="68"/>
      <c r="G134" s="68"/>
      <c r="H134" s="70"/>
      <c r="I134" s="69"/>
      <c r="J134" s="69"/>
      <c r="K134" s="67"/>
      <c r="L134" s="69"/>
      <c r="M134" s="69"/>
      <c r="N134" s="68"/>
      <c r="O134" s="74"/>
    </row>
    <row r="135" spans="2:15" x14ac:dyDescent="0.25">
      <c r="B135" s="76"/>
      <c r="C135" s="72"/>
      <c r="D135" s="67"/>
      <c r="E135" s="68"/>
      <c r="F135" s="68"/>
      <c r="G135" s="68"/>
      <c r="H135" s="70"/>
      <c r="I135" s="69"/>
      <c r="J135" s="69"/>
      <c r="K135" s="67"/>
      <c r="L135" s="69"/>
      <c r="M135" s="69"/>
      <c r="N135" s="68"/>
      <c r="O135" s="74"/>
    </row>
    <row r="136" spans="2:15" x14ac:dyDescent="0.25">
      <c r="B136" s="76"/>
      <c r="C136" s="72"/>
      <c r="D136" s="67"/>
      <c r="E136" s="68"/>
      <c r="F136" s="68"/>
      <c r="G136" s="68"/>
      <c r="H136" s="70"/>
      <c r="I136" s="69"/>
      <c r="J136" s="69"/>
      <c r="K136" s="67"/>
      <c r="L136" s="69"/>
      <c r="M136" s="69"/>
      <c r="N136" s="68"/>
      <c r="O136" s="74"/>
    </row>
    <row r="137" spans="2:15" x14ac:dyDescent="0.25">
      <c r="B137" s="76"/>
      <c r="C137" s="72"/>
      <c r="D137" s="67"/>
      <c r="E137" s="68"/>
      <c r="F137" s="68"/>
      <c r="G137" s="68"/>
      <c r="H137" s="70"/>
      <c r="I137" s="69"/>
      <c r="J137" s="69"/>
      <c r="K137" s="67"/>
      <c r="L137" s="69"/>
      <c r="M137" s="69"/>
      <c r="N137" s="68"/>
      <c r="O137" s="74"/>
    </row>
    <row r="138" spans="2:15" x14ac:dyDescent="0.25">
      <c r="B138" s="76"/>
      <c r="C138" s="72"/>
      <c r="D138" s="67"/>
      <c r="E138" s="68"/>
      <c r="F138" s="68"/>
      <c r="G138" s="68"/>
      <c r="H138" s="70"/>
      <c r="I138" s="69"/>
      <c r="J138" s="69"/>
      <c r="K138" s="67"/>
      <c r="L138" s="69"/>
      <c r="M138" s="69"/>
      <c r="N138" s="68"/>
      <c r="O138" s="74"/>
    </row>
    <row r="139" spans="2:15" x14ac:dyDescent="0.25">
      <c r="B139" s="76"/>
      <c r="C139" s="72"/>
      <c r="D139" s="67"/>
      <c r="E139" s="68"/>
      <c r="F139" s="68"/>
      <c r="G139" s="68"/>
      <c r="H139" s="70"/>
      <c r="I139" s="69"/>
      <c r="J139" s="69"/>
      <c r="K139" s="67"/>
      <c r="L139" s="69"/>
      <c r="M139" s="69"/>
      <c r="N139" s="68"/>
      <c r="O139" s="74"/>
    </row>
    <row r="140" spans="2:15" x14ac:dyDescent="0.25">
      <c r="B140" s="76"/>
      <c r="C140" s="72"/>
      <c r="D140" s="67"/>
      <c r="E140" s="68"/>
      <c r="F140" s="68"/>
      <c r="G140" s="68"/>
      <c r="H140" s="70"/>
      <c r="I140" s="69"/>
      <c r="J140" s="69"/>
      <c r="K140" s="67"/>
      <c r="L140" s="69"/>
      <c r="M140" s="69"/>
      <c r="N140" s="68"/>
      <c r="O140" s="74"/>
    </row>
    <row r="141" spans="2:15" x14ac:dyDescent="0.25">
      <c r="B141" s="76"/>
      <c r="C141" s="72"/>
      <c r="D141" s="67"/>
      <c r="E141" s="68"/>
      <c r="F141" s="68"/>
      <c r="G141" s="68"/>
      <c r="H141" s="70"/>
      <c r="I141" s="69"/>
      <c r="J141" s="69"/>
      <c r="K141" s="67"/>
      <c r="L141" s="69"/>
      <c r="M141" s="69"/>
      <c r="N141" s="68"/>
      <c r="O141" s="74"/>
    </row>
    <row r="142" spans="2:15" x14ac:dyDescent="0.25">
      <c r="B142" s="76"/>
      <c r="C142" s="72"/>
      <c r="D142" s="67"/>
      <c r="E142" s="68"/>
      <c r="F142" s="68"/>
      <c r="G142" s="68"/>
      <c r="H142" s="70"/>
      <c r="I142" s="69"/>
      <c r="J142" s="69"/>
      <c r="K142" s="67"/>
      <c r="L142" s="69"/>
      <c r="M142" s="69"/>
      <c r="N142" s="68"/>
      <c r="O142" s="74"/>
    </row>
    <row r="143" spans="2:15" x14ac:dyDescent="0.25">
      <c r="B143" s="76"/>
      <c r="C143" s="72"/>
      <c r="D143" s="67"/>
      <c r="E143" s="68"/>
      <c r="F143" s="68"/>
      <c r="G143" s="68"/>
      <c r="H143" s="70"/>
      <c r="I143" s="69"/>
      <c r="J143" s="69"/>
      <c r="K143" s="67"/>
      <c r="L143" s="69"/>
      <c r="M143" s="69"/>
      <c r="N143" s="68"/>
      <c r="O143" s="74"/>
    </row>
    <row r="144" spans="2:15" x14ac:dyDescent="0.25">
      <c r="B144" s="76"/>
      <c r="C144" s="72"/>
      <c r="D144" s="67"/>
      <c r="E144" s="68"/>
      <c r="F144" s="68"/>
      <c r="G144" s="68"/>
      <c r="H144" s="70"/>
      <c r="I144" s="69"/>
      <c r="J144" s="69"/>
      <c r="K144" s="67"/>
      <c r="L144" s="69"/>
      <c r="M144" s="69"/>
      <c r="N144" s="68"/>
      <c r="O144" s="74"/>
    </row>
    <row r="145" spans="2:15" x14ac:dyDescent="0.25">
      <c r="B145" s="76"/>
      <c r="C145" s="72"/>
      <c r="D145" s="67"/>
      <c r="E145" s="68"/>
      <c r="F145" s="68"/>
      <c r="G145" s="68"/>
      <c r="H145" s="70"/>
      <c r="I145" s="69"/>
      <c r="J145" s="69"/>
      <c r="K145" s="67"/>
      <c r="L145" s="69"/>
      <c r="M145" s="69"/>
      <c r="N145" s="68"/>
      <c r="O145" s="74"/>
    </row>
    <row r="146" spans="2:15" x14ac:dyDescent="0.25">
      <c r="B146" s="76"/>
      <c r="C146" s="72"/>
      <c r="D146" s="67"/>
      <c r="E146" s="68"/>
      <c r="F146" s="68"/>
      <c r="G146" s="68"/>
      <c r="H146" s="70"/>
      <c r="I146" s="69"/>
      <c r="J146" s="69"/>
      <c r="K146" s="67"/>
      <c r="L146" s="69"/>
      <c r="M146" s="69"/>
      <c r="N146" s="68"/>
      <c r="O146" s="74"/>
    </row>
    <row r="147" spans="2:15" x14ac:dyDescent="0.25">
      <c r="B147" s="76"/>
      <c r="C147" s="72"/>
      <c r="D147" s="67"/>
      <c r="E147" s="68"/>
      <c r="F147" s="68"/>
      <c r="G147" s="68"/>
      <c r="H147" s="70"/>
      <c r="I147" s="69"/>
      <c r="J147" s="69"/>
      <c r="K147" s="67"/>
      <c r="L147" s="69"/>
      <c r="M147" s="69"/>
      <c r="N147" s="68"/>
      <c r="O147" s="74"/>
    </row>
    <row r="148" spans="2:15" x14ac:dyDescent="0.25">
      <c r="B148" s="76"/>
      <c r="C148" s="72"/>
      <c r="D148" s="67"/>
      <c r="E148" s="68"/>
      <c r="F148" s="68"/>
      <c r="G148" s="68"/>
      <c r="H148" s="70"/>
      <c r="I148" s="69"/>
      <c r="J148" s="69"/>
      <c r="K148" s="67"/>
      <c r="L148" s="69"/>
      <c r="M148" s="69"/>
      <c r="N148" s="68"/>
      <c r="O148" s="74"/>
    </row>
    <row r="149" spans="2:15" x14ac:dyDescent="0.25">
      <c r="B149" s="76"/>
      <c r="C149" s="72"/>
      <c r="D149" s="67"/>
      <c r="E149" s="68"/>
      <c r="F149" s="68"/>
      <c r="G149" s="68"/>
      <c r="H149" s="70"/>
      <c r="I149" s="69"/>
      <c r="J149" s="69"/>
      <c r="K149" s="67"/>
      <c r="L149" s="69"/>
      <c r="M149" s="69"/>
      <c r="N149" s="68"/>
      <c r="O149" s="74"/>
    </row>
    <row r="150" spans="2:15" x14ac:dyDescent="0.25">
      <c r="B150" s="76"/>
      <c r="C150" s="72"/>
      <c r="D150" s="67"/>
      <c r="E150" s="68"/>
      <c r="F150" s="68"/>
      <c r="G150" s="68"/>
      <c r="H150" s="70"/>
      <c r="I150" s="69"/>
      <c r="J150" s="69"/>
      <c r="K150" s="67"/>
      <c r="L150" s="69"/>
      <c r="M150" s="69"/>
      <c r="N150" s="68"/>
      <c r="O150" s="74"/>
    </row>
    <row r="151" spans="2:15" x14ac:dyDescent="0.25">
      <c r="B151" s="76"/>
      <c r="C151" s="72"/>
      <c r="D151" s="67"/>
      <c r="E151" s="68"/>
      <c r="F151" s="68"/>
      <c r="G151" s="68"/>
      <c r="H151" s="70"/>
      <c r="I151" s="69"/>
      <c r="J151" s="69"/>
      <c r="K151" s="67"/>
      <c r="L151" s="69"/>
      <c r="M151" s="69"/>
      <c r="N151" s="68"/>
      <c r="O151" s="74"/>
    </row>
    <row r="152" spans="2:15" x14ac:dyDescent="0.25">
      <c r="B152" s="76"/>
      <c r="C152" s="72"/>
      <c r="D152" s="67"/>
      <c r="E152" s="68"/>
      <c r="F152" s="68"/>
      <c r="G152" s="68"/>
      <c r="H152" s="70"/>
      <c r="I152" s="69"/>
      <c r="J152" s="69"/>
      <c r="K152" s="67"/>
      <c r="L152" s="69"/>
      <c r="M152" s="69"/>
      <c r="N152" s="68"/>
      <c r="O152" s="74"/>
    </row>
    <row r="153" spans="2:15" x14ac:dyDescent="0.25">
      <c r="B153" s="76"/>
      <c r="C153" s="72"/>
      <c r="D153" s="67"/>
      <c r="E153" s="68"/>
      <c r="F153" s="68"/>
      <c r="G153" s="68"/>
      <c r="H153" s="70"/>
      <c r="I153" s="69"/>
      <c r="J153" s="69"/>
      <c r="K153" s="67"/>
      <c r="L153" s="69"/>
      <c r="M153" s="69"/>
      <c r="N153" s="68"/>
      <c r="O153" s="74"/>
    </row>
    <row r="154" spans="2:15" x14ac:dyDescent="0.25">
      <c r="B154" s="76"/>
      <c r="C154" s="72"/>
      <c r="D154" s="67"/>
      <c r="E154" s="68"/>
      <c r="F154" s="68"/>
      <c r="G154" s="68"/>
      <c r="H154" s="70"/>
      <c r="I154" s="69"/>
      <c r="J154" s="69"/>
      <c r="K154" s="67"/>
      <c r="L154" s="69"/>
      <c r="M154" s="69"/>
      <c r="N154" s="68"/>
      <c r="O154" s="74"/>
    </row>
    <row r="155" spans="2:15" x14ac:dyDescent="0.25">
      <c r="B155" s="76"/>
      <c r="C155" s="72"/>
      <c r="D155" s="67"/>
      <c r="E155" s="68"/>
      <c r="F155" s="68"/>
      <c r="G155" s="68"/>
      <c r="H155" s="70"/>
      <c r="I155" s="69"/>
      <c r="J155" s="69"/>
      <c r="K155" s="67"/>
      <c r="L155" s="69"/>
      <c r="M155" s="69"/>
      <c r="N155" s="68"/>
      <c r="O155" s="74"/>
    </row>
    <row r="156" spans="2:15" x14ac:dyDescent="0.25">
      <c r="B156" s="76"/>
      <c r="C156" s="72"/>
      <c r="D156" s="67"/>
      <c r="E156" s="68"/>
      <c r="F156" s="68"/>
      <c r="G156" s="68"/>
      <c r="H156" s="70"/>
      <c r="I156" s="69"/>
      <c r="J156" s="69"/>
      <c r="K156" s="67"/>
      <c r="L156" s="69"/>
      <c r="M156" s="69"/>
      <c r="N156" s="68"/>
      <c r="O156" s="74"/>
    </row>
    <row r="157" spans="2:15" x14ac:dyDescent="0.25">
      <c r="B157" s="76"/>
      <c r="C157" s="72"/>
      <c r="D157" s="67"/>
      <c r="E157" s="68"/>
      <c r="F157" s="68"/>
      <c r="G157" s="68"/>
      <c r="H157" s="70"/>
      <c r="I157" s="69"/>
      <c r="J157" s="69"/>
      <c r="K157" s="67"/>
      <c r="L157" s="69"/>
      <c r="M157" s="69"/>
      <c r="N157" s="68"/>
      <c r="O157" s="74"/>
    </row>
    <row r="158" spans="2:15" x14ac:dyDescent="0.25">
      <c r="B158" s="76"/>
      <c r="C158" s="72"/>
      <c r="D158" s="67"/>
      <c r="E158" s="68"/>
      <c r="F158" s="68"/>
      <c r="G158" s="68"/>
      <c r="H158" s="70"/>
      <c r="I158" s="69"/>
      <c r="J158" s="69"/>
      <c r="K158" s="67"/>
      <c r="L158" s="69"/>
      <c r="M158" s="69"/>
      <c r="N158" s="68"/>
      <c r="O158" s="74"/>
    </row>
    <row r="159" spans="2:15" x14ac:dyDescent="0.25">
      <c r="B159" s="76"/>
      <c r="C159" s="72"/>
      <c r="D159" s="67"/>
      <c r="E159" s="68"/>
      <c r="F159" s="68"/>
      <c r="G159" s="68"/>
      <c r="H159" s="70"/>
      <c r="I159" s="69"/>
      <c r="J159" s="69"/>
      <c r="K159" s="67"/>
      <c r="L159" s="69"/>
      <c r="M159" s="69"/>
      <c r="N159" s="68"/>
      <c r="O159" s="74"/>
    </row>
    <row r="160" spans="2:15" x14ac:dyDescent="0.25">
      <c r="B160" s="76"/>
      <c r="C160" s="72"/>
      <c r="D160" s="67"/>
      <c r="E160" s="68"/>
      <c r="F160" s="68"/>
      <c r="G160" s="68"/>
      <c r="H160" s="70"/>
      <c r="I160" s="69"/>
      <c r="J160" s="69"/>
      <c r="K160" s="67"/>
      <c r="L160" s="69"/>
      <c r="M160" s="69"/>
      <c r="N160" s="68"/>
      <c r="O160" s="74"/>
    </row>
    <row r="161" spans="2:15" x14ac:dyDescent="0.25">
      <c r="B161" s="76"/>
      <c r="C161" s="72"/>
      <c r="D161" s="67"/>
      <c r="E161" s="68"/>
      <c r="F161" s="68"/>
      <c r="G161" s="68"/>
      <c r="H161" s="70"/>
      <c r="I161" s="69"/>
      <c r="J161" s="69"/>
      <c r="K161" s="67"/>
      <c r="L161" s="69"/>
      <c r="M161" s="69"/>
      <c r="N161" s="68"/>
      <c r="O161" s="74"/>
    </row>
    <row r="162" spans="2:15" x14ac:dyDescent="0.25">
      <c r="B162" s="76"/>
      <c r="C162" s="72"/>
      <c r="D162" s="67"/>
      <c r="E162" s="68"/>
      <c r="F162" s="68"/>
      <c r="G162" s="68"/>
      <c r="H162" s="70"/>
      <c r="I162" s="69"/>
      <c r="J162" s="69"/>
      <c r="K162" s="67"/>
      <c r="L162" s="69"/>
      <c r="M162" s="69"/>
      <c r="N162" s="68"/>
      <c r="O162" s="74"/>
    </row>
    <row r="163" spans="2:15" x14ac:dyDescent="0.25">
      <c r="B163" s="76"/>
      <c r="C163" s="72"/>
      <c r="D163" s="67"/>
      <c r="E163" s="68"/>
      <c r="F163" s="68"/>
      <c r="G163" s="68"/>
      <c r="H163" s="70"/>
      <c r="I163" s="69"/>
      <c r="J163" s="69"/>
      <c r="K163" s="67"/>
      <c r="L163" s="69"/>
      <c r="M163" s="69"/>
      <c r="N163" s="68"/>
      <c r="O163" s="74"/>
    </row>
    <row r="164" spans="2:15" x14ac:dyDescent="0.25">
      <c r="B164" s="76"/>
      <c r="C164" s="72"/>
      <c r="D164" s="67"/>
      <c r="E164" s="68"/>
      <c r="F164" s="68"/>
      <c r="G164" s="68"/>
      <c r="H164" s="70"/>
      <c r="I164" s="69"/>
      <c r="J164" s="69"/>
      <c r="K164" s="67"/>
      <c r="L164" s="69"/>
      <c r="M164" s="69"/>
      <c r="N164" s="68"/>
      <c r="O164" s="74"/>
    </row>
    <row r="165" spans="2:15" x14ac:dyDescent="0.25">
      <c r="B165" s="76"/>
      <c r="C165" s="72"/>
      <c r="D165" s="67"/>
      <c r="E165" s="68"/>
      <c r="F165" s="68"/>
      <c r="G165" s="68"/>
      <c r="H165" s="70"/>
      <c r="I165" s="69"/>
      <c r="J165" s="69"/>
      <c r="K165" s="67"/>
      <c r="L165" s="69"/>
      <c r="M165" s="69"/>
      <c r="N165" s="68"/>
      <c r="O165" s="74"/>
    </row>
    <row r="166" spans="2:15" x14ac:dyDescent="0.25">
      <c r="B166" s="76"/>
      <c r="C166" s="72"/>
      <c r="D166" s="67"/>
      <c r="E166" s="68"/>
      <c r="F166" s="68"/>
      <c r="G166" s="68"/>
      <c r="H166" s="70"/>
      <c r="I166" s="69"/>
      <c r="J166" s="69"/>
      <c r="K166" s="67"/>
      <c r="L166" s="69"/>
      <c r="M166" s="69"/>
      <c r="N166" s="68"/>
      <c r="O166" s="74"/>
    </row>
    <row r="167" spans="2:15" x14ac:dyDescent="0.25">
      <c r="B167" s="76"/>
      <c r="C167" s="72"/>
      <c r="D167" s="67"/>
      <c r="E167" s="68"/>
      <c r="F167" s="68"/>
      <c r="G167" s="68"/>
      <c r="H167" s="70"/>
      <c r="I167" s="69"/>
      <c r="J167" s="69"/>
      <c r="K167" s="67"/>
      <c r="L167" s="69"/>
      <c r="M167" s="69"/>
      <c r="N167" s="68"/>
      <c r="O167" s="74"/>
    </row>
    <row r="168" spans="2:15" x14ac:dyDescent="0.25">
      <c r="B168" s="76"/>
      <c r="C168" s="72"/>
      <c r="D168" s="67"/>
      <c r="E168" s="68"/>
      <c r="F168" s="68"/>
      <c r="G168" s="68"/>
      <c r="H168" s="70"/>
      <c r="I168" s="69"/>
      <c r="J168" s="69"/>
      <c r="K168" s="67"/>
      <c r="L168" s="69"/>
      <c r="M168" s="69"/>
      <c r="N168" s="68"/>
      <c r="O168" s="74"/>
    </row>
    <row r="169" spans="2:15" x14ac:dyDescent="0.25">
      <c r="B169" s="76"/>
      <c r="C169" s="72"/>
      <c r="D169" s="67"/>
      <c r="E169" s="68"/>
      <c r="F169" s="68"/>
      <c r="G169" s="68"/>
      <c r="H169" s="70"/>
      <c r="I169" s="69"/>
      <c r="J169" s="69"/>
      <c r="K169" s="67"/>
      <c r="L169" s="69"/>
      <c r="M169" s="69"/>
      <c r="N169" s="68"/>
      <c r="O169" s="74"/>
    </row>
    <row r="170" spans="2:15" x14ac:dyDescent="0.25">
      <c r="B170" s="76"/>
      <c r="C170" s="72"/>
      <c r="D170" s="67"/>
      <c r="E170" s="68"/>
      <c r="F170" s="68"/>
      <c r="G170" s="68"/>
      <c r="H170" s="70"/>
      <c r="I170" s="69"/>
      <c r="J170" s="69"/>
      <c r="K170" s="67"/>
      <c r="L170" s="69"/>
      <c r="M170" s="69"/>
      <c r="N170" s="68"/>
      <c r="O170" s="74"/>
    </row>
    <row r="171" spans="2:15" x14ac:dyDescent="0.25">
      <c r="B171" s="76"/>
      <c r="C171" s="72"/>
      <c r="D171" s="67"/>
      <c r="E171" s="68"/>
      <c r="F171" s="68"/>
      <c r="G171" s="68"/>
      <c r="H171" s="70"/>
      <c r="I171" s="69"/>
      <c r="J171" s="69"/>
      <c r="K171" s="67"/>
      <c r="L171" s="69"/>
      <c r="M171" s="69"/>
      <c r="N171" s="68"/>
      <c r="O171" s="74"/>
    </row>
    <row r="172" spans="2:15" x14ac:dyDescent="0.25">
      <c r="B172" s="76"/>
      <c r="C172" s="72"/>
      <c r="D172" s="67"/>
      <c r="E172" s="68"/>
      <c r="F172" s="68"/>
      <c r="G172" s="68"/>
      <c r="H172" s="70"/>
      <c r="I172" s="69"/>
      <c r="J172" s="69"/>
      <c r="K172" s="67"/>
      <c r="L172" s="69"/>
      <c r="M172" s="69"/>
      <c r="N172" s="68"/>
      <c r="O172" s="74"/>
    </row>
    <row r="173" spans="2:15" x14ac:dyDescent="0.25">
      <c r="B173" s="76"/>
      <c r="C173" s="72"/>
      <c r="D173" s="67"/>
      <c r="E173" s="68"/>
      <c r="F173" s="68"/>
      <c r="G173" s="68"/>
      <c r="H173" s="70"/>
      <c r="I173" s="69"/>
      <c r="J173" s="69"/>
      <c r="K173" s="67"/>
      <c r="L173" s="69"/>
      <c r="M173" s="69"/>
      <c r="N173" s="68"/>
      <c r="O173" s="74"/>
    </row>
    <row r="174" spans="2:15" x14ac:dyDescent="0.25">
      <c r="B174" s="76"/>
      <c r="C174" s="72"/>
      <c r="D174" s="67"/>
      <c r="E174" s="68"/>
      <c r="F174" s="68"/>
      <c r="G174" s="68"/>
      <c r="H174" s="70"/>
      <c r="I174" s="69"/>
      <c r="J174" s="69"/>
      <c r="K174" s="67"/>
      <c r="L174" s="69"/>
      <c r="M174" s="69"/>
      <c r="N174" s="68"/>
      <c r="O174" s="74"/>
    </row>
    <row r="175" spans="2:15" x14ac:dyDescent="0.25">
      <c r="B175" s="76"/>
      <c r="C175" s="72"/>
      <c r="D175" s="67"/>
      <c r="E175" s="68"/>
      <c r="F175" s="68"/>
      <c r="G175" s="68"/>
      <c r="H175" s="70"/>
      <c r="I175" s="69"/>
      <c r="J175" s="69"/>
      <c r="K175" s="67"/>
      <c r="L175" s="69"/>
      <c r="M175" s="69"/>
      <c r="N175" s="68"/>
      <c r="O175" s="74"/>
    </row>
    <row r="176" spans="2:15" x14ac:dyDescent="0.25">
      <c r="B176" s="76"/>
      <c r="C176" s="72"/>
      <c r="D176" s="67"/>
      <c r="E176" s="68"/>
      <c r="F176" s="68"/>
      <c r="G176" s="68"/>
      <c r="H176" s="70"/>
      <c r="I176" s="69"/>
      <c r="J176" s="69"/>
      <c r="K176" s="67"/>
      <c r="L176" s="69"/>
      <c r="M176" s="69"/>
      <c r="N176" s="68"/>
      <c r="O176" s="74"/>
    </row>
    <row r="177" spans="2:15" x14ac:dyDescent="0.25">
      <c r="B177" s="76"/>
      <c r="C177" s="72"/>
      <c r="D177" s="67"/>
      <c r="E177" s="68"/>
      <c r="F177" s="68"/>
      <c r="G177" s="68"/>
      <c r="H177" s="70"/>
      <c r="I177" s="69"/>
      <c r="J177" s="69"/>
      <c r="K177" s="67"/>
      <c r="L177" s="69"/>
      <c r="M177" s="69"/>
      <c r="N177" s="68"/>
      <c r="O177" s="74"/>
    </row>
    <row r="178" spans="2:15" x14ac:dyDescent="0.25">
      <c r="B178" s="76"/>
      <c r="C178" s="72"/>
      <c r="D178" s="67"/>
      <c r="E178" s="68"/>
      <c r="F178" s="68"/>
      <c r="G178" s="68"/>
      <c r="H178" s="70"/>
      <c r="I178" s="69"/>
      <c r="J178" s="69"/>
      <c r="K178" s="67"/>
      <c r="L178" s="69"/>
      <c r="M178" s="69"/>
      <c r="N178" s="68"/>
      <c r="O178" s="74"/>
    </row>
    <row r="179" spans="2:15" x14ac:dyDescent="0.25">
      <c r="B179" s="76"/>
      <c r="C179" s="72"/>
      <c r="D179" s="67"/>
      <c r="E179" s="68"/>
      <c r="F179" s="68"/>
      <c r="G179" s="68"/>
      <c r="H179" s="70"/>
      <c r="I179" s="69"/>
      <c r="J179" s="69"/>
      <c r="K179" s="67"/>
      <c r="L179" s="69"/>
      <c r="M179" s="69"/>
      <c r="N179" s="68"/>
      <c r="O179" s="74"/>
    </row>
    <row r="180" spans="2:15" x14ac:dyDescent="0.25">
      <c r="B180" s="76"/>
      <c r="C180" s="72"/>
      <c r="D180" s="67"/>
      <c r="E180" s="68"/>
      <c r="F180" s="68"/>
      <c r="G180" s="68"/>
      <c r="H180" s="70"/>
      <c r="I180" s="69"/>
      <c r="J180" s="69"/>
      <c r="K180" s="67"/>
      <c r="L180" s="69"/>
      <c r="M180" s="69"/>
      <c r="N180" s="68"/>
      <c r="O180" s="74"/>
    </row>
    <row r="181" spans="2:15" x14ac:dyDescent="0.25">
      <c r="B181" s="76"/>
      <c r="C181" s="72"/>
      <c r="D181" s="67"/>
      <c r="E181" s="68"/>
      <c r="F181" s="68"/>
      <c r="G181" s="68"/>
      <c r="H181" s="70"/>
      <c r="I181" s="69"/>
      <c r="J181" s="69"/>
      <c r="K181" s="67"/>
      <c r="L181" s="69"/>
      <c r="M181" s="69"/>
      <c r="N181" s="68"/>
      <c r="O181" s="74"/>
    </row>
    <row r="182" spans="2:15" x14ac:dyDescent="0.25">
      <c r="B182" s="76"/>
      <c r="C182" s="72"/>
      <c r="D182" s="67"/>
      <c r="E182" s="68"/>
      <c r="F182" s="68"/>
      <c r="G182" s="68"/>
      <c r="H182" s="70"/>
      <c r="I182" s="69"/>
      <c r="J182" s="69"/>
      <c r="K182" s="67"/>
      <c r="L182" s="69"/>
      <c r="M182" s="69"/>
      <c r="N182" s="68"/>
      <c r="O182" s="74"/>
    </row>
    <row r="183" spans="2:15" x14ac:dyDescent="0.25">
      <c r="B183" s="76"/>
      <c r="C183" s="72"/>
      <c r="D183" s="67"/>
      <c r="E183" s="68"/>
      <c r="F183" s="68"/>
      <c r="G183" s="68"/>
      <c r="H183" s="70"/>
      <c r="I183" s="69"/>
      <c r="J183" s="69"/>
      <c r="K183" s="67"/>
      <c r="L183" s="69"/>
      <c r="M183" s="69"/>
      <c r="N183" s="68"/>
      <c r="O183" s="74"/>
    </row>
    <row r="184" spans="2:15" x14ac:dyDescent="0.25">
      <c r="B184" s="76"/>
      <c r="C184" s="72"/>
      <c r="D184" s="67"/>
      <c r="E184" s="68"/>
      <c r="F184" s="68"/>
      <c r="G184" s="68"/>
      <c r="H184" s="70"/>
      <c r="I184" s="69"/>
      <c r="J184" s="69"/>
      <c r="K184" s="67"/>
      <c r="L184" s="69"/>
      <c r="M184" s="69"/>
      <c r="N184" s="68"/>
      <c r="O184" s="74"/>
    </row>
    <row r="185" spans="2:15" x14ac:dyDescent="0.25">
      <c r="B185" s="76"/>
      <c r="C185" s="72"/>
      <c r="D185" s="67"/>
      <c r="E185" s="68"/>
      <c r="F185" s="68"/>
      <c r="G185" s="68"/>
      <c r="H185" s="70"/>
      <c r="I185" s="69"/>
      <c r="J185" s="69"/>
      <c r="K185" s="67"/>
      <c r="L185" s="69"/>
      <c r="M185" s="69"/>
      <c r="N185" s="68"/>
      <c r="O185" s="74"/>
    </row>
    <row r="186" spans="2:15" x14ac:dyDescent="0.25">
      <c r="B186" s="76"/>
      <c r="C186" s="72"/>
      <c r="D186" s="67"/>
      <c r="E186" s="68"/>
      <c r="F186" s="68"/>
      <c r="G186" s="68"/>
      <c r="H186" s="70"/>
      <c r="I186" s="69"/>
      <c r="J186" s="69"/>
      <c r="K186" s="67"/>
      <c r="L186" s="69"/>
      <c r="M186" s="69"/>
      <c r="N186" s="68"/>
      <c r="O186" s="74"/>
    </row>
    <row r="187" spans="2:15" x14ac:dyDescent="0.25">
      <c r="B187" s="76"/>
      <c r="C187" s="72"/>
      <c r="D187" s="67"/>
      <c r="E187" s="68"/>
      <c r="F187" s="68"/>
      <c r="G187" s="68"/>
      <c r="H187" s="70"/>
      <c r="I187" s="69"/>
      <c r="J187" s="69"/>
      <c r="K187" s="67"/>
      <c r="L187" s="69"/>
      <c r="M187" s="69"/>
      <c r="N187" s="68"/>
      <c r="O187" s="74"/>
    </row>
    <row r="188" spans="2:15" x14ac:dyDescent="0.25">
      <c r="B188" s="76"/>
      <c r="C188" s="72"/>
      <c r="D188" s="67"/>
      <c r="E188" s="68"/>
      <c r="F188" s="68"/>
      <c r="G188" s="68"/>
      <c r="H188" s="70"/>
      <c r="I188" s="69"/>
      <c r="J188" s="69"/>
      <c r="K188" s="67"/>
      <c r="L188" s="69"/>
      <c r="M188" s="69"/>
      <c r="N188" s="68"/>
      <c r="O188" s="74"/>
    </row>
    <row r="189" spans="2:15" x14ac:dyDescent="0.25">
      <c r="B189" s="76"/>
      <c r="C189" s="72"/>
      <c r="D189" s="67"/>
      <c r="E189" s="68"/>
      <c r="F189" s="68"/>
      <c r="G189" s="68"/>
      <c r="H189" s="70"/>
      <c r="I189" s="69"/>
      <c r="J189" s="69"/>
      <c r="K189" s="67"/>
      <c r="L189" s="69"/>
      <c r="M189" s="69"/>
      <c r="N189" s="68"/>
      <c r="O189" s="74"/>
    </row>
    <row r="190" spans="2:15" x14ac:dyDescent="0.25">
      <c r="B190" s="76"/>
      <c r="C190" s="72"/>
      <c r="D190" s="67"/>
      <c r="E190" s="68"/>
      <c r="F190" s="68"/>
      <c r="G190" s="68"/>
      <c r="H190" s="70"/>
      <c r="I190" s="69"/>
      <c r="J190" s="69"/>
      <c r="K190" s="67"/>
      <c r="L190" s="69"/>
      <c r="M190" s="69"/>
      <c r="N190" s="68"/>
      <c r="O190" s="74"/>
    </row>
    <row r="191" spans="2:15" x14ac:dyDescent="0.25">
      <c r="B191" s="76"/>
      <c r="C191" s="72"/>
      <c r="D191" s="67"/>
      <c r="E191" s="68"/>
      <c r="F191" s="68"/>
      <c r="G191" s="68"/>
      <c r="H191" s="70"/>
      <c r="I191" s="69"/>
      <c r="J191" s="69"/>
      <c r="K191" s="67"/>
      <c r="L191" s="69"/>
      <c r="M191" s="69"/>
      <c r="N191" s="68"/>
      <c r="O191" s="74"/>
    </row>
    <row r="192" spans="2:15" x14ac:dyDescent="0.25">
      <c r="B192" s="76"/>
      <c r="C192" s="72"/>
      <c r="D192" s="67"/>
      <c r="E192" s="68"/>
      <c r="F192" s="68"/>
      <c r="G192" s="68"/>
      <c r="H192" s="70"/>
      <c r="I192" s="69"/>
      <c r="J192" s="69"/>
      <c r="K192" s="67"/>
      <c r="L192" s="69"/>
      <c r="M192" s="69"/>
      <c r="N192" s="68"/>
      <c r="O192" s="74"/>
    </row>
    <row r="193" spans="2:15" x14ac:dyDescent="0.25">
      <c r="B193" s="76"/>
      <c r="C193" s="72"/>
      <c r="D193" s="67"/>
      <c r="E193" s="68"/>
      <c r="F193" s="68"/>
      <c r="G193" s="68"/>
      <c r="H193" s="70"/>
      <c r="I193" s="69"/>
      <c r="J193" s="69"/>
      <c r="K193" s="67"/>
      <c r="L193" s="69"/>
      <c r="M193" s="69"/>
      <c r="N193" s="68"/>
      <c r="O193" s="74"/>
    </row>
    <row r="194" spans="2:15" x14ac:dyDescent="0.25">
      <c r="B194" s="76"/>
      <c r="C194" s="72"/>
      <c r="D194" s="67"/>
      <c r="E194" s="68"/>
      <c r="F194" s="68"/>
      <c r="G194" s="68"/>
      <c r="H194" s="70"/>
      <c r="I194" s="69"/>
      <c r="J194" s="69"/>
      <c r="K194" s="67"/>
      <c r="L194" s="69"/>
      <c r="M194" s="69"/>
      <c r="N194" s="68"/>
      <c r="O194" s="74"/>
    </row>
    <row r="195" spans="2:15" x14ac:dyDescent="0.25">
      <c r="B195" s="76"/>
      <c r="C195" s="72"/>
      <c r="D195" s="67"/>
      <c r="E195" s="68"/>
      <c r="F195" s="68"/>
      <c r="G195" s="68"/>
      <c r="H195" s="70"/>
      <c r="I195" s="69"/>
      <c r="J195" s="69"/>
      <c r="K195" s="67"/>
      <c r="L195" s="69"/>
      <c r="M195" s="69"/>
      <c r="N195" s="68"/>
      <c r="O195" s="74"/>
    </row>
    <row r="196" spans="2:15" x14ac:dyDescent="0.25">
      <c r="B196" s="76"/>
      <c r="C196" s="72"/>
      <c r="D196" s="67"/>
      <c r="E196" s="68"/>
      <c r="F196" s="68"/>
      <c r="G196" s="68"/>
      <c r="H196" s="70"/>
      <c r="I196" s="69"/>
      <c r="J196" s="69"/>
      <c r="K196" s="67"/>
      <c r="L196" s="69"/>
      <c r="M196" s="69"/>
      <c r="N196" s="68"/>
      <c r="O196" s="74"/>
    </row>
    <row r="197" spans="2:15" x14ac:dyDescent="0.25">
      <c r="B197" s="76"/>
      <c r="C197" s="72"/>
      <c r="D197" s="67"/>
      <c r="E197" s="68"/>
      <c r="F197" s="68"/>
      <c r="G197" s="68"/>
      <c r="H197" s="70"/>
      <c r="I197" s="69"/>
      <c r="J197" s="69"/>
      <c r="K197" s="67"/>
      <c r="L197" s="69"/>
      <c r="M197" s="69"/>
      <c r="N197" s="68"/>
      <c r="O197" s="74"/>
    </row>
    <row r="198" spans="2:15" x14ac:dyDescent="0.25">
      <c r="B198" s="76"/>
      <c r="C198" s="72"/>
      <c r="D198" s="67"/>
      <c r="E198" s="68"/>
      <c r="F198" s="68"/>
      <c r="G198" s="68"/>
      <c r="H198" s="70"/>
      <c r="I198" s="69"/>
      <c r="J198" s="69"/>
      <c r="K198" s="67"/>
      <c r="L198" s="69"/>
      <c r="M198" s="69"/>
      <c r="N198" s="68"/>
      <c r="O198" s="74"/>
    </row>
    <row r="199" spans="2:15" x14ac:dyDescent="0.25">
      <c r="B199" s="76"/>
      <c r="C199" s="72"/>
      <c r="D199" s="67"/>
      <c r="E199" s="68"/>
      <c r="F199" s="68"/>
      <c r="G199" s="68"/>
      <c r="H199" s="70"/>
      <c r="I199" s="69"/>
      <c r="J199" s="69"/>
      <c r="K199" s="67"/>
      <c r="L199" s="69"/>
      <c r="M199" s="69"/>
      <c r="N199" s="68"/>
      <c r="O199" s="74"/>
    </row>
    <row r="200" spans="2:15" x14ac:dyDescent="0.25">
      <c r="B200" s="76"/>
      <c r="C200" s="72"/>
      <c r="D200" s="67"/>
      <c r="E200" s="68"/>
      <c r="F200" s="68"/>
      <c r="G200" s="68"/>
      <c r="H200" s="70"/>
      <c r="I200" s="69"/>
      <c r="J200" s="69"/>
      <c r="K200" s="67"/>
      <c r="L200" s="69"/>
      <c r="M200" s="69"/>
      <c r="N200" s="68"/>
      <c r="O200" s="74"/>
    </row>
    <row r="201" spans="2:15" x14ac:dyDescent="0.25">
      <c r="B201" s="76"/>
      <c r="C201" s="72"/>
      <c r="D201" s="67"/>
      <c r="E201" s="68"/>
      <c r="F201" s="68"/>
      <c r="G201" s="68"/>
      <c r="H201" s="70"/>
      <c r="I201" s="69"/>
      <c r="J201" s="69"/>
      <c r="K201" s="67"/>
      <c r="L201" s="69"/>
      <c r="M201" s="69"/>
      <c r="N201" s="68"/>
      <c r="O201" s="74"/>
    </row>
    <row r="202" spans="2:15" x14ac:dyDescent="0.25">
      <c r="B202" s="76"/>
      <c r="C202" s="72"/>
      <c r="D202" s="67"/>
      <c r="E202" s="68"/>
      <c r="F202" s="68"/>
      <c r="G202" s="68"/>
      <c r="H202" s="70"/>
      <c r="I202" s="69"/>
      <c r="J202" s="69"/>
      <c r="K202" s="67"/>
      <c r="L202" s="69"/>
      <c r="M202" s="69"/>
      <c r="N202" s="68"/>
      <c r="O202" s="74"/>
    </row>
    <row r="203" spans="2:15" x14ac:dyDescent="0.25">
      <c r="B203" s="76"/>
      <c r="C203" s="72"/>
      <c r="D203" s="67"/>
      <c r="E203" s="68"/>
      <c r="F203" s="68"/>
      <c r="G203" s="68"/>
      <c r="H203" s="70"/>
      <c r="I203" s="69"/>
      <c r="J203" s="69"/>
      <c r="K203" s="67"/>
      <c r="L203" s="69"/>
      <c r="M203" s="69"/>
      <c r="N203" s="68"/>
      <c r="O203" s="74"/>
    </row>
    <row r="204" spans="2:15" x14ac:dyDescent="0.25">
      <c r="B204" s="76"/>
      <c r="C204" s="72"/>
      <c r="D204" s="67"/>
      <c r="E204" s="68"/>
      <c r="F204" s="68"/>
      <c r="G204" s="68"/>
      <c r="H204" s="70"/>
      <c r="I204" s="69"/>
      <c r="J204" s="69"/>
      <c r="K204" s="67"/>
      <c r="L204" s="69"/>
      <c r="M204" s="69"/>
      <c r="N204" s="68"/>
      <c r="O204" s="74"/>
    </row>
    <row r="205" spans="2:15" x14ac:dyDescent="0.25">
      <c r="B205" s="76"/>
      <c r="C205" s="72"/>
      <c r="D205" s="67"/>
      <c r="E205" s="68"/>
      <c r="F205" s="68"/>
      <c r="G205" s="68"/>
      <c r="H205" s="70"/>
      <c r="I205" s="69"/>
      <c r="J205" s="69"/>
      <c r="K205" s="67"/>
      <c r="L205" s="69"/>
      <c r="M205" s="69"/>
      <c r="N205" s="68"/>
      <c r="O205" s="74"/>
    </row>
    <row r="206" spans="2:15" x14ac:dyDescent="0.25">
      <c r="B206" s="76"/>
      <c r="C206" s="72"/>
      <c r="D206" s="67"/>
      <c r="E206" s="68"/>
      <c r="F206" s="68"/>
      <c r="G206" s="68"/>
      <c r="H206" s="70"/>
      <c r="I206" s="69"/>
      <c r="J206" s="69"/>
      <c r="K206" s="67"/>
      <c r="L206" s="69"/>
      <c r="M206" s="69"/>
      <c r="N206" s="68"/>
      <c r="O206" s="74"/>
    </row>
    <row r="207" spans="2:15" x14ac:dyDescent="0.25">
      <c r="B207" s="76"/>
      <c r="C207" s="72"/>
      <c r="D207" s="67"/>
      <c r="E207" s="68"/>
      <c r="F207" s="68"/>
      <c r="G207" s="68"/>
      <c r="H207" s="70"/>
      <c r="I207" s="69"/>
      <c r="J207" s="69"/>
      <c r="K207" s="67"/>
      <c r="L207" s="69"/>
      <c r="M207" s="69"/>
      <c r="N207" s="68"/>
      <c r="O207" s="74"/>
    </row>
    <row r="208" spans="2:15" x14ac:dyDescent="0.25">
      <c r="B208" s="76"/>
      <c r="C208" s="72"/>
      <c r="D208" s="67"/>
      <c r="E208" s="68"/>
      <c r="F208" s="68"/>
      <c r="G208" s="68"/>
      <c r="H208" s="70"/>
      <c r="I208" s="69"/>
      <c r="J208" s="69"/>
      <c r="K208" s="67"/>
      <c r="L208" s="69"/>
      <c r="M208" s="69"/>
      <c r="N208" s="68"/>
      <c r="O208" s="74"/>
    </row>
    <row r="209" spans="2:15" x14ac:dyDescent="0.25">
      <c r="B209" s="76"/>
      <c r="C209" s="72"/>
      <c r="D209" s="67"/>
      <c r="E209" s="68"/>
      <c r="F209" s="68"/>
      <c r="G209" s="68"/>
      <c r="H209" s="70"/>
      <c r="I209" s="69"/>
      <c r="J209" s="69"/>
      <c r="K209" s="67"/>
      <c r="L209" s="69"/>
      <c r="M209" s="69"/>
      <c r="N209" s="68"/>
      <c r="O209" s="74"/>
    </row>
    <row r="210" spans="2:15" x14ac:dyDescent="0.25">
      <c r="B210" s="76"/>
      <c r="C210" s="72"/>
      <c r="D210" s="67"/>
      <c r="E210" s="68"/>
      <c r="F210" s="68"/>
      <c r="G210" s="68"/>
      <c r="H210" s="70"/>
      <c r="I210" s="69"/>
      <c r="J210" s="69"/>
      <c r="K210" s="67"/>
      <c r="L210" s="69"/>
      <c r="M210" s="69"/>
      <c r="N210" s="68"/>
      <c r="O210" s="74"/>
    </row>
    <row r="211" spans="2:15" x14ac:dyDescent="0.25">
      <c r="B211" s="76"/>
      <c r="C211" s="72"/>
      <c r="D211" s="67"/>
      <c r="E211" s="68"/>
      <c r="F211" s="68"/>
      <c r="G211" s="68"/>
      <c r="H211" s="70"/>
      <c r="I211" s="69"/>
      <c r="J211" s="69"/>
      <c r="K211" s="67"/>
      <c r="L211" s="69"/>
      <c r="M211" s="69"/>
      <c r="N211" s="68"/>
      <c r="O211" s="74"/>
    </row>
    <row r="212" spans="2:15" x14ac:dyDescent="0.25">
      <c r="B212" s="76"/>
      <c r="C212" s="72"/>
      <c r="D212" s="67"/>
      <c r="E212" s="68"/>
      <c r="F212" s="68"/>
      <c r="G212" s="68"/>
      <c r="H212" s="70"/>
      <c r="I212" s="69"/>
      <c r="J212" s="69"/>
      <c r="K212" s="67"/>
      <c r="L212" s="69"/>
      <c r="M212" s="69"/>
      <c r="N212" s="68"/>
      <c r="O212" s="74"/>
    </row>
    <row r="213" spans="2:15" x14ac:dyDescent="0.25">
      <c r="B213" s="76"/>
      <c r="C213" s="72"/>
      <c r="D213" s="67"/>
      <c r="E213" s="68"/>
      <c r="F213" s="68"/>
      <c r="G213" s="68"/>
      <c r="H213" s="70"/>
      <c r="I213" s="69"/>
      <c r="J213" s="69"/>
      <c r="K213" s="67"/>
      <c r="L213" s="69"/>
      <c r="M213" s="69"/>
      <c r="N213" s="68"/>
      <c r="O213" s="74"/>
    </row>
    <row r="214" spans="2:15" x14ac:dyDescent="0.25">
      <c r="B214" s="76"/>
      <c r="C214" s="72"/>
      <c r="D214" s="67"/>
      <c r="E214" s="68"/>
      <c r="F214" s="68"/>
      <c r="G214" s="68"/>
      <c r="H214" s="70"/>
      <c r="I214" s="69"/>
      <c r="J214" s="69"/>
      <c r="K214" s="67"/>
      <c r="L214" s="69"/>
      <c r="M214" s="69"/>
      <c r="N214" s="68"/>
      <c r="O214" s="74"/>
    </row>
    <row r="215" spans="2:15" x14ac:dyDescent="0.25">
      <c r="B215" s="76"/>
      <c r="C215" s="72"/>
      <c r="D215" s="67"/>
      <c r="E215" s="68"/>
      <c r="F215" s="68"/>
      <c r="G215" s="68"/>
      <c r="H215" s="70"/>
      <c r="I215" s="69"/>
      <c r="J215" s="69"/>
      <c r="K215" s="67"/>
      <c r="L215" s="69"/>
      <c r="M215" s="69"/>
      <c r="N215" s="68"/>
      <c r="O215" s="74"/>
    </row>
    <row r="216" spans="2:15" x14ac:dyDescent="0.25">
      <c r="B216" s="76"/>
      <c r="C216" s="72"/>
      <c r="D216" s="67"/>
      <c r="E216" s="68"/>
      <c r="F216" s="68"/>
      <c r="G216" s="68"/>
      <c r="H216" s="70"/>
      <c r="I216" s="69"/>
      <c r="J216" s="69"/>
      <c r="K216" s="67"/>
      <c r="L216" s="69"/>
      <c r="M216" s="69"/>
      <c r="N216" s="68"/>
      <c r="O216" s="74"/>
    </row>
    <row r="217" spans="2:15" x14ac:dyDescent="0.25">
      <c r="B217" s="76"/>
      <c r="C217" s="72"/>
      <c r="D217" s="67"/>
      <c r="E217" s="68"/>
      <c r="F217" s="68"/>
      <c r="G217" s="68"/>
      <c r="H217" s="70"/>
      <c r="I217" s="69"/>
      <c r="J217" s="69"/>
      <c r="K217" s="67"/>
      <c r="L217" s="69"/>
      <c r="M217" s="69"/>
      <c r="N217" s="68"/>
      <c r="O217" s="74"/>
    </row>
    <row r="218" spans="2:15" x14ac:dyDescent="0.25">
      <c r="B218" s="76"/>
      <c r="C218" s="72"/>
      <c r="D218" s="67"/>
      <c r="E218" s="68"/>
      <c r="F218" s="68"/>
      <c r="G218" s="68"/>
      <c r="H218" s="70"/>
      <c r="I218" s="69"/>
      <c r="J218" s="69"/>
      <c r="K218" s="67"/>
      <c r="L218" s="69"/>
      <c r="M218" s="69"/>
      <c r="N218" s="68"/>
      <c r="O218" s="74"/>
    </row>
    <row r="219" spans="2:15" x14ac:dyDescent="0.25">
      <c r="B219" s="76"/>
      <c r="C219" s="72"/>
      <c r="D219" s="67"/>
      <c r="E219" s="68"/>
      <c r="F219" s="68"/>
      <c r="G219" s="68"/>
      <c r="H219" s="70"/>
      <c r="I219" s="69"/>
      <c r="J219" s="69"/>
      <c r="K219" s="67"/>
      <c r="L219" s="69"/>
      <c r="M219" s="69"/>
      <c r="N219" s="68"/>
      <c r="O219" s="74"/>
    </row>
    <row r="220" spans="2:15" x14ac:dyDescent="0.25">
      <c r="B220" s="76"/>
      <c r="C220" s="72"/>
      <c r="D220" s="67"/>
      <c r="E220" s="68"/>
      <c r="F220" s="68"/>
      <c r="G220" s="68"/>
      <c r="H220" s="70"/>
      <c r="I220" s="69"/>
      <c r="J220" s="69"/>
      <c r="K220" s="67"/>
      <c r="L220" s="69"/>
      <c r="M220" s="69"/>
      <c r="N220" s="68"/>
      <c r="O220" s="74"/>
    </row>
    <row r="221" spans="2:15" x14ac:dyDescent="0.25">
      <c r="B221" s="76"/>
      <c r="C221" s="72"/>
      <c r="D221" s="67"/>
      <c r="E221" s="68"/>
      <c r="F221" s="68"/>
      <c r="G221" s="68"/>
      <c r="H221" s="70"/>
      <c r="I221" s="69"/>
      <c r="J221" s="69"/>
      <c r="K221" s="67"/>
      <c r="L221" s="69"/>
      <c r="M221" s="69"/>
      <c r="N221" s="68"/>
      <c r="O221" s="74"/>
    </row>
    <row r="222" spans="2:15" x14ac:dyDescent="0.25">
      <c r="B222" s="76"/>
      <c r="C222" s="72"/>
      <c r="D222" s="67"/>
      <c r="E222" s="68"/>
      <c r="F222" s="68"/>
      <c r="G222" s="68"/>
      <c r="H222" s="70"/>
      <c r="I222" s="69"/>
      <c r="J222" s="69"/>
      <c r="K222" s="67"/>
      <c r="L222" s="69"/>
      <c r="M222" s="69"/>
      <c r="N222" s="68"/>
      <c r="O222" s="74"/>
    </row>
    <row r="223" spans="2:15" x14ac:dyDescent="0.25">
      <c r="B223" s="76"/>
      <c r="C223" s="72"/>
      <c r="D223" s="67"/>
      <c r="E223" s="68"/>
      <c r="F223" s="68"/>
      <c r="G223" s="68"/>
      <c r="H223" s="70"/>
      <c r="I223" s="69"/>
      <c r="J223" s="69"/>
      <c r="K223" s="67"/>
      <c r="L223" s="69"/>
      <c r="M223" s="69"/>
      <c r="N223" s="68"/>
      <c r="O223" s="74"/>
    </row>
    <row r="224" spans="2:15" x14ac:dyDescent="0.25">
      <c r="B224" s="76"/>
      <c r="C224" s="72"/>
      <c r="D224" s="67"/>
      <c r="E224" s="68"/>
      <c r="F224" s="68"/>
      <c r="G224" s="68"/>
      <c r="H224" s="70"/>
      <c r="I224" s="69"/>
      <c r="J224" s="69"/>
      <c r="K224" s="67"/>
      <c r="L224" s="69"/>
      <c r="M224" s="69"/>
      <c r="N224" s="68"/>
      <c r="O224" s="74"/>
    </row>
    <row r="225" spans="2:15" x14ac:dyDescent="0.25">
      <c r="B225" s="76"/>
      <c r="C225" s="72"/>
      <c r="D225" s="67"/>
      <c r="E225" s="68"/>
      <c r="F225" s="68"/>
      <c r="G225" s="68"/>
      <c r="H225" s="70"/>
      <c r="I225" s="69"/>
      <c r="J225" s="69"/>
      <c r="K225" s="67"/>
      <c r="L225" s="69"/>
      <c r="M225" s="69"/>
      <c r="N225" s="68"/>
      <c r="O225" s="74"/>
    </row>
    <row r="226" spans="2:15" x14ac:dyDescent="0.25">
      <c r="B226" s="76"/>
      <c r="C226" s="72"/>
      <c r="D226" s="67"/>
      <c r="E226" s="68"/>
      <c r="F226" s="68"/>
      <c r="G226" s="68"/>
      <c r="H226" s="70"/>
      <c r="I226" s="69"/>
      <c r="J226" s="69"/>
      <c r="K226" s="67"/>
      <c r="L226" s="69"/>
      <c r="M226" s="69"/>
      <c r="N226" s="68"/>
      <c r="O226" s="74"/>
    </row>
    <row r="227" spans="2:15" x14ac:dyDescent="0.25">
      <c r="B227" s="76"/>
      <c r="C227" s="72"/>
      <c r="D227" s="67"/>
      <c r="E227" s="68"/>
      <c r="F227" s="68"/>
      <c r="G227" s="68"/>
      <c r="H227" s="70"/>
      <c r="I227" s="69"/>
      <c r="J227" s="69"/>
      <c r="K227" s="67"/>
      <c r="L227" s="69"/>
      <c r="M227" s="69"/>
      <c r="N227" s="68"/>
      <c r="O227" s="74"/>
    </row>
    <row r="228" spans="2:15" x14ac:dyDescent="0.25">
      <c r="B228" s="76"/>
      <c r="C228" s="72"/>
      <c r="D228" s="67"/>
      <c r="E228" s="68"/>
      <c r="F228" s="68"/>
      <c r="G228" s="68"/>
      <c r="H228" s="70"/>
      <c r="I228" s="69"/>
      <c r="J228" s="69"/>
      <c r="K228" s="67"/>
      <c r="L228" s="69"/>
      <c r="M228" s="69"/>
      <c r="N228" s="68"/>
      <c r="O228" s="74"/>
    </row>
    <row r="229" spans="2:15" x14ac:dyDescent="0.25">
      <c r="B229" s="76"/>
      <c r="C229" s="72"/>
      <c r="D229" s="67"/>
      <c r="E229" s="68"/>
      <c r="F229" s="68"/>
      <c r="G229" s="68"/>
      <c r="H229" s="70"/>
      <c r="I229" s="69"/>
      <c r="J229" s="69"/>
      <c r="K229" s="67"/>
      <c r="L229" s="69"/>
      <c r="M229" s="69"/>
      <c r="N229" s="68"/>
      <c r="O229" s="74"/>
    </row>
    <row r="230" spans="2:15" x14ac:dyDescent="0.25">
      <c r="B230" s="76"/>
      <c r="C230" s="72"/>
      <c r="D230" s="67"/>
      <c r="E230" s="68"/>
      <c r="F230" s="68"/>
      <c r="G230" s="68"/>
      <c r="H230" s="70"/>
      <c r="I230" s="69"/>
      <c r="J230" s="69"/>
      <c r="K230" s="67"/>
      <c r="L230" s="69"/>
      <c r="M230" s="69"/>
      <c r="N230" s="68"/>
      <c r="O230" s="74"/>
    </row>
    <row r="231" spans="2:15" x14ac:dyDescent="0.25">
      <c r="B231" s="76"/>
      <c r="C231" s="72"/>
      <c r="D231" s="67"/>
      <c r="E231" s="68"/>
      <c r="F231" s="68"/>
      <c r="G231" s="68"/>
      <c r="H231" s="70"/>
      <c r="I231" s="69"/>
      <c r="J231" s="69"/>
      <c r="K231" s="67"/>
      <c r="L231" s="69"/>
      <c r="M231" s="69"/>
      <c r="N231" s="68"/>
      <c r="O231" s="74"/>
    </row>
    <row r="232" spans="2:15" x14ac:dyDescent="0.25">
      <c r="B232" s="76"/>
      <c r="C232" s="72"/>
      <c r="D232" s="67"/>
      <c r="E232" s="68"/>
      <c r="F232" s="68"/>
      <c r="G232" s="68"/>
      <c r="H232" s="70"/>
      <c r="I232" s="69"/>
      <c r="J232" s="69"/>
      <c r="K232" s="67"/>
      <c r="L232" s="69"/>
      <c r="M232" s="69"/>
      <c r="N232" s="68"/>
      <c r="O232" s="74"/>
    </row>
    <row r="233" spans="2:15" x14ac:dyDescent="0.25">
      <c r="B233" s="76"/>
      <c r="C233" s="72"/>
      <c r="D233" s="67"/>
      <c r="E233" s="68"/>
      <c r="F233" s="68"/>
      <c r="G233" s="68"/>
      <c r="H233" s="70"/>
      <c r="I233" s="69"/>
      <c r="J233" s="69"/>
      <c r="K233" s="67"/>
      <c r="L233" s="69"/>
      <c r="M233" s="69"/>
      <c r="N233" s="68"/>
      <c r="O233" s="74"/>
    </row>
    <row r="234" spans="2:15" x14ac:dyDescent="0.25">
      <c r="B234" s="76"/>
      <c r="C234" s="72"/>
      <c r="D234" s="67"/>
      <c r="E234" s="68"/>
      <c r="F234" s="68"/>
      <c r="G234" s="68"/>
      <c r="H234" s="70"/>
      <c r="I234" s="69"/>
      <c r="J234" s="69"/>
      <c r="K234" s="67"/>
      <c r="L234" s="69"/>
      <c r="M234" s="69"/>
      <c r="N234" s="68"/>
      <c r="O234" s="74"/>
    </row>
    <row r="235" spans="2:15" x14ac:dyDescent="0.25">
      <c r="B235" s="76"/>
      <c r="C235" s="72"/>
      <c r="D235" s="67"/>
      <c r="E235" s="68"/>
      <c r="F235" s="68"/>
      <c r="G235" s="68"/>
      <c r="H235" s="70"/>
      <c r="I235" s="69"/>
      <c r="J235" s="69"/>
      <c r="K235" s="67"/>
      <c r="L235" s="69"/>
      <c r="M235" s="69"/>
      <c r="N235" s="68"/>
      <c r="O235" s="74"/>
    </row>
    <row r="236" spans="2:15" x14ac:dyDescent="0.25">
      <c r="B236" s="76"/>
      <c r="C236" s="72"/>
      <c r="D236" s="67"/>
      <c r="E236" s="68"/>
      <c r="F236" s="68"/>
      <c r="G236" s="68"/>
      <c r="H236" s="70"/>
      <c r="I236" s="69"/>
      <c r="J236" s="69"/>
      <c r="K236" s="67"/>
      <c r="L236" s="69"/>
      <c r="M236" s="69"/>
      <c r="N236" s="68"/>
      <c r="O236" s="74"/>
    </row>
    <row r="237" spans="2:15" x14ac:dyDescent="0.25">
      <c r="B237" s="76"/>
      <c r="C237" s="72"/>
      <c r="D237" s="67"/>
      <c r="E237" s="68"/>
      <c r="F237" s="68"/>
      <c r="G237" s="68"/>
      <c r="H237" s="70"/>
      <c r="I237" s="69"/>
      <c r="J237" s="69"/>
      <c r="K237" s="67"/>
      <c r="L237" s="69"/>
      <c r="M237" s="69"/>
      <c r="N237" s="68"/>
      <c r="O237" s="74"/>
    </row>
    <row r="238" spans="2:15" x14ac:dyDescent="0.25">
      <c r="B238" s="76"/>
      <c r="C238" s="72"/>
      <c r="D238" s="67"/>
      <c r="E238" s="68"/>
      <c r="F238" s="68"/>
      <c r="G238" s="68"/>
      <c r="H238" s="70"/>
      <c r="I238" s="69"/>
      <c r="J238" s="69"/>
      <c r="K238" s="67"/>
      <c r="L238" s="69"/>
      <c r="M238" s="69"/>
      <c r="N238" s="68"/>
      <c r="O238" s="74"/>
    </row>
    <row r="239" spans="2:15" x14ac:dyDescent="0.25">
      <c r="B239" s="76"/>
      <c r="C239" s="72"/>
      <c r="D239" s="67"/>
      <c r="E239" s="68"/>
      <c r="F239" s="68"/>
      <c r="G239" s="68"/>
      <c r="H239" s="70"/>
      <c r="I239" s="69"/>
      <c r="J239" s="69"/>
      <c r="K239" s="67"/>
      <c r="L239" s="69"/>
      <c r="M239" s="69"/>
      <c r="N239" s="68"/>
      <c r="O239" s="74"/>
    </row>
    <row r="240" spans="2:15" x14ac:dyDescent="0.25">
      <c r="B240" s="76"/>
      <c r="C240" s="72"/>
      <c r="D240" s="67"/>
      <c r="E240" s="68"/>
      <c r="F240" s="68"/>
      <c r="G240" s="68"/>
      <c r="H240" s="70"/>
      <c r="I240" s="69"/>
      <c r="J240" s="69"/>
      <c r="K240" s="67"/>
      <c r="L240" s="69"/>
      <c r="M240" s="69"/>
      <c r="N240" s="68"/>
      <c r="O240" s="74"/>
    </row>
    <row r="241" spans="2:15" x14ac:dyDescent="0.25">
      <c r="B241" s="76"/>
      <c r="C241" s="72"/>
      <c r="D241" s="67"/>
      <c r="E241" s="68"/>
      <c r="F241" s="68"/>
      <c r="G241" s="68"/>
      <c r="H241" s="70"/>
      <c r="I241" s="69"/>
      <c r="J241" s="69"/>
      <c r="K241" s="67"/>
      <c r="L241" s="69"/>
      <c r="M241" s="69"/>
      <c r="N241" s="68"/>
      <c r="O241" s="74"/>
    </row>
    <row r="242" spans="2:15" x14ac:dyDescent="0.25">
      <c r="B242" s="76"/>
      <c r="C242" s="72"/>
      <c r="D242" s="67"/>
      <c r="E242" s="68"/>
      <c r="F242" s="68"/>
      <c r="G242" s="68"/>
      <c r="H242" s="70"/>
      <c r="I242" s="69"/>
      <c r="J242" s="69"/>
      <c r="K242" s="67"/>
      <c r="L242" s="69"/>
      <c r="M242" s="69"/>
      <c r="N242" s="68"/>
      <c r="O242" s="74"/>
    </row>
    <row r="243" spans="2:15" x14ac:dyDescent="0.25">
      <c r="B243" s="76"/>
      <c r="C243" s="72"/>
      <c r="D243" s="67"/>
      <c r="E243" s="68"/>
      <c r="F243" s="68"/>
      <c r="G243" s="68"/>
      <c r="H243" s="70"/>
      <c r="I243" s="69"/>
      <c r="J243" s="69"/>
      <c r="K243" s="67"/>
      <c r="L243" s="69"/>
      <c r="M243" s="69"/>
      <c r="N243" s="68"/>
      <c r="O243" s="74"/>
    </row>
    <row r="244" spans="2:15" x14ac:dyDescent="0.25">
      <c r="B244" s="76"/>
      <c r="C244" s="72"/>
      <c r="D244" s="67"/>
      <c r="E244" s="68"/>
      <c r="F244" s="68"/>
      <c r="G244" s="68"/>
      <c r="H244" s="70"/>
      <c r="I244" s="69"/>
      <c r="J244" s="69"/>
      <c r="K244" s="67"/>
      <c r="L244" s="69"/>
      <c r="M244" s="69"/>
      <c r="N244" s="68"/>
      <c r="O244" s="74"/>
    </row>
    <row r="245" spans="2:15" x14ac:dyDescent="0.25">
      <c r="B245" s="76"/>
      <c r="C245" s="72"/>
      <c r="D245" s="67"/>
      <c r="E245" s="68"/>
      <c r="F245" s="68"/>
      <c r="G245" s="68"/>
      <c r="H245" s="70"/>
      <c r="I245" s="69"/>
      <c r="J245" s="69"/>
      <c r="K245" s="67"/>
      <c r="L245" s="69"/>
      <c r="M245" s="69"/>
      <c r="N245" s="68"/>
      <c r="O245" s="74"/>
    </row>
    <row r="246" spans="2:15" x14ac:dyDescent="0.25">
      <c r="B246" s="76"/>
      <c r="C246" s="72"/>
      <c r="D246" s="67"/>
      <c r="E246" s="68"/>
      <c r="F246" s="68"/>
      <c r="G246" s="68"/>
      <c r="H246" s="70"/>
      <c r="I246" s="69"/>
      <c r="J246" s="69"/>
      <c r="K246" s="67"/>
      <c r="L246" s="69"/>
      <c r="M246" s="69"/>
      <c r="N246" s="68"/>
      <c r="O246" s="74"/>
    </row>
    <row r="247" spans="2:15" x14ac:dyDescent="0.25">
      <c r="B247" s="76"/>
      <c r="C247" s="72"/>
      <c r="D247" s="67"/>
      <c r="E247" s="68"/>
      <c r="F247" s="68"/>
      <c r="G247" s="68"/>
      <c r="H247" s="70"/>
      <c r="I247" s="69"/>
      <c r="J247" s="69"/>
      <c r="K247" s="67"/>
      <c r="L247" s="69"/>
      <c r="M247" s="69"/>
      <c r="N247" s="68"/>
      <c r="O247" s="74"/>
    </row>
    <row r="248" spans="2:15" x14ac:dyDescent="0.25">
      <c r="B248" s="76"/>
      <c r="C248" s="72"/>
      <c r="D248" s="67"/>
      <c r="E248" s="68"/>
      <c r="F248" s="68"/>
      <c r="G248" s="68"/>
      <c r="H248" s="70"/>
      <c r="I248" s="69"/>
      <c r="J248" s="69"/>
      <c r="K248" s="67"/>
      <c r="L248" s="69"/>
      <c r="M248" s="69"/>
      <c r="N248" s="68"/>
      <c r="O248" s="74"/>
    </row>
    <row r="249" spans="2:15" x14ac:dyDescent="0.25">
      <c r="B249" s="76"/>
      <c r="C249" s="72"/>
      <c r="D249" s="67"/>
      <c r="E249" s="68"/>
      <c r="F249" s="68"/>
      <c r="G249" s="68"/>
      <c r="H249" s="70"/>
      <c r="I249" s="69"/>
      <c r="J249" s="69"/>
      <c r="K249" s="67"/>
      <c r="L249" s="69"/>
      <c r="M249" s="69"/>
      <c r="N249" s="68"/>
      <c r="O249" s="74"/>
    </row>
    <row r="250" spans="2:15" x14ac:dyDescent="0.25">
      <c r="B250" s="76"/>
      <c r="C250" s="72"/>
      <c r="D250" s="67"/>
      <c r="E250" s="68"/>
      <c r="F250" s="68"/>
      <c r="G250" s="68"/>
      <c r="H250" s="70"/>
      <c r="I250" s="69"/>
      <c r="J250" s="69"/>
      <c r="K250" s="67"/>
      <c r="L250" s="69"/>
      <c r="M250" s="69"/>
      <c r="N250" s="68"/>
      <c r="O250" s="74"/>
    </row>
    <row r="251" spans="2:15" x14ac:dyDescent="0.25">
      <c r="B251" s="76"/>
      <c r="C251" s="72"/>
      <c r="D251" s="67"/>
      <c r="E251" s="68"/>
      <c r="F251" s="68"/>
      <c r="G251" s="68"/>
      <c r="H251" s="70"/>
      <c r="I251" s="69"/>
      <c r="J251" s="69"/>
      <c r="K251" s="67"/>
      <c r="L251" s="69"/>
      <c r="M251" s="69"/>
      <c r="N251" s="68"/>
      <c r="O251" s="74"/>
    </row>
    <row r="252" spans="2:15" x14ac:dyDescent="0.25">
      <c r="B252" s="76"/>
      <c r="C252" s="72"/>
      <c r="D252" s="67"/>
      <c r="E252" s="68"/>
      <c r="F252" s="68"/>
      <c r="G252" s="68"/>
      <c r="H252" s="70"/>
      <c r="I252" s="69"/>
      <c r="J252" s="69"/>
      <c r="K252" s="67"/>
      <c r="L252" s="69"/>
      <c r="M252" s="69"/>
      <c r="N252" s="68"/>
      <c r="O252" s="74"/>
    </row>
    <row r="253" spans="2:15" x14ac:dyDescent="0.25">
      <c r="B253" s="76"/>
      <c r="C253" s="72"/>
      <c r="D253" s="67"/>
      <c r="E253" s="68"/>
      <c r="F253" s="68"/>
      <c r="G253" s="68"/>
      <c r="H253" s="70"/>
      <c r="I253" s="69"/>
      <c r="J253" s="69"/>
      <c r="K253" s="67"/>
      <c r="L253" s="69"/>
      <c r="M253" s="69"/>
      <c r="N253" s="68"/>
      <c r="O253" s="74"/>
    </row>
    <row r="254" spans="2:15" x14ac:dyDescent="0.25">
      <c r="B254" s="76"/>
      <c r="C254" s="72"/>
      <c r="D254" s="67"/>
      <c r="E254" s="68"/>
      <c r="F254" s="68"/>
      <c r="G254" s="68"/>
      <c r="H254" s="70"/>
      <c r="I254" s="69"/>
      <c r="J254" s="69"/>
      <c r="K254" s="67"/>
      <c r="L254" s="69"/>
      <c r="M254" s="69"/>
      <c r="N254" s="68"/>
      <c r="O254" s="74"/>
    </row>
    <row r="255" spans="2:15" x14ac:dyDescent="0.25">
      <c r="B255" s="76"/>
      <c r="C255" s="72"/>
      <c r="D255" s="67"/>
      <c r="E255" s="68"/>
      <c r="F255" s="68"/>
      <c r="G255" s="68"/>
      <c r="H255" s="70"/>
      <c r="I255" s="69"/>
      <c r="J255" s="69"/>
      <c r="K255" s="67"/>
      <c r="L255" s="69"/>
      <c r="M255" s="69"/>
      <c r="N255" s="68"/>
      <c r="O255" s="74"/>
    </row>
    <row r="256" spans="2:15" x14ac:dyDescent="0.25">
      <c r="B256" s="76"/>
      <c r="C256" s="72"/>
      <c r="D256" s="67"/>
      <c r="E256" s="68"/>
      <c r="F256" s="68"/>
      <c r="G256" s="68"/>
      <c r="H256" s="70"/>
      <c r="I256" s="69"/>
      <c r="J256" s="69"/>
      <c r="K256" s="67"/>
      <c r="L256" s="69"/>
      <c r="M256" s="69"/>
      <c r="N256" s="68"/>
      <c r="O256" s="74"/>
    </row>
    <row r="257" spans="2:15" x14ac:dyDescent="0.25">
      <c r="B257" s="76"/>
      <c r="C257" s="72"/>
      <c r="D257" s="67"/>
      <c r="E257" s="68"/>
      <c r="F257" s="68"/>
      <c r="G257" s="68"/>
      <c r="H257" s="70"/>
      <c r="I257" s="69"/>
      <c r="J257" s="69"/>
      <c r="K257" s="67"/>
      <c r="L257" s="69"/>
      <c r="M257" s="69"/>
      <c r="N257" s="68"/>
      <c r="O257" s="74"/>
    </row>
    <row r="258" spans="2:15" x14ac:dyDescent="0.25">
      <c r="B258" s="76"/>
      <c r="C258" s="72"/>
      <c r="D258" s="67"/>
      <c r="E258" s="68"/>
      <c r="F258" s="68"/>
      <c r="G258" s="68"/>
      <c r="H258" s="70"/>
      <c r="I258" s="69"/>
      <c r="J258" s="69"/>
      <c r="K258" s="67"/>
      <c r="L258" s="69"/>
      <c r="M258" s="69"/>
      <c r="N258" s="68"/>
      <c r="O258" s="74"/>
    </row>
    <row r="259" spans="2:15" x14ac:dyDescent="0.25">
      <c r="B259" s="76"/>
      <c r="C259" s="72"/>
      <c r="D259" s="67"/>
      <c r="E259" s="68"/>
      <c r="F259" s="68"/>
      <c r="G259" s="68"/>
      <c r="H259" s="70"/>
      <c r="I259" s="69"/>
      <c r="J259" s="69"/>
      <c r="K259" s="67"/>
      <c r="L259" s="69"/>
      <c r="M259" s="69"/>
      <c r="N259" s="68"/>
      <c r="O259" s="74"/>
    </row>
    <row r="260" spans="2:15" x14ac:dyDescent="0.25">
      <c r="B260" s="76"/>
      <c r="C260" s="72"/>
      <c r="D260" s="67"/>
      <c r="E260" s="68"/>
      <c r="F260" s="68"/>
      <c r="G260" s="68"/>
      <c r="H260" s="70"/>
      <c r="I260" s="69"/>
      <c r="J260" s="69"/>
      <c r="K260" s="67"/>
      <c r="L260" s="69"/>
      <c r="M260" s="69"/>
      <c r="N260" s="68"/>
      <c r="O260" s="74"/>
    </row>
    <row r="261" spans="2:15" x14ac:dyDescent="0.25">
      <c r="B261" s="76"/>
      <c r="C261" s="72"/>
      <c r="D261" s="67"/>
      <c r="E261" s="68"/>
      <c r="F261" s="68"/>
      <c r="G261" s="68"/>
      <c r="H261" s="70"/>
      <c r="I261" s="69"/>
      <c r="J261" s="69"/>
      <c r="K261" s="67"/>
      <c r="L261" s="69"/>
      <c r="M261" s="69"/>
      <c r="N261" s="68"/>
      <c r="O261" s="74"/>
    </row>
    <row r="262" spans="2:15" x14ac:dyDescent="0.25">
      <c r="B262" s="76"/>
      <c r="C262" s="72"/>
      <c r="D262" s="67"/>
      <c r="E262" s="68"/>
      <c r="F262" s="68"/>
      <c r="G262" s="68"/>
      <c r="H262" s="70"/>
      <c r="I262" s="69"/>
      <c r="J262" s="69"/>
      <c r="K262" s="67"/>
      <c r="L262" s="69"/>
      <c r="M262" s="69"/>
      <c r="N262" s="68"/>
      <c r="O262" s="74"/>
    </row>
    <row r="263" spans="2:15" x14ac:dyDescent="0.25">
      <c r="B263" s="76"/>
      <c r="C263" s="72"/>
      <c r="D263" s="67"/>
      <c r="E263" s="68"/>
      <c r="F263" s="68"/>
      <c r="G263" s="68"/>
      <c r="H263" s="70"/>
      <c r="I263" s="69"/>
      <c r="J263" s="69"/>
      <c r="K263" s="67"/>
      <c r="L263" s="69"/>
      <c r="M263" s="69"/>
      <c r="N263" s="68"/>
      <c r="O263" s="74"/>
    </row>
    <row r="264" spans="2:15" x14ac:dyDescent="0.25">
      <c r="B264" s="76"/>
      <c r="C264" s="72"/>
      <c r="D264" s="67"/>
      <c r="E264" s="68"/>
      <c r="F264" s="68"/>
      <c r="G264" s="68"/>
      <c r="H264" s="70"/>
      <c r="I264" s="69"/>
      <c r="J264" s="69"/>
      <c r="K264" s="67"/>
      <c r="L264" s="69"/>
      <c r="M264" s="69"/>
      <c r="N264" s="68"/>
      <c r="O264" s="74"/>
    </row>
    <row r="265" spans="2:15" x14ac:dyDescent="0.25">
      <c r="B265" s="76"/>
      <c r="C265" s="72"/>
      <c r="D265" s="67"/>
      <c r="E265" s="68"/>
      <c r="F265" s="68"/>
      <c r="G265" s="68"/>
      <c r="H265" s="70"/>
      <c r="I265" s="69"/>
      <c r="J265" s="69"/>
      <c r="K265" s="67"/>
      <c r="L265" s="69"/>
      <c r="M265" s="69"/>
      <c r="N265" s="68"/>
      <c r="O265" s="74"/>
    </row>
    <row r="266" spans="2:15" x14ac:dyDescent="0.25">
      <c r="B266" s="76"/>
      <c r="C266" s="72"/>
      <c r="D266" s="67"/>
      <c r="E266" s="68"/>
      <c r="F266" s="68"/>
      <c r="G266" s="68"/>
      <c r="H266" s="70"/>
      <c r="I266" s="69"/>
      <c r="J266" s="69"/>
      <c r="K266" s="67"/>
      <c r="L266" s="69"/>
      <c r="M266" s="69"/>
      <c r="N266" s="68"/>
      <c r="O266" s="74"/>
    </row>
    <row r="267" spans="2:15" x14ac:dyDescent="0.25">
      <c r="B267" s="76"/>
      <c r="C267" s="72"/>
      <c r="D267" s="67"/>
      <c r="E267" s="68"/>
      <c r="F267" s="68"/>
      <c r="G267" s="68"/>
      <c r="H267" s="70"/>
      <c r="I267" s="69"/>
      <c r="J267" s="69"/>
      <c r="K267" s="67"/>
      <c r="L267" s="69"/>
      <c r="M267" s="69"/>
      <c r="N267" s="68"/>
      <c r="O267" s="74"/>
    </row>
    <row r="268" spans="2:15" x14ac:dyDescent="0.25">
      <c r="B268" s="76"/>
      <c r="C268" s="72"/>
      <c r="D268" s="67"/>
      <c r="E268" s="68"/>
      <c r="F268" s="68"/>
      <c r="G268" s="68"/>
      <c r="H268" s="70"/>
      <c r="I268" s="69"/>
      <c r="J268" s="69"/>
      <c r="K268" s="67"/>
      <c r="L268" s="69"/>
      <c r="M268" s="69"/>
      <c r="N268" s="68"/>
      <c r="O268" s="74"/>
    </row>
    <row r="269" spans="2:15" x14ac:dyDescent="0.25">
      <c r="B269" s="76"/>
      <c r="C269" s="72"/>
      <c r="D269" s="67"/>
      <c r="E269" s="68"/>
      <c r="F269" s="68"/>
      <c r="G269" s="68"/>
      <c r="H269" s="70"/>
      <c r="I269" s="69"/>
      <c r="J269" s="69"/>
      <c r="K269" s="67"/>
      <c r="L269" s="69"/>
      <c r="M269" s="69"/>
      <c r="N269" s="68"/>
      <c r="O269" s="74"/>
    </row>
    <row r="270" spans="2:15" x14ac:dyDescent="0.25">
      <c r="B270" s="76"/>
      <c r="C270" s="72"/>
      <c r="D270" s="67"/>
      <c r="E270" s="68"/>
      <c r="F270" s="68"/>
      <c r="G270" s="68"/>
      <c r="H270" s="70"/>
      <c r="I270" s="69"/>
      <c r="J270" s="69"/>
      <c r="K270" s="67"/>
      <c r="L270" s="69"/>
      <c r="M270" s="69"/>
      <c r="N270" s="68"/>
      <c r="O270" s="74"/>
    </row>
    <row r="271" spans="2:15" x14ac:dyDescent="0.25">
      <c r="B271" s="76"/>
      <c r="C271" s="72"/>
      <c r="D271" s="67"/>
      <c r="E271" s="68"/>
      <c r="F271" s="68"/>
      <c r="G271" s="68"/>
      <c r="H271" s="70"/>
      <c r="I271" s="69"/>
      <c r="J271" s="69"/>
      <c r="K271" s="67"/>
      <c r="L271" s="69"/>
      <c r="M271" s="69"/>
      <c r="N271" s="68"/>
      <c r="O271" s="74"/>
    </row>
    <row r="272" spans="2:15" x14ac:dyDescent="0.25">
      <c r="B272" s="76"/>
      <c r="C272" s="72"/>
      <c r="D272" s="67"/>
      <c r="E272" s="68"/>
      <c r="F272" s="68"/>
      <c r="G272" s="68"/>
      <c r="H272" s="70"/>
      <c r="I272" s="69"/>
      <c r="J272" s="69"/>
      <c r="K272" s="67"/>
      <c r="L272" s="69"/>
      <c r="M272" s="69"/>
      <c r="N272" s="68"/>
      <c r="O272" s="74"/>
    </row>
    <row r="273" spans="2:15" x14ac:dyDescent="0.25">
      <c r="B273" s="76"/>
      <c r="C273" s="72"/>
      <c r="D273" s="67"/>
      <c r="E273" s="68"/>
      <c r="F273" s="68"/>
      <c r="G273" s="68"/>
      <c r="H273" s="70"/>
      <c r="I273" s="69"/>
      <c r="J273" s="69"/>
      <c r="K273" s="67"/>
      <c r="L273" s="69"/>
      <c r="M273" s="69"/>
      <c r="N273" s="68"/>
      <c r="O273" s="74"/>
    </row>
    <row r="274" spans="2:15" x14ac:dyDescent="0.25">
      <c r="B274" s="76"/>
      <c r="C274" s="72"/>
      <c r="D274" s="67"/>
      <c r="E274" s="68"/>
      <c r="F274" s="68"/>
      <c r="G274" s="68"/>
      <c r="H274" s="70"/>
      <c r="I274" s="69"/>
      <c r="J274" s="69"/>
      <c r="K274" s="67"/>
      <c r="L274" s="69"/>
      <c r="M274" s="69"/>
      <c r="N274" s="68"/>
      <c r="O274" s="74"/>
    </row>
    <row r="275" spans="2:15" x14ac:dyDescent="0.25">
      <c r="B275" s="76"/>
      <c r="C275" s="72"/>
      <c r="D275" s="67"/>
      <c r="E275" s="68"/>
      <c r="F275" s="68"/>
      <c r="G275" s="68"/>
      <c r="H275" s="70"/>
      <c r="I275" s="69"/>
      <c r="J275" s="69"/>
      <c r="K275" s="67"/>
      <c r="L275" s="69"/>
      <c r="M275" s="69"/>
      <c r="N275" s="68"/>
      <c r="O275" s="74"/>
    </row>
    <row r="276" spans="2:15" x14ac:dyDescent="0.25">
      <c r="B276" s="76"/>
      <c r="C276" s="72"/>
      <c r="D276" s="67"/>
      <c r="E276" s="68"/>
      <c r="F276" s="68"/>
      <c r="G276" s="68"/>
      <c r="H276" s="70"/>
      <c r="I276" s="69"/>
      <c r="J276" s="69"/>
      <c r="K276" s="67"/>
      <c r="L276" s="69"/>
      <c r="M276" s="69"/>
      <c r="N276" s="68"/>
      <c r="O276" s="74"/>
    </row>
    <row r="277" spans="2:15" x14ac:dyDescent="0.25">
      <c r="B277" s="76"/>
      <c r="C277" s="72"/>
      <c r="D277" s="67"/>
      <c r="E277" s="68"/>
      <c r="F277" s="68"/>
      <c r="G277" s="68"/>
      <c r="H277" s="70"/>
      <c r="I277" s="69"/>
      <c r="J277" s="69"/>
      <c r="K277" s="67"/>
      <c r="L277" s="69"/>
      <c r="M277" s="69"/>
      <c r="N277" s="68"/>
      <c r="O277" s="74"/>
    </row>
    <row r="278" spans="2:15" x14ac:dyDescent="0.25">
      <c r="B278" s="76"/>
      <c r="C278" s="72"/>
      <c r="D278" s="67"/>
      <c r="E278" s="68"/>
      <c r="F278" s="68"/>
      <c r="G278" s="68"/>
      <c r="H278" s="70"/>
      <c r="I278" s="69"/>
      <c r="J278" s="69"/>
      <c r="K278" s="67"/>
      <c r="L278" s="69"/>
      <c r="M278" s="69"/>
      <c r="N278" s="68"/>
      <c r="O278" s="74"/>
    </row>
    <row r="279" spans="2:15" x14ac:dyDescent="0.25">
      <c r="B279" s="76"/>
      <c r="C279" s="72"/>
      <c r="D279" s="67"/>
      <c r="E279" s="68"/>
      <c r="F279" s="68"/>
      <c r="G279" s="68"/>
      <c r="H279" s="70"/>
      <c r="I279" s="69"/>
      <c r="J279" s="69"/>
      <c r="K279" s="67"/>
      <c r="L279" s="69"/>
      <c r="M279" s="69"/>
      <c r="N279" s="68"/>
      <c r="O279" s="74"/>
    </row>
    <row r="280" spans="2:15" x14ac:dyDescent="0.25">
      <c r="B280" s="76"/>
      <c r="C280" s="72"/>
      <c r="D280" s="67"/>
      <c r="E280" s="68"/>
      <c r="F280" s="68"/>
      <c r="G280" s="68"/>
      <c r="H280" s="70"/>
      <c r="I280" s="69"/>
      <c r="J280" s="69"/>
      <c r="K280" s="67"/>
      <c r="L280" s="69"/>
      <c r="M280" s="69"/>
      <c r="N280" s="68"/>
      <c r="O280" s="74"/>
    </row>
    <row r="281" spans="2:15" x14ac:dyDescent="0.25">
      <c r="B281" s="76"/>
      <c r="C281" s="72"/>
      <c r="D281" s="67"/>
      <c r="E281" s="68"/>
      <c r="F281" s="68"/>
      <c r="G281" s="68"/>
      <c r="H281" s="70"/>
      <c r="I281" s="69"/>
      <c r="J281" s="69"/>
      <c r="K281" s="67"/>
      <c r="L281" s="69"/>
      <c r="M281" s="69"/>
      <c r="N281" s="68"/>
      <c r="O281" s="74"/>
    </row>
    <row r="282" spans="2:15" x14ac:dyDescent="0.25">
      <c r="B282" s="76"/>
      <c r="C282" s="72"/>
      <c r="D282" s="67"/>
      <c r="E282" s="68"/>
      <c r="F282" s="68"/>
      <c r="G282" s="68"/>
      <c r="H282" s="70"/>
      <c r="I282" s="69"/>
      <c r="J282" s="69"/>
      <c r="K282" s="67"/>
      <c r="L282" s="69"/>
      <c r="M282" s="69"/>
      <c r="N282" s="68"/>
      <c r="O282" s="74"/>
    </row>
    <row r="283" spans="2:15" x14ac:dyDescent="0.25">
      <c r="B283" s="76"/>
      <c r="C283" s="72"/>
      <c r="D283" s="67"/>
      <c r="E283" s="68"/>
      <c r="F283" s="68"/>
      <c r="G283" s="68"/>
      <c r="H283" s="70"/>
      <c r="I283" s="69"/>
      <c r="J283" s="69"/>
      <c r="K283" s="67"/>
      <c r="L283" s="69"/>
      <c r="M283" s="69"/>
      <c r="N283" s="68"/>
      <c r="O283" s="74"/>
    </row>
    <row r="284" spans="2:15" x14ac:dyDescent="0.25">
      <c r="B284" s="76"/>
      <c r="C284" s="72"/>
      <c r="D284" s="67"/>
      <c r="E284" s="68"/>
      <c r="F284" s="68"/>
      <c r="G284" s="68"/>
      <c r="H284" s="70"/>
      <c r="I284" s="69"/>
      <c r="J284" s="69"/>
      <c r="K284" s="67"/>
      <c r="L284" s="69"/>
      <c r="M284" s="69"/>
      <c r="N284" s="68"/>
      <c r="O284" s="74"/>
    </row>
    <row r="285" spans="2:15" x14ac:dyDescent="0.25">
      <c r="B285" s="76"/>
      <c r="C285" s="72"/>
      <c r="D285" s="67"/>
      <c r="E285" s="68"/>
      <c r="F285" s="68"/>
      <c r="G285" s="68"/>
      <c r="H285" s="70"/>
      <c r="I285" s="69"/>
      <c r="J285" s="69"/>
      <c r="K285" s="67"/>
      <c r="L285" s="69"/>
      <c r="M285" s="69"/>
      <c r="N285" s="68"/>
      <c r="O285" s="74"/>
    </row>
    <row r="286" spans="2:15" x14ac:dyDescent="0.25">
      <c r="B286" s="76"/>
      <c r="C286" s="72"/>
      <c r="D286" s="67"/>
      <c r="E286" s="68"/>
      <c r="F286" s="68"/>
      <c r="G286" s="68"/>
      <c r="H286" s="70"/>
      <c r="I286" s="69"/>
      <c r="J286" s="69"/>
      <c r="K286" s="67"/>
      <c r="L286" s="69"/>
      <c r="M286" s="69"/>
      <c r="N286" s="68"/>
      <c r="O286" s="74"/>
    </row>
    <row r="287" spans="2:15" x14ac:dyDescent="0.25">
      <c r="B287" s="76"/>
      <c r="C287" s="72"/>
      <c r="D287" s="67"/>
      <c r="E287" s="68"/>
      <c r="F287" s="68"/>
      <c r="G287" s="68"/>
      <c r="H287" s="70"/>
      <c r="I287" s="69"/>
      <c r="J287" s="69"/>
      <c r="K287" s="67"/>
      <c r="L287" s="69"/>
      <c r="M287" s="69"/>
      <c r="N287" s="68"/>
      <c r="O287" s="74"/>
    </row>
    <row r="288" spans="2:15" x14ac:dyDescent="0.25">
      <c r="B288" s="76"/>
      <c r="C288" s="72"/>
      <c r="D288" s="67"/>
      <c r="E288" s="68"/>
      <c r="F288" s="68"/>
      <c r="G288" s="68"/>
      <c r="H288" s="70"/>
      <c r="I288" s="69"/>
      <c r="J288" s="69"/>
      <c r="K288" s="67"/>
      <c r="L288" s="69"/>
      <c r="M288" s="69"/>
      <c r="N288" s="68"/>
      <c r="O288" s="74"/>
    </row>
    <row r="289" spans="2:15" x14ac:dyDescent="0.25">
      <c r="B289" s="76"/>
      <c r="C289" s="72"/>
      <c r="D289" s="67"/>
      <c r="E289" s="68"/>
      <c r="F289" s="68"/>
      <c r="G289" s="68"/>
      <c r="H289" s="70"/>
      <c r="I289" s="69"/>
      <c r="J289" s="69"/>
      <c r="K289" s="67"/>
      <c r="L289" s="69"/>
      <c r="M289" s="69"/>
      <c r="N289" s="68"/>
      <c r="O289" s="74"/>
    </row>
    <row r="290" spans="2:15" x14ac:dyDescent="0.25">
      <c r="B290" s="76"/>
      <c r="C290" s="72"/>
      <c r="D290" s="67"/>
      <c r="E290" s="68"/>
      <c r="F290" s="68"/>
      <c r="G290" s="68"/>
      <c r="H290" s="70"/>
      <c r="I290" s="69"/>
      <c r="J290" s="69"/>
      <c r="K290" s="67"/>
      <c r="L290" s="69"/>
      <c r="M290" s="69"/>
      <c r="N290" s="68"/>
      <c r="O290" s="74"/>
    </row>
    <row r="291" spans="2:15" x14ac:dyDescent="0.25">
      <c r="B291" s="76"/>
      <c r="C291" s="72"/>
      <c r="D291" s="67"/>
      <c r="E291" s="68"/>
      <c r="F291" s="68"/>
      <c r="G291" s="68"/>
      <c r="H291" s="70"/>
      <c r="I291" s="69"/>
      <c r="J291" s="69"/>
      <c r="K291" s="67"/>
      <c r="L291" s="69"/>
      <c r="M291" s="69"/>
      <c r="N291" s="68"/>
      <c r="O291" s="74"/>
    </row>
    <row r="292" spans="2:15" x14ac:dyDescent="0.25">
      <c r="B292" s="76"/>
      <c r="C292" s="72"/>
      <c r="D292" s="67"/>
      <c r="E292" s="68"/>
      <c r="F292" s="68"/>
      <c r="G292" s="68"/>
      <c r="H292" s="70"/>
      <c r="I292" s="69"/>
      <c r="J292" s="69"/>
      <c r="K292" s="67"/>
      <c r="L292" s="69"/>
      <c r="M292" s="69"/>
      <c r="N292" s="68"/>
      <c r="O292" s="74"/>
    </row>
    <row r="293" spans="2:15" x14ac:dyDescent="0.25">
      <c r="B293" s="76"/>
      <c r="C293" s="72"/>
      <c r="D293" s="67"/>
      <c r="E293" s="68"/>
      <c r="F293" s="68"/>
      <c r="G293" s="68"/>
      <c r="H293" s="70"/>
      <c r="I293" s="69"/>
      <c r="J293" s="69"/>
      <c r="K293" s="67"/>
      <c r="L293" s="69"/>
      <c r="M293" s="69"/>
      <c r="N293" s="68"/>
      <c r="O293" s="74"/>
    </row>
    <row r="294" spans="2:15" x14ac:dyDescent="0.25">
      <c r="B294" s="76"/>
      <c r="C294" s="72"/>
      <c r="D294" s="67"/>
      <c r="E294" s="68"/>
      <c r="F294" s="68"/>
      <c r="G294" s="68"/>
      <c r="H294" s="70"/>
      <c r="I294" s="69"/>
      <c r="J294" s="69"/>
      <c r="K294" s="67"/>
      <c r="L294" s="69"/>
      <c r="M294" s="69"/>
      <c r="N294" s="68"/>
      <c r="O294" s="74"/>
    </row>
    <row r="295" spans="2:15" x14ac:dyDescent="0.25">
      <c r="B295" s="76"/>
      <c r="C295" s="72"/>
      <c r="D295" s="67"/>
      <c r="E295" s="68"/>
      <c r="F295" s="68"/>
      <c r="G295" s="68"/>
      <c r="H295" s="70"/>
      <c r="I295" s="69"/>
      <c r="J295" s="69"/>
      <c r="K295" s="67"/>
      <c r="L295" s="69"/>
      <c r="M295" s="69"/>
      <c r="N295" s="68"/>
      <c r="O295" s="74"/>
    </row>
    <row r="296" spans="2:15" x14ac:dyDescent="0.25">
      <c r="B296" s="76"/>
      <c r="C296" s="72"/>
      <c r="D296" s="67"/>
      <c r="E296" s="68"/>
      <c r="F296" s="68"/>
      <c r="G296" s="68"/>
      <c r="H296" s="70"/>
      <c r="I296" s="69"/>
      <c r="J296" s="69"/>
      <c r="K296" s="67"/>
      <c r="L296" s="69"/>
      <c r="M296" s="69"/>
      <c r="N296" s="68"/>
      <c r="O296" s="74"/>
    </row>
    <row r="297" spans="2:15" x14ac:dyDescent="0.25">
      <c r="B297" s="76"/>
      <c r="C297" s="72"/>
      <c r="D297" s="67"/>
      <c r="E297" s="68"/>
      <c r="F297" s="68"/>
      <c r="G297" s="68"/>
      <c r="H297" s="70"/>
      <c r="I297" s="69"/>
      <c r="J297" s="69"/>
      <c r="K297" s="67"/>
      <c r="L297" s="69"/>
      <c r="M297" s="69"/>
      <c r="N297" s="68"/>
      <c r="O297" s="74"/>
    </row>
    <row r="298" spans="2:15" x14ac:dyDescent="0.25">
      <c r="B298" s="76"/>
      <c r="C298" s="72"/>
      <c r="D298" s="67"/>
      <c r="E298" s="68"/>
      <c r="F298" s="68"/>
      <c r="G298" s="68"/>
      <c r="H298" s="70"/>
      <c r="I298" s="69"/>
      <c r="J298" s="69"/>
      <c r="K298" s="67"/>
      <c r="L298" s="69"/>
      <c r="M298" s="69"/>
      <c r="N298" s="68"/>
      <c r="O298" s="74"/>
    </row>
    <row r="299" spans="2:15" x14ac:dyDescent="0.25">
      <c r="B299" s="76"/>
      <c r="C299" s="72"/>
      <c r="D299" s="67"/>
      <c r="E299" s="68"/>
      <c r="F299" s="68"/>
      <c r="G299" s="68"/>
      <c r="H299" s="70"/>
      <c r="I299" s="69"/>
      <c r="J299" s="69"/>
      <c r="K299" s="67"/>
      <c r="L299" s="69"/>
      <c r="M299" s="69"/>
      <c r="N299" s="68"/>
      <c r="O299" s="74"/>
    </row>
    <row r="300" spans="2:15" x14ac:dyDescent="0.25">
      <c r="B300" s="76"/>
      <c r="C300" s="72"/>
      <c r="D300" s="67"/>
      <c r="E300" s="68"/>
      <c r="F300" s="68"/>
      <c r="G300" s="68"/>
      <c r="H300" s="70"/>
      <c r="I300" s="69"/>
      <c r="J300" s="69"/>
      <c r="K300" s="67"/>
      <c r="L300" s="69"/>
      <c r="M300" s="69"/>
      <c r="N300" s="68"/>
      <c r="O300" s="74"/>
    </row>
    <row r="301" spans="2:15" x14ac:dyDescent="0.25">
      <c r="B301" s="76"/>
      <c r="C301" s="72"/>
      <c r="D301" s="67"/>
      <c r="E301" s="68"/>
      <c r="F301" s="68"/>
      <c r="G301" s="68"/>
      <c r="H301" s="70"/>
      <c r="I301" s="69"/>
      <c r="J301" s="69"/>
      <c r="K301" s="67"/>
      <c r="L301" s="69"/>
      <c r="M301" s="69"/>
      <c r="N301" s="68"/>
      <c r="O301" s="74"/>
    </row>
    <row r="302" spans="2:15" x14ac:dyDescent="0.25">
      <c r="B302" s="76"/>
      <c r="C302" s="72"/>
      <c r="D302" s="67"/>
      <c r="E302" s="68"/>
      <c r="F302" s="68"/>
      <c r="G302" s="68"/>
      <c r="H302" s="70"/>
      <c r="I302" s="69"/>
      <c r="J302" s="69"/>
      <c r="K302" s="67"/>
      <c r="L302" s="69"/>
      <c r="M302" s="69"/>
      <c r="N302" s="68"/>
      <c r="O302" s="74"/>
    </row>
    <row r="303" spans="2:15" x14ac:dyDescent="0.25">
      <c r="B303" s="76"/>
      <c r="C303" s="72"/>
      <c r="D303" s="67"/>
      <c r="E303" s="68"/>
      <c r="F303" s="68"/>
      <c r="G303" s="68"/>
      <c r="H303" s="70"/>
      <c r="I303" s="69"/>
      <c r="J303" s="69"/>
      <c r="K303" s="67"/>
      <c r="L303" s="69"/>
      <c r="M303" s="69"/>
      <c r="N303" s="68"/>
      <c r="O303" s="74"/>
    </row>
    <row r="304" spans="2:15" x14ac:dyDescent="0.25">
      <c r="B304" s="76"/>
      <c r="C304" s="72"/>
      <c r="D304" s="67"/>
      <c r="E304" s="68"/>
      <c r="F304" s="68"/>
      <c r="G304" s="68"/>
      <c r="H304" s="70"/>
      <c r="I304" s="69"/>
      <c r="J304" s="69"/>
      <c r="K304" s="67"/>
      <c r="L304" s="69"/>
      <c r="M304" s="69"/>
      <c r="N304" s="68"/>
      <c r="O304" s="74"/>
    </row>
    <row r="305" spans="2:15" x14ac:dyDescent="0.25">
      <c r="B305" s="76"/>
      <c r="C305" s="72"/>
      <c r="D305" s="67"/>
      <c r="E305" s="68"/>
      <c r="F305" s="68"/>
      <c r="G305" s="68"/>
      <c r="H305" s="70"/>
      <c r="I305" s="69"/>
      <c r="J305" s="69"/>
      <c r="K305" s="67"/>
      <c r="L305" s="69"/>
      <c r="M305" s="69"/>
      <c r="N305" s="68"/>
      <c r="O305" s="74"/>
    </row>
    <row r="306" spans="2:15" x14ac:dyDescent="0.25">
      <c r="B306" s="76"/>
      <c r="C306" s="72"/>
      <c r="D306" s="67"/>
      <c r="E306" s="68"/>
      <c r="F306" s="68"/>
      <c r="G306" s="68"/>
      <c r="H306" s="70"/>
      <c r="I306" s="69"/>
      <c r="J306" s="69"/>
      <c r="K306" s="67"/>
      <c r="L306" s="69"/>
      <c r="M306" s="69"/>
      <c r="N306" s="68"/>
      <c r="O306" s="74"/>
    </row>
    <row r="307" spans="2:15" x14ac:dyDescent="0.25">
      <c r="B307" s="76"/>
      <c r="C307" s="72"/>
      <c r="D307" s="67"/>
      <c r="E307" s="68"/>
      <c r="F307" s="68"/>
      <c r="G307" s="68"/>
      <c r="H307" s="70"/>
      <c r="I307" s="69"/>
      <c r="J307" s="69"/>
      <c r="K307" s="67"/>
      <c r="L307" s="69"/>
      <c r="M307" s="69"/>
      <c r="N307" s="68"/>
      <c r="O307" s="74"/>
    </row>
    <row r="308" spans="2:15" x14ac:dyDescent="0.25">
      <c r="B308" s="76"/>
      <c r="C308" s="72"/>
      <c r="D308" s="67"/>
      <c r="E308" s="68"/>
      <c r="F308" s="68"/>
      <c r="G308" s="68"/>
      <c r="H308" s="70"/>
      <c r="I308" s="69"/>
      <c r="J308" s="69"/>
      <c r="K308" s="67"/>
      <c r="L308" s="69"/>
      <c r="M308" s="69"/>
      <c r="N308" s="68"/>
      <c r="O308" s="74"/>
    </row>
    <row r="309" spans="2:15" x14ac:dyDescent="0.25">
      <c r="B309" s="76"/>
      <c r="C309" s="72"/>
      <c r="D309" s="67"/>
      <c r="E309" s="68"/>
      <c r="F309" s="68"/>
      <c r="G309" s="68"/>
      <c r="H309" s="70"/>
      <c r="I309" s="69"/>
      <c r="J309" s="69"/>
      <c r="K309" s="67"/>
      <c r="L309" s="69"/>
      <c r="M309" s="69"/>
      <c r="N309" s="68"/>
      <c r="O309" s="74"/>
    </row>
    <row r="310" spans="2:15" x14ac:dyDescent="0.25">
      <c r="B310" s="76"/>
      <c r="C310" s="72"/>
      <c r="D310" s="67"/>
      <c r="E310" s="68"/>
      <c r="F310" s="68"/>
      <c r="G310" s="68"/>
      <c r="H310" s="70"/>
      <c r="I310" s="69"/>
      <c r="J310" s="69"/>
      <c r="K310" s="67"/>
      <c r="L310" s="69"/>
      <c r="M310" s="69"/>
      <c r="N310" s="68"/>
      <c r="O310" s="74"/>
    </row>
    <row r="311" spans="2:15" x14ac:dyDescent="0.25">
      <c r="B311" s="76"/>
      <c r="C311" s="72"/>
      <c r="D311" s="67"/>
      <c r="E311" s="68"/>
      <c r="F311" s="68"/>
      <c r="G311" s="68"/>
      <c r="H311" s="70"/>
      <c r="I311" s="69"/>
      <c r="J311" s="69"/>
      <c r="K311" s="67"/>
      <c r="L311" s="69"/>
      <c r="M311" s="69"/>
      <c r="N311" s="68"/>
      <c r="O311" s="74"/>
    </row>
    <row r="312" spans="2:15" x14ac:dyDescent="0.25">
      <c r="B312" s="76"/>
      <c r="C312" s="72"/>
      <c r="D312" s="67"/>
      <c r="E312" s="68"/>
      <c r="F312" s="68"/>
      <c r="G312" s="68"/>
      <c r="H312" s="70"/>
      <c r="I312" s="69"/>
      <c r="J312" s="69"/>
      <c r="K312" s="67"/>
      <c r="L312" s="69"/>
      <c r="M312" s="69"/>
      <c r="N312" s="68"/>
      <c r="O312" s="74"/>
    </row>
    <row r="313" spans="2:15" x14ac:dyDescent="0.25">
      <c r="B313" s="76"/>
      <c r="C313" s="72"/>
      <c r="D313" s="67"/>
      <c r="E313" s="68"/>
      <c r="F313" s="68"/>
      <c r="G313" s="68"/>
      <c r="H313" s="70"/>
      <c r="I313" s="69"/>
      <c r="J313" s="69"/>
      <c r="K313" s="67"/>
      <c r="L313" s="69"/>
      <c r="M313" s="69"/>
      <c r="N313" s="68"/>
      <c r="O313" s="74"/>
    </row>
    <row r="314" spans="2:15" x14ac:dyDescent="0.25">
      <c r="B314" s="76"/>
      <c r="C314" s="72"/>
      <c r="D314" s="67"/>
      <c r="E314" s="68"/>
      <c r="F314" s="68"/>
      <c r="G314" s="68"/>
      <c r="H314" s="70"/>
      <c r="I314" s="69"/>
      <c r="J314" s="69"/>
      <c r="K314" s="67"/>
      <c r="L314" s="69"/>
      <c r="M314" s="69"/>
      <c r="N314" s="68"/>
      <c r="O314" s="74"/>
    </row>
    <row r="315" spans="2:15" x14ac:dyDescent="0.25">
      <c r="B315" s="76"/>
      <c r="C315" s="72"/>
      <c r="D315" s="67"/>
      <c r="E315" s="68"/>
      <c r="F315" s="68"/>
      <c r="G315" s="68"/>
      <c r="H315" s="70"/>
      <c r="I315" s="69"/>
      <c r="J315" s="69"/>
      <c r="K315" s="67"/>
      <c r="L315" s="69"/>
      <c r="M315" s="69"/>
      <c r="N315" s="68"/>
      <c r="O315" s="74"/>
    </row>
    <row r="316" spans="2:15" x14ac:dyDescent="0.25">
      <c r="B316" s="76"/>
      <c r="C316" s="72"/>
      <c r="D316" s="67"/>
      <c r="E316" s="68"/>
      <c r="F316" s="68"/>
      <c r="G316" s="68"/>
      <c r="H316" s="70"/>
      <c r="I316" s="69"/>
      <c r="J316" s="69"/>
      <c r="K316" s="67"/>
      <c r="L316" s="69"/>
      <c r="M316" s="69"/>
      <c r="N316" s="68"/>
      <c r="O316" s="74"/>
    </row>
    <row r="317" spans="2:15" x14ac:dyDescent="0.25">
      <c r="B317" s="76"/>
      <c r="C317" s="72"/>
      <c r="D317" s="67"/>
      <c r="E317" s="68"/>
      <c r="F317" s="68"/>
      <c r="G317" s="68"/>
      <c r="H317" s="70"/>
      <c r="I317" s="69"/>
      <c r="J317" s="69"/>
      <c r="K317" s="67"/>
      <c r="L317" s="69"/>
      <c r="M317" s="69"/>
      <c r="N317" s="68"/>
      <c r="O317" s="74"/>
    </row>
    <row r="318" spans="2:15" x14ac:dyDescent="0.25">
      <c r="B318" s="76"/>
      <c r="C318" s="72"/>
      <c r="D318" s="67"/>
      <c r="E318" s="68"/>
      <c r="F318" s="68"/>
      <c r="G318" s="68"/>
      <c r="H318" s="70"/>
      <c r="I318" s="69"/>
      <c r="J318" s="69"/>
      <c r="K318" s="67"/>
      <c r="L318" s="69"/>
      <c r="M318" s="69"/>
      <c r="N318" s="68"/>
      <c r="O318" s="74"/>
    </row>
    <row r="319" spans="2:15" x14ac:dyDescent="0.25">
      <c r="B319" s="76"/>
      <c r="C319" s="72"/>
      <c r="D319" s="67"/>
      <c r="E319" s="68"/>
      <c r="F319" s="68"/>
      <c r="G319" s="68"/>
      <c r="H319" s="70"/>
      <c r="I319" s="69"/>
      <c r="J319" s="69"/>
      <c r="K319" s="67"/>
      <c r="L319" s="69"/>
      <c r="M319" s="69"/>
      <c r="N319" s="68"/>
      <c r="O319" s="74"/>
    </row>
    <row r="320" spans="2:15" x14ac:dyDescent="0.25">
      <c r="B320" s="76"/>
      <c r="C320" s="72"/>
      <c r="D320" s="67"/>
      <c r="E320" s="68"/>
      <c r="F320" s="68"/>
      <c r="G320" s="68"/>
      <c r="H320" s="70"/>
      <c r="I320" s="69"/>
      <c r="J320" s="69"/>
      <c r="K320" s="67"/>
      <c r="L320" s="69"/>
      <c r="M320" s="69"/>
      <c r="N320" s="68"/>
      <c r="O320" s="74"/>
    </row>
    <row r="321" spans="2:15" x14ac:dyDescent="0.25">
      <c r="B321" s="76"/>
      <c r="C321" s="72"/>
      <c r="D321" s="67"/>
      <c r="E321" s="68"/>
      <c r="F321" s="68"/>
      <c r="G321" s="68"/>
      <c r="H321" s="70"/>
      <c r="I321" s="69"/>
      <c r="J321" s="69"/>
      <c r="K321" s="67"/>
      <c r="L321" s="69"/>
      <c r="M321" s="69"/>
      <c r="N321" s="68"/>
      <c r="O321" s="74"/>
    </row>
    <row r="322" spans="2:15" x14ac:dyDescent="0.25">
      <c r="B322" s="76"/>
      <c r="C322" s="72"/>
      <c r="D322" s="67"/>
      <c r="E322" s="68"/>
      <c r="F322" s="68"/>
      <c r="G322" s="68"/>
      <c r="H322" s="70"/>
      <c r="I322" s="69"/>
      <c r="J322" s="69"/>
      <c r="K322" s="67"/>
      <c r="L322" s="69"/>
      <c r="M322" s="69"/>
      <c r="N322" s="68"/>
      <c r="O322" s="74"/>
    </row>
    <row r="323" spans="2:15" x14ac:dyDescent="0.25">
      <c r="B323" s="76"/>
      <c r="C323" s="72"/>
      <c r="D323" s="67"/>
      <c r="E323" s="68"/>
      <c r="F323" s="68"/>
      <c r="G323" s="68"/>
      <c r="H323" s="70"/>
      <c r="I323" s="69"/>
      <c r="J323" s="69"/>
      <c r="K323" s="67"/>
      <c r="L323" s="69"/>
      <c r="M323" s="69"/>
      <c r="N323" s="68"/>
      <c r="O323" s="74"/>
    </row>
    <row r="324" spans="2:15" x14ac:dyDescent="0.25">
      <c r="B324" s="76"/>
      <c r="C324" s="72"/>
      <c r="D324" s="67"/>
      <c r="E324" s="68"/>
      <c r="F324" s="68"/>
      <c r="G324" s="68"/>
      <c r="H324" s="70"/>
      <c r="I324" s="69"/>
      <c r="J324" s="69"/>
      <c r="K324" s="67"/>
      <c r="L324" s="69"/>
      <c r="M324" s="69"/>
      <c r="N324" s="68"/>
      <c r="O324" s="74"/>
    </row>
    <row r="325" spans="2:15" x14ac:dyDescent="0.25">
      <c r="B325" s="76"/>
      <c r="C325" s="72"/>
      <c r="D325" s="67"/>
      <c r="E325" s="68"/>
      <c r="F325" s="68"/>
      <c r="G325" s="68"/>
      <c r="H325" s="70"/>
      <c r="I325" s="69"/>
      <c r="J325" s="69"/>
      <c r="K325" s="67"/>
      <c r="L325" s="69"/>
      <c r="M325" s="69"/>
      <c r="N325" s="68"/>
      <c r="O325" s="74"/>
    </row>
    <row r="326" spans="2:15" x14ac:dyDescent="0.25">
      <c r="B326" s="76"/>
      <c r="C326" s="72"/>
      <c r="D326" s="67"/>
      <c r="E326" s="68"/>
      <c r="F326" s="68"/>
      <c r="G326" s="68"/>
      <c r="H326" s="70"/>
      <c r="I326" s="69"/>
      <c r="J326" s="69"/>
      <c r="K326" s="67"/>
      <c r="L326" s="69"/>
      <c r="M326" s="69"/>
      <c r="N326" s="68"/>
      <c r="O326" s="74"/>
    </row>
    <row r="327" spans="2:15" x14ac:dyDescent="0.25">
      <c r="B327" s="76"/>
      <c r="C327" s="72"/>
      <c r="D327" s="67"/>
      <c r="E327" s="68"/>
      <c r="F327" s="68"/>
      <c r="G327" s="68"/>
      <c r="H327" s="70"/>
      <c r="I327" s="69"/>
      <c r="J327" s="69"/>
      <c r="K327" s="67"/>
      <c r="L327" s="69"/>
      <c r="M327" s="69"/>
      <c r="N327" s="68"/>
      <c r="O327" s="74"/>
    </row>
    <row r="328" spans="2:15" x14ac:dyDescent="0.25">
      <c r="B328" s="76"/>
      <c r="C328" s="72"/>
      <c r="D328" s="67"/>
      <c r="E328" s="68"/>
      <c r="F328" s="68"/>
      <c r="G328" s="68"/>
      <c r="H328" s="70"/>
      <c r="I328" s="69"/>
      <c r="J328" s="69"/>
      <c r="K328" s="67"/>
      <c r="L328" s="69"/>
      <c r="M328" s="69"/>
      <c r="N328" s="68"/>
      <c r="O328" s="74"/>
    </row>
    <row r="329" spans="2:15" x14ac:dyDescent="0.25">
      <c r="B329" s="76"/>
      <c r="C329" s="72"/>
      <c r="D329" s="67"/>
      <c r="E329" s="68"/>
      <c r="F329" s="68"/>
      <c r="G329" s="68"/>
      <c r="H329" s="70"/>
      <c r="I329" s="69"/>
      <c r="J329" s="69"/>
      <c r="K329" s="67"/>
      <c r="L329" s="69"/>
      <c r="M329" s="69"/>
      <c r="N329" s="68"/>
      <c r="O329" s="74"/>
    </row>
    <row r="330" spans="2:15" x14ac:dyDescent="0.25">
      <c r="B330" s="76"/>
      <c r="C330" s="72"/>
      <c r="D330" s="67"/>
      <c r="E330" s="68"/>
      <c r="F330" s="68"/>
      <c r="G330" s="68"/>
      <c r="H330" s="70"/>
      <c r="I330" s="69"/>
      <c r="J330" s="69"/>
      <c r="K330" s="67"/>
      <c r="L330" s="69"/>
      <c r="M330" s="69"/>
      <c r="N330" s="68"/>
      <c r="O330" s="74"/>
    </row>
    <row r="331" spans="2:15" x14ac:dyDescent="0.25">
      <c r="B331" s="76"/>
      <c r="C331" s="72"/>
      <c r="D331" s="67"/>
      <c r="E331" s="68"/>
      <c r="F331" s="68"/>
      <c r="G331" s="68"/>
      <c r="H331" s="70"/>
      <c r="I331" s="69"/>
      <c r="J331" s="69"/>
      <c r="K331" s="67"/>
      <c r="L331" s="69"/>
      <c r="M331" s="69"/>
      <c r="N331" s="68"/>
      <c r="O331" s="74"/>
    </row>
    <row r="332" spans="2:15" x14ac:dyDescent="0.25">
      <c r="B332" s="76"/>
      <c r="C332" s="72"/>
      <c r="D332" s="67"/>
      <c r="E332" s="68"/>
      <c r="F332" s="68"/>
      <c r="G332" s="68"/>
      <c r="H332" s="70"/>
      <c r="I332" s="69"/>
      <c r="J332" s="69"/>
      <c r="K332" s="67"/>
      <c r="L332" s="69"/>
      <c r="M332" s="69"/>
      <c r="N332" s="68"/>
      <c r="O332" s="74"/>
    </row>
    <row r="333" spans="2:15" x14ac:dyDescent="0.25">
      <c r="B333" s="76"/>
      <c r="C333" s="72"/>
      <c r="D333" s="67"/>
      <c r="E333" s="68"/>
      <c r="F333" s="68"/>
      <c r="G333" s="68"/>
      <c r="H333" s="70"/>
      <c r="I333" s="69"/>
      <c r="J333" s="69"/>
      <c r="K333" s="67"/>
      <c r="L333" s="69"/>
      <c r="M333" s="69"/>
      <c r="N333" s="68"/>
      <c r="O333" s="74"/>
    </row>
    <row r="334" spans="2:15" x14ac:dyDescent="0.25">
      <c r="B334" s="76"/>
      <c r="C334" s="72"/>
      <c r="D334" s="67"/>
      <c r="E334" s="68"/>
      <c r="F334" s="68"/>
      <c r="G334" s="68"/>
      <c r="H334" s="70"/>
      <c r="I334" s="69"/>
      <c r="J334" s="69"/>
      <c r="K334" s="67"/>
      <c r="L334" s="69"/>
      <c r="M334" s="69"/>
      <c r="N334" s="68"/>
      <c r="O334" s="74"/>
    </row>
    <row r="335" spans="2:15" x14ac:dyDescent="0.25">
      <c r="B335" s="76"/>
      <c r="C335" s="72"/>
      <c r="D335" s="67"/>
      <c r="E335" s="68"/>
      <c r="F335" s="68"/>
      <c r="G335" s="68"/>
      <c r="H335" s="70"/>
      <c r="I335" s="69"/>
      <c r="J335" s="69"/>
      <c r="K335" s="67"/>
      <c r="L335" s="69"/>
      <c r="M335" s="69"/>
      <c r="N335" s="68"/>
      <c r="O335" s="74"/>
    </row>
    <row r="336" spans="2:15" x14ac:dyDescent="0.25">
      <c r="B336" s="76"/>
      <c r="C336" s="72"/>
      <c r="D336" s="67"/>
      <c r="E336" s="68"/>
      <c r="F336" s="68"/>
      <c r="G336" s="68"/>
      <c r="H336" s="70"/>
      <c r="I336" s="69"/>
      <c r="J336" s="69"/>
      <c r="K336" s="67"/>
      <c r="L336" s="69"/>
      <c r="M336" s="69"/>
      <c r="N336" s="68"/>
      <c r="O336" s="74"/>
    </row>
    <row r="337" spans="2:15" x14ac:dyDescent="0.25">
      <c r="B337" s="76"/>
      <c r="C337" s="72"/>
      <c r="D337" s="67"/>
      <c r="E337" s="68"/>
      <c r="F337" s="68"/>
      <c r="G337" s="68"/>
      <c r="H337" s="70"/>
      <c r="I337" s="69"/>
      <c r="J337" s="69"/>
      <c r="K337" s="67"/>
      <c r="L337" s="69"/>
      <c r="M337" s="69"/>
      <c r="N337" s="68"/>
      <c r="O337" s="74"/>
    </row>
    <row r="338" spans="2:15" x14ac:dyDescent="0.25">
      <c r="B338" s="76"/>
      <c r="C338" s="72"/>
      <c r="D338" s="67"/>
      <c r="E338" s="68"/>
      <c r="F338" s="68"/>
      <c r="G338" s="68"/>
      <c r="H338" s="70"/>
      <c r="I338" s="69"/>
      <c r="J338" s="69"/>
      <c r="K338" s="67"/>
      <c r="L338" s="69"/>
      <c r="M338" s="69"/>
      <c r="N338" s="68"/>
      <c r="O338" s="74"/>
    </row>
    <row r="339" spans="2:15" x14ac:dyDescent="0.25">
      <c r="B339" s="76"/>
      <c r="C339" s="72"/>
      <c r="D339" s="67"/>
      <c r="E339" s="68"/>
      <c r="F339" s="68"/>
      <c r="G339" s="68"/>
      <c r="H339" s="70"/>
      <c r="I339" s="69"/>
      <c r="J339" s="69"/>
      <c r="K339" s="67"/>
      <c r="L339" s="69"/>
      <c r="M339" s="69"/>
      <c r="N339" s="68"/>
      <c r="O339" s="74"/>
    </row>
    <row r="340" spans="2:15" x14ac:dyDescent="0.25">
      <c r="B340" s="76"/>
      <c r="C340" s="72"/>
      <c r="D340" s="67"/>
      <c r="E340" s="68"/>
      <c r="F340" s="68"/>
      <c r="G340" s="68"/>
      <c r="H340" s="70"/>
      <c r="I340" s="69"/>
      <c r="J340" s="69"/>
      <c r="K340" s="67"/>
      <c r="L340" s="69"/>
      <c r="M340" s="69"/>
      <c r="N340" s="68"/>
      <c r="O340" s="74"/>
    </row>
    <row r="341" spans="2:15" x14ac:dyDescent="0.25">
      <c r="B341" s="76"/>
      <c r="C341" s="72"/>
      <c r="D341" s="67"/>
      <c r="E341" s="68"/>
      <c r="F341" s="68"/>
      <c r="G341" s="68"/>
      <c r="H341" s="70"/>
      <c r="I341" s="69"/>
      <c r="J341" s="69"/>
      <c r="K341" s="67"/>
      <c r="L341" s="69"/>
      <c r="M341" s="69"/>
      <c r="N341" s="68"/>
      <c r="O341" s="74"/>
    </row>
    <row r="342" spans="2:15" x14ac:dyDescent="0.25">
      <c r="B342" s="76"/>
      <c r="C342" s="72"/>
      <c r="D342" s="67"/>
      <c r="E342" s="68"/>
      <c r="F342" s="68"/>
      <c r="G342" s="68"/>
      <c r="H342" s="70"/>
      <c r="I342" s="69"/>
      <c r="J342" s="69"/>
      <c r="K342" s="67"/>
      <c r="L342" s="69"/>
      <c r="M342" s="69"/>
      <c r="N342" s="68"/>
      <c r="O342" s="74"/>
    </row>
    <row r="343" spans="2:15" x14ac:dyDescent="0.25">
      <c r="B343" s="76"/>
      <c r="C343" s="72"/>
      <c r="D343" s="67"/>
      <c r="E343" s="68"/>
      <c r="F343" s="68"/>
      <c r="G343" s="68"/>
      <c r="H343" s="70"/>
      <c r="I343" s="69"/>
      <c r="J343" s="69"/>
      <c r="K343" s="67"/>
      <c r="L343" s="69"/>
      <c r="M343" s="69"/>
      <c r="N343" s="68"/>
      <c r="O343" s="74"/>
    </row>
    <row r="344" spans="2:15" x14ac:dyDescent="0.25">
      <c r="B344" s="76"/>
      <c r="C344" s="72"/>
      <c r="D344" s="67"/>
      <c r="E344" s="68"/>
      <c r="F344" s="68"/>
      <c r="G344" s="68"/>
      <c r="H344" s="70"/>
      <c r="I344" s="69"/>
      <c r="J344" s="69"/>
      <c r="K344" s="67"/>
      <c r="L344" s="69"/>
      <c r="M344" s="69"/>
      <c r="N344" s="68"/>
      <c r="O344" s="74"/>
    </row>
    <row r="345" spans="2:15" x14ac:dyDescent="0.25">
      <c r="B345" s="76"/>
      <c r="C345" s="72"/>
      <c r="D345" s="67"/>
      <c r="E345" s="68"/>
      <c r="F345" s="68"/>
      <c r="G345" s="68"/>
      <c r="H345" s="70"/>
      <c r="I345" s="69"/>
      <c r="J345" s="69"/>
      <c r="K345" s="67"/>
      <c r="L345" s="69"/>
      <c r="M345" s="69"/>
      <c r="N345" s="68"/>
      <c r="O345" s="74"/>
    </row>
    <row r="346" spans="2:15" x14ac:dyDescent="0.25">
      <c r="B346" s="76"/>
      <c r="C346" s="72"/>
      <c r="D346" s="67"/>
      <c r="E346" s="68"/>
      <c r="F346" s="68"/>
      <c r="G346" s="68"/>
      <c r="H346" s="70"/>
      <c r="I346" s="69"/>
      <c r="J346" s="69"/>
      <c r="K346" s="67"/>
      <c r="L346" s="69"/>
      <c r="M346" s="69"/>
      <c r="N346" s="68"/>
      <c r="O346" s="74"/>
    </row>
    <row r="347" spans="2:15" x14ac:dyDescent="0.25">
      <c r="B347" s="76"/>
      <c r="C347" s="72"/>
      <c r="D347" s="67"/>
      <c r="E347" s="68"/>
      <c r="F347" s="68"/>
      <c r="G347" s="68"/>
      <c r="H347" s="70"/>
      <c r="I347" s="69"/>
      <c r="J347" s="69"/>
      <c r="K347" s="67"/>
      <c r="L347" s="69"/>
      <c r="M347" s="69"/>
      <c r="N347" s="68"/>
      <c r="O347" s="74"/>
    </row>
    <row r="348" spans="2:15" x14ac:dyDescent="0.25">
      <c r="B348" s="76"/>
      <c r="C348" s="72"/>
      <c r="D348" s="67"/>
      <c r="E348" s="68"/>
      <c r="F348" s="68"/>
      <c r="G348" s="68"/>
      <c r="H348" s="70"/>
      <c r="I348" s="69"/>
      <c r="J348" s="69"/>
      <c r="K348" s="67"/>
      <c r="L348" s="69"/>
      <c r="M348" s="69"/>
      <c r="N348" s="68"/>
      <c r="O348" s="74"/>
    </row>
    <row r="349" spans="2:15" x14ac:dyDescent="0.25">
      <c r="B349" s="76"/>
      <c r="C349" s="72"/>
      <c r="D349" s="67"/>
      <c r="E349" s="68"/>
      <c r="F349" s="68"/>
      <c r="G349" s="68"/>
      <c r="H349" s="70"/>
      <c r="I349" s="69"/>
      <c r="J349" s="69"/>
      <c r="K349" s="67"/>
      <c r="L349" s="69"/>
      <c r="M349" s="69"/>
      <c r="N349" s="68"/>
      <c r="O349" s="74"/>
    </row>
    <row r="350" spans="2:15" x14ac:dyDescent="0.25">
      <c r="B350" s="76"/>
      <c r="C350" s="72"/>
      <c r="D350" s="67"/>
      <c r="E350" s="68"/>
      <c r="F350" s="68"/>
      <c r="G350" s="68"/>
      <c r="H350" s="70"/>
      <c r="I350" s="69"/>
      <c r="J350" s="69"/>
      <c r="K350" s="67"/>
      <c r="L350" s="69"/>
      <c r="M350" s="69"/>
      <c r="N350" s="68"/>
      <c r="O350" s="74"/>
    </row>
    <row r="351" spans="2:15" x14ac:dyDescent="0.25">
      <c r="B351" s="76"/>
      <c r="C351" s="72"/>
      <c r="D351" s="67"/>
      <c r="E351" s="68"/>
      <c r="F351" s="68"/>
      <c r="G351" s="68"/>
      <c r="H351" s="70"/>
      <c r="I351" s="69"/>
      <c r="J351" s="69"/>
      <c r="K351" s="67"/>
      <c r="L351" s="69"/>
      <c r="M351" s="69"/>
      <c r="N351" s="68"/>
      <c r="O351" s="74"/>
    </row>
    <row r="352" spans="2:15" x14ac:dyDescent="0.25">
      <c r="B352" s="76"/>
      <c r="C352" s="72"/>
      <c r="D352" s="67"/>
      <c r="E352" s="68"/>
      <c r="F352" s="68"/>
      <c r="G352" s="68"/>
      <c r="H352" s="70"/>
      <c r="I352" s="69"/>
      <c r="J352" s="69"/>
      <c r="K352" s="67"/>
      <c r="L352" s="69"/>
      <c r="M352" s="69"/>
      <c r="N352" s="68"/>
      <c r="O352" s="74"/>
    </row>
    <row r="353" spans="2:15" x14ac:dyDescent="0.25">
      <c r="B353" s="76"/>
      <c r="C353" s="72"/>
      <c r="D353" s="67"/>
      <c r="E353" s="68"/>
      <c r="F353" s="68"/>
      <c r="G353" s="68"/>
      <c r="H353" s="70"/>
      <c r="I353" s="69"/>
      <c r="J353" s="69"/>
      <c r="K353" s="67"/>
      <c r="L353" s="69"/>
      <c r="M353" s="69"/>
      <c r="N353" s="68"/>
      <c r="O353" s="74"/>
    </row>
    <row r="354" spans="2:15" x14ac:dyDescent="0.25">
      <c r="B354" s="76"/>
      <c r="C354" s="72"/>
      <c r="D354" s="67"/>
      <c r="E354" s="68"/>
      <c r="F354" s="68"/>
      <c r="G354" s="68"/>
      <c r="H354" s="70"/>
      <c r="I354" s="69"/>
      <c r="J354" s="69"/>
      <c r="K354" s="67"/>
      <c r="L354" s="69"/>
      <c r="M354" s="69"/>
      <c r="N354" s="68"/>
      <c r="O354" s="74"/>
    </row>
    <row r="355" spans="2:15" x14ac:dyDescent="0.25">
      <c r="B355" s="76"/>
      <c r="C355" s="72"/>
      <c r="D355" s="67"/>
      <c r="E355" s="68"/>
      <c r="F355" s="68"/>
      <c r="G355" s="68"/>
      <c r="H355" s="70"/>
      <c r="I355" s="69"/>
      <c r="J355" s="69"/>
      <c r="K355" s="67"/>
      <c r="L355" s="69"/>
      <c r="M355" s="69"/>
      <c r="N355" s="68"/>
      <c r="O355" s="74"/>
    </row>
    <row r="356" spans="2:15" x14ac:dyDescent="0.25">
      <c r="B356" s="76"/>
      <c r="C356" s="72"/>
      <c r="D356" s="67"/>
      <c r="E356" s="68"/>
      <c r="F356" s="68"/>
      <c r="G356" s="68"/>
      <c r="H356" s="70"/>
      <c r="I356" s="69"/>
      <c r="J356" s="69"/>
      <c r="K356" s="67"/>
      <c r="L356" s="69"/>
      <c r="M356" s="69"/>
      <c r="N356" s="68"/>
      <c r="O356" s="74"/>
    </row>
    <row r="357" spans="2:15" x14ac:dyDescent="0.25">
      <c r="B357" s="76"/>
      <c r="C357" s="72"/>
      <c r="D357" s="67"/>
      <c r="E357" s="68"/>
      <c r="F357" s="68"/>
      <c r="G357" s="68"/>
      <c r="H357" s="70"/>
      <c r="I357" s="69"/>
      <c r="J357" s="69"/>
      <c r="K357" s="67"/>
      <c r="L357" s="69"/>
      <c r="M357" s="69"/>
      <c r="N357" s="68"/>
      <c r="O357" s="74"/>
    </row>
    <row r="358" spans="2:15" x14ac:dyDescent="0.25">
      <c r="B358" s="76"/>
      <c r="C358" s="72"/>
      <c r="D358" s="67"/>
      <c r="E358" s="68"/>
      <c r="F358" s="68"/>
      <c r="G358" s="68"/>
      <c r="H358" s="70"/>
      <c r="I358" s="69"/>
      <c r="J358" s="69"/>
      <c r="K358" s="67"/>
      <c r="L358" s="69"/>
      <c r="M358" s="69"/>
      <c r="N358" s="68"/>
      <c r="O358" s="74"/>
    </row>
    <row r="359" spans="2:15" x14ac:dyDescent="0.25">
      <c r="B359" s="76"/>
      <c r="C359" s="72"/>
      <c r="D359" s="67"/>
      <c r="E359" s="68"/>
      <c r="F359" s="68"/>
      <c r="G359" s="68"/>
      <c r="H359" s="70"/>
      <c r="I359" s="69"/>
      <c r="J359" s="69"/>
      <c r="K359" s="67"/>
      <c r="L359" s="69"/>
      <c r="M359" s="69"/>
      <c r="N359" s="68"/>
      <c r="O359" s="74"/>
    </row>
    <row r="360" spans="2:15" x14ac:dyDescent="0.25">
      <c r="B360" s="76"/>
      <c r="C360" s="72"/>
      <c r="D360" s="67"/>
      <c r="E360" s="68"/>
      <c r="F360" s="68"/>
      <c r="G360" s="68"/>
      <c r="H360" s="70"/>
      <c r="I360" s="69"/>
      <c r="J360" s="69"/>
      <c r="K360" s="67"/>
      <c r="L360" s="69"/>
      <c r="M360" s="69"/>
      <c r="N360" s="68"/>
      <c r="O360" s="74"/>
    </row>
    <row r="361" spans="2:15" x14ac:dyDescent="0.25">
      <c r="B361" s="76"/>
      <c r="C361" s="72"/>
      <c r="D361" s="67"/>
      <c r="E361" s="68"/>
      <c r="F361" s="68"/>
      <c r="G361" s="68"/>
      <c r="H361" s="70"/>
      <c r="I361" s="69"/>
      <c r="J361" s="69"/>
      <c r="K361" s="67"/>
      <c r="L361" s="69"/>
      <c r="M361" s="69"/>
      <c r="N361" s="68"/>
      <c r="O361" s="74"/>
    </row>
    <row r="362" spans="2:15" x14ac:dyDescent="0.25">
      <c r="B362" s="76"/>
      <c r="C362" s="72"/>
      <c r="D362" s="67"/>
      <c r="E362" s="68"/>
      <c r="F362" s="68"/>
      <c r="G362" s="68"/>
      <c r="H362" s="70"/>
      <c r="I362" s="69"/>
      <c r="J362" s="69"/>
      <c r="K362" s="67"/>
      <c r="L362" s="69"/>
      <c r="M362" s="69"/>
      <c r="N362" s="68"/>
      <c r="O362" s="74"/>
    </row>
    <row r="363" spans="2:15" x14ac:dyDescent="0.25">
      <c r="B363" s="76"/>
      <c r="C363" s="72"/>
      <c r="D363" s="67"/>
      <c r="E363" s="68"/>
      <c r="F363" s="68"/>
      <c r="G363" s="68"/>
      <c r="H363" s="70"/>
      <c r="I363" s="69"/>
      <c r="J363" s="69"/>
      <c r="K363" s="67"/>
      <c r="L363" s="69"/>
      <c r="M363" s="69"/>
      <c r="N363" s="68"/>
      <c r="O363" s="74"/>
    </row>
    <row r="364" spans="2:15" x14ac:dyDescent="0.25">
      <c r="B364" s="76"/>
      <c r="C364" s="72"/>
      <c r="D364" s="67"/>
      <c r="E364" s="68"/>
      <c r="F364" s="68"/>
      <c r="G364" s="68"/>
      <c r="H364" s="70"/>
      <c r="I364" s="69"/>
      <c r="J364" s="69"/>
      <c r="K364" s="67"/>
      <c r="L364" s="69"/>
      <c r="M364" s="69"/>
      <c r="N364" s="68"/>
      <c r="O364" s="74"/>
    </row>
    <row r="365" spans="2:15" x14ac:dyDescent="0.25">
      <c r="B365" s="76"/>
      <c r="C365" s="72"/>
      <c r="D365" s="67"/>
      <c r="E365" s="68"/>
      <c r="F365" s="68"/>
      <c r="G365" s="68"/>
      <c r="H365" s="70"/>
      <c r="I365" s="69"/>
      <c r="J365" s="69"/>
      <c r="K365" s="67"/>
      <c r="L365" s="69"/>
      <c r="M365" s="69"/>
      <c r="N365" s="68"/>
      <c r="O365" s="74"/>
    </row>
    <row r="366" spans="2:15" x14ac:dyDescent="0.25">
      <c r="B366" s="76"/>
      <c r="C366" s="72"/>
      <c r="D366" s="67"/>
      <c r="E366" s="68"/>
      <c r="F366" s="68"/>
      <c r="G366" s="68"/>
      <c r="H366" s="70"/>
      <c r="I366" s="69"/>
      <c r="J366" s="69"/>
      <c r="K366" s="67"/>
      <c r="L366" s="69"/>
      <c r="M366" s="69"/>
      <c r="N366" s="68"/>
      <c r="O366" s="74"/>
    </row>
    <row r="367" spans="2:15" x14ac:dyDescent="0.25">
      <c r="B367" s="76"/>
      <c r="C367" s="72"/>
      <c r="D367" s="67"/>
      <c r="E367" s="68"/>
      <c r="F367" s="68"/>
      <c r="G367" s="68"/>
      <c r="H367" s="70"/>
      <c r="I367" s="69"/>
      <c r="J367" s="69"/>
      <c r="K367" s="67"/>
      <c r="L367" s="69"/>
      <c r="M367" s="69"/>
      <c r="N367" s="68"/>
      <c r="O367" s="74"/>
    </row>
    <row r="368" spans="2:15" x14ac:dyDescent="0.25">
      <c r="B368" s="76"/>
      <c r="C368" s="72"/>
      <c r="D368" s="67"/>
      <c r="E368" s="68"/>
      <c r="F368" s="68"/>
      <c r="G368" s="68"/>
      <c r="H368" s="70"/>
      <c r="I368" s="69"/>
      <c r="J368" s="69"/>
      <c r="K368" s="67"/>
      <c r="L368" s="69"/>
      <c r="M368" s="69"/>
      <c r="N368" s="68"/>
      <c r="O368" s="74"/>
    </row>
    <row r="369" spans="2:15" x14ac:dyDescent="0.25">
      <c r="B369" s="76"/>
      <c r="C369" s="72"/>
      <c r="D369" s="67"/>
      <c r="E369" s="68"/>
      <c r="F369" s="68"/>
      <c r="G369" s="68"/>
      <c r="H369" s="70"/>
      <c r="I369" s="69"/>
      <c r="J369" s="69"/>
      <c r="K369" s="67"/>
      <c r="L369" s="69"/>
      <c r="M369" s="69"/>
      <c r="N369" s="68"/>
      <c r="O369" s="74"/>
    </row>
    <row r="370" spans="2:15" x14ac:dyDescent="0.25">
      <c r="B370" s="76"/>
      <c r="C370" s="72"/>
      <c r="D370" s="67"/>
      <c r="E370" s="68"/>
      <c r="F370" s="68"/>
      <c r="G370" s="68"/>
      <c r="H370" s="70"/>
      <c r="I370" s="69"/>
      <c r="J370" s="69"/>
      <c r="K370" s="67"/>
      <c r="L370" s="69"/>
      <c r="M370" s="69"/>
      <c r="N370" s="68"/>
      <c r="O370" s="74"/>
    </row>
    <row r="371" spans="2:15" x14ac:dyDescent="0.25">
      <c r="B371" s="76"/>
      <c r="C371" s="72"/>
      <c r="D371" s="67"/>
      <c r="E371" s="68"/>
      <c r="F371" s="68"/>
      <c r="G371" s="68"/>
      <c r="H371" s="70"/>
      <c r="I371" s="69"/>
      <c r="J371" s="69"/>
      <c r="K371" s="67"/>
      <c r="L371" s="69"/>
      <c r="M371" s="69"/>
      <c r="N371" s="68"/>
      <c r="O371" s="74"/>
    </row>
    <row r="372" spans="2:15" x14ac:dyDescent="0.25">
      <c r="B372" s="76"/>
      <c r="C372" s="72"/>
      <c r="D372" s="67"/>
      <c r="E372" s="68"/>
      <c r="F372" s="68"/>
      <c r="G372" s="68"/>
      <c r="H372" s="70"/>
      <c r="I372" s="69"/>
      <c r="J372" s="69"/>
      <c r="K372" s="67"/>
      <c r="L372" s="69"/>
      <c r="M372" s="69"/>
      <c r="N372" s="68"/>
      <c r="O372" s="74"/>
    </row>
    <row r="373" spans="2:15" x14ac:dyDescent="0.25">
      <c r="B373" s="76"/>
      <c r="C373" s="72"/>
      <c r="D373" s="67"/>
      <c r="E373" s="68"/>
      <c r="F373" s="68"/>
      <c r="G373" s="68"/>
      <c r="H373" s="70"/>
      <c r="I373" s="69"/>
      <c r="J373" s="69"/>
      <c r="K373" s="67"/>
      <c r="L373" s="69"/>
      <c r="M373" s="69"/>
      <c r="N373" s="68"/>
      <c r="O373" s="74"/>
    </row>
    <row r="374" spans="2:15" x14ac:dyDescent="0.25">
      <c r="B374" s="76"/>
      <c r="C374" s="72"/>
      <c r="D374" s="67"/>
      <c r="E374" s="68"/>
      <c r="F374" s="68"/>
      <c r="G374" s="68"/>
      <c r="H374" s="70"/>
      <c r="I374" s="69"/>
      <c r="J374" s="69"/>
      <c r="K374" s="67"/>
      <c r="L374" s="69"/>
      <c r="M374" s="69"/>
      <c r="N374" s="68"/>
      <c r="O374" s="74"/>
    </row>
    <row r="375" spans="2:15" x14ac:dyDescent="0.25">
      <c r="B375" s="76"/>
      <c r="C375" s="72"/>
      <c r="D375" s="67"/>
      <c r="E375" s="68"/>
      <c r="F375" s="68"/>
      <c r="G375" s="68"/>
      <c r="H375" s="70"/>
      <c r="I375" s="69"/>
      <c r="J375" s="69"/>
      <c r="K375" s="67"/>
      <c r="L375" s="69"/>
      <c r="M375" s="69"/>
      <c r="N375" s="68"/>
      <c r="O375" s="74"/>
    </row>
    <row r="376" spans="2:15" x14ac:dyDescent="0.25">
      <c r="B376" s="76"/>
      <c r="C376" s="72"/>
      <c r="D376" s="67"/>
      <c r="E376" s="68"/>
      <c r="F376" s="68"/>
      <c r="G376" s="68"/>
      <c r="H376" s="70"/>
      <c r="I376" s="69"/>
      <c r="J376" s="69"/>
      <c r="K376" s="67"/>
      <c r="L376" s="69"/>
      <c r="M376" s="69"/>
      <c r="N376" s="68"/>
      <c r="O376" s="74"/>
    </row>
    <row r="377" spans="2:15" x14ac:dyDescent="0.25">
      <c r="B377" s="76"/>
      <c r="C377" s="72"/>
      <c r="D377" s="67"/>
      <c r="E377" s="68"/>
      <c r="F377" s="68"/>
      <c r="G377" s="68"/>
      <c r="H377" s="70"/>
      <c r="I377" s="69"/>
      <c r="J377" s="69"/>
      <c r="K377" s="67"/>
      <c r="L377" s="69"/>
      <c r="M377" s="69"/>
      <c r="N377" s="68"/>
      <c r="O377" s="74"/>
    </row>
    <row r="378" spans="2:15" x14ac:dyDescent="0.25">
      <c r="B378" s="76"/>
      <c r="C378" s="72"/>
      <c r="D378" s="67"/>
      <c r="E378" s="68"/>
      <c r="F378" s="68"/>
      <c r="G378" s="68"/>
      <c r="H378" s="70"/>
      <c r="I378" s="69"/>
      <c r="J378" s="69"/>
      <c r="K378" s="67"/>
      <c r="L378" s="69"/>
      <c r="M378" s="69"/>
      <c r="N378" s="68"/>
      <c r="O378" s="74"/>
    </row>
    <row r="379" spans="2:15" x14ac:dyDescent="0.25">
      <c r="B379" s="76"/>
      <c r="C379" s="72"/>
      <c r="D379" s="67"/>
      <c r="E379" s="68"/>
      <c r="F379" s="68"/>
      <c r="G379" s="68"/>
      <c r="H379" s="70"/>
      <c r="I379" s="69"/>
      <c r="J379" s="69"/>
      <c r="K379" s="67"/>
      <c r="L379" s="69"/>
      <c r="M379" s="69"/>
      <c r="N379" s="68"/>
      <c r="O379" s="74"/>
    </row>
    <row r="380" spans="2:15" x14ac:dyDescent="0.25">
      <c r="B380" s="76"/>
      <c r="C380" s="72"/>
      <c r="D380" s="67"/>
      <c r="E380" s="68"/>
      <c r="F380" s="68"/>
      <c r="G380" s="68"/>
      <c r="H380" s="70"/>
      <c r="I380" s="69"/>
      <c r="J380" s="69"/>
      <c r="K380" s="67"/>
      <c r="L380" s="69"/>
      <c r="M380" s="69"/>
      <c r="N380" s="68"/>
      <c r="O380" s="74"/>
    </row>
    <row r="381" spans="2:15" x14ac:dyDescent="0.25">
      <c r="B381" s="76"/>
      <c r="C381" s="72"/>
      <c r="D381" s="67"/>
      <c r="E381" s="68"/>
      <c r="F381" s="68"/>
      <c r="G381" s="68"/>
      <c r="H381" s="70"/>
      <c r="I381" s="69"/>
      <c r="J381" s="69"/>
      <c r="K381" s="67"/>
      <c r="L381" s="69"/>
      <c r="M381" s="69"/>
      <c r="N381" s="68"/>
      <c r="O381" s="74"/>
    </row>
    <row r="382" spans="2:15" x14ac:dyDescent="0.25">
      <c r="B382" s="76"/>
      <c r="C382" s="72"/>
      <c r="D382" s="67"/>
      <c r="E382" s="68"/>
      <c r="F382" s="68"/>
      <c r="G382" s="68"/>
      <c r="H382" s="70"/>
      <c r="I382" s="69"/>
      <c r="J382" s="69"/>
      <c r="K382" s="67"/>
      <c r="L382" s="69"/>
      <c r="M382" s="69"/>
      <c r="N382" s="68"/>
      <c r="O382" s="74"/>
    </row>
    <row r="383" spans="2:15" x14ac:dyDescent="0.25">
      <c r="B383" s="76"/>
      <c r="C383" s="72"/>
      <c r="D383" s="67"/>
      <c r="E383" s="68"/>
      <c r="F383" s="68"/>
      <c r="G383" s="68"/>
      <c r="H383" s="70"/>
      <c r="I383" s="69"/>
      <c r="J383" s="69"/>
      <c r="K383" s="67"/>
      <c r="L383" s="69"/>
      <c r="M383" s="69"/>
      <c r="N383" s="68"/>
      <c r="O383" s="74"/>
    </row>
    <row r="384" spans="2:15" x14ac:dyDescent="0.25">
      <c r="B384" s="76"/>
      <c r="C384" s="72"/>
      <c r="D384" s="67"/>
      <c r="E384" s="68"/>
      <c r="F384" s="68"/>
      <c r="G384" s="68"/>
      <c r="H384" s="70"/>
      <c r="I384" s="69"/>
      <c r="J384" s="69"/>
      <c r="K384" s="67"/>
      <c r="L384" s="69"/>
      <c r="M384" s="69"/>
      <c r="N384" s="68"/>
      <c r="O384" s="74"/>
    </row>
    <row r="385" spans="2:15" x14ac:dyDescent="0.25">
      <c r="B385" s="76"/>
      <c r="C385" s="72"/>
      <c r="D385" s="67"/>
      <c r="E385" s="68"/>
      <c r="F385" s="68"/>
      <c r="G385" s="68"/>
      <c r="H385" s="70"/>
      <c r="I385" s="69"/>
      <c r="J385" s="69"/>
      <c r="K385" s="67"/>
      <c r="L385" s="69"/>
      <c r="M385" s="69"/>
      <c r="N385" s="68"/>
      <c r="O385" s="74"/>
    </row>
    <row r="386" spans="2:15" x14ac:dyDescent="0.25">
      <c r="B386" s="76"/>
      <c r="C386" s="72"/>
      <c r="D386" s="67"/>
      <c r="E386" s="68"/>
      <c r="F386" s="68"/>
      <c r="G386" s="68"/>
      <c r="H386" s="70"/>
      <c r="I386" s="69"/>
      <c r="J386" s="69"/>
      <c r="K386" s="67"/>
      <c r="L386" s="69"/>
      <c r="M386" s="69"/>
      <c r="N386" s="68"/>
      <c r="O386" s="74"/>
    </row>
    <row r="387" spans="2:15" x14ac:dyDescent="0.25">
      <c r="B387" s="76"/>
      <c r="C387" s="72"/>
      <c r="D387" s="67"/>
      <c r="E387" s="68"/>
      <c r="F387" s="68"/>
      <c r="G387" s="68"/>
      <c r="H387" s="70"/>
      <c r="I387" s="69"/>
      <c r="J387" s="69"/>
      <c r="K387" s="67"/>
      <c r="L387" s="69"/>
      <c r="M387" s="69"/>
      <c r="N387" s="68"/>
      <c r="O387" s="74"/>
    </row>
    <row r="388" spans="2:15" x14ac:dyDescent="0.25">
      <c r="B388" s="76"/>
      <c r="C388" s="72"/>
      <c r="D388" s="67"/>
      <c r="E388" s="68"/>
      <c r="F388" s="68"/>
      <c r="G388" s="68"/>
      <c r="H388" s="70"/>
      <c r="I388" s="69"/>
      <c r="J388" s="69"/>
      <c r="K388" s="67"/>
      <c r="L388" s="69"/>
      <c r="M388" s="69"/>
      <c r="N388" s="68"/>
      <c r="O388" s="74"/>
    </row>
    <row r="389" spans="2:15" x14ac:dyDescent="0.25">
      <c r="B389" s="76"/>
      <c r="C389" s="72"/>
      <c r="D389" s="67"/>
      <c r="E389" s="68"/>
      <c r="F389" s="68"/>
      <c r="G389" s="68"/>
      <c r="H389" s="70"/>
      <c r="I389" s="69"/>
      <c r="J389" s="69"/>
      <c r="K389" s="67"/>
      <c r="L389" s="69"/>
      <c r="M389" s="69"/>
      <c r="N389" s="68"/>
      <c r="O389" s="74"/>
    </row>
    <row r="390" spans="2:15" x14ac:dyDescent="0.25">
      <c r="B390" s="76"/>
      <c r="C390" s="72"/>
      <c r="D390" s="67"/>
      <c r="E390" s="68"/>
      <c r="F390" s="68"/>
      <c r="G390" s="68"/>
      <c r="H390" s="70"/>
      <c r="I390" s="69"/>
      <c r="J390" s="69"/>
      <c r="K390" s="67"/>
      <c r="L390" s="69"/>
      <c r="M390" s="69"/>
      <c r="N390" s="68"/>
      <c r="O390" s="74"/>
    </row>
    <row r="391" spans="2:15" x14ac:dyDescent="0.25">
      <c r="B391" s="76"/>
      <c r="C391" s="72"/>
      <c r="D391" s="67"/>
      <c r="E391" s="68"/>
      <c r="F391" s="68"/>
      <c r="G391" s="68"/>
      <c r="H391" s="70"/>
      <c r="I391" s="69"/>
      <c r="J391" s="69"/>
      <c r="K391" s="67"/>
      <c r="L391" s="69"/>
      <c r="M391" s="69"/>
      <c r="N391" s="68"/>
      <c r="O391" s="74"/>
    </row>
    <row r="392" spans="2:15" x14ac:dyDescent="0.25">
      <c r="B392" s="76"/>
      <c r="C392" s="72"/>
      <c r="D392" s="67"/>
      <c r="E392" s="68"/>
      <c r="F392" s="68"/>
      <c r="G392" s="68"/>
      <c r="H392" s="70"/>
      <c r="I392" s="69"/>
      <c r="J392" s="69"/>
      <c r="K392" s="67"/>
      <c r="L392" s="69"/>
      <c r="M392" s="69"/>
      <c r="N392" s="68"/>
      <c r="O392" s="74"/>
    </row>
    <row r="393" spans="2:15" x14ac:dyDescent="0.25">
      <c r="B393" s="76"/>
      <c r="C393" s="72"/>
      <c r="D393" s="67"/>
      <c r="E393" s="68"/>
      <c r="F393" s="68"/>
      <c r="G393" s="68"/>
      <c r="H393" s="70"/>
      <c r="I393" s="69"/>
      <c r="J393" s="69"/>
      <c r="K393" s="67"/>
      <c r="L393" s="69"/>
      <c r="M393" s="69"/>
      <c r="N393" s="68"/>
      <c r="O393" s="74"/>
    </row>
    <row r="394" spans="2:15" x14ac:dyDescent="0.25">
      <c r="B394" s="76"/>
      <c r="C394" s="72"/>
      <c r="D394" s="67"/>
      <c r="E394" s="68"/>
      <c r="F394" s="68"/>
      <c r="G394" s="68"/>
      <c r="H394" s="70"/>
      <c r="I394" s="69"/>
      <c r="J394" s="69"/>
      <c r="K394" s="67"/>
      <c r="L394" s="69"/>
      <c r="M394" s="69"/>
      <c r="N394" s="68"/>
      <c r="O394" s="74"/>
    </row>
    <row r="395" spans="2:15" x14ac:dyDescent="0.25">
      <c r="B395" s="76"/>
      <c r="C395" s="72"/>
      <c r="D395" s="67"/>
      <c r="E395" s="68"/>
      <c r="F395" s="68"/>
      <c r="G395" s="68"/>
      <c r="H395" s="70"/>
      <c r="I395" s="69"/>
      <c r="J395" s="69"/>
      <c r="K395" s="67"/>
      <c r="L395" s="69"/>
      <c r="M395" s="69"/>
      <c r="N395" s="68"/>
      <c r="O395" s="74"/>
    </row>
    <row r="396" spans="2:15" x14ac:dyDescent="0.25">
      <c r="B396" s="76"/>
      <c r="C396" s="72"/>
      <c r="D396" s="67"/>
      <c r="E396" s="68"/>
      <c r="F396" s="68"/>
      <c r="G396" s="68"/>
      <c r="H396" s="70"/>
      <c r="I396" s="69"/>
      <c r="J396" s="69"/>
      <c r="K396" s="67"/>
      <c r="L396" s="69"/>
      <c r="M396" s="69"/>
      <c r="N396" s="68"/>
      <c r="O396" s="74"/>
    </row>
    <row r="397" spans="2:15" x14ac:dyDescent="0.25">
      <c r="B397" s="76"/>
      <c r="C397" s="72"/>
      <c r="D397" s="67"/>
      <c r="E397" s="68"/>
      <c r="F397" s="68"/>
      <c r="G397" s="68"/>
      <c r="H397" s="70"/>
      <c r="I397" s="69"/>
      <c r="J397" s="69"/>
      <c r="K397" s="67"/>
      <c r="L397" s="69"/>
      <c r="M397" s="69"/>
      <c r="N397" s="68"/>
      <c r="O397" s="74"/>
    </row>
    <row r="398" spans="2:15" x14ac:dyDescent="0.25">
      <c r="B398" s="76"/>
      <c r="C398" s="72"/>
      <c r="D398" s="67"/>
      <c r="E398" s="68"/>
      <c r="F398" s="68"/>
      <c r="G398" s="68"/>
      <c r="H398" s="70"/>
      <c r="I398" s="69"/>
      <c r="J398" s="69"/>
      <c r="K398" s="67"/>
      <c r="L398" s="69"/>
      <c r="M398" s="69"/>
      <c r="N398" s="68"/>
      <c r="O398" s="74"/>
    </row>
    <row r="399" spans="2:15" x14ac:dyDescent="0.25">
      <c r="B399" s="76"/>
      <c r="C399" s="72"/>
      <c r="D399" s="67"/>
      <c r="E399" s="68"/>
      <c r="F399" s="68"/>
      <c r="G399" s="68"/>
      <c r="H399" s="70"/>
      <c r="I399" s="69"/>
      <c r="J399" s="69"/>
      <c r="K399" s="67"/>
      <c r="L399" s="69"/>
      <c r="M399" s="69"/>
      <c r="N399" s="68"/>
      <c r="O399" s="74"/>
    </row>
    <row r="400" spans="2:15" x14ac:dyDescent="0.25">
      <c r="B400" s="76"/>
      <c r="C400" s="72"/>
      <c r="D400" s="67"/>
      <c r="E400" s="68"/>
      <c r="F400" s="68"/>
      <c r="G400" s="68"/>
      <c r="H400" s="70"/>
      <c r="I400" s="69"/>
      <c r="J400" s="69"/>
      <c r="K400" s="67"/>
      <c r="L400" s="69"/>
      <c r="M400" s="69"/>
      <c r="N400" s="68"/>
      <c r="O400" s="74"/>
    </row>
    <row r="401" spans="2:15" x14ac:dyDescent="0.25">
      <c r="B401" s="76"/>
      <c r="C401" s="72"/>
      <c r="D401" s="67"/>
      <c r="E401" s="68"/>
      <c r="F401" s="68"/>
      <c r="G401" s="68"/>
      <c r="H401" s="70"/>
      <c r="I401" s="69"/>
      <c r="J401" s="69"/>
      <c r="K401" s="67"/>
      <c r="L401" s="69"/>
      <c r="M401" s="69"/>
      <c r="N401" s="68"/>
      <c r="O401" s="74"/>
    </row>
    <row r="402" spans="2:15" x14ac:dyDescent="0.25">
      <c r="B402" s="76"/>
      <c r="C402" s="72"/>
      <c r="D402" s="67"/>
      <c r="E402" s="68"/>
      <c r="F402" s="68"/>
      <c r="G402" s="68"/>
      <c r="H402" s="70"/>
      <c r="I402" s="69"/>
      <c r="J402" s="69"/>
      <c r="K402" s="67"/>
      <c r="L402" s="69"/>
      <c r="M402" s="69"/>
      <c r="N402" s="68"/>
      <c r="O402" s="74"/>
    </row>
    <row r="403" spans="2:15" x14ac:dyDescent="0.25">
      <c r="B403" s="76"/>
      <c r="C403" s="72"/>
      <c r="D403" s="67"/>
      <c r="E403" s="68"/>
      <c r="F403" s="68"/>
      <c r="G403" s="68"/>
      <c r="H403" s="70"/>
      <c r="I403" s="69"/>
      <c r="J403" s="69"/>
      <c r="K403" s="67"/>
      <c r="L403" s="69"/>
      <c r="M403" s="69"/>
      <c r="N403" s="68"/>
      <c r="O403" s="74"/>
    </row>
    <row r="404" spans="2:15" x14ac:dyDescent="0.25">
      <c r="B404" s="76"/>
      <c r="C404" s="72"/>
      <c r="D404" s="67"/>
      <c r="E404" s="68"/>
      <c r="F404" s="68"/>
      <c r="G404" s="68"/>
      <c r="H404" s="70"/>
      <c r="I404" s="69"/>
      <c r="J404" s="69"/>
      <c r="K404" s="67"/>
      <c r="L404" s="69"/>
      <c r="M404" s="69"/>
      <c r="N404" s="68"/>
      <c r="O404" s="74"/>
    </row>
    <row r="405" spans="2:15" x14ac:dyDescent="0.25">
      <c r="B405" s="76"/>
      <c r="C405" s="72"/>
      <c r="D405" s="67"/>
      <c r="E405" s="68"/>
      <c r="F405" s="68"/>
      <c r="G405" s="68"/>
      <c r="H405" s="70"/>
      <c r="I405" s="69"/>
      <c r="J405" s="69"/>
      <c r="K405" s="67"/>
      <c r="L405" s="69"/>
      <c r="M405" s="69"/>
      <c r="N405" s="68"/>
      <c r="O405" s="74"/>
    </row>
    <row r="406" spans="2:15" x14ac:dyDescent="0.25">
      <c r="B406" s="76"/>
      <c r="C406" s="72"/>
      <c r="D406" s="67"/>
      <c r="E406" s="68"/>
      <c r="F406" s="68"/>
      <c r="G406" s="68"/>
      <c r="H406" s="70"/>
      <c r="I406" s="69"/>
      <c r="J406" s="69"/>
      <c r="K406" s="67"/>
      <c r="L406" s="69"/>
      <c r="M406" s="69"/>
      <c r="N406" s="68"/>
      <c r="O406" s="74"/>
    </row>
    <row r="407" spans="2:15" x14ac:dyDescent="0.25">
      <c r="B407" s="76"/>
      <c r="C407" s="72"/>
      <c r="D407" s="67"/>
      <c r="E407" s="68"/>
      <c r="F407" s="68"/>
      <c r="G407" s="68"/>
      <c r="H407" s="70"/>
      <c r="I407" s="69"/>
      <c r="J407" s="69"/>
      <c r="K407" s="67"/>
      <c r="L407" s="69"/>
      <c r="M407" s="69"/>
      <c r="N407" s="68"/>
      <c r="O407" s="74"/>
    </row>
    <row r="408" spans="2:15" x14ac:dyDescent="0.25">
      <c r="B408" s="76"/>
      <c r="C408" s="72"/>
      <c r="D408" s="67"/>
      <c r="E408" s="68"/>
      <c r="F408" s="68"/>
      <c r="G408" s="68"/>
      <c r="H408" s="70"/>
      <c r="I408" s="69"/>
      <c r="J408" s="69"/>
      <c r="K408" s="67"/>
      <c r="L408" s="69"/>
      <c r="M408" s="69"/>
      <c r="N408" s="68"/>
      <c r="O408" s="74"/>
    </row>
    <row r="409" spans="2:15" x14ac:dyDescent="0.25">
      <c r="B409" s="76"/>
      <c r="C409" s="72"/>
      <c r="D409" s="67"/>
      <c r="E409" s="68"/>
      <c r="F409" s="68"/>
      <c r="G409" s="68"/>
      <c r="H409" s="70"/>
      <c r="I409" s="69"/>
      <c r="J409" s="69"/>
      <c r="K409" s="67"/>
      <c r="L409" s="69"/>
      <c r="M409" s="69"/>
      <c r="N409" s="68"/>
      <c r="O409" s="74"/>
    </row>
    <row r="410" spans="2:15" x14ac:dyDescent="0.25">
      <c r="B410" s="76"/>
      <c r="C410" s="72"/>
      <c r="D410" s="67"/>
      <c r="E410" s="68"/>
      <c r="F410" s="68"/>
      <c r="G410" s="68"/>
      <c r="H410" s="70"/>
      <c r="I410" s="69"/>
      <c r="J410" s="69"/>
      <c r="K410" s="67"/>
      <c r="L410" s="69"/>
      <c r="M410" s="69"/>
      <c r="N410" s="68"/>
      <c r="O410" s="74"/>
    </row>
    <row r="411" spans="2:15" x14ac:dyDescent="0.25">
      <c r="B411" s="76"/>
      <c r="C411" s="72"/>
      <c r="D411" s="67"/>
      <c r="E411" s="68"/>
      <c r="F411" s="68"/>
      <c r="G411" s="68"/>
      <c r="H411" s="70"/>
      <c r="I411" s="69"/>
      <c r="J411" s="69"/>
      <c r="K411" s="67"/>
      <c r="L411" s="69"/>
      <c r="M411" s="69"/>
      <c r="N411" s="68"/>
      <c r="O411" s="74"/>
    </row>
    <row r="412" spans="2:15" x14ac:dyDescent="0.25">
      <c r="B412" s="76"/>
      <c r="C412" s="72"/>
      <c r="D412" s="67"/>
      <c r="E412" s="68"/>
      <c r="F412" s="68"/>
      <c r="G412" s="68"/>
      <c r="H412" s="70"/>
      <c r="I412" s="69"/>
      <c r="J412" s="69"/>
      <c r="K412" s="67"/>
      <c r="L412" s="69"/>
      <c r="M412" s="69"/>
      <c r="N412" s="68"/>
      <c r="O412" s="74"/>
    </row>
    <row r="413" spans="2:15" x14ac:dyDescent="0.25">
      <c r="B413" s="76"/>
      <c r="C413" s="72"/>
      <c r="D413" s="67"/>
      <c r="E413" s="68"/>
      <c r="F413" s="68"/>
      <c r="G413" s="68"/>
      <c r="H413" s="70"/>
      <c r="I413" s="69"/>
      <c r="J413" s="69"/>
      <c r="K413" s="67"/>
      <c r="L413" s="69"/>
      <c r="M413" s="69"/>
      <c r="N413" s="68"/>
      <c r="O413" s="74"/>
    </row>
    <row r="414" spans="2:15" x14ac:dyDescent="0.25">
      <c r="B414" s="76"/>
      <c r="C414" s="72"/>
      <c r="D414" s="67"/>
      <c r="E414" s="68"/>
      <c r="F414" s="68"/>
      <c r="G414" s="68"/>
      <c r="H414" s="70"/>
      <c r="I414" s="69"/>
      <c r="J414" s="69"/>
      <c r="K414" s="67"/>
      <c r="L414" s="69"/>
      <c r="M414" s="69"/>
      <c r="N414" s="68"/>
      <c r="O414" s="74"/>
    </row>
    <row r="415" spans="2:15" x14ac:dyDescent="0.25">
      <c r="B415" s="76"/>
      <c r="C415" s="72"/>
      <c r="D415" s="67"/>
      <c r="E415" s="68"/>
      <c r="F415" s="68"/>
      <c r="G415" s="68"/>
      <c r="H415" s="70"/>
      <c r="I415" s="69"/>
      <c r="J415" s="69"/>
      <c r="K415" s="67"/>
      <c r="L415" s="69"/>
      <c r="M415" s="69"/>
      <c r="N415" s="68"/>
      <c r="O415" s="74"/>
    </row>
    <row r="416" spans="2:15" x14ac:dyDescent="0.25">
      <c r="B416" s="76"/>
      <c r="C416" s="72"/>
      <c r="D416" s="67"/>
      <c r="E416" s="68"/>
      <c r="F416" s="68"/>
      <c r="G416" s="68"/>
      <c r="H416" s="70"/>
      <c r="I416" s="69"/>
      <c r="J416" s="69"/>
      <c r="K416" s="67"/>
      <c r="L416" s="69"/>
      <c r="M416" s="69"/>
      <c r="N416" s="68"/>
      <c r="O416" s="74"/>
    </row>
    <row r="417" spans="2:15" x14ac:dyDescent="0.25">
      <c r="B417" s="76"/>
      <c r="C417" s="72"/>
      <c r="D417" s="67"/>
      <c r="E417" s="68"/>
      <c r="F417" s="68"/>
      <c r="G417" s="68"/>
      <c r="H417" s="70"/>
      <c r="I417" s="69"/>
      <c r="J417" s="69"/>
      <c r="K417" s="67"/>
      <c r="L417" s="69"/>
      <c r="M417" s="69"/>
      <c r="N417" s="68"/>
      <c r="O417" s="74"/>
    </row>
    <row r="418" spans="2:15" x14ac:dyDescent="0.25">
      <c r="B418" s="76"/>
      <c r="C418" s="72"/>
      <c r="D418" s="67"/>
      <c r="E418" s="68"/>
      <c r="F418" s="68"/>
      <c r="G418" s="68"/>
      <c r="H418" s="70"/>
      <c r="I418" s="69"/>
      <c r="J418" s="69"/>
      <c r="K418" s="67"/>
      <c r="L418" s="69"/>
      <c r="M418" s="69"/>
      <c r="N418" s="68"/>
      <c r="O418" s="74"/>
    </row>
    <row r="419" spans="2:15" x14ac:dyDescent="0.25">
      <c r="B419" s="76"/>
      <c r="C419" s="72"/>
      <c r="D419" s="67"/>
      <c r="E419" s="68"/>
      <c r="F419" s="68"/>
      <c r="G419" s="68"/>
      <c r="H419" s="70"/>
      <c r="I419" s="69"/>
      <c r="J419" s="69"/>
      <c r="K419" s="67"/>
      <c r="L419" s="69"/>
      <c r="M419" s="69"/>
      <c r="N419" s="68"/>
      <c r="O419" s="74"/>
    </row>
    <row r="420" spans="2:15" x14ac:dyDescent="0.25">
      <c r="B420" s="76"/>
      <c r="C420" s="72"/>
      <c r="D420" s="67"/>
      <c r="E420" s="68"/>
      <c r="F420" s="68"/>
      <c r="G420" s="68"/>
      <c r="H420" s="70"/>
      <c r="I420" s="69"/>
      <c r="J420" s="69"/>
      <c r="K420" s="67"/>
      <c r="L420" s="69"/>
      <c r="M420" s="69"/>
      <c r="N420" s="68"/>
      <c r="O420" s="74"/>
    </row>
    <row r="421" spans="2:15" x14ac:dyDescent="0.25">
      <c r="B421" s="76"/>
      <c r="C421" s="72"/>
      <c r="D421" s="67"/>
      <c r="E421" s="68"/>
      <c r="F421" s="68"/>
      <c r="G421" s="68"/>
      <c r="H421" s="70"/>
      <c r="I421" s="69"/>
      <c r="J421" s="69"/>
      <c r="K421" s="67"/>
      <c r="L421" s="69"/>
      <c r="M421" s="69"/>
      <c r="N421" s="68"/>
      <c r="O421" s="74"/>
    </row>
    <row r="422" spans="2:15" x14ac:dyDescent="0.25">
      <c r="B422" s="76"/>
      <c r="C422" s="72"/>
      <c r="D422" s="67"/>
      <c r="E422" s="68"/>
      <c r="F422" s="68"/>
      <c r="G422" s="68"/>
      <c r="H422" s="70"/>
      <c r="I422" s="69"/>
      <c r="J422" s="69"/>
      <c r="K422" s="67"/>
      <c r="L422" s="69"/>
      <c r="M422" s="69"/>
      <c r="N422" s="68"/>
      <c r="O422" s="74"/>
    </row>
    <row r="423" spans="2:15" x14ac:dyDescent="0.25">
      <c r="B423" s="76"/>
      <c r="C423" s="72"/>
      <c r="D423" s="67"/>
      <c r="E423" s="68"/>
      <c r="F423" s="68"/>
      <c r="G423" s="68"/>
      <c r="H423" s="70"/>
      <c r="I423" s="69"/>
      <c r="J423" s="69"/>
      <c r="K423" s="67"/>
      <c r="L423" s="69"/>
      <c r="M423" s="69"/>
      <c r="N423" s="68"/>
      <c r="O423" s="74"/>
    </row>
    <row r="424" spans="2:15" x14ac:dyDescent="0.25">
      <c r="B424" s="76"/>
      <c r="C424" s="72"/>
      <c r="D424" s="67"/>
      <c r="E424" s="68"/>
      <c r="F424" s="68"/>
      <c r="G424" s="68"/>
      <c r="H424" s="70"/>
      <c r="I424" s="69"/>
      <c r="J424" s="69"/>
      <c r="K424" s="67"/>
      <c r="L424" s="69"/>
      <c r="M424" s="69"/>
      <c r="N424" s="68"/>
      <c r="O424" s="74"/>
    </row>
    <row r="425" spans="2:15" x14ac:dyDescent="0.25">
      <c r="B425" s="76"/>
      <c r="C425" s="72"/>
      <c r="D425" s="67"/>
      <c r="E425" s="68"/>
      <c r="F425" s="68"/>
      <c r="G425" s="68"/>
      <c r="H425" s="70"/>
      <c r="I425" s="69"/>
      <c r="J425" s="69"/>
      <c r="K425" s="67"/>
      <c r="L425" s="69"/>
      <c r="M425" s="69"/>
      <c r="N425" s="68"/>
      <c r="O425" s="74"/>
    </row>
    <row r="426" spans="2:15" x14ac:dyDescent="0.25">
      <c r="B426" s="76"/>
      <c r="C426" s="72"/>
      <c r="D426" s="67"/>
      <c r="E426" s="68"/>
      <c r="F426" s="68"/>
      <c r="G426" s="68"/>
      <c r="H426" s="70"/>
      <c r="I426" s="69"/>
      <c r="J426" s="69"/>
      <c r="K426" s="67"/>
      <c r="L426" s="69"/>
      <c r="M426" s="69"/>
      <c r="N426" s="68"/>
      <c r="O426" s="74"/>
    </row>
    <row r="427" spans="2:15" x14ac:dyDescent="0.25">
      <c r="B427" s="76"/>
      <c r="C427" s="72"/>
      <c r="D427" s="67"/>
      <c r="E427" s="68"/>
      <c r="F427" s="68"/>
      <c r="G427" s="68"/>
      <c r="H427" s="70"/>
      <c r="I427" s="69"/>
      <c r="J427" s="69"/>
      <c r="K427" s="67"/>
      <c r="L427" s="69"/>
      <c r="M427" s="69"/>
      <c r="N427" s="68"/>
      <c r="O427" s="74"/>
    </row>
    <row r="428" spans="2:15" x14ac:dyDescent="0.25">
      <c r="B428" s="76"/>
      <c r="C428" s="72"/>
      <c r="D428" s="67"/>
      <c r="E428" s="68"/>
      <c r="F428" s="68"/>
      <c r="G428" s="68"/>
      <c r="H428" s="70"/>
      <c r="I428" s="69"/>
      <c r="J428" s="69"/>
      <c r="K428" s="67"/>
      <c r="L428" s="69"/>
      <c r="M428" s="69"/>
      <c r="N428" s="68"/>
      <c r="O428" s="74"/>
    </row>
    <row r="429" spans="2:15" x14ac:dyDescent="0.25">
      <c r="B429" s="76"/>
      <c r="C429" s="72"/>
      <c r="D429" s="67"/>
      <c r="E429" s="68"/>
      <c r="F429" s="68"/>
      <c r="G429" s="68"/>
      <c r="H429" s="70"/>
      <c r="I429" s="69"/>
      <c r="J429" s="69"/>
      <c r="K429" s="67"/>
      <c r="L429" s="69"/>
      <c r="M429" s="69"/>
      <c r="N429" s="68"/>
      <c r="O429" s="74"/>
    </row>
    <row r="430" spans="2:15" x14ac:dyDescent="0.25">
      <c r="B430" s="76"/>
      <c r="C430" s="72"/>
      <c r="D430" s="67"/>
      <c r="E430" s="68"/>
      <c r="F430" s="68"/>
      <c r="G430" s="68"/>
      <c r="H430" s="70"/>
      <c r="I430" s="69"/>
      <c r="J430" s="69"/>
      <c r="K430" s="67"/>
      <c r="L430" s="69"/>
      <c r="M430" s="69"/>
      <c r="N430" s="68"/>
      <c r="O430" s="74"/>
    </row>
    <row r="431" spans="2:15" x14ac:dyDescent="0.25">
      <c r="B431" s="76"/>
      <c r="C431" s="72"/>
      <c r="D431" s="67"/>
      <c r="E431" s="68"/>
      <c r="F431" s="68"/>
      <c r="G431" s="68"/>
      <c r="H431" s="70"/>
      <c r="I431" s="69"/>
      <c r="J431" s="69"/>
      <c r="K431" s="67"/>
      <c r="L431" s="69"/>
      <c r="M431" s="69"/>
      <c r="N431" s="68"/>
      <c r="O431" s="74"/>
    </row>
    <row r="432" spans="2:15" x14ac:dyDescent="0.25">
      <c r="B432" s="76"/>
      <c r="C432" s="72"/>
      <c r="D432" s="67"/>
      <c r="E432" s="68"/>
      <c r="F432" s="68"/>
      <c r="G432" s="68"/>
      <c r="H432" s="70"/>
      <c r="I432" s="69"/>
      <c r="J432" s="69"/>
      <c r="K432" s="67"/>
      <c r="L432" s="69"/>
      <c r="M432" s="69"/>
      <c r="N432" s="68"/>
      <c r="O432" s="74"/>
    </row>
    <row r="433" spans="2:15" x14ac:dyDescent="0.25">
      <c r="B433" s="76"/>
      <c r="C433" s="72"/>
      <c r="D433" s="67"/>
      <c r="E433" s="68"/>
      <c r="F433" s="68"/>
      <c r="G433" s="68"/>
      <c r="H433" s="70"/>
      <c r="I433" s="69"/>
      <c r="J433" s="69"/>
      <c r="K433" s="67"/>
      <c r="L433" s="69"/>
      <c r="M433" s="69"/>
      <c r="N433" s="68"/>
      <c r="O433" s="74"/>
    </row>
    <row r="434" spans="2:15" x14ac:dyDescent="0.25">
      <c r="B434" s="76"/>
      <c r="C434" s="72"/>
      <c r="D434" s="67"/>
      <c r="E434" s="68"/>
      <c r="F434" s="68"/>
      <c r="G434" s="68"/>
      <c r="H434" s="70"/>
      <c r="I434" s="69"/>
      <c r="J434" s="69"/>
      <c r="K434" s="67"/>
      <c r="L434" s="69"/>
      <c r="M434" s="69"/>
      <c r="N434" s="68"/>
      <c r="O434" s="74"/>
    </row>
    <row r="435" spans="2:15" x14ac:dyDescent="0.25">
      <c r="B435" s="76"/>
      <c r="C435" s="72"/>
      <c r="D435" s="67"/>
      <c r="E435" s="68"/>
      <c r="F435" s="68"/>
      <c r="G435" s="68"/>
      <c r="H435" s="70"/>
      <c r="I435" s="69"/>
      <c r="J435" s="69"/>
      <c r="K435" s="67"/>
      <c r="L435" s="69"/>
      <c r="M435" s="69"/>
      <c r="N435" s="68"/>
      <c r="O435" s="74"/>
    </row>
    <row r="436" spans="2:15" x14ac:dyDescent="0.25">
      <c r="B436" s="76"/>
      <c r="C436" s="72"/>
      <c r="D436" s="67"/>
      <c r="E436" s="68"/>
      <c r="F436" s="68"/>
      <c r="G436" s="68"/>
      <c r="H436" s="70"/>
      <c r="I436" s="69"/>
      <c r="J436" s="69"/>
      <c r="K436" s="67"/>
      <c r="L436" s="69"/>
      <c r="M436" s="69"/>
      <c r="N436" s="68"/>
      <c r="O436" s="74"/>
    </row>
    <row r="437" spans="2:15" x14ac:dyDescent="0.25">
      <c r="B437" s="76"/>
      <c r="C437" s="72"/>
      <c r="D437" s="67"/>
      <c r="E437" s="68"/>
      <c r="F437" s="68"/>
      <c r="G437" s="68"/>
      <c r="H437" s="70"/>
      <c r="I437" s="69"/>
      <c r="J437" s="69"/>
      <c r="K437" s="67"/>
      <c r="L437" s="69"/>
      <c r="M437" s="69"/>
      <c r="N437" s="68"/>
      <c r="O437" s="74"/>
    </row>
    <row r="438" spans="2:15" x14ac:dyDescent="0.25">
      <c r="B438" s="76"/>
      <c r="C438" s="72"/>
      <c r="D438" s="67"/>
      <c r="E438" s="68"/>
      <c r="F438" s="68"/>
      <c r="G438" s="68"/>
      <c r="H438" s="70"/>
      <c r="I438" s="69"/>
      <c r="J438" s="69"/>
      <c r="K438" s="67"/>
      <c r="L438" s="69"/>
      <c r="M438" s="69"/>
      <c r="N438" s="68"/>
      <c r="O438" s="74"/>
    </row>
    <row r="439" spans="2:15" x14ac:dyDescent="0.25">
      <c r="B439" s="76"/>
      <c r="C439" s="72"/>
      <c r="D439" s="67"/>
      <c r="E439" s="68"/>
      <c r="F439" s="68"/>
      <c r="G439" s="68"/>
      <c r="H439" s="70"/>
      <c r="I439" s="69"/>
      <c r="J439" s="69"/>
      <c r="K439" s="67"/>
      <c r="L439" s="69"/>
      <c r="M439" s="69"/>
      <c r="N439" s="68"/>
      <c r="O439" s="74"/>
    </row>
    <row r="440" spans="2:15" x14ac:dyDescent="0.25">
      <c r="B440" s="76"/>
      <c r="C440" s="72"/>
      <c r="D440" s="67"/>
      <c r="E440" s="68"/>
      <c r="F440" s="68"/>
      <c r="G440" s="68"/>
      <c r="H440" s="70"/>
      <c r="I440" s="69"/>
      <c r="J440" s="69"/>
      <c r="K440" s="67"/>
      <c r="L440" s="69"/>
      <c r="M440" s="69"/>
      <c r="N440" s="68"/>
      <c r="O440" s="74"/>
    </row>
    <row r="441" spans="2:15" x14ac:dyDescent="0.25">
      <c r="B441" s="76"/>
      <c r="C441" s="72"/>
      <c r="D441" s="67"/>
      <c r="E441" s="68"/>
      <c r="F441" s="68"/>
      <c r="G441" s="68"/>
      <c r="H441" s="70"/>
      <c r="I441" s="69"/>
      <c r="J441" s="69"/>
      <c r="K441" s="67"/>
      <c r="L441" s="69"/>
      <c r="M441" s="69"/>
      <c r="N441" s="68"/>
      <c r="O441" s="74"/>
    </row>
    <row r="442" spans="2:15" x14ac:dyDescent="0.25">
      <c r="B442" s="76"/>
      <c r="C442" s="72"/>
      <c r="D442" s="67"/>
      <c r="E442" s="68"/>
      <c r="F442" s="68"/>
      <c r="G442" s="68"/>
      <c r="H442" s="70"/>
      <c r="I442" s="69"/>
      <c r="J442" s="69"/>
      <c r="K442" s="67"/>
      <c r="L442" s="69"/>
      <c r="M442" s="69"/>
      <c r="N442" s="68"/>
      <c r="O442" s="74"/>
    </row>
    <row r="443" spans="2:15" x14ac:dyDescent="0.25">
      <c r="B443" s="76"/>
      <c r="C443" s="72"/>
      <c r="D443" s="67"/>
      <c r="E443" s="68"/>
      <c r="F443" s="68"/>
      <c r="G443" s="68"/>
      <c r="H443" s="70"/>
      <c r="I443" s="69"/>
      <c r="J443" s="69"/>
      <c r="K443" s="67"/>
      <c r="L443" s="69"/>
      <c r="M443" s="69"/>
      <c r="N443" s="68"/>
      <c r="O443" s="74"/>
    </row>
    <row r="444" spans="2:15" x14ac:dyDescent="0.25">
      <c r="B444" s="76"/>
      <c r="C444" s="72"/>
      <c r="D444" s="67"/>
      <c r="E444" s="68"/>
      <c r="F444" s="68"/>
      <c r="G444" s="68"/>
      <c r="H444" s="70"/>
      <c r="I444" s="69"/>
      <c r="J444" s="69"/>
      <c r="K444" s="67"/>
      <c r="L444" s="69"/>
      <c r="M444" s="69"/>
      <c r="N444" s="68"/>
      <c r="O444" s="74"/>
    </row>
    <row r="445" spans="2:15" x14ac:dyDescent="0.25">
      <c r="B445" s="76"/>
      <c r="C445" s="72"/>
      <c r="D445" s="67"/>
      <c r="E445" s="68"/>
      <c r="F445" s="68"/>
      <c r="G445" s="68"/>
      <c r="H445" s="70"/>
      <c r="I445" s="69"/>
      <c r="J445" s="69"/>
      <c r="K445" s="67"/>
      <c r="L445" s="69"/>
      <c r="M445" s="69"/>
      <c r="N445" s="68"/>
      <c r="O445" s="74"/>
    </row>
    <row r="446" spans="2:15" x14ac:dyDescent="0.25">
      <c r="B446" s="76"/>
      <c r="C446" s="72"/>
      <c r="D446" s="67"/>
      <c r="E446" s="68"/>
      <c r="F446" s="68"/>
      <c r="G446" s="68"/>
      <c r="H446" s="70"/>
      <c r="I446" s="69"/>
      <c r="J446" s="69"/>
      <c r="K446" s="67"/>
      <c r="L446" s="69"/>
      <c r="M446" s="69"/>
      <c r="N446" s="68"/>
      <c r="O446" s="74"/>
    </row>
    <row r="447" spans="2:15" x14ac:dyDescent="0.25">
      <c r="B447" s="76"/>
      <c r="C447" s="72"/>
      <c r="D447" s="67"/>
      <c r="E447" s="68"/>
      <c r="F447" s="68"/>
      <c r="G447" s="68"/>
      <c r="H447" s="70"/>
      <c r="I447" s="69"/>
      <c r="J447" s="69"/>
      <c r="K447" s="67"/>
      <c r="L447" s="69"/>
      <c r="M447" s="69"/>
      <c r="N447" s="68"/>
      <c r="O447" s="74"/>
    </row>
    <row r="448" spans="2:15" x14ac:dyDescent="0.25">
      <c r="B448" s="76"/>
      <c r="C448" s="72"/>
      <c r="D448" s="67"/>
      <c r="E448" s="68"/>
      <c r="F448" s="68"/>
      <c r="G448" s="68"/>
      <c r="H448" s="70"/>
      <c r="I448" s="69"/>
      <c r="J448" s="69"/>
      <c r="K448" s="67"/>
      <c r="L448" s="69"/>
      <c r="M448" s="69"/>
      <c r="N448" s="68"/>
      <c r="O448" s="74"/>
    </row>
    <row r="449" spans="2:15" x14ac:dyDescent="0.25">
      <c r="B449" s="76"/>
      <c r="C449" s="72"/>
      <c r="D449" s="67"/>
      <c r="E449" s="68"/>
      <c r="F449" s="68"/>
      <c r="G449" s="68"/>
      <c r="H449" s="70"/>
      <c r="I449" s="69"/>
      <c r="J449" s="69"/>
      <c r="K449" s="67"/>
      <c r="L449" s="69"/>
      <c r="M449" s="69"/>
      <c r="N449" s="68"/>
      <c r="O449" s="74"/>
    </row>
    <row r="450" spans="2:15" x14ac:dyDescent="0.25">
      <c r="B450" s="76"/>
      <c r="C450" s="72"/>
      <c r="D450" s="67"/>
      <c r="E450" s="68"/>
      <c r="F450" s="68"/>
      <c r="G450" s="68"/>
      <c r="H450" s="70"/>
      <c r="I450" s="69"/>
      <c r="J450" s="69"/>
      <c r="K450" s="67"/>
      <c r="L450" s="69"/>
      <c r="M450" s="69"/>
      <c r="N450" s="68"/>
      <c r="O450" s="74"/>
    </row>
    <row r="451" spans="2:15" x14ac:dyDescent="0.25">
      <c r="B451" s="76"/>
      <c r="C451" s="72"/>
      <c r="D451" s="67"/>
      <c r="E451" s="68"/>
      <c r="F451" s="68"/>
      <c r="G451" s="68"/>
      <c r="H451" s="70"/>
      <c r="I451" s="69"/>
      <c r="J451" s="69"/>
      <c r="K451" s="67"/>
      <c r="L451" s="69"/>
      <c r="M451" s="69"/>
      <c r="N451" s="68"/>
      <c r="O451" s="74"/>
    </row>
    <row r="452" spans="2:15" x14ac:dyDescent="0.25">
      <c r="B452" s="76"/>
      <c r="C452" s="72"/>
      <c r="D452" s="67"/>
      <c r="E452" s="68"/>
      <c r="F452" s="68"/>
      <c r="G452" s="68"/>
      <c r="H452" s="70"/>
      <c r="I452" s="69"/>
      <c r="J452" s="69"/>
      <c r="K452" s="67"/>
      <c r="L452" s="69"/>
      <c r="M452" s="69"/>
      <c r="N452" s="68"/>
      <c r="O452" s="74"/>
    </row>
    <row r="453" spans="2:15" x14ac:dyDescent="0.25">
      <c r="B453" s="76"/>
      <c r="C453" s="72"/>
      <c r="D453" s="67"/>
      <c r="E453" s="68"/>
      <c r="F453" s="68"/>
      <c r="G453" s="68"/>
      <c r="H453" s="70"/>
      <c r="I453" s="69"/>
      <c r="J453" s="69"/>
      <c r="K453" s="67"/>
      <c r="L453" s="69"/>
      <c r="M453" s="69"/>
      <c r="N453" s="68"/>
      <c r="O453" s="74"/>
    </row>
    <row r="454" spans="2:15" x14ac:dyDescent="0.25">
      <c r="B454" s="76"/>
      <c r="C454" s="72"/>
      <c r="D454" s="67"/>
      <c r="E454" s="68"/>
      <c r="F454" s="68"/>
      <c r="G454" s="68"/>
      <c r="H454" s="70"/>
      <c r="I454" s="69"/>
      <c r="J454" s="69"/>
      <c r="K454" s="67"/>
      <c r="L454" s="69"/>
      <c r="M454" s="69"/>
      <c r="N454" s="68"/>
      <c r="O454" s="74"/>
    </row>
    <row r="455" spans="2:15" x14ac:dyDescent="0.25">
      <c r="B455" s="76"/>
      <c r="C455" s="72"/>
      <c r="D455" s="67"/>
      <c r="E455" s="68"/>
      <c r="F455" s="68"/>
      <c r="G455" s="68"/>
      <c r="H455" s="70"/>
      <c r="I455" s="69"/>
      <c r="J455" s="69"/>
      <c r="K455" s="67"/>
      <c r="L455" s="69"/>
      <c r="M455" s="69"/>
      <c r="N455" s="68"/>
      <c r="O455" s="74"/>
    </row>
    <row r="456" spans="2:15" x14ac:dyDescent="0.25">
      <c r="B456" s="76"/>
      <c r="C456" s="72"/>
      <c r="D456" s="67"/>
      <c r="E456" s="68"/>
      <c r="F456" s="68"/>
      <c r="G456" s="68"/>
      <c r="H456" s="70"/>
      <c r="I456" s="69"/>
      <c r="J456" s="69"/>
      <c r="K456" s="67"/>
      <c r="L456" s="69"/>
      <c r="M456" s="69"/>
      <c r="N456" s="68"/>
      <c r="O456" s="74"/>
    </row>
    <row r="457" spans="2:15" x14ac:dyDescent="0.25">
      <c r="B457" s="76"/>
      <c r="C457" s="72"/>
      <c r="D457" s="67"/>
      <c r="E457" s="68"/>
      <c r="F457" s="68"/>
      <c r="G457" s="68"/>
      <c r="H457" s="70"/>
      <c r="I457" s="69"/>
      <c r="J457" s="69"/>
      <c r="K457" s="67"/>
      <c r="L457" s="69"/>
      <c r="M457" s="69"/>
      <c r="N457" s="68"/>
      <c r="O457" s="74"/>
    </row>
    <row r="458" spans="2:15" x14ac:dyDescent="0.25">
      <c r="B458" s="76"/>
      <c r="C458" s="72"/>
      <c r="D458" s="67"/>
      <c r="E458" s="68"/>
      <c r="F458" s="68"/>
      <c r="G458" s="68"/>
      <c r="H458" s="70"/>
      <c r="I458" s="69"/>
      <c r="J458" s="69"/>
      <c r="K458" s="67"/>
      <c r="L458" s="69"/>
      <c r="M458" s="69"/>
      <c r="N458" s="68"/>
      <c r="O458" s="74"/>
    </row>
    <row r="459" spans="2:15" x14ac:dyDescent="0.25">
      <c r="B459" s="76"/>
      <c r="C459" s="72"/>
      <c r="D459" s="67"/>
      <c r="E459" s="68"/>
      <c r="F459" s="68"/>
      <c r="G459" s="68"/>
      <c r="H459" s="70"/>
      <c r="I459" s="69"/>
      <c r="J459" s="69"/>
      <c r="K459" s="67"/>
      <c r="L459" s="69"/>
      <c r="M459" s="69"/>
      <c r="N459" s="68"/>
      <c r="O459" s="74"/>
    </row>
    <row r="460" spans="2:15" x14ac:dyDescent="0.25">
      <c r="B460" s="76"/>
      <c r="C460" s="72"/>
      <c r="D460" s="67"/>
      <c r="E460" s="68"/>
      <c r="F460" s="68"/>
      <c r="G460" s="68"/>
      <c r="H460" s="70"/>
      <c r="I460" s="69"/>
      <c r="J460" s="69"/>
      <c r="K460" s="67"/>
      <c r="L460" s="69"/>
      <c r="M460" s="69"/>
      <c r="N460" s="68"/>
      <c r="O460" s="74"/>
    </row>
    <row r="461" spans="2:15" x14ac:dyDescent="0.25">
      <c r="B461" s="76"/>
      <c r="C461" s="72"/>
      <c r="D461" s="67"/>
      <c r="E461" s="68"/>
      <c r="F461" s="68"/>
      <c r="G461" s="68"/>
      <c r="H461" s="70"/>
      <c r="I461" s="69"/>
      <c r="J461" s="69"/>
      <c r="K461" s="67"/>
      <c r="L461" s="69"/>
      <c r="M461" s="69"/>
      <c r="N461" s="68"/>
      <c r="O461" s="74"/>
    </row>
    <row r="462" spans="2:15" x14ac:dyDescent="0.25">
      <c r="B462" s="76"/>
      <c r="C462" s="72"/>
      <c r="D462" s="67"/>
      <c r="E462" s="68"/>
      <c r="F462" s="68"/>
      <c r="G462" s="68"/>
      <c r="H462" s="70"/>
      <c r="I462" s="69"/>
      <c r="J462" s="69"/>
      <c r="K462" s="67"/>
      <c r="L462" s="69"/>
      <c r="M462" s="69"/>
      <c r="N462" s="68"/>
      <c r="O462" s="74"/>
    </row>
    <row r="463" spans="2:15" x14ac:dyDescent="0.25">
      <c r="B463" s="76"/>
      <c r="C463" s="72"/>
      <c r="D463" s="67"/>
      <c r="E463" s="68"/>
      <c r="F463" s="68"/>
      <c r="G463" s="68"/>
      <c r="H463" s="70"/>
      <c r="I463" s="69"/>
      <c r="J463" s="69"/>
      <c r="K463" s="67"/>
      <c r="L463" s="69"/>
      <c r="M463" s="69"/>
      <c r="N463" s="68"/>
      <c r="O463" s="74"/>
    </row>
    <row r="464" spans="2:15" x14ac:dyDescent="0.25">
      <c r="B464" s="76"/>
      <c r="C464" s="72"/>
      <c r="D464" s="67"/>
      <c r="E464" s="68"/>
      <c r="F464" s="68"/>
      <c r="G464" s="68"/>
      <c r="H464" s="70"/>
      <c r="I464" s="69"/>
      <c r="J464" s="69"/>
      <c r="K464" s="67"/>
      <c r="L464" s="69"/>
      <c r="M464" s="69"/>
      <c r="N464" s="68"/>
      <c r="O464" s="74"/>
    </row>
    <row r="465" spans="2:15" x14ac:dyDescent="0.25">
      <c r="B465" s="76"/>
      <c r="C465" s="72"/>
      <c r="D465" s="67"/>
      <c r="E465" s="68"/>
      <c r="F465" s="68"/>
      <c r="G465" s="68"/>
      <c r="H465" s="70"/>
      <c r="I465" s="69"/>
      <c r="J465" s="69"/>
      <c r="K465" s="67"/>
      <c r="L465" s="69"/>
      <c r="M465" s="69"/>
      <c r="N465" s="68"/>
      <c r="O465" s="74"/>
    </row>
    <row r="466" spans="2:15" x14ac:dyDescent="0.25">
      <c r="B466" s="76"/>
      <c r="C466" s="72"/>
      <c r="D466" s="67"/>
      <c r="E466" s="68"/>
      <c r="F466" s="68"/>
      <c r="G466" s="68"/>
      <c r="H466" s="70"/>
      <c r="I466" s="69"/>
      <c r="J466" s="69"/>
      <c r="K466" s="67"/>
      <c r="L466" s="69"/>
      <c r="M466" s="69"/>
      <c r="N466" s="68"/>
      <c r="O466" s="74"/>
    </row>
    <row r="467" spans="2:15" x14ac:dyDescent="0.25">
      <c r="B467" s="76"/>
      <c r="C467" s="72"/>
      <c r="D467" s="67"/>
      <c r="E467" s="68"/>
      <c r="F467" s="68"/>
      <c r="G467" s="68"/>
      <c r="H467" s="70"/>
      <c r="I467" s="69"/>
      <c r="J467" s="69"/>
      <c r="K467" s="67"/>
      <c r="L467" s="69"/>
      <c r="M467" s="69"/>
      <c r="N467" s="68"/>
      <c r="O467" s="74"/>
    </row>
    <row r="468" spans="2:15" x14ac:dyDescent="0.25">
      <c r="B468" s="76"/>
      <c r="C468" s="72"/>
      <c r="D468" s="67"/>
      <c r="E468" s="68"/>
      <c r="F468" s="68"/>
      <c r="G468" s="68"/>
      <c r="H468" s="70"/>
      <c r="I468" s="69"/>
      <c r="J468" s="69"/>
      <c r="K468" s="67"/>
      <c r="L468" s="69"/>
      <c r="M468" s="69"/>
      <c r="N468" s="68"/>
      <c r="O468" s="74"/>
    </row>
    <row r="469" spans="2:15" x14ac:dyDescent="0.25">
      <c r="B469" s="76"/>
      <c r="C469" s="72"/>
      <c r="D469" s="67"/>
      <c r="E469" s="68"/>
      <c r="F469" s="68"/>
      <c r="G469" s="68"/>
      <c r="H469" s="70"/>
      <c r="I469" s="69"/>
      <c r="J469" s="69"/>
      <c r="K469" s="67"/>
      <c r="L469" s="69"/>
      <c r="M469" s="69"/>
      <c r="N469" s="68"/>
      <c r="O469" s="74"/>
    </row>
    <row r="470" spans="2:15" x14ac:dyDescent="0.25">
      <c r="B470" s="76"/>
      <c r="C470" s="72"/>
      <c r="D470" s="67"/>
      <c r="E470" s="68"/>
      <c r="F470" s="68"/>
      <c r="G470" s="68"/>
      <c r="H470" s="70"/>
      <c r="I470" s="69"/>
      <c r="J470" s="69"/>
      <c r="K470" s="67"/>
      <c r="L470" s="69"/>
      <c r="M470" s="69"/>
      <c r="N470" s="68"/>
      <c r="O470" s="74"/>
    </row>
    <row r="471" spans="2:15" x14ac:dyDescent="0.25">
      <c r="B471" s="76"/>
      <c r="C471" s="72"/>
      <c r="D471" s="67"/>
      <c r="E471" s="68"/>
      <c r="F471" s="68"/>
      <c r="G471" s="68"/>
      <c r="H471" s="70"/>
      <c r="I471" s="69"/>
      <c r="J471" s="69"/>
      <c r="K471" s="67"/>
      <c r="L471" s="69"/>
      <c r="M471" s="69"/>
      <c r="N471" s="68"/>
      <c r="O471" s="74"/>
    </row>
    <row r="472" spans="2:15" x14ac:dyDescent="0.25">
      <c r="B472" s="76"/>
      <c r="C472" s="72"/>
      <c r="D472" s="67"/>
      <c r="E472" s="68"/>
      <c r="F472" s="68"/>
      <c r="G472" s="68"/>
      <c r="H472" s="70"/>
      <c r="I472" s="69"/>
      <c r="J472" s="69"/>
      <c r="K472" s="67"/>
      <c r="L472" s="69"/>
      <c r="M472" s="69"/>
      <c r="N472" s="68"/>
      <c r="O472" s="74"/>
    </row>
    <row r="473" spans="2:15" x14ac:dyDescent="0.25">
      <c r="B473" s="76"/>
      <c r="C473" s="72"/>
      <c r="D473" s="67"/>
      <c r="E473" s="68"/>
      <c r="F473" s="68"/>
      <c r="G473" s="68"/>
      <c r="H473" s="70"/>
      <c r="I473" s="69"/>
      <c r="J473" s="69"/>
      <c r="K473" s="67"/>
      <c r="L473" s="69"/>
      <c r="M473" s="69"/>
      <c r="N473" s="68"/>
      <c r="O473" s="74"/>
    </row>
    <row r="474" spans="2:15" x14ac:dyDescent="0.25">
      <c r="B474" s="76"/>
      <c r="C474" s="72"/>
      <c r="D474" s="67"/>
      <c r="E474" s="68"/>
      <c r="F474" s="68"/>
      <c r="G474" s="68"/>
      <c r="H474" s="70"/>
      <c r="I474" s="69"/>
      <c r="J474" s="69"/>
      <c r="K474" s="67"/>
      <c r="L474" s="69"/>
      <c r="M474" s="69"/>
      <c r="N474" s="68"/>
      <c r="O474" s="74"/>
    </row>
    <row r="475" spans="2:15" x14ac:dyDescent="0.25">
      <c r="B475" s="76"/>
      <c r="C475" s="72"/>
      <c r="D475" s="67"/>
      <c r="E475" s="68"/>
      <c r="F475" s="68"/>
      <c r="G475" s="68"/>
      <c r="H475" s="70"/>
      <c r="I475" s="69"/>
      <c r="J475" s="69"/>
      <c r="K475" s="67"/>
      <c r="L475" s="69"/>
      <c r="M475" s="69"/>
      <c r="N475" s="68"/>
      <c r="O475" s="74"/>
    </row>
    <row r="476" spans="2:15" x14ac:dyDescent="0.25">
      <c r="B476" s="76"/>
      <c r="C476" s="72"/>
      <c r="D476" s="67"/>
      <c r="E476" s="68"/>
      <c r="F476" s="68"/>
      <c r="G476" s="68"/>
      <c r="H476" s="70"/>
      <c r="I476" s="69"/>
      <c r="J476" s="69"/>
      <c r="K476" s="67"/>
      <c r="L476" s="69"/>
      <c r="M476" s="69"/>
      <c r="N476" s="68"/>
      <c r="O476" s="74"/>
    </row>
    <row r="477" spans="2:15" x14ac:dyDescent="0.25">
      <c r="B477" s="76"/>
      <c r="C477" s="72"/>
      <c r="D477" s="67"/>
      <c r="E477" s="68"/>
      <c r="F477" s="68"/>
      <c r="G477" s="68"/>
      <c r="H477" s="70"/>
      <c r="I477" s="69"/>
      <c r="J477" s="69"/>
      <c r="K477" s="67"/>
      <c r="L477" s="69"/>
      <c r="M477" s="69"/>
      <c r="N477" s="68"/>
      <c r="O477" s="74"/>
    </row>
    <row r="478" spans="2:15" x14ac:dyDescent="0.25">
      <c r="B478" s="76"/>
      <c r="C478" s="72"/>
      <c r="D478" s="67"/>
      <c r="E478" s="68"/>
      <c r="F478" s="68"/>
      <c r="G478" s="68"/>
      <c r="H478" s="70"/>
      <c r="I478" s="69"/>
      <c r="J478" s="69"/>
      <c r="K478" s="67"/>
      <c r="L478" s="69"/>
      <c r="M478" s="69"/>
      <c r="N478" s="68"/>
      <c r="O478" s="74"/>
    </row>
    <row r="479" spans="2:15" x14ac:dyDescent="0.25">
      <c r="B479" s="76"/>
      <c r="C479" s="72"/>
      <c r="D479" s="67"/>
      <c r="E479" s="68"/>
      <c r="F479" s="68"/>
      <c r="G479" s="68"/>
      <c r="H479" s="70"/>
      <c r="I479" s="69"/>
      <c r="J479" s="69"/>
      <c r="K479" s="67"/>
      <c r="L479" s="69"/>
      <c r="M479" s="69"/>
      <c r="N479" s="68"/>
      <c r="O479" s="74"/>
    </row>
    <row r="480" spans="2:15" x14ac:dyDescent="0.25">
      <c r="B480" s="76"/>
      <c r="C480" s="72"/>
      <c r="D480" s="67"/>
      <c r="E480" s="68"/>
      <c r="F480" s="68"/>
      <c r="G480" s="68"/>
      <c r="H480" s="70"/>
      <c r="I480" s="69"/>
      <c r="J480" s="69"/>
      <c r="K480" s="67"/>
      <c r="L480" s="69"/>
      <c r="M480" s="69"/>
      <c r="N480" s="68"/>
      <c r="O480" s="74"/>
    </row>
    <row r="481" spans="2:15" x14ac:dyDescent="0.25">
      <c r="B481" s="76"/>
      <c r="C481" s="72"/>
      <c r="D481" s="67"/>
      <c r="E481" s="68"/>
      <c r="F481" s="68"/>
      <c r="G481" s="68"/>
      <c r="H481" s="70"/>
      <c r="I481" s="69"/>
      <c r="J481" s="69"/>
      <c r="K481" s="67"/>
      <c r="L481" s="69"/>
      <c r="M481" s="69"/>
      <c r="N481" s="68"/>
      <c r="O481" s="74"/>
    </row>
    <row r="482" spans="2:15" x14ac:dyDescent="0.25">
      <c r="B482" s="76"/>
      <c r="C482" s="72"/>
      <c r="D482" s="67"/>
      <c r="E482" s="68"/>
      <c r="F482" s="68"/>
      <c r="G482" s="68"/>
      <c r="H482" s="70"/>
      <c r="I482" s="69"/>
      <c r="J482" s="69"/>
      <c r="K482" s="67"/>
      <c r="L482" s="69"/>
      <c r="M482" s="69"/>
      <c r="N482" s="68"/>
      <c r="O482" s="74"/>
    </row>
    <row r="483" spans="2:15" x14ac:dyDescent="0.25">
      <c r="B483" s="76"/>
      <c r="C483" s="72"/>
      <c r="D483" s="67"/>
      <c r="E483" s="68"/>
      <c r="F483" s="68"/>
      <c r="G483" s="68"/>
      <c r="H483" s="70"/>
      <c r="I483" s="69"/>
      <c r="J483" s="69"/>
      <c r="K483" s="67"/>
      <c r="L483" s="69"/>
      <c r="M483" s="69"/>
      <c r="N483" s="68"/>
      <c r="O483" s="74"/>
    </row>
    <row r="484" spans="2:15" x14ac:dyDescent="0.25">
      <c r="B484" s="76"/>
      <c r="C484" s="72"/>
      <c r="D484" s="67"/>
      <c r="E484" s="68"/>
      <c r="F484" s="68"/>
      <c r="G484" s="68"/>
      <c r="H484" s="70"/>
      <c r="I484" s="69"/>
      <c r="J484" s="69"/>
      <c r="K484" s="67"/>
      <c r="L484" s="69"/>
      <c r="M484" s="69"/>
      <c r="N484" s="68"/>
      <c r="O484" s="74"/>
    </row>
    <row r="485" spans="2:15" x14ac:dyDescent="0.25">
      <c r="B485" s="76"/>
      <c r="C485" s="72"/>
      <c r="D485" s="67"/>
      <c r="E485" s="68"/>
      <c r="F485" s="68"/>
      <c r="G485" s="68"/>
      <c r="H485" s="70"/>
      <c r="I485" s="69"/>
      <c r="J485" s="69"/>
      <c r="K485" s="67"/>
      <c r="L485" s="69"/>
      <c r="M485" s="69"/>
      <c r="N485" s="68"/>
      <c r="O485" s="74"/>
    </row>
    <row r="486" spans="2:15" x14ac:dyDescent="0.25">
      <c r="B486" s="76"/>
      <c r="C486" s="72"/>
      <c r="D486" s="67"/>
      <c r="E486" s="68"/>
      <c r="F486" s="68"/>
      <c r="G486" s="68"/>
      <c r="H486" s="70"/>
      <c r="I486" s="69"/>
      <c r="J486" s="69"/>
      <c r="K486" s="67"/>
      <c r="L486" s="69"/>
      <c r="M486" s="69"/>
      <c r="N486" s="68"/>
      <c r="O486" s="74"/>
    </row>
    <row r="487" spans="2:15" x14ac:dyDescent="0.25">
      <c r="B487" s="76"/>
      <c r="C487" s="72"/>
      <c r="D487" s="67"/>
      <c r="E487" s="68"/>
      <c r="F487" s="68"/>
      <c r="G487" s="68"/>
      <c r="H487" s="70"/>
      <c r="I487" s="69"/>
      <c r="J487" s="69"/>
      <c r="K487" s="67"/>
      <c r="L487" s="69"/>
      <c r="M487" s="69"/>
      <c r="N487" s="68"/>
      <c r="O487" s="74"/>
    </row>
    <row r="488" spans="2:15" x14ac:dyDescent="0.25">
      <c r="B488" s="76"/>
      <c r="C488" s="72"/>
      <c r="D488" s="67"/>
      <c r="E488" s="68"/>
      <c r="F488" s="68"/>
      <c r="G488" s="68"/>
      <c r="H488" s="70"/>
      <c r="I488" s="69"/>
      <c r="J488" s="69"/>
      <c r="K488" s="67"/>
      <c r="L488" s="69"/>
      <c r="M488" s="69"/>
      <c r="N488" s="68"/>
      <c r="O488" s="74"/>
    </row>
    <row r="489" spans="2:15" x14ac:dyDescent="0.25">
      <c r="B489" s="76"/>
      <c r="C489" s="72"/>
      <c r="D489" s="67"/>
      <c r="E489" s="68"/>
      <c r="F489" s="68"/>
      <c r="G489" s="68"/>
      <c r="H489" s="70"/>
      <c r="I489" s="69"/>
      <c r="J489" s="69"/>
      <c r="K489" s="67"/>
      <c r="L489" s="69"/>
      <c r="M489" s="69"/>
      <c r="N489" s="68"/>
      <c r="O489" s="74"/>
    </row>
    <row r="490" spans="2:15" x14ac:dyDescent="0.25">
      <c r="B490" s="76"/>
      <c r="C490" s="72"/>
      <c r="D490" s="67"/>
      <c r="E490" s="68"/>
      <c r="F490" s="68"/>
      <c r="G490" s="68"/>
      <c r="H490" s="70"/>
      <c r="I490" s="69"/>
      <c r="J490" s="69"/>
      <c r="K490" s="67"/>
      <c r="L490" s="69"/>
      <c r="M490" s="69"/>
      <c r="N490" s="68"/>
      <c r="O490" s="74"/>
    </row>
    <row r="491" spans="2:15" x14ac:dyDescent="0.25">
      <c r="B491" s="76"/>
      <c r="C491" s="72"/>
      <c r="D491" s="67"/>
      <c r="E491" s="68"/>
      <c r="F491" s="68"/>
      <c r="G491" s="68"/>
      <c r="H491" s="70"/>
      <c r="I491" s="69"/>
      <c r="J491" s="69"/>
      <c r="K491" s="67"/>
      <c r="L491" s="69"/>
      <c r="M491" s="69"/>
      <c r="N491" s="68"/>
      <c r="O491" s="74"/>
    </row>
    <row r="492" spans="2:15" x14ac:dyDescent="0.25">
      <c r="B492" s="76"/>
      <c r="C492" s="72"/>
      <c r="D492" s="67"/>
      <c r="E492" s="68"/>
      <c r="F492" s="68"/>
      <c r="G492" s="68"/>
      <c r="H492" s="70"/>
      <c r="I492" s="69"/>
      <c r="J492" s="69"/>
      <c r="K492" s="67"/>
      <c r="L492" s="69"/>
      <c r="M492" s="69"/>
      <c r="N492" s="68"/>
      <c r="O492" s="74"/>
    </row>
    <row r="493" spans="2:15" x14ac:dyDescent="0.25">
      <c r="B493" s="76"/>
      <c r="C493" s="72"/>
      <c r="D493" s="67"/>
      <c r="E493" s="68"/>
      <c r="F493" s="68"/>
      <c r="G493" s="68"/>
      <c r="H493" s="70"/>
      <c r="I493" s="69"/>
      <c r="J493" s="69"/>
      <c r="K493" s="67"/>
      <c r="L493" s="69"/>
      <c r="M493" s="69"/>
      <c r="N493" s="68"/>
      <c r="O493" s="74"/>
    </row>
    <row r="494" spans="2:15" x14ac:dyDescent="0.25">
      <c r="B494" s="76"/>
      <c r="C494" s="72"/>
      <c r="D494" s="67"/>
      <c r="E494" s="68"/>
      <c r="F494" s="68"/>
      <c r="G494" s="68"/>
      <c r="H494" s="70"/>
      <c r="I494" s="69"/>
      <c r="J494" s="69"/>
      <c r="K494" s="67"/>
      <c r="L494" s="69"/>
      <c r="M494" s="69"/>
      <c r="N494" s="68"/>
      <c r="O494" s="74"/>
    </row>
    <row r="495" spans="2:15" x14ac:dyDescent="0.25">
      <c r="B495" s="76"/>
      <c r="C495" s="72"/>
      <c r="D495" s="67"/>
      <c r="E495" s="68"/>
      <c r="F495" s="68"/>
      <c r="G495" s="68"/>
      <c r="H495" s="70"/>
      <c r="I495" s="69"/>
      <c r="J495" s="69"/>
      <c r="K495" s="67"/>
      <c r="L495" s="69"/>
      <c r="M495" s="69"/>
      <c r="N495" s="68"/>
      <c r="O495" s="74"/>
    </row>
    <row r="496" spans="2:15" x14ac:dyDescent="0.25">
      <c r="B496" s="76"/>
      <c r="C496" s="72"/>
      <c r="D496" s="67"/>
      <c r="E496" s="68"/>
      <c r="F496" s="68"/>
      <c r="G496" s="68"/>
      <c r="H496" s="70"/>
      <c r="I496" s="69"/>
      <c r="J496" s="69"/>
      <c r="K496" s="67"/>
      <c r="L496" s="69"/>
      <c r="M496" s="69"/>
      <c r="N496" s="68"/>
      <c r="O496" s="74"/>
    </row>
    <row r="497" spans="2:15" x14ac:dyDescent="0.25">
      <c r="B497" s="76"/>
      <c r="C497" s="72"/>
      <c r="D497" s="67"/>
      <c r="E497" s="68"/>
      <c r="F497" s="68"/>
      <c r="G497" s="68"/>
      <c r="H497" s="70"/>
      <c r="I497" s="69"/>
      <c r="J497" s="69"/>
      <c r="K497" s="67"/>
      <c r="L497" s="69"/>
      <c r="M497" s="69"/>
      <c r="N497" s="68"/>
      <c r="O497" s="74"/>
    </row>
    <row r="498" spans="2:15" x14ac:dyDescent="0.25">
      <c r="B498" s="76"/>
      <c r="C498" s="72"/>
      <c r="D498" s="67"/>
      <c r="E498" s="68"/>
      <c r="F498" s="68"/>
      <c r="G498" s="68"/>
      <c r="H498" s="70"/>
      <c r="I498" s="69"/>
      <c r="J498" s="69"/>
      <c r="K498" s="67"/>
      <c r="L498" s="69"/>
      <c r="M498" s="69"/>
      <c r="N498" s="68"/>
      <c r="O498" s="74"/>
    </row>
    <row r="499" spans="2:15" x14ac:dyDescent="0.25">
      <c r="B499" s="76"/>
      <c r="C499" s="72"/>
      <c r="D499" s="67"/>
      <c r="E499" s="68"/>
      <c r="F499" s="68"/>
      <c r="G499" s="68"/>
      <c r="H499" s="70"/>
      <c r="I499" s="69"/>
      <c r="J499" s="69"/>
      <c r="K499" s="67"/>
      <c r="L499" s="69"/>
      <c r="M499" s="69"/>
      <c r="N499" s="68"/>
      <c r="O499" s="74"/>
    </row>
    <row r="500" spans="2:15" x14ac:dyDescent="0.25">
      <c r="B500" s="76"/>
      <c r="C500" s="72"/>
      <c r="D500" s="67"/>
      <c r="E500" s="68"/>
      <c r="F500" s="68"/>
      <c r="G500" s="68"/>
      <c r="H500" s="70"/>
      <c r="I500" s="69"/>
      <c r="J500" s="69"/>
      <c r="K500" s="67"/>
      <c r="L500" s="69"/>
      <c r="M500" s="69"/>
      <c r="N500" s="68"/>
      <c r="O500" s="74"/>
    </row>
    <row r="501" spans="2:15" x14ac:dyDescent="0.25">
      <c r="B501" s="76"/>
      <c r="C501" s="72"/>
      <c r="D501" s="67"/>
      <c r="E501" s="68"/>
      <c r="F501" s="68"/>
      <c r="G501" s="68"/>
      <c r="H501" s="70"/>
      <c r="I501" s="69"/>
      <c r="J501" s="69"/>
      <c r="K501" s="67"/>
      <c r="L501" s="69"/>
      <c r="M501" s="69"/>
      <c r="N501" s="68"/>
      <c r="O501" s="74"/>
    </row>
    <row r="502" spans="2:15" x14ac:dyDescent="0.25">
      <c r="B502" s="76"/>
      <c r="C502" s="72"/>
      <c r="D502" s="67"/>
      <c r="E502" s="68"/>
      <c r="F502" s="68"/>
      <c r="G502" s="68"/>
      <c r="H502" s="70"/>
      <c r="I502" s="69"/>
      <c r="J502" s="69"/>
      <c r="K502" s="67"/>
      <c r="L502" s="69"/>
      <c r="M502" s="69"/>
      <c r="N502" s="68"/>
      <c r="O502" s="74"/>
    </row>
    <row r="503" spans="2:15" x14ac:dyDescent="0.25">
      <c r="B503" s="76"/>
      <c r="C503" s="72"/>
      <c r="D503" s="67"/>
      <c r="E503" s="68"/>
      <c r="F503" s="68"/>
      <c r="G503" s="68"/>
      <c r="H503" s="70"/>
      <c r="I503" s="69"/>
      <c r="J503" s="69"/>
      <c r="K503" s="67"/>
      <c r="L503" s="69"/>
      <c r="M503" s="69"/>
      <c r="N503" s="68"/>
      <c r="O503" s="74"/>
    </row>
    <row r="504" spans="2:15" x14ac:dyDescent="0.25">
      <c r="B504" s="76"/>
      <c r="C504" s="72"/>
      <c r="D504" s="67"/>
      <c r="E504" s="68"/>
      <c r="F504" s="68"/>
      <c r="G504" s="68"/>
      <c r="H504" s="70"/>
      <c r="I504" s="69"/>
      <c r="J504" s="69"/>
      <c r="K504" s="67"/>
      <c r="L504" s="69"/>
      <c r="M504" s="69"/>
      <c r="N504" s="68"/>
      <c r="O504" s="74"/>
    </row>
    <row r="505" spans="2:15" x14ac:dyDescent="0.25">
      <c r="B505" s="76"/>
      <c r="C505" s="72"/>
      <c r="D505" s="67"/>
      <c r="E505" s="68"/>
      <c r="F505" s="68"/>
      <c r="G505" s="68"/>
      <c r="H505" s="70"/>
      <c r="I505" s="69"/>
      <c r="J505" s="69"/>
      <c r="K505" s="67"/>
      <c r="L505" s="69"/>
      <c r="M505" s="69"/>
      <c r="N505" s="68"/>
      <c r="O505" s="74"/>
    </row>
    <row r="506" spans="2:15" x14ac:dyDescent="0.25">
      <c r="B506" s="76"/>
      <c r="C506" s="72"/>
      <c r="D506" s="67"/>
      <c r="E506" s="68"/>
      <c r="F506" s="68"/>
      <c r="G506" s="68"/>
      <c r="H506" s="70"/>
      <c r="I506" s="69"/>
      <c r="J506" s="69"/>
      <c r="K506" s="67"/>
      <c r="L506" s="69"/>
      <c r="M506" s="69"/>
      <c r="N506" s="68"/>
      <c r="O506" s="74"/>
    </row>
    <row r="507" spans="2:15" x14ac:dyDescent="0.25">
      <c r="B507" s="76"/>
      <c r="C507" s="72"/>
      <c r="D507" s="67"/>
      <c r="E507" s="68"/>
      <c r="F507" s="68"/>
      <c r="G507" s="68"/>
      <c r="H507" s="70"/>
      <c r="I507" s="69"/>
      <c r="J507" s="69"/>
      <c r="K507" s="67"/>
      <c r="L507" s="69"/>
      <c r="M507" s="69"/>
      <c r="N507" s="68"/>
      <c r="O507" s="74"/>
    </row>
  </sheetData>
  <sheetProtection password="930D" sheet="1" objects="1" scenarios="1" formatColumns="0" autoFilter="0"/>
  <mergeCells count="4">
    <mergeCell ref="B5:C5"/>
    <mergeCell ref="B6:E6"/>
    <mergeCell ref="F6:G6"/>
    <mergeCell ref="H6:M6"/>
  </mergeCells>
  <conditionalFormatting sqref="B8:O507">
    <cfRule type="expression" dxfId="57" priority="12">
      <formula>AND($B8&lt;&gt;"",MOD(ROW(),2)=0)</formula>
    </cfRule>
  </conditionalFormatting>
  <conditionalFormatting sqref="C8:C507">
    <cfRule type="expression" dxfId="56" priority="1">
      <formula>$C8="INCONSISTENTE"</formula>
    </cfRule>
    <cfRule type="expression" dxfId="55" priority="2">
      <formula>$C8="AGOTADO"</formula>
    </cfRule>
    <cfRule type="expression" dxfId="54" priority="3">
      <formula>$C8="CRÍTICO"</formula>
    </cfRule>
    <cfRule type="expression" dxfId="53" priority="4">
      <formula>$C8="BAJO"</formula>
    </cfRule>
    <cfRule type="expression" dxfId="52" priority="5">
      <formula>$C8="ÓPTIMO"</formula>
    </cfRule>
    <cfRule type="expression" dxfId="51" priority="6">
      <formula>$C8="SOBRESTOCK"</formula>
    </cfRule>
    <cfRule type="expression" dxfId="50" priority="7">
      <formula>$C8="INACTIVO"</formula>
    </cfRule>
  </conditionalFormatting>
  <conditionalFormatting sqref="F6:G6">
    <cfRule type="expression" dxfId="49" priority="13">
      <formula>kpiNuevosDesdeCalculo=0</formula>
    </cfRule>
    <cfRule type="expression" dxfId="48" priority="14">
      <formula>kpiNuevosDesdeCalculo&gt;0</formula>
    </cfRule>
  </conditionalFormatting>
  <conditionalFormatting sqref="H8:H507">
    <cfRule type="expression" dxfId="47" priority="8">
      <formula>AND(ISNUMBER(H8),H8&lt;&gt;INT(H8))</formula>
    </cfRule>
  </conditionalFormatting>
  <conditionalFormatting sqref="L8:L507">
    <cfRule type="expression" dxfId="46" priority="9">
      <formula>AND(ISNUMBER(L8),L8&lt;&gt;INT(L8))</formula>
    </cfRule>
  </conditionalFormatting>
  <conditionalFormatting sqref="M8:M507">
    <cfRule type="expression" dxfId="45" priority="10">
      <formula>AND(ISNUMBER(M8),M8&lt;&gt;INT(M8))</formula>
    </cfRule>
    <cfRule type="cellIs" dxfId="44" priority="11" operator="greaterThan">
      <formula>0</formula>
    </cfRule>
  </conditionalFormatting>
  <hyperlinks>
    <hyperlink ref="B5" location="'00_PORTADA_BODEGA'!A1" tooltip="Portada de Bodega" display="⌂ Bodega" xr:uid="{00000000-0004-0000-0E00-000000000000}"/>
    <hyperlink ref="D5" location="'00_PORTADA_VENTAS'!A1" tooltip="Portada de Ventas" display="⌂ Ventas" xr:uid="{00000000-0004-0000-0E00-000001000000}"/>
    <hyperlink ref="E5" location="'00_PORTADA_GERENCIA'!A1" tooltip="Portada de Gerencia: indicadores, pedido y actividad" display="◈ Gerencia" xr:uid="{00000000-0004-0000-0E00-000002000000}"/>
    <hyperlink ref="F5" location="'10A_ENTRADAS'!C9" tooltip="Registrar entradas y ajustes (Bodega)" display="⇩ Entradas" xr:uid="{00000000-0004-0000-0E00-000003000000}"/>
    <hyperlink ref="G5" location="'10B_SALIDAS'!E9" tooltip="Registrar salidas (Ventas)" display="⇧ Salidas" xr:uid="{00000000-0004-0000-0E00-000004000000}"/>
    <hyperlink ref="H5" location="'17_CONSULTA'!C9" tooltip="Consultar un producto en su fila" display="⌕ Consulta" xr:uid="{00000000-0004-0000-0E00-000005000000}"/>
    <hyperlink ref="I5" location="'15_STOCK'!A1" tooltip="Stock (instantánea recalculada a demanda)" display="▦ Stock" xr:uid="{00000000-0004-0000-0E00-000006000000}"/>
    <hyperlink ref="J5" location="'18_PEDIDO'!A1" tooltip="Pedido sugerido por proveedor" display="✚ Pedido" xr:uid="{00000000-0004-0000-0E00-000007000000}"/>
    <hyperlink ref="K5" location="'13_CONTEO'!I9" tooltip="Toma física (conteo) colaborativa" display="✓ Conteo" xr:uid="{00000000-0004-0000-0E00-000008000000}"/>
    <hyperlink ref="L5" location="'99_AYUDA'!A1" tooltip="Guía de uso, acceso e instalación" display="? Guía" xr:uid="{00000000-0004-0000-0E00-000009000000}"/>
  </hyperlinks>
  <pageMargins left="0.7" right="0.7" top="0.75" bottom="0.75" header="0.3" footer="0.3"/>
  <pageSetup fitToHeight="0" orientation="landscape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796B"/>
    <pageSetUpPr fitToPage="1"/>
  </sheetPr>
  <dimension ref="B1:S35"/>
  <sheetViews>
    <sheetView showGridLines="0" showRowColHeaders="0" zoomScale="85" zoomScaleNormal="85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C9" sqref="C9"/>
    </sheetView>
  </sheetViews>
  <sheetFormatPr baseColWidth="10" defaultColWidth="0" defaultRowHeight="15" zeroHeight="1" x14ac:dyDescent="0.25"/>
  <cols>
    <col min="1" max="1" width="2.28515625" customWidth="1"/>
    <col min="2" max="2" width="24" customWidth="1"/>
    <col min="3" max="3" width="41.42578125" customWidth="1"/>
    <col min="4" max="4" width="14.85546875" customWidth="1"/>
    <col min="5" max="5" width="18.5703125" customWidth="1"/>
    <col min="6" max="7" width="12.85546875" customWidth="1"/>
    <col min="8" max="8" width="13.7109375" customWidth="1"/>
    <col min="9" max="9" width="30" customWidth="1"/>
    <col min="10" max="10" width="16" customWidth="1"/>
    <col min="11" max="11" width="47.140625" customWidth="1"/>
    <col min="12" max="13" width="16" customWidth="1"/>
    <col min="14" max="14" width="19.140625" customWidth="1"/>
    <col min="15" max="15" width="17.140625" customWidth="1"/>
    <col min="16" max="16" width="31.42578125" hidden="1" customWidth="1"/>
    <col min="17" max="17" width="12" hidden="1" customWidth="1"/>
    <col min="18" max="19" width="15.7109375" hidden="1" customWidth="1"/>
    <col min="20" max="20" width="2.28515625" customWidth="1"/>
    <col min="21" max="21" width="0" hidden="1" customWidth="1"/>
  </cols>
  <sheetData>
    <row r="1" spans="2:19" s="1" customFormat="1" ht="4.5" customHeight="1" x14ac:dyDescent="0.25"/>
    <row r="2" spans="2:19" s="1" customFormat="1" ht="22.5" customHeight="1" x14ac:dyDescent="0.25">
      <c r="B2" s="2" t="s">
        <v>238</v>
      </c>
    </row>
    <row r="3" spans="2:19" s="1" customFormat="1" ht="14.25" x14ac:dyDescent="0.25">
      <c r="B3" s="16" t="s">
        <v>239</v>
      </c>
    </row>
    <row r="4" spans="2:19" s="1" customFormat="1" ht="4.5" customHeight="1" x14ac:dyDescent="0.25"/>
    <row r="5" spans="2:19" s="4" customFormat="1" ht="21" customHeight="1" x14ac:dyDescent="0.25">
      <c r="B5" s="6" t="s">
        <v>82</v>
      </c>
      <c r="C5" s="6" t="s">
        <v>83</v>
      </c>
      <c r="D5" s="6" t="s">
        <v>84</v>
      </c>
      <c r="E5" s="6" t="s">
        <v>85</v>
      </c>
      <c r="F5" s="6" t="s">
        <v>86</v>
      </c>
      <c r="G5" s="5" t="s">
        <v>87</v>
      </c>
      <c r="H5" s="6" t="s">
        <v>88</v>
      </c>
      <c r="I5" s="6" t="s">
        <v>89</v>
      </c>
      <c r="J5" s="6" t="s">
        <v>90</v>
      </c>
      <c r="K5" s="6" t="s">
        <v>91</v>
      </c>
    </row>
    <row r="6" spans="2:19" s="7" customFormat="1" ht="22.5" customHeight="1" x14ac:dyDescent="0.25">
      <c r="B6" s="39" t="str">
        <f>"Consultas abiertas: "&amp;COUNTIF(tblConsulta[Producto],"?*")</f>
        <v>Consultas abiertas: 0</v>
      </c>
      <c r="C6" s="130" t="s">
        <v>240</v>
      </c>
      <c r="D6" s="130"/>
      <c r="E6" s="130"/>
      <c r="F6" s="130"/>
      <c r="G6" s="130"/>
    </row>
    <row r="7" spans="2:19" s="7" customFormat="1" ht="16.5" customHeight="1" x14ac:dyDescent="0.25">
      <c r="B7" s="7" t="s">
        <v>241</v>
      </c>
    </row>
    <row r="8" spans="2:19" ht="24" customHeight="1" x14ac:dyDescent="0.25">
      <c r="B8" s="18" t="s">
        <v>179</v>
      </c>
      <c r="C8" s="19" t="s">
        <v>115</v>
      </c>
      <c r="D8" s="18" t="s">
        <v>184</v>
      </c>
      <c r="E8" s="18" t="s">
        <v>56</v>
      </c>
      <c r="F8" s="18" t="s">
        <v>233</v>
      </c>
      <c r="G8" s="18" t="s">
        <v>234</v>
      </c>
      <c r="H8" s="18" t="s">
        <v>242</v>
      </c>
      <c r="I8" s="18" t="s">
        <v>103</v>
      </c>
      <c r="J8" s="18" t="s">
        <v>121</v>
      </c>
      <c r="K8" s="18" t="s">
        <v>243</v>
      </c>
      <c r="L8" s="18" t="s">
        <v>244</v>
      </c>
      <c r="M8" s="18" t="s">
        <v>225</v>
      </c>
      <c r="N8" s="18" t="s">
        <v>226</v>
      </c>
      <c r="O8" s="18" t="s">
        <v>4</v>
      </c>
      <c r="P8" s="18" t="s">
        <v>92</v>
      </c>
      <c r="Q8" s="18" t="s">
        <v>114</v>
      </c>
      <c r="R8" s="18" t="s">
        <v>245</v>
      </c>
      <c r="S8" s="18" t="s">
        <v>246</v>
      </c>
    </row>
    <row r="9" spans="2:19" ht="18" customHeight="1" x14ac:dyDescent="0.25">
      <c r="B9" s="50" t="str">
        <f>IFERROR(INDEX(tblUsuarios[Nombre],MATCH(ROW()-ROW(tblConsulta[#Headers]),tblUsuarios[OrdenConsulta],0)),"")</f>
        <v/>
      </c>
      <c r="C9" s="51"/>
      <c r="D9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9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9" s="57" t="str">
        <f>IF(tblConsulta[[#This Row],[SKU]]="","",IFERROR(N(INDEX(tblProductos[StockMin],MATCH(tblConsulta[[#This Row],[SKU]],tblProductos[SKU],0))),""))</f>
        <v/>
      </c>
      <c r="G9" s="57" t="str">
        <f>IF(tblConsulta[[#This Row],[SKU]]="","",IFERROR(N(INDEX(tblProductos[StockMax],MATCH(tblConsulta[[#This Row],[SKU]],tblProductos[SKU],0))),""))</f>
        <v/>
      </c>
      <c r="H9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9" s="50" t="str">
        <f>IF(tblConsulta[[#This Row],[SKU]]="","",IFERROR(INDEX(tblProductos[Proveedor],MATCH(tblConsulta[[#This Row],[SKU]],tblProductos[SKU],0))&amp;"",""))</f>
        <v/>
      </c>
      <c r="J9" s="43" t="str">
        <f>IF(tblConsulta[[#This Row],[SKU]]="","",IFERROR(INDEX(tblProductos[Ubicación],MATCH(tblConsulta[[#This Row],[SKU]],tblProductos[SKU],0))&amp;"",""))</f>
        <v/>
      </c>
      <c r="K9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9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9" s="57" t="str">
        <f ca="1">IF(tblConsulta[[#This Row],[SKU]]="","",-SUMIFS(tblSalidas[CantidadNeta],tblSalidas[SKU],tblConsulta[[#This Row],[SKU]],tblSalidas[Estado],"✔*",tblSalidas[Fecha],"&gt;="&amp;(TODAY()-29)))</f>
        <v/>
      </c>
      <c r="N9" s="77" t="str">
        <f ca="1">IF(OR(tblConsulta[[#This Row],[SKU]]="",N(tblConsulta[[#This Row],[Salidas30d]])&lt;=0),"",INT(MAX(0,tblConsulta[[#This Row],[Disponible]])/(tblConsulta[[#This Row],[Salidas30d]]/30)))</f>
        <v/>
      </c>
      <c r="O9" s="78" t="str">
        <f>IF(tblConsulta[[#This Row],[SKU]]="","",MAX(0,N(tblConsulta[[#This Row],[Disponible]]))*IFERROR(N(INDEX(tblProductos[CostoUnitario],MATCH(tblConsulta[[#This Row],[SKU]],tblProductos[SKU],0))),0))</f>
        <v/>
      </c>
      <c r="P9" s="50" t="str">
        <f>IFERROR(INDEX(tblUsuarios[Correo],MATCH(ROW()-ROW(tblConsulta[#Headers]),tblUsuarios[OrdenConsulta],0)),"")</f>
        <v/>
      </c>
      <c r="Q9" s="43" t="str">
        <f>IF(tblConsulta[[#This Row],[Producto]]="","",TRIM(LEFT(tblConsulta[[#This Row],[Producto]],FIND(" · ",tblConsulta[[#This Row],[Producto]]&amp;" · ")-1)))</f>
        <v/>
      </c>
      <c r="R9" s="57">
        <f>IF(tblConsulta[[#This Row],[SKU]]="",0,IFERROR(_xlfn.AGGREGATE(14,6,tblEntradas[Timestamp]/((tblEntradas[SKU]=tblConsulta[[#This Row],[SKU]])*(LEFT(tblEntradas[Estado],1)="✔")),1),0))</f>
        <v>0</v>
      </c>
      <c r="S9" s="57">
        <f>IF(tblConsulta[[#This Row],[SKU]]="",0,IFERROR(_xlfn.AGGREGATE(14,6,tblSalidas[Timestamp]/((tblSalidas[SKU]=tblConsulta[[#This Row],[SKU]])*(LEFT(tblSalidas[Estado],1)="✔")),1),0))</f>
        <v>0</v>
      </c>
    </row>
    <row r="10" spans="2:19" ht="18" customHeight="1" x14ac:dyDescent="0.25">
      <c r="B10" s="50" t="str">
        <f>IFERROR(INDEX(tblUsuarios[Nombre],MATCH(ROW()-ROW(tblConsulta[#Headers]),tblUsuarios[OrdenConsulta],0)),"")</f>
        <v/>
      </c>
      <c r="C10" s="51"/>
      <c r="D10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0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0" s="57" t="str">
        <f>IF(tblConsulta[[#This Row],[SKU]]="","",IFERROR(N(INDEX(tblProductos[StockMin],MATCH(tblConsulta[[#This Row],[SKU]],tblProductos[SKU],0))),""))</f>
        <v/>
      </c>
      <c r="G10" s="57" t="str">
        <f>IF(tblConsulta[[#This Row],[SKU]]="","",IFERROR(N(INDEX(tblProductos[StockMax],MATCH(tblConsulta[[#This Row],[SKU]],tblProductos[SKU],0))),""))</f>
        <v/>
      </c>
      <c r="H10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0" s="50" t="str">
        <f>IF(tblConsulta[[#This Row],[SKU]]="","",IFERROR(INDEX(tblProductos[Proveedor],MATCH(tblConsulta[[#This Row],[SKU]],tblProductos[SKU],0))&amp;"",""))</f>
        <v/>
      </c>
      <c r="J10" s="43" t="str">
        <f>IF(tblConsulta[[#This Row],[SKU]]="","",IFERROR(INDEX(tblProductos[Ubicación],MATCH(tblConsulta[[#This Row],[SKU]],tblProductos[SKU],0))&amp;"",""))</f>
        <v/>
      </c>
      <c r="K10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0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0" s="57" t="str">
        <f ca="1">IF(tblConsulta[[#This Row],[SKU]]="","",-SUMIFS(tblSalidas[CantidadNeta],tblSalidas[SKU],tblConsulta[[#This Row],[SKU]],tblSalidas[Estado],"✔*",tblSalidas[Fecha],"&gt;="&amp;(TODAY()-29)))</f>
        <v/>
      </c>
      <c r="N10" s="77" t="str">
        <f ca="1">IF(OR(tblConsulta[[#This Row],[SKU]]="",N(tblConsulta[[#This Row],[Salidas30d]])&lt;=0),"",INT(MAX(0,tblConsulta[[#This Row],[Disponible]])/(tblConsulta[[#This Row],[Salidas30d]]/30)))</f>
        <v/>
      </c>
      <c r="O10" s="78" t="str">
        <f>IF(tblConsulta[[#This Row],[SKU]]="","",MAX(0,N(tblConsulta[[#This Row],[Disponible]]))*IFERROR(N(INDEX(tblProductos[CostoUnitario],MATCH(tblConsulta[[#This Row],[SKU]],tblProductos[SKU],0))),0))</f>
        <v/>
      </c>
      <c r="P10" s="50" t="str">
        <f>IFERROR(INDEX(tblUsuarios[Correo],MATCH(ROW()-ROW(tblConsulta[#Headers]),tblUsuarios[OrdenConsulta],0)),"")</f>
        <v/>
      </c>
      <c r="Q10" s="43" t="str">
        <f>IF(tblConsulta[[#This Row],[Producto]]="","",TRIM(LEFT(tblConsulta[[#This Row],[Producto]],FIND(" · ",tblConsulta[[#This Row],[Producto]]&amp;" · ")-1)))</f>
        <v/>
      </c>
      <c r="R10" s="57">
        <f>IF(tblConsulta[[#This Row],[SKU]]="",0,IFERROR(_xlfn.AGGREGATE(14,6,tblEntradas[Timestamp]/((tblEntradas[SKU]=tblConsulta[[#This Row],[SKU]])*(LEFT(tblEntradas[Estado],1)="✔")),1),0))</f>
        <v>0</v>
      </c>
      <c r="S10" s="57">
        <f>IF(tblConsulta[[#This Row],[SKU]]="",0,IFERROR(_xlfn.AGGREGATE(14,6,tblSalidas[Timestamp]/((tblSalidas[SKU]=tblConsulta[[#This Row],[SKU]])*(LEFT(tblSalidas[Estado],1)="✔")),1),0))</f>
        <v>0</v>
      </c>
    </row>
    <row r="11" spans="2:19" ht="18" customHeight="1" x14ac:dyDescent="0.25">
      <c r="B11" s="50" t="str">
        <f>IFERROR(INDEX(tblUsuarios[Nombre],MATCH(ROW()-ROW(tblConsulta[#Headers]),tblUsuarios[OrdenConsulta],0)),"")</f>
        <v/>
      </c>
      <c r="C11" s="51"/>
      <c r="D11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1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1" s="57" t="str">
        <f>IF(tblConsulta[[#This Row],[SKU]]="","",IFERROR(N(INDEX(tblProductos[StockMin],MATCH(tblConsulta[[#This Row],[SKU]],tblProductos[SKU],0))),""))</f>
        <v/>
      </c>
      <c r="G11" s="57" t="str">
        <f>IF(tblConsulta[[#This Row],[SKU]]="","",IFERROR(N(INDEX(tblProductos[StockMax],MATCH(tblConsulta[[#This Row],[SKU]],tblProductos[SKU],0))),""))</f>
        <v/>
      </c>
      <c r="H11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1" s="50" t="str">
        <f>IF(tblConsulta[[#This Row],[SKU]]="","",IFERROR(INDEX(tblProductos[Proveedor],MATCH(tblConsulta[[#This Row],[SKU]],tblProductos[SKU],0))&amp;"",""))</f>
        <v/>
      </c>
      <c r="J11" s="43" t="str">
        <f>IF(tblConsulta[[#This Row],[SKU]]="","",IFERROR(INDEX(tblProductos[Ubicación],MATCH(tblConsulta[[#This Row],[SKU]],tblProductos[SKU],0))&amp;"",""))</f>
        <v/>
      </c>
      <c r="K11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1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1" s="57" t="str">
        <f ca="1">IF(tblConsulta[[#This Row],[SKU]]="","",-SUMIFS(tblSalidas[CantidadNeta],tblSalidas[SKU],tblConsulta[[#This Row],[SKU]],tblSalidas[Estado],"✔*",tblSalidas[Fecha],"&gt;="&amp;(TODAY()-29)))</f>
        <v/>
      </c>
      <c r="N11" s="77" t="str">
        <f ca="1">IF(OR(tblConsulta[[#This Row],[SKU]]="",N(tblConsulta[[#This Row],[Salidas30d]])&lt;=0),"",INT(MAX(0,tblConsulta[[#This Row],[Disponible]])/(tblConsulta[[#This Row],[Salidas30d]]/30)))</f>
        <v/>
      </c>
      <c r="O11" s="78" t="str">
        <f>IF(tblConsulta[[#This Row],[SKU]]="","",MAX(0,N(tblConsulta[[#This Row],[Disponible]]))*IFERROR(N(INDEX(tblProductos[CostoUnitario],MATCH(tblConsulta[[#This Row],[SKU]],tblProductos[SKU],0))),0))</f>
        <v/>
      </c>
      <c r="P11" s="50" t="str">
        <f>IFERROR(INDEX(tblUsuarios[Correo],MATCH(ROW()-ROW(tblConsulta[#Headers]),tblUsuarios[OrdenConsulta],0)),"")</f>
        <v/>
      </c>
      <c r="Q11" s="43" t="str">
        <f>IF(tblConsulta[[#This Row],[Producto]]="","",TRIM(LEFT(tblConsulta[[#This Row],[Producto]],FIND(" · ",tblConsulta[[#This Row],[Producto]]&amp;" · ")-1)))</f>
        <v/>
      </c>
      <c r="R11" s="57">
        <f>IF(tblConsulta[[#This Row],[SKU]]="",0,IFERROR(_xlfn.AGGREGATE(14,6,tblEntradas[Timestamp]/((tblEntradas[SKU]=tblConsulta[[#This Row],[SKU]])*(LEFT(tblEntradas[Estado],1)="✔")),1),0))</f>
        <v>0</v>
      </c>
      <c r="S11" s="57">
        <f>IF(tblConsulta[[#This Row],[SKU]]="",0,IFERROR(_xlfn.AGGREGATE(14,6,tblSalidas[Timestamp]/((tblSalidas[SKU]=tblConsulta[[#This Row],[SKU]])*(LEFT(tblSalidas[Estado],1)="✔")),1),0))</f>
        <v>0</v>
      </c>
    </row>
    <row r="12" spans="2:19" ht="18" customHeight="1" x14ac:dyDescent="0.25">
      <c r="B12" s="50" t="str">
        <f>IFERROR(INDEX(tblUsuarios[Nombre],MATCH(ROW()-ROW(tblConsulta[#Headers]),tblUsuarios[OrdenConsulta],0)),"")</f>
        <v/>
      </c>
      <c r="C12" s="51"/>
      <c r="D12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2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2" s="57" t="str">
        <f>IF(tblConsulta[[#This Row],[SKU]]="","",IFERROR(N(INDEX(tblProductos[StockMin],MATCH(tblConsulta[[#This Row],[SKU]],tblProductos[SKU],0))),""))</f>
        <v/>
      </c>
      <c r="G12" s="57" t="str">
        <f>IF(tblConsulta[[#This Row],[SKU]]="","",IFERROR(N(INDEX(tblProductos[StockMax],MATCH(tblConsulta[[#This Row],[SKU]],tblProductos[SKU],0))),""))</f>
        <v/>
      </c>
      <c r="H12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2" s="50" t="str">
        <f>IF(tblConsulta[[#This Row],[SKU]]="","",IFERROR(INDEX(tblProductos[Proveedor],MATCH(tblConsulta[[#This Row],[SKU]],tblProductos[SKU],0))&amp;"",""))</f>
        <v/>
      </c>
      <c r="J12" s="43" t="str">
        <f>IF(tblConsulta[[#This Row],[SKU]]="","",IFERROR(INDEX(tblProductos[Ubicación],MATCH(tblConsulta[[#This Row],[SKU]],tblProductos[SKU],0))&amp;"",""))</f>
        <v/>
      </c>
      <c r="K12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2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2" s="57" t="str">
        <f ca="1">IF(tblConsulta[[#This Row],[SKU]]="","",-SUMIFS(tblSalidas[CantidadNeta],tblSalidas[SKU],tblConsulta[[#This Row],[SKU]],tblSalidas[Estado],"✔*",tblSalidas[Fecha],"&gt;="&amp;(TODAY()-29)))</f>
        <v/>
      </c>
      <c r="N12" s="77" t="str">
        <f ca="1">IF(OR(tblConsulta[[#This Row],[SKU]]="",N(tblConsulta[[#This Row],[Salidas30d]])&lt;=0),"",INT(MAX(0,tblConsulta[[#This Row],[Disponible]])/(tblConsulta[[#This Row],[Salidas30d]]/30)))</f>
        <v/>
      </c>
      <c r="O12" s="78" t="str">
        <f>IF(tblConsulta[[#This Row],[SKU]]="","",MAX(0,N(tblConsulta[[#This Row],[Disponible]]))*IFERROR(N(INDEX(tblProductos[CostoUnitario],MATCH(tblConsulta[[#This Row],[SKU]],tblProductos[SKU],0))),0))</f>
        <v/>
      </c>
      <c r="P12" s="50" t="str">
        <f>IFERROR(INDEX(tblUsuarios[Correo],MATCH(ROW()-ROW(tblConsulta[#Headers]),tblUsuarios[OrdenConsulta],0)),"")</f>
        <v/>
      </c>
      <c r="Q12" s="43" t="str">
        <f>IF(tblConsulta[[#This Row],[Producto]]="","",TRIM(LEFT(tblConsulta[[#This Row],[Producto]],FIND(" · ",tblConsulta[[#This Row],[Producto]]&amp;" · ")-1)))</f>
        <v/>
      </c>
      <c r="R12" s="57">
        <f>IF(tblConsulta[[#This Row],[SKU]]="",0,IFERROR(_xlfn.AGGREGATE(14,6,tblEntradas[Timestamp]/((tblEntradas[SKU]=tblConsulta[[#This Row],[SKU]])*(LEFT(tblEntradas[Estado],1)="✔")),1),0))</f>
        <v>0</v>
      </c>
      <c r="S12" s="57">
        <f>IF(tblConsulta[[#This Row],[SKU]]="",0,IFERROR(_xlfn.AGGREGATE(14,6,tblSalidas[Timestamp]/((tblSalidas[SKU]=tblConsulta[[#This Row],[SKU]])*(LEFT(tblSalidas[Estado],1)="✔")),1),0))</f>
        <v>0</v>
      </c>
    </row>
    <row r="13" spans="2:19" ht="18" customHeight="1" x14ac:dyDescent="0.25">
      <c r="B13" s="50" t="str">
        <f>IFERROR(INDEX(tblUsuarios[Nombre],MATCH(ROW()-ROW(tblConsulta[#Headers]),tblUsuarios[OrdenConsulta],0)),"")</f>
        <v/>
      </c>
      <c r="C13" s="51"/>
      <c r="D13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3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3" s="57" t="str">
        <f>IF(tblConsulta[[#This Row],[SKU]]="","",IFERROR(N(INDEX(tblProductos[StockMin],MATCH(tblConsulta[[#This Row],[SKU]],tblProductos[SKU],0))),""))</f>
        <v/>
      </c>
      <c r="G13" s="57" t="str">
        <f>IF(tblConsulta[[#This Row],[SKU]]="","",IFERROR(N(INDEX(tblProductos[StockMax],MATCH(tblConsulta[[#This Row],[SKU]],tblProductos[SKU],0))),""))</f>
        <v/>
      </c>
      <c r="H13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3" s="50" t="str">
        <f>IF(tblConsulta[[#This Row],[SKU]]="","",IFERROR(INDEX(tblProductos[Proveedor],MATCH(tblConsulta[[#This Row],[SKU]],tblProductos[SKU],0))&amp;"",""))</f>
        <v/>
      </c>
      <c r="J13" s="43" t="str">
        <f>IF(tblConsulta[[#This Row],[SKU]]="","",IFERROR(INDEX(tblProductos[Ubicación],MATCH(tblConsulta[[#This Row],[SKU]],tblProductos[SKU],0))&amp;"",""))</f>
        <v/>
      </c>
      <c r="K13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3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3" s="57" t="str">
        <f ca="1">IF(tblConsulta[[#This Row],[SKU]]="","",-SUMIFS(tblSalidas[CantidadNeta],tblSalidas[SKU],tblConsulta[[#This Row],[SKU]],tblSalidas[Estado],"✔*",tblSalidas[Fecha],"&gt;="&amp;(TODAY()-29)))</f>
        <v/>
      </c>
      <c r="N13" s="77" t="str">
        <f ca="1">IF(OR(tblConsulta[[#This Row],[SKU]]="",N(tblConsulta[[#This Row],[Salidas30d]])&lt;=0),"",INT(MAX(0,tblConsulta[[#This Row],[Disponible]])/(tblConsulta[[#This Row],[Salidas30d]]/30)))</f>
        <v/>
      </c>
      <c r="O13" s="78" t="str">
        <f>IF(tblConsulta[[#This Row],[SKU]]="","",MAX(0,N(tblConsulta[[#This Row],[Disponible]]))*IFERROR(N(INDEX(tblProductos[CostoUnitario],MATCH(tblConsulta[[#This Row],[SKU]],tblProductos[SKU],0))),0))</f>
        <v/>
      </c>
      <c r="P13" s="50" t="str">
        <f>IFERROR(INDEX(tblUsuarios[Correo],MATCH(ROW()-ROW(tblConsulta[#Headers]),tblUsuarios[OrdenConsulta],0)),"")</f>
        <v/>
      </c>
      <c r="Q13" s="43" t="str">
        <f>IF(tblConsulta[[#This Row],[Producto]]="","",TRIM(LEFT(tblConsulta[[#This Row],[Producto]],FIND(" · ",tblConsulta[[#This Row],[Producto]]&amp;" · ")-1)))</f>
        <v/>
      </c>
      <c r="R13" s="57">
        <f>IF(tblConsulta[[#This Row],[SKU]]="",0,IFERROR(_xlfn.AGGREGATE(14,6,tblEntradas[Timestamp]/((tblEntradas[SKU]=tblConsulta[[#This Row],[SKU]])*(LEFT(tblEntradas[Estado],1)="✔")),1),0))</f>
        <v>0</v>
      </c>
      <c r="S13" s="57">
        <f>IF(tblConsulta[[#This Row],[SKU]]="",0,IFERROR(_xlfn.AGGREGATE(14,6,tblSalidas[Timestamp]/((tblSalidas[SKU]=tblConsulta[[#This Row],[SKU]])*(LEFT(tblSalidas[Estado],1)="✔")),1),0))</f>
        <v>0</v>
      </c>
    </row>
    <row r="14" spans="2:19" ht="18" customHeight="1" x14ac:dyDescent="0.25">
      <c r="B14" s="50" t="str">
        <f>IFERROR(INDEX(tblUsuarios[Nombre],MATCH(ROW()-ROW(tblConsulta[#Headers]),tblUsuarios[OrdenConsulta],0)),"")</f>
        <v/>
      </c>
      <c r="C14" s="51"/>
      <c r="D14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4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4" s="57" t="str">
        <f>IF(tblConsulta[[#This Row],[SKU]]="","",IFERROR(N(INDEX(tblProductos[StockMin],MATCH(tblConsulta[[#This Row],[SKU]],tblProductos[SKU],0))),""))</f>
        <v/>
      </c>
      <c r="G14" s="57" t="str">
        <f>IF(tblConsulta[[#This Row],[SKU]]="","",IFERROR(N(INDEX(tblProductos[StockMax],MATCH(tblConsulta[[#This Row],[SKU]],tblProductos[SKU],0))),""))</f>
        <v/>
      </c>
      <c r="H14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4" s="50" t="str">
        <f>IF(tblConsulta[[#This Row],[SKU]]="","",IFERROR(INDEX(tblProductos[Proveedor],MATCH(tblConsulta[[#This Row],[SKU]],tblProductos[SKU],0))&amp;"",""))</f>
        <v/>
      </c>
      <c r="J14" s="43" t="str">
        <f>IF(tblConsulta[[#This Row],[SKU]]="","",IFERROR(INDEX(tblProductos[Ubicación],MATCH(tblConsulta[[#This Row],[SKU]],tblProductos[SKU],0))&amp;"",""))</f>
        <v/>
      </c>
      <c r="K14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4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4" s="57" t="str">
        <f ca="1">IF(tblConsulta[[#This Row],[SKU]]="","",-SUMIFS(tblSalidas[CantidadNeta],tblSalidas[SKU],tblConsulta[[#This Row],[SKU]],tblSalidas[Estado],"✔*",tblSalidas[Fecha],"&gt;="&amp;(TODAY()-29)))</f>
        <v/>
      </c>
      <c r="N14" s="77" t="str">
        <f ca="1">IF(OR(tblConsulta[[#This Row],[SKU]]="",N(tblConsulta[[#This Row],[Salidas30d]])&lt;=0),"",INT(MAX(0,tblConsulta[[#This Row],[Disponible]])/(tblConsulta[[#This Row],[Salidas30d]]/30)))</f>
        <v/>
      </c>
      <c r="O14" s="78" t="str">
        <f>IF(tblConsulta[[#This Row],[SKU]]="","",MAX(0,N(tblConsulta[[#This Row],[Disponible]]))*IFERROR(N(INDEX(tblProductos[CostoUnitario],MATCH(tblConsulta[[#This Row],[SKU]],tblProductos[SKU],0))),0))</f>
        <v/>
      </c>
      <c r="P14" s="50" t="str">
        <f>IFERROR(INDEX(tblUsuarios[Correo],MATCH(ROW()-ROW(tblConsulta[#Headers]),tblUsuarios[OrdenConsulta],0)),"")</f>
        <v/>
      </c>
      <c r="Q14" s="43" t="str">
        <f>IF(tblConsulta[[#This Row],[Producto]]="","",TRIM(LEFT(tblConsulta[[#This Row],[Producto]],FIND(" · ",tblConsulta[[#This Row],[Producto]]&amp;" · ")-1)))</f>
        <v/>
      </c>
      <c r="R14" s="57">
        <f>IF(tblConsulta[[#This Row],[SKU]]="",0,IFERROR(_xlfn.AGGREGATE(14,6,tblEntradas[Timestamp]/((tblEntradas[SKU]=tblConsulta[[#This Row],[SKU]])*(LEFT(tblEntradas[Estado],1)="✔")),1),0))</f>
        <v>0</v>
      </c>
      <c r="S14" s="57">
        <f>IF(tblConsulta[[#This Row],[SKU]]="",0,IFERROR(_xlfn.AGGREGATE(14,6,tblSalidas[Timestamp]/((tblSalidas[SKU]=tblConsulta[[#This Row],[SKU]])*(LEFT(tblSalidas[Estado],1)="✔")),1),0))</f>
        <v>0</v>
      </c>
    </row>
    <row r="15" spans="2:19" ht="18" customHeight="1" x14ac:dyDescent="0.25">
      <c r="B15" s="50" t="str">
        <f>IFERROR(INDEX(tblUsuarios[Nombre],MATCH(ROW()-ROW(tblConsulta[#Headers]),tblUsuarios[OrdenConsulta],0)),"")</f>
        <v/>
      </c>
      <c r="C15" s="51"/>
      <c r="D15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5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5" s="57" t="str">
        <f>IF(tblConsulta[[#This Row],[SKU]]="","",IFERROR(N(INDEX(tblProductos[StockMin],MATCH(tblConsulta[[#This Row],[SKU]],tblProductos[SKU],0))),""))</f>
        <v/>
      </c>
      <c r="G15" s="57" t="str">
        <f>IF(tblConsulta[[#This Row],[SKU]]="","",IFERROR(N(INDEX(tblProductos[StockMax],MATCH(tblConsulta[[#This Row],[SKU]],tblProductos[SKU],0))),""))</f>
        <v/>
      </c>
      <c r="H15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5" s="50" t="str">
        <f>IF(tblConsulta[[#This Row],[SKU]]="","",IFERROR(INDEX(tblProductos[Proveedor],MATCH(tblConsulta[[#This Row],[SKU]],tblProductos[SKU],0))&amp;"",""))</f>
        <v/>
      </c>
      <c r="J15" s="43" t="str">
        <f>IF(tblConsulta[[#This Row],[SKU]]="","",IFERROR(INDEX(tblProductos[Ubicación],MATCH(tblConsulta[[#This Row],[SKU]],tblProductos[SKU],0))&amp;"",""))</f>
        <v/>
      </c>
      <c r="K15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5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5" s="57" t="str">
        <f ca="1">IF(tblConsulta[[#This Row],[SKU]]="","",-SUMIFS(tblSalidas[CantidadNeta],tblSalidas[SKU],tblConsulta[[#This Row],[SKU]],tblSalidas[Estado],"✔*",tblSalidas[Fecha],"&gt;="&amp;(TODAY()-29)))</f>
        <v/>
      </c>
      <c r="N15" s="77" t="str">
        <f ca="1">IF(OR(tblConsulta[[#This Row],[SKU]]="",N(tblConsulta[[#This Row],[Salidas30d]])&lt;=0),"",INT(MAX(0,tblConsulta[[#This Row],[Disponible]])/(tblConsulta[[#This Row],[Salidas30d]]/30)))</f>
        <v/>
      </c>
      <c r="O15" s="78" t="str">
        <f>IF(tblConsulta[[#This Row],[SKU]]="","",MAX(0,N(tblConsulta[[#This Row],[Disponible]]))*IFERROR(N(INDEX(tblProductos[CostoUnitario],MATCH(tblConsulta[[#This Row],[SKU]],tblProductos[SKU],0))),0))</f>
        <v/>
      </c>
      <c r="P15" s="50" t="str">
        <f>IFERROR(INDEX(tblUsuarios[Correo],MATCH(ROW()-ROW(tblConsulta[#Headers]),tblUsuarios[OrdenConsulta],0)),"")</f>
        <v/>
      </c>
      <c r="Q15" s="43" t="str">
        <f>IF(tblConsulta[[#This Row],[Producto]]="","",TRIM(LEFT(tblConsulta[[#This Row],[Producto]],FIND(" · ",tblConsulta[[#This Row],[Producto]]&amp;" · ")-1)))</f>
        <v/>
      </c>
      <c r="R15" s="57">
        <f>IF(tblConsulta[[#This Row],[SKU]]="",0,IFERROR(_xlfn.AGGREGATE(14,6,tblEntradas[Timestamp]/((tblEntradas[SKU]=tblConsulta[[#This Row],[SKU]])*(LEFT(tblEntradas[Estado],1)="✔")),1),0))</f>
        <v>0</v>
      </c>
      <c r="S15" s="57">
        <f>IF(tblConsulta[[#This Row],[SKU]]="",0,IFERROR(_xlfn.AGGREGATE(14,6,tblSalidas[Timestamp]/((tblSalidas[SKU]=tblConsulta[[#This Row],[SKU]])*(LEFT(tblSalidas[Estado],1)="✔")),1),0))</f>
        <v>0</v>
      </c>
    </row>
    <row r="16" spans="2:19" ht="18" customHeight="1" x14ac:dyDescent="0.25">
      <c r="B16" s="50" t="str">
        <f>IFERROR(INDEX(tblUsuarios[Nombre],MATCH(ROW()-ROW(tblConsulta[#Headers]),tblUsuarios[OrdenConsulta],0)),"")</f>
        <v/>
      </c>
      <c r="C16" s="51"/>
      <c r="D16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6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6" s="57" t="str">
        <f>IF(tblConsulta[[#This Row],[SKU]]="","",IFERROR(N(INDEX(tblProductos[StockMin],MATCH(tblConsulta[[#This Row],[SKU]],tblProductos[SKU],0))),""))</f>
        <v/>
      </c>
      <c r="G16" s="57" t="str">
        <f>IF(tblConsulta[[#This Row],[SKU]]="","",IFERROR(N(INDEX(tblProductos[StockMax],MATCH(tblConsulta[[#This Row],[SKU]],tblProductos[SKU],0))),""))</f>
        <v/>
      </c>
      <c r="H16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6" s="50" t="str">
        <f>IF(tblConsulta[[#This Row],[SKU]]="","",IFERROR(INDEX(tblProductos[Proveedor],MATCH(tblConsulta[[#This Row],[SKU]],tblProductos[SKU],0))&amp;"",""))</f>
        <v/>
      </c>
      <c r="J16" s="43" t="str">
        <f>IF(tblConsulta[[#This Row],[SKU]]="","",IFERROR(INDEX(tblProductos[Ubicación],MATCH(tblConsulta[[#This Row],[SKU]],tblProductos[SKU],0))&amp;"",""))</f>
        <v/>
      </c>
      <c r="K16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6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6" s="57" t="str">
        <f ca="1">IF(tblConsulta[[#This Row],[SKU]]="","",-SUMIFS(tblSalidas[CantidadNeta],tblSalidas[SKU],tblConsulta[[#This Row],[SKU]],tblSalidas[Estado],"✔*",tblSalidas[Fecha],"&gt;="&amp;(TODAY()-29)))</f>
        <v/>
      </c>
      <c r="N16" s="77" t="str">
        <f ca="1">IF(OR(tblConsulta[[#This Row],[SKU]]="",N(tblConsulta[[#This Row],[Salidas30d]])&lt;=0),"",INT(MAX(0,tblConsulta[[#This Row],[Disponible]])/(tblConsulta[[#This Row],[Salidas30d]]/30)))</f>
        <v/>
      </c>
      <c r="O16" s="78" t="str">
        <f>IF(tblConsulta[[#This Row],[SKU]]="","",MAX(0,N(tblConsulta[[#This Row],[Disponible]]))*IFERROR(N(INDEX(tblProductos[CostoUnitario],MATCH(tblConsulta[[#This Row],[SKU]],tblProductos[SKU],0))),0))</f>
        <v/>
      </c>
      <c r="P16" s="50" t="str">
        <f>IFERROR(INDEX(tblUsuarios[Correo],MATCH(ROW()-ROW(tblConsulta[#Headers]),tblUsuarios[OrdenConsulta],0)),"")</f>
        <v/>
      </c>
      <c r="Q16" s="43" t="str">
        <f>IF(tblConsulta[[#This Row],[Producto]]="","",TRIM(LEFT(tblConsulta[[#This Row],[Producto]],FIND(" · ",tblConsulta[[#This Row],[Producto]]&amp;" · ")-1)))</f>
        <v/>
      </c>
      <c r="R16" s="57">
        <f>IF(tblConsulta[[#This Row],[SKU]]="",0,IFERROR(_xlfn.AGGREGATE(14,6,tblEntradas[Timestamp]/((tblEntradas[SKU]=tblConsulta[[#This Row],[SKU]])*(LEFT(tblEntradas[Estado],1)="✔")),1),0))</f>
        <v>0</v>
      </c>
      <c r="S16" s="57">
        <f>IF(tblConsulta[[#This Row],[SKU]]="",0,IFERROR(_xlfn.AGGREGATE(14,6,tblSalidas[Timestamp]/((tblSalidas[SKU]=tblConsulta[[#This Row],[SKU]])*(LEFT(tblSalidas[Estado],1)="✔")),1),0))</f>
        <v>0</v>
      </c>
    </row>
    <row r="17" spans="2:19" ht="18" customHeight="1" x14ac:dyDescent="0.25">
      <c r="B17" s="50" t="str">
        <f>IFERROR(INDEX(tblUsuarios[Nombre],MATCH(ROW()-ROW(tblConsulta[#Headers]),tblUsuarios[OrdenConsulta],0)),"")</f>
        <v/>
      </c>
      <c r="C17" s="51"/>
      <c r="D17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7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7" s="57" t="str">
        <f>IF(tblConsulta[[#This Row],[SKU]]="","",IFERROR(N(INDEX(tblProductos[StockMin],MATCH(tblConsulta[[#This Row],[SKU]],tblProductos[SKU],0))),""))</f>
        <v/>
      </c>
      <c r="G17" s="57" t="str">
        <f>IF(tblConsulta[[#This Row],[SKU]]="","",IFERROR(N(INDEX(tblProductos[StockMax],MATCH(tblConsulta[[#This Row],[SKU]],tblProductos[SKU],0))),""))</f>
        <v/>
      </c>
      <c r="H17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7" s="50" t="str">
        <f>IF(tblConsulta[[#This Row],[SKU]]="","",IFERROR(INDEX(tblProductos[Proveedor],MATCH(tblConsulta[[#This Row],[SKU]],tblProductos[SKU],0))&amp;"",""))</f>
        <v/>
      </c>
      <c r="J17" s="43" t="str">
        <f>IF(tblConsulta[[#This Row],[SKU]]="","",IFERROR(INDEX(tblProductos[Ubicación],MATCH(tblConsulta[[#This Row],[SKU]],tblProductos[SKU],0))&amp;"",""))</f>
        <v/>
      </c>
      <c r="K17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7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7" s="57" t="str">
        <f ca="1">IF(tblConsulta[[#This Row],[SKU]]="","",-SUMIFS(tblSalidas[CantidadNeta],tblSalidas[SKU],tblConsulta[[#This Row],[SKU]],tblSalidas[Estado],"✔*",tblSalidas[Fecha],"&gt;="&amp;(TODAY()-29)))</f>
        <v/>
      </c>
      <c r="N17" s="77" t="str">
        <f ca="1">IF(OR(tblConsulta[[#This Row],[SKU]]="",N(tblConsulta[[#This Row],[Salidas30d]])&lt;=0),"",INT(MAX(0,tblConsulta[[#This Row],[Disponible]])/(tblConsulta[[#This Row],[Salidas30d]]/30)))</f>
        <v/>
      </c>
      <c r="O17" s="78" t="str">
        <f>IF(tblConsulta[[#This Row],[SKU]]="","",MAX(0,N(tblConsulta[[#This Row],[Disponible]]))*IFERROR(N(INDEX(tblProductos[CostoUnitario],MATCH(tblConsulta[[#This Row],[SKU]],tblProductos[SKU],0))),0))</f>
        <v/>
      </c>
      <c r="P17" s="50" t="str">
        <f>IFERROR(INDEX(tblUsuarios[Correo],MATCH(ROW()-ROW(tblConsulta[#Headers]),tblUsuarios[OrdenConsulta],0)),"")</f>
        <v/>
      </c>
      <c r="Q17" s="43" t="str">
        <f>IF(tblConsulta[[#This Row],[Producto]]="","",TRIM(LEFT(tblConsulta[[#This Row],[Producto]],FIND(" · ",tblConsulta[[#This Row],[Producto]]&amp;" · ")-1)))</f>
        <v/>
      </c>
      <c r="R17" s="57">
        <f>IF(tblConsulta[[#This Row],[SKU]]="",0,IFERROR(_xlfn.AGGREGATE(14,6,tblEntradas[Timestamp]/((tblEntradas[SKU]=tblConsulta[[#This Row],[SKU]])*(LEFT(tblEntradas[Estado],1)="✔")),1),0))</f>
        <v>0</v>
      </c>
      <c r="S17" s="57">
        <f>IF(tblConsulta[[#This Row],[SKU]]="",0,IFERROR(_xlfn.AGGREGATE(14,6,tblSalidas[Timestamp]/((tblSalidas[SKU]=tblConsulta[[#This Row],[SKU]])*(LEFT(tblSalidas[Estado],1)="✔")),1),0))</f>
        <v>0</v>
      </c>
    </row>
    <row r="18" spans="2:19" ht="18" customHeight="1" x14ac:dyDescent="0.25">
      <c r="B18" s="50" t="str">
        <f>IFERROR(INDEX(tblUsuarios[Nombre],MATCH(ROW()-ROW(tblConsulta[#Headers]),tblUsuarios[OrdenConsulta],0)),"")</f>
        <v/>
      </c>
      <c r="C18" s="51"/>
      <c r="D18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8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8" s="57" t="str">
        <f>IF(tblConsulta[[#This Row],[SKU]]="","",IFERROR(N(INDEX(tblProductos[StockMin],MATCH(tblConsulta[[#This Row],[SKU]],tblProductos[SKU],0))),""))</f>
        <v/>
      </c>
      <c r="G18" s="57" t="str">
        <f>IF(tblConsulta[[#This Row],[SKU]]="","",IFERROR(N(INDEX(tblProductos[StockMax],MATCH(tblConsulta[[#This Row],[SKU]],tblProductos[SKU],0))),""))</f>
        <v/>
      </c>
      <c r="H18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8" s="50" t="str">
        <f>IF(tblConsulta[[#This Row],[SKU]]="","",IFERROR(INDEX(tblProductos[Proveedor],MATCH(tblConsulta[[#This Row],[SKU]],tblProductos[SKU],0))&amp;"",""))</f>
        <v/>
      </c>
      <c r="J18" s="43" t="str">
        <f>IF(tblConsulta[[#This Row],[SKU]]="","",IFERROR(INDEX(tblProductos[Ubicación],MATCH(tblConsulta[[#This Row],[SKU]],tblProductos[SKU],0))&amp;"",""))</f>
        <v/>
      </c>
      <c r="K18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8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8" s="57" t="str">
        <f ca="1">IF(tblConsulta[[#This Row],[SKU]]="","",-SUMIFS(tblSalidas[CantidadNeta],tblSalidas[SKU],tblConsulta[[#This Row],[SKU]],tblSalidas[Estado],"✔*",tblSalidas[Fecha],"&gt;="&amp;(TODAY()-29)))</f>
        <v/>
      </c>
      <c r="N18" s="77" t="str">
        <f ca="1">IF(OR(tblConsulta[[#This Row],[SKU]]="",N(tblConsulta[[#This Row],[Salidas30d]])&lt;=0),"",INT(MAX(0,tblConsulta[[#This Row],[Disponible]])/(tblConsulta[[#This Row],[Salidas30d]]/30)))</f>
        <v/>
      </c>
      <c r="O18" s="78" t="str">
        <f>IF(tblConsulta[[#This Row],[SKU]]="","",MAX(0,N(tblConsulta[[#This Row],[Disponible]]))*IFERROR(N(INDEX(tblProductos[CostoUnitario],MATCH(tblConsulta[[#This Row],[SKU]],tblProductos[SKU],0))),0))</f>
        <v/>
      </c>
      <c r="P18" s="50" t="str">
        <f>IFERROR(INDEX(tblUsuarios[Correo],MATCH(ROW()-ROW(tblConsulta[#Headers]),tblUsuarios[OrdenConsulta],0)),"")</f>
        <v/>
      </c>
      <c r="Q18" s="43" t="str">
        <f>IF(tblConsulta[[#This Row],[Producto]]="","",TRIM(LEFT(tblConsulta[[#This Row],[Producto]],FIND(" · ",tblConsulta[[#This Row],[Producto]]&amp;" · ")-1)))</f>
        <v/>
      </c>
      <c r="R18" s="57">
        <f>IF(tblConsulta[[#This Row],[SKU]]="",0,IFERROR(_xlfn.AGGREGATE(14,6,tblEntradas[Timestamp]/((tblEntradas[SKU]=tblConsulta[[#This Row],[SKU]])*(LEFT(tblEntradas[Estado],1)="✔")),1),0))</f>
        <v>0</v>
      </c>
      <c r="S18" s="57">
        <f>IF(tblConsulta[[#This Row],[SKU]]="",0,IFERROR(_xlfn.AGGREGATE(14,6,tblSalidas[Timestamp]/((tblSalidas[SKU]=tblConsulta[[#This Row],[SKU]])*(LEFT(tblSalidas[Estado],1)="✔")),1),0))</f>
        <v>0</v>
      </c>
    </row>
    <row r="19" spans="2:19" ht="18" customHeight="1" x14ac:dyDescent="0.25">
      <c r="B19" s="50" t="str">
        <f>IFERROR(INDEX(tblUsuarios[Nombre],MATCH(ROW()-ROW(tblConsulta[#Headers]),tblUsuarios[OrdenConsulta],0)),"")</f>
        <v/>
      </c>
      <c r="C19" s="51"/>
      <c r="D19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19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19" s="57" t="str">
        <f>IF(tblConsulta[[#This Row],[SKU]]="","",IFERROR(N(INDEX(tblProductos[StockMin],MATCH(tblConsulta[[#This Row],[SKU]],tblProductos[SKU],0))),""))</f>
        <v/>
      </c>
      <c r="G19" s="57" t="str">
        <f>IF(tblConsulta[[#This Row],[SKU]]="","",IFERROR(N(INDEX(tblProductos[StockMax],MATCH(tblConsulta[[#This Row],[SKU]],tblProductos[SKU],0))),""))</f>
        <v/>
      </c>
      <c r="H19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19" s="50" t="str">
        <f>IF(tblConsulta[[#This Row],[SKU]]="","",IFERROR(INDEX(tblProductos[Proveedor],MATCH(tblConsulta[[#This Row],[SKU]],tblProductos[SKU],0))&amp;"",""))</f>
        <v/>
      </c>
      <c r="J19" s="43" t="str">
        <f>IF(tblConsulta[[#This Row],[SKU]]="","",IFERROR(INDEX(tblProductos[Ubicación],MATCH(tblConsulta[[#This Row],[SKU]],tblProductos[SKU],0))&amp;"",""))</f>
        <v/>
      </c>
      <c r="K19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19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19" s="57" t="str">
        <f ca="1">IF(tblConsulta[[#This Row],[SKU]]="","",-SUMIFS(tblSalidas[CantidadNeta],tblSalidas[SKU],tblConsulta[[#This Row],[SKU]],tblSalidas[Estado],"✔*",tblSalidas[Fecha],"&gt;="&amp;(TODAY()-29)))</f>
        <v/>
      </c>
      <c r="N19" s="77" t="str">
        <f ca="1">IF(OR(tblConsulta[[#This Row],[SKU]]="",N(tblConsulta[[#This Row],[Salidas30d]])&lt;=0),"",INT(MAX(0,tblConsulta[[#This Row],[Disponible]])/(tblConsulta[[#This Row],[Salidas30d]]/30)))</f>
        <v/>
      </c>
      <c r="O19" s="78" t="str">
        <f>IF(tblConsulta[[#This Row],[SKU]]="","",MAX(0,N(tblConsulta[[#This Row],[Disponible]]))*IFERROR(N(INDEX(tblProductos[CostoUnitario],MATCH(tblConsulta[[#This Row],[SKU]],tblProductos[SKU],0))),0))</f>
        <v/>
      </c>
      <c r="P19" s="50" t="str">
        <f>IFERROR(INDEX(tblUsuarios[Correo],MATCH(ROW()-ROW(tblConsulta[#Headers]),tblUsuarios[OrdenConsulta],0)),"")</f>
        <v/>
      </c>
      <c r="Q19" s="43" t="str">
        <f>IF(tblConsulta[[#This Row],[Producto]]="","",TRIM(LEFT(tblConsulta[[#This Row],[Producto]],FIND(" · ",tblConsulta[[#This Row],[Producto]]&amp;" · ")-1)))</f>
        <v/>
      </c>
      <c r="R19" s="57">
        <f>IF(tblConsulta[[#This Row],[SKU]]="",0,IFERROR(_xlfn.AGGREGATE(14,6,tblEntradas[Timestamp]/((tblEntradas[SKU]=tblConsulta[[#This Row],[SKU]])*(LEFT(tblEntradas[Estado],1)="✔")),1),0))</f>
        <v>0</v>
      </c>
      <c r="S19" s="57">
        <f>IF(tblConsulta[[#This Row],[SKU]]="",0,IFERROR(_xlfn.AGGREGATE(14,6,tblSalidas[Timestamp]/((tblSalidas[SKU]=tblConsulta[[#This Row],[SKU]])*(LEFT(tblSalidas[Estado],1)="✔")),1),0))</f>
        <v>0</v>
      </c>
    </row>
    <row r="20" spans="2:19" ht="18" customHeight="1" x14ac:dyDescent="0.25">
      <c r="B20" s="50" t="str">
        <f>IFERROR(INDEX(tblUsuarios[Nombre],MATCH(ROW()-ROW(tblConsulta[#Headers]),tblUsuarios[OrdenConsulta],0)),"")</f>
        <v/>
      </c>
      <c r="C20" s="51"/>
      <c r="D20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0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0" s="57" t="str">
        <f>IF(tblConsulta[[#This Row],[SKU]]="","",IFERROR(N(INDEX(tblProductos[StockMin],MATCH(tblConsulta[[#This Row],[SKU]],tblProductos[SKU],0))),""))</f>
        <v/>
      </c>
      <c r="G20" s="57" t="str">
        <f>IF(tblConsulta[[#This Row],[SKU]]="","",IFERROR(N(INDEX(tblProductos[StockMax],MATCH(tblConsulta[[#This Row],[SKU]],tblProductos[SKU],0))),""))</f>
        <v/>
      </c>
      <c r="H20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0" s="50" t="str">
        <f>IF(tblConsulta[[#This Row],[SKU]]="","",IFERROR(INDEX(tblProductos[Proveedor],MATCH(tblConsulta[[#This Row],[SKU]],tblProductos[SKU],0))&amp;"",""))</f>
        <v/>
      </c>
      <c r="J20" s="43" t="str">
        <f>IF(tblConsulta[[#This Row],[SKU]]="","",IFERROR(INDEX(tblProductos[Ubicación],MATCH(tblConsulta[[#This Row],[SKU]],tblProductos[SKU],0))&amp;"",""))</f>
        <v/>
      </c>
      <c r="K20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0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0" s="57" t="str">
        <f ca="1">IF(tblConsulta[[#This Row],[SKU]]="","",-SUMIFS(tblSalidas[CantidadNeta],tblSalidas[SKU],tblConsulta[[#This Row],[SKU]],tblSalidas[Estado],"✔*",tblSalidas[Fecha],"&gt;="&amp;(TODAY()-29)))</f>
        <v/>
      </c>
      <c r="N20" s="77" t="str">
        <f ca="1">IF(OR(tblConsulta[[#This Row],[SKU]]="",N(tblConsulta[[#This Row],[Salidas30d]])&lt;=0),"",INT(MAX(0,tblConsulta[[#This Row],[Disponible]])/(tblConsulta[[#This Row],[Salidas30d]]/30)))</f>
        <v/>
      </c>
      <c r="O20" s="78" t="str">
        <f>IF(tblConsulta[[#This Row],[SKU]]="","",MAX(0,N(tblConsulta[[#This Row],[Disponible]]))*IFERROR(N(INDEX(tblProductos[CostoUnitario],MATCH(tblConsulta[[#This Row],[SKU]],tblProductos[SKU],0))),0))</f>
        <v/>
      </c>
      <c r="P20" s="50" t="str">
        <f>IFERROR(INDEX(tblUsuarios[Correo],MATCH(ROW()-ROW(tblConsulta[#Headers]),tblUsuarios[OrdenConsulta],0)),"")</f>
        <v/>
      </c>
      <c r="Q20" s="43" t="str">
        <f>IF(tblConsulta[[#This Row],[Producto]]="","",TRIM(LEFT(tblConsulta[[#This Row],[Producto]],FIND(" · ",tblConsulta[[#This Row],[Producto]]&amp;" · ")-1)))</f>
        <v/>
      </c>
      <c r="R20" s="57">
        <f>IF(tblConsulta[[#This Row],[SKU]]="",0,IFERROR(_xlfn.AGGREGATE(14,6,tblEntradas[Timestamp]/((tblEntradas[SKU]=tblConsulta[[#This Row],[SKU]])*(LEFT(tblEntradas[Estado],1)="✔")),1),0))</f>
        <v>0</v>
      </c>
      <c r="S20" s="57">
        <f>IF(tblConsulta[[#This Row],[SKU]]="",0,IFERROR(_xlfn.AGGREGATE(14,6,tblSalidas[Timestamp]/((tblSalidas[SKU]=tblConsulta[[#This Row],[SKU]])*(LEFT(tblSalidas[Estado],1)="✔")),1),0))</f>
        <v>0</v>
      </c>
    </row>
    <row r="21" spans="2:19" ht="18" customHeight="1" x14ac:dyDescent="0.25">
      <c r="B21" s="50" t="str">
        <f>IFERROR(INDEX(tblUsuarios[Nombre],MATCH(ROW()-ROW(tblConsulta[#Headers]),tblUsuarios[OrdenConsulta],0)),"")</f>
        <v/>
      </c>
      <c r="C21" s="51"/>
      <c r="D21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1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1" s="57" t="str">
        <f>IF(tblConsulta[[#This Row],[SKU]]="","",IFERROR(N(INDEX(tblProductos[StockMin],MATCH(tblConsulta[[#This Row],[SKU]],tblProductos[SKU],0))),""))</f>
        <v/>
      </c>
      <c r="G21" s="57" t="str">
        <f>IF(tblConsulta[[#This Row],[SKU]]="","",IFERROR(N(INDEX(tblProductos[StockMax],MATCH(tblConsulta[[#This Row],[SKU]],tblProductos[SKU],0))),""))</f>
        <v/>
      </c>
      <c r="H21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1" s="50" t="str">
        <f>IF(tblConsulta[[#This Row],[SKU]]="","",IFERROR(INDEX(tblProductos[Proveedor],MATCH(tblConsulta[[#This Row],[SKU]],tblProductos[SKU],0))&amp;"",""))</f>
        <v/>
      </c>
      <c r="J21" s="43" t="str">
        <f>IF(tblConsulta[[#This Row],[SKU]]="","",IFERROR(INDEX(tblProductos[Ubicación],MATCH(tblConsulta[[#This Row],[SKU]],tblProductos[SKU],0))&amp;"",""))</f>
        <v/>
      </c>
      <c r="K21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1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1" s="57" t="str">
        <f ca="1">IF(tblConsulta[[#This Row],[SKU]]="","",-SUMIFS(tblSalidas[CantidadNeta],tblSalidas[SKU],tblConsulta[[#This Row],[SKU]],tblSalidas[Estado],"✔*",tblSalidas[Fecha],"&gt;="&amp;(TODAY()-29)))</f>
        <v/>
      </c>
      <c r="N21" s="77" t="str">
        <f ca="1">IF(OR(tblConsulta[[#This Row],[SKU]]="",N(tblConsulta[[#This Row],[Salidas30d]])&lt;=0),"",INT(MAX(0,tblConsulta[[#This Row],[Disponible]])/(tblConsulta[[#This Row],[Salidas30d]]/30)))</f>
        <v/>
      </c>
      <c r="O21" s="78" t="str">
        <f>IF(tblConsulta[[#This Row],[SKU]]="","",MAX(0,N(tblConsulta[[#This Row],[Disponible]]))*IFERROR(N(INDEX(tblProductos[CostoUnitario],MATCH(tblConsulta[[#This Row],[SKU]],tblProductos[SKU],0))),0))</f>
        <v/>
      </c>
      <c r="P21" s="50" t="str">
        <f>IFERROR(INDEX(tblUsuarios[Correo],MATCH(ROW()-ROW(tblConsulta[#Headers]),tblUsuarios[OrdenConsulta],0)),"")</f>
        <v/>
      </c>
      <c r="Q21" s="43" t="str">
        <f>IF(tblConsulta[[#This Row],[Producto]]="","",TRIM(LEFT(tblConsulta[[#This Row],[Producto]],FIND(" · ",tblConsulta[[#This Row],[Producto]]&amp;" · ")-1)))</f>
        <v/>
      </c>
      <c r="R21" s="57">
        <f>IF(tblConsulta[[#This Row],[SKU]]="",0,IFERROR(_xlfn.AGGREGATE(14,6,tblEntradas[Timestamp]/((tblEntradas[SKU]=tblConsulta[[#This Row],[SKU]])*(LEFT(tblEntradas[Estado],1)="✔")),1),0))</f>
        <v>0</v>
      </c>
      <c r="S21" s="57">
        <f>IF(tblConsulta[[#This Row],[SKU]]="",0,IFERROR(_xlfn.AGGREGATE(14,6,tblSalidas[Timestamp]/((tblSalidas[SKU]=tblConsulta[[#This Row],[SKU]])*(LEFT(tblSalidas[Estado],1)="✔")),1),0))</f>
        <v>0</v>
      </c>
    </row>
    <row r="22" spans="2:19" ht="18" customHeight="1" x14ac:dyDescent="0.25">
      <c r="B22" s="50" t="str">
        <f>IFERROR(INDEX(tblUsuarios[Nombre],MATCH(ROW()-ROW(tblConsulta[#Headers]),tblUsuarios[OrdenConsulta],0)),"")</f>
        <v/>
      </c>
      <c r="C22" s="51"/>
      <c r="D22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2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2" s="57" t="str">
        <f>IF(tblConsulta[[#This Row],[SKU]]="","",IFERROR(N(INDEX(tblProductos[StockMin],MATCH(tblConsulta[[#This Row],[SKU]],tblProductos[SKU],0))),""))</f>
        <v/>
      </c>
      <c r="G22" s="57" t="str">
        <f>IF(tblConsulta[[#This Row],[SKU]]="","",IFERROR(N(INDEX(tblProductos[StockMax],MATCH(tblConsulta[[#This Row],[SKU]],tblProductos[SKU],0))),""))</f>
        <v/>
      </c>
      <c r="H22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2" s="50" t="str">
        <f>IF(tblConsulta[[#This Row],[SKU]]="","",IFERROR(INDEX(tblProductos[Proveedor],MATCH(tblConsulta[[#This Row],[SKU]],tblProductos[SKU],0))&amp;"",""))</f>
        <v/>
      </c>
      <c r="J22" s="43" t="str">
        <f>IF(tblConsulta[[#This Row],[SKU]]="","",IFERROR(INDEX(tblProductos[Ubicación],MATCH(tblConsulta[[#This Row],[SKU]],tblProductos[SKU],0))&amp;"",""))</f>
        <v/>
      </c>
      <c r="K22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2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2" s="57" t="str">
        <f ca="1">IF(tblConsulta[[#This Row],[SKU]]="","",-SUMIFS(tblSalidas[CantidadNeta],tblSalidas[SKU],tblConsulta[[#This Row],[SKU]],tblSalidas[Estado],"✔*",tblSalidas[Fecha],"&gt;="&amp;(TODAY()-29)))</f>
        <v/>
      </c>
      <c r="N22" s="77" t="str">
        <f ca="1">IF(OR(tblConsulta[[#This Row],[SKU]]="",N(tblConsulta[[#This Row],[Salidas30d]])&lt;=0),"",INT(MAX(0,tblConsulta[[#This Row],[Disponible]])/(tblConsulta[[#This Row],[Salidas30d]]/30)))</f>
        <v/>
      </c>
      <c r="O22" s="78" t="str">
        <f>IF(tblConsulta[[#This Row],[SKU]]="","",MAX(0,N(tblConsulta[[#This Row],[Disponible]]))*IFERROR(N(INDEX(tblProductos[CostoUnitario],MATCH(tblConsulta[[#This Row],[SKU]],tblProductos[SKU],0))),0))</f>
        <v/>
      </c>
      <c r="P22" s="50" t="str">
        <f>IFERROR(INDEX(tblUsuarios[Correo],MATCH(ROW()-ROW(tblConsulta[#Headers]),tblUsuarios[OrdenConsulta],0)),"")</f>
        <v/>
      </c>
      <c r="Q22" s="43" t="str">
        <f>IF(tblConsulta[[#This Row],[Producto]]="","",TRIM(LEFT(tblConsulta[[#This Row],[Producto]],FIND(" · ",tblConsulta[[#This Row],[Producto]]&amp;" · ")-1)))</f>
        <v/>
      </c>
      <c r="R22" s="57">
        <f>IF(tblConsulta[[#This Row],[SKU]]="",0,IFERROR(_xlfn.AGGREGATE(14,6,tblEntradas[Timestamp]/((tblEntradas[SKU]=tblConsulta[[#This Row],[SKU]])*(LEFT(tblEntradas[Estado],1)="✔")),1),0))</f>
        <v>0</v>
      </c>
      <c r="S22" s="57">
        <f>IF(tblConsulta[[#This Row],[SKU]]="",0,IFERROR(_xlfn.AGGREGATE(14,6,tblSalidas[Timestamp]/((tblSalidas[SKU]=tblConsulta[[#This Row],[SKU]])*(LEFT(tblSalidas[Estado],1)="✔")),1),0))</f>
        <v>0</v>
      </c>
    </row>
    <row r="23" spans="2:19" ht="18" customHeight="1" x14ac:dyDescent="0.25">
      <c r="B23" s="50" t="str">
        <f>IFERROR(INDEX(tblUsuarios[Nombre],MATCH(ROW()-ROW(tblConsulta[#Headers]),tblUsuarios[OrdenConsulta],0)),"")</f>
        <v/>
      </c>
      <c r="C23" s="51"/>
      <c r="D23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3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3" s="57" t="str">
        <f>IF(tblConsulta[[#This Row],[SKU]]="","",IFERROR(N(INDEX(tblProductos[StockMin],MATCH(tblConsulta[[#This Row],[SKU]],tblProductos[SKU],0))),""))</f>
        <v/>
      </c>
      <c r="G23" s="57" t="str">
        <f>IF(tblConsulta[[#This Row],[SKU]]="","",IFERROR(N(INDEX(tblProductos[StockMax],MATCH(tblConsulta[[#This Row],[SKU]],tblProductos[SKU],0))),""))</f>
        <v/>
      </c>
      <c r="H23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3" s="50" t="str">
        <f>IF(tblConsulta[[#This Row],[SKU]]="","",IFERROR(INDEX(tblProductos[Proveedor],MATCH(tblConsulta[[#This Row],[SKU]],tblProductos[SKU],0))&amp;"",""))</f>
        <v/>
      </c>
      <c r="J23" s="43" t="str">
        <f>IF(tblConsulta[[#This Row],[SKU]]="","",IFERROR(INDEX(tblProductos[Ubicación],MATCH(tblConsulta[[#This Row],[SKU]],tblProductos[SKU],0))&amp;"",""))</f>
        <v/>
      </c>
      <c r="K23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3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3" s="57" t="str">
        <f ca="1">IF(tblConsulta[[#This Row],[SKU]]="","",-SUMIFS(tblSalidas[CantidadNeta],tblSalidas[SKU],tblConsulta[[#This Row],[SKU]],tblSalidas[Estado],"✔*",tblSalidas[Fecha],"&gt;="&amp;(TODAY()-29)))</f>
        <v/>
      </c>
      <c r="N23" s="77" t="str">
        <f ca="1">IF(OR(tblConsulta[[#This Row],[SKU]]="",N(tblConsulta[[#This Row],[Salidas30d]])&lt;=0),"",INT(MAX(0,tblConsulta[[#This Row],[Disponible]])/(tblConsulta[[#This Row],[Salidas30d]]/30)))</f>
        <v/>
      </c>
      <c r="O23" s="78" t="str">
        <f>IF(tblConsulta[[#This Row],[SKU]]="","",MAX(0,N(tblConsulta[[#This Row],[Disponible]]))*IFERROR(N(INDEX(tblProductos[CostoUnitario],MATCH(tblConsulta[[#This Row],[SKU]],tblProductos[SKU],0))),0))</f>
        <v/>
      </c>
      <c r="P23" s="50" t="str">
        <f>IFERROR(INDEX(tblUsuarios[Correo],MATCH(ROW()-ROW(tblConsulta[#Headers]),tblUsuarios[OrdenConsulta],0)),"")</f>
        <v/>
      </c>
      <c r="Q23" s="43" t="str">
        <f>IF(tblConsulta[[#This Row],[Producto]]="","",TRIM(LEFT(tblConsulta[[#This Row],[Producto]],FIND(" · ",tblConsulta[[#This Row],[Producto]]&amp;" · ")-1)))</f>
        <v/>
      </c>
      <c r="R23" s="57">
        <f>IF(tblConsulta[[#This Row],[SKU]]="",0,IFERROR(_xlfn.AGGREGATE(14,6,tblEntradas[Timestamp]/((tblEntradas[SKU]=tblConsulta[[#This Row],[SKU]])*(LEFT(tblEntradas[Estado],1)="✔")),1),0))</f>
        <v>0</v>
      </c>
      <c r="S23" s="57">
        <f>IF(tblConsulta[[#This Row],[SKU]]="",0,IFERROR(_xlfn.AGGREGATE(14,6,tblSalidas[Timestamp]/((tblSalidas[SKU]=tblConsulta[[#This Row],[SKU]])*(LEFT(tblSalidas[Estado],1)="✔")),1),0))</f>
        <v>0</v>
      </c>
    </row>
    <row r="24" spans="2:19" ht="18" customHeight="1" x14ac:dyDescent="0.25">
      <c r="B24" s="50" t="str">
        <f>IFERROR(INDEX(tblUsuarios[Nombre],MATCH(ROW()-ROW(tblConsulta[#Headers]),tblUsuarios[OrdenConsulta],0)),"")</f>
        <v/>
      </c>
      <c r="C24" s="51"/>
      <c r="D24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4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4" s="57" t="str">
        <f>IF(tblConsulta[[#This Row],[SKU]]="","",IFERROR(N(INDEX(tblProductos[StockMin],MATCH(tblConsulta[[#This Row],[SKU]],tblProductos[SKU],0))),""))</f>
        <v/>
      </c>
      <c r="G24" s="57" t="str">
        <f>IF(tblConsulta[[#This Row],[SKU]]="","",IFERROR(N(INDEX(tblProductos[StockMax],MATCH(tblConsulta[[#This Row],[SKU]],tblProductos[SKU],0))),""))</f>
        <v/>
      </c>
      <c r="H24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4" s="50" t="str">
        <f>IF(tblConsulta[[#This Row],[SKU]]="","",IFERROR(INDEX(tblProductos[Proveedor],MATCH(tblConsulta[[#This Row],[SKU]],tblProductos[SKU],0))&amp;"",""))</f>
        <v/>
      </c>
      <c r="J24" s="43" t="str">
        <f>IF(tblConsulta[[#This Row],[SKU]]="","",IFERROR(INDEX(tblProductos[Ubicación],MATCH(tblConsulta[[#This Row],[SKU]],tblProductos[SKU],0))&amp;"",""))</f>
        <v/>
      </c>
      <c r="K24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4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4" s="57" t="str">
        <f ca="1">IF(tblConsulta[[#This Row],[SKU]]="","",-SUMIFS(tblSalidas[CantidadNeta],tblSalidas[SKU],tblConsulta[[#This Row],[SKU]],tblSalidas[Estado],"✔*",tblSalidas[Fecha],"&gt;="&amp;(TODAY()-29)))</f>
        <v/>
      </c>
      <c r="N24" s="77" t="str">
        <f ca="1">IF(OR(tblConsulta[[#This Row],[SKU]]="",N(tblConsulta[[#This Row],[Salidas30d]])&lt;=0),"",INT(MAX(0,tblConsulta[[#This Row],[Disponible]])/(tblConsulta[[#This Row],[Salidas30d]]/30)))</f>
        <v/>
      </c>
      <c r="O24" s="78" t="str">
        <f>IF(tblConsulta[[#This Row],[SKU]]="","",MAX(0,N(tblConsulta[[#This Row],[Disponible]]))*IFERROR(N(INDEX(tblProductos[CostoUnitario],MATCH(tblConsulta[[#This Row],[SKU]],tblProductos[SKU],0))),0))</f>
        <v/>
      </c>
      <c r="P24" s="50" t="str">
        <f>IFERROR(INDEX(tblUsuarios[Correo],MATCH(ROW()-ROW(tblConsulta[#Headers]),tblUsuarios[OrdenConsulta],0)),"")</f>
        <v/>
      </c>
      <c r="Q24" s="43" t="str">
        <f>IF(tblConsulta[[#This Row],[Producto]]="","",TRIM(LEFT(tblConsulta[[#This Row],[Producto]],FIND(" · ",tblConsulta[[#This Row],[Producto]]&amp;" · ")-1)))</f>
        <v/>
      </c>
      <c r="R24" s="57">
        <f>IF(tblConsulta[[#This Row],[SKU]]="",0,IFERROR(_xlfn.AGGREGATE(14,6,tblEntradas[Timestamp]/((tblEntradas[SKU]=tblConsulta[[#This Row],[SKU]])*(LEFT(tblEntradas[Estado],1)="✔")),1),0))</f>
        <v>0</v>
      </c>
      <c r="S24" s="57">
        <f>IF(tblConsulta[[#This Row],[SKU]]="",0,IFERROR(_xlfn.AGGREGATE(14,6,tblSalidas[Timestamp]/((tblSalidas[SKU]=tblConsulta[[#This Row],[SKU]])*(LEFT(tblSalidas[Estado],1)="✔")),1),0))</f>
        <v>0</v>
      </c>
    </row>
    <row r="25" spans="2:19" ht="18" customHeight="1" x14ac:dyDescent="0.25">
      <c r="B25" s="50" t="str">
        <f>IFERROR(INDEX(tblUsuarios[Nombre],MATCH(ROW()-ROW(tblConsulta[#Headers]),tblUsuarios[OrdenConsulta],0)),"")</f>
        <v/>
      </c>
      <c r="C25" s="51"/>
      <c r="D25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5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5" s="57" t="str">
        <f>IF(tblConsulta[[#This Row],[SKU]]="","",IFERROR(N(INDEX(tblProductos[StockMin],MATCH(tblConsulta[[#This Row],[SKU]],tblProductos[SKU],0))),""))</f>
        <v/>
      </c>
      <c r="G25" s="57" t="str">
        <f>IF(tblConsulta[[#This Row],[SKU]]="","",IFERROR(N(INDEX(tblProductos[StockMax],MATCH(tblConsulta[[#This Row],[SKU]],tblProductos[SKU],0))),""))</f>
        <v/>
      </c>
      <c r="H25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5" s="50" t="str">
        <f>IF(tblConsulta[[#This Row],[SKU]]="","",IFERROR(INDEX(tblProductos[Proveedor],MATCH(tblConsulta[[#This Row],[SKU]],tblProductos[SKU],0))&amp;"",""))</f>
        <v/>
      </c>
      <c r="J25" s="43" t="str">
        <f>IF(tblConsulta[[#This Row],[SKU]]="","",IFERROR(INDEX(tblProductos[Ubicación],MATCH(tblConsulta[[#This Row],[SKU]],tblProductos[SKU],0))&amp;"",""))</f>
        <v/>
      </c>
      <c r="K25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5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5" s="57" t="str">
        <f ca="1">IF(tblConsulta[[#This Row],[SKU]]="","",-SUMIFS(tblSalidas[CantidadNeta],tblSalidas[SKU],tblConsulta[[#This Row],[SKU]],tblSalidas[Estado],"✔*",tblSalidas[Fecha],"&gt;="&amp;(TODAY()-29)))</f>
        <v/>
      </c>
      <c r="N25" s="77" t="str">
        <f ca="1">IF(OR(tblConsulta[[#This Row],[SKU]]="",N(tblConsulta[[#This Row],[Salidas30d]])&lt;=0),"",INT(MAX(0,tblConsulta[[#This Row],[Disponible]])/(tblConsulta[[#This Row],[Salidas30d]]/30)))</f>
        <v/>
      </c>
      <c r="O25" s="78" t="str">
        <f>IF(tblConsulta[[#This Row],[SKU]]="","",MAX(0,N(tblConsulta[[#This Row],[Disponible]]))*IFERROR(N(INDEX(tblProductos[CostoUnitario],MATCH(tblConsulta[[#This Row],[SKU]],tblProductos[SKU],0))),0))</f>
        <v/>
      </c>
      <c r="P25" s="50" t="str">
        <f>IFERROR(INDEX(tblUsuarios[Correo],MATCH(ROW()-ROW(tblConsulta[#Headers]),tblUsuarios[OrdenConsulta],0)),"")</f>
        <v/>
      </c>
      <c r="Q25" s="43" t="str">
        <f>IF(tblConsulta[[#This Row],[Producto]]="","",TRIM(LEFT(tblConsulta[[#This Row],[Producto]],FIND(" · ",tblConsulta[[#This Row],[Producto]]&amp;" · ")-1)))</f>
        <v/>
      </c>
      <c r="R25" s="57">
        <f>IF(tblConsulta[[#This Row],[SKU]]="",0,IFERROR(_xlfn.AGGREGATE(14,6,tblEntradas[Timestamp]/((tblEntradas[SKU]=tblConsulta[[#This Row],[SKU]])*(LEFT(tblEntradas[Estado],1)="✔")),1),0))</f>
        <v>0</v>
      </c>
      <c r="S25" s="57">
        <f>IF(tblConsulta[[#This Row],[SKU]]="",0,IFERROR(_xlfn.AGGREGATE(14,6,tblSalidas[Timestamp]/((tblSalidas[SKU]=tblConsulta[[#This Row],[SKU]])*(LEFT(tblSalidas[Estado],1)="✔")),1),0))</f>
        <v>0</v>
      </c>
    </row>
    <row r="26" spans="2:19" ht="18" customHeight="1" x14ac:dyDescent="0.25">
      <c r="B26" s="50" t="str">
        <f>IFERROR(INDEX(tblUsuarios[Nombre],MATCH(ROW()-ROW(tblConsulta[#Headers]),tblUsuarios[OrdenConsulta],0)),"")</f>
        <v/>
      </c>
      <c r="C26" s="51"/>
      <c r="D26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6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6" s="57" t="str">
        <f>IF(tblConsulta[[#This Row],[SKU]]="","",IFERROR(N(INDEX(tblProductos[StockMin],MATCH(tblConsulta[[#This Row],[SKU]],tblProductos[SKU],0))),""))</f>
        <v/>
      </c>
      <c r="G26" s="57" t="str">
        <f>IF(tblConsulta[[#This Row],[SKU]]="","",IFERROR(N(INDEX(tblProductos[StockMax],MATCH(tblConsulta[[#This Row],[SKU]],tblProductos[SKU],0))),""))</f>
        <v/>
      </c>
      <c r="H26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6" s="50" t="str">
        <f>IF(tblConsulta[[#This Row],[SKU]]="","",IFERROR(INDEX(tblProductos[Proveedor],MATCH(tblConsulta[[#This Row],[SKU]],tblProductos[SKU],0))&amp;"",""))</f>
        <v/>
      </c>
      <c r="J26" s="43" t="str">
        <f>IF(tblConsulta[[#This Row],[SKU]]="","",IFERROR(INDEX(tblProductos[Ubicación],MATCH(tblConsulta[[#This Row],[SKU]],tblProductos[SKU],0))&amp;"",""))</f>
        <v/>
      </c>
      <c r="K26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6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6" s="57" t="str">
        <f ca="1">IF(tblConsulta[[#This Row],[SKU]]="","",-SUMIFS(tblSalidas[CantidadNeta],tblSalidas[SKU],tblConsulta[[#This Row],[SKU]],tblSalidas[Estado],"✔*",tblSalidas[Fecha],"&gt;="&amp;(TODAY()-29)))</f>
        <v/>
      </c>
      <c r="N26" s="77" t="str">
        <f ca="1">IF(OR(tblConsulta[[#This Row],[SKU]]="",N(tblConsulta[[#This Row],[Salidas30d]])&lt;=0),"",INT(MAX(0,tblConsulta[[#This Row],[Disponible]])/(tblConsulta[[#This Row],[Salidas30d]]/30)))</f>
        <v/>
      </c>
      <c r="O26" s="78" t="str">
        <f>IF(tblConsulta[[#This Row],[SKU]]="","",MAX(0,N(tblConsulta[[#This Row],[Disponible]]))*IFERROR(N(INDEX(tblProductos[CostoUnitario],MATCH(tblConsulta[[#This Row],[SKU]],tblProductos[SKU],0))),0))</f>
        <v/>
      </c>
      <c r="P26" s="50" t="str">
        <f>IFERROR(INDEX(tblUsuarios[Correo],MATCH(ROW()-ROW(tblConsulta[#Headers]),tblUsuarios[OrdenConsulta],0)),"")</f>
        <v/>
      </c>
      <c r="Q26" s="43" t="str">
        <f>IF(tblConsulta[[#This Row],[Producto]]="","",TRIM(LEFT(tblConsulta[[#This Row],[Producto]],FIND(" · ",tblConsulta[[#This Row],[Producto]]&amp;" · ")-1)))</f>
        <v/>
      </c>
      <c r="R26" s="57">
        <f>IF(tblConsulta[[#This Row],[SKU]]="",0,IFERROR(_xlfn.AGGREGATE(14,6,tblEntradas[Timestamp]/((tblEntradas[SKU]=tblConsulta[[#This Row],[SKU]])*(LEFT(tblEntradas[Estado],1)="✔")),1),0))</f>
        <v>0</v>
      </c>
      <c r="S26" s="57">
        <f>IF(tblConsulta[[#This Row],[SKU]]="",0,IFERROR(_xlfn.AGGREGATE(14,6,tblSalidas[Timestamp]/((tblSalidas[SKU]=tblConsulta[[#This Row],[SKU]])*(LEFT(tblSalidas[Estado],1)="✔")),1),0))</f>
        <v>0</v>
      </c>
    </row>
    <row r="27" spans="2:19" ht="18" customHeight="1" x14ac:dyDescent="0.25">
      <c r="B27" s="50" t="str">
        <f>IFERROR(INDEX(tblUsuarios[Nombre],MATCH(ROW()-ROW(tblConsulta[#Headers]),tblUsuarios[OrdenConsulta],0)),"")</f>
        <v/>
      </c>
      <c r="C27" s="51"/>
      <c r="D27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7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7" s="57" t="str">
        <f>IF(tblConsulta[[#This Row],[SKU]]="","",IFERROR(N(INDEX(tblProductos[StockMin],MATCH(tblConsulta[[#This Row],[SKU]],tblProductos[SKU],0))),""))</f>
        <v/>
      </c>
      <c r="G27" s="57" t="str">
        <f>IF(tblConsulta[[#This Row],[SKU]]="","",IFERROR(N(INDEX(tblProductos[StockMax],MATCH(tblConsulta[[#This Row],[SKU]],tblProductos[SKU],0))),""))</f>
        <v/>
      </c>
      <c r="H27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7" s="50" t="str">
        <f>IF(tblConsulta[[#This Row],[SKU]]="","",IFERROR(INDEX(tblProductos[Proveedor],MATCH(tblConsulta[[#This Row],[SKU]],tblProductos[SKU],0))&amp;"",""))</f>
        <v/>
      </c>
      <c r="J27" s="43" t="str">
        <f>IF(tblConsulta[[#This Row],[SKU]]="","",IFERROR(INDEX(tblProductos[Ubicación],MATCH(tblConsulta[[#This Row],[SKU]],tblProductos[SKU],0))&amp;"",""))</f>
        <v/>
      </c>
      <c r="K27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7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7" s="57" t="str">
        <f ca="1">IF(tblConsulta[[#This Row],[SKU]]="","",-SUMIFS(tblSalidas[CantidadNeta],tblSalidas[SKU],tblConsulta[[#This Row],[SKU]],tblSalidas[Estado],"✔*",tblSalidas[Fecha],"&gt;="&amp;(TODAY()-29)))</f>
        <v/>
      </c>
      <c r="N27" s="77" t="str">
        <f ca="1">IF(OR(tblConsulta[[#This Row],[SKU]]="",N(tblConsulta[[#This Row],[Salidas30d]])&lt;=0),"",INT(MAX(0,tblConsulta[[#This Row],[Disponible]])/(tblConsulta[[#This Row],[Salidas30d]]/30)))</f>
        <v/>
      </c>
      <c r="O27" s="78" t="str">
        <f>IF(tblConsulta[[#This Row],[SKU]]="","",MAX(0,N(tblConsulta[[#This Row],[Disponible]]))*IFERROR(N(INDEX(tblProductos[CostoUnitario],MATCH(tblConsulta[[#This Row],[SKU]],tblProductos[SKU],0))),0))</f>
        <v/>
      </c>
      <c r="P27" s="50" t="str">
        <f>IFERROR(INDEX(tblUsuarios[Correo],MATCH(ROW()-ROW(tblConsulta[#Headers]),tblUsuarios[OrdenConsulta],0)),"")</f>
        <v/>
      </c>
      <c r="Q27" s="43" t="str">
        <f>IF(tblConsulta[[#This Row],[Producto]]="","",TRIM(LEFT(tblConsulta[[#This Row],[Producto]],FIND(" · ",tblConsulta[[#This Row],[Producto]]&amp;" · ")-1)))</f>
        <v/>
      </c>
      <c r="R27" s="57">
        <f>IF(tblConsulta[[#This Row],[SKU]]="",0,IFERROR(_xlfn.AGGREGATE(14,6,tblEntradas[Timestamp]/((tblEntradas[SKU]=tblConsulta[[#This Row],[SKU]])*(LEFT(tblEntradas[Estado],1)="✔")),1),0))</f>
        <v>0</v>
      </c>
      <c r="S27" s="57">
        <f>IF(tblConsulta[[#This Row],[SKU]]="",0,IFERROR(_xlfn.AGGREGATE(14,6,tblSalidas[Timestamp]/((tblSalidas[SKU]=tblConsulta[[#This Row],[SKU]])*(LEFT(tblSalidas[Estado],1)="✔")),1),0))</f>
        <v>0</v>
      </c>
    </row>
    <row r="28" spans="2:19" ht="18" customHeight="1" x14ac:dyDescent="0.25">
      <c r="B28" s="50" t="str">
        <f>IFERROR(INDEX(tblUsuarios[Nombre],MATCH(ROW()-ROW(tblConsulta[#Headers]),tblUsuarios[OrdenConsulta],0)),"")</f>
        <v/>
      </c>
      <c r="C28" s="51"/>
      <c r="D28" s="54" t="str">
        <f>IF(tblConsulta[[#This Row],[SKU]]="","",SUMIFS(tblEntradas[CantidadNeta],tblEntradas[SKU],tblConsulta[[#This Row],[SKU]],tblEntradas[Estado],"✔*")+SUMIFS(tblSalidas[CantidadNeta],tblSalidas[SKU],tblConsulta[[#This Row],[SKU]],tblSalidas[Estado],"✔*"))</f>
        <v/>
      </c>
      <c r="E28" s="44" t="str">
        <f>IF(OR(tblConsulta[[#This Row],[SKU]]="",tblConsulta[[#This Row],[Disponible]]=""),"",IF(ISNA(MATCH(tblConsulta[[#This Row],[SKU]],tblProductos[SKU],0)),"NO EXISTE",IF(INDEX(tblProductos[Activo],MATCH(tblConsulta[[#This Row],[SKU]],tblProductos[SKU],0))="NO","INACTIVO",IF(tblConsulta[[#This Row],[Disponible]]&lt;0,"INCONSISTENTE",IF(tblConsulta[[#This Row],[Disponible]]=0,"AGOTADO",IF(tblConsulta[[#This Row],[Disponible]]&lt;=N(tblConsulta[[#This Row],[Mínimo]]),"CRÍTICO",IF(tblConsulta[[#This Row],[Disponible]]&lt;=N(tblConsulta[[#This Row],[Mínimo]])*(1+cfgMargenAlerta),"BAJO",IF(AND(N(tblConsulta[[#This Row],[Máximo]])&gt;0,tblConsulta[[#This Row],[Disponible]]&gt;N(tblConsulta[[#This Row],[Máximo]])),"SOBRESTOCK","ÓPTIMO"))))))))</f>
        <v/>
      </c>
      <c r="F28" s="57" t="str">
        <f>IF(tblConsulta[[#This Row],[SKU]]="","",IFERROR(N(INDEX(tblProductos[StockMin],MATCH(tblConsulta[[#This Row],[SKU]],tblProductos[SKU],0))),""))</f>
        <v/>
      </c>
      <c r="G28" s="57" t="str">
        <f>IF(tblConsulta[[#This Row],[SKU]]="","",IFERROR(N(INDEX(tblProductos[StockMax],MATCH(tblConsulta[[#This Row],[SKU]],tblProductos[SKU],0))),""))</f>
        <v/>
      </c>
      <c r="H28" s="57" t="str">
        <f>IF(OR(tblConsulta[[#This Row],[SKU]]="",tblConsulta[[#This Row],[Disponible]]=""),"",IF(OR(tblConsulta[[#This Row],[Estado]]="AGOTADO",tblConsulta[[#This Row],[Estado]]="CRÍTICO",tblConsulta[[#This Row],[Estado]]="BAJO"),MAX(0,IF(N(tblConsulta[[#This Row],[Máximo]])&gt;0,tblConsulta[[#This Row],[Máximo]],2*N(tblConsulta[[#This Row],[Mínimo]]))-MAX(0,tblConsulta[[#This Row],[Disponible]])),0))</f>
        <v/>
      </c>
      <c r="I28" s="50" t="str">
        <f>IF(tblConsulta[[#This Row],[SKU]]="","",IFERROR(INDEX(tblProductos[Proveedor],MATCH(tblConsulta[[#This Row],[SKU]],tblProductos[SKU],0))&amp;"",""))</f>
        <v/>
      </c>
      <c r="J28" s="43" t="str">
        <f>IF(tblConsulta[[#This Row],[SKU]]="","",IFERROR(INDEX(tblProductos[Ubicación],MATCH(tblConsulta[[#This Row],[SKU]],tblProductos[SKU],0))&amp;"",""))</f>
        <v/>
      </c>
      <c r="K28" s="50" t="str">
        <f>IF(tblConsulta[[#This Row],[SKU]]="","",IF(MAX(tblConsulta[[#This Row],[TsE]],tblConsulta[[#This Row],[TsS]])=0,"Sin movimientos",IF(tblConsulta[[#This Row],[TsE]]&gt;=tblConsulta[[#This Row],[TsS]],RIGHT("0"&amp;DAY(INDEX(tblEntradas[Fecha],MATCH(tblConsulta[[#This Row],[TsE]],tblEntradas[Timestamp],0))),2)&amp;"/"&amp;RIGHT("0"&amp;MONTH(INDEX(tblEntradas[Fecha],MATCH(tblConsulta[[#This Row],[TsE]],tblEntradas[Timestamp],0))),2)&amp;"/"&amp;YEAR(INDEX(tblEntradas[Fecha],MATCH(tblConsulta[[#This Row],[TsE]],tblEntradas[Timestamp],0)))&amp;"  ·  "&amp;INDEX(tblEntradas[Tipo],MATCH(tblConsulta[[#This Row],[TsE]],tblEntradas[Timestamp],0))&amp;" "&amp;INDEX(tblEntradas[Cantidad],MATCH(tblConsulta[[#This Row],[TsE]],tblEntradas[Timestamp],0))&amp;"  ·  "&amp;INDEX(tblEntradas[Registró],MATCH(tblConsulta[[#This Row],[TsE]],tblEntradas[Timestamp],0)),RIGHT("0"&amp;DAY(INDEX(tblSalidas[Fecha],MATCH(tblConsulta[[#This Row],[TsS]],tblSalidas[Timestamp],0))),2)&amp;"/"&amp;RIGHT("0"&amp;MONTH(INDEX(tblSalidas[Fecha],MATCH(tblConsulta[[#This Row],[TsS]],tblSalidas[Timestamp],0))),2)&amp;"/"&amp;YEAR(INDEX(tblSalidas[Fecha],MATCH(tblConsulta[[#This Row],[TsS]],tblSalidas[Timestamp],0)))&amp;"  ·  "&amp;INDEX(tblSalidas[Tipo],MATCH(tblConsulta[[#This Row],[TsS]],tblSalidas[Timestamp],0))&amp;" "&amp;INDEX(tblSalidas[Cantidad],MATCH(tblConsulta[[#This Row],[TsS]],tblSalidas[Timestamp],0))&amp;"  ·  "&amp;INDEX(tblSalidas[Registró],MATCH(tblConsulta[[#This Row],[TsS]],tblSalidas[Timestamp],0)))))</f>
        <v/>
      </c>
      <c r="L28" s="57" t="str">
        <f ca="1">IF(tblConsulta[[#This Row],[SKU]]="","",SUMIFS(tblEntradas[CantidadNeta],tblEntradas[SKU],tblConsulta[[#This Row],[SKU]],tblEntradas[Estado],"✔*",tblEntradas[Fecha],"&gt;="&amp;(TODAY()-29),tblEntradas[CantidadNeta],"&gt;0"))</f>
        <v/>
      </c>
      <c r="M28" s="57" t="str">
        <f ca="1">IF(tblConsulta[[#This Row],[SKU]]="","",-SUMIFS(tblSalidas[CantidadNeta],tblSalidas[SKU],tblConsulta[[#This Row],[SKU]],tblSalidas[Estado],"✔*",tblSalidas[Fecha],"&gt;="&amp;(TODAY()-29)))</f>
        <v/>
      </c>
      <c r="N28" s="77" t="str">
        <f ca="1">IF(OR(tblConsulta[[#This Row],[SKU]]="",N(tblConsulta[[#This Row],[Salidas30d]])&lt;=0),"",INT(MAX(0,tblConsulta[[#This Row],[Disponible]])/(tblConsulta[[#This Row],[Salidas30d]]/30)))</f>
        <v/>
      </c>
      <c r="O28" s="78" t="str">
        <f>IF(tblConsulta[[#This Row],[SKU]]="","",MAX(0,N(tblConsulta[[#This Row],[Disponible]]))*IFERROR(N(INDEX(tblProductos[CostoUnitario],MATCH(tblConsulta[[#This Row],[SKU]],tblProductos[SKU],0))),0))</f>
        <v/>
      </c>
      <c r="P28" s="50" t="str">
        <f>IFERROR(INDEX(tblUsuarios[Correo],MATCH(ROW()-ROW(tblConsulta[#Headers]),tblUsuarios[OrdenConsulta],0)),"")</f>
        <v/>
      </c>
      <c r="Q28" s="43" t="str">
        <f>IF(tblConsulta[[#This Row],[Producto]]="","",TRIM(LEFT(tblConsulta[[#This Row],[Producto]],FIND(" · ",tblConsulta[[#This Row],[Producto]]&amp;" · ")-1)))</f>
        <v/>
      </c>
      <c r="R28" s="57">
        <f>IF(tblConsulta[[#This Row],[SKU]]="",0,IFERROR(_xlfn.AGGREGATE(14,6,tblEntradas[Timestamp]/((tblEntradas[SKU]=tblConsulta[[#This Row],[SKU]])*(LEFT(tblEntradas[Estado],1)="✔")),1),0))</f>
        <v>0</v>
      </c>
      <c r="S28" s="57">
        <f>IF(tblConsulta[[#This Row],[SKU]]="",0,IFERROR(_xlfn.AGGREGATE(14,6,tblSalidas[Timestamp]/((tblSalidas[SKU]=tblConsulta[[#This Row],[SKU]])*(LEFT(tblSalidas[Estado],1)="✔")),1),0))</f>
        <v>0</v>
      </c>
    </row>
    <row r="30" spans="2:19" s="7" customFormat="1" ht="10.5" customHeight="1" x14ac:dyDescent="0.25"/>
    <row r="31" spans="2:19" s="7" customFormat="1" ht="16.5" customHeight="1" x14ac:dyDescent="0.25">
      <c r="B31" s="7" t="s">
        <v>247</v>
      </c>
    </row>
    <row r="32" spans="2:19" ht="16.5" customHeight="1" x14ac:dyDescent="0.25">
      <c r="B32" s="133" t="s">
        <v>248</v>
      </c>
      <c r="C32" s="133"/>
      <c r="D32" s="133"/>
      <c r="E32" s="133"/>
      <c r="F32" s="133"/>
      <c r="G32" s="133"/>
    </row>
    <row r="33" spans="2:7" ht="16.5" customHeight="1" x14ac:dyDescent="0.25">
      <c r="B33" s="133" t="s">
        <v>249</v>
      </c>
      <c r="C33" s="133"/>
      <c r="D33" s="133"/>
      <c r="E33" s="133"/>
      <c r="F33" s="133"/>
      <c r="G33" s="133"/>
    </row>
    <row r="34" spans="2:7" ht="16.5" customHeight="1" x14ac:dyDescent="0.25">
      <c r="B34" s="133" t="s">
        <v>250</v>
      </c>
      <c r="C34" s="133"/>
      <c r="D34" s="133"/>
      <c r="E34" s="133"/>
      <c r="F34" s="133"/>
      <c r="G34" s="133"/>
    </row>
    <row r="35" spans="2:7" ht="16.5" customHeight="1" x14ac:dyDescent="0.25">
      <c r="B35" s="133" t="s">
        <v>251</v>
      </c>
      <c r="C35" s="133"/>
      <c r="D35" s="133"/>
      <c r="E35" s="133"/>
      <c r="F35" s="133"/>
      <c r="G35" s="133"/>
    </row>
  </sheetData>
  <sheetProtection password="930D" sheet="1" objects="1" scenarios="1" formatColumns="0" autoFilter="0"/>
  <protectedRanges>
    <protectedRange sqref="C9:C28" name="Consulta"/>
  </protectedRanges>
  <mergeCells count="5">
    <mergeCell ref="C6:G6"/>
    <mergeCell ref="B32:G32"/>
    <mergeCell ref="B33:G33"/>
    <mergeCell ref="B34:G34"/>
    <mergeCell ref="B35:G35"/>
  </mergeCells>
  <conditionalFormatting sqref="B9:B28">
    <cfRule type="expression" dxfId="43" priority="11">
      <formula>$P9=""</formula>
    </cfRule>
    <cfRule type="expression" dxfId="42" priority="12">
      <formula>$P9&lt;&gt;""</formula>
    </cfRule>
  </conditionalFormatting>
  <conditionalFormatting sqref="B9:O28">
    <cfRule type="expression" dxfId="41" priority="10">
      <formula>$P9=""</formula>
    </cfRule>
  </conditionalFormatting>
  <conditionalFormatting sqref="D9:D28">
    <cfRule type="expression" dxfId="40" priority="13">
      <formula>AND(ISNUMBER(D9),D9&lt;&gt;INT(D9))</formula>
    </cfRule>
  </conditionalFormatting>
  <conditionalFormatting sqref="E9:E28">
    <cfRule type="expression" dxfId="39" priority="1">
      <formula>$E9="INCONSISTENTE"</formula>
    </cfRule>
    <cfRule type="expression" dxfId="38" priority="2">
      <formula>$E9="AGOTADO"</formula>
    </cfRule>
    <cfRule type="expression" dxfId="37" priority="3">
      <formula>$E9="CRÍTICO"</formula>
    </cfRule>
    <cfRule type="expression" dxfId="36" priority="4">
      <formula>$E9="BAJO"</formula>
    </cfRule>
    <cfRule type="expression" dxfId="35" priority="5">
      <formula>$E9="ÓPTIMO"</formula>
    </cfRule>
    <cfRule type="expression" dxfId="34" priority="6">
      <formula>$E9="SOBRESTOCK"</formula>
    </cfRule>
    <cfRule type="expression" dxfId="33" priority="7">
      <formula>$E9="INACTIVO"</formula>
    </cfRule>
  </conditionalFormatting>
  <conditionalFormatting sqref="F9:F28">
    <cfRule type="expression" dxfId="32" priority="14">
      <formula>AND(ISNUMBER(F9),F9&lt;&gt;INT(F9))</formula>
    </cfRule>
  </conditionalFormatting>
  <conditionalFormatting sqref="G9:G28">
    <cfRule type="expression" dxfId="31" priority="15">
      <formula>AND(ISNUMBER(G9),G9&lt;&gt;INT(G9))</formula>
    </cfRule>
  </conditionalFormatting>
  <conditionalFormatting sqref="H9:H28">
    <cfRule type="expression" dxfId="30" priority="16">
      <formula>AND(ISNUMBER(H9),H9&lt;&gt;INT(H9))</formula>
    </cfRule>
  </conditionalFormatting>
  <conditionalFormatting sqref="L9:L28">
    <cfRule type="expression" dxfId="29" priority="17">
      <formula>AND(ISNUMBER(L9),L9&lt;&gt;INT(L9))</formula>
    </cfRule>
  </conditionalFormatting>
  <conditionalFormatting sqref="M9:M28">
    <cfRule type="expression" dxfId="28" priority="18">
      <formula>AND(ISNUMBER(M9),M9&lt;&gt;INT(M9))</formula>
    </cfRule>
  </conditionalFormatting>
  <conditionalFormatting sqref="N9:N28">
    <cfRule type="expression" dxfId="27" priority="8" stopIfTrue="1">
      <formula>AND(ISNUMBER($N9),$N9&lt;3)</formula>
    </cfRule>
    <cfRule type="expression" dxfId="26" priority="9" stopIfTrue="1">
      <formula>AND(ISNUMBER($N9),$N9&lt;7)</formula>
    </cfRule>
  </conditionalFormatting>
  <dataValidations count="19">
    <dataValidation allowBlank="1" showInputMessage="1" showErrorMessage="1" promptTitle="ƒx Usuario" prompt="Persona dueña de esta fila (según 02_USUARIOS). Use solo SU fila." sqref="B8" xr:uid="{00000000-0002-0000-0F00-000000000000}"/>
    <dataValidation allowBlank="1" showInputMessage="1" showErrorMessage="1" promptTitle="✎ Producto" prompt="Elija un producto de la lista (escriba parte del nombre o del SKU para filtrarla). La ficha se calcula al instante." sqref="C8" xr:uid="{00000000-0002-0000-0F00-000001000000}"/>
    <dataValidation allowBlank="1" showInputMessage="1" showErrorMessage="1" promptTitle="ƒx Disponible" prompt="Stock exacto ahora: suma de las dos bitácoras oficiales." sqref="D8" xr:uid="{00000000-0002-0000-0F00-000002000000}"/>
    <dataValidation allowBlank="1" showInputMessage="1" showErrorMessage="1" promptTitle="ƒx Estado" prompt="Semáforo con el disponible exacto (mismas reglas de 15_STOCK)." sqref="E8" xr:uid="{00000000-0002-0000-0F00-000003000000}"/>
    <dataValidation allowBlank="1" showInputMessage="1" showErrorMessage="1" promptTitle="ƒx Mínimo" prompt="Stock mínimo del catálogo." sqref="F8" xr:uid="{00000000-0002-0000-0F00-000004000000}"/>
    <dataValidation allowBlank="1" showInputMessage="1" showErrorMessage="1" promptTitle="ƒx Máximo" prompt="Stock máximo del catálogo (0 = sin máximo)." sqref="G8" xr:uid="{00000000-0002-0000-0F00-000005000000}"/>
    <dataValidation allowBlank="1" showInputMessage="1" showErrorMessage="1" promptTitle="ƒx Sugerido" prompt="Cantidad a pedir para volver al máximo (o a 2 × mínimo) si está agotado, crítico o bajo; 0 si no requiere reposición (misma regla de 18_PEDIDO)." sqref="H8" xr:uid="{00000000-0002-0000-0F00-000006000000}"/>
    <dataValidation allowBlank="1" showInputMessage="1" showErrorMessage="1" promptTitle="ƒx Proveedor" prompt="Proveedor habitual del producto." sqref="I8" xr:uid="{00000000-0002-0000-0F00-000007000000}"/>
    <dataValidation allowBlank="1" showInputMessage="1" showErrorMessage="1" promptTitle="ƒx Ubicación" prompt="Ubicación en bodega." sqref="J8" xr:uid="{00000000-0002-0000-0F00-000008000000}"/>
    <dataValidation allowBlank="1" showInputMessage="1" showErrorMessage="1" promptTitle="ƒx UltimoMovimiento" prompt="Fecha, tipo, cantidad y quién hizo el último movimiento consolidado." sqref="K8" xr:uid="{00000000-0002-0000-0F00-000009000000}"/>
    <dataValidation allowBlank="1" showInputMessage="1" showErrorMessage="1" promptTitle="ƒx Entradas30d" prompt="Unidades que entraron en los últimos 30 días." sqref="L8" xr:uid="{00000000-0002-0000-0F00-00000A000000}"/>
    <dataValidation allowBlank="1" showInputMessage="1" showErrorMessage="1" promptTitle="ƒx Salidas30d" prompt="Unidades vendidas o despachadas en los últimos 30 días." sqref="M8" xr:uid="{00000000-0002-0000-0F00-00000B000000}"/>
    <dataValidation allowBlank="1" showInputMessage="1" showErrorMessage="1" promptTitle="ƒx CoberturaDias" prompt="Días que alcanza el stock al ritmo de salidas de los últimos 30 días." sqref="N8" xr:uid="{00000000-0002-0000-0F00-00000C000000}"/>
    <dataValidation allowBlank="1" showInputMessage="1" showErrorMessage="1" promptTitle="ƒx Valor" prompt="Disponible × costo unitario del catálogo." sqref="O8" xr:uid="{00000000-0002-0000-0F00-00000D000000}"/>
    <dataValidation allowBlank="1" showInputMessage="1" showErrorMessage="1" promptTitle="ƒx Correo" prompt="Técnica (oculta): correo del dueño de la fila." sqref="P8" xr:uid="{00000000-0002-0000-0F00-00000E000000}"/>
    <dataValidation allowBlank="1" showInputMessage="1" showErrorMessage="1" promptTitle="ƒx SKU" prompt="Técnica (oculta): código del producto." sqref="Q8" xr:uid="{00000000-0002-0000-0F00-00000F000000}"/>
    <dataValidation allowBlank="1" showInputMessage="1" showErrorMessage="1" promptTitle="ƒx TsE" prompt="Técnica (oculta): último registro en 10A." sqref="R8" xr:uid="{00000000-0002-0000-0F00-000010000000}"/>
    <dataValidation allowBlank="1" showInputMessage="1" showErrorMessage="1" promptTitle="ƒx TsS" prompt="Técnica (oculta): último registro en 10B." sqref="S8" xr:uid="{00000000-0002-0000-0F00-000011000000}"/>
    <dataValidation type="list" allowBlank="1" showInputMessage="1" showErrorMessage="1" errorTitle="Producto no válido" error="Elija un producto de la lista del catálogo." promptTitle="Producto a consultar" prompt="Elija de la lista. Escriba parte del nombre o del SKU para filtrarla." sqref="C9:C28" xr:uid="{00000000-0002-0000-0F00-000012000000}">
      <formula1>lstProductos</formula1>
    </dataValidation>
  </dataValidations>
  <hyperlinks>
    <hyperlink ref="B5" location="'00_PORTADA_BODEGA'!A1" tooltip="Portada de Bodega" display="⌂ Bodega" xr:uid="{00000000-0004-0000-0F00-000000000000}"/>
    <hyperlink ref="C5" location="'00_PORTADA_VENTAS'!A1" tooltip="Portada de Ventas" display="⌂ Ventas" xr:uid="{00000000-0004-0000-0F00-000001000000}"/>
    <hyperlink ref="D5" location="'00_PORTADA_GERENCIA'!A1" tooltip="Portada de Gerencia: indicadores, pedido y actividad" display="◈ Gerencia" xr:uid="{00000000-0004-0000-0F00-000002000000}"/>
    <hyperlink ref="E5" location="'10A_ENTRADAS'!C9" tooltip="Registrar entradas y ajustes (Bodega)" display="⇩ Entradas" xr:uid="{00000000-0004-0000-0F00-000003000000}"/>
    <hyperlink ref="F5" location="'10B_SALIDAS'!E9" tooltip="Registrar salidas (Ventas)" display="⇧ Salidas" xr:uid="{00000000-0004-0000-0F00-000004000000}"/>
    <hyperlink ref="G5" location="'17_CONSULTA'!C9" tooltip="Consultar un producto en su fila" display="⌕ Consulta" xr:uid="{00000000-0004-0000-0F00-000005000000}"/>
    <hyperlink ref="H5" location="'15_STOCK'!A1" tooltip="Stock (instantánea recalculada a demanda)" display="▦ Stock" xr:uid="{00000000-0004-0000-0F00-000006000000}"/>
    <hyperlink ref="I5" location="'18_PEDIDO'!A1" tooltip="Pedido sugerido por proveedor" display="✚ Pedido" xr:uid="{00000000-0004-0000-0F00-000007000000}"/>
    <hyperlink ref="J5" location="'13_CONTEO'!I9" tooltip="Toma física (conteo) colaborativa" display="✓ Conteo" xr:uid="{00000000-0004-0000-0F00-000008000000}"/>
    <hyperlink ref="K5" location="'99_AYUDA'!A1" tooltip="Guía de uso, acceso e instalación" display="? Guía" xr:uid="{00000000-0004-0000-0F00-000009000000}"/>
  </hyperlinks>
  <pageMargins left="0.7" right="0.7" top="0.75" bottom="0.75" header="0.3" footer="0.3"/>
  <pageSetup fitToHeight="0" orientation="landscape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BF360C"/>
    <pageSetUpPr fitToPage="1"/>
  </sheetPr>
  <dimension ref="B1:Q5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31.42578125" customWidth="1"/>
    <col min="3" max="3" width="12" customWidth="1"/>
    <col min="4" max="4" width="38.5703125" customWidth="1"/>
    <col min="5" max="5" width="12" customWidth="1"/>
    <col min="6" max="6" width="17.7109375" customWidth="1"/>
    <col min="7" max="7" width="12" customWidth="1"/>
    <col min="8" max="9" width="13.7109375" customWidth="1"/>
    <col min="10" max="10" width="14.28515625" customWidth="1"/>
    <col min="11" max="11" width="18.5703125" customWidth="1"/>
    <col min="12" max="12" width="17.7109375" customWidth="1"/>
    <col min="13" max="13" width="17.140625" customWidth="1"/>
    <col min="14" max="14" width="20.85546875" customWidth="1"/>
    <col min="15" max="15" width="24.28515625" customWidth="1"/>
    <col min="16" max="16" width="17.140625" customWidth="1"/>
    <col min="17" max="17" width="34.28515625" customWidth="1"/>
    <col min="18" max="18" width="2.28515625" customWidth="1"/>
    <col min="19" max="19" width="0" hidden="1" customWidth="1"/>
  </cols>
  <sheetData>
    <row r="1" spans="2:17" s="1" customFormat="1" ht="4.5" customHeight="1" x14ac:dyDescent="0.25"/>
    <row r="2" spans="2:17" s="1" customFormat="1" ht="22.5" customHeight="1" x14ac:dyDescent="0.25">
      <c r="B2" s="2" t="s">
        <v>252</v>
      </c>
    </row>
    <row r="3" spans="2:17" s="1" customFormat="1" ht="14.25" x14ac:dyDescent="0.25">
      <c r="B3" s="16" t="s">
        <v>253</v>
      </c>
    </row>
    <row r="4" spans="2:17" s="1" customFormat="1" ht="4.5" customHeight="1" x14ac:dyDescent="0.25"/>
    <row r="5" spans="2:17" s="4" customFormat="1" ht="21" customHeight="1" x14ac:dyDescent="0.25">
      <c r="B5" s="6" t="s">
        <v>82</v>
      </c>
      <c r="C5" s="6" t="s">
        <v>83</v>
      </c>
      <c r="D5" s="6" t="s">
        <v>84</v>
      </c>
      <c r="E5" s="6" t="s">
        <v>85</v>
      </c>
      <c r="F5" s="6" t="s">
        <v>86</v>
      </c>
      <c r="G5" s="6" t="s">
        <v>87</v>
      </c>
      <c r="H5" s="6" t="s">
        <v>88</v>
      </c>
      <c r="I5" s="5" t="s">
        <v>89</v>
      </c>
      <c r="J5" s="6" t="s">
        <v>90</v>
      </c>
      <c r="K5" s="6" t="s">
        <v>91</v>
      </c>
    </row>
    <row r="6" spans="2:17" s="7" customFormat="1" ht="27" customHeight="1" x14ac:dyDescent="0.25">
      <c r="B6" s="39" t="str">
        <f>"Líneas: "&amp;kpiPedidoLineas</f>
        <v>Líneas: 0</v>
      </c>
      <c r="C6" s="134" t="str">
        <f>"Proveedores: "&amp;kpiPedidoProv&amp;"   ·   Total estimado: $ "&amp;FIXED(kpiPedidoTotal,0)</f>
        <v>Proveedores: 0   ·   Total estimado: $ 0</v>
      </c>
      <c r="D6" s="134"/>
      <c r="E6" s="129" t="str">
        <f>txtFrescuraCorta</f>
        <v>⚠ Sin calcular</v>
      </c>
      <c r="F6" s="129"/>
      <c r="G6" s="129"/>
      <c r="I6" s="95" t="s">
        <v>228</v>
      </c>
      <c r="J6" s="95"/>
      <c r="K6" s="95"/>
      <c r="L6" s="95"/>
      <c r="M6" s="95"/>
    </row>
    <row r="7" spans="2:17" ht="24" customHeight="1" x14ac:dyDescent="0.25">
      <c r="B7" s="18" t="s">
        <v>103</v>
      </c>
      <c r="C7" s="18" t="s">
        <v>114</v>
      </c>
      <c r="D7" s="18" t="s">
        <v>115</v>
      </c>
      <c r="E7" s="18" t="s">
        <v>117</v>
      </c>
      <c r="F7" s="18" t="s">
        <v>56</v>
      </c>
      <c r="G7" s="18" t="s">
        <v>232</v>
      </c>
      <c r="H7" s="18" t="s">
        <v>233</v>
      </c>
      <c r="I7" s="18" t="s">
        <v>234</v>
      </c>
      <c r="J7" s="18" t="s">
        <v>254</v>
      </c>
      <c r="K7" s="18" t="s">
        <v>120</v>
      </c>
      <c r="L7" s="18" t="s">
        <v>255</v>
      </c>
      <c r="M7" s="18" t="s">
        <v>107</v>
      </c>
      <c r="N7" s="18" t="s">
        <v>256</v>
      </c>
      <c r="O7" s="18" t="s">
        <v>105</v>
      </c>
      <c r="P7" s="18" t="s">
        <v>106</v>
      </c>
      <c r="Q7" s="18" t="s">
        <v>92</v>
      </c>
    </row>
    <row r="8" spans="2:17" x14ac:dyDescent="0.25">
      <c r="B8" s="68"/>
      <c r="C8" s="67"/>
      <c r="D8" s="68"/>
      <c r="E8" s="67"/>
      <c r="F8" s="72"/>
      <c r="G8" s="70"/>
      <c r="H8" s="69"/>
      <c r="I8" s="69"/>
      <c r="J8" s="70"/>
      <c r="K8" s="73"/>
      <c r="L8" s="73"/>
      <c r="M8" s="75"/>
      <c r="N8" s="74"/>
      <c r="O8" s="68"/>
      <c r="P8" s="67"/>
      <c r="Q8" s="68"/>
    </row>
    <row r="9" spans="2:17" x14ac:dyDescent="0.25">
      <c r="B9" s="68"/>
      <c r="C9" s="67"/>
      <c r="D9" s="68"/>
      <c r="E9" s="67"/>
      <c r="F9" s="72"/>
      <c r="G9" s="70"/>
      <c r="H9" s="69"/>
      <c r="I9" s="69"/>
      <c r="J9" s="70"/>
      <c r="K9" s="73"/>
      <c r="L9" s="73"/>
      <c r="M9" s="75"/>
      <c r="N9" s="74"/>
      <c r="O9" s="68"/>
      <c r="P9" s="67"/>
      <c r="Q9" s="68"/>
    </row>
    <row r="10" spans="2:17" x14ac:dyDescent="0.25">
      <c r="B10" s="68"/>
      <c r="C10" s="67"/>
      <c r="D10" s="68"/>
      <c r="E10" s="67"/>
      <c r="F10" s="72"/>
      <c r="G10" s="70"/>
      <c r="H10" s="69"/>
      <c r="I10" s="69"/>
      <c r="J10" s="70"/>
      <c r="K10" s="73"/>
      <c r="L10" s="73"/>
      <c r="M10" s="75"/>
      <c r="N10" s="74"/>
      <c r="O10" s="68"/>
      <c r="P10" s="67"/>
      <c r="Q10" s="68"/>
    </row>
    <row r="11" spans="2:17" x14ac:dyDescent="0.25">
      <c r="B11" s="68"/>
      <c r="C11" s="67"/>
      <c r="D11" s="68"/>
      <c r="E11" s="67"/>
      <c r="F11" s="72"/>
      <c r="G11" s="70"/>
      <c r="H11" s="69"/>
      <c r="I11" s="69"/>
      <c r="J11" s="70"/>
      <c r="K11" s="73"/>
      <c r="L11" s="73"/>
      <c r="M11" s="75"/>
      <c r="N11" s="74"/>
      <c r="O11" s="68"/>
      <c r="P11" s="67"/>
      <c r="Q11" s="68"/>
    </row>
    <row r="12" spans="2:17" x14ac:dyDescent="0.25">
      <c r="B12" s="68"/>
      <c r="C12" s="67"/>
      <c r="D12" s="68"/>
      <c r="E12" s="67"/>
      <c r="F12" s="72"/>
      <c r="G12" s="70"/>
      <c r="H12" s="69"/>
      <c r="I12" s="69"/>
      <c r="J12" s="70"/>
      <c r="K12" s="73"/>
      <c r="L12" s="73"/>
      <c r="M12" s="75"/>
      <c r="N12" s="74"/>
      <c r="O12" s="68"/>
      <c r="P12" s="67"/>
      <c r="Q12" s="68"/>
    </row>
    <row r="13" spans="2:17" x14ac:dyDescent="0.25">
      <c r="B13" s="68"/>
      <c r="C13" s="67"/>
      <c r="D13" s="68"/>
      <c r="E13" s="67"/>
      <c r="F13" s="72"/>
      <c r="G13" s="70"/>
      <c r="H13" s="69"/>
      <c r="I13" s="69"/>
      <c r="J13" s="70"/>
      <c r="K13" s="73"/>
      <c r="L13" s="73"/>
      <c r="M13" s="75"/>
      <c r="N13" s="74"/>
      <c r="O13" s="68"/>
      <c r="P13" s="67"/>
      <c r="Q13" s="68"/>
    </row>
    <row r="14" spans="2:17" x14ac:dyDescent="0.25">
      <c r="B14" s="68"/>
      <c r="C14" s="67"/>
      <c r="D14" s="68"/>
      <c r="E14" s="67"/>
      <c r="F14" s="72"/>
      <c r="G14" s="70"/>
      <c r="H14" s="69"/>
      <c r="I14" s="69"/>
      <c r="J14" s="70"/>
      <c r="K14" s="73"/>
      <c r="L14" s="73"/>
      <c r="M14" s="75"/>
      <c r="N14" s="74"/>
      <c r="O14" s="68"/>
      <c r="P14" s="67"/>
      <c r="Q14" s="68"/>
    </row>
    <row r="15" spans="2:17" x14ac:dyDescent="0.25">
      <c r="B15" s="68"/>
      <c r="C15" s="67"/>
      <c r="D15" s="68"/>
      <c r="E15" s="67"/>
      <c r="F15" s="72"/>
      <c r="G15" s="70"/>
      <c r="H15" s="69"/>
      <c r="I15" s="69"/>
      <c r="J15" s="70"/>
      <c r="K15" s="73"/>
      <c r="L15" s="73"/>
      <c r="M15" s="75"/>
      <c r="N15" s="74"/>
      <c r="O15" s="68"/>
      <c r="P15" s="67"/>
      <c r="Q15" s="68"/>
    </row>
    <row r="16" spans="2:17" x14ac:dyDescent="0.25">
      <c r="B16" s="68"/>
      <c r="C16" s="67"/>
      <c r="D16" s="68"/>
      <c r="E16" s="67"/>
      <c r="F16" s="72"/>
      <c r="G16" s="70"/>
      <c r="H16" s="69"/>
      <c r="I16" s="69"/>
      <c r="J16" s="70"/>
      <c r="K16" s="73"/>
      <c r="L16" s="73"/>
      <c r="M16" s="75"/>
      <c r="N16" s="74"/>
      <c r="O16" s="68"/>
      <c r="P16" s="67"/>
      <c r="Q16" s="68"/>
    </row>
    <row r="17" spans="2:17" x14ac:dyDescent="0.25">
      <c r="B17" s="68"/>
      <c r="C17" s="67"/>
      <c r="D17" s="68"/>
      <c r="E17" s="67"/>
      <c r="F17" s="72"/>
      <c r="G17" s="70"/>
      <c r="H17" s="69"/>
      <c r="I17" s="69"/>
      <c r="J17" s="70"/>
      <c r="K17" s="73"/>
      <c r="L17" s="73"/>
      <c r="M17" s="75"/>
      <c r="N17" s="74"/>
      <c r="O17" s="68"/>
      <c r="P17" s="67"/>
      <c r="Q17" s="68"/>
    </row>
    <row r="18" spans="2:17" x14ac:dyDescent="0.25">
      <c r="B18" s="68"/>
      <c r="C18" s="67"/>
      <c r="D18" s="68"/>
      <c r="E18" s="67"/>
      <c r="F18" s="72"/>
      <c r="G18" s="70"/>
      <c r="H18" s="69"/>
      <c r="I18" s="69"/>
      <c r="J18" s="70"/>
      <c r="K18" s="73"/>
      <c r="L18" s="73"/>
      <c r="M18" s="75"/>
      <c r="N18" s="74"/>
      <c r="O18" s="68"/>
      <c r="P18" s="67"/>
      <c r="Q18" s="68"/>
    </row>
    <row r="19" spans="2:17" x14ac:dyDescent="0.25">
      <c r="B19" s="68"/>
      <c r="C19" s="67"/>
      <c r="D19" s="68"/>
      <c r="E19" s="67"/>
      <c r="F19" s="72"/>
      <c r="G19" s="70"/>
      <c r="H19" s="69"/>
      <c r="I19" s="69"/>
      <c r="J19" s="70"/>
      <c r="K19" s="73"/>
      <c r="L19" s="73"/>
      <c r="M19" s="75"/>
      <c r="N19" s="74"/>
      <c r="O19" s="68"/>
      <c r="P19" s="67"/>
      <c r="Q19" s="68"/>
    </row>
    <row r="20" spans="2:17" x14ac:dyDescent="0.25">
      <c r="B20" s="68"/>
      <c r="C20" s="67"/>
      <c r="D20" s="68"/>
      <c r="E20" s="67"/>
      <c r="F20" s="72"/>
      <c r="G20" s="70"/>
      <c r="H20" s="69"/>
      <c r="I20" s="69"/>
      <c r="J20" s="70"/>
      <c r="K20" s="73"/>
      <c r="L20" s="73"/>
      <c r="M20" s="75"/>
      <c r="N20" s="74"/>
      <c r="O20" s="68"/>
      <c r="P20" s="67"/>
      <c r="Q20" s="68"/>
    </row>
    <row r="21" spans="2:17" x14ac:dyDescent="0.25">
      <c r="B21" s="68"/>
      <c r="C21" s="67"/>
      <c r="D21" s="68"/>
      <c r="E21" s="67"/>
      <c r="F21" s="72"/>
      <c r="G21" s="70"/>
      <c r="H21" s="69"/>
      <c r="I21" s="69"/>
      <c r="J21" s="70"/>
      <c r="K21" s="73"/>
      <c r="L21" s="73"/>
      <c r="M21" s="75"/>
      <c r="N21" s="74"/>
      <c r="O21" s="68"/>
      <c r="P21" s="67"/>
      <c r="Q21" s="68"/>
    </row>
    <row r="22" spans="2:17" x14ac:dyDescent="0.25">
      <c r="B22" s="68"/>
      <c r="C22" s="67"/>
      <c r="D22" s="68"/>
      <c r="E22" s="67"/>
      <c r="F22" s="72"/>
      <c r="G22" s="70"/>
      <c r="H22" s="69"/>
      <c r="I22" s="69"/>
      <c r="J22" s="70"/>
      <c r="K22" s="73"/>
      <c r="L22" s="73"/>
      <c r="M22" s="75"/>
      <c r="N22" s="74"/>
      <c r="O22" s="68"/>
      <c r="P22" s="67"/>
      <c r="Q22" s="68"/>
    </row>
    <row r="23" spans="2:17" x14ac:dyDescent="0.25">
      <c r="B23" s="68"/>
      <c r="C23" s="67"/>
      <c r="D23" s="68"/>
      <c r="E23" s="67"/>
      <c r="F23" s="72"/>
      <c r="G23" s="70"/>
      <c r="H23" s="69"/>
      <c r="I23" s="69"/>
      <c r="J23" s="70"/>
      <c r="K23" s="73"/>
      <c r="L23" s="73"/>
      <c r="M23" s="75"/>
      <c r="N23" s="74"/>
      <c r="O23" s="68"/>
      <c r="P23" s="67"/>
      <c r="Q23" s="68"/>
    </row>
    <row r="24" spans="2:17" x14ac:dyDescent="0.25">
      <c r="B24" s="68"/>
      <c r="C24" s="67"/>
      <c r="D24" s="68"/>
      <c r="E24" s="67"/>
      <c r="F24" s="72"/>
      <c r="G24" s="70"/>
      <c r="H24" s="69"/>
      <c r="I24" s="69"/>
      <c r="J24" s="70"/>
      <c r="K24" s="73"/>
      <c r="L24" s="73"/>
      <c r="M24" s="75"/>
      <c r="N24" s="74"/>
      <c r="O24" s="68"/>
      <c r="P24" s="67"/>
      <c r="Q24" s="68"/>
    </row>
    <row r="25" spans="2:17" x14ac:dyDescent="0.25">
      <c r="B25" s="68"/>
      <c r="C25" s="67"/>
      <c r="D25" s="68"/>
      <c r="E25" s="67"/>
      <c r="F25" s="72"/>
      <c r="G25" s="70"/>
      <c r="H25" s="69"/>
      <c r="I25" s="69"/>
      <c r="J25" s="70"/>
      <c r="K25" s="73"/>
      <c r="L25" s="73"/>
      <c r="M25" s="75"/>
      <c r="N25" s="74"/>
      <c r="O25" s="68"/>
      <c r="P25" s="67"/>
      <c r="Q25" s="68"/>
    </row>
    <row r="26" spans="2:17" x14ac:dyDescent="0.25">
      <c r="B26" s="68"/>
      <c r="C26" s="67"/>
      <c r="D26" s="68"/>
      <c r="E26" s="67"/>
      <c r="F26" s="72"/>
      <c r="G26" s="70"/>
      <c r="H26" s="69"/>
      <c r="I26" s="69"/>
      <c r="J26" s="70"/>
      <c r="K26" s="73"/>
      <c r="L26" s="73"/>
      <c r="M26" s="75"/>
      <c r="N26" s="74"/>
      <c r="O26" s="68"/>
      <c r="P26" s="67"/>
      <c r="Q26" s="68"/>
    </row>
    <row r="27" spans="2:17" x14ac:dyDescent="0.25">
      <c r="B27" s="68"/>
      <c r="C27" s="67"/>
      <c r="D27" s="68"/>
      <c r="E27" s="67"/>
      <c r="F27" s="72"/>
      <c r="G27" s="70"/>
      <c r="H27" s="69"/>
      <c r="I27" s="69"/>
      <c r="J27" s="70"/>
      <c r="K27" s="73"/>
      <c r="L27" s="73"/>
      <c r="M27" s="75"/>
      <c r="N27" s="74"/>
      <c r="O27" s="68"/>
      <c r="P27" s="67"/>
      <c r="Q27" s="68"/>
    </row>
    <row r="28" spans="2:17" x14ac:dyDescent="0.25">
      <c r="B28" s="68"/>
      <c r="C28" s="67"/>
      <c r="D28" s="68"/>
      <c r="E28" s="67"/>
      <c r="F28" s="72"/>
      <c r="G28" s="70"/>
      <c r="H28" s="69"/>
      <c r="I28" s="69"/>
      <c r="J28" s="70"/>
      <c r="K28" s="73"/>
      <c r="L28" s="73"/>
      <c r="M28" s="75"/>
      <c r="N28" s="74"/>
      <c r="O28" s="68"/>
      <c r="P28" s="67"/>
      <c r="Q28" s="68"/>
    </row>
    <row r="29" spans="2:17" x14ac:dyDescent="0.25">
      <c r="B29" s="68"/>
      <c r="C29" s="67"/>
      <c r="D29" s="68"/>
      <c r="E29" s="67"/>
      <c r="F29" s="72"/>
      <c r="G29" s="70"/>
      <c r="H29" s="69"/>
      <c r="I29" s="69"/>
      <c r="J29" s="70"/>
      <c r="K29" s="73"/>
      <c r="L29" s="73"/>
      <c r="M29" s="75"/>
      <c r="N29" s="74"/>
      <c r="O29" s="68"/>
      <c r="P29" s="67"/>
      <c r="Q29" s="68"/>
    </row>
    <row r="30" spans="2:17" x14ac:dyDescent="0.25">
      <c r="B30" s="68"/>
      <c r="C30" s="67"/>
      <c r="D30" s="68"/>
      <c r="E30" s="67"/>
      <c r="F30" s="72"/>
      <c r="G30" s="70"/>
      <c r="H30" s="69"/>
      <c r="I30" s="69"/>
      <c r="J30" s="70"/>
      <c r="K30" s="73"/>
      <c r="L30" s="73"/>
      <c r="M30" s="75"/>
      <c r="N30" s="74"/>
      <c r="O30" s="68"/>
      <c r="P30" s="67"/>
      <c r="Q30" s="68"/>
    </row>
    <row r="31" spans="2:17" x14ac:dyDescent="0.25">
      <c r="B31" s="68"/>
      <c r="C31" s="67"/>
      <c r="D31" s="68"/>
      <c r="E31" s="67"/>
      <c r="F31" s="72"/>
      <c r="G31" s="70"/>
      <c r="H31" s="69"/>
      <c r="I31" s="69"/>
      <c r="J31" s="70"/>
      <c r="K31" s="73"/>
      <c r="L31" s="73"/>
      <c r="M31" s="75"/>
      <c r="N31" s="74"/>
      <c r="O31" s="68"/>
      <c r="P31" s="67"/>
      <c r="Q31" s="68"/>
    </row>
    <row r="32" spans="2:17" x14ac:dyDescent="0.25">
      <c r="B32" s="68"/>
      <c r="C32" s="67"/>
      <c r="D32" s="68"/>
      <c r="E32" s="67"/>
      <c r="F32" s="72"/>
      <c r="G32" s="70"/>
      <c r="H32" s="69"/>
      <c r="I32" s="69"/>
      <c r="J32" s="70"/>
      <c r="K32" s="73"/>
      <c r="L32" s="73"/>
      <c r="M32" s="75"/>
      <c r="N32" s="74"/>
      <c r="O32" s="68"/>
      <c r="P32" s="67"/>
      <c r="Q32" s="68"/>
    </row>
    <row r="33" spans="2:17" x14ac:dyDescent="0.25">
      <c r="B33" s="68"/>
      <c r="C33" s="67"/>
      <c r="D33" s="68"/>
      <c r="E33" s="67"/>
      <c r="F33" s="72"/>
      <c r="G33" s="70"/>
      <c r="H33" s="69"/>
      <c r="I33" s="69"/>
      <c r="J33" s="70"/>
      <c r="K33" s="73"/>
      <c r="L33" s="73"/>
      <c r="M33" s="75"/>
      <c r="N33" s="74"/>
      <c r="O33" s="68"/>
      <c r="P33" s="67"/>
      <c r="Q33" s="68"/>
    </row>
    <row r="34" spans="2:17" x14ac:dyDescent="0.25">
      <c r="B34" s="68"/>
      <c r="C34" s="67"/>
      <c r="D34" s="68"/>
      <c r="E34" s="67"/>
      <c r="F34" s="72"/>
      <c r="G34" s="70"/>
      <c r="H34" s="69"/>
      <c r="I34" s="69"/>
      <c r="J34" s="70"/>
      <c r="K34" s="73"/>
      <c r="L34" s="73"/>
      <c r="M34" s="75"/>
      <c r="N34" s="74"/>
      <c r="O34" s="68"/>
      <c r="P34" s="67"/>
      <c r="Q34" s="68"/>
    </row>
    <row r="35" spans="2:17" x14ac:dyDescent="0.25">
      <c r="B35" s="68"/>
      <c r="C35" s="67"/>
      <c r="D35" s="68"/>
      <c r="E35" s="67"/>
      <c r="F35" s="72"/>
      <c r="G35" s="70"/>
      <c r="H35" s="69"/>
      <c r="I35" s="69"/>
      <c r="J35" s="70"/>
      <c r="K35" s="73"/>
      <c r="L35" s="73"/>
      <c r="M35" s="75"/>
      <c r="N35" s="74"/>
      <c r="O35" s="68"/>
      <c r="P35" s="67"/>
      <c r="Q35" s="68"/>
    </row>
    <row r="36" spans="2:17" x14ac:dyDescent="0.25">
      <c r="B36" s="68"/>
      <c r="C36" s="67"/>
      <c r="D36" s="68"/>
      <c r="E36" s="67"/>
      <c r="F36" s="72"/>
      <c r="G36" s="70"/>
      <c r="H36" s="69"/>
      <c r="I36" s="69"/>
      <c r="J36" s="70"/>
      <c r="K36" s="73"/>
      <c r="L36" s="73"/>
      <c r="M36" s="75"/>
      <c r="N36" s="74"/>
      <c r="O36" s="68"/>
      <c r="P36" s="67"/>
      <c r="Q36" s="68"/>
    </row>
    <row r="37" spans="2:17" x14ac:dyDescent="0.25">
      <c r="B37" s="68"/>
      <c r="C37" s="67"/>
      <c r="D37" s="68"/>
      <c r="E37" s="67"/>
      <c r="F37" s="72"/>
      <c r="G37" s="70"/>
      <c r="H37" s="69"/>
      <c r="I37" s="69"/>
      <c r="J37" s="70"/>
      <c r="K37" s="73"/>
      <c r="L37" s="73"/>
      <c r="M37" s="75"/>
      <c r="N37" s="74"/>
      <c r="O37" s="68"/>
      <c r="P37" s="67"/>
      <c r="Q37" s="68"/>
    </row>
    <row r="38" spans="2:17" x14ac:dyDescent="0.25">
      <c r="B38" s="68"/>
      <c r="C38" s="67"/>
      <c r="D38" s="68"/>
      <c r="E38" s="67"/>
      <c r="F38" s="72"/>
      <c r="G38" s="70"/>
      <c r="H38" s="69"/>
      <c r="I38" s="69"/>
      <c r="J38" s="70"/>
      <c r="K38" s="73"/>
      <c r="L38" s="73"/>
      <c r="M38" s="75"/>
      <c r="N38" s="74"/>
      <c r="O38" s="68"/>
      <c r="P38" s="67"/>
      <c r="Q38" s="68"/>
    </row>
    <row r="39" spans="2:17" x14ac:dyDescent="0.25">
      <c r="B39" s="68"/>
      <c r="C39" s="67"/>
      <c r="D39" s="68"/>
      <c r="E39" s="67"/>
      <c r="F39" s="72"/>
      <c r="G39" s="70"/>
      <c r="H39" s="69"/>
      <c r="I39" s="69"/>
      <c r="J39" s="70"/>
      <c r="K39" s="73"/>
      <c r="L39" s="73"/>
      <c r="M39" s="75"/>
      <c r="N39" s="74"/>
      <c r="O39" s="68"/>
      <c r="P39" s="67"/>
      <c r="Q39" s="68"/>
    </row>
    <row r="40" spans="2:17" x14ac:dyDescent="0.25">
      <c r="B40" s="68"/>
      <c r="C40" s="67"/>
      <c r="D40" s="68"/>
      <c r="E40" s="67"/>
      <c r="F40" s="72"/>
      <c r="G40" s="70"/>
      <c r="H40" s="69"/>
      <c r="I40" s="69"/>
      <c r="J40" s="70"/>
      <c r="K40" s="73"/>
      <c r="L40" s="73"/>
      <c r="M40" s="75"/>
      <c r="N40" s="74"/>
      <c r="O40" s="68"/>
      <c r="P40" s="67"/>
      <c r="Q40" s="68"/>
    </row>
    <row r="41" spans="2:17" x14ac:dyDescent="0.25">
      <c r="B41" s="68"/>
      <c r="C41" s="67"/>
      <c r="D41" s="68"/>
      <c r="E41" s="67"/>
      <c r="F41" s="72"/>
      <c r="G41" s="70"/>
      <c r="H41" s="69"/>
      <c r="I41" s="69"/>
      <c r="J41" s="70"/>
      <c r="K41" s="73"/>
      <c r="L41" s="73"/>
      <c r="M41" s="75"/>
      <c r="N41" s="74"/>
      <c r="O41" s="68"/>
      <c r="P41" s="67"/>
      <c r="Q41" s="68"/>
    </row>
    <row r="42" spans="2:17" x14ac:dyDescent="0.25">
      <c r="B42" s="68"/>
      <c r="C42" s="67"/>
      <c r="D42" s="68"/>
      <c r="E42" s="67"/>
      <c r="F42" s="72"/>
      <c r="G42" s="70"/>
      <c r="H42" s="69"/>
      <c r="I42" s="69"/>
      <c r="J42" s="70"/>
      <c r="K42" s="73"/>
      <c r="L42" s="73"/>
      <c r="M42" s="75"/>
      <c r="N42" s="74"/>
      <c r="O42" s="68"/>
      <c r="P42" s="67"/>
      <c r="Q42" s="68"/>
    </row>
    <row r="43" spans="2:17" x14ac:dyDescent="0.25">
      <c r="B43" s="68"/>
      <c r="C43" s="67"/>
      <c r="D43" s="68"/>
      <c r="E43" s="67"/>
      <c r="F43" s="72"/>
      <c r="G43" s="70"/>
      <c r="H43" s="69"/>
      <c r="I43" s="69"/>
      <c r="J43" s="70"/>
      <c r="K43" s="73"/>
      <c r="L43" s="73"/>
      <c r="M43" s="75"/>
      <c r="N43" s="74"/>
      <c r="O43" s="68"/>
      <c r="P43" s="67"/>
      <c r="Q43" s="68"/>
    </row>
    <row r="44" spans="2:17" x14ac:dyDescent="0.25">
      <c r="B44" s="68"/>
      <c r="C44" s="67"/>
      <c r="D44" s="68"/>
      <c r="E44" s="67"/>
      <c r="F44" s="72"/>
      <c r="G44" s="70"/>
      <c r="H44" s="69"/>
      <c r="I44" s="69"/>
      <c r="J44" s="70"/>
      <c r="K44" s="73"/>
      <c r="L44" s="73"/>
      <c r="M44" s="75"/>
      <c r="N44" s="74"/>
      <c r="O44" s="68"/>
      <c r="P44" s="67"/>
      <c r="Q44" s="68"/>
    </row>
    <row r="45" spans="2:17" x14ac:dyDescent="0.25">
      <c r="B45" s="68"/>
      <c r="C45" s="67"/>
      <c r="D45" s="68"/>
      <c r="E45" s="67"/>
      <c r="F45" s="72"/>
      <c r="G45" s="70"/>
      <c r="H45" s="69"/>
      <c r="I45" s="69"/>
      <c r="J45" s="70"/>
      <c r="K45" s="73"/>
      <c r="L45" s="73"/>
      <c r="M45" s="75"/>
      <c r="N45" s="74"/>
      <c r="O45" s="68"/>
      <c r="P45" s="67"/>
      <c r="Q45" s="68"/>
    </row>
    <row r="46" spans="2:17" x14ac:dyDescent="0.25">
      <c r="B46" s="68"/>
      <c r="C46" s="67"/>
      <c r="D46" s="68"/>
      <c r="E46" s="67"/>
      <c r="F46" s="72"/>
      <c r="G46" s="70"/>
      <c r="H46" s="69"/>
      <c r="I46" s="69"/>
      <c r="J46" s="70"/>
      <c r="K46" s="73"/>
      <c r="L46" s="73"/>
      <c r="M46" s="75"/>
      <c r="N46" s="74"/>
      <c r="O46" s="68"/>
      <c r="P46" s="67"/>
      <c r="Q46" s="68"/>
    </row>
    <row r="47" spans="2:17" x14ac:dyDescent="0.25">
      <c r="B47" s="68"/>
      <c r="C47" s="67"/>
      <c r="D47" s="68"/>
      <c r="E47" s="67"/>
      <c r="F47" s="72"/>
      <c r="G47" s="70"/>
      <c r="H47" s="69"/>
      <c r="I47" s="69"/>
      <c r="J47" s="70"/>
      <c r="K47" s="73"/>
      <c r="L47" s="73"/>
      <c r="M47" s="75"/>
      <c r="N47" s="74"/>
      <c r="O47" s="68"/>
      <c r="P47" s="67"/>
      <c r="Q47" s="68"/>
    </row>
    <row r="48" spans="2:17" x14ac:dyDescent="0.25">
      <c r="B48" s="68"/>
      <c r="C48" s="67"/>
      <c r="D48" s="68"/>
      <c r="E48" s="67"/>
      <c r="F48" s="72"/>
      <c r="G48" s="70"/>
      <c r="H48" s="69"/>
      <c r="I48" s="69"/>
      <c r="J48" s="70"/>
      <c r="K48" s="73"/>
      <c r="L48" s="73"/>
      <c r="M48" s="75"/>
      <c r="N48" s="74"/>
      <c r="O48" s="68"/>
      <c r="P48" s="67"/>
      <c r="Q48" s="68"/>
    </row>
    <row r="49" spans="2:17" x14ac:dyDescent="0.25">
      <c r="B49" s="68"/>
      <c r="C49" s="67"/>
      <c r="D49" s="68"/>
      <c r="E49" s="67"/>
      <c r="F49" s="72"/>
      <c r="G49" s="70"/>
      <c r="H49" s="69"/>
      <c r="I49" s="69"/>
      <c r="J49" s="70"/>
      <c r="K49" s="73"/>
      <c r="L49" s="73"/>
      <c r="M49" s="75"/>
      <c r="N49" s="74"/>
      <c r="O49" s="68"/>
      <c r="P49" s="67"/>
      <c r="Q49" s="68"/>
    </row>
    <row r="50" spans="2:17" x14ac:dyDescent="0.25">
      <c r="B50" s="68"/>
      <c r="C50" s="67"/>
      <c r="D50" s="68"/>
      <c r="E50" s="67"/>
      <c r="F50" s="72"/>
      <c r="G50" s="70"/>
      <c r="H50" s="69"/>
      <c r="I50" s="69"/>
      <c r="J50" s="70"/>
      <c r="K50" s="73"/>
      <c r="L50" s="73"/>
      <c r="M50" s="75"/>
      <c r="N50" s="74"/>
      <c r="O50" s="68"/>
      <c r="P50" s="67"/>
      <c r="Q50" s="68"/>
    </row>
    <row r="51" spans="2:17" x14ac:dyDescent="0.25">
      <c r="B51" s="68"/>
      <c r="C51" s="67"/>
      <c r="D51" s="68"/>
      <c r="E51" s="67"/>
      <c r="F51" s="72"/>
      <c r="G51" s="70"/>
      <c r="H51" s="69"/>
      <c r="I51" s="69"/>
      <c r="J51" s="70"/>
      <c r="K51" s="73"/>
      <c r="L51" s="73"/>
      <c r="M51" s="75"/>
      <c r="N51" s="74"/>
      <c r="O51" s="68"/>
      <c r="P51" s="67"/>
      <c r="Q51" s="68"/>
    </row>
    <row r="52" spans="2:17" x14ac:dyDescent="0.25">
      <c r="B52" s="68"/>
      <c r="C52" s="67"/>
      <c r="D52" s="68"/>
      <c r="E52" s="67"/>
      <c r="F52" s="72"/>
      <c r="G52" s="70"/>
      <c r="H52" s="69"/>
      <c r="I52" s="69"/>
      <c r="J52" s="70"/>
      <c r="K52" s="73"/>
      <c r="L52" s="73"/>
      <c r="M52" s="75"/>
      <c r="N52" s="74"/>
      <c r="O52" s="68"/>
      <c r="P52" s="67"/>
      <c r="Q52" s="68"/>
    </row>
    <row r="53" spans="2:17" x14ac:dyDescent="0.25">
      <c r="B53" s="68"/>
      <c r="C53" s="67"/>
      <c r="D53" s="68"/>
      <c r="E53" s="67"/>
      <c r="F53" s="72"/>
      <c r="G53" s="70"/>
      <c r="H53" s="69"/>
      <c r="I53" s="69"/>
      <c r="J53" s="70"/>
      <c r="K53" s="73"/>
      <c r="L53" s="73"/>
      <c r="M53" s="75"/>
      <c r="N53" s="74"/>
      <c r="O53" s="68"/>
      <c r="P53" s="67"/>
      <c r="Q53" s="68"/>
    </row>
    <row r="54" spans="2:17" x14ac:dyDescent="0.25">
      <c r="B54" s="68"/>
      <c r="C54" s="67"/>
      <c r="D54" s="68"/>
      <c r="E54" s="67"/>
      <c r="F54" s="72"/>
      <c r="G54" s="70"/>
      <c r="H54" s="69"/>
      <c r="I54" s="69"/>
      <c r="J54" s="70"/>
      <c r="K54" s="73"/>
      <c r="L54" s="73"/>
      <c r="M54" s="75"/>
      <c r="N54" s="74"/>
      <c r="O54" s="68"/>
      <c r="P54" s="67"/>
      <c r="Q54" s="68"/>
    </row>
    <row r="55" spans="2:17" x14ac:dyDescent="0.25">
      <c r="B55" s="68"/>
      <c r="C55" s="67"/>
      <c r="D55" s="68"/>
      <c r="E55" s="67"/>
      <c r="F55" s="72"/>
      <c r="G55" s="70"/>
      <c r="H55" s="69"/>
      <c r="I55" s="69"/>
      <c r="J55" s="70"/>
      <c r="K55" s="73"/>
      <c r="L55" s="73"/>
      <c r="M55" s="75"/>
      <c r="N55" s="74"/>
      <c r="O55" s="68"/>
      <c r="P55" s="67"/>
      <c r="Q55" s="68"/>
    </row>
    <row r="56" spans="2:17" x14ac:dyDescent="0.25">
      <c r="B56" s="68"/>
      <c r="C56" s="67"/>
      <c r="D56" s="68"/>
      <c r="E56" s="67"/>
      <c r="F56" s="72"/>
      <c r="G56" s="70"/>
      <c r="H56" s="69"/>
      <c r="I56" s="69"/>
      <c r="J56" s="70"/>
      <c r="K56" s="73"/>
      <c r="L56" s="73"/>
      <c r="M56" s="75"/>
      <c r="N56" s="74"/>
      <c r="O56" s="68"/>
      <c r="P56" s="67"/>
      <c r="Q56" s="68"/>
    </row>
    <row r="57" spans="2:17" x14ac:dyDescent="0.25">
      <c r="B57" s="68"/>
      <c r="C57" s="67"/>
      <c r="D57" s="68"/>
      <c r="E57" s="67"/>
      <c r="F57" s="72"/>
      <c r="G57" s="70"/>
      <c r="H57" s="69"/>
      <c r="I57" s="69"/>
      <c r="J57" s="70"/>
      <c r="K57" s="73"/>
      <c r="L57" s="73"/>
      <c r="M57" s="75"/>
      <c r="N57" s="74"/>
      <c r="O57" s="68"/>
      <c r="P57" s="67"/>
      <c r="Q57" s="68"/>
    </row>
    <row r="58" spans="2:17" x14ac:dyDescent="0.25">
      <c r="B58" s="68"/>
      <c r="C58" s="67"/>
      <c r="D58" s="68"/>
      <c r="E58" s="67"/>
      <c r="F58" s="72"/>
      <c r="G58" s="70"/>
      <c r="H58" s="69"/>
      <c r="I58" s="69"/>
      <c r="J58" s="70"/>
      <c r="K58" s="73"/>
      <c r="L58" s="73"/>
      <c r="M58" s="75"/>
      <c r="N58" s="74"/>
      <c r="O58" s="68"/>
      <c r="P58" s="67"/>
      <c r="Q58" s="68"/>
    </row>
    <row r="59" spans="2:17" x14ac:dyDescent="0.25">
      <c r="B59" s="68"/>
      <c r="C59" s="67"/>
      <c r="D59" s="68"/>
      <c r="E59" s="67"/>
      <c r="F59" s="72"/>
      <c r="G59" s="70"/>
      <c r="H59" s="69"/>
      <c r="I59" s="69"/>
      <c r="J59" s="70"/>
      <c r="K59" s="73"/>
      <c r="L59" s="73"/>
      <c r="M59" s="75"/>
      <c r="N59" s="74"/>
      <c r="O59" s="68"/>
      <c r="P59" s="67"/>
      <c r="Q59" s="68"/>
    </row>
    <row r="60" spans="2:17" x14ac:dyDescent="0.25">
      <c r="B60" s="68"/>
      <c r="C60" s="67"/>
      <c r="D60" s="68"/>
      <c r="E60" s="67"/>
      <c r="F60" s="72"/>
      <c r="G60" s="70"/>
      <c r="H60" s="69"/>
      <c r="I60" s="69"/>
      <c r="J60" s="70"/>
      <c r="K60" s="73"/>
      <c r="L60" s="73"/>
      <c r="M60" s="75"/>
      <c r="N60" s="74"/>
      <c r="O60" s="68"/>
      <c r="P60" s="67"/>
      <c r="Q60" s="68"/>
    </row>
    <row r="61" spans="2:17" x14ac:dyDescent="0.25">
      <c r="B61" s="68"/>
      <c r="C61" s="67"/>
      <c r="D61" s="68"/>
      <c r="E61" s="67"/>
      <c r="F61" s="72"/>
      <c r="G61" s="70"/>
      <c r="H61" s="69"/>
      <c r="I61" s="69"/>
      <c r="J61" s="70"/>
      <c r="K61" s="73"/>
      <c r="L61" s="73"/>
      <c r="M61" s="75"/>
      <c r="N61" s="74"/>
      <c r="O61" s="68"/>
      <c r="P61" s="67"/>
      <c r="Q61" s="68"/>
    </row>
    <row r="62" spans="2:17" x14ac:dyDescent="0.25">
      <c r="B62" s="68"/>
      <c r="C62" s="67"/>
      <c r="D62" s="68"/>
      <c r="E62" s="67"/>
      <c r="F62" s="72"/>
      <c r="G62" s="70"/>
      <c r="H62" s="69"/>
      <c r="I62" s="69"/>
      <c r="J62" s="70"/>
      <c r="K62" s="73"/>
      <c r="L62" s="73"/>
      <c r="M62" s="75"/>
      <c r="N62" s="74"/>
      <c r="O62" s="68"/>
      <c r="P62" s="67"/>
      <c r="Q62" s="68"/>
    </row>
    <row r="63" spans="2:17" x14ac:dyDescent="0.25">
      <c r="B63" s="68"/>
      <c r="C63" s="67"/>
      <c r="D63" s="68"/>
      <c r="E63" s="67"/>
      <c r="F63" s="72"/>
      <c r="G63" s="70"/>
      <c r="H63" s="69"/>
      <c r="I63" s="69"/>
      <c r="J63" s="70"/>
      <c r="K63" s="73"/>
      <c r="L63" s="73"/>
      <c r="M63" s="75"/>
      <c r="N63" s="74"/>
      <c r="O63" s="68"/>
      <c r="P63" s="67"/>
      <c r="Q63" s="68"/>
    </row>
    <row r="64" spans="2:17" x14ac:dyDescent="0.25">
      <c r="B64" s="68"/>
      <c r="C64" s="67"/>
      <c r="D64" s="68"/>
      <c r="E64" s="67"/>
      <c r="F64" s="72"/>
      <c r="G64" s="70"/>
      <c r="H64" s="69"/>
      <c r="I64" s="69"/>
      <c r="J64" s="70"/>
      <c r="K64" s="73"/>
      <c r="L64" s="73"/>
      <c r="M64" s="75"/>
      <c r="N64" s="74"/>
      <c r="O64" s="68"/>
      <c r="P64" s="67"/>
      <c r="Q64" s="68"/>
    </row>
    <row r="65" spans="2:17" x14ac:dyDescent="0.25">
      <c r="B65" s="68"/>
      <c r="C65" s="67"/>
      <c r="D65" s="68"/>
      <c r="E65" s="67"/>
      <c r="F65" s="72"/>
      <c r="G65" s="70"/>
      <c r="H65" s="69"/>
      <c r="I65" s="69"/>
      <c r="J65" s="70"/>
      <c r="K65" s="73"/>
      <c r="L65" s="73"/>
      <c r="M65" s="75"/>
      <c r="N65" s="74"/>
      <c r="O65" s="68"/>
      <c r="P65" s="67"/>
      <c r="Q65" s="68"/>
    </row>
    <row r="66" spans="2:17" x14ac:dyDescent="0.25">
      <c r="B66" s="68"/>
      <c r="C66" s="67"/>
      <c r="D66" s="68"/>
      <c r="E66" s="67"/>
      <c r="F66" s="72"/>
      <c r="G66" s="70"/>
      <c r="H66" s="69"/>
      <c r="I66" s="69"/>
      <c r="J66" s="70"/>
      <c r="K66" s="73"/>
      <c r="L66" s="73"/>
      <c r="M66" s="75"/>
      <c r="N66" s="74"/>
      <c r="O66" s="68"/>
      <c r="P66" s="67"/>
      <c r="Q66" s="68"/>
    </row>
    <row r="67" spans="2:17" x14ac:dyDescent="0.25">
      <c r="B67" s="68"/>
      <c r="C67" s="67"/>
      <c r="D67" s="68"/>
      <c r="E67" s="67"/>
      <c r="F67" s="72"/>
      <c r="G67" s="70"/>
      <c r="H67" s="69"/>
      <c r="I67" s="69"/>
      <c r="J67" s="70"/>
      <c r="K67" s="73"/>
      <c r="L67" s="73"/>
      <c r="M67" s="75"/>
      <c r="N67" s="74"/>
      <c r="O67" s="68"/>
      <c r="P67" s="67"/>
      <c r="Q67" s="68"/>
    </row>
    <row r="68" spans="2:17" x14ac:dyDescent="0.25">
      <c r="B68" s="68"/>
      <c r="C68" s="67"/>
      <c r="D68" s="68"/>
      <c r="E68" s="67"/>
      <c r="F68" s="72"/>
      <c r="G68" s="70"/>
      <c r="H68" s="69"/>
      <c r="I68" s="69"/>
      <c r="J68" s="70"/>
      <c r="K68" s="73"/>
      <c r="L68" s="73"/>
      <c r="M68" s="75"/>
      <c r="N68" s="74"/>
      <c r="O68" s="68"/>
      <c r="P68" s="67"/>
      <c r="Q68" s="68"/>
    </row>
    <row r="69" spans="2:17" x14ac:dyDescent="0.25">
      <c r="B69" s="68"/>
      <c r="C69" s="67"/>
      <c r="D69" s="68"/>
      <c r="E69" s="67"/>
      <c r="F69" s="72"/>
      <c r="G69" s="70"/>
      <c r="H69" s="69"/>
      <c r="I69" s="69"/>
      <c r="J69" s="70"/>
      <c r="K69" s="73"/>
      <c r="L69" s="73"/>
      <c r="M69" s="75"/>
      <c r="N69" s="74"/>
      <c r="O69" s="68"/>
      <c r="P69" s="67"/>
      <c r="Q69" s="68"/>
    </row>
    <row r="70" spans="2:17" x14ac:dyDescent="0.25">
      <c r="B70" s="68"/>
      <c r="C70" s="67"/>
      <c r="D70" s="68"/>
      <c r="E70" s="67"/>
      <c r="F70" s="72"/>
      <c r="G70" s="70"/>
      <c r="H70" s="69"/>
      <c r="I70" s="69"/>
      <c r="J70" s="70"/>
      <c r="K70" s="73"/>
      <c r="L70" s="73"/>
      <c r="M70" s="75"/>
      <c r="N70" s="74"/>
      <c r="O70" s="68"/>
      <c r="P70" s="67"/>
      <c r="Q70" s="68"/>
    </row>
    <row r="71" spans="2:17" x14ac:dyDescent="0.25">
      <c r="B71" s="68"/>
      <c r="C71" s="67"/>
      <c r="D71" s="68"/>
      <c r="E71" s="67"/>
      <c r="F71" s="72"/>
      <c r="G71" s="70"/>
      <c r="H71" s="69"/>
      <c r="I71" s="69"/>
      <c r="J71" s="70"/>
      <c r="K71" s="73"/>
      <c r="L71" s="73"/>
      <c r="M71" s="75"/>
      <c r="N71" s="74"/>
      <c r="O71" s="68"/>
      <c r="P71" s="67"/>
      <c r="Q71" s="68"/>
    </row>
    <row r="72" spans="2:17" x14ac:dyDescent="0.25">
      <c r="B72" s="68"/>
      <c r="C72" s="67"/>
      <c r="D72" s="68"/>
      <c r="E72" s="67"/>
      <c r="F72" s="72"/>
      <c r="G72" s="70"/>
      <c r="H72" s="69"/>
      <c r="I72" s="69"/>
      <c r="J72" s="70"/>
      <c r="K72" s="73"/>
      <c r="L72" s="73"/>
      <c r="M72" s="75"/>
      <c r="N72" s="74"/>
      <c r="O72" s="68"/>
      <c r="P72" s="67"/>
      <c r="Q72" s="68"/>
    </row>
    <row r="73" spans="2:17" x14ac:dyDescent="0.25">
      <c r="B73" s="68"/>
      <c r="C73" s="67"/>
      <c r="D73" s="68"/>
      <c r="E73" s="67"/>
      <c r="F73" s="72"/>
      <c r="G73" s="70"/>
      <c r="H73" s="69"/>
      <c r="I73" s="69"/>
      <c r="J73" s="70"/>
      <c r="K73" s="73"/>
      <c r="L73" s="73"/>
      <c r="M73" s="75"/>
      <c r="N73" s="74"/>
      <c r="O73" s="68"/>
      <c r="P73" s="67"/>
      <c r="Q73" s="68"/>
    </row>
    <row r="74" spans="2:17" x14ac:dyDescent="0.25">
      <c r="B74" s="68"/>
      <c r="C74" s="67"/>
      <c r="D74" s="68"/>
      <c r="E74" s="67"/>
      <c r="F74" s="72"/>
      <c r="G74" s="70"/>
      <c r="H74" s="69"/>
      <c r="I74" s="69"/>
      <c r="J74" s="70"/>
      <c r="K74" s="73"/>
      <c r="L74" s="73"/>
      <c r="M74" s="75"/>
      <c r="N74" s="74"/>
      <c r="O74" s="68"/>
      <c r="P74" s="67"/>
      <c r="Q74" s="68"/>
    </row>
    <row r="75" spans="2:17" x14ac:dyDescent="0.25">
      <c r="B75" s="68"/>
      <c r="C75" s="67"/>
      <c r="D75" s="68"/>
      <c r="E75" s="67"/>
      <c r="F75" s="72"/>
      <c r="G75" s="70"/>
      <c r="H75" s="69"/>
      <c r="I75" s="69"/>
      <c r="J75" s="70"/>
      <c r="K75" s="73"/>
      <c r="L75" s="73"/>
      <c r="M75" s="75"/>
      <c r="N75" s="74"/>
      <c r="O75" s="68"/>
      <c r="P75" s="67"/>
      <c r="Q75" s="68"/>
    </row>
    <row r="76" spans="2:17" x14ac:dyDescent="0.25">
      <c r="B76" s="68"/>
      <c r="C76" s="67"/>
      <c r="D76" s="68"/>
      <c r="E76" s="67"/>
      <c r="F76" s="72"/>
      <c r="G76" s="70"/>
      <c r="H76" s="69"/>
      <c r="I76" s="69"/>
      <c r="J76" s="70"/>
      <c r="K76" s="73"/>
      <c r="L76" s="73"/>
      <c r="M76" s="75"/>
      <c r="N76" s="74"/>
      <c r="O76" s="68"/>
      <c r="P76" s="67"/>
      <c r="Q76" s="68"/>
    </row>
    <row r="77" spans="2:17" x14ac:dyDescent="0.25">
      <c r="B77" s="68"/>
      <c r="C77" s="67"/>
      <c r="D77" s="68"/>
      <c r="E77" s="67"/>
      <c r="F77" s="72"/>
      <c r="G77" s="70"/>
      <c r="H77" s="69"/>
      <c r="I77" s="69"/>
      <c r="J77" s="70"/>
      <c r="K77" s="73"/>
      <c r="L77" s="73"/>
      <c r="M77" s="75"/>
      <c r="N77" s="74"/>
      <c r="O77" s="68"/>
      <c r="P77" s="67"/>
      <c r="Q77" s="68"/>
    </row>
    <row r="78" spans="2:17" x14ac:dyDescent="0.25">
      <c r="B78" s="68"/>
      <c r="C78" s="67"/>
      <c r="D78" s="68"/>
      <c r="E78" s="67"/>
      <c r="F78" s="72"/>
      <c r="G78" s="70"/>
      <c r="H78" s="69"/>
      <c r="I78" s="69"/>
      <c r="J78" s="70"/>
      <c r="K78" s="73"/>
      <c r="L78" s="73"/>
      <c r="M78" s="75"/>
      <c r="N78" s="74"/>
      <c r="O78" s="68"/>
      <c r="P78" s="67"/>
      <c r="Q78" s="68"/>
    </row>
    <row r="79" spans="2:17" x14ac:dyDescent="0.25">
      <c r="B79" s="68"/>
      <c r="C79" s="67"/>
      <c r="D79" s="68"/>
      <c r="E79" s="67"/>
      <c r="F79" s="72"/>
      <c r="G79" s="70"/>
      <c r="H79" s="69"/>
      <c r="I79" s="69"/>
      <c r="J79" s="70"/>
      <c r="K79" s="73"/>
      <c r="L79" s="73"/>
      <c r="M79" s="75"/>
      <c r="N79" s="74"/>
      <c r="O79" s="68"/>
      <c r="P79" s="67"/>
      <c r="Q79" s="68"/>
    </row>
    <row r="80" spans="2:17" x14ac:dyDescent="0.25">
      <c r="B80" s="68"/>
      <c r="C80" s="67"/>
      <c r="D80" s="68"/>
      <c r="E80" s="67"/>
      <c r="F80" s="72"/>
      <c r="G80" s="70"/>
      <c r="H80" s="69"/>
      <c r="I80" s="69"/>
      <c r="J80" s="70"/>
      <c r="K80" s="73"/>
      <c r="L80" s="73"/>
      <c r="M80" s="75"/>
      <c r="N80" s="74"/>
      <c r="O80" s="68"/>
      <c r="P80" s="67"/>
      <c r="Q80" s="68"/>
    </row>
    <row r="81" spans="2:17" x14ac:dyDescent="0.25">
      <c r="B81" s="68"/>
      <c r="C81" s="67"/>
      <c r="D81" s="68"/>
      <c r="E81" s="67"/>
      <c r="F81" s="72"/>
      <c r="G81" s="70"/>
      <c r="H81" s="69"/>
      <c r="I81" s="69"/>
      <c r="J81" s="70"/>
      <c r="K81" s="73"/>
      <c r="L81" s="73"/>
      <c r="M81" s="75"/>
      <c r="N81" s="74"/>
      <c r="O81" s="68"/>
      <c r="P81" s="67"/>
      <c r="Q81" s="68"/>
    </row>
    <row r="82" spans="2:17" x14ac:dyDescent="0.25">
      <c r="B82" s="68"/>
      <c r="C82" s="67"/>
      <c r="D82" s="68"/>
      <c r="E82" s="67"/>
      <c r="F82" s="72"/>
      <c r="G82" s="70"/>
      <c r="H82" s="69"/>
      <c r="I82" s="69"/>
      <c r="J82" s="70"/>
      <c r="K82" s="73"/>
      <c r="L82" s="73"/>
      <c r="M82" s="75"/>
      <c r="N82" s="74"/>
      <c r="O82" s="68"/>
      <c r="P82" s="67"/>
      <c r="Q82" s="68"/>
    </row>
    <row r="83" spans="2:17" x14ac:dyDescent="0.25">
      <c r="B83" s="68"/>
      <c r="C83" s="67"/>
      <c r="D83" s="68"/>
      <c r="E83" s="67"/>
      <c r="F83" s="72"/>
      <c r="G83" s="70"/>
      <c r="H83" s="69"/>
      <c r="I83" s="69"/>
      <c r="J83" s="70"/>
      <c r="K83" s="73"/>
      <c r="L83" s="73"/>
      <c r="M83" s="75"/>
      <c r="N83" s="74"/>
      <c r="O83" s="68"/>
      <c r="P83" s="67"/>
      <c r="Q83" s="68"/>
    </row>
    <row r="84" spans="2:17" x14ac:dyDescent="0.25">
      <c r="B84" s="68"/>
      <c r="C84" s="67"/>
      <c r="D84" s="68"/>
      <c r="E84" s="67"/>
      <c r="F84" s="72"/>
      <c r="G84" s="70"/>
      <c r="H84" s="69"/>
      <c r="I84" s="69"/>
      <c r="J84" s="70"/>
      <c r="K84" s="73"/>
      <c r="L84" s="73"/>
      <c r="M84" s="75"/>
      <c r="N84" s="74"/>
      <c r="O84" s="68"/>
      <c r="P84" s="67"/>
      <c r="Q84" s="68"/>
    </row>
    <row r="85" spans="2:17" x14ac:dyDescent="0.25">
      <c r="B85" s="68"/>
      <c r="C85" s="67"/>
      <c r="D85" s="68"/>
      <c r="E85" s="67"/>
      <c r="F85" s="72"/>
      <c r="G85" s="70"/>
      <c r="H85" s="69"/>
      <c r="I85" s="69"/>
      <c r="J85" s="70"/>
      <c r="K85" s="73"/>
      <c r="L85" s="73"/>
      <c r="M85" s="75"/>
      <c r="N85" s="74"/>
      <c r="O85" s="68"/>
      <c r="P85" s="67"/>
      <c r="Q85" s="68"/>
    </row>
    <row r="86" spans="2:17" x14ac:dyDescent="0.25">
      <c r="B86" s="68"/>
      <c r="C86" s="67"/>
      <c r="D86" s="68"/>
      <c r="E86" s="67"/>
      <c r="F86" s="72"/>
      <c r="G86" s="70"/>
      <c r="H86" s="69"/>
      <c r="I86" s="69"/>
      <c r="J86" s="70"/>
      <c r="K86" s="73"/>
      <c r="L86" s="73"/>
      <c r="M86" s="75"/>
      <c r="N86" s="74"/>
      <c r="O86" s="68"/>
      <c r="P86" s="67"/>
      <c r="Q86" s="68"/>
    </row>
    <row r="87" spans="2:17" x14ac:dyDescent="0.25">
      <c r="B87" s="68"/>
      <c r="C87" s="67"/>
      <c r="D87" s="68"/>
      <c r="E87" s="67"/>
      <c r="F87" s="72"/>
      <c r="G87" s="70"/>
      <c r="H87" s="69"/>
      <c r="I87" s="69"/>
      <c r="J87" s="70"/>
      <c r="K87" s="73"/>
      <c r="L87" s="73"/>
      <c r="M87" s="75"/>
      <c r="N87" s="74"/>
      <c r="O87" s="68"/>
      <c r="P87" s="67"/>
      <c r="Q87" s="68"/>
    </row>
    <row r="88" spans="2:17" x14ac:dyDescent="0.25">
      <c r="B88" s="68"/>
      <c r="C88" s="67"/>
      <c r="D88" s="68"/>
      <c r="E88" s="67"/>
      <c r="F88" s="72"/>
      <c r="G88" s="70"/>
      <c r="H88" s="69"/>
      <c r="I88" s="69"/>
      <c r="J88" s="70"/>
      <c r="K88" s="73"/>
      <c r="L88" s="73"/>
      <c r="M88" s="75"/>
      <c r="N88" s="74"/>
      <c r="O88" s="68"/>
      <c r="P88" s="67"/>
      <c r="Q88" s="68"/>
    </row>
    <row r="89" spans="2:17" x14ac:dyDescent="0.25">
      <c r="B89" s="68"/>
      <c r="C89" s="67"/>
      <c r="D89" s="68"/>
      <c r="E89" s="67"/>
      <c r="F89" s="72"/>
      <c r="G89" s="70"/>
      <c r="H89" s="69"/>
      <c r="I89" s="69"/>
      <c r="J89" s="70"/>
      <c r="K89" s="73"/>
      <c r="L89" s="73"/>
      <c r="M89" s="75"/>
      <c r="N89" s="74"/>
      <c r="O89" s="68"/>
      <c r="P89" s="67"/>
      <c r="Q89" s="68"/>
    </row>
    <row r="90" spans="2:17" x14ac:dyDescent="0.25">
      <c r="B90" s="68"/>
      <c r="C90" s="67"/>
      <c r="D90" s="68"/>
      <c r="E90" s="67"/>
      <c r="F90" s="72"/>
      <c r="G90" s="70"/>
      <c r="H90" s="69"/>
      <c r="I90" s="69"/>
      <c r="J90" s="70"/>
      <c r="K90" s="73"/>
      <c r="L90" s="73"/>
      <c r="M90" s="75"/>
      <c r="N90" s="74"/>
      <c r="O90" s="68"/>
      <c r="P90" s="67"/>
      <c r="Q90" s="68"/>
    </row>
    <row r="91" spans="2:17" x14ac:dyDescent="0.25">
      <c r="B91" s="68"/>
      <c r="C91" s="67"/>
      <c r="D91" s="68"/>
      <c r="E91" s="67"/>
      <c r="F91" s="72"/>
      <c r="G91" s="70"/>
      <c r="H91" s="69"/>
      <c r="I91" s="69"/>
      <c r="J91" s="70"/>
      <c r="K91" s="73"/>
      <c r="L91" s="73"/>
      <c r="M91" s="75"/>
      <c r="N91" s="74"/>
      <c r="O91" s="68"/>
      <c r="P91" s="67"/>
      <c r="Q91" s="68"/>
    </row>
    <row r="92" spans="2:17" x14ac:dyDescent="0.25">
      <c r="B92" s="68"/>
      <c r="C92" s="67"/>
      <c r="D92" s="68"/>
      <c r="E92" s="67"/>
      <c r="F92" s="72"/>
      <c r="G92" s="70"/>
      <c r="H92" s="69"/>
      <c r="I92" s="69"/>
      <c r="J92" s="70"/>
      <c r="K92" s="73"/>
      <c r="L92" s="73"/>
      <c r="M92" s="75"/>
      <c r="N92" s="74"/>
      <c r="O92" s="68"/>
      <c r="P92" s="67"/>
      <c r="Q92" s="68"/>
    </row>
    <row r="93" spans="2:17" x14ac:dyDescent="0.25">
      <c r="B93" s="68"/>
      <c r="C93" s="67"/>
      <c r="D93" s="68"/>
      <c r="E93" s="67"/>
      <c r="F93" s="72"/>
      <c r="G93" s="70"/>
      <c r="H93" s="69"/>
      <c r="I93" s="69"/>
      <c r="J93" s="70"/>
      <c r="K93" s="73"/>
      <c r="L93" s="73"/>
      <c r="M93" s="75"/>
      <c r="N93" s="74"/>
      <c r="O93" s="68"/>
      <c r="P93" s="67"/>
      <c r="Q93" s="68"/>
    </row>
    <row r="94" spans="2:17" x14ac:dyDescent="0.25">
      <c r="B94" s="68"/>
      <c r="C94" s="67"/>
      <c r="D94" s="68"/>
      <c r="E94" s="67"/>
      <c r="F94" s="72"/>
      <c r="G94" s="70"/>
      <c r="H94" s="69"/>
      <c r="I94" s="69"/>
      <c r="J94" s="70"/>
      <c r="K94" s="73"/>
      <c r="L94" s="73"/>
      <c r="M94" s="75"/>
      <c r="N94" s="74"/>
      <c r="O94" s="68"/>
      <c r="P94" s="67"/>
      <c r="Q94" s="68"/>
    </row>
    <row r="95" spans="2:17" x14ac:dyDescent="0.25">
      <c r="B95" s="68"/>
      <c r="C95" s="67"/>
      <c r="D95" s="68"/>
      <c r="E95" s="67"/>
      <c r="F95" s="72"/>
      <c r="G95" s="70"/>
      <c r="H95" s="69"/>
      <c r="I95" s="69"/>
      <c r="J95" s="70"/>
      <c r="K95" s="73"/>
      <c r="L95" s="73"/>
      <c r="M95" s="75"/>
      <c r="N95" s="74"/>
      <c r="O95" s="68"/>
      <c r="P95" s="67"/>
      <c r="Q95" s="68"/>
    </row>
    <row r="96" spans="2:17" x14ac:dyDescent="0.25">
      <c r="B96" s="68"/>
      <c r="C96" s="67"/>
      <c r="D96" s="68"/>
      <c r="E96" s="67"/>
      <c r="F96" s="72"/>
      <c r="G96" s="70"/>
      <c r="H96" s="69"/>
      <c r="I96" s="69"/>
      <c r="J96" s="70"/>
      <c r="K96" s="73"/>
      <c r="L96" s="73"/>
      <c r="M96" s="75"/>
      <c r="N96" s="74"/>
      <c r="O96" s="68"/>
      <c r="P96" s="67"/>
      <c r="Q96" s="68"/>
    </row>
    <row r="97" spans="2:17" x14ac:dyDescent="0.25">
      <c r="B97" s="68"/>
      <c r="C97" s="67"/>
      <c r="D97" s="68"/>
      <c r="E97" s="67"/>
      <c r="F97" s="72"/>
      <c r="G97" s="70"/>
      <c r="H97" s="69"/>
      <c r="I97" s="69"/>
      <c r="J97" s="70"/>
      <c r="K97" s="73"/>
      <c r="L97" s="73"/>
      <c r="M97" s="75"/>
      <c r="N97" s="74"/>
      <c r="O97" s="68"/>
      <c r="P97" s="67"/>
      <c r="Q97" s="68"/>
    </row>
    <row r="98" spans="2:17" x14ac:dyDescent="0.25">
      <c r="B98" s="68"/>
      <c r="C98" s="67"/>
      <c r="D98" s="68"/>
      <c r="E98" s="67"/>
      <c r="F98" s="72"/>
      <c r="G98" s="70"/>
      <c r="H98" s="69"/>
      <c r="I98" s="69"/>
      <c r="J98" s="70"/>
      <c r="K98" s="73"/>
      <c r="L98" s="73"/>
      <c r="M98" s="75"/>
      <c r="N98" s="74"/>
      <c r="O98" s="68"/>
      <c r="P98" s="67"/>
      <c r="Q98" s="68"/>
    </row>
    <row r="99" spans="2:17" x14ac:dyDescent="0.25">
      <c r="B99" s="68"/>
      <c r="C99" s="67"/>
      <c r="D99" s="68"/>
      <c r="E99" s="67"/>
      <c r="F99" s="72"/>
      <c r="G99" s="70"/>
      <c r="H99" s="69"/>
      <c r="I99" s="69"/>
      <c r="J99" s="70"/>
      <c r="K99" s="73"/>
      <c r="L99" s="73"/>
      <c r="M99" s="75"/>
      <c r="N99" s="74"/>
      <c r="O99" s="68"/>
      <c r="P99" s="67"/>
      <c r="Q99" s="68"/>
    </row>
    <row r="100" spans="2:17" x14ac:dyDescent="0.25">
      <c r="B100" s="68"/>
      <c r="C100" s="67"/>
      <c r="D100" s="68"/>
      <c r="E100" s="67"/>
      <c r="F100" s="72"/>
      <c r="G100" s="70"/>
      <c r="H100" s="69"/>
      <c r="I100" s="69"/>
      <c r="J100" s="70"/>
      <c r="K100" s="73"/>
      <c r="L100" s="73"/>
      <c r="M100" s="75"/>
      <c r="N100" s="74"/>
      <c r="O100" s="68"/>
      <c r="P100" s="67"/>
      <c r="Q100" s="68"/>
    </row>
    <row r="101" spans="2:17" x14ac:dyDescent="0.25">
      <c r="B101" s="68"/>
      <c r="C101" s="67"/>
      <c r="D101" s="68"/>
      <c r="E101" s="67"/>
      <c r="F101" s="72"/>
      <c r="G101" s="70"/>
      <c r="H101" s="69"/>
      <c r="I101" s="69"/>
      <c r="J101" s="70"/>
      <c r="K101" s="73"/>
      <c r="L101" s="73"/>
      <c r="M101" s="75"/>
      <c r="N101" s="74"/>
      <c r="O101" s="68"/>
      <c r="P101" s="67"/>
      <c r="Q101" s="68"/>
    </row>
    <row r="102" spans="2:17" x14ac:dyDescent="0.25">
      <c r="B102" s="68"/>
      <c r="C102" s="67"/>
      <c r="D102" s="68"/>
      <c r="E102" s="67"/>
      <c r="F102" s="72"/>
      <c r="G102" s="70"/>
      <c r="H102" s="69"/>
      <c r="I102" s="69"/>
      <c r="J102" s="70"/>
      <c r="K102" s="73"/>
      <c r="L102" s="73"/>
      <c r="M102" s="75"/>
      <c r="N102" s="74"/>
      <c r="O102" s="68"/>
      <c r="P102" s="67"/>
      <c r="Q102" s="68"/>
    </row>
    <row r="103" spans="2:17" x14ac:dyDescent="0.25">
      <c r="B103" s="68"/>
      <c r="C103" s="67"/>
      <c r="D103" s="68"/>
      <c r="E103" s="67"/>
      <c r="F103" s="72"/>
      <c r="G103" s="70"/>
      <c r="H103" s="69"/>
      <c r="I103" s="69"/>
      <c r="J103" s="70"/>
      <c r="K103" s="73"/>
      <c r="L103" s="73"/>
      <c r="M103" s="75"/>
      <c r="N103" s="74"/>
      <c r="O103" s="68"/>
      <c r="P103" s="67"/>
      <c r="Q103" s="68"/>
    </row>
    <row r="104" spans="2:17" x14ac:dyDescent="0.25">
      <c r="B104" s="68"/>
      <c r="C104" s="67"/>
      <c r="D104" s="68"/>
      <c r="E104" s="67"/>
      <c r="F104" s="72"/>
      <c r="G104" s="70"/>
      <c r="H104" s="69"/>
      <c r="I104" s="69"/>
      <c r="J104" s="70"/>
      <c r="K104" s="73"/>
      <c r="L104" s="73"/>
      <c r="M104" s="75"/>
      <c r="N104" s="74"/>
      <c r="O104" s="68"/>
      <c r="P104" s="67"/>
      <c r="Q104" s="68"/>
    </row>
    <row r="105" spans="2:17" x14ac:dyDescent="0.25">
      <c r="B105" s="68"/>
      <c r="C105" s="67"/>
      <c r="D105" s="68"/>
      <c r="E105" s="67"/>
      <c r="F105" s="72"/>
      <c r="G105" s="70"/>
      <c r="H105" s="69"/>
      <c r="I105" s="69"/>
      <c r="J105" s="70"/>
      <c r="K105" s="73"/>
      <c r="L105" s="73"/>
      <c r="M105" s="75"/>
      <c r="N105" s="74"/>
      <c r="O105" s="68"/>
      <c r="P105" s="67"/>
      <c r="Q105" s="68"/>
    </row>
    <row r="106" spans="2:17" x14ac:dyDescent="0.25">
      <c r="B106" s="68"/>
      <c r="C106" s="67"/>
      <c r="D106" s="68"/>
      <c r="E106" s="67"/>
      <c r="F106" s="72"/>
      <c r="G106" s="70"/>
      <c r="H106" s="69"/>
      <c r="I106" s="69"/>
      <c r="J106" s="70"/>
      <c r="K106" s="73"/>
      <c r="L106" s="73"/>
      <c r="M106" s="75"/>
      <c r="N106" s="74"/>
      <c r="O106" s="68"/>
      <c r="P106" s="67"/>
      <c r="Q106" s="68"/>
    </row>
    <row r="107" spans="2:17" x14ac:dyDescent="0.25">
      <c r="B107" s="68"/>
      <c r="C107" s="67"/>
      <c r="D107" s="68"/>
      <c r="E107" s="67"/>
      <c r="F107" s="72"/>
      <c r="G107" s="70"/>
      <c r="H107" s="69"/>
      <c r="I107" s="69"/>
      <c r="J107" s="70"/>
      <c r="K107" s="73"/>
      <c r="L107" s="73"/>
      <c r="M107" s="75"/>
      <c r="N107" s="74"/>
      <c r="O107" s="68"/>
      <c r="P107" s="67"/>
      <c r="Q107" s="68"/>
    </row>
    <row r="108" spans="2:17" x14ac:dyDescent="0.25">
      <c r="B108" s="68"/>
      <c r="C108" s="67"/>
      <c r="D108" s="68"/>
      <c r="E108" s="67"/>
      <c r="F108" s="72"/>
      <c r="G108" s="70"/>
      <c r="H108" s="69"/>
      <c r="I108" s="69"/>
      <c r="J108" s="70"/>
      <c r="K108" s="73"/>
      <c r="L108" s="73"/>
      <c r="M108" s="75"/>
      <c r="N108" s="74"/>
      <c r="O108" s="68"/>
      <c r="P108" s="67"/>
      <c r="Q108" s="68"/>
    </row>
    <row r="109" spans="2:17" x14ac:dyDescent="0.25">
      <c r="B109" s="68"/>
      <c r="C109" s="67"/>
      <c r="D109" s="68"/>
      <c r="E109" s="67"/>
      <c r="F109" s="72"/>
      <c r="G109" s="70"/>
      <c r="H109" s="69"/>
      <c r="I109" s="69"/>
      <c r="J109" s="70"/>
      <c r="K109" s="73"/>
      <c r="L109" s="73"/>
      <c r="M109" s="75"/>
      <c r="N109" s="74"/>
      <c r="O109" s="68"/>
      <c r="P109" s="67"/>
      <c r="Q109" s="68"/>
    </row>
    <row r="110" spans="2:17" x14ac:dyDescent="0.25">
      <c r="B110" s="68"/>
      <c r="C110" s="67"/>
      <c r="D110" s="68"/>
      <c r="E110" s="67"/>
      <c r="F110" s="72"/>
      <c r="G110" s="70"/>
      <c r="H110" s="69"/>
      <c r="I110" s="69"/>
      <c r="J110" s="70"/>
      <c r="K110" s="73"/>
      <c r="L110" s="73"/>
      <c r="M110" s="75"/>
      <c r="N110" s="74"/>
      <c r="O110" s="68"/>
      <c r="P110" s="67"/>
      <c r="Q110" s="68"/>
    </row>
    <row r="111" spans="2:17" x14ac:dyDescent="0.25">
      <c r="B111" s="68"/>
      <c r="C111" s="67"/>
      <c r="D111" s="68"/>
      <c r="E111" s="67"/>
      <c r="F111" s="72"/>
      <c r="G111" s="70"/>
      <c r="H111" s="69"/>
      <c r="I111" s="69"/>
      <c r="J111" s="70"/>
      <c r="K111" s="73"/>
      <c r="L111" s="73"/>
      <c r="M111" s="75"/>
      <c r="N111" s="74"/>
      <c r="O111" s="68"/>
      <c r="P111" s="67"/>
      <c r="Q111" s="68"/>
    </row>
    <row r="112" spans="2:17" x14ac:dyDescent="0.25">
      <c r="B112" s="68"/>
      <c r="C112" s="67"/>
      <c r="D112" s="68"/>
      <c r="E112" s="67"/>
      <c r="F112" s="72"/>
      <c r="G112" s="70"/>
      <c r="H112" s="69"/>
      <c r="I112" s="69"/>
      <c r="J112" s="70"/>
      <c r="K112" s="73"/>
      <c r="L112" s="73"/>
      <c r="M112" s="75"/>
      <c r="N112" s="74"/>
      <c r="O112" s="68"/>
      <c r="P112" s="67"/>
      <c r="Q112" s="68"/>
    </row>
    <row r="113" spans="2:17" x14ac:dyDescent="0.25">
      <c r="B113" s="68"/>
      <c r="C113" s="67"/>
      <c r="D113" s="68"/>
      <c r="E113" s="67"/>
      <c r="F113" s="72"/>
      <c r="G113" s="70"/>
      <c r="H113" s="69"/>
      <c r="I113" s="69"/>
      <c r="J113" s="70"/>
      <c r="K113" s="73"/>
      <c r="L113" s="73"/>
      <c r="M113" s="75"/>
      <c r="N113" s="74"/>
      <c r="O113" s="68"/>
      <c r="P113" s="67"/>
      <c r="Q113" s="68"/>
    </row>
    <row r="114" spans="2:17" x14ac:dyDescent="0.25">
      <c r="B114" s="68"/>
      <c r="C114" s="67"/>
      <c r="D114" s="68"/>
      <c r="E114" s="67"/>
      <c r="F114" s="72"/>
      <c r="G114" s="70"/>
      <c r="H114" s="69"/>
      <c r="I114" s="69"/>
      <c r="J114" s="70"/>
      <c r="K114" s="73"/>
      <c r="L114" s="73"/>
      <c r="M114" s="75"/>
      <c r="N114" s="74"/>
      <c r="O114" s="68"/>
      <c r="P114" s="67"/>
      <c r="Q114" s="68"/>
    </row>
    <row r="115" spans="2:17" x14ac:dyDescent="0.25">
      <c r="B115" s="68"/>
      <c r="C115" s="67"/>
      <c r="D115" s="68"/>
      <c r="E115" s="67"/>
      <c r="F115" s="72"/>
      <c r="G115" s="70"/>
      <c r="H115" s="69"/>
      <c r="I115" s="69"/>
      <c r="J115" s="70"/>
      <c r="K115" s="73"/>
      <c r="L115" s="73"/>
      <c r="M115" s="75"/>
      <c r="N115" s="74"/>
      <c r="O115" s="68"/>
      <c r="P115" s="67"/>
      <c r="Q115" s="68"/>
    </row>
    <row r="116" spans="2:17" x14ac:dyDescent="0.25">
      <c r="B116" s="68"/>
      <c r="C116" s="67"/>
      <c r="D116" s="68"/>
      <c r="E116" s="67"/>
      <c r="F116" s="72"/>
      <c r="G116" s="70"/>
      <c r="H116" s="69"/>
      <c r="I116" s="69"/>
      <c r="J116" s="70"/>
      <c r="K116" s="73"/>
      <c r="L116" s="73"/>
      <c r="M116" s="75"/>
      <c r="N116" s="74"/>
      <c r="O116" s="68"/>
      <c r="P116" s="67"/>
      <c r="Q116" s="68"/>
    </row>
    <row r="117" spans="2:17" x14ac:dyDescent="0.25">
      <c r="B117" s="68"/>
      <c r="C117" s="67"/>
      <c r="D117" s="68"/>
      <c r="E117" s="67"/>
      <c r="F117" s="72"/>
      <c r="G117" s="70"/>
      <c r="H117" s="69"/>
      <c r="I117" s="69"/>
      <c r="J117" s="70"/>
      <c r="K117" s="73"/>
      <c r="L117" s="73"/>
      <c r="M117" s="75"/>
      <c r="N117" s="74"/>
      <c r="O117" s="68"/>
      <c r="P117" s="67"/>
      <c r="Q117" s="68"/>
    </row>
    <row r="118" spans="2:17" x14ac:dyDescent="0.25">
      <c r="B118" s="68"/>
      <c r="C118" s="67"/>
      <c r="D118" s="68"/>
      <c r="E118" s="67"/>
      <c r="F118" s="72"/>
      <c r="G118" s="70"/>
      <c r="H118" s="69"/>
      <c r="I118" s="69"/>
      <c r="J118" s="70"/>
      <c r="K118" s="73"/>
      <c r="L118" s="73"/>
      <c r="M118" s="75"/>
      <c r="N118" s="74"/>
      <c r="O118" s="68"/>
      <c r="P118" s="67"/>
      <c r="Q118" s="68"/>
    </row>
    <row r="119" spans="2:17" x14ac:dyDescent="0.25">
      <c r="B119" s="68"/>
      <c r="C119" s="67"/>
      <c r="D119" s="68"/>
      <c r="E119" s="67"/>
      <c r="F119" s="72"/>
      <c r="G119" s="70"/>
      <c r="H119" s="69"/>
      <c r="I119" s="69"/>
      <c r="J119" s="70"/>
      <c r="K119" s="73"/>
      <c r="L119" s="73"/>
      <c r="M119" s="75"/>
      <c r="N119" s="74"/>
      <c r="O119" s="68"/>
      <c r="P119" s="67"/>
      <c r="Q119" s="68"/>
    </row>
    <row r="120" spans="2:17" x14ac:dyDescent="0.25">
      <c r="B120" s="68"/>
      <c r="C120" s="67"/>
      <c r="D120" s="68"/>
      <c r="E120" s="67"/>
      <c r="F120" s="72"/>
      <c r="G120" s="70"/>
      <c r="H120" s="69"/>
      <c r="I120" s="69"/>
      <c r="J120" s="70"/>
      <c r="K120" s="73"/>
      <c r="L120" s="73"/>
      <c r="M120" s="75"/>
      <c r="N120" s="74"/>
      <c r="O120" s="68"/>
      <c r="P120" s="67"/>
      <c r="Q120" s="68"/>
    </row>
    <row r="121" spans="2:17" x14ac:dyDescent="0.25">
      <c r="B121" s="68"/>
      <c r="C121" s="67"/>
      <c r="D121" s="68"/>
      <c r="E121" s="67"/>
      <c r="F121" s="72"/>
      <c r="G121" s="70"/>
      <c r="H121" s="69"/>
      <c r="I121" s="69"/>
      <c r="J121" s="70"/>
      <c r="K121" s="73"/>
      <c r="L121" s="73"/>
      <c r="M121" s="75"/>
      <c r="N121" s="74"/>
      <c r="O121" s="68"/>
      <c r="P121" s="67"/>
      <c r="Q121" s="68"/>
    </row>
    <row r="122" spans="2:17" x14ac:dyDescent="0.25">
      <c r="B122" s="68"/>
      <c r="C122" s="67"/>
      <c r="D122" s="68"/>
      <c r="E122" s="67"/>
      <c r="F122" s="72"/>
      <c r="G122" s="70"/>
      <c r="H122" s="69"/>
      <c r="I122" s="69"/>
      <c r="J122" s="70"/>
      <c r="K122" s="73"/>
      <c r="L122" s="73"/>
      <c r="M122" s="75"/>
      <c r="N122" s="74"/>
      <c r="O122" s="68"/>
      <c r="P122" s="67"/>
      <c r="Q122" s="68"/>
    </row>
    <row r="123" spans="2:17" x14ac:dyDescent="0.25">
      <c r="B123" s="68"/>
      <c r="C123" s="67"/>
      <c r="D123" s="68"/>
      <c r="E123" s="67"/>
      <c r="F123" s="72"/>
      <c r="G123" s="70"/>
      <c r="H123" s="69"/>
      <c r="I123" s="69"/>
      <c r="J123" s="70"/>
      <c r="K123" s="73"/>
      <c r="L123" s="73"/>
      <c r="M123" s="75"/>
      <c r="N123" s="74"/>
      <c r="O123" s="68"/>
      <c r="P123" s="67"/>
      <c r="Q123" s="68"/>
    </row>
    <row r="124" spans="2:17" x14ac:dyDescent="0.25">
      <c r="B124" s="68"/>
      <c r="C124" s="67"/>
      <c r="D124" s="68"/>
      <c r="E124" s="67"/>
      <c r="F124" s="72"/>
      <c r="G124" s="70"/>
      <c r="H124" s="69"/>
      <c r="I124" s="69"/>
      <c r="J124" s="70"/>
      <c r="K124" s="73"/>
      <c r="L124" s="73"/>
      <c r="M124" s="75"/>
      <c r="N124" s="74"/>
      <c r="O124" s="68"/>
      <c r="P124" s="67"/>
      <c r="Q124" s="68"/>
    </row>
    <row r="125" spans="2:17" x14ac:dyDescent="0.25">
      <c r="B125" s="68"/>
      <c r="C125" s="67"/>
      <c r="D125" s="68"/>
      <c r="E125" s="67"/>
      <c r="F125" s="72"/>
      <c r="G125" s="70"/>
      <c r="H125" s="69"/>
      <c r="I125" s="69"/>
      <c r="J125" s="70"/>
      <c r="K125" s="73"/>
      <c r="L125" s="73"/>
      <c r="M125" s="75"/>
      <c r="N125" s="74"/>
      <c r="O125" s="68"/>
      <c r="P125" s="67"/>
      <c r="Q125" s="68"/>
    </row>
    <row r="126" spans="2:17" x14ac:dyDescent="0.25">
      <c r="B126" s="68"/>
      <c r="C126" s="67"/>
      <c r="D126" s="68"/>
      <c r="E126" s="67"/>
      <c r="F126" s="72"/>
      <c r="G126" s="70"/>
      <c r="H126" s="69"/>
      <c r="I126" s="69"/>
      <c r="J126" s="70"/>
      <c r="K126" s="73"/>
      <c r="L126" s="73"/>
      <c r="M126" s="75"/>
      <c r="N126" s="74"/>
      <c r="O126" s="68"/>
      <c r="P126" s="67"/>
      <c r="Q126" s="68"/>
    </row>
    <row r="127" spans="2:17" x14ac:dyDescent="0.25">
      <c r="B127" s="68"/>
      <c r="C127" s="67"/>
      <c r="D127" s="68"/>
      <c r="E127" s="67"/>
      <c r="F127" s="72"/>
      <c r="G127" s="70"/>
      <c r="H127" s="69"/>
      <c r="I127" s="69"/>
      <c r="J127" s="70"/>
      <c r="K127" s="73"/>
      <c r="L127" s="73"/>
      <c r="M127" s="75"/>
      <c r="N127" s="74"/>
      <c r="O127" s="68"/>
      <c r="P127" s="67"/>
      <c r="Q127" s="68"/>
    </row>
    <row r="128" spans="2:17" x14ac:dyDescent="0.25">
      <c r="B128" s="68"/>
      <c r="C128" s="67"/>
      <c r="D128" s="68"/>
      <c r="E128" s="67"/>
      <c r="F128" s="72"/>
      <c r="G128" s="70"/>
      <c r="H128" s="69"/>
      <c r="I128" s="69"/>
      <c r="J128" s="70"/>
      <c r="K128" s="73"/>
      <c r="L128" s="73"/>
      <c r="M128" s="75"/>
      <c r="N128" s="74"/>
      <c r="O128" s="68"/>
      <c r="P128" s="67"/>
      <c r="Q128" s="68"/>
    </row>
    <row r="129" spans="2:17" x14ac:dyDescent="0.25">
      <c r="B129" s="68"/>
      <c r="C129" s="67"/>
      <c r="D129" s="68"/>
      <c r="E129" s="67"/>
      <c r="F129" s="72"/>
      <c r="G129" s="70"/>
      <c r="H129" s="69"/>
      <c r="I129" s="69"/>
      <c r="J129" s="70"/>
      <c r="K129" s="73"/>
      <c r="L129" s="73"/>
      <c r="M129" s="75"/>
      <c r="N129" s="74"/>
      <c r="O129" s="68"/>
      <c r="P129" s="67"/>
      <c r="Q129" s="68"/>
    </row>
    <row r="130" spans="2:17" x14ac:dyDescent="0.25">
      <c r="B130" s="68"/>
      <c r="C130" s="67"/>
      <c r="D130" s="68"/>
      <c r="E130" s="67"/>
      <c r="F130" s="72"/>
      <c r="G130" s="70"/>
      <c r="H130" s="69"/>
      <c r="I130" s="69"/>
      <c r="J130" s="70"/>
      <c r="K130" s="73"/>
      <c r="L130" s="73"/>
      <c r="M130" s="75"/>
      <c r="N130" s="74"/>
      <c r="O130" s="68"/>
      <c r="P130" s="67"/>
      <c r="Q130" s="68"/>
    </row>
    <row r="131" spans="2:17" x14ac:dyDescent="0.25">
      <c r="B131" s="68"/>
      <c r="C131" s="67"/>
      <c r="D131" s="68"/>
      <c r="E131" s="67"/>
      <c r="F131" s="72"/>
      <c r="G131" s="70"/>
      <c r="H131" s="69"/>
      <c r="I131" s="69"/>
      <c r="J131" s="70"/>
      <c r="K131" s="73"/>
      <c r="L131" s="73"/>
      <c r="M131" s="75"/>
      <c r="N131" s="74"/>
      <c r="O131" s="68"/>
      <c r="P131" s="67"/>
      <c r="Q131" s="68"/>
    </row>
    <row r="132" spans="2:17" x14ac:dyDescent="0.25">
      <c r="B132" s="68"/>
      <c r="C132" s="67"/>
      <c r="D132" s="68"/>
      <c r="E132" s="67"/>
      <c r="F132" s="72"/>
      <c r="G132" s="70"/>
      <c r="H132" s="69"/>
      <c r="I132" s="69"/>
      <c r="J132" s="70"/>
      <c r="K132" s="73"/>
      <c r="L132" s="73"/>
      <c r="M132" s="75"/>
      <c r="N132" s="74"/>
      <c r="O132" s="68"/>
      <c r="P132" s="67"/>
      <c r="Q132" s="68"/>
    </row>
    <row r="133" spans="2:17" x14ac:dyDescent="0.25">
      <c r="B133" s="68"/>
      <c r="C133" s="67"/>
      <c r="D133" s="68"/>
      <c r="E133" s="67"/>
      <c r="F133" s="72"/>
      <c r="G133" s="70"/>
      <c r="H133" s="69"/>
      <c r="I133" s="69"/>
      <c r="J133" s="70"/>
      <c r="K133" s="73"/>
      <c r="L133" s="73"/>
      <c r="M133" s="75"/>
      <c r="N133" s="74"/>
      <c r="O133" s="68"/>
      <c r="P133" s="67"/>
      <c r="Q133" s="68"/>
    </row>
    <row r="134" spans="2:17" x14ac:dyDescent="0.25">
      <c r="B134" s="68"/>
      <c r="C134" s="67"/>
      <c r="D134" s="68"/>
      <c r="E134" s="67"/>
      <c r="F134" s="72"/>
      <c r="G134" s="70"/>
      <c r="H134" s="69"/>
      <c r="I134" s="69"/>
      <c r="J134" s="70"/>
      <c r="K134" s="73"/>
      <c r="L134" s="73"/>
      <c r="M134" s="75"/>
      <c r="N134" s="74"/>
      <c r="O134" s="68"/>
      <c r="P134" s="67"/>
      <c r="Q134" s="68"/>
    </row>
    <row r="135" spans="2:17" x14ac:dyDescent="0.25">
      <c r="B135" s="68"/>
      <c r="C135" s="67"/>
      <c r="D135" s="68"/>
      <c r="E135" s="67"/>
      <c r="F135" s="72"/>
      <c r="G135" s="70"/>
      <c r="H135" s="69"/>
      <c r="I135" s="69"/>
      <c r="J135" s="70"/>
      <c r="K135" s="73"/>
      <c r="L135" s="73"/>
      <c r="M135" s="75"/>
      <c r="N135" s="74"/>
      <c r="O135" s="68"/>
      <c r="P135" s="67"/>
      <c r="Q135" s="68"/>
    </row>
    <row r="136" spans="2:17" x14ac:dyDescent="0.25">
      <c r="B136" s="68"/>
      <c r="C136" s="67"/>
      <c r="D136" s="68"/>
      <c r="E136" s="67"/>
      <c r="F136" s="72"/>
      <c r="G136" s="70"/>
      <c r="H136" s="69"/>
      <c r="I136" s="69"/>
      <c r="J136" s="70"/>
      <c r="K136" s="73"/>
      <c r="L136" s="73"/>
      <c r="M136" s="75"/>
      <c r="N136" s="74"/>
      <c r="O136" s="68"/>
      <c r="P136" s="67"/>
      <c r="Q136" s="68"/>
    </row>
    <row r="137" spans="2:17" x14ac:dyDescent="0.25">
      <c r="B137" s="68"/>
      <c r="C137" s="67"/>
      <c r="D137" s="68"/>
      <c r="E137" s="67"/>
      <c r="F137" s="72"/>
      <c r="G137" s="70"/>
      <c r="H137" s="69"/>
      <c r="I137" s="69"/>
      <c r="J137" s="70"/>
      <c r="K137" s="73"/>
      <c r="L137" s="73"/>
      <c r="M137" s="75"/>
      <c r="N137" s="74"/>
      <c r="O137" s="68"/>
      <c r="P137" s="67"/>
      <c r="Q137" s="68"/>
    </row>
    <row r="138" spans="2:17" x14ac:dyDescent="0.25">
      <c r="B138" s="68"/>
      <c r="C138" s="67"/>
      <c r="D138" s="68"/>
      <c r="E138" s="67"/>
      <c r="F138" s="72"/>
      <c r="G138" s="70"/>
      <c r="H138" s="69"/>
      <c r="I138" s="69"/>
      <c r="J138" s="70"/>
      <c r="K138" s="73"/>
      <c r="L138" s="73"/>
      <c r="M138" s="75"/>
      <c r="N138" s="74"/>
      <c r="O138" s="68"/>
      <c r="P138" s="67"/>
      <c r="Q138" s="68"/>
    </row>
    <row r="139" spans="2:17" x14ac:dyDescent="0.25">
      <c r="B139" s="68"/>
      <c r="C139" s="67"/>
      <c r="D139" s="68"/>
      <c r="E139" s="67"/>
      <c r="F139" s="72"/>
      <c r="G139" s="70"/>
      <c r="H139" s="69"/>
      <c r="I139" s="69"/>
      <c r="J139" s="70"/>
      <c r="K139" s="73"/>
      <c r="L139" s="73"/>
      <c r="M139" s="75"/>
      <c r="N139" s="74"/>
      <c r="O139" s="68"/>
      <c r="P139" s="67"/>
      <c r="Q139" s="68"/>
    </row>
    <row r="140" spans="2:17" x14ac:dyDescent="0.25">
      <c r="B140" s="68"/>
      <c r="C140" s="67"/>
      <c r="D140" s="68"/>
      <c r="E140" s="67"/>
      <c r="F140" s="72"/>
      <c r="G140" s="70"/>
      <c r="H140" s="69"/>
      <c r="I140" s="69"/>
      <c r="J140" s="70"/>
      <c r="K140" s="73"/>
      <c r="L140" s="73"/>
      <c r="M140" s="75"/>
      <c r="N140" s="74"/>
      <c r="O140" s="68"/>
      <c r="P140" s="67"/>
      <c r="Q140" s="68"/>
    </row>
    <row r="141" spans="2:17" x14ac:dyDescent="0.25">
      <c r="B141" s="68"/>
      <c r="C141" s="67"/>
      <c r="D141" s="68"/>
      <c r="E141" s="67"/>
      <c r="F141" s="72"/>
      <c r="G141" s="70"/>
      <c r="H141" s="69"/>
      <c r="I141" s="69"/>
      <c r="J141" s="70"/>
      <c r="K141" s="73"/>
      <c r="L141" s="73"/>
      <c r="M141" s="75"/>
      <c r="N141" s="74"/>
      <c r="O141" s="68"/>
      <c r="P141" s="67"/>
      <c r="Q141" s="68"/>
    </row>
    <row r="142" spans="2:17" x14ac:dyDescent="0.25">
      <c r="B142" s="68"/>
      <c r="C142" s="67"/>
      <c r="D142" s="68"/>
      <c r="E142" s="67"/>
      <c r="F142" s="72"/>
      <c r="G142" s="70"/>
      <c r="H142" s="69"/>
      <c r="I142" s="69"/>
      <c r="J142" s="70"/>
      <c r="K142" s="73"/>
      <c r="L142" s="73"/>
      <c r="M142" s="75"/>
      <c r="N142" s="74"/>
      <c r="O142" s="68"/>
      <c r="P142" s="67"/>
      <c r="Q142" s="68"/>
    </row>
    <row r="143" spans="2:17" x14ac:dyDescent="0.25">
      <c r="B143" s="68"/>
      <c r="C143" s="67"/>
      <c r="D143" s="68"/>
      <c r="E143" s="67"/>
      <c r="F143" s="72"/>
      <c r="G143" s="70"/>
      <c r="H143" s="69"/>
      <c r="I143" s="69"/>
      <c r="J143" s="70"/>
      <c r="K143" s="73"/>
      <c r="L143" s="73"/>
      <c r="M143" s="75"/>
      <c r="N143" s="74"/>
      <c r="O143" s="68"/>
      <c r="P143" s="67"/>
      <c r="Q143" s="68"/>
    </row>
    <row r="144" spans="2:17" x14ac:dyDescent="0.25">
      <c r="B144" s="68"/>
      <c r="C144" s="67"/>
      <c r="D144" s="68"/>
      <c r="E144" s="67"/>
      <c r="F144" s="72"/>
      <c r="G144" s="70"/>
      <c r="H144" s="69"/>
      <c r="I144" s="69"/>
      <c r="J144" s="70"/>
      <c r="K144" s="73"/>
      <c r="L144" s="73"/>
      <c r="M144" s="75"/>
      <c r="N144" s="74"/>
      <c r="O144" s="68"/>
      <c r="P144" s="67"/>
      <c r="Q144" s="68"/>
    </row>
    <row r="145" spans="2:17" x14ac:dyDescent="0.25">
      <c r="B145" s="68"/>
      <c r="C145" s="67"/>
      <c r="D145" s="68"/>
      <c r="E145" s="67"/>
      <c r="F145" s="72"/>
      <c r="G145" s="70"/>
      <c r="H145" s="69"/>
      <c r="I145" s="69"/>
      <c r="J145" s="70"/>
      <c r="K145" s="73"/>
      <c r="L145" s="73"/>
      <c r="M145" s="75"/>
      <c r="N145" s="74"/>
      <c r="O145" s="68"/>
      <c r="P145" s="67"/>
      <c r="Q145" s="68"/>
    </row>
    <row r="146" spans="2:17" x14ac:dyDescent="0.25">
      <c r="B146" s="68"/>
      <c r="C146" s="67"/>
      <c r="D146" s="68"/>
      <c r="E146" s="67"/>
      <c r="F146" s="72"/>
      <c r="G146" s="70"/>
      <c r="H146" s="69"/>
      <c r="I146" s="69"/>
      <c r="J146" s="70"/>
      <c r="K146" s="73"/>
      <c r="L146" s="73"/>
      <c r="M146" s="75"/>
      <c r="N146" s="74"/>
      <c r="O146" s="68"/>
      <c r="P146" s="67"/>
      <c r="Q146" s="68"/>
    </row>
    <row r="147" spans="2:17" x14ac:dyDescent="0.25">
      <c r="B147" s="68"/>
      <c r="C147" s="67"/>
      <c r="D147" s="68"/>
      <c r="E147" s="67"/>
      <c r="F147" s="72"/>
      <c r="G147" s="70"/>
      <c r="H147" s="69"/>
      <c r="I147" s="69"/>
      <c r="J147" s="70"/>
      <c r="K147" s="73"/>
      <c r="L147" s="73"/>
      <c r="M147" s="75"/>
      <c r="N147" s="74"/>
      <c r="O147" s="68"/>
      <c r="P147" s="67"/>
      <c r="Q147" s="68"/>
    </row>
    <row r="148" spans="2:17" x14ac:dyDescent="0.25">
      <c r="B148" s="68"/>
      <c r="C148" s="67"/>
      <c r="D148" s="68"/>
      <c r="E148" s="67"/>
      <c r="F148" s="72"/>
      <c r="G148" s="70"/>
      <c r="H148" s="69"/>
      <c r="I148" s="69"/>
      <c r="J148" s="70"/>
      <c r="K148" s="73"/>
      <c r="L148" s="73"/>
      <c r="M148" s="75"/>
      <c r="N148" s="74"/>
      <c r="O148" s="68"/>
      <c r="P148" s="67"/>
      <c r="Q148" s="68"/>
    </row>
    <row r="149" spans="2:17" x14ac:dyDescent="0.25">
      <c r="B149" s="68"/>
      <c r="C149" s="67"/>
      <c r="D149" s="68"/>
      <c r="E149" s="67"/>
      <c r="F149" s="72"/>
      <c r="G149" s="70"/>
      <c r="H149" s="69"/>
      <c r="I149" s="69"/>
      <c r="J149" s="70"/>
      <c r="K149" s="73"/>
      <c r="L149" s="73"/>
      <c r="M149" s="75"/>
      <c r="N149" s="74"/>
      <c r="O149" s="68"/>
      <c r="P149" s="67"/>
      <c r="Q149" s="68"/>
    </row>
    <row r="150" spans="2:17" x14ac:dyDescent="0.25">
      <c r="B150" s="68"/>
      <c r="C150" s="67"/>
      <c r="D150" s="68"/>
      <c r="E150" s="67"/>
      <c r="F150" s="72"/>
      <c r="G150" s="70"/>
      <c r="H150" s="69"/>
      <c r="I150" s="69"/>
      <c r="J150" s="70"/>
      <c r="K150" s="73"/>
      <c r="L150" s="73"/>
      <c r="M150" s="75"/>
      <c r="N150" s="74"/>
      <c r="O150" s="68"/>
      <c r="P150" s="67"/>
      <c r="Q150" s="68"/>
    </row>
    <row r="151" spans="2:17" x14ac:dyDescent="0.25">
      <c r="B151" s="68"/>
      <c r="C151" s="67"/>
      <c r="D151" s="68"/>
      <c r="E151" s="67"/>
      <c r="F151" s="72"/>
      <c r="G151" s="70"/>
      <c r="H151" s="69"/>
      <c r="I151" s="69"/>
      <c r="J151" s="70"/>
      <c r="K151" s="73"/>
      <c r="L151" s="73"/>
      <c r="M151" s="75"/>
      <c r="N151" s="74"/>
      <c r="O151" s="68"/>
      <c r="P151" s="67"/>
      <c r="Q151" s="68"/>
    </row>
    <row r="152" spans="2:17" x14ac:dyDescent="0.25">
      <c r="B152" s="68"/>
      <c r="C152" s="67"/>
      <c r="D152" s="68"/>
      <c r="E152" s="67"/>
      <c r="F152" s="72"/>
      <c r="G152" s="70"/>
      <c r="H152" s="69"/>
      <c r="I152" s="69"/>
      <c r="J152" s="70"/>
      <c r="K152" s="73"/>
      <c r="L152" s="73"/>
      <c r="M152" s="75"/>
      <c r="N152" s="74"/>
      <c r="O152" s="68"/>
      <c r="P152" s="67"/>
      <c r="Q152" s="68"/>
    </row>
    <row r="153" spans="2:17" x14ac:dyDescent="0.25">
      <c r="B153" s="68"/>
      <c r="C153" s="67"/>
      <c r="D153" s="68"/>
      <c r="E153" s="67"/>
      <c r="F153" s="72"/>
      <c r="G153" s="70"/>
      <c r="H153" s="69"/>
      <c r="I153" s="69"/>
      <c r="J153" s="70"/>
      <c r="K153" s="73"/>
      <c r="L153" s="73"/>
      <c r="M153" s="75"/>
      <c r="N153" s="74"/>
      <c r="O153" s="68"/>
      <c r="P153" s="67"/>
      <c r="Q153" s="68"/>
    </row>
    <row r="154" spans="2:17" x14ac:dyDescent="0.25">
      <c r="B154" s="68"/>
      <c r="C154" s="67"/>
      <c r="D154" s="68"/>
      <c r="E154" s="67"/>
      <c r="F154" s="72"/>
      <c r="G154" s="70"/>
      <c r="H154" s="69"/>
      <c r="I154" s="69"/>
      <c r="J154" s="70"/>
      <c r="K154" s="73"/>
      <c r="L154" s="73"/>
      <c r="M154" s="75"/>
      <c r="N154" s="74"/>
      <c r="O154" s="68"/>
      <c r="P154" s="67"/>
      <c r="Q154" s="68"/>
    </row>
    <row r="155" spans="2:17" x14ac:dyDescent="0.25">
      <c r="B155" s="68"/>
      <c r="C155" s="67"/>
      <c r="D155" s="68"/>
      <c r="E155" s="67"/>
      <c r="F155" s="72"/>
      <c r="G155" s="70"/>
      <c r="H155" s="69"/>
      <c r="I155" s="69"/>
      <c r="J155" s="70"/>
      <c r="K155" s="73"/>
      <c r="L155" s="73"/>
      <c r="M155" s="75"/>
      <c r="N155" s="74"/>
      <c r="O155" s="68"/>
      <c r="P155" s="67"/>
      <c r="Q155" s="68"/>
    </row>
    <row r="156" spans="2:17" x14ac:dyDescent="0.25">
      <c r="B156" s="68"/>
      <c r="C156" s="67"/>
      <c r="D156" s="68"/>
      <c r="E156" s="67"/>
      <c r="F156" s="72"/>
      <c r="G156" s="70"/>
      <c r="H156" s="69"/>
      <c r="I156" s="69"/>
      <c r="J156" s="70"/>
      <c r="K156" s="73"/>
      <c r="L156" s="73"/>
      <c r="M156" s="75"/>
      <c r="N156" s="74"/>
      <c r="O156" s="68"/>
      <c r="P156" s="67"/>
      <c r="Q156" s="68"/>
    </row>
    <row r="157" spans="2:17" x14ac:dyDescent="0.25">
      <c r="B157" s="68"/>
      <c r="C157" s="67"/>
      <c r="D157" s="68"/>
      <c r="E157" s="67"/>
      <c r="F157" s="72"/>
      <c r="G157" s="70"/>
      <c r="H157" s="69"/>
      <c r="I157" s="69"/>
      <c r="J157" s="70"/>
      <c r="K157" s="73"/>
      <c r="L157" s="73"/>
      <c r="M157" s="75"/>
      <c r="N157" s="74"/>
      <c r="O157" s="68"/>
      <c r="P157" s="67"/>
      <c r="Q157" s="68"/>
    </row>
    <row r="158" spans="2:17" x14ac:dyDescent="0.25">
      <c r="B158" s="68"/>
      <c r="C158" s="67"/>
      <c r="D158" s="68"/>
      <c r="E158" s="67"/>
      <c r="F158" s="72"/>
      <c r="G158" s="70"/>
      <c r="H158" s="69"/>
      <c r="I158" s="69"/>
      <c r="J158" s="70"/>
      <c r="K158" s="73"/>
      <c r="L158" s="73"/>
      <c r="M158" s="75"/>
      <c r="N158" s="74"/>
      <c r="O158" s="68"/>
      <c r="P158" s="67"/>
      <c r="Q158" s="68"/>
    </row>
    <row r="159" spans="2:17" x14ac:dyDescent="0.25">
      <c r="B159" s="68"/>
      <c r="C159" s="67"/>
      <c r="D159" s="68"/>
      <c r="E159" s="67"/>
      <c r="F159" s="72"/>
      <c r="G159" s="70"/>
      <c r="H159" s="69"/>
      <c r="I159" s="69"/>
      <c r="J159" s="70"/>
      <c r="K159" s="73"/>
      <c r="L159" s="73"/>
      <c r="M159" s="75"/>
      <c r="N159" s="74"/>
      <c r="O159" s="68"/>
      <c r="P159" s="67"/>
      <c r="Q159" s="68"/>
    </row>
    <row r="160" spans="2:17" x14ac:dyDescent="0.25">
      <c r="B160" s="68"/>
      <c r="C160" s="67"/>
      <c r="D160" s="68"/>
      <c r="E160" s="67"/>
      <c r="F160" s="72"/>
      <c r="G160" s="70"/>
      <c r="H160" s="69"/>
      <c r="I160" s="69"/>
      <c r="J160" s="70"/>
      <c r="K160" s="73"/>
      <c r="L160" s="73"/>
      <c r="M160" s="75"/>
      <c r="N160" s="74"/>
      <c r="O160" s="68"/>
      <c r="P160" s="67"/>
      <c r="Q160" s="68"/>
    </row>
    <row r="161" spans="2:17" x14ac:dyDescent="0.25">
      <c r="B161" s="68"/>
      <c r="C161" s="67"/>
      <c r="D161" s="68"/>
      <c r="E161" s="67"/>
      <c r="F161" s="72"/>
      <c r="G161" s="70"/>
      <c r="H161" s="69"/>
      <c r="I161" s="69"/>
      <c r="J161" s="70"/>
      <c r="K161" s="73"/>
      <c r="L161" s="73"/>
      <c r="M161" s="75"/>
      <c r="N161" s="74"/>
      <c r="O161" s="68"/>
      <c r="P161" s="67"/>
      <c r="Q161" s="68"/>
    </row>
    <row r="162" spans="2:17" x14ac:dyDescent="0.25">
      <c r="B162" s="68"/>
      <c r="C162" s="67"/>
      <c r="D162" s="68"/>
      <c r="E162" s="67"/>
      <c r="F162" s="72"/>
      <c r="G162" s="70"/>
      <c r="H162" s="69"/>
      <c r="I162" s="69"/>
      <c r="J162" s="70"/>
      <c r="K162" s="73"/>
      <c r="L162" s="73"/>
      <c r="M162" s="75"/>
      <c r="N162" s="74"/>
      <c r="O162" s="68"/>
      <c r="P162" s="67"/>
      <c r="Q162" s="68"/>
    </row>
    <row r="163" spans="2:17" x14ac:dyDescent="0.25">
      <c r="B163" s="68"/>
      <c r="C163" s="67"/>
      <c r="D163" s="68"/>
      <c r="E163" s="67"/>
      <c r="F163" s="72"/>
      <c r="G163" s="70"/>
      <c r="H163" s="69"/>
      <c r="I163" s="69"/>
      <c r="J163" s="70"/>
      <c r="K163" s="73"/>
      <c r="L163" s="73"/>
      <c r="M163" s="75"/>
      <c r="N163" s="74"/>
      <c r="O163" s="68"/>
      <c r="P163" s="67"/>
      <c r="Q163" s="68"/>
    </row>
    <row r="164" spans="2:17" x14ac:dyDescent="0.25">
      <c r="B164" s="68"/>
      <c r="C164" s="67"/>
      <c r="D164" s="68"/>
      <c r="E164" s="67"/>
      <c r="F164" s="72"/>
      <c r="G164" s="70"/>
      <c r="H164" s="69"/>
      <c r="I164" s="69"/>
      <c r="J164" s="70"/>
      <c r="K164" s="73"/>
      <c r="L164" s="73"/>
      <c r="M164" s="75"/>
      <c r="N164" s="74"/>
      <c r="O164" s="68"/>
      <c r="P164" s="67"/>
      <c r="Q164" s="68"/>
    </row>
    <row r="165" spans="2:17" x14ac:dyDescent="0.25">
      <c r="B165" s="68"/>
      <c r="C165" s="67"/>
      <c r="D165" s="68"/>
      <c r="E165" s="67"/>
      <c r="F165" s="72"/>
      <c r="G165" s="70"/>
      <c r="H165" s="69"/>
      <c r="I165" s="69"/>
      <c r="J165" s="70"/>
      <c r="K165" s="73"/>
      <c r="L165" s="73"/>
      <c r="M165" s="75"/>
      <c r="N165" s="74"/>
      <c r="O165" s="68"/>
      <c r="P165" s="67"/>
      <c r="Q165" s="68"/>
    </row>
    <row r="166" spans="2:17" x14ac:dyDescent="0.25">
      <c r="B166" s="68"/>
      <c r="C166" s="67"/>
      <c r="D166" s="68"/>
      <c r="E166" s="67"/>
      <c r="F166" s="72"/>
      <c r="G166" s="70"/>
      <c r="H166" s="69"/>
      <c r="I166" s="69"/>
      <c r="J166" s="70"/>
      <c r="K166" s="73"/>
      <c r="L166" s="73"/>
      <c r="M166" s="75"/>
      <c r="N166" s="74"/>
      <c r="O166" s="68"/>
      <c r="P166" s="67"/>
      <c r="Q166" s="68"/>
    </row>
    <row r="167" spans="2:17" x14ac:dyDescent="0.25">
      <c r="B167" s="68"/>
      <c r="C167" s="67"/>
      <c r="D167" s="68"/>
      <c r="E167" s="67"/>
      <c r="F167" s="72"/>
      <c r="G167" s="70"/>
      <c r="H167" s="69"/>
      <c r="I167" s="69"/>
      <c r="J167" s="70"/>
      <c r="K167" s="73"/>
      <c r="L167" s="73"/>
      <c r="M167" s="75"/>
      <c r="N167" s="74"/>
      <c r="O167" s="68"/>
      <c r="P167" s="67"/>
      <c r="Q167" s="68"/>
    </row>
    <row r="168" spans="2:17" x14ac:dyDescent="0.25">
      <c r="B168" s="68"/>
      <c r="C168" s="67"/>
      <c r="D168" s="68"/>
      <c r="E168" s="67"/>
      <c r="F168" s="72"/>
      <c r="G168" s="70"/>
      <c r="H168" s="69"/>
      <c r="I168" s="69"/>
      <c r="J168" s="70"/>
      <c r="K168" s="73"/>
      <c r="L168" s="73"/>
      <c r="M168" s="75"/>
      <c r="N168" s="74"/>
      <c r="O168" s="68"/>
      <c r="P168" s="67"/>
      <c r="Q168" s="68"/>
    </row>
    <row r="169" spans="2:17" x14ac:dyDescent="0.25">
      <c r="B169" s="68"/>
      <c r="C169" s="67"/>
      <c r="D169" s="68"/>
      <c r="E169" s="67"/>
      <c r="F169" s="72"/>
      <c r="G169" s="70"/>
      <c r="H169" s="69"/>
      <c r="I169" s="69"/>
      <c r="J169" s="70"/>
      <c r="K169" s="73"/>
      <c r="L169" s="73"/>
      <c r="M169" s="75"/>
      <c r="N169" s="74"/>
      <c r="O169" s="68"/>
      <c r="P169" s="67"/>
      <c r="Q169" s="68"/>
    </row>
    <row r="170" spans="2:17" x14ac:dyDescent="0.25">
      <c r="B170" s="68"/>
      <c r="C170" s="67"/>
      <c r="D170" s="68"/>
      <c r="E170" s="67"/>
      <c r="F170" s="72"/>
      <c r="G170" s="70"/>
      <c r="H170" s="69"/>
      <c r="I170" s="69"/>
      <c r="J170" s="70"/>
      <c r="K170" s="73"/>
      <c r="L170" s="73"/>
      <c r="M170" s="75"/>
      <c r="N170" s="74"/>
      <c r="O170" s="68"/>
      <c r="P170" s="67"/>
      <c r="Q170" s="68"/>
    </row>
    <row r="171" spans="2:17" x14ac:dyDescent="0.25">
      <c r="B171" s="68"/>
      <c r="C171" s="67"/>
      <c r="D171" s="68"/>
      <c r="E171" s="67"/>
      <c r="F171" s="72"/>
      <c r="G171" s="70"/>
      <c r="H171" s="69"/>
      <c r="I171" s="69"/>
      <c r="J171" s="70"/>
      <c r="K171" s="73"/>
      <c r="L171" s="73"/>
      <c r="M171" s="75"/>
      <c r="N171" s="74"/>
      <c r="O171" s="68"/>
      <c r="P171" s="67"/>
      <c r="Q171" s="68"/>
    </row>
    <row r="172" spans="2:17" x14ac:dyDescent="0.25">
      <c r="B172" s="68"/>
      <c r="C172" s="67"/>
      <c r="D172" s="68"/>
      <c r="E172" s="67"/>
      <c r="F172" s="72"/>
      <c r="G172" s="70"/>
      <c r="H172" s="69"/>
      <c r="I172" s="69"/>
      <c r="J172" s="70"/>
      <c r="K172" s="73"/>
      <c r="L172" s="73"/>
      <c r="M172" s="75"/>
      <c r="N172" s="74"/>
      <c r="O172" s="68"/>
      <c r="P172" s="67"/>
      <c r="Q172" s="68"/>
    </row>
    <row r="173" spans="2:17" x14ac:dyDescent="0.25">
      <c r="B173" s="68"/>
      <c r="C173" s="67"/>
      <c r="D173" s="68"/>
      <c r="E173" s="67"/>
      <c r="F173" s="72"/>
      <c r="G173" s="70"/>
      <c r="H173" s="69"/>
      <c r="I173" s="69"/>
      <c r="J173" s="70"/>
      <c r="K173" s="73"/>
      <c r="L173" s="73"/>
      <c r="M173" s="75"/>
      <c r="N173" s="74"/>
      <c r="O173" s="68"/>
      <c r="P173" s="67"/>
      <c r="Q173" s="68"/>
    </row>
    <row r="174" spans="2:17" x14ac:dyDescent="0.25">
      <c r="B174" s="68"/>
      <c r="C174" s="67"/>
      <c r="D174" s="68"/>
      <c r="E174" s="67"/>
      <c r="F174" s="72"/>
      <c r="G174" s="70"/>
      <c r="H174" s="69"/>
      <c r="I174" s="69"/>
      <c r="J174" s="70"/>
      <c r="K174" s="73"/>
      <c r="L174" s="73"/>
      <c r="M174" s="75"/>
      <c r="N174" s="74"/>
      <c r="O174" s="68"/>
      <c r="P174" s="67"/>
      <c r="Q174" s="68"/>
    </row>
    <row r="175" spans="2:17" x14ac:dyDescent="0.25">
      <c r="B175" s="68"/>
      <c r="C175" s="67"/>
      <c r="D175" s="68"/>
      <c r="E175" s="67"/>
      <c r="F175" s="72"/>
      <c r="G175" s="70"/>
      <c r="H175" s="69"/>
      <c r="I175" s="69"/>
      <c r="J175" s="70"/>
      <c r="K175" s="73"/>
      <c r="L175" s="73"/>
      <c r="M175" s="75"/>
      <c r="N175" s="74"/>
      <c r="O175" s="68"/>
      <c r="P175" s="67"/>
      <c r="Q175" s="68"/>
    </row>
    <row r="176" spans="2:17" x14ac:dyDescent="0.25">
      <c r="B176" s="68"/>
      <c r="C176" s="67"/>
      <c r="D176" s="68"/>
      <c r="E176" s="67"/>
      <c r="F176" s="72"/>
      <c r="G176" s="70"/>
      <c r="H176" s="69"/>
      <c r="I176" s="69"/>
      <c r="J176" s="70"/>
      <c r="K176" s="73"/>
      <c r="L176" s="73"/>
      <c r="M176" s="75"/>
      <c r="N176" s="74"/>
      <c r="O176" s="68"/>
      <c r="P176" s="67"/>
      <c r="Q176" s="68"/>
    </row>
    <row r="177" spans="2:17" x14ac:dyDescent="0.25">
      <c r="B177" s="68"/>
      <c r="C177" s="67"/>
      <c r="D177" s="68"/>
      <c r="E177" s="67"/>
      <c r="F177" s="72"/>
      <c r="G177" s="70"/>
      <c r="H177" s="69"/>
      <c r="I177" s="69"/>
      <c r="J177" s="70"/>
      <c r="K177" s="73"/>
      <c r="L177" s="73"/>
      <c r="M177" s="75"/>
      <c r="N177" s="74"/>
      <c r="O177" s="68"/>
      <c r="P177" s="67"/>
      <c r="Q177" s="68"/>
    </row>
    <row r="178" spans="2:17" x14ac:dyDescent="0.25">
      <c r="B178" s="68"/>
      <c r="C178" s="67"/>
      <c r="D178" s="68"/>
      <c r="E178" s="67"/>
      <c r="F178" s="72"/>
      <c r="G178" s="70"/>
      <c r="H178" s="69"/>
      <c r="I178" s="69"/>
      <c r="J178" s="70"/>
      <c r="K178" s="73"/>
      <c r="L178" s="73"/>
      <c r="M178" s="75"/>
      <c r="N178" s="74"/>
      <c r="O178" s="68"/>
      <c r="P178" s="67"/>
      <c r="Q178" s="68"/>
    </row>
    <row r="179" spans="2:17" x14ac:dyDescent="0.25">
      <c r="B179" s="68"/>
      <c r="C179" s="67"/>
      <c r="D179" s="68"/>
      <c r="E179" s="67"/>
      <c r="F179" s="72"/>
      <c r="G179" s="70"/>
      <c r="H179" s="69"/>
      <c r="I179" s="69"/>
      <c r="J179" s="70"/>
      <c r="K179" s="73"/>
      <c r="L179" s="73"/>
      <c r="M179" s="75"/>
      <c r="N179" s="74"/>
      <c r="O179" s="68"/>
      <c r="P179" s="67"/>
      <c r="Q179" s="68"/>
    </row>
    <row r="180" spans="2:17" x14ac:dyDescent="0.25">
      <c r="B180" s="68"/>
      <c r="C180" s="67"/>
      <c r="D180" s="68"/>
      <c r="E180" s="67"/>
      <c r="F180" s="72"/>
      <c r="G180" s="70"/>
      <c r="H180" s="69"/>
      <c r="I180" s="69"/>
      <c r="J180" s="70"/>
      <c r="K180" s="73"/>
      <c r="L180" s="73"/>
      <c r="M180" s="75"/>
      <c r="N180" s="74"/>
      <c r="O180" s="68"/>
      <c r="P180" s="67"/>
      <c r="Q180" s="68"/>
    </row>
    <row r="181" spans="2:17" x14ac:dyDescent="0.25">
      <c r="B181" s="68"/>
      <c r="C181" s="67"/>
      <c r="D181" s="68"/>
      <c r="E181" s="67"/>
      <c r="F181" s="72"/>
      <c r="G181" s="70"/>
      <c r="H181" s="69"/>
      <c r="I181" s="69"/>
      <c r="J181" s="70"/>
      <c r="K181" s="73"/>
      <c r="L181" s="73"/>
      <c r="M181" s="75"/>
      <c r="N181" s="74"/>
      <c r="O181" s="68"/>
      <c r="P181" s="67"/>
      <c r="Q181" s="68"/>
    </row>
    <row r="182" spans="2:17" x14ac:dyDescent="0.25">
      <c r="B182" s="68"/>
      <c r="C182" s="67"/>
      <c r="D182" s="68"/>
      <c r="E182" s="67"/>
      <c r="F182" s="72"/>
      <c r="G182" s="70"/>
      <c r="H182" s="69"/>
      <c r="I182" s="69"/>
      <c r="J182" s="70"/>
      <c r="K182" s="73"/>
      <c r="L182" s="73"/>
      <c r="M182" s="75"/>
      <c r="N182" s="74"/>
      <c r="O182" s="68"/>
      <c r="P182" s="67"/>
      <c r="Q182" s="68"/>
    </row>
    <row r="183" spans="2:17" x14ac:dyDescent="0.25">
      <c r="B183" s="68"/>
      <c r="C183" s="67"/>
      <c r="D183" s="68"/>
      <c r="E183" s="67"/>
      <c r="F183" s="72"/>
      <c r="G183" s="70"/>
      <c r="H183" s="69"/>
      <c r="I183" s="69"/>
      <c r="J183" s="70"/>
      <c r="K183" s="73"/>
      <c r="L183" s="73"/>
      <c r="M183" s="75"/>
      <c r="N183" s="74"/>
      <c r="O183" s="68"/>
      <c r="P183" s="67"/>
      <c r="Q183" s="68"/>
    </row>
    <row r="184" spans="2:17" x14ac:dyDescent="0.25">
      <c r="B184" s="68"/>
      <c r="C184" s="67"/>
      <c r="D184" s="68"/>
      <c r="E184" s="67"/>
      <c r="F184" s="72"/>
      <c r="G184" s="70"/>
      <c r="H184" s="69"/>
      <c r="I184" s="69"/>
      <c r="J184" s="70"/>
      <c r="K184" s="73"/>
      <c r="L184" s="73"/>
      <c r="M184" s="75"/>
      <c r="N184" s="74"/>
      <c r="O184" s="68"/>
      <c r="P184" s="67"/>
      <c r="Q184" s="68"/>
    </row>
    <row r="185" spans="2:17" x14ac:dyDescent="0.25">
      <c r="B185" s="68"/>
      <c r="C185" s="67"/>
      <c r="D185" s="68"/>
      <c r="E185" s="67"/>
      <c r="F185" s="72"/>
      <c r="G185" s="70"/>
      <c r="H185" s="69"/>
      <c r="I185" s="69"/>
      <c r="J185" s="70"/>
      <c r="K185" s="73"/>
      <c r="L185" s="73"/>
      <c r="M185" s="75"/>
      <c r="N185" s="74"/>
      <c r="O185" s="68"/>
      <c r="P185" s="67"/>
      <c r="Q185" s="68"/>
    </row>
    <row r="186" spans="2:17" x14ac:dyDescent="0.25">
      <c r="B186" s="68"/>
      <c r="C186" s="67"/>
      <c r="D186" s="68"/>
      <c r="E186" s="67"/>
      <c r="F186" s="72"/>
      <c r="G186" s="70"/>
      <c r="H186" s="69"/>
      <c r="I186" s="69"/>
      <c r="J186" s="70"/>
      <c r="K186" s="73"/>
      <c r="L186" s="73"/>
      <c r="M186" s="75"/>
      <c r="N186" s="74"/>
      <c r="O186" s="68"/>
      <c r="P186" s="67"/>
      <c r="Q186" s="68"/>
    </row>
    <row r="187" spans="2:17" x14ac:dyDescent="0.25">
      <c r="B187" s="68"/>
      <c r="C187" s="67"/>
      <c r="D187" s="68"/>
      <c r="E187" s="67"/>
      <c r="F187" s="72"/>
      <c r="G187" s="70"/>
      <c r="H187" s="69"/>
      <c r="I187" s="69"/>
      <c r="J187" s="70"/>
      <c r="K187" s="73"/>
      <c r="L187" s="73"/>
      <c r="M187" s="75"/>
      <c r="N187" s="74"/>
      <c r="O187" s="68"/>
      <c r="P187" s="67"/>
      <c r="Q187" s="68"/>
    </row>
    <row r="188" spans="2:17" x14ac:dyDescent="0.25">
      <c r="B188" s="68"/>
      <c r="C188" s="67"/>
      <c r="D188" s="68"/>
      <c r="E188" s="67"/>
      <c r="F188" s="72"/>
      <c r="G188" s="70"/>
      <c r="H188" s="69"/>
      <c r="I188" s="69"/>
      <c r="J188" s="70"/>
      <c r="K188" s="73"/>
      <c r="L188" s="73"/>
      <c r="M188" s="75"/>
      <c r="N188" s="74"/>
      <c r="O188" s="68"/>
      <c r="P188" s="67"/>
      <c r="Q188" s="68"/>
    </row>
    <row r="189" spans="2:17" x14ac:dyDescent="0.25">
      <c r="B189" s="68"/>
      <c r="C189" s="67"/>
      <c r="D189" s="68"/>
      <c r="E189" s="67"/>
      <c r="F189" s="72"/>
      <c r="G189" s="70"/>
      <c r="H189" s="69"/>
      <c r="I189" s="69"/>
      <c r="J189" s="70"/>
      <c r="K189" s="73"/>
      <c r="L189" s="73"/>
      <c r="M189" s="75"/>
      <c r="N189" s="74"/>
      <c r="O189" s="68"/>
      <c r="P189" s="67"/>
      <c r="Q189" s="68"/>
    </row>
    <row r="190" spans="2:17" x14ac:dyDescent="0.25">
      <c r="B190" s="68"/>
      <c r="C190" s="67"/>
      <c r="D190" s="68"/>
      <c r="E190" s="67"/>
      <c r="F190" s="72"/>
      <c r="G190" s="70"/>
      <c r="H190" s="69"/>
      <c r="I190" s="69"/>
      <c r="J190" s="70"/>
      <c r="K190" s="73"/>
      <c r="L190" s="73"/>
      <c r="M190" s="75"/>
      <c r="N190" s="74"/>
      <c r="O190" s="68"/>
      <c r="P190" s="67"/>
      <c r="Q190" s="68"/>
    </row>
    <row r="191" spans="2:17" x14ac:dyDescent="0.25">
      <c r="B191" s="68"/>
      <c r="C191" s="67"/>
      <c r="D191" s="68"/>
      <c r="E191" s="67"/>
      <c r="F191" s="72"/>
      <c r="G191" s="70"/>
      <c r="H191" s="69"/>
      <c r="I191" s="69"/>
      <c r="J191" s="70"/>
      <c r="K191" s="73"/>
      <c r="L191" s="73"/>
      <c r="M191" s="75"/>
      <c r="N191" s="74"/>
      <c r="O191" s="68"/>
      <c r="P191" s="67"/>
      <c r="Q191" s="68"/>
    </row>
    <row r="192" spans="2:17" x14ac:dyDescent="0.25">
      <c r="B192" s="68"/>
      <c r="C192" s="67"/>
      <c r="D192" s="68"/>
      <c r="E192" s="67"/>
      <c r="F192" s="72"/>
      <c r="G192" s="70"/>
      <c r="H192" s="69"/>
      <c r="I192" s="69"/>
      <c r="J192" s="70"/>
      <c r="K192" s="73"/>
      <c r="L192" s="73"/>
      <c r="M192" s="75"/>
      <c r="N192" s="74"/>
      <c r="O192" s="68"/>
      <c r="P192" s="67"/>
      <c r="Q192" s="68"/>
    </row>
    <row r="193" spans="2:17" x14ac:dyDescent="0.25">
      <c r="B193" s="68"/>
      <c r="C193" s="67"/>
      <c r="D193" s="68"/>
      <c r="E193" s="67"/>
      <c r="F193" s="72"/>
      <c r="G193" s="70"/>
      <c r="H193" s="69"/>
      <c r="I193" s="69"/>
      <c r="J193" s="70"/>
      <c r="K193" s="73"/>
      <c r="L193" s="73"/>
      <c r="M193" s="75"/>
      <c r="N193" s="74"/>
      <c r="O193" s="68"/>
      <c r="P193" s="67"/>
      <c r="Q193" s="68"/>
    </row>
    <row r="194" spans="2:17" x14ac:dyDescent="0.25">
      <c r="B194" s="68"/>
      <c r="C194" s="67"/>
      <c r="D194" s="68"/>
      <c r="E194" s="67"/>
      <c r="F194" s="72"/>
      <c r="G194" s="70"/>
      <c r="H194" s="69"/>
      <c r="I194" s="69"/>
      <c r="J194" s="70"/>
      <c r="K194" s="73"/>
      <c r="L194" s="73"/>
      <c r="M194" s="75"/>
      <c r="N194" s="74"/>
      <c r="O194" s="68"/>
      <c r="P194" s="67"/>
      <c r="Q194" s="68"/>
    </row>
    <row r="195" spans="2:17" x14ac:dyDescent="0.25">
      <c r="B195" s="68"/>
      <c r="C195" s="67"/>
      <c r="D195" s="68"/>
      <c r="E195" s="67"/>
      <c r="F195" s="72"/>
      <c r="G195" s="70"/>
      <c r="H195" s="69"/>
      <c r="I195" s="69"/>
      <c r="J195" s="70"/>
      <c r="K195" s="73"/>
      <c r="L195" s="73"/>
      <c r="M195" s="75"/>
      <c r="N195" s="74"/>
      <c r="O195" s="68"/>
      <c r="P195" s="67"/>
      <c r="Q195" s="68"/>
    </row>
    <row r="196" spans="2:17" x14ac:dyDescent="0.25">
      <c r="B196" s="68"/>
      <c r="C196" s="67"/>
      <c r="D196" s="68"/>
      <c r="E196" s="67"/>
      <c r="F196" s="72"/>
      <c r="G196" s="70"/>
      <c r="H196" s="69"/>
      <c r="I196" s="69"/>
      <c r="J196" s="70"/>
      <c r="K196" s="73"/>
      <c r="L196" s="73"/>
      <c r="M196" s="75"/>
      <c r="N196" s="74"/>
      <c r="O196" s="68"/>
      <c r="P196" s="67"/>
      <c r="Q196" s="68"/>
    </row>
    <row r="197" spans="2:17" x14ac:dyDescent="0.25">
      <c r="B197" s="68"/>
      <c r="C197" s="67"/>
      <c r="D197" s="68"/>
      <c r="E197" s="67"/>
      <c r="F197" s="72"/>
      <c r="G197" s="70"/>
      <c r="H197" s="69"/>
      <c r="I197" s="69"/>
      <c r="J197" s="70"/>
      <c r="K197" s="73"/>
      <c r="L197" s="73"/>
      <c r="M197" s="75"/>
      <c r="N197" s="74"/>
      <c r="O197" s="68"/>
      <c r="P197" s="67"/>
      <c r="Q197" s="68"/>
    </row>
    <row r="198" spans="2:17" x14ac:dyDescent="0.25">
      <c r="B198" s="68"/>
      <c r="C198" s="67"/>
      <c r="D198" s="68"/>
      <c r="E198" s="67"/>
      <c r="F198" s="72"/>
      <c r="G198" s="70"/>
      <c r="H198" s="69"/>
      <c r="I198" s="69"/>
      <c r="J198" s="70"/>
      <c r="K198" s="73"/>
      <c r="L198" s="73"/>
      <c r="M198" s="75"/>
      <c r="N198" s="74"/>
      <c r="O198" s="68"/>
      <c r="P198" s="67"/>
      <c r="Q198" s="68"/>
    </row>
    <row r="199" spans="2:17" x14ac:dyDescent="0.25">
      <c r="B199" s="68"/>
      <c r="C199" s="67"/>
      <c r="D199" s="68"/>
      <c r="E199" s="67"/>
      <c r="F199" s="72"/>
      <c r="G199" s="70"/>
      <c r="H199" s="69"/>
      <c r="I199" s="69"/>
      <c r="J199" s="70"/>
      <c r="K199" s="73"/>
      <c r="L199" s="73"/>
      <c r="M199" s="75"/>
      <c r="N199" s="74"/>
      <c r="O199" s="68"/>
      <c r="P199" s="67"/>
      <c r="Q199" s="68"/>
    </row>
    <row r="200" spans="2:17" x14ac:dyDescent="0.25">
      <c r="B200" s="68"/>
      <c r="C200" s="67"/>
      <c r="D200" s="68"/>
      <c r="E200" s="67"/>
      <c r="F200" s="72"/>
      <c r="G200" s="70"/>
      <c r="H200" s="69"/>
      <c r="I200" s="69"/>
      <c r="J200" s="70"/>
      <c r="K200" s="73"/>
      <c r="L200" s="73"/>
      <c r="M200" s="75"/>
      <c r="N200" s="74"/>
      <c r="O200" s="68"/>
      <c r="P200" s="67"/>
      <c r="Q200" s="68"/>
    </row>
    <row r="201" spans="2:17" x14ac:dyDescent="0.25">
      <c r="B201" s="68"/>
      <c r="C201" s="67"/>
      <c r="D201" s="68"/>
      <c r="E201" s="67"/>
      <c r="F201" s="72"/>
      <c r="G201" s="70"/>
      <c r="H201" s="69"/>
      <c r="I201" s="69"/>
      <c r="J201" s="70"/>
      <c r="K201" s="73"/>
      <c r="L201" s="73"/>
      <c r="M201" s="75"/>
      <c r="N201" s="74"/>
      <c r="O201" s="68"/>
      <c r="P201" s="67"/>
      <c r="Q201" s="68"/>
    </row>
    <row r="202" spans="2:17" x14ac:dyDescent="0.25">
      <c r="B202" s="68"/>
      <c r="C202" s="67"/>
      <c r="D202" s="68"/>
      <c r="E202" s="67"/>
      <c r="F202" s="72"/>
      <c r="G202" s="70"/>
      <c r="H202" s="69"/>
      <c r="I202" s="69"/>
      <c r="J202" s="70"/>
      <c r="K202" s="73"/>
      <c r="L202" s="73"/>
      <c r="M202" s="75"/>
      <c r="N202" s="74"/>
      <c r="O202" s="68"/>
      <c r="P202" s="67"/>
      <c r="Q202" s="68"/>
    </row>
    <row r="203" spans="2:17" x14ac:dyDescent="0.25">
      <c r="B203" s="68"/>
      <c r="C203" s="67"/>
      <c r="D203" s="68"/>
      <c r="E203" s="67"/>
      <c r="F203" s="72"/>
      <c r="G203" s="70"/>
      <c r="H203" s="69"/>
      <c r="I203" s="69"/>
      <c r="J203" s="70"/>
      <c r="K203" s="73"/>
      <c r="L203" s="73"/>
      <c r="M203" s="75"/>
      <c r="N203" s="74"/>
      <c r="O203" s="68"/>
      <c r="P203" s="67"/>
      <c r="Q203" s="68"/>
    </row>
    <row r="204" spans="2:17" x14ac:dyDescent="0.25">
      <c r="B204" s="68"/>
      <c r="C204" s="67"/>
      <c r="D204" s="68"/>
      <c r="E204" s="67"/>
      <c r="F204" s="72"/>
      <c r="G204" s="70"/>
      <c r="H204" s="69"/>
      <c r="I204" s="69"/>
      <c r="J204" s="70"/>
      <c r="K204" s="73"/>
      <c r="L204" s="73"/>
      <c r="M204" s="75"/>
      <c r="N204" s="74"/>
      <c r="O204" s="68"/>
      <c r="P204" s="67"/>
      <c r="Q204" s="68"/>
    </row>
    <row r="205" spans="2:17" x14ac:dyDescent="0.25">
      <c r="B205" s="68"/>
      <c r="C205" s="67"/>
      <c r="D205" s="68"/>
      <c r="E205" s="67"/>
      <c r="F205" s="72"/>
      <c r="G205" s="70"/>
      <c r="H205" s="69"/>
      <c r="I205" s="69"/>
      <c r="J205" s="70"/>
      <c r="K205" s="73"/>
      <c r="L205" s="73"/>
      <c r="M205" s="75"/>
      <c r="N205" s="74"/>
      <c r="O205" s="68"/>
      <c r="P205" s="67"/>
      <c r="Q205" s="68"/>
    </row>
    <row r="206" spans="2:17" x14ac:dyDescent="0.25">
      <c r="B206" s="68"/>
      <c r="C206" s="67"/>
      <c r="D206" s="68"/>
      <c r="E206" s="67"/>
      <c r="F206" s="72"/>
      <c r="G206" s="70"/>
      <c r="H206" s="69"/>
      <c r="I206" s="69"/>
      <c r="J206" s="70"/>
      <c r="K206" s="73"/>
      <c r="L206" s="73"/>
      <c r="M206" s="75"/>
      <c r="N206" s="74"/>
      <c r="O206" s="68"/>
      <c r="P206" s="67"/>
      <c r="Q206" s="68"/>
    </row>
    <row r="207" spans="2:17" x14ac:dyDescent="0.25">
      <c r="B207" s="68"/>
      <c r="C207" s="67"/>
      <c r="D207" s="68"/>
      <c r="E207" s="67"/>
      <c r="F207" s="72"/>
      <c r="G207" s="70"/>
      <c r="H207" s="69"/>
      <c r="I207" s="69"/>
      <c r="J207" s="70"/>
      <c r="K207" s="73"/>
      <c r="L207" s="73"/>
      <c r="M207" s="75"/>
      <c r="N207" s="74"/>
      <c r="O207" s="68"/>
      <c r="P207" s="67"/>
      <c r="Q207" s="68"/>
    </row>
    <row r="208" spans="2:17" x14ac:dyDescent="0.25">
      <c r="B208" s="68"/>
      <c r="C208" s="67"/>
      <c r="D208" s="68"/>
      <c r="E208" s="67"/>
      <c r="F208" s="72"/>
      <c r="G208" s="70"/>
      <c r="H208" s="69"/>
      <c r="I208" s="69"/>
      <c r="J208" s="70"/>
      <c r="K208" s="73"/>
      <c r="L208" s="73"/>
      <c r="M208" s="75"/>
      <c r="N208" s="74"/>
      <c r="O208" s="68"/>
      <c r="P208" s="67"/>
      <c r="Q208" s="68"/>
    </row>
    <row r="209" spans="2:17" x14ac:dyDescent="0.25">
      <c r="B209" s="68"/>
      <c r="C209" s="67"/>
      <c r="D209" s="68"/>
      <c r="E209" s="67"/>
      <c r="F209" s="72"/>
      <c r="G209" s="70"/>
      <c r="H209" s="69"/>
      <c r="I209" s="69"/>
      <c r="J209" s="70"/>
      <c r="K209" s="73"/>
      <c r="L209" s="73"/>
      <c r="M209" s="75"/>
      <c r="N209" s="74"/>
      <c r="O209" s="68"/>
      <c r="P209" s="67"/>
      <c r="Q209" s="68"/>
    </row>
    <row r="210" spans="2:17" x14ac:dyDescent="0.25">
      <c r="B210" s="68"/>
      <c r="C210" s="67"/>
      <c r="D210" s="68"/>
      <c r="E210" s="67"/>
      <c r="F210" s="72"/>
      <c r="G210" s="70"/>
      <c r="H210" s="69"/>
      <c r="I210" s="69"/>
      <c r="J210" s="70"/>
      <c r="K210" s="73"/>
      <c r="L210" s="73"/>
      <c r="M210" s="75"/>
      <c r="N210" s="74"/>
      <c r="O210" s="68"/>
      <c r="P210" s="67"/>
      <c r="Q210" s="68"/>
    </row>
    <row r="211" spans="2:17" x14ac:dyDescent="0.25">
      <c r="B211" s="68"/>
      <c r="C211" s="67"/>
      <c r="D211" s="68"/>
      <c r="E211" s="67"/>
      <c r="F211" s="72"/>
      <c r="G211" s="70"/>
      <c r="H211" s="69"/>
      <c r="I211" s="69"/>
      <c r="J211" s="70"/>
      <c r="K211" s="73"/>
      <c r="L211" s="73"/>
      <c r="M211" s="75"/>
      <c r="N211" s="74"/>
      <c r="O211" s="68"/>
      <c r="P211" s="67"/>
      <c r="Q211" s="68"/>
    </row>
    <row r="212" spans="2:17" x14ac:dyDescent="0.25">
      <c r="B212" s="68"/>
      <c r="C212" s="67"/>
      <c r="D212" s="68"/>
      <c r="E212" s="67"/>
      <c r="F212" s="72"/>
      <c r="G212" s="70"/>
      <c r="H212" s="69"/>
      <c r="I212" s="69"/>
      <c r="J212" s="70"/>
      <c r="K212" s="73"/>
      <c r="L212" s="73"/>
      <c r="M212" s="75"/>
      <c r="N212" s="74"/>
      <c r="O212" s="68"/>
      <c r="P212" s="67"/>
      <c r="Q212" s="68"/>
    </row>
    <row r="213" spans="2:17" x14ac:dyDescent="0.25">
      <c r="B213" s="68"/>
      <c r="C213" s="67"/>
      <c r="D213" s="68"/>
      <c r="E213" s="67"/>
      <c r="F213" s="72"/>
      <c r="G213" s="70"/>
      <c r="H213" s="69"/>
      <c r="I213" s="69"/>
      <c r="J213" s="70"/>
      <c r="K213" s="73"/>
      <c r="L213" s="73"/>
      <c r="M213" s="75"/>
      <c r="N213" s="74"/>
      <c r="O213" s="68"/>
      <c r="P213" s="67"/>
      <c r="Q213" s="68"/>
    </row>
    <row r="214" spans="2:17" x14ac:dyDescent="0.25">
      <c r="B214" s="68"/>
      <c r="C214" s="67"/>
      <c r="D214" s="68"/>
      <c r="E214" s="67"/>
      <c r="F214" s="72"/>
      <c r="G214" s="70"/>
      <c r="H214" s="69"/>
      <c r="I214" s="69"/>
      <c r="J214" s="70"/>
      <c r="K214" s="73"/>
      <c r="L214" s="73"/>
      <c r="M214" s="75"/>
      <c r="N214" s="74"/>
      <c r="O214" s="68"/>
      <c r="P214" s="67"/>
      <c r="Q214" s="68"/>
    </row>
    <row r="215" spans="2:17" x14ac:dyDescent="0.25">
      <c r="B215" s="68"/>
      <c r="C215" s="67"/>
      <c r="D215" s="68"/>
      <c r="E215" s="67"/>
      <c r="F215" s="72"/>
      <c r="G215" s="70"/>
      <c r="H215" s="69"/>
      <c r="I215" s="69"/>
      <c r="J215" s="70"/>
      <c r="K215" s="73"/>
      <c r="L215" s="73"/>
      <c r="M215" s="75"/>
      <c r="N215" s="74"/>
      <c r="O215" s="68"/>
      <c r="P215" s="67"/>
      <c r="Q215" s="68"/>
    </row>
    <row r="216" spans="2:17" x14ac:dyDescent="0.25">
      <c r="B216" s="68"/>
      <c r="C216" s="67"/>
      <c r="D216" s="68"/>
      <c r="E216" s="67"/>
      <c r="F216" s="72"/>
      <c r="G216" s="70"/>
      <c r="H216" s="69"/>
      <c r="I216" s="69"/>
      <c r="J216" s="70"/>
      <c r="K216" s="73"/>
      <c r="L216" s="73"/>
      <c r="M216" s="75"/>
      <c r="N216" s="74"/>
      <c r="O216" s="68"/>
      <c r="P216" s="67"/>
      <c r="Q216" s="68"/>
    </row>
    <row r="217" spans="2:17" x14ac:dyDescent="0.25">
      <c r="B217" s="68"/>
      <c r="C217" s="67"/>
      <c r="D217" s="68"/>
      <c r="E217" s="67"/>
      <c r="F217" s="72"/>
      <c r="G217" s="70"/>
      <c r="H217" s="69"/>
      <c r="I217" s="69"/>
      <c r="J217" s="70"/>
      <c r="K217" s="73"/>
      <c r="L217" s="73"/>
      <c r="M217" s="75"/>
      <c r="N217" s="74"/>
      <c r="O217" s="68"/>
      <c r="P217" s="67"/>
      <c r="Q217" s="68"/>
    </row>
    <row r="218" spans="2:17" x14ac:dyDescent="0.25">
      <c r="B218" s="68"/>
      <c r="C218" s="67"/>
      <c r="D218" s="68"/>
      <c r="E218" s="67"/>
      <c r="F218" s="72"/>
      <c r="G218" s="70"/>
      <c r="H218" s="69"/>
      <c r="I218" s="69"/>
      <c r="J218" s="70"/>
      <c r="K218" s="73"/>
      <c r="L218" s="73"/>
      <c r="M218" s="75"/>
      <c r="N218" s="74"/>
      <c r="O218" s="68"/>
      <c r="P218" s="67"/>
      <c r="Q218" s="68"/>
    </row>
    <row r="219" spans="2:17" x14ac:dyDescent="0.25">
      <c r="B219" s="68"/>
      <c r="C219" s="67"/>
      <c r="D219" s="68"/>
      <c r="E219" s="67"/>
      <c r="F219" s="72"/>
      <c r="G219" s="70"/>
      <c r="H219" s="69"/>
      <c r="I219" s="69"/>
      <c r="J219" s="70"/>
      <c r="K219" s="73"/>
      <c r="L219" s="73"/>
      <c r="M219" s="75"/>
      <c r="N219" s="74"/>
      <c r="O219" s="68"/>
      <c r="P219" s="67"/>
      <c r="Q219" s="68"/>
    </row>
    <row r="220" spans="2:17" x14ac:dyDescent="0.25">
      <c r="B220" s="68"/>
      <c r="C220" s="67"/>
      <c r="D220" s="68"/>
      <c r="E220" s="67"/>
      <c r="F220" s="72"/>
      <c r="G220" s="70"/>
      <c r="H220" s="69"/>
      <c r="I220" s="69"/>
      <c r="J220" s="70"/>
      <c r="K220" s="73"/>
      <c r="L220" s="73"/>
      <c r="M220" s="75"/>
      <c r="N220" s="74"/>
      <c r="O220" s="68"/>
      <c r="P220" s="67"/>
      <c r="Q220" s="68"/>
    </row>
    <row r="221" spans="2:17" x14ac:dyDescent="0.25">
      <c r="B221" s="68"/>
      <c r="C221" s="67"/>
      <c r="D221" s="68"/>
      <c r="E221" s="67"/>
      <c r="F221" s="72"/>
      <c r="G221" s="70"/>
      <c r="H221" s="69"/>
      <c r="I221" s="69"/>
      <c r="J221" s="70"/>
      <c r="K221" s="73"/>
      <c r="L221" s="73"/>
      <c r="M221" s="75"/>
      <c r="N221" s="74"/>
      <c r="O221" s="68"/>
      <c r="P221" s="67"/>
      <c r="Q221" s="68"/>
    </row>
    <row r="222" spans="2:17" x14ac:dyDescent="0.25">
      <c r="B222" s="68"/>
      <c r="C222" s="67"/>
      <c r="D222" s="68"/>
      <c r="E222" s="67"/>
      <c r="F222" s="72"/>
      <c r="G222" s="70"/>
      <c r="H222" s="69"/>
      <c r="I222" s="69"/>
      <c r="J222" s="70"/>
      <c r="K222" s="73"/>
      <c r="L222" s="73"/>
      <c r="M222" s="75"/>
      <c r="N222" s="74"/>
      <c r="O222" s="68"/>
      <c r="P222" s="67"/>
      <c r="Q222" s="68"/>
    </row>
    <row r="223" spans="2:17" x14ac:dyDescent="0.25">
      <c r="B223" s="68"/>
      <c r="C223" s="67"/>
      <c r="D223" s="68"/>
      <c r="E223" s="67"/>
      <c r="F223" s="72"/>
      <c r="G223" s="70"/>
      <c r="H223" s="69"/>
      <c r="I223" s="69"/>
      <c r="J223" s="70"/>
      <c r="K223" s="73"/>
      <c r="L223" s="73"/>
      <c r="M223" s="75"/>
      <c r="N223" s="74"/>
      <c r="O223" s="68"/>
      <c r="P223" s="67"/>
      <c r="Q223" s="68"/>
    </row>
    <row r="224" spans="2:17" x14ac:dyDescent="0.25">
      <c r="B224" s="68"/>
      <c r="C224" s="67"/>
      <c r="D224" s="68"/>
      <c r="E224" s="67"/>
      <c r="F224" s="72"/>
      <c r="G224" s="70"/>
      <c r="H224" s="69"/>
      <c r="I224" s="69"/>
      <c r="J224" s="70"/>
      <c r="K224" s="73"/>
      <c r="L224" s="73"/>
      <c r="M224" s="75"/>
      <c r="N224" s="74"/>
      <c r="O224" s="68"/>
      <c r="P224" s="67"/>
      <c r="Q224" s="68"/>
    </row>
    <row r="225" spans="2:17" x14ac:dyDescent="0.25">
      <c r="B225" s="68"/>
      <c r="C225" s="67"/>
      <c r="D225" s="68"/>
      <c r="E225" s="67"/>
      <c r="F225" s="72"/>
      <c r="G225" s="70"/>
      <c r="H225" s="69"/>
      <c r="I225" s="69"/>
      <c r="J225" s="70"/>
      <c r="K225" s="73"/>
      <c r="L225" s="73"/>
      <c r="M225" s="75"/>
      <c r="N225" s="74"/>
      <c r="O225" s="68"/>
      <c r="P225" s="67"/>
      <c r="Q225" s="68"/>
    </row>
    <row r="226" spans="2:17" x14ac:dyDescent="0.25">
      <c r="B226" s="68"/>
      <c r="C226" s="67"/>
      <c r="D226" s="68"/>
      <c r="E226" s="67"/>
      <c r="F226" s="72"/>
      <c r="G226" s="70"/>
      <c r="H226" s="69"/>
      <c r="I226" s="69"/>
      <c r="J226" s="70"/>
      <c r="K226" s="73"/>
      <c r="L226" s="73"/>
      <c r="M226" s="75"/>
      <c r="N226" s="74"/>
      <c r="O226" s="68"/>
      <c r="P226" s="67"/>
      <c r="Q226" s="68"/>
    </row>
    <row r="227" spans="2:17" x14ac:dyDescent="0.25">
      <c r="B227" s="68"/>
      <c r="C227" s="67"/>
      <c r="D227" s="68"/>
      <c r="E227" s="67"/>
      <c r="F227" s="72"/>
      <c r="G227" s="70"/>
      <c r="H227" s="69"/>
      <c r="I227" s="69"/>
      <c r="J227" s="70"/>
      <c r="K227" s="73"/>
      <c r="L227" s="73"/>
      <c r="M227" s="75"/>
      <c r="N227" s="74"/>
      <c r="O227" s="68"/>
      <c r="P227" s="67"/>
      <c r="Q227" s="68"/>
    </row>
    <row r="228" spans="2:17" x14ac:dyDescent="0.25">
      <c r="B228" s="68"/>
      <c r="C228" s="67"/>
      <c r="D228" s="68"/>
      <c r="E228" s="67"/>
      <c r="F228" s="72"/>
      <c r="G228" s="70"/>
      <c r="H228" s="69"/>
      <c r="I228" s="69"/>
      <c r="J228" s="70"/>
      <c r="K228" s="73"/>
      <c r="L228" s="73"/>
      <c r="M228" s="75"/>
      <c r="N228" s="74"/>
      <c r="O228" s="68"/>
      <c r="P228" s="67"/>
      <c r="Q228" s="68"/>
    </row>
    <row r="229" spans="2:17" x14ac:dyDescent="0.25">
      <c r="B229" s="68"/>
      <c r="C229" s="67"/>
      <c r="D229" s="68"/>
      <c r="E229" s="67"/>
      <c r="F229" s="72"/>
      <c r="G229" s="70"/>
      <c r="H229" s="69"/>
      <c r="I229" s="69"/>
      <c r="J229" s="70"/>
      <c r="K229" s="73"/>
      <c r="L229" s="73"/>
      <c r="M229" s="75"/>
      <c r="N229" s="74"/>
      <c r="O229" s="68"/>
      <c r="P229" s="67"/>
      <c r="Q229" s="68"/>
    </row>
    <row r="230" spans="2:17" x14ac:dyDescent="0.25">
      <c r="B230" s="68"/>
      <c r="C230" s="67"/>
      <c r="D230" s="68"/>
      <c r="E230" s="67"/>
      <c r="F230" s="72"/>
      <c r="G230" s="70"/>
      <c r="H230" s="69"/>
      <c r="I230" s="69"/>
      <c r="J230" s="70"/>
      <c r="K230" s="73"/>
      <c r="L230" s="73"/>
      <c r="M230" s="75"/>
      <c r="N230" s="74"/>
      <c r="O230" s="68"/>
      <c r="P230" s="67"/>
      <c r="Q230" s="68"/>
    </row>
    <row r="231" spans="2:17" x14ac:dyDescent="0.25">
      <c r="B231" s="68"/>
      <c r="C231" s="67"/>
      <c r="D231" s="68"/>
      <c r="E231" s="67"/>
      <c r="F231" s="72"/>
      <c r="G231" s="70"/>
      <c r="H231" s="69"/>
      <c r="I231" s="69"/>
      <c r="J231" s="70"/>
      <c r="K231" s="73"/>
      <c r="L231" s="73"/>
      <c r="M231" s="75"/>
      <c r="N231" s="74"/>
      <c r="O231" s="68"/>
      <c r="P231" s="67"/>
      <c r="Q231" s="68"/>
    </row>
    <row r="232" spans="2:17" x14ac:dyDescent="0.25">
      <c r="B232" s="68"/>
      <c r="C232" s="67"/>
      <c r="D232" s="68"/>
      <c r="E232" s="67"/>
      <c r="F232" s="72"/>
      <c r="G232" s="70"/>
      <c r="H232" s="69"/>
      <c r="I232" s="69"/>
      <c r="J232" s="70"/>
      <c r="K232" s="73"/>
      <c r="L232" s="73"/>
      <c r="M232" s="75"/>
      <c r="N232" s="74"/>
      <c r="O232" s="68"/>
      <c r="P232" s="67"/>
      <c r="Q232" s="68"/>
    </row>
    <row r="233" spans="2:17" x14ac:dyDescent="0.25">
      <c r="B233" s="68"/>
      <c r="C233" s="67"/>
      <c r="D233" s="68"/>
      <c r="E233" s="67"/>
      <c r="F233" s="72"/>
      <c r="G233" s="70"/>
      <c r="H233" s="69"/>
      <c r="I233" s="69"/>
      <c r="J233" s="70"/>
      <c r="K233" s="73"/>
      <c r="L233" s="73"/>
      <c r="M233" s="75"/>
      <c r="N233" s="74"/>
      <c r="O233" s="68"/>
      <c r="P233" s="67"/>
      <c r="Q233" s="68"/>
    </row>
    <row r="234" spans="2:17" x14ac:dyDescent="0.25">
      <c r="B234" s="68"/>
      <c r="C234" s="67"/>
      <c r="D234" s="68"/>
      <c r="E234" s="67"/>
      <c r="F234" s="72"/>
      <c r="G234" s="70"/>
      <c r="H234" s="69"/>
      <c r="I234" s="69"/>
      <c r="J234" s="70"/>
      <c r="K234" s="73"/>
      <c r="L234" s="73"/>
      <c r="M234" s="75"/>
      <c r="N234" s="74"/>
      <c r="O234" s="68"/>
      <c r="P234" s="67"/>
      <c r="Q234" s="68"/>
    </row>
    <row r="235" spans="2:17" x14ac:dyDescent="0.25">
      <c r="B235" s="68"/>
      <c r="C235" s="67"/>
      <c r="D235" s="68"/>
      <c r="E235" s="67"/>
      <c r="F235" s="72"/>
      <c r="G235" s="70"/>
      <c r="H235" s="69"/>
      <c r="I235" s="69"/>
      <c r="J235" s="70"/>
      <c r="K235" s="73"/>
      <c r="L235" s="73"/>
      <c r="M235" s="75"/>
      <c r="N235" s="74"/>
      <c r="O235" s="68"/>
      <c r="P235" s="67"/>
      <c r="Q235" s="68"/>
    </row>
    <row r="236" spans="2:17" x14ac:dyDescent="0.25">
      <c r="B236" s="68"/>
      <c r="C236" s="67"/>
      <c r="D236" s="68"/>
      <c r="E236" s="67"/>
      <c r="F236" s="72"/>
      <c r="G236" s="70"/>
      <c r="H236" s="69"/>
      <c r="I236" s="69"/>
      <c r="J236" s="70"/>
      <c r="K236" s="73"/>
      <c r="L236" s="73"/>
      <c r="M236" s="75"/>
      <c r="N236" s="74"/>
      <c r="O236" s="68"/>
      <c r="P236" s="67"/>
      <c r="Q236" s="68"/>
    </row>
    <row r="237" spans="2:17" x14ac:dyDescent="0.25">
      <c r="B237" s="68"/>
      <c r="C237" s="67"/>
      <c r="D237" s="68"/>
      <c r="E237" s="67"/>
      <c r="F237" s="72"/>
      <c r="G237" s="70"/>
      <c r="H237" s="69"/>
      <c r="I237" s="69"/>
      <c r="J237" s="70"/>
      <c r="K237" s="73"/>
      <c r="L237" s="73"/>
      <c r="M237" s="75"/>
      <c r="N237" s="74"/>
      <c r="O237" s="68"/>
      <c r="P237" s="67"/>
      <c r="Q237" s="68"/>
    </row>
    <row r="238" spans="2:17" x14ac:dyDescent="0.25">
      <c r="B238" s="68"/>
      <c r="C238" s="67"/>
      <c r="D238" s="68"/>
      <c r="E238" s="67"/>
      <c r="F238" s="72"/>
      <c r="G238" s="70"/>
      <c r="H238" s="69"/>
      <c r="I238" s="69"/>
      <c r="J238" s="70"/>
      <c r="K238" s="73"/>
      <c r="L238" s="73"/>
      <c r="M238" s="75"/>
      <c r="N238" s="74"/>
      <c r="O238" s="68"/>
      <c r="P238" s="67"/>
      <c r="Q238" s="68"/>
    </row>
    <row r="239" spans="2:17" x14ac:dyDescent="0.25">
      <c r="B239" s="68"/>
      <c r="C239" s="67"/>
      <c r="D239" s="68"/>
      <c r="E239" s="67"/>
      <c r="F239" s="72"/>
      <c r="G239" s="70"/>
      <c r="H239" s="69"/>
      <c r="I239" s="69"/>
      <c r="J239" s="70"/>
      <c r="K239" s="73"/>
      <c r="L239" s="73"/>
      <c r="M239" s="75"/>
      <c r="N239" s="74"/>
      <c r="O239" s="68"/>
      <c r="P239" s="67"/>
      <c r="Q239" s="68"/>
    </row>
    <row r="240" spans="2:17" x14ac:dyDescent="0.25">
      <c r="B240" s="68"/>
      <c r="C240" s="67"/>
      <c r="D240" s="68"/>
      <c r="E240" s="67"/>
      <c r="F240" s="72"/>
      <c r="G240" s="70"/>
      <c r="H240" s="69"/>
      <c r="I240" s="69"/>
      <c r="J240" s="70"/>
      <c r="K240" s="73"/>
      <c r="L240" s="73"/>
      <c r="M240" s="75"/>
      <c r="N240" s="74"/>
      <c r="O240" s="68"/>
      <c r="P240" s="67"/>
      <c r="Q240" s="68"/>
    </row>
    <row r="241" spans="2:17" x14ac:dyDescent="0.25">
      <c r="B241" s="68"/>
      <c r="C241" s="67"/>
      <c r="D241" s="68"/>
      <c r="E241" s="67"/>
      <c r="F241" s="72"/>
      <c r="G241" s="70"/>
      <c r="H241" s="69"/>
      <c r="I241" s="69"/>
      <c r="J241" s="70"/>
      <c r="K241" s="73"/>
      <c r="L241" s="73"/>
      <c r="M241" s="75"/>
      <c r="N241" s="74"/>
      <c r="O241" s="68"/>
      <c r="P241" s="67"/>
      <c r="Q241" s="68"/>
    </row>
    <row r="242" spans="2:17" x14ac:dyDescent="0.25">
      <c r="B242" s="68"/>
      <c r="C242" s="67"/>
      <c r="D242" s="68"/>
      <c r="E242" s="67"/>
      <c r="F242" s="72"/>
      <c r="G242" s="70"/>
      <c r="H242" s="69"/>
      <c r="I242" s="69"/>
      <c r="J242" s="70"/>
      <c r="K242" s="73"/>
      <c r="L242" s="73"/>
      <c r="M242" s="75"/>
      <c r="N242" s="74"/>
      <c r="O242" s="68"/>
      <c r="P242" s="67"/>
      <c r="Q242" s="68"/>
    </row>
    <row r="243" spans="2:17" x14ac:dyDescent="0.25">
      <c r="B243" s="68"/>
      <c r="C243" s="67"/>
      <c r="D243" s="68"/>
      <c r="E243" s="67"/>
      <c r="F243" s="72"/>
      <c r="G243" s="70"/>
      <c r="H243" s="69"/>
      <c r="I243" s="69"/>
      <c r="J243" s="70"/>
      <c r="K243" s="73"/>
      <c r="L243" s="73"/>
      <c r="M243" s="75"/>
      <c r="N243" s="74"/>
      <c r="O243" s="68"/>
      <c r="P243" s="67"/>
      <c r="Q243" s="68"/>
    </row>
    <row r="244" spans="2:17" x14ac:dyDescent="0.25">
      <c r="B244" s="68"/>
      <c r="C244" s="67"/>
      <c r="D244" s="68"/>
      <c r="E244" s="67"/>
      <c r="F244" s="72"/>
      <c r="G244" s="70"/>
      <c r="H244" s="69"/>
      <c r="I244" s="69"/>
      <c r="J244" s="70"/>
      <c r="K244" s="73"/>
      <c r="L244" s="73"/>
      <c r="M244" s="75"/>
      <c r="N244" s="74"/>
      <c r="O244" s="68"/>
      <c r="P244" s="67"/>
      <c r="Q244" s="68"/>
    </row>
    <row r="245" spans="2:17" x14ac:dyDescent="0.25">
      <c r="B245" s="68"/>
      <c r="C245" s="67"/>
      <c r="D245" s="68"/>
      <c r="E245" s="67"/>
      <c r="F245" s="72"/>
      <c r="G245" s="70"/>
      <c r="H245" s="69"/>
      <c r="I245" s="69"/>
      <c r="J245" s="70"/>
      <c r="K245" s="73"/>
      <c r="L245" s="73"/>
      <c r="M245" s="75"/>
      <c r="N245" s="74"/>
      <c r="O245" s="68"/>
      <c r="P245" s="67"/>
      <c r="Q245" s="68"/>
    </row>
    <row r="246" spans="2:17" x14ac:dyDescent="0.25">
      <c r="B246" s="68"/>
      <c r="C246" s="67"/>
      <c r="D246" s="68"/>
      <c r="E246" s="67"/>
      <c r="F246" s="72"/>
      <c r="G246" s="70"/>
      <c r="H246" s="69"/>
      <c r="I246" s="69"/>
      <c r="J246" s="70"/>
      <c r="K246" s="73"/>
      <c r="L246" s="73"/>
      <c r="M246" s="75"/>
      <c r="N246" s="74"/>
      <c r="O246" s="68"/>
      <c r="P246" s="67"/>
      <c r="Q246" s="68"/>
    </row>
    <row r="247" spans="2:17" x14ac:dyDescent="0.25">
      <c r="B247" s="68"/>
      <c r="C247" s="67"/>
      <c r="D247" s="68"/>
      <c r="E247" s="67"/>
      <c r="F247" s="72"/>
      <c r="G247" s="70"/>
      <c r="H247" s="69"/>
      <c r="I247" s="69"/>
      <c r="J247" s="70"/>
      <c r="K247" s="73"/>
      <c r="L247" s="73"/>
      <c r="M247" s="75"/>
      <c r="N247" s="74"/>
      <c r="O247" s="68"/>
      <c r="P247" s="67"/>
      <c r="Q247" s="68"/>
    </row>
    <row r="248" spans="2:17" x14ac:dyDescent="0.25">
      <c r="B248" s="68"/>
      <c r="C248" s="67"/>
      <c r="D248" s="68"/>
      <c r="E248" s="67"/>
      <c r="F248" s="72"/>
      <c r="G248" s="70"/>
      <c r="H248" s="69"/>
      <c r="I248" s="69"/>
      <c r="J248" s="70"/>
      <c r="K248" s="73"/>
      <c r="L248" s="73"/>
      <c r="M248" s="75"/>
      <c r="N248" s="74"/>
      <c r="O248" s="68"/>
      <c r="P248" s="67"/>
      <c r="Q248" s="68"/>
    </row>
    <row r="249" spans="2:17" x14ac:dyDescent="0.25">
      <c r="B249" s="68"/>
      <c r="C249" s="67"/>
      <c r="D249" s="68"/>
      <c r="E249" s="67"/>
      <c r="F249" s="72"/>
      <c r="G249" s="70"/>
      <c r="H249" s="69"/>
      <c r="I249" s="69"/>
      <c r="J249" s="70"/>
      <c r="K249" s="73"/>
      <c r="L249" s="73"/>
      <c r="M249" s="75"/>
      <c r="N249" s="74"/>
      <c r="O249" s="68"/>
      <c r="P249" s="67"/>
      <c r="Q249" s="68"/>
    </row>
    <row r="250" spans="2:17" x14ac:dyDescent="0.25">
      <c r="B250" s="68"/>
      <c r="C250" s="67"/>
      <c r="D250" s="68"/>
      <c r="E250" s="67"/>
      <c r="F250" s="72"/>
      <c r="G250" s="70"/>
      <c r="H250" s="69"/>
      <c r="I250" s="69"/>
      <c r="J250" s="70"/>
      <c r="K250" s="73"/>
      <c r="L250" s="73"/>
      <c r="M250" s="75"/>
      <c r="N250" s="74"/>
      <c r="O250" s="68"/>
      <c r="P250" s="67"/>
      <c r="Q250" s="68"/>
    </row>
    <row r="251" spans="2:17" x14ac:dyDescent="0.25">
      <c r="B251" s="68"/>
      <c r="C251" s="67"/>
      <c r="D251" s="68"/>
      <c r="E251" s="67"/>
      <c r="F251" s="72"/>
      <c r="G251" s="70"/>
      <c r="H251" s="69"/>
      <c r="I251" s="69"/>
      <c r="J251" s="70"/>
      <c r="K251" s="73"/>
      <c r="L251" s="73"/>
      <c r="M251" s="75"/>
      <c r="N251" s="74"/>
      <c r="O251" s="68"/>
      <c r="P251" s="67"/>
      <c r="Q251" s="68"/>
    </row>
    <row r="252" spans="2:17" x14ac:dyDescent="0.25">
      <c r="B252" s="68"/>
      <c r="C252" s="67"/>
      <c r="D252" s="68"/>
      <c r="E252" s="67"/>
      <c r="F252" s="72"/>
      <c r="G252" s="70"/>
      <c r="H252" s="69"/>
      <c r="I252" s="69"/>
      <c r="J252" s="70"/>
      <c r="K252" s="73"/>
      <c r="L252" s="73"/>
      <c r="M252" s="75"/>
      <c r="N252" s="74"/>
      <c r="O252" s="68"/>
      <c r="P252" s="67"/>
      <c r="Q252" s="68"/>
    </row>
    <row r="253" spans="2:17" x14ac:dyDescent="0.25">
      <c r="B253" s="68"/>
      <c r="C253" s="67"/>
      <c r="D253" s="68"/>
      <c r="E253" s="67"/>
      <c r="F253" s="72"/>
      <c r="G253" s="70"/>
      <c r="H253" s="69"/>
      <c r="I253" s="69"/>
      <c r="J253" s="70"/>
      <c r="K253" s="73"/>
      <c r="L253" s="73"/>
      <c r="M253" s="75"/>
      <c r="N253" s="74"/>
      <c r="O253" s="68"/>
      <c r="P253" s="67"/>
      <c r="Q253" s="68"/>
    </row>
    <row r="254" spans="2:17" x14ac:dyDescent="0.25">
      <c r="B254" s="68"/>
      <c r="C254" s="67"/>
      <c r="D254" s="68"/>
      <c r="E254" s="67"/>
      <c r="F254" s="72"/>
      <c r="G254" s="70"/>
      <c r="H254" s="69"/>
      <c r="I254" s="69"/>
      <c r="J254" s="70"/>
      <c r="K254" s="73"/>
      <c r="L254" s="73"/>
      <c r="M254" s="75"/>
      <c r="N254" s="74"/>
      <c r="O254" s="68"/>
      <c r="P254" s="67"/>
      <c r="Q254" s="68"/>
    </row>
    <row r="255" spans="2:17" x14ac:dyDescent="0.25">
      <c r="B255" s="68"/>
      <c r="C255" s="67"/>
      <c r="D255" s="68"/>
      <c r="E255" s="67"/>
      <c r="F255" s="72"/>
      <c r="G255" s="70"/>
      <c r="H255" s="69"/>
      <c r="I255" s="69"/>
      <c r="J255" s="70"/>
      <c r="K255" s="73"/>
      <c r="L255" s="73"/>
      <c r="M255" s="75"/>
      <c r="N255" s="74"/>
      <c r="O255" s="68"/>
      <c r="P255" s="67"/>
      <c r="Q255" s="68"/>
    </row>
    <row r="256" spans="2:17" x14ac:dyDescent="0.25">
      <c r="B256" s="68"/>
      <c r="C256" s="67"/>
      <c r="D256" s="68"/>
      <c r="E256" s="67"/>
      <c r="F256" s="72"/>
      <c r="G256" s="70"/>
      <c r="H256" s="69"/>
      <c r="I256" s="69"/>
      <c r="J256" s="70"/>
      <c r="K256" s="73"/>
      <c r="L256" s="73"/>
      <c r="M256" s="75"/>
      <c r="N256" s="74"/>
      <c r="O256" s="68"/>
      <c r="P256" s="67"/>
      <c r="Q256" s="68"/>
    </row>
    <row r="257" spans="2:17" x14ac:dyDescent="0.25">
      <c r="B257" s="68"/>
      <c r="C257" s="67"/>
      <c r="D257" s="68"/>
      <c r="E257" s="67"/>
      <c r="F257" s="72"/>
      <c r="G257" s="70"/>
      <c r="H257" s="69"/>
      <c r="I257" s="69"/>
      <c r="J257" s="70"/>
      <c r="K257" s="73"/>
      <c r="L257" s="73"/>
      <c r="M257" s="75"/>
      <c r="N257" s="74"/>
      <c r="O257" s="68"/>
      <c r="P257" s="67"/>
      <c r="Q257" s="68"/>
    </row>
    <row r="258" spans="2:17" x14ac:dyDescent="0.25">
      <c r="B258" s="68"/>
      <c r="C258" s="67"/>
      <c r="D258" s="68"/>
      <c r="E258" s="67"/>
      <c r="F258" s="72"/>
      <c r="G258" s="70"/>
      <c r="H258" s="69"/>
      <c r="I258" s="69"/>
      <c r="J258" s="70"/>
      <c r="K258" s="73"/>
      <c r="L258" s="73"/>
      <c r="M258" s="75"/>
      <c r="N258" s="74"/>
      <c r="O258" s="68"/>
      <c r="P258" s="67"/>
      <c r="Q258" s="68"/>
    </row>
    <row r="259" spans="2:17" x14ac:dyDescent="0.25">
      <c r="B259" s="68"/>
      <c r="C259" s="67"/>
      <c r="D259" s="68"/>
      <c r="E259" s="67"/>
      <c r="F259" s="72"/>
      <c r="G259" s="70"/>
      <c r="H259" s="69"/>
      <c r="I259" s="69"/>
      <c r="J259" s="70"/>
      <c r="K259" s="73"/>
      <c r="L259" s="73"/>
      <c r="M259" s="75"/>
      <c r="N259" s="74"/>
      <c r="O259" s="68"/>
      <c r="P259" s="67"/>
      <c r="Q259" s="68"/>
    </row>
    <row r="260" spans="2:17" x14ac:dyDescent="0.25">
      <c r="B260" s="68"/>
      <c r="C260" s="67"/>
      <c r="D260" s="68"/>
      <c r="E260" s="67"/>
      <c r="F260" s="72"/>
      <c r="G260" s="70"/>
      <c r="H260" s="69"/>
      <c r="I260" s="69"/>
      <c r="J260" s="70"/>
      <c r="K260" s="73"/>
      <c r="L260" s="73"/>
      <c r="M260" s="75"/>
      <c r="N260" s="74"/>
      <c r="O260" s="68"/>
      <c r="P260" s="67"/>
      <c r="Q260" s="68"/>
    </row>
    <row r="261" spans="2:17" x14ac:dyDescent="0.25">
      <c r="B261" s="68"/>
      <c r="C261" s="67"/>
      <c r="D261" s="68"/>
      <c r="E261" s="67"/>
      <c r="F261" s="72"/>
      <c r="G261" s="70"/>
      <c r="H261" s="69"/>
      <c r="I261" s="69"/>
      <c r="J261" s="70"/>
      <c r="K261" s="73"/>
      <c r="L261" s="73"/>
      <c r="M261" s="75"/>
      <c r="N261" s="74"/>
      <c r="O261" s="68"/>
      <c r="P261" s="67"/>
      <c r="Q261" s="68"/>
    </row>
    <row r="262" spans="2:17" x14ac:dyDescent="0.25">
      <c r="B262" s="68"/>
      <c r="C262" s="67"/>
      <c r="D262" s="68"/>
      <c r="E262" s="67"/>
      <c r="F262" s="72"/>
      <c r="G262" s="70"/>
      <c r="H262" s="69"/>
      <c r="I262" s="69"/>
      <c r="J262" s="70"/>
      <c r="K262" s="73"/>
      <c r="L262" s="73"/>
      <c r="M262" s="75"/>
      <c r="N262" s="74"/>
      <c r="O262" s="68"/>
      <c r="P262" s="67"/>
      <c r="Q262" s="68"/>
    </row>
    <row r="263" spans="2:17" x14ac:dyDescent="0.25">
      <c r="B263" s="68"/>
      <c r="C263" s="67"/>
      <c r="D263" s="68"/>
      <c r="E263" s="67"/>
      <c r="F263" s="72"/>
      <c r="G263" s="70"/>
      <c r="H263" s="69"/>
      <c r="I263" s="69"/>
      <c r="J263" s="70"/>
      <c r="K263" s="73"/>
      <c r="L263" s="73"/>
      <c r="M263" s="75"/>
      <c r="N263" s="74"/>
      <c r="O263" s="68"/>
      <c r="P263" s="67"/>
      <c r="Q263" s="68"/>
    </row>
    <row r="264" spans="2:17" x14ac:dyDescent="0.25">
      <c r="B264" s="68"/>
      <c r="C264" s="67"/>
      <c r="D264" s="68"/>
      <c r="E264" s="67"/>
      <c r="F264" s="72"/>
      <c r="G264" s="70"/>
      <c r="H264" s="69"/>
      <c r="I264" s="69"/>
      <c r="J264" s="70"/>
      <c r="K264" s="73"/>
      <c r="L264" s="73"/>
      <c r="M264" s="75"/>
      <c r="N264" s="74"/>
      <c r="O264" s="68"/>
      <c r="P264" s="67"/>
      <c r="Q264" s="68"/>
    </row>
    <row r="265" spans="2:17" x14ac:dyDescent="0.25">
      <c r="B265" s="68"/>
      <c r="C265" s="67"/>
      <c r="D265" s="68"/>
      <c r="E265" s="67"/>
      <c r="F265" s="72"/>
      <c r="G265" s="70"/>
      <c r="H265" s="69"/>
      <c r="I265" s="69"/>
      <c r="J265" s="70"/>
      <c r="K265" s="73"/>
      <c r="L265" s="73"/>
      <c r="M265" s="75"/>
      <c r="N265" s="74"/>
      <c r="O265" s="68"/>
      <c r="P265" s="67"/>
      <c r="Q265" s="68"/>
    </row>
    <row r="266" spans="2:17" x14ac:dyDescent="0.25">
      <c r="B266" s="68"/>
      <c r="C266" s="67"/>
      <c r="D266" s="68"/>
      <c r="E266" s="67"/>
      <c r="F266" s="72"/>
      <c r="G266" s="70"/>
      <c r="H266" s="69"/>
      <c r="I266" s="69"/>
      <c r="J266" s="70"/>
      <c r="K266" s="73"/>
      <c r="L266" s="73"/>
      <c r="M266" s="75"/>
      <c r="N266" s="74"/>
      <c r="O266" s="68"/>
      <c r="P266" s="67"/>
      <c r="Q266" s="68"/>
    </row>
    <row r="267" spans="2:17" x14ac:dyDescent="0.25">
      <c r="B267" s="68"/>
      <c r="C267" s="67"/>
      <c r="D267" s="68"/>
      <c r="E267" s="67"/>
      <c r="F267" s="72"/>
      <c r="G267" s="70"/>
      <c r="H267" s="69"/>
      <c r="I267" s="69"/>
      <c r="J267" s="70"/>
      <c r="K267" s="73"/>
      <c r="L267" s="73"/>
      <c r="M267" s="75"/>
      <c r="N267" s="74"/>
      <c r="O267" s="68"/>
      <c r="P267" s="67"/>
      <c r="Q267" s="68"/>
    </row>
    <row r="268" spans="2:17" x14ac:dyDescent="0.25">
      <c r="B268" s="68"/>
      <c r="C268" s="67"/>
      <c r="D268" s="68"/>
      <c r="E268" s="67"/>
      <c r="F268" s="72"/>
      <c r="G268" s="70"/>
      <c r="H268" s="69"/>
      <c r="I268" s="69"/>
      <c r="J268" s="70"/>
      <c r="K268" s="73"/>
      <c r="L268" s="73"/>
      <c r="M268" s="75"/>
      <c r="N268" s="74"/>
      <c r="O268" s="68"/>
      <c r="P268" s="67"/>
      <c r="Q268" s="68"/>
    </row>
    <row r="269" spans="2:17" x14ac:dyDescent="0.25">
      <c r="B269" s="68"/>
      <c r="C269" s="67"/>
      <c r="D269" s="68"/>
      <c r="E269" s="67"/>
      <c r="F269" s="72"/>
      <c r="G269" s="70"/>
      <c r="H269" s="69"/>
      <c r="I269" s="69"/>
      <c r="J269" s="70"/>
      <c r="K269" s="73"/>
      <c r="L269" s="73"/>
      <c r="M269" s="75"/>
      <c r="N269" s="74"/>
      <c r="O269" s="68"/>
      <c r="P269" s="67"/>
      <c r="Q269" s="68"/>
    </row>
    <row r="270" spans="2:17" x14ac:dyDescent="0.25">
      <c r="B270" s="68"/>
      <c r="C270" s="67"/>
      <c r="D270" s="68"/>
      <c r="E270" s="67"/>
      <c r="F270" s="72"/>
      <c r="G270" s="70"/>
      <c r="H270" s="69"/>
      <c r="I270" s="69"/>
      <c r="J270" s="70"/>
      <c r="K270" s="73"/>
      <c r="L270" s="73"/>
      <c r="M270" s="75"/>
      <c r="N270" s="74"/>
      <c r="O270" s="68"/>
      <c r="P270" s="67"/>
      <c r="Q270" s="68"/>
    </row>
    <row r="271" spans="2:17" x14ac:dyDescent="0.25">
      <c r="B271" s="68"/>
      <c r="C271" s="67"/>
      <c r="D271" s="68"/>
      <c r="E271" s="67"/>
      <c r="F271" s="72"/>
      <c r="G271" s="70"/>
      <c r="H271" s="69"/>
      <c r="I271" s="69"/>
      <c r="J271" s="70"/>
      <c r="K271" s="73"/>
      <c r="L271" s="73"/>
      <c r="M271" s="75"/>
      <c r="N271" s="74"/>
      <c r="O271" s="68"/>
      <c r="P271" s="67"/>
      <c r="Q271" s="68"/>
    </row>
    <row r="272" spans="2:17" x14ac:dyDescent="0.25">
      <c r="B272" s="68"/>
      <c r="C272" s="67"/>
      <c r="D272" s="68"/>
      <c r="E272" s="67"/>
      <c r="F272" s="72"/>
      <c r="G272" s="70"/>
      <c r="H272" s="69"/>
      <c r="I272" s="69"/>
      <c r="J272" s="70"/>
      <c r="K272" s="73"/>
      <c r="L272" s="73"/>
      <c r="M272" s="75"/>
      <c r="N272" s="74"/>
      <c r="O272" s="68"/>
      <c r="P272" s="67"/>
      <c r="Q272" s="68"/>
    </row>
    <row r="273" spans="2:17" x14ac:dyDescent="0.25">
      <c r="B273" s="68"/>
      <c r="C273" s="67"/>
      <c r="D273" s="68"/>
      <c r="E273" s="67"/>
      <c r="F273" s="72"/>
      <c r="G273" s="70"/>
      <c r="H273" s="69"/>
      <c r="I273" s="69"/>
      <c r="J273" s="70"/>
      <c r="K273" s="73"/>
      <c r="L273" s="73"/>
      <c r="M273" s="75"/>
      <c r="N273" s="74"/>
      <c r="O273" s="68"/>
      <c r="P273" s="67"/>
      <c r="Q273" s="68"/>
    </row>
    <row r="274" spans="2:17" x14ac:dyDescent="0.25">
      <c r="B274" s="68"/>
      <c r="C274" s="67"/>
      <c r="D274" s="68"/>
      <c r="E274" s="67"/>
      <c r="F274" s="72"/>
      <c r="G274" s="70"/>
      <c r="H274" s="69"/>
      <c r="I274" s="69"/>
      <c r="J274" s="70"/>
      <c r="K274" s="73"/>
      <c r="L274" s="73"/>
      <c r="M274" s="75"/>
      <c r="N274" s="74"/>
      <c r="O274" s="68"/>
      <c r="P274" s="67"/>
      <c r="Q274" s="68"/>
    </row>
    <row r="275" spans="2:17" x14ac:dyDescent="0.25">
      <c r="B275" s="68"/>
      <c r="C275" s="67"/>
      <c r="D275" s="68"/>
      <c r="E275" s="67"/>
      <c r="F275" s="72"/>
      <c r="G275" s="70"/>
      <c r="H275" s="69"/>
      <c r="I275" s="69"/>
      <c r="J275" s="70"/>
      <c r="K275" s="73"/>
      <c r="L275" s="73"/>
      <c r="M275" s="75"/>
      <c r="N275" s="74"/>
      <c r="O275" s="68"/>
      <c r="P275" s="67"/>
      <c r="Q275" s="68"/>
    </row>
    <row r="276" spans="2:17" x14ac:dyDescent="0.25">
      <c r="B276" s="68"/>
      <c r="C276" s="67"/>
      <c r="D276" s="68"/>
      <c r="E276" s="67"/>
      <c r="F276" s="72"/>
      <c r="G276" s="70"/>
      <c r="H276" s="69"/>
      <c r="I276" s="69"/>
      <c r="J276" s="70"/>
      <c r="K276" s="73"/>
      <c r="L276" s="73"/>
      <c r="M276" s="75"/>
      <c r="N276" s="74"/>
      <c r="O276" s="68"/>
      <c r="P276" s="67"/>
      <c r="Q276" s="68"/>
    </row>
    <row r="277" spans="2:17" x14ac:dyDescent="0.25">
      <c r="B277" s="68"/>
      <c r="C277" s="67"/>
      <c r="D277" s="68"/>
      <c r="E277" s="67"/>
      <c r="F277" s="72"/>
      <c r="G277" s="70"/>
      <c r="H277" s="69"/>
      <c r="I277" s="69"/>
      <c r="J277" s="70"/>
      <c r="K277" s="73"/>
      <c r="L277" s="73"/>
      <c r="M277" s="75"/>
      <c r="N277" s="74"/>
      <c r="O277" s="68"/>
      <c r="P277" s="67"/>
      <c r="Q277" s="68"/>
    </row>
    <row r="278" spans="2:17" x14ac:dyDescent="0.25">
      <c r="B278" s="68"/>
      <c r="C278" s="67"/>
      <c r="D278" s="68"/>
      <c r="E278" s="67"/>
      <c r="F278" s="72"/>
      <c r="G278" s="70"/>
      <c r="H278" s="69"/>
      <c r="I278" s="69"/>
      <c r="J278" s="70"/>
      <c r="K278" s="73"/>
      <c r="L278" s="73"/>
      <c r="M278" s="75"/>
      <c r="N278" s="74"/>
      <c r="O278" s="68"/>
      <c r="P278" s="67"/>
      <c r="Q278" s="68"/>
    </row>
    <row r="279" spans="2:17" x14ac:dyDescent="0.25">
      <c r="B279" s="68"/>
      <c r="C279" s="67"/>
      <c r="D279" s="68"/>
      <c r="E279" s="67"/>
      <c r="F279" s="72"/>
      <c r="G279" s="70"/>
      <c r="H279" s="69"/>
      <c r="I279" s="69"/>
      <c r="J279" s="70"/>
      <c r="K279" s="73"/>
      <c r="L279" s="73"/>
      <c r="M279" s="75"/>
      <c r="N279" s="74"/>
      <c r="O279" s="68"/>
      <c r="P279" s="67"/>
      <c r="Q279" s="68"/>
    </row>
    <row r="280" spans="2:17" x14ac:dyDescent="0.25">
      <c r="B280" s="68"/>
      <c r="C280" s="67"/>
      <c r="D280" s="68"/>
      <c r="E280" s="67"/>
      <c r="F280" s="72"/>
      <c r="G280" s="70"/>
      <c r="H280" s="69"/>
      <c r="I280" s="69"/>
      <c r="J280" s="70"/>
      <c r="K280" s="73"/>
      <c r="L280" s="73"/>
      <c r="M280" s="75"/>
      <c r="N280" s="74"/>
      <c r="O280" s="68"/>
      <c r="P280" s="67"/>
      <c r="Q280" s="68"/>
    </row>
    <row r="281" spans="2:17" x14ac:dyDescent="0.25">
      <c r="B281" s="68"/>
      <c r="C281" s="67"/>
      <c r="D281" s="68"/>
      <c r="E281" s="67"/>
      <c r="F281" s="72"/>
      <c r="G281" s="70"/>
      <c r="H281" s="69"/>
      <c r="I281" s="69"/>
      <c r="J281" s="70"/>
      <c r="K281" s="73"/>
      <c r="L281" s="73"/>
      <c r="M281" s="75"/>
      <c r="N281" s="74"/>
      <c r="O281" s="68"/>
      <c r="P281" s="67"/>
      <c r="Q281" s="68"/>
    </row>
    <row r="282" spans="2:17" x14ac:dyDescent="0.25">
      <c r="B282" s="68"/>
      <c r="C282" s="67"/>
      <c r="D282" s="68"/>
      <c r="E282" s="67"/>
      <c r="F282" s="72"/>
      <c r="G282" s="70"/>
      <c r="H282" s="69"/>
      <c r="I282" s="69"/>
      <c r="J282" s="70"/>
      <c r="K282" s="73"/>
      <c r="L282" s="73"/>
      <c r="M282" s="75"/>
      <c r="N282" s="74"/>
      <c r="O282" s="68"/>
      <c r="P282" s="67"/>
      <c r="Q282" s="68"/>
    </row>
    <row r="283" spans="2:17" x14ac:dyDescent="0.25">
      <c r="B283" s="68"/>
      <c r="C283" s="67"/>
      <c r="D283" s="68"/>
      <c r="E283" s="67"/>
      <c r="F283" s="72"/>
      <c r="G283" s="70"/>
      <c r="H283" s="69"/>
      <c r="I283" s="69"/>
      <c r="J283" s="70"/>
      <c r="K283" s="73"/>
      <c r="L283" s="73"/>
      <c r="M283" s="75"/>
      <c r="N283" s="74"/>
      <c r="O283" s="68"/>
      <c r="P283" s="67"/>
      <c r="Q283" s="68"/>
    </row>
    <row r="284" spans="2:17" x14ac:dyDescent="0.25">
      <c r="B284" s="68"/>
      <c r="C284" s="67"/>
      <c r="D284" s="68"/>
      <c r="E284" s="67"/>
      <c r="F284" s="72"/>
      <c r="G284" s="70"/>
      <c r="H284" s="69"/>
      <c r="I284" s="69"/>
      <c r="J284" s="70"/>
      <c r="K284" s="73"/>
      <c r="L284" s="73"/>
      <c r="M284" s="75"/>
      <c r="N284" s="74"/>
      <c r="O284" s="68"/>
      <c r="P284" s="67"/>
      <c r="Q284" s="68"/>
    </row>
    <row r="285" spans="2:17" x14ac:dyDescent="0.25">
      <c r="B285" s="68"/>
      <c r="C285" s="67"/>
      <c r="D285" s="68"/>
      <c r="E285" s="67"/>
      <c r="F285" s="72"/>
      <c r="G285" s="70"/>
      <c r="H285" s="69"/>
      <c r="I285" s="69"/>
      <c r="J285" s="70"/>
      <c r="K285" s="73"/>
      <c r="L285" s="73"/>
      <c r="M285" s="75"/>
      <c r="N285" s="74"/>
      <c r="O285" s="68"/>
      <c r="P285" s="67"/>
      <c r="Q285" s="68"/>
    </row>
    <row r="286" spans="2:17" x14ac:dyDescent="0.25">
      <c r="B286" s="68"/>
      <c r="C286" s="67"/>
      <c r="D286" s="68"/>
      <c r="E286" s="67"/>
      <c r="F286" s="72"/>
      <c r="G286" s="70"/>
      <c r="H286" s="69"/>
      <c r="I286" s="69"/>
      <c r="J286" s="70"/>
      <c r="K286" s="73"/>
      <c r="L286" s="73"/>
      <c r="M286" s="75"/>
      <c r="N286" s="74"/>
      <c r="O286" s="68"/>
      <c r="P286" s="67"/>
      <c r="Q286" s="68"/>
    </row>
    <row r="287" spans="2:17" x14ac:dyDescent="0.25">
      <c r="B287" s="68"/>
      <c r="C287" s="67"/>
      <c r="D287" s="68"/>
      <c r="E287" s="67"/>
      <c r="F287" s="72"/>
      <c r="G287" s="70"/>
      <c r="H287" s="69"/>
      <c r="I287" s="69"/>
      <c r="J287" s="70"/>
      <c r="K287" s="73"/>
      <c r="L287" s="73"/>
      <c r="M287" s="75"/>
      <c r="N287" s="74"/>
      <c r="O287" s="68"/>
      <c r="P287" s="67"/>
      <c r="Q287" s="68"/>
    </row>
    <row r="288" spans="2:17" x14ac:dyDescent="0.25">
      <c r="B288" s="68"/>
      <c r="C288" s="67"/>
      <c r="D288" s="68"/>
      <c r="E288" s="67"/>
      <c r="F288" s="72"/>
      <c r="G288" s="70"/>
      <c r="H288" s="69"/>
      <c r="I288" s="69"/>
      <c r="J288" s="70"/>
      <c r="K288" s="73"/>
      <c r="L288" s="73"/>
      <c r="M288" s="75"/>
      <c r="N288" s="74"/>
      <c r="O288" s="68"/>
      <c r="P288" s="67"/>
      <c r="Q288" s="68"/>
    </row>
    <row r="289" spans="2:17" x14ac:dyDescent="0.25">
      <c r="B289" s="68"/>
      <c r="C289" s="67"/>
      <c r="D289" s="68"/>
      <c r="E289" s="67"/>
      <c r="F289" s="72"/>
      <c r="G289" s="70"/>
      <c r="H289" s="69"/>
      <c r="I289" s="69"/>
      <c r="J289" s="70"/>
      <c r="K289" s="73"/>
      <c r="L289" s="73"/>
      <c r="M289" s="75"/>
      <c r="N289" s="74"/>
      <c r="O289" s="68"/>
      <c r="P289" s="67"/>
      <c r="Q289" s="68"/>
    </row>
    <row r="290" spans="2:17" x14ac:dyDescent="0.25">
      <c r="B290" s="68"/>
      <c r="C290" s="67"/>
      <c r="D290" s="68"/>
      <c r="E290" s="67"/>
      <c r="F290" s="72"/>
      <c r="G290" s="70"/>
      <c r="H290" s="69"/>
      <c r="I290" s="69"/>
      <c r="J290" s="70"/>
      <c r="K290" s="73"/>
      <c r="L290" s="73"/>
      <c r="M290" s="75"/>
      <c r="N290" s="74"/>
      <c r="O290" s="68"/>
      <c r="P290" s="67"/>
      <c r="Q290" s="68"/>
    </row>
    <row r="291" spans="2:17" x14ac:dyDescent="0.25">
      <c r="B291" s="68"/>
      <c r="C291" s="67"/>
      <c r="D291" s="68"/>
      <c r="E291" s="67"/>
      <c r="F291" s="72"/>
      <c r="G291" s="70"/>
      <c r="H291" s="69"/>
      <c r="I291" s="69"/>
      <c r="J291" s="70"/>
      <c r="K291" s="73"/>
      <c r="L291" s="73"/>
      <c r="M291" s="75"/>
      <c r="N291" s="74"/>
      <c r="O291" s="68"/>
      <c r="P291" s="67"/>
      <c r="Q291" s="68"/>
    </row>
    <row r="292" spans="2:17" x14ac:dyDescent="0.25">
      <c r="B292" s="68"/>
      <c r="C292" s="67"/>
      <c r="D292" s="68"/>
      <c r="E292" s="67"/>
      <c r="F292" s="72"/>
      <c r="G292" s="70"/>
      <c r="H292" s="69"/>
      <c r="I292" s="69"/>
      <c r="J292" s="70"/>
      <c r="K292" s="73"/>
      <c r="L292" s="73"/>
      <c r="M292" s="75"/>
      <c r="N292" s="74"/>
      <c r="O292" s="68"/>
      <c r="P292" s="67"/>
      <c r="Q292" s="68"/>
    </row>
    <row r="293" spans="2:17" x14ac:dyDescent="0.25">
      <c r="B293" s="68"/>
      <c r="C293" s="67"/>
      <c r="D293" s="68"/>
      <c r="E293" s="67"/>
      <c r="F293" s="72"/>
      <c r="G293" s="70"/>
      <c r="H293" s="69"/>
      <c r="I293" s="69"/>
      <c r="J293" s="70"/>
      <c r="K293" s="73"/>
      <c r="L293" s="73"/>
      <c r="M293" s="75"/>
      <c r="N293" s="74"/>
      <c r="O293" s="68"/>
      <c r="P293" s="67"/>
      <c r="Q293" s="68"/>
    </row>
    <row r="294" spans="2:17" x14ac:dyDescent="0.25">
      <c r="B294" s="68"/>
      <c r="C294" s="67"/>
      <c r="D294" s="68"/>
      <c r="E294" s="67"/>
      <c r="F294" s="72"/>
      <c r="G294" s="70"/>
      <c r="H294" s="69"/>
      <c r="I294" s="69"/>
      <c r="J294" s="70"/>
      <c r="K294" s="73"/>
      <c r="L294" s="73"/>
      <c r="M294" s="75"/>
      <c r="N294" s="74"/>
      <c r="O294" s="68"/>
      <c r="P294" s="67"/>
      <c r="Q294" s="68"/>
    </row>
    <row r="295" spans="2:17" x14ac:dyDescent="0.25">
      <c r="B295" s="68"/>
      <c r="C295" s="67"/>
      <c r="D295" s="68"/>
      <c r="E295" s="67"/>
      <c r="F295" s="72"/>
      <c r="G295" s="70"/>
      <c r="H295" s="69"/>
      <c r="I295" s="69"/>
      <c r="J295" s="70"/>
      <c r="K295" s="73"/>
      <c r="L295" s="73"/>
      <c r="M295" s="75"/>
      <c r="N295" s="74"/>
      <c r="O295" s="68"/>
      <c r="P295" s="67"/>
      <c r="Q295" s="68"/>
    </row>
    <row r="296" spans="2:17" x14ac:dyDescent="0.25">
      <c r="B296" s="68"/>
      <c r="C296" s="67"/>
      <c r="D296" s="68"/>
      <c r="E296" s="67"/>
      <c r="F296" s="72"/>
      <c r="G296" s="70"/>
      <c r="H296" s="69"/>
      <c r="I296" s="69"/>
      <c r="J296" s="70"/>
      <c r="K296" s="73"/>
      <c r="L296" s="73"/>
      <c r="M296" s="75"/>
      <c r="N296" s="74"/>
      <c r="O296" s="68"/>
      <c r="P296" s="67"/>
      <c r="Q296" s="68"/>
    </row>
    <row r="297" spans="2:17" x14ac:dyDescent="0.25">
      <c r="B297" s="68"/>
      <c r="C297" s="67"/>
      <c r="D297" s="68"/>
      <c r="E297" s="67"/>
      <c r="F297" s="72"/>
      <c r="G297" s="70"/>
      <c r="H297" s="69"/>
      <c r="I297" s="69"/>
      <c r="J297" s="70"/>
      <c r="K297" s="73"/>
      <c r="L297" s="73"/>
      <c r="M297" s="75"/>
      <c r="N297" s="74"/>
      <c r="O297" s="68"/>
      <c r="P297" s="67"/>
      <c r="Q297" s="68"/>
    </row>
    <row r="298" spans="2:17" x14ac:dyDescent="0.25">
      <c r="B298" s="68"/>
      <c r="C298" s="67"/>
      <c r="D298" s="68"/>
      <c r="E298" s="67"/>
      <c r="F298" s="72"/>
      <c r="G298" s="70"/>
      <c r="H298" s="69"/>
      <c r="I298" s="69"/>
      <c r="J298" s="70"/>
      <c r="K298" s="73"/>
      <c r="L298" s="73"/>
      <c r="M298" s="75"/>
      <c r="N298" s="74"/>
      <c r="O298" s="68"/>
      <c r="P298" s="67"/>
      <c r="Q298" s="68"/>
    </row>
    <row r="299" spans="2:17" x14ac:dyDescent="0.25">
      <c r="B299" s="68"/>
      <c r="C299" s="67"/>
      <c r="D299" s="68"/>
      <c r="E299" s="67"/>
      <c r="F299" s="72"/>
      <c r="G299" s="70"/>
      <c r="H299" s="69"/>
      <c r="I299" s="69"/>
      <c r="J299" s="70"/>
      <c r="K299" s="73"/>
      <c r="L299" s="73"/>
      <c r="M299" s="75"/>
      <c r="N299" s="74"/>
      <c r="O299" s="68"/>
      <c r="P299" s="67"/>
      <c r="Q299" s="68"/>
    </row>
    <row r="300" spans="2:17" x14ac:dyDescent="0.25">
      <c r="B300" s="68"/>
      <c r="C300" s="67"/>
      <c r="D300" s="68"/>
      <c r="E300" s="67"/>
      <c r="F300" s="72"/>
      <c r="G300" s="70"/>
      <c r="H300" s="69"/>
      <c r="I300" s="69"/>
      <c r="J300" s="70"/>
      <c r="K300" s="73"/>
      <c r="L300" s="73"/>
      <c r="M300" s="75"/>
      <c r="N300" s="74"/>
      <c r="O300" s="68"/>
      <c r="P300" s="67"/>
      <c r="Q300" s="68"/>
    </row>
    <row r="301" spans="2:17" x14ac:dyDescent="0.25">
      <c r="B301" s="68"/>
      <c r="C301" s="67"/>
      <c r="D301" s="68"/>
      <c r="E301" s="67"/>
      <c r="F301" s="72"/>
      <c r="G301" s="70"/>
      <c r="H301" s="69"/>
      <c r="I301" s="69"/>
      <c r="J301" s="70"/>
      <c r="K301" s="73"/>
      <c r="L301" s="73"/>
      <c r="M301" s="75"/>
      <c r="N301" s="74"/>
      <c r="O301" s="68"/>
      <c r="P301" s="67"/>
      <c r="Q301" s="68"/>
    </row>
    <row r="302" spans="2:17" x14ac:dyDescent="0.25">
      <c r="B302" s="68"/>
      <c r="C302" s="67"/>
      <c r="D302" s="68"/>
      <c r="E302" s="67"/>
      <c r="F302" s="72"/>
      <c r="G302" s="70"/>
      <c r="H302" s="69"/>
      <c r="I302" s="69"/>
      <c r="J302" s="70"/>
      <c r="K302" s="73"/>
      <c r="L302" s="73"/>
      <c r="M302" s="75"/>
      <c r="N302" s="74"/>
      <c r="O302" s="68"/>
      <c r="P302" s="67"/>
      <c r="Q302" s="68"/>
    </row>
    <row r="303" spans="2:17" x14ac:dyDescent="0.25">
      <c r="B303" s="68"/>
      <c r="C303" s="67"/>
      <c r="D303" s="68"/>
      <c r="E303" s="67"/>
      <c r="F303" s="72"/>
      <c r="G303" s="70"/>
      <c r="H303" s="69"/>
      <c r="I303" s="69"/>
      <c r="J303" s="70"/>
      <c r="K303" s="73"/>
      <c r="L303" s="73"/>
      <c r="M303" s="75"/>
      <c r="N303" s="74"/>
      <c r="O303" s="68"/>
      <c r="P303" s="67"/>
      <c r="Q303" s="68"/>
    </row>
    <row r="304" spans="2:17" x14ac:dyDescent="0.25">
      <c r="B304" s="68"/>
      <c r="C304" s="67"/>
      <c r="D304" s="68"/>
      <c r="E304" s="67"/>
      <c r="F304" s="72"/>
      <c r="G304" s="70"/>
      <c r="H304" s="69"/>
      <c r="I304" s="69"/>
      <c r="J304" s="70"/>
      <c r="K304" s="73"/>
      <c r="L304" s="73"/>
      <c r="M304" s="75"/>
      <c r="N304" s="74"/>
      <c r="O304" s="68"/>
      <c r="P304" s="67"/>
      <c r="Q304" s="68"/>
    </row>
    <row r="305" spans="2:17" x14ac:dyDescent="0.25">
      <c r="B305" s="68"/>
      <c r="C305" s="67"/>
      <c r="D305" s="68"/>
      <c r="E305" s="67"/>
      <c r="F305" s="72"/>
      <c r="G305" s="70"/>
      <c r="H305" s="69"/>
      <c r="I305" s="69"/>
      <c r="J305" s="70"/>
      <c r="K305" s="73"/>
      <c r="L305" s="73"/>
      <c r="M305" s="75"/>
      <c r="N305" s="74"/>
      <c r="O305" s="68"/>
      <c r="P305" s="67"/>
      <c r="Q305" s="68"/>
    </row>
    <row r="306" spans="2:17" x14ac:dyDescent="0.25">
      <c r="B306" s="68"/>
      <c r="C306" s="67"/>
      <c r="D306" s="68"/>
      <c r="E306" s="67"/>
      <c r="F306" s="72"/>
      <c r="G306" s="70"/>
      <c r="H306" s="69"/>
      <c r="I306" s="69"/>
      <c r="J306" s="70"/>
      <c r="K306" s="73"/>
      <c r="L306" s="73"/>
      <c r="M306" s="75"/>
      <c r="N306" s="74"/>
      <c r="O306" s="68"/>
      <c r="P306" s="67"/>
      <c r="Q306" s="68"/>
    </row>
    <row r="307" spans="2:17" x14ac:dyDescent="0.25">
      <c r="B307" s="68"/>
      <c r="C307" s="67"/>
      <c r="D307" s="68"/>
      <c r="E307" s="67"/>
      <c r="F307" s="72"/>
      <c r="G307" s="70"/>
      <c r="H307" s="69"/>
      <c r="I307" s="69"/>
      <c r="J307" s="70"/>
      <c r="K307" s="73"/>
      <c r="L307" s="73"/>
      <c r="M307" s="75"/>
      <c r="N307" s="74"/>
      <c r="O307" s="68"/>
      <c r="P307" s="67"/>
      <c r="Q307" s="68"/>
    </row>
    <row r="308" spans="2:17" x14ac:dyDescent="0.25">
      <c r="B308" s="68"/>
      <c r="C308" s="67"/>
      <c r="D308" s="68"/>
      <c r="E308" s="67"/>
      <c r="F308" s="72"/>
      <c r="G308" s="70"/>
      <c r="H308" s="69"/>
      <c r="I308" s="69"/>
      <c r="J308" s="70"/>
      <c r="K308" s="73"/>
      <c r="L308" s="73"/>
      <c r="M308" s="75"/>
      <c r="N308" s="74"/>
      <c r="O308" s="68"/>
      <c r="P308" s="67"/>
      <c r="Q308" s="68"/>
    </row>
    <row r="309" spans="2:17" x14ac:dyDescent="0.25">
      <c r="B309" s="68"/>
      <c r="C309" s="67"/>
      <c r="D309" s="68"/>
      <c r="E309" s="67"/>
      <c r="F309" s="72"/>
      <c r="G309" s="70"/>
      <c r="H309" s="69"/>
      <c r="I309" s="69"/>
      <c r="J309" s="70"/>
      <c r="K309" s="73"/>
      <c r="L309" s="73"/>
      <c r="M309" s="75"/>
      <c r="N309" s="74"/>
      <c r="O309" s="68"/>
      <c r="P309" s="67"/>
      <c r="Q309" s="68"/>
    </row>
    <row r="310" spans="2:17" x14ac:dyDescent="0.25">
      <c r="B310" s="68"/>
      <c r="C310" s="67"/>
      <c r="D310" s="68"/>
      <c r="E310" s="67"/>
      <c r="F310" s="72"/>
      <c r="G310" s="70"/>
      <c r="H310" s="69"/>
      <c r="I310" s="69"/>
      <c r="J310" s="70"/>
      <c r="K310" s="73"/>
      <c r="L310" s="73"/>
      <c r="M310" s="75"/>
      <c r="N310" s="74"/>
      <c r="O310" s="68"/>
      <c r="P310" s="67"/>
      <c r="Q310" s="68"/>
    </row>
    <row r="311" spans="2:17" x14ac:dyDescent="0.25">
      <c r="B311" s="68"/>
      <c r="C311" s="67"/>
      <c r="D311" s="68"/>
      <c r="E311" s="67"/>
      <c r="F311" s="72"/>
      <c r="G311" s="70"/>
      <c r="H311" s="69"/>
      <c r="I311" s="69"/>
      <c r="J311" s="70"/>
      <c r="K311" s="73"/>
      <c r="L311" s="73"/>
      <c r="M311" s="75"/>
      <c r="N311" s="74"/>
      <c r="O311" s="68"/>
      <c r="P311" s="67"/>
      <c r="Q311" s="68"/>
    </row>
    <row r="312" spans="2:17" x14ac:dyDescent="0.25">
      <c r="B312" s="68"/>
      <c r="C312" s="67"/>
      <c r="D312" s="68"/>
      <c r="E312" s="67"/>
      <c r="F312" s="72"/>
      <c r="G312" s="70"/>
      <c r="H312" s="69"/>
      <c r="I312" s="69"/>
      <c r="J312" s="70"/>
      <c r="K312" s="73"/>
      <c r="L312" s="73"/>
      <c r="M312" s="75"/>
      <c r="N312" s="74"/>
      <c r="O312" s="68"/>
      <c r="P312" s="67"/>
      <c r="Q312" s="68"/>
    </row>
    <row r="313" spans="2:17" x14ac:dyDescent="0.25">
      <c r="B313" s="68"/>
      <c r="C313" s="67"/>
      <c r="D313" s="68"/>
      <c r="E313" s="67"/>
      <c r="F313" s="72"/>
      <c r="G313" s="70"/>
      <c r="H313" s="69"/>
      <c r="I313" s="69"/>
      <c r="J313" s="70"/>
      <c r="K313" s="73"/>
      <c r="L313" s="73"/>
      <c r="M313" s="75"/>
      <c r="N313" s="74"/>
      <c r="O313" s="68"/>
      <c r="P313" s="67"/>
      <c r="Q313" s="68"/>
    </row>
    <row r="314" spans="2:17" x14ac:dyDescent="0.25">
      <c r="B314" s="68"/>
      <c r="C314" s="67"/>
      <c r="D314" s="68"/>
      <c r="E314" s="67"/>
      <c r="F314" s="72"/>
      <c r="G314" s="70"/>
      <c r="H314" s="69"/>
      <c r="I314" s="69"/>
      <c r="J314" s="70"/>
      <c r="K314" s="73"/>
      <c r="L314" s="73"/>
      <c r="M314" s="75"/>
      <c r="N314" s="74"/>
      <c r="O314" s="68"/>
      <c r="P314" s="67"/>
      <c r="Q314" s="68"/>
    </row>
    <row r="315" spans="2:17" x14ac:dyDescent="0.25">
      <c r="B315" s="68"/>
      <c r="C315" s="67"/>
      <c r="D315" s="68"/>
      <c r="E315" s="67"/>
      <c r="F315" s="72"/>
      <c r="G315" s="70"/>
      <c r="H315" s="69"/>
      <c r="I315" s="69"/>
      <c r="J315" s="70"/>
      <c r="K315" s="73"/>
      <c r="L315" s="73"/>
      <c r="M315" s="75"/>
      <c r="N315" s="74"/>
      <c r="O315" s="68"/>
      <c r="P315" s="67"/>
      <c r="Q315" s="68"/>
    </row>
    <row r="316" spans="2:17" x14ac:dyDescent="0.25">
      <c r="B316" s="68"/>
      <c r="C316" s="67"/>
      <c r="D316" s="68"/>
      <c r="E316" s="67"/>
      <c r="F316" s="72"/>
      <c r="G316" s="70"/>
      <c r="H316" s="69"/>
      <c r="I316" s="69"/>
      <c r="J316" s="70"/>
      <c r="K316" s="73"/>
      <c r="L316" s="73"/>
      <c r="M316" s="75"/>
      <c r="N316" s="74"/>
      <c r="O316" s="68"/>
      <c r="P316" s="67"/>
      <c r="Q316" s="68"/>
    </row>
    <row r="317" spans="2:17" x14ac:dyDescent="0.25">
      <c r="B317" s="68"/>
      <c r="C317" s="67"/>
      <c r="D317" s="68"/>
      <c r="E317" s="67"/>
      <c r="F317" s="72"/>
      <c r="G317" s="70"/>
      <c r="H317" s="69"/>
      <c r="I317" s="69"/>
      <c r="J317" s="70"/>
      <c r="K317" s="73"/>
      <c r="L317" s="73"/>
      <c r="M317" s="75"/>
      <c r="N317" s="74"/>
      <c r="O317" s="68"/>
      <c r="P317" s="67"/>
      <c r="Q317" s="68"/>
    </row>
    <row r="318" spans="2:17" x14ac:dyDescent="0.25">
      <c r="B318" s="68"/>
      <c r="C318" s="67"/>
      <c r="D318" s="68"/>
      <c r="E318" s="67"/>
      <c r="F318" s="72"/>
      <c r="G318" s="70"/>
      <c r="H318" s="69"/>
      <c r="I318" s="69"/>
      <c r="J318" s="70"/>
      <c r="K318" s="73"/>
      <c r="L318" s="73"/>
      <c r="M318" s="75"/>
      <c r="N318" s="74"/>
      <c r="O318" s="68"/>
      <c r="P318" s="67"/>
      <c r="Q318" s="68"/>
    </row>
    <row r="319" spans="2:17" x14ac:dyDescent="0.25">
      <c r="B319" s="68"/>
      <c r="C319" s="67"/>
      <c r="D319" s="68"/>
      <c r="E319" s="67"/>
      <c r="F319" s="72"/>
      <c r="G319" s="70"/>
      <c r="H319" s="69"/>
      <c r="I319" s="69"/>
      <c r="J319" s="70"/>
      <c r="K319" s="73"/>
      <c r="L319" s="73"/>
      <c r="M319" s="75"/>
      <c r="N319" s="74"/>
      <c r="O319" s="68"/>
      <c r="P319" s="67"/>
      <c r="Q319" s="68"/>
    </row>
    <row r="320" spans="2:17" x14ac:dyDescent="0.25">
      <c r="B320" s="68"/>
      <c r="C320" s="67"/>
      <c r="D320" s="68"/>
      <c r="E320" s="67"/>
      <c r="F320" s="72"/>
      <c r="G320" s="70"/>
      <c r="H320" s="69"/>
      <c r="I320" s="69"/>
      <c r="J320" s="70"/>
      <c r="K320" s="73"/>
      <c r="L320" s="73"/>
      <c r="M320" s="75"/>
      <c r="N320" s="74"/>
      <c r="O320" s="68"/>
      <c r="P320" s="67"/>
      <c r="Q320" s="68"/>
    </row>
    <row r="321" spans="2:17" x14ac:dyDescent="0.25">
      <c r="B321" s="68"/>
      <c r="C321" s="67"/>
      <c r="D321" s="68"/>
      <c r="E321" s="67"/>
      <c r="F321" s="72"/>
      <c r="G321" s="70"/>
      <c r="H321" s="69"/>
      <c r="I321" s="69"/>
      <c r="J321" s="70"/>
      <c r="K321" s="73"/>
      <c r="L321" s="73"/>
      <c r="M321" s="75"/>
      <c r="N321" s="74"/>
      <c r="O321" s="68"/>
      <c r="P321" s="67"/>
      <c r="Q321" s="68"/>
    </row>
    <row r="322" spans="2:17" x14ac:dyDescent="0.25">
      <c r="B322" s="68"/>
      <c r="C322" s="67"/>
      <c r="D322" s="68"/>
      <c r="E322" s="67"/>
      <c r="F322" s="72"/>
      <c r="G322" s="70"/>
      <c r="H322" s="69"/>
      <c r="I322" s="69"/>
      <c r="J322" s="70"/>
      <c r="K322" s="73"/>
      <c r="L322" s="73"/>
      <c r="M322" s="75"/>
      <c r="N322" s="74"/>
      <c r="O322" s="68"/>
      <c r="P322" s="67"/>
      <c r="Q322" s="68"/>
    </row>
    <row r="323" spans="2:17" x14ac:dyDescent="0.25">
      <c r="B323" s="68"/>
      <c r="C323" s="67"/>
      <c r="D323" s="68"/>
      <c r="E323" s="67"/>
      <c r="F323" s="72"/>
      <c r="G323" s="70"/>
      <c r="H323" s="69"/>
      <c r="I323" s="69"/>
      <c r="J323" s="70"/>
      <c r="K323" s="73"/>
      <c r="L323" s="73"/>
      <c r="M323" s="75"/>
      <c r="N323" s="74"/>
      <c r="O323" s="68"/>
      <c r="P323" s="67"/>
      <c r="Q323" s="68"/>
    </row>
    <row r="324" spans="2:17" x14ac:dyDescent="0.25">
      <c r="B324" s="68"/>
      <c r="C324" s="67"/>
      <c r="D324" s="68"/>
      <c r="E324" s="67"/>
      <c r="F324" s="72"/>
      <c r="G324" s="70"/>
      <c r="H324" s="69"/>
      <c r="I324" s="69"/>
      <c r="J324" s="70"/>
      <c r="K324" s="73"/>
      <c r="L324" s="73"/>
      <c r="M324" s="75"/>
      <c r="N324" s="74"/>
      <c r="O324" s="68"/>
      <c r="P324" s="67"/>
      <c r="Q324" s="68"/>
    </row>
    <row r="325" spans="2:17" x14ac:dyDescent="0.25">
      <c r="B325" s="68"/>
      <c r="C325" s="67"/>
      <c r="D325" s="68"/>
      <c r="E325" s="67"/>
      <c r="F325" s="72"/>
      <c r="G325" s="70"/>
      <c r="H325" s="69"/>
      <c r="I325" s="69"/>
      <c r="J325" s="70"/>
      <c r="K325" s="73"/>
      <c r="L325" s="73"/>
      <c r="M325" s="75"/>
      <c r="N325" s="74"/>
      <c r="O325" s="68"/>
      <c r="P325" s="67"/>
      <c r="Q325" s="68"/>
    </row>
    <row r="326" spans="2:17" x14ac:dyDescent="0.25">
      <c r="B326" s="68"/>
      <c r="C326" s="67"/>
      <c r="D326" s="68"/>
      <c r="E326" s="67"/>
      <c r="F326" s="72"/>
      <c r="G326" s="70"/>
      <c r="H326" s="69"/>
      <c r="I326" s="69"/>
      <c r="J326" s="70"/>
      <c r="K326" s="73"/>
      <c r="L326" s="73"/>
      <c r="M326" s="75"/>
      <c r="N326" s="74"/>
      <c r="O326" s="68"/>
      <c r="P326" s="67"/>
      <c r="Q326" s="68"/>
    </row>
    <row r="327" spans="2:17" x14ac:dyDescent="0.25">
      <c r="B327" s="68"/>
      <c r="C327" s="67"/>
      <c r="D327" s="68"/>
      <c r="E327" s="67"/>
      <c r="F327" s="72"/>
      <c r="G327" s="70"/>
      <c r="H327" s="69"/>
      <c r="I327" s="69"/>
      <c r="J327" s="70"/>
      <c r="K327" s="73"/>
      <c r="L327" s="73"/>
      <c r="M327" s="75"/>
      <c r="N327" s="74"/>
      <c r="O327" s="68"/>
      <c r="P327" s="67"/>
      <c r="Q327" s="68"/>
    </row>
    <row r="328" spans="2:17" x14ac:dyDescent="0.25">
      <c r="B328" s="68"/>
      <c r="C328" s="67"/>
      <c r="D328" s="68"/>
      <c r="E328" s="67"/>
      <c r="F328" s="72"/>
      <c r="G328" s="70"/>
      <c r="H328" s="69"/>
      <c r="I328" s="69"/>
      <c r="J328" s="70"/>
      <c r="K328" s="73"/>
      <c r="L328" s="73"/>
      <c r="M328" s="75"/>
      <c r="N328" s="74"/>
      <c r="O328" s="68"/>
      <c r="P328" s="67"/>
      <c r="Q328" s="68"/>
    </row>
    <row r="329" spans="2:17" x14ac:dyDescent="0.25">
      <c r="B329" s="68"/>
      <c r="C329" s="67"/>
      <c r="D329" s="68"/>
      <c r="E329" s="67"/>
      <c r="F329" s="72"/>
      <c r="G329" s="70"/>
      <c r="H329" s="69"/>
      <c r="I329" s="69"/>
      <c r="J329" s="70"/>
      <c r="K329" s="73"/>
      <c r="L329" s="73"/>
      <c r="M329" s="75"/>
      <c r="N329" s="74"/>
      <c r="O329" s="68"/>
      <c r="P329" s="67"/>
      <c r="Q329" s="68"/>
    </row>
    <row r="330" spans="2:17" x14ac:dyDescent="0.25">
      <c r="B330" s="68"/>
      <c r="C330" s="67"/>
      <c r="D330" s="68"/>
      <c r="E330" s="67"/>
      <c r="F330" s="72"/>
      <c r="G330" s="70"/>
      <c r="H330" s="69"/>
      <c r="I330" s="69"/>
      <c r="J330" s="70"/>
      <c r="K330" s="73"/>
      <c r="L330" s="73"/>
      <c r="M330" s="75"/>
      <c r="N330" s="74"/>
      <c r="O330" s="68"/>
      <c r="P330" s="67"/>
      <c r="Q330" s="68"/>
    </row>
    <row r="331" spans="2:17" x14ac:dyDescent="0.25">
      <c r="B331" s="68"/>
      <c r="C331" s="67"/>
      <c r="D331" s="68"/>
      <c r="E331" s="67"/>
      <c r="F331" s="72"/>
      <c r="G331" s="70"/>
      <c r="H331" s="69"/>
      <c r="I331" s="69"/>
      <c r="J331" s="70"/>
      <c r="K331" s="73"/>
      <c r="L331" s="73"/>
      <c r="M331" s="75"/>
      <c r="N331" s="74"/>
      <c r="O331" s="68"/>
      <c r="P331" s="67"/>
      <c r="Q331" s="68"/>
    </row>
    <row r="332" spans="2:17" x14ac:dyDescent="0.25">
      <c r="B332" s="68"/>
      <c r="C332" s="67"/>
      <c r="D332" s="68"/>
      <c r="E332" s="67"/>
      <c r="F332" s="72"/>
      <c r="G332" s="70"/>
      <c r="H332" s="69"/>
      <c r="I332" s="69"/>
      <c r="J332" s="70"/>
      <c r="K332" s="73"/>
      <c r="L332" s="73"/>
      <c r="M332" s="75"/>
      <c r="N332" s="74"/>
      <c r="O332" s="68"/>
      <c r="P332" s="67"/>
      <c r="Q332" s="68"/>
    </row>
    <row r="333" spans="2:17" x14ac:dyDescent="0.25">
      <c r="B333" s="68"/>
      <c r="C333" s="67"/>
      <c r="D333" s="68"/>
      <c r="E333" s="67"/>
      <c r="F333" s="72"/>
      <c r="G333" s="70"/>
      <c r="H333" s="69"/>
      <c r="I333" s="69"/>
      <c r="J333" s="70"/>
      <c r="K333" s="73"/>
      <c r="L333" s="73"/>
      <c r="M333" s="75"/>
      <c r="N333" s="74"/>
      <c r="O333" s="68"/>
      <c r="P333" s="67"/>
      <c r="Q333" s="68"/>
    </row>
    <row r="334" spans="2:17" x14ac:dyDescent="0.25">
      <c r="B334" s="68"/>
      <c r="C334" s="67"/>
      <c r="D334" s="68"/>
      <c r="E334" s="67"/>
      <c r="F334" s="72"/>
      <c r="G334" s="70"/>
      <c r="H334" s="69"/>
      <c r="I334" s="69"/>
      <c r="J334" s="70"/>
      <c r="K334" s="73"/>
      <c r="L334" s="73"/>
      <c r="M334" s="75"/>
      <c r="N334" s="74"/>
      <c r="O334" s="68"/>
      <c r="P334" s="67"/>
      <c r="Q334" s="68"/>
    </row>
    <row r="335" spans="2:17" x14ac:dyDescent="0.25">
      <c r="B335" s="68"/>
      <c r="C335" s="67"/>
      <c r="D335" s="68"/>
      <c r="E335" s="67"/>
      <c r="F335" s="72"/>
      <c r="G335" s="70"/>
      <c r="H335" s="69"/>
      <c r="I335" s="69"/>
      <c r="J335" s="70"/>
      <c r="K335" s="73"/>
      <c r="L335" s="73"/>
      <c r="M335" s="75"/>
      <c r="N335" s="74"/>
      <c r="O335" s="68"/>
      <c r="P335" s="67"/>
      <c r="Q335" s="68"/>
    </row>
    <row r="336" spans="2:17" x14ac:dyDescent="0.25">
      <c r="B336" s="68"/>
      <c r="C336" s="67"/>
      <c r="D336" s="68"/>
      <c r="E336" s="67"/>
      <c r="F336" s="72"/>
      <c r="G336" s="70"/>
      <c r="H336" s="69"/>
      <c r="I336" s="69"/>
      <c r="J336" s="70"/>
      <c r="K336" s="73"/>
      <c r="L336" s="73"/>
      <c r="M336" s="75"/>
      <c r="N336" s="74"/>
      <c r="O336" s="68"/>
      <c r="P336" s="67"/>
      <c r="Q336" s="68"/>
    </row>
    <row r="337" spans="2:17" x14ac:dyDescent="0.25">
      <c r="B337" s="68"/>
      <c r="C337" s="67"/>
      <c r="D337" s="68"/>
      <c r="E337" s="67"/>
      <c r="F337" s="72"/>
      <c r="G337" s="70"/>
      <c r="H337" s="69"/>
      <c r="I337" s="69"/>
      <c r="J337" s="70"/>
      <c r="K337" s="73"/>
      <c r="L337" s="73"/>
      <c r="M337" s="75"/>
      <c r="N337" s="74"/>
      <c r="O337" s="68"/>
      <c r="P337" s="67"/>
      <c r="Q337" s="68"/>
    </row>
    <row r="338" spans="2:17" x14ac:dyDescent="0.25">
      <c r="B338" s="68"/>
      <c r="C338" s="67"/>
      <c r="D338" s="68"/>
      <c r="E338" s="67"/>
      <c r="F338" s="72"/>
      <c r="G338" s="70"/>
      <c r="H338" s="69"/>
      <c r="I338" s="69"/>
      <c r="J338" s="70"/>
      <c r="K338" s="73"/>
      <c r="L338" s="73"/>
      <c r="M338" s="75"/>
      <c r="N338" s="74"/>
      <c r="O338" s="68"/>
      <c r="P338" s="67"/>
      <c r="Q338" s="68"/>
    </row>
    <row r="339" spans="2:17" x14ac:dyDescent="0.25">
      <c r="B339" s="68"/>
      <c r="C339" s="67"/>
      <c r="D339" s="68"/>
      <c r="E339" s="67"/>
      <c r="F339" s="72"/>
      <c r="G339" s="70"/>
      <c r="H339" s="69"/>
      <c r="I339" s="69"/>
      <c r="J339" s="70"/>
      <c r="K339" s="73"/>
      <c r="L339" s="73"/>
      <c r="M339" s="75"/>
      <c r="N339" s="74"/>
      <c r="O339" s="68"/>
      <c r="P339" s="67"/>
      <c r="Q339" s="68"/>
    </row>
    <row r="340" spans="2:17" x14ac:dyDescent="0.25">
      <c r="B340" s="68"/>
      <c r="C340" s="67"/>
      <c r="D340" s="68"/>
      <c r="E340" s="67"/>
      <c r="F340" s="72"/>
      <c r="G340" s="70"/>
      <c r="H340" s="69"/>
      <c r="I340" s="69"/>
      <c r="J340" s="70"/>
      <c r="K340" s="73"/>
      <c r="L340" s="73"/>
      <c r="M340" s="75"/>
      <c r="N340" s="74"/>
      <c r="O340" s="68"/>
      <c r="P340" s="67"/>
      <c r="Q340" s="68"/>
    </row>
    <row r="341" spans="2:17" x14ac:dyDescent="0.25">
      <c r="B341" s="68"/>
      <c r="C341" s="67"/>
      <c r="D341" s="68"/>
      <c r="E341" s="67"/>
      <c r="F341" s="72"/>
      <c r="G341" s="70"/>
      <c r="H341" s="69"/>
      <c r="I341" s="69"/>
      <c r="J341" s="70"/>
      <c r="K341" s="73"/>
      <c r="L341" s="73"/>
      <c r="M341" s="75"/>
      <c r="N341" s="74"/>
      <c r="O341" s="68"/>
      <c r="P341" s="67"/>
      <c r="Q341" s="68"/>
    </row>
    <row r="342" spans="2:17" x14ac:dyDescent="0.25">
      <c r="B342" s="68"/>
      <c r="C342" s="67"/>
      <c r="D342" s="68"/>
      <c r="E342" s="67"/>
      <c r="F342" s="72"/>
      <c r="G342" s="70"/>
      <c r="H342" s="69"/>
      <c r="I342" s="69"/>
      <c r="J342" s="70"/>
      <c r="K342" s="73"/>
      <c r="L342" s="73"/>
      <c r="M342" s="75"/>
      <c r="N342" s="74"/>
      <c r="O342" s="68"/>
      <c r="P342" s="67"/>
      <c r="Q342" s="68"/>
    </row>
    <row r="343" spans="2:17" x14ac:dyDescent="0.25">
      <c r="B343" s="68"/>
      <c r="C343" s="67"/>
      <c r="D343" s="68"/>
      <c r="E343" s="67"/>
      <c r="F343" s="72"/>
      <c r="G343" s="70"/>
      <c r="H343" s="69"/>
      <c r="I343" s="69"/>
      <c r="J343" s="70"/>
      <c r="K343" s="73"/>
      <c r="L343" s="73"/>
      <c r="M343" s="75"/>
      <c r="N343" s="74"/>
      <c r="O343" s="68"/>
      <c r="P343" s="67"/>
      <c r="Q343" s="68"/>
    </row>
    <row r="344" spans="2:17" x14ac:dyDescent="0.25">
      <c r="B344" s="68"/>
      <c r="C344" s="67"/>
      <c r="D344" s="68"/>
      <c r="E344" s="67"/>
      <c r="F344" s="72"/>
      <c r="G344" s="70"/>
      <c r="H344" s="69"/>
      <c r="I344" s="69"/>
      <c r="J344" s="70"/>
      <c r="K344" s="73"/>
      <c r="L344" s="73"/>
      <c r="M344" s="75"/>
      <c r="N344" s="74"/>
      <c r="O344" s="68"/>
      <c r="P344" s="67"/>
      <c r="Q344" s="68"/>
    </row>
    <row r="345" spans="2:17" x14ac:dyDescent="0.25">
      <c r="B345" s="68"/>
      <c r="C345" s="67"/>
      <c r="D345" s="68"/>
      <c r="E345" s="67"/>
      <c r="F345" s="72"/>
      <c r="G345" s="70"/>
      <c r="H345" s="69"/>
      <c r="I345" s="69"/>
      <c r="J345" s="70"/>
      <c r="K345" s="73"/>
      <c r="L345" s="73"/>
      <c r="M345" s="75"/>
      <c r="N345" s="74"/>
      <c r="O345" s="68"/>
      <c r="P345" s="67"/>
      <c r="Q345" s="68"/>
    </row>
    <row r="346" spans="2:17" x14ac:dyDescent="0.25">
      <c r="B346" s="68"/>
      <c r="C346" s="67"/>
      <c r="D346" s="68"/>
      <c r="E346" s="67"/>
      <c r="F346" s="72"/>
      <c r="G346" s="70"/>
      <c r="H346" s="69"/>
      <c r="I346" s="69"/>
      <c r="J346" s="70"/>
      <c r="K346" s="73"/>
      <c r="L346" s="73"/>
      <c r="M346" s="75"/>
      <c r="N346" s="74"/>
      <c r="O346" s="68"/>
      <c r="P346" s="67"/>
      <c r="Q346" s="68"/>
    </row>
    <row r="347" spans="2:17" x14ac:dyDescent="0.25">
      <c r="B347" s="68"/>
      <c r="C347" s="67"/>
      <c r="D347" s="68"/>
      <c r="E347" s="67"/>
      <c r="F347" s="72"/>
      <c r="G347" s="70"/>
      <c r="H347" s="69"/>
      <c r="I347" s="69"/>
      <c r="J347" s="70"/>
      <c r="K347" s="73"/>
      <c r="L347" s="73"/>
      <c r="M347" s="75"/>
      <c r="N347" s="74"/>
      <c r="O347" s="68"/>
      <c r="P347" s="67"/>
      <c r="Q347" s="68"/>
    </row>
    <row r="348" spans="2:17" x14ac:dyDescent="0.25">
      <c r="B348" s="68"/>
      <c r="C348" s="67"/>
      <c r="D348" s="68"/>
      <c r="E348" s="67"/>
      <c r="F348" s="72"/>
      <c r="G348" s="70"/>
      <c r="H348" s="69"/>
      <c r="I348" s="69"/>
      <c r="J348" s="70"/>
      <c r="K348" s="73"/>
      <c r="L348" s="73"/>
      <c r="M348" s="75"/>
      <c r="N348" s="74"/>
      <c r="O348" s="68"/>
      <c r="P348" s="67"/>
      <c r="Q348" s="68"/>
    </row>
    <row r="349" spans="2:17" x14ac:dyDescent="0.25">
      <c r="B349" s="68"/>
      <c r="C349" s="67"/>
      <c r="D349" s="68"/>
      <c r="E349" s="67"/>
      <c r="F349" s="72"/>
      <c r="G349" s="70"/>
      <c r="H349" s="69"/>
      <c r="I349" s="69"/>
      <c r="J349" s="70"/>
      <c r="K349" s="73"/>
      <c r="L349" s="73"/>
      <c r="M349" s="75"/>
      <c r="N349" s="74"/>
      <c r="O349" s="68"/>
      <c r="P349" s="67"/>
      <c r="Q349" s="68"/>
    </row>
    <row r="350" spans="2:17" x14ac:dyDescent="0.25">
      <c r="B350" s="68"/>
      <c r="C350" s="67"/>
      <c r="D350" s="68"/>
      <c r="E350" s="67"/>
      <c r="F350" s="72"/>
      <c r="G350" s="70"/>
      <c r="H350" s="69"/>
      <c r="I350" s="69"/>
      <c r="J350" s="70"/>
      <c r="K350" s="73"/>
      <c r="L350" s="73"/>
      <c r="M350" s="75"/>
      <c r="N350" s="74"/>
      <c r="O350" s="68"/>
      <c r="P350" s="67"/>
      <c r="Q350" s="68"/>
    </row>
    <row r="351" spans="2:17" x14ac:dyDescent="0.25">
      <c r="B351" s="68"/>
      <c r="C351" s="67"/>
      <c r="D351" s="68"/>
      <c r="E351" s="67"/>
      <c r="F351" s="72"/>
      <c r="G351" s="70"/>
      <c r="H351" s="69"/>
      <c r="I351" s="69"/>
      <c r="J351" s="70"/>
      <c r="K351" s="73"/>
      <c r="L351" s="73"/>
      <c r="M351" s="75"/>
      <c r="N351" s="74"/>
      <c r="O351" s="68"/>
      <c r="P351" s="67"/>
      <c r="Q351" s="68"/>
    </row>
    <row r="352" spans="2:17" x14ac:dyDescent="0.25">
      <c r="B352" s="68"/>
      <c r="C352" s="67"/>
      <c r="D352" s="68"/>
      <c r="E352" s="67"/>
      <c r="F352" s="72"/>
      <c r="G352" s="70"/>
      <c r="H352" s="69"/>
      <c r="I352" s="69"/>
      <c r="J352" s="70"/>
      <c r="K352" s="73"/>
      <c r="L352" s="73"/>
      <c r="M352" s="75"/>
      <c r="N352" s="74"/>
      <c r="O352" s="68"/>
      <c r="P352" s="67"/>
      <c r="Q352" s="68"/>
    </row>
    <row r="353" spans="2:17" x14ac:dyDescent="0.25">
      <c r="B353" s="68"/>
      <c r="C353" s="67"/>
      <c r="D353" s="68"/>
      <c r="E353" s="67"/>
      <c r="F353" s="72"/>
      <c r="G353" s="70"/>
      <c r="H353" s="69"/>
      <c r="I353" s="69"/>
      <c r="J353" s="70"/>
      <c r="K353" s="73"/>
      <c r="L353" s="73"/>
      <c r="M353" s="75"/>
      <c r="N353" s="74"/>
      <c r="O353" s="68"/>
      <c r="P353" s="67"/>
      <c r="Q353" s="68"/>
    </row>
    <row r="354" spans="2:17" x14ac:dyDescent="0.25">
      <c r="B354" s="68"/>
      <c r="C354" s="67"/>
      <c r="D354" s="68"/>
      <c r="E354" s="67"/>
      <c r="F354" s="72"/>
      <c r="G354" s="70"/>
      <c r="H354" s="69"/>
      <c r="I354" s="69"/>
      <c r="J354" s="70"/>
      <c r="K354" s="73"/>
      <c r="L354" s="73"/>
      <c r="M354" s="75"/>
      <c r="N354" s="74"/>
      <c r="O354" s="68"/>
      <c r="P354" s="67"/>
      <c r="Q354" s="68"/>
    </row>
    <row r="355" spans="2:17" x14ac:dyDescent="0.25">
      <c r="B355" s="68"/>
      <c r="C355" s="67"/>
      <c r="D355" s="68"/>
      <c r="E355" s="67"/>
      <c r="F355" s="72"/>
      <c r="G355" s="70"/>
      <c r="H355" s="69"/>
      <c r="I355" s="69"/>
      <c r="J355" s="70"/>
      <c r="K355" s="73"/>
      <c r="L355" s="73"/>
      <c r="M355" s="75"/>
      <c r="N355" s="74"/>
      <c r="O355" s="68"/>
      <c r="P355" s="67"/>
      <c r="Q355" s="68"/>
    </row>
    <row r="356" spans="2:17" x14ac:dyDescent="0.25">
      <c r="B356" s="68"/>
      <c r="C356" s="67"/>
      <c r="D356" s="68"/>
      <c r="E356" s="67"/>
      <c r="F356" s="72"/>
      <c r="G356" s="70"/>
      <c r="H356" s="69"/>
      <c r="I356" s="69"/>
      <c r="J356" s="70"/>
      <c r="K356" s="73"/>
      <c r="L356" s="73"/>
      <c r="M356" s="75"/>
      <c r="N356" s="74"/>
      <c r="O356" s="68"/>
      <c r="P356" s="67"/>
      <c r="Q356" s="68"/>
    </row>
    <row r="357" spans="2:17" x14ac:dyDescent="0.25">
      <c r="B357" s="68"/>
      <c r="C357" s="67"/>
      <c r="D357" s="68"/>
      <c r="E357" s="67"/>
      <c r="F357" s="72"/>
      <c r="G357" s="70"/>
      <c r="H357" s="69"/>
      <c r="I357" s="69"/>
      <c r="J357" s="70"/>
      <c r="K357" s="73"/>
      <c r="L357" s="73"/>
      <c r="M357" s="75"/>
      <c r="N357" s="74"/>
      <c r="O357" s="68"/>
      <c r="P357" s="67"/>
      <c r="Q357" s="68"/>
    </row>
    <row r="358" spans="2:17" x14ac:dyDescent="0.25">
      <c r="B358" s="68"/>
      <c r="C358" s="67"/>
      <c r="D358" s="68"/>
      <c r="E358" s="67"/>
      <c r="F358" s="72"/>
      <c r="G358" s="70"/>
      <c r="H358" s="69"/>
      <c r="I358" s="69"/>
      <c r="J358" s="70"/>
      <c r="K358" s="73"/>
      <c r="L358" s="73"/>
      <c r="M358" s="75"/>
      <c r="N358" s="74"/>
      <c r="O358" s="68"/>
      <c r="P358" s="67"/>
      <c r="Q358" s="68"/>
    </row>
    <row r="359" spans="2:17" x14ac:dyDescent="0.25">
      <c r="B359" s="68"/>
      <c r="C359" s="67"/>
      <c r="D359" s="68"/>
      <c r="E359" s="67"/>
      <c r="F359" s="72"/>
      <c r="G359" s="70"/>
      <c r="H359" s="69"/>
      <c r="I359" s="69"/>
      <c r="J359" s="70"/>
      <c r="K359" s="73"/>
      <c r="L359" s="73"/>
      <c r="M359" s="75"/>
      <c r="N359" s="74"/>
      <c r="O359" s="68"/>
      <c r="P359" s="67"/>
      <c r="Q359" s="68"/>
    </row>
    <row r="360" spans="2:17" x14ac:dyDescent="0.25">
      <c r="B360" s="68"/>
      <c r="C360" s="67"/>
      <c r="D360" s="68"/>
      <c r="E360" s="67"/>
      <c r="F360" s="72"/>
      <c r="G360" s="70"/>
      <c r="H360" s="69"/>
      <c r="I360" s="69"/>
      <c r="J360" s="70"/>
      <c r="K360" s="73"/>
      <c r="L360" s="73"/>
      <c r="M360" s="75"/>
      <c r="N360" s="74"/>
      <c r="O360" s="68"/>
      <c r="P360" s="67"/>
      <c r="Q360" s="68"/>
    </row>
    <row r="361" spans="2:17" x14ac:dyDescent="0.25">
      <c r="B361" s="68"/>
      <c r="C361" s="67"/>
      <c r="D361" s="68"/>
      <c r="E361" s="67"/>
      <c r="F361" s="72"/>
      <c r="G361" s="70"/>
      <c r="H361" s="69"/>
      <c r="I361" s="69"/>
      <c r="J361" s="70"/>
      <c r="K361" s="73"/>
      <c r="L361" s="73"/>
      <c r="M361" s="75"/>
      <c r="N361" s="74"/>
      <c r="O361" s="68"/>
      <c r="P361" s="67"/>
      <c r="Q361" s="68"/>
    </row>
    <row r="362" spans="2:17" x14ac:dyDescent="0.25">
      <c r="B362" s="68"/>
      <c r="C362" s="67"/>
      <c r="D362" s="68"/>
      <c r="E362" s="67"/>
      <c r="F362" s="72"/>
      <c r="G362" s="70"/>
      <c r="H362" s="69"/>
      <c r="I362" s="69"/>
      <c r="J362" s="70"/>
      <c r="K362" s="73"/>
      <c r="L362" s="73"/>
      <c r="M362" s="75"/>
      <c r="N362" s="74"/>
      <c r="O362" s="68"/>
      <c r="P362" s="67"/>
      <c r="Q362" s="68"/>
    </row>
    <row r="363" spans="2:17" x14ac:dyDescent="0.25">
      <c r="B363" s="68"/>
      <c r="C363" s="67"/>
      <c r="D363" s="68"/>
      <c r="E363" s="67"/>
      <c r="F363" s="72"/>
      <c r="G363" s="70"/>
      <c r="H363" s="69"/>
      <c r="I363" s="69"/>
      <c r="J363" s="70"/>
      <c r="K363" s="73"/>
      <c r="L363" s="73"/>
      <c r="M363" s="75"/>
      <c r="N363" s="74"/>
      <c r="O363" s="68"/>
      <c r="P363" s="67"/>
      <c r="Q363" s="68"/>
    </row>
    <row r="364" spans="2:17" x14ac:dyDescent="0.25">
      <c r="B364" s="68"/>
      <c r="C364" s="67"/>
      <c r="D364" s="68"/>
      <c r="E364" s="67"/>
      <c r="F364" s="72"/>
      <c r="G364" s="70"/>
      <c r="H364" s="69"/>
      <c r="I364" s="69"/>
      <c r="J364" s="70"/>
      <c r="K364" s="73"/>
      <c r="L364" s="73"/>
      <c r="M364" s="75"/>
      <c r="N364" s="74"/>
      <c r="O364" s="68"/>
      <c r="P364" s="67"/>
      <c r="Q364" s="68"/>
    </row>
    <row r="365" spans="2:17" x14ac:dyDescent="0.25">
      <c r="B365" s="68"/>
      <c r="C365" s="67"/>
      <c r="D365" s="68"/>
      <c r="E365" s="67"/>
      <c r="F365" s="72"/>
      <c r="G365" s="70"/>
      <c r="H365" s="69"/>
      <c r="I365" s="69"/>
      <c r="J365" s="70"/>
      <c r="K365" s="73"/>
      <c r="L365" s="73"/>
      <c r="M365" s="75"/>
      <c r="N365" s="74"/>
      <c r="O365" s="68"/>
      <c r="P365" s="67"/>
      <c r="Q365" s="68"/>
    </row>
    <row r="366" spans="2:17" x14ac:dyDescent="0.25">
      <c r="B366" s="68"/>
      <c r="C366" s="67"/>
      <c r="D366" s="68"/>
      <c r="E366" s="67"/>
      <c r="F366" s="72"/>
      <c r="G366" s="70"/>
      <c r="H366" s="69"/>
      <c r="I366" s="69"/>
      <c r="J366" s="70"/>
      <c r="K366" s="73"/>
      <c r="L366" s="73"/>
      <c r="M366" s="75"/>
      <c r="N366" s="74"/>
      <c r="O366" s="68"/>
      <c r="P366" s="67"/>
      <c r="Q366" s="68"/>
    </row>
    <row r="367" spans="2:17" x14ac:dyDescent="0.25">
      <c r="B367" s="68"/>
      <c r="C367" s="67"/>
      <c r="D367" s="68"/>
      <c r="E367" s="67"/>
      <c r="F367" s="72"/>
      <c r="G367" s="70"/>
      <c r="H367" s="69"/>
      <c r="I367" s="69"/>
      <c r="J367" s="70"/>
      <c r="K367" s="73"/>
      <c r="L367" s="73"/>
      <c r="M367" s="75"/>
      <c r="N367" s="74"/>
      <c r="O367" s="68"/>
      <c r="P367" s="67"/>
      <c r="Q367" s="68"/>
    </row>
    <row r="368" spans="2:17" x14ac:dyDescent="0.25">
      <c r="B368" s="68"/>
      <c r="C368" s="67"/>
      <c r="D368" s="68"/>
      <c r="E368" s="67"/>
      <c r="F368" s="72"/>
      <c r="G368" s="70"/>
      <c r="H368" s="69"/>
      <c r="I368" s="69"/>
      <c r="J368" s="70"/>
      <c r="K368" s="73"/>
      <c r="L368" s="73"/>
      <c r="M368" s="75"/>
      <c r="N368" s="74"/>
      <c r="O368" s="68"/>
      <c r="P368" s="67"/>
      <c r="Q368" s="68"/>
    </row>
    <row r="369" spans="2:17" x14ac:dyDescent="0.25">
      <c r="B369" s="68"/>
      <c r="C369" s="67"/>
      <c r="D369" s="68"/>
      <c r="E369" s="67"/>
      <c r="F369" s="72"/>
      <c r="G369" s="70"/>
      <c r="H369" s="69"/>
      <c r="I369" s="69"/>
      <c r="J369" s="70"/>
      <c r="K369" s="73"/>
      <c r="L369" s="73"/>
      <c r="M369" s="75"/>
      <c r="N369" s="74"/>
      <c r="O369" s="68"/>
      <c r="P369" s="67"/>
      <c r="Q369" s="68"/>
    </row>
    <row r="370" spans="2:17" x14ac:dyDescent="0.25">
      <c r="B370" s="68"/>
      <c r="C370" s="67"/>
      <c r="D370" s="68"/>
      <c r="E370" s="67"/>
      <c r="F370" s="72"/>
      <c r="G370" s="70"/>
      <c r="H370" s="69"/>
      <c r="I370" s="69"/>
      <c r="J370" s="70"/>
      <c r="K370" s="73"/>
      <c r="L370" s="73"/>
      <c r="M370" s="75"/>
      <c r="N370" s="74"/>
      <c r="O370" s="68"/>
      <c r="P370" s="67"/>
      <c r="Q370" s="68"/>
    </row>
    <row r="371" spans="2:17" x14ac:dyDescent="0.25">
      <c r="B371" s="68"/>
      <c r="C371" s="67"/>
      <c r="D371" s="68"/>
      <c r="E371" s="67"/>
      <c r="F371" s="72"/>
      <c r="G371" s="70"/>
      <c r="H371" s="69"/>
      <c r="I371" s="69"/>
      <c r="J371" s="70"/>
      <c r="K371" s="73"/>
      <c r="L371" s="73"/>
      <c r="M371" s="75"/>
      <c r="N371" s="74"/>
      <c r="O371" s="68"/>
      <c r="P371" s="67"/>
      <c r="Q371" s="68"/>
    </row>
    <row r="372" spans="2:17" x14ac:dyDescent="0.25">
      <c r="B372" s="68"/>
      <c r="C372" s="67"/>
      <c r="D372" s="68"/>
      <c r="E372" s="67"/>
      <c r="F372" s="72"/>
      <c r="G372" s="70"/>
      <c r="H372" s="69"/>
      <c r="I372" s="69"/>
      <c r="J372" s="70"/>
      <c r="K372" s="73"/>
      <c r="L372" s="73"/>
      <c r="M372" s="75"/>
      <c r="N372" s="74"/>
      <c r="O372" s="68"/>
      <c r="P372" s="67"/>
      <c r="Q372" s="68"/>
    </row>
    <row r="373" spans="2:17" x14ac:dyDescent="0.25">
      <c r="B373" s="68"/>
      <c r="C373" s="67"/>
      <c r="D373" s="68"/>
      <c r="E373" s="67"/>
      <c r="F373" s="72"/>
      <c r="G373" s="70"/>
      <c r="H373" s="69"/>
      <c r="I373" s="69"/>
      <c r="J373" s="70"/>
      <c r="K373" s="73"/>
      <c r="L373" s="73"/>
      <c r="M373" s="75"/>
      <c r="N373" s="74"/>
      <c r="O373" s="68"/>
      <c r="P373" s="67"/>
      <c r="Q373" s="68"/>
    </row>
    <row r="374" spans="2:17" x14ac:dyDescent="0.25">
      <c r="B374" s="68"/>
      <c r="C374" s="67"/>
      <c r="D374" s="68"/>
      <c r="E374" s="67"/>
      <c r="F374" s="72"/>
      <c r="G374" s="70"/>
      <c r="H374" s="69"/>
      <c r="I374" s="69"/>
      <c r="J374" s="70"/>
      <c r="K374" s="73"/>
      <c r="L374" s="73"/>
      <c r="M374" s="75"/>
      <c r="N374" s="74"/>
      <c r="O374" s="68"/>
      <c r="P374" s="67"/>
      <c r="Q374" s="68"/>
    </row>
    <row r="375" spans="2:17" x14ac:dyDescent="0.25">
      <c r="B375" s="68"/>
      <c r="C375" s="67"/>
      <c r="D375" s="68"/>
      <c r="E375" s="67"/>
      <c r="F375" s="72"/>
      <c r="G375" s="70"/>
      <c r="H375" s="69"/>
      <c r="I375" s="69"/>
      <c r="J375" s="70"/>
      <c r="K375" s="73"/>
      <c r="L375" s="73"/>
      <c r="M375" s="75"/>
      <c r="N375" s="74"/>
      <c r="O375" s="68"/>
      <c r="P375" s="67"/>
      <c r="Q375" s="68"/>
    </row>
    <row r="376" spans="2:17" x14ac:dyDescent="0.25">
      <c r="B376" s="68"/>
      <c r="C376" s="67"/>
      <c r="D376" s="68"/>
      <c r="E376" s="67"/>
      <c r="F376" s="72"/>
      <c r="G376" s="70"/>
      <c r="H376" s="69"/>
      <c r="I376" s="69"/>
      <c r="J376" s="70"/>
      <c r="K376" s="73"/>
      <c r="L376" s="73"/>
      <c r="M376" s="75"/>
      <c r="N376" s="74"/>
      <c r="O376" s="68"/>
      <c r="P376" s="67"/>
      <c r="Q376" s="68"/>
    </row>
    <row r="377" spans="2:17" x14ac:dyDescent="0.25">
      <c r="B377" s="68"/>
      <c r="C377" s="67"/>
      <c r="D377" s="68"/>
      <c r="E377" s="67"/>
      <c r="F377" s="72"/>
      <c r="G377" s="70"/>
      <c r="H377" s="69"/>
      <c r="I377" s="69"/>
      <c r="J377" s="70"/>
      <c r="K377" s="73"/>
      <c r="L377" s="73"/>
      <c r="M377" s="75"/>
      <c r="N377" s="74"/>
      <c r="O377" s="68"/>
      <c r="P377" s="67"/>
      <c r="Q377" s="68"/>
    </row>
    <row r="378" spans="2:17" x14ac:dyDescent="0.25">
      <c r="B378" s="68"/>
      <c r="C378" s="67"/>
      <c r="D378" s="68"/>
      <c r="E378" s="67"/>
      <c r="F378" s="72"/>
      <c r="G378" s="70"/>
      <c r="H378" s="69"/>
      <c r="I378" s="69"/>
      <c r="J378" s="70"/>
      <c r="K378" s="73"/>
      <c r="L378" s="73"/>
      <c r="M378" s="75"/>
      <c r="N378" s="74"/>
      <c r="O378" s="68"/>
      <c r="P378" s="67"/>
      <c r="Q378" s="68"/>
    </row>
    <row r="379" spans="2:17" x14ac:dyDescent="0.25">
      <c r="B379" s="68"/>
      <c r="C379" s="67"/>
      <c r="D379" s="68"/>
      <c r="E379" s="67"/>
      <c r="F379" s="72"/>
      <c r="G379" s="70"/>
      <c r="H379" s="69"/>
      <c r="I379" s="69"/>
      <c r="J379" s="70"/>
      <c r="K379" s="73"/>
      <c r="L379" s="73"/>
      <c r="M379" s="75"/>
      <c r="N379" s="74"/>
      <c r="O379" s="68"/>
      <c r="P379" s="67"/>
      <c r="Q379" s="68"/>
    </row>
    <row r="380" spans="2:17" x14ac:dyDescent="0.25">
      <c r="B380" s="68"/>
      <c r="C380" s="67"/>
      <c r="D380" s="68"/>
      <c r="E380" s="67"/>
      <c r="F380" s="72"/>
      <c r="G380" s="70"/>
      <c r="H380" s="69"/>
      <c r="I380" s="69"/>
      <c r="J380" s="70"/>
      <c r="K380" s="73"/>
      <c r="L380" s="73"/>
      <c r="M380" s="75"/>
      <c r="N380" s="74"/>
      <c r="O380" s="68"/>
      <c r="P380" s="67"/>
      <c r="Q380" s="68"/>
    </row>
    <row r="381" spans="2:17" x14ac:dyDescent="0.25">
      <c r="B381" s="68"/>
      <c r="C381" s="67"/>
      <c r="D381" s="68"/>
      <c r="E381" s="67"/>
      <c r="F381" s="72"/>
      <c r="G381" s="70"/>
      <c r="H381" s="69"/>
      <c r="I381" s="69"/>
      <c r="J381" s="70"/>
      <c r="K381" s="73"/>
      <c r="L381" s="73"/>
      <c r="M381" s="75"/>
      <c r="N381" s="74"/>
      <c r="O381" s="68"/>
      <c r="P381" s="67"/>
      <c r="Q381" s="68"/>
    </row>
    <row r="382" spans="2:17" x14ac:dyDescent="0.25">
      <c r="B382" s="68"/>
      <c r="C382" s="67"/>
      <c r="D382" s="68"/>
      <c r="E382" s="67"/>
      <c r="F382" s="72"/>
      <c r="G382" s="70"/>
      <c r="H382" s="69"/>
      <c r="I382" s="69"/>
      <c r="J382" s="70"/>
      <c r="K382" s="73"/>
      <c r="L382" s="73"/>
      <c r="M382" s="75"/>
      <c r="N382" s="74"/>
      <c r="O382" s="68"/>
      <c r="P382" s="67"/>
      <c r="Q382" s="68"/>
    </row>
    <row r="383" spans="2:17" x14ac:dyDescent="0.25">
      <c r="B383" s="68"/>
      <c r="C383" s="67"/>
      <c r="D383" s="68"/>
      <c r="E383" s="67"/>
      <c r="F383" s="72"/>
      <c r="G383" s="70"/>
      <c r="H383" s="69"/>
      <c r="I383" s="69"/>
      <c r="J383" s="70"/>
      <c r="K383" s="73"/>
      <c r="L383" s="73"/>
      <c r="M383" s="75"/>
      <c r="N383" s="74"/>
      <c r="O383" s="68"/>
      <c r="P383" s="67"/>
      <c r="Q383" s="68"/>
    </row>
    <row r="384" spans="2:17" x14ac:dyDescent="0.25">
      <c r="B384" s="68"/>
      <c r="C384" s="67"/>
      <c r="D384" s="68"/>
      <c r="E384" s="67"/>
      <c r="F384" s="72"/>
      <c r="G384" s="70"/>
      <c r="H384" s="69"/>
      <c r="I384" s="69"/>
      <c r="J384" s="70"/>
      <c r="K384" s="73"/>
      <c r="L384" s="73"/>
      <c r="M384" s="75"/>
      <c r="N384" s="74"/>
      <c r="O384" s="68"/>
      <c r="P384" s="67"/>
      <c r="Q384" s="68"/>
    </row>
    <row r="385" spans="2:17" x14ac:dyDescent="0.25">
      <c r="B385" s="68"/>
      <c r="C385" s="67"/>
      <c r="D385" s="68"/>
      <c r="E385" s="67"/>
      <c r="F385" s="72"/>
      <c r="G385" s="70"/>
      <c r="H385" s="69"/>
      <c r="I385" s="69"/>
      <c r="J385" s="70"/>
      <c r="K385" s="73"/>
      <c r="L385" s="73"/>
      <c r="M385" s="75"/>
      <c r="N385" s="74"/>
      <c r="O385" s="68"/>
      <c r="P385" s="67"/>
      <c r="Q385" s="68"/>
    </row>
    <row r="386" spans="2:17" x14ac:dyDescent="0.25">
      <c r="B386" s="68"/>
      <c r="C386" s="67"/>
      <c r="D386" s="68"/>
      <c r="E386" s="67"/>
      <c r="F386" s="72"/>
      <c r="G386" s="70"/>
      <c r="H386" s="69"/>
      <c r="I386" s="69"/>
      <c r="J386" s="70"/>
      <c r="K386" s="73"/>
      <c r="L386" s="73"/>
      <c r="M386" s="75"/>
      <c r="N386" s="74"/>
      <c r="O386" s="68"/>
      <c r="P386" s="67"/>
      <c r="Q386" s="68"/>
    </row>
    <row r="387" spans="2:17" x14ac:dyDescent="0.25">
      <c r="B387" s="68"/>
      <c r="C387" s="67"/>
      <c r="D387" s="68"/>
      <c r="E387" s="67"/>
      <c r="F387" s="72"/>
      <c r="G387" s="70"/>
      <c r="H387" s="69"/>
      <c r="I387" s="69"/>
      <c r="J387" s="70"/>
      <c r="K387" s="73"/>
      <c r="L387" s="73"/>
      <c r="M387" s="75"/>
      <c r="N387" s="74"/>
      <c r="O387" s="68"/>
      <c r="P387" s="67"/>
      <c r="Q387" s="68"/>
    </row>
    <row r="388" spans="2:17" x14ac:dyDescent="0.25">
      <c r="B388" s="68"/>
      <c r="C388" s="67"/>
      <c r="D388" s="68"/>
      <c r="E388" s="67"/>
      <c r="F388" s="72"/>
      <c r="G388" s="70"/>
      <c r="H388" s="69"/>
      <c r="I388" s="69"/>
      <c r="J388" s="70"/>
      <c r="K388" s="73"/>
      <c r="L388" s="73"/>
      <c r="M388" s="75"/>
      <c r="N388" s="74"/>
      <c r="O388" s="68"/>
      <c r="P388" s="67"/>
      <c r="Q388" s="68"/>
    </row>
    <row r="389" spans="2:17" x14ac:dyDescent="0.25">
      <c r="B389" s="68"/>
      <c r="C389" s="67"/>
      <c r="D389" s="68"/>
      <c r="E389" s="67"/>
      <c r="F389" s="72"/>
      <c r="G389" s="70"/>
      <c r="H389" s="69"/>
      <c r="I389" s="69"/>
      <c r="J389" s="70"/>
      <c r="K389" s="73"/>
      <c r="L389" s="73"/>
      <c r="M389" s="75"/>
      <c r="N389" s="74"/>
      <c r="O389" s="68"/>
      <c r="P389" s="67"/>
      <c r="Q389" s="68"/>
    </row>
    <row r="390" spans="2:17" x14ac:dyDescent="0.25">
      <c r="B390" s="68"/>
      <c r="C390" s="67"/>
      <c r="D390" s="68"/>
      <c r="E390" s="67"/>
      <c r="F390" s="72"/>
      <c r="G390" s="70"/>
      <c r="H390" s="69"/>
      <c r="I390" s="69"/>
      <c r="J390" s="70"/>
      <c r="K390" s="73"/>
      <c r="L390" s="73"/>
      <c r="M390" s="75"/>
      <c r="N390" s="74"/>
      <c r="O390" s="68"/>
      <c r="P390" s="67"/>
      <c r="Q390" s="68"/>
    </row>
    <row r="391" spans="2:17" x14ac:dyDescent="0.25">
      <c r="B391" s="68"/>
      <c r="C391" s="67"/>
      <c r="D391" s="68"/>
      <c r="E391" s="67"/>
      <c r="F391" s="72"/>
      <c r="G391" s="70"/>
      <c r="H391" s="69"/>
      <c r="I391" s="69"/>
      <c r="J391" s="70"/>
      <c r="K391" s="73"/>
      <c r="L391" s="73"/>
      <c r="M391" s="75"/>
      <c r="N391" s="74"/>
      <c r="O391" s="68"/>
      <c r="P391" s="67"/>
      <c r="Q391" s="68"/>
    </row>
    <row r="392" spans="2:17" x14ac:dyDescent="0.25">
      <c r="B392" s="68"/>
      <c r="C392" s="67"/>
      <c r="D392" s="68"/>
      <c r="E392" s="67"/>
      <c r="F392" s="72"/>
      <c r="G392" s="70"/>
      <c r="H392" s="69"/>
      <c r="I392" s="69"/>
      <c r="J392" s="70"/>
      <c r="K392" s="73"/>
      <c r="L392" s="73"/>
      <c r="M392" s="75"/>
      <c r="N392" s="74"/>
      <c r="O392" s="68"/>
      <c r="P392" s="67"/>
      <c r="Q392" s="68"/>
    </row>
    <row r="393" spans="2:17" x14ac:dyDescent="0.25">
      <c r="B393" s="68"/>
      <c r="C393" s="67"/>
      <c r="D393" s="68"/>
      <c r="E393" s="67"/>
      <c r="F393" s="72"/>
      <c r="G393" s="70"/>
      <c r="H393" s="69"/>
      <c r="I393" s="69"/>
      <c r="J393" s="70"/>
      <c r="K393" s="73"/>
      <c r="L393" s="73"/>
      <c r="M393" s="75"/>
      <c r="N393" s="74"/>
      <c r="O393" s="68"/>
      <c r="P393" s="67"/>
      <c r="Q393" s="68"/>
    </row>
    <row r="394" spans="2:17" x14ac:dyDescent="0.25">
      <c r="B394" s="68"/>
      <c r="C394" s="67"/>
      <c r="D394" s="68"/>
      <c r="E394" s="67"/>
      <c r="F394" s="72"/>
      <c r="G394" s="70"/>
      <c r="H394" s="69"/>
      <c r="I394" s="69"/>
      <c r="J394" s="70"/>
      <c r="K394" s="73"/>
      <c r="L394" s="73"/>
      <c r="M394" s="75"/>
      <c r="N394" s="74"/>
      <c r="O394" s="68"/>
      <c r="P394" s="67"/>
      <c r="Q394" s="68"/>
    </row>
    <row r="395" spans="2:17" x14ac:dyDescent="0.25">
      <c r="B395" s="68"/>
      <c r="C395" s="67"/>
      <c r="D395" s="68"/>
      <c r="E395" s="67"/>
      <c r="F395" s="72"/>
      <c r="G395" s="70"/>
      <c r="H395" s="69"/>
      <c r="I395" s="69"/>
      <c r="J395" s="70"/>
      <c r="K395" s="73"/>
      <c r="L395" s="73"/>
      <c r="M395" s="75"/>
      <c r="N395" s="74"/>
      <c r="O395" s="68"/>
      <c r="P395" s="67"/>
      <c r="Q395" s="68"/>
    </row>
    <row r="396" spans="2:17" x14ac:dyDescent="0.25">
      <c r="B396" s="68"/>
      <c r="C396" s="67"/>
      <c r="D396" s="68"/>
      <c r="E396" s="67"/>
      <c r="F396" s="72"/>
      <c r="G396" s="70"/>
      <c r="H396" s="69"/>
      <c r="I396" s="69"/>
      <c r="J396" s="70"/>
      <c r="K396" s="73"/>
      <c r="L396" s="73"/>
      <c r="M396" s="75"/>
      <c r="N396" s="74"/>
      <c r="O396" s="68"/>
      <c r="P396" s="67"/>
      <c r="Q396" s="68"/>
    </row>
    <row r="397" spans="2:17" x14ac:dyDescent="0.25">
      <c r="B397" s="68"/>
      <c r="C397" s="67"/>
      <c r="D397" s="68"/>
      <c r="E397" s="67"/>
      <c r="F397" s="72"/>
      <c r="G397" s="70"/>
      <c r="H397" s="69"/>
      <c r="I397" s="69"/>
      <c r="J397" s="70"/>
      <c r="K397" s="73"/>
      <c r="L397" s="73"/>
      <c r="M397" s="75"/>
      <c r="N397" s="74"/>
      <c r="O397" s="68"/>
      <c r="P397" s="67"/>
      <c r="Q397" s="68"/>
    </row>
    <row r="398" spans="2:17" x14ac:dyDescent="0.25">
      <c r="B398" s="68"/>
      <c r="C398" s="67"/>
      <c r="D398" s="68"/>
      <c r="E398" s="67"/>
      <c r="F398" s="72"/>
      <c r="G398" s="70"/>
      <c r="H398" s="69"/>
      <c r="I398" s="69"/>
      <c r="J398" s="70"/>
      <c r="K398" s="73"/>
      <c r="L398" s="73"/>
      <c r="M398" s="75"/>
      <c r="N398" s="74"/>
      <c r="O398" s="68"/>
      <c r="P398" s="67"/>
      <c r="Q398" s="68"/>
    </row>
    <row r="399" spans="2:17" x14ac:dyDescent="0.25">
      <c r="B399" s="68"/>
      <c r="C399" s="67"/>
      <c r="D399" s="68"/>
      <c r="E399" s="67"/>
      <c r="F399" s="72"/>
      <c r="G399" s="70"/>
      <c r="H399" s="69"/>
      <c r="I399" s="69"/>
      <c r="J399" s="70"/>
      <c r="K399" s="73"/>
      <c r="L399" s="73"/>
      <c r="M399" s="75"/>
      <c r="N399" s="74"/>
      <c r="O399" s="68"/>
      <c r="P399" s="67"/>
      <c r="Q399" s="68"/>
    </row>
    <row r="400" spans="2:17" x14ac:dyDescent="0.25">
      <c r="B400" s="68"/>
      <c r="C400" s="67"/>
      <c r="D400" s="68"/>
      <c r="E400" s="67"/>
      <c r="F400" s="72"/>
      <c r="G400" s="70"/>
      <c r="H400" s="69"/>
      <c r="I400" s="69"/>
      <c r="J400" s="70"/>
      <c r="K400" s="73"/>
      <c r="L400" s="73"/>
      <c r="M400" s="75"/>
      <c r="N400" s="74"/>
      <c r="O400" s="68"/>
      <c r="P400" s="67"/>
      <c r="Q400" s="68"/>
    </row>
    <row r="401" spans="2:17" x14ac:dyDescent="0.25">
      <c r="B401" s="68"/>
      <c r="C401" s="67"/>
      <c r="D401" s="68"/>
      <c r="E401" s="67"/>
      <c r="F401" s="72"/>
      <c r="G401" s="70"/>
      <c r="H401" s="69"/>
      <c r="I401" s="69"/>
      <c r="J401" s="70"/>
      <c r="K401" s="73"/>
      <c r="L401" s="73"/>
      <c r="M401" s="75"/>
      <c r="N401" s="74"/>
      <c r="O401" s="68"/>
      <c r="P401" s="67"/>
      <c r="Q401" s="68"/>
    </row>
    <row r="402" spans="2:17" x14ac:dyDescent="0.25">
      <c r="B402" s="68"/>
      <c r="C402" s="67"/>
      <c r="D402" s="68"/>
      <c r="E402" s="67"/>
      <c r="F402" s="72"/>
      <c r="G402" s="70"/>
      <c r="H402" s="69"/>
      <c r="I402" s="69"/>
      <c r="J402" s="70"/>
      <c r="K402" s="73"/>
      <c r="L402" s="73"/>
      <c r="M402" s="75"/>
      <c r="N402" s="74"/>
      <c r="O402" s="68"/>
      <c r="P402" s="67"/>
      <c r="Q402" s="68"/>
    </row>
    <row r="403" spans="2:17" x14ac:dyDescent="0.25">
      <c r="B403" s="68"/>
      <c r="C403" s="67"/>
      <c r="D403" s="68"/>
      <c r="E403" s="67"/>
      <c r="F403" s="72"/>
      <c r="G403" s="70"/>
      <c r="H403" s="69"/>
      <c r="I403" s="69"/>
      <c r="J403" s="70"/>
      <c r="K403" s="73"/>
      <c r="L403" s="73"/>
      <c r="M403" s="75"/>
      <c r="N403" s="74"/>
      <c r="O403" s="68"/>
      <c r="P403" s="67"/>
      <c r="Q403" s="68"/>
    </row>
    <row r="404" spans="2:17" x14ac:dyDescent="0.25">
      <c r="B404" s="68"/>
      <c r="C404" s="67"/>
      <c r="D404" s="68"/>
      <c r="E404" s="67"/>
      <c r="F404" s="72"/>
      <c r="G404" s="70"/>
      <c r="H404" s="69"/>
      <c r="I404" s="69"/>
      <c r="J404" s="70"/>
      <c r="K404" s="73"/>
      <c r="L404" s="73"/>
      <c r="M404" s="75"/>
      <c r="N404" s="74"/>
      <c r="O404" s="68"/>
      <c r="P404" s="67"/>
      <c r="Q404" s="68"/>
    </row>
    <row r="405" spans="2:17" x14ac:dyDescent="0.25">
      <c r="B405" s="68"/>
      <c r="C405" s="67"/>
      <c r="D405" s="68"/>
      <c r="E405" s="67"/>
      <c r="F405" s="72"/>
      <c r="G405" s="70"/>
      <c r="H405" s="69"/>
      <c r="I405" s="69"/>
      <c r="J405" s="70"/>
      <c r="K405" s="73"/>
      <c r="L405" s="73"/>
      <c r="M405" s="75"/>
      <c r="N405" s="74"/>
      <c r="O405" s="68"/>
      <c r="P405" s="67"/>
      <c r="Q405" s="68"/>
    </row>
    <row r="406" spans="2:17" x14ac:dyDescent="0.25">
      <c r="B406" s="68"/>
      <c r="C406" s="67"/>
      <c r="D406" s="68"/>
      <c r="E406" s="67"/>
      <c r="F406" s="72"/>
      <c r="G406" s="70"/>
      <c r="H406" s="69"/>
      <c r="I406" s="69"/>
      <c r="J406" s="70"/>
      <c r="K406" s="73"/>
      <c r="L406" s="73"/>
      <c r="M406" s="75"/>
      <c r="N406" s="74"/>
      <c r="O406" s="68"/>
      <c r="P406" s="67"/>
      <c r="Q406" s="68"/>
    </row>
    <row r="407" spans="2:17" x14ac:dyDescent="0.25">
      <c r="B407" s="68"/>
      <c r="C407" s="67"/>
      <c r="D407" s="68"/>
      <c r="E407" s="67"/>
      <c r="F407" s="72"/>
      <c r="G407" s="70"/>
      <c r="H407" s="69"/>
      <c r="I407" s="69"/>
      <c r="J407" s="70"/>
      <c r="K407" s="73"/>
      <c r="L407" s="73"/>
      <c r="M407" s="75"/>
      <c r="N407" s="74"/>
      <c r="O407" s="68"/>
      <c r="P407" s="67"/>
      <c r="Q407" s="68"/>
    </row>
    <row r="408" spans="2:17" x14ac:dyDescent="0.25">
      <c r="B408" s="68"/>
      <c r="C408" s="67"/>
      <c r="D408" s="68"/>
      <c r="E408" s="67"/>
      <c r="F408" s="72"/>
      <c r="G408" s="70"/>
      <c r="H408" s="69"/>
      <c r="I408" s="69"/>
      <c r="J408" s="70"/>
      <c r="K408" s="73"/>
      <c r="L408" s="73"/>
      <c r="M408" s="75"/>
      <c r="N408" s="74"/>
      <c r="O408" s="68"/>
      <c r="P408" s="67"/>
      <c r="Q408" s="68"/>
    </row>
    <row r="409" spans="2:17" x14ac:dyDescent="0.25">
      <c r="B409" s="68"/>
      <c r="C409" s="67"/>
      <c r="D409" s="68"/>
      <c r="E409" s="67"/>
      <c r="F409" s="72"/>
      <c r="G409" s="70"/>
      <c r="H409" s="69"/>
      <c r="I409" s="69"/>
      <c r="J409" s="70"/>
      <c r="K409" s="73"/>
      <c r="L409" s="73"/>
      <c r="M409" s="75"/>
      <c r="N409" s="74"/>
      <c r="O409" s="68"/>
      <c r="P409" s="67"/>
      <c r="Q409" s="68"/>
    </row>
    <row r="410" spans="2:17" x14ac:dyDescent="0.25">
      <c r="B410" s="68"/>
      <c r="C410" s="67"/>
      <c r="D410" s="68"/>
      <c r="E410" s="67"/>
      <c r="F410" s="72"/>
      <c r="G410" s="70"/>
      <c r="H410" s="69"/>
      <c r="I410" s="69"/>
      <c r="J410" s="70"/>
      <c r="K410" s="73"/>
      <c r="L410" s="73"/>
      <c r="M410" s="75"/>
      <c r="N410" s="74"/>
      <c r="O410" s="68"/>
      <c r="P410" s="67"/>
      <c r="Q410" s="68"/>
    </row>
    <row r="411" spans="2:17" x14ac:dyDescent="0.25">
      <c r="B411" s="68"/>
      <c r="C411" s="67"/>
      <c r="D411" s="68"/>
      <c r="E411" s="67"/>
      <c r="F411" s="72"/>
      <c r="G411" s="70"/>
      <c r="H411" s="69"/>
      <c r="I411" s="69"/>
      <c r="J411" s="70"/>
      <c r="K411" s="73"/>
      <c r="L411" s="73"/>
      <c r="M411" s="75"/>
      <c r="N411" s="74"/>
      <c r="O411" s="68"/>
      <c r="P411" s="67"/>
      <c r="Q411" s="68"/>
    </row>
    <row r="412" spans="2:17" x14ac:dyDescent="0.25">
      <c r="B412" s="68"/>
      <c r="C412" s="67"/>
      <c r="D412" s="68"/>
      <c r="E412" s="67"/>
      <c r="F412" s="72"/>
      <c r="G412" s="70"/>
      <c r="H412" s="69"/>
      <c r="I412" s="69"/>
      <c r="J412" s="70"/>
      <c r="K412" s="73"/>
      <c r="L412" s="73"/>
      <c r="M412" s="75"/>
      <c r="N412" s="74"/>
      <c r="O412" s="68"/>
      <c r="P412" s="67"/>
      <c r="Q412" s="68"/>
    </row>
    <row r="413" spans="2:17" x14ac:dyDescent="0.25">
      <c r="B413" s="68"/>
      <c r="C413" s="67"/>
      <c r="D413" s="68"/>
      <c r="E413" s="67"/>
      <c r="F413" s="72"/>
      <c r="G413" s="70"/>
      <c r="H413" s="69"/>
      <c r="I413" s="69"/>
      <c r="J413" s="70"/>
      <c r="K413" s="73"/>
      <c r="L413" s="73"/>
      <c r="M413" s="75"/>
      <c r="N413" s="74"/>
      <c r="O413" s="68"/>
      <c r="P413" s="67"/>
      <c r="Q413" s="68"/>
    </row>
    <row r="414" spans="2:17" x14ac:dyDescent="0.25">
      <c r="B414" s="68"/>
      <c r="C414" s="67"/>
      <c r="D414" s="68"/>
      <c r="E414" s="67"/>
      <c r="F414" s="72"/>
      <c r="G414" s="70"/>
      <c r="H414" s="69"/>
      <c r="I414" s="69"/>
      <c r="J414" s="70"/>
      <c r="K414" s="73"/>
      <c r="L414" s="73"/>
      <c r="M414" s="75"/>
      <c r="N414" s="74"/>
      <c r="O414" s="68"/>
      <c r="P414" s="67"/>
      <c r="Q414" s="68"/>
    </row>
    <row r="415" spans="2:17" x14ac:dyDescent="0.25">
      <c r="B415" s="68"/>
      <c r="C415" s="67"/>
      <c r="D415" s="68"/>
      <c r="E415" s="67"/>
      <c r="F415" s="72"/>
      <c r="G415" s="70"/>
      <c r="H415" s="69"/>
      <c r="I415" s="69"/>
      <c r="J415" s="70"/>
      <c r="K415" s="73"/>
      <c r="L415" s="73"/>
      <c r="M415" s="75"/>
      <c r="N415" s="74"/>
      <c r="O415" s="68"/>
      <c r="P415" s="67"/>
      <c r="Q415" s="68"/>
    </row>
    <row r="416" spans="2:17" x14ac:dyDescent="0.25">
      <c r="B416" s="68"/>
      <c r="C416" s="67"/>
      <c r="D416" s="68"/>
      <c r="E416" s="67"/>
      <c r="F416" s="72"/>
      <c r="G416" s="70"/>
      <c r="H416" s="69"/>
      <c r="I416" s="69"/>
      <c r="J416" s="70"/>
      <c r="K416" s="73"/>
      <c r="L416" s="73"/>
      <c r="M416" s="75"/>
      <c r="N416" s="74"/>
      <c r="O416" s="68"/>
      <c r="P416" s="67"/>
      <c r="Q416" s="68"/>
    </row>
    <row r="417" spans="2:17" x14ac:dyDescent="0.25">
      <c r="B417" s="68"/>
      <c r="C417" s="67"/>
      <c r="D417" s="68"/>
      <c r="E417" s="67"/>
      <c r="F417" s="72"/>
      <c r="G417" s="70"/>
      <c r="H417" s="69"/>
      <c r="I417" s="69"/>
      <c r="J417" s="70"/>
      <c r="K417" s="73"/>
      <c r="L417" s="73"/>
      <c r="M417" s="75"/>
      <c r="N417" s="74"/>
      <c r="O417" s="68"/>
      <c r="P417" s="67"/>
      <c r="Q417" s="68"/>
    </row>
    <row r="418" spans="2:17" x14ac:dyDescent="0.25">
      <c r="B418" s="68"/>
      <c r="C418" s="67"/>
      <c r="D418" s="68"/>
      <c r="E418" s="67"/>
      <c r="F418" s="72"/>
      <c r="G418" s="70"/>
      <c r="H418" s="69"/>
      <c r="I418" s="69"/>
      <c r="J418" s="70"/>
      <c r="K418" s="73"/>
      <c r="L418" s="73"/>
      <c r="M418" s="75"/>
      <c r="N418" s="74"/>
      <c r="O418" s="68"/>
      <c r="P418" s="67"/>
      <c r="Q418" s="68"/>
    </row>
    <row r="419" spans="2:17" x14ac:dyDescent="0.25">
      <c r="B419" s="68"/>
      <c r="C419" s="67"/>
      <c r="D419" s="68"/>
      <c r="E419" s="67"/>
      <c r="F419" s="72"/>
      <c r="G419" s="70"/>
      <c r="H419" s="69"/>
      <c r="I419" s="69"/>
      <c r="J419" s="70"/>
      <c r="K419" s="73"/>
      <c r="L419" s="73"/>
      <c r="M419" s="75"/>
      <c r="N419" s="74"/>
      <c r="O419" s="68"/>
      <c r="P419" s="67"/>
      <c r="Q419" s="68"/>
    </row>
    <row r="420" spans="2:17" x14ac:dyDescent="0.25">
      <c r="B420" s="68"/>
      <c r="C420" s="67"/>
      <c r="D420" s="68"/>
      <c r="E420" s="67"/>
      <c r="F420" s="72"/>
      <c r="G420" s="70"/>
      <c r="H420" s="69"/>
      <c r="I420" s="69"/>
      <c r="J420" s="70"/>
      <c r="K420" s="73"/>
      <c r="L420" s="73"/>
      <c r="M420" s="75"/>
      <c r="N420" s="74"/>
      <c r="O420" s="68"/>
      <c r="P420" s="67"/>
      <c r="Q420" s="68"/>
    </row>
    <row r="421" spans="2:17" x14ac:dyDescent="0.25">
      <c r="B421" s="68"/>
      <c r="C421" s="67"/>
      <c r="D421" s="68"/>
      <c r="E421" s="67"/>
      <c r="F421" s="72"/>
      <c r="G421" s="70"/>
      <c r="H421" s="69"/>
      <c r="I421" s="69"/>
      <c r="J421" s="70"/>
      <c r="K421" s="73"/>
      <c r="L421" s="73"/>
      <c r="M421" s="75"/>
      <c r="N421" s="74"/>
      <c r="O421" s="68"/>
      <c r="P421" s="67"/>
      <c r="Q421" s="68"/>
    </row>
    <row r="422" spans="2:17" x14ac:dyDescent="0.25">
      <c r="B422" s="68"/>
      <c r="C422" s="67"/>
      <c r="D422" s="68"/>
      <c r="E422" s="67"/>
      <c r="F422" s="72"/>
      <c r="G422" s="70"/>
      <c r="H422" s="69"/>
      <c r="I422" s="69"/>
      <c r="J422" s="70"/>
      <c r="K422" s="73"/>
      <c r="L422" s="73"/>
      <c r="M422" s="75"/>
      <c r="N422" s="74"/>
      <c r="O422" s="68"/>
      <c r="P422" s="67"/>
      <c r="Q422" s="68"/>
    </row>
    <row r="423" spans="2:17" x14ac:dyDescent="0.25">
      <c r="B423" s="68"/>
      <c r="C423" s="67"/>
      <c r="D423" s="68"/>
      <c r="E423" s="67"/>
      <c r="F423" s="72"/>
      <c r="G423" s="70"/>
      <c r="H423" s="69"/>
      <c r="I423" s="69"/>
      <c r="J423" s="70"/>
      <c r="K423" s="73"/>
      <c r="L423" s="73"/>
      <c r="M423" s="75"/>
      <c r="N423" s="74"/>
      <c r="O423" s="68"/>
      <c r="P423" s="67"/>
      <c r="Q423" s="68"/>
    </row>
    <row r="424" spans="2:17" x14ac:dyDescent="0.25">
      <c r="B424" s="68"/>
      <c r="C424" s="67"/>
      <c r="D424" s="68"/>
      <c r="E424" s="67"/>
      <c r="F424" s="72"/>
      <c r="G424" s="70"/>
      <c r="H424" s="69"/>
      <c r="I424" s="69"/>
      <c r="J424" s="70"/>
      <c r="K424" s="73"/>
      <c r="L424" s="73"/>
      <c r="M424" s="75"/>
      <c r="N424" s="74"/>
      <c r="O424" s="68"/>
      <c r="P424" s="67"/>
      <c r="Q424" s="68"/>
    </row>
    <row r="425" spans="2:17" x14ac:dyDescent="0.25">
      <c r="B425" s="68"/>
      <c r="C425" s="67"/>
      <c r="D425" s="68"/>
      <c r="E425" s="67"/>
      <c r="F425" s="72"/>
      <c r="G425" s="70"/>
      <c r="H425" s="69"/>
      <c r="I425" s="69"/>
      <c r="J425" s="70"/>
      <c r="K425" s="73"/>
      <c r="L425" s="73"/>
      <c r="M425" s="75"/>
      <c r="N425" s="74"/>
      <c r="O425" s="68"/>
      <c r="P425" s="67"/>
      <c r="Q425" s="68"/>
    </row>
    <row r="426" spans="2:17" x14ac:dyDescent="0.25">
      <c r="B426" s="68"/>
      <c r="C426" s="67"/>
      <c r="D426" s="68"/>
      <c r="E426" s="67"/>
      <c r="F426" s="72"/>
      <c r="G426" s="70"/>
      <c r="H426" s="69"/>
      <c r="I426" s="69"/>
      <c r="J426" s="70"/>
      <c r="K426" s="73"/>
      <c r="L426" s="73"/>
      <c r="M426" s="75"/>
      <c r="N426" s="74"/>
      <c r="O426" s="68"/>
      <c r="P426" s="67"/>
      <c r="Q426" s="68"/>
    </row>
    <row r="427" spans="2:17" x14ac:dyDescent="0.25">
      <c r="B427" s="68"/>
      <c r="C427" s="67"/>
      <c r="D427" s="68"/>
      <c r="E427" s="67"/>
      <c r="F427" s="72"/>
      <c r="G427" s="70"/>
      <c r="H427" s="69"/>
      <c r="I427" s="69"/>
      <c r="J427" s="70"/>
      <c r="K427" s="73"/>
      <c r="L427" s="73"/>
      <c r="M427" s="75"/>
      <c r="N427" s="74"/>
      <c r="O427" s="68"/>
      <c r="P427" s="67"/>
      <c r="Q427" s="68"/>
    </row>
    <row r="428" spans="2:17" x14ac:dyDescent="0.25">
      <c r="B428" s="68"/>
      <c r="C428" s="67"/>
      <c r="D428" s="68"/>
      <c r="E428" s="67"/>
      <c r="F428" s="72"/>
      <c r="G428" s="70"/>
      <c r="H428" s="69"/>
      <c r="I428" s="69"/>
      <c r="J428" s="70"/>
      <c r="K428" s="73"/>
      <c r="L428" s="73"/>
      <c r="M428" s="75"/>
      <c r="N428" s="74"/>
      <c r="O428" s="68"/>
      <c r="P428" s="67"/>
      <c r="Q428" s="68"/>
    </row>
    <row r="429" spans="2:17" x14ac:dyDescent="0.25">
      <c r="B429" s="68"/>
      <c r="C429" s="67"/>
      <c r="D429" s="68"/>
      <c r="E429" s="67"/>
      <c r="F429" s="72"/>
      <c r="G429" s="70"/>
      <c r="H429" s="69"/>
      <c r="I429" s="69"/>
      <c r="J429" s="70"/>
      <c r="K429" s="73"/>
      <c r="L429" s="73"/>
      <c r="M429" s="75"/>
      <c r="N429" s="74"/>
      <c r="O429" s="68"/>
      <c r="P429" s="67"/>
      <c r="Q429" s="68"/>
    </row>
    <row r="430" spans="2:17" x14ac:dyDescent="0.25">
      <c r="B430" s="68"/>
      <c r="C430" s="67"/>
      <c r="D430" s="68"/>
      <c r="E430" s="67"/>
      <c r="F430" s="72"/>
      <c r="G430" s="70"/>
      <c r="H430" s="69"/>
      <c r="I430" s="69"/>
      <c r="J430" s="70"/>
      <c r="K430" s="73"/>
      <c r="L430" s="73"/>
      <c r="M430" s="75"/>
      <c r="N430" s="74"/>
      <c r="O430" s="68"/>
      <c r="P430" s="67"/>
      <c r="Q430" s="68"/>
    </row>
    <row r="431" spans="2:17" x14ac:dyDescent="0.25">
      <c r="B431" s="68"/>
      <c r="C431" s="67"/>
      <c r="D431" s="68"/>
      <c r="E431" s="67"/>
      <c r="F431" s="72"/>
      <c r="G431" s="70"/>
      <c r="H431" s="69"/>
      <c r="I431" s="69"/>
      <c r="J431" s="70"/>
      <c r="K431" s="73"/>
      <c r="L431" s="73"/>
      <c r="M431" s="75"/>
      <c r="N431" s="74"/>
      <c r="O431" s="68"/>
      <c r="P431" s="67"/>
      <c r="Q431" s="68"/>
    </row>
    <row r="432" spans="2:17" x14ac:dyDescent="0.25">
      <c r="B432" s="68"/>
      <c r="C432" s="67"/>
      <c r="D432" s="68"/>
      <c r="E432" s="67"/>
      <c r="F432" s="72"/>
      <c r="G432" s="70"/>
      <c r="H432" s="69"/>
      <c r="I432" s="69"/>
      <c r="J432" s="70"/>
      <c r="K432" s="73"/>
      <c r="L432" s="73"/>
      <c r="M432" s="75"/>
      <c r="N432" s="74"/>
      <c r="O432" s="68"/>
      <c r="P432" s="67"/>
      <c r="Q432" s="68"/>
    </row>
    <row r="433" spans="2:17" x14ac:dyDescent="0.25">
      <c r="B433" s="68"/>
      <c r="C433" s="67"/>
      <c r="D433" s="68"/>
      <c r="E433" s="67"/>
      <c r="F433" s="72"/>
      <c r="G433" s="70"/>
      <c r="H433" s="69"/>
      <c r="I433" s="69"/>
      <c r="J433" s="70"/>
      <c r="K433" s="73"/>
      <c r="L433" s="73"/>
      <c r="M433" s="75"/>
      <c r="N433" s="74"/>
      <c r="O433" s="68"/>
      <c r="P433" s="67"/>
      <c r="Q433" s="68"/>
    </row>
    <row r="434" spans="2:17" x14ac:dyDescent="0.25">
      <c r="B434" s="68"/>
      <c r="C434" s="67"/>
      <c r="D434" s="68"/>
      <c r="E434" s="67"/>
      <c r="F434" s="72"/>
      <c r="G434" s="70"/>
      <c r="H434" s="69"/>
      <c r="I434" s="69"/>
      <c r="J434" s="70"/>
      <c r="K434" s="73"/>
      <c r="L434" s="73"/>
      <c r="M434" s="75"/>
      <c r="N434" s="74"/>
      <c r="O434" s="68"/>
      <c r="P434" s="67"/>
      <c r="Q434" s="68"/>
    </row>
    <row r="435" spans="2:17" x14ac:dyDescent="0.25">
      <c r="B435" s="68"/>
      <c r="C435" s="67"/>
      <c r="D435" s="68"/>
      <c r="E435" s="67"/>
      <c r="F435" s="72"/>
      <c r="G435" s="70"/>
      <c r="H435" s="69"/>
      <c r="I435" s="69"/>
      <c r="J435" s="70"/>
      <c r="K435" s="73"/>
      <c r="L435" s="73"/>
      <c r="M435" s="75"/>
      <c r="N435" s="74"/>
      <c r="O435" s="68"/>
      <c r="P435" s="67"/>
      <c r="Q435" s="68"/>
    </row>
    <row r="436" spans="2:17" x14ac:dyDescent="0.25">
      <c r="B436" s="68"/>
      <c r="C436" s="67"/>
      <c r="D436" s="68"/>
      <c r="E436" s="67"/>
      <c r="F436" s="72"/>
      <c r="G436" s="70"/>
      <c r="H436" s="69"/>
      <c r="I436" s="69"/>
      <c r="J436" s="70"/>
      <c r="K436" s="73"/>
      <c r="L436" s="73"/>
      <c r="M436" s="75"/>
      <c r="N436" s="74"/>
      <c r="O436" s="68"/>
      <c r="P436" s="67"/>
      <c r="Q436" s="68"/>
    </row>
    <row r="437" spans="2:17" x14ac:dyDescent="0.25">
      <c r="B437" s="68"/>
      <c r="C437" s="67"/>
      <c r="D437" s="68"/>
      <c r="E437" s="67"/>
      <c r="F437" s="72"/>
      <c r="G437" s="70"/>
      <c r="H437" s="69"/>
      <c r="I437" s="69"/>
      <c r="J437" s="70"/>
      <c r="K437" s="73"/>
      <c r="L437" s="73"/>
      <c r="M437" s="75"/>
      <c r="N437" s="74"/>
      <c r="O437" s="68"/>
      <c r="P437" s="67"/>
      <c r="Q437" s="68"/>
    </row>
    <row r="438" spans="2:17" x14ac:dyDescent="0.25">
      <c r="B438" s="68"/>
      <c r="C438" s="67"/>
      <c r="D438" s="68"/>
      <c r="E438" s="67"/>
      <c r="F438" s="72"/>
      <c r="G438" s="70"/>
      <c r="H438" s="69"/>
      <c r="I438" s="69"/>
      <c r="J438" s="70"/>
      <c r="K438" s="73"/>
      <c r="L438" s="73"/>
      <c r="M438" s="75"/>
      <c r="N438" s="74"/>
      <c r="O438" s="68"/>
      <c r="P438" s="67"/>
      <c r="Q438" s="68"/>
    </row>
    <row r="439" spans="2:17" x14ac:dyDescent="0.25">
      <c r="B439" s="68"/>
      <c r="C439" s="67"/>
      <c r="D439" s="68"/>
      <c r="E439" s="67"/>
      <c r="F439" s="72"/>
      <c r="G439" s="70"/>
      <c r="H439" s="69"/>
      <c r="I439" s="69"/>
      <c r="J439" s="70"/>
      <c r="K439" s="73"/>
      <c r="L439" s="73"/>
      <c r="M439" s="75"/>
      <c r="N439" s="74"/>
      <c r="O439" s="68"/>
      <c r="P439" s="67"/>
      <c r="Q439" s="68"/>
    </row>
    <row r="440" spans="2:17" x14ac:dyDescent="0.25">
      <c r="B440" s="68"/>
      <c r="C440" s="67"/>
      <c r="D440" s="68"/>
      <c r="E440" s="67"/>
      <c r="F440" s="72"/>
      <c r="G440" s="70"/>
      <c r="H440" s="69"/>
      <c r="I440" s="69"/>
      <c r="J440" s="70"/>
      <c r="K440" s="73"/>
      <c r="L440" s="73"/>
      <c r="M440" s="75"/>
      <c r="N440" s="74"/>
      <c r="O440" s="68"/>
      <c r="P440" s="67"/>
      <c r="Q440" s="68"/>
    </row>
    <row r="441" spans="2:17" x14ac:dyDescent="0.25">
      <c r="B441" s="68"/>
      <c r="C441" s="67"/>
      <c r="D441" s="68"/>
      <c r="E441" s="67"/>
      <c r="F441" s="72"/>
      <c r="G441" s="70"/>
      <c r="H441" s="69"/>
      <c r="I441" s="69"/>
      <c r="J441" s="70"/>
      <c r="K441" s="73"/>
      <c r="L441" s="73"/>
      <c r="M441" s="75"/>
      <c r="N441" s="74"/>
      <c r="O441" s="68"/>
      <c r="P441" s="67"/>
      <c r="Q441" s="68"/>
    </row>
    <row r="442" spans="2:17" x14ac:dyDescent="0.25">
      <c r="B442" s="68"/>
      <c r="C442" s="67"/>
      <c r="D442" s="68"/>
      <c r="E442" s="67"/>
      <c r="F442" s="72"/>
      <c r="G442" s="70"/>
      <c r="H442" s="69"/>
      <c r="I442" s="69"/>
      <c r="J442" s="70"/>
      <c r="K442" s="73"/>
      <c r="L442" s="73"/>
      <c r="M442" s="75"/>
      <c r="N442" s="74"/>
      <c r="O442" s="68"/>
      <c r="P442" s="67"/>
      <c r="Q442" s="68"/>
    </row>
    <row r="443" spans="2:17" x14ac:dyDescent="0.25">
      <c r="B443" s="68"/>
      <c r="C443" s="67"/>
      <c r="D443" s="68"/>
      <c r="E443" s="67"/>
      <c r="F443" s="72"/>
      <c r="G443" s="70"/>
      <c r="H443" s="69"/>
      <c r="I443" s="69"/>
      <c r="J443" s="70"/>
      <c r="K443" s="73"/>
      <c r="L443" s="73"/>
      <c r="M443" s="75"/>
      <c r="N443" s="74"/>
      <c r="O443" s="68"/>
      <c r="P443" s="67"/>
      <c r="Q443" s="68"/>
    </row>
    <row r="444" spans="2:17" x14ac:dyDescent="0.25">
      <c r="B444" s="68"/>
      <c r="C444" s="67"/>
      <c r="D444" s="68"/>
      <c r="E444" s="67"/>
      <c r="F444" s="72"/>
      <c r="G444" s="70"/>
      <c r="H444" s="69"/>
      <c r="I444" s="69"/>
      <c r="J444" s="70"/>
      <c r="K444" s="73"/>
      <c r="L444" s="73"/>
      <c r="M444" s="75"/>
      <c r="N444" s="74"/>
      <c r="O444" s="68"/>
      <c r="P444" s="67"/>
      <c r="Q444" s="68"/>
    </row>
    <row r="445" spans="2:17" x14ac:dyDescent="0.25">
      <c r="B445" s="68"/>
      <c r="C445" s="67"/>
      <c r="D445" s="68"/>
      <c r="E445" s="67"/>
      <c r="F445" s="72"/>
      <c r="G445" s="70"/>
      <c r="H445" s="69"/>
      <c r="I445" s="69"/>
      <c r="J445" s="70"/>
      <c r="K445" s="73"/>
      <c r="L445" s="73"/>
      <c r="M445" s="75"/>
      <c r="N445" s="74"/>
      <c r="O445" s="68"/>
      <c r="P445" s="67"/>
      <c r="Q445" s="68"/>
    </row>
    <row r="446" spans="2:17" x14ac:dyDescent="0.25">
      <c r="B446" s="68"/>
      <c r="C446" s="67"/>
      <c r="D446" s="68"/>
      <c r="E446" s="67"/>
      <c r="F446" s="72"/>
      <c r="G446" s="70"/>
      <c r="H446" s="69"/>
      <c r="I446" s="69"/>
      <c r="J446" s="70"/>
      <c r="K446" s="73"/>
      <c r="L446" s="73"/>
      <c r="M446" s="75"/>
      <c r="N446" s="74"/>
      <c r="O446" s="68"/>
      <c r="P446" s="67"/>
      <c r="Q446" s="68"/>
    </row>
    <row r="447" spans="2:17" x14ac:dyDescent="0.25">
      <c r="B447" s="68"/>
      <c r="C447" s="67"/>
      <c r="D447" s="68"/>
      <c r="E447" s="67"/>
      <c r="F447" s="72"/>
      <c r="G447" s="70"/>
      <c r="H447" s="69"/>
      <c r="I447" s="69"/>
      <c r="J447" s="70"/>
      <c r="K447" s="73"/>
      <c r="L447" s="73"/>
      <c r="M447" s="75"/>
      <c r="N447" s="74"/>
      <c r="O447" s="68"/>
      <c r="P447" s="67"/>
      <c r="Q447" s="68"/>
    </row>
    <row r="448" spans="2:17" x14ac:dyDescent="0.25">
      <c r="B448" s="68"/>
      <c r="C448" s="67"/>
      <c r="D448" s="68"/>
      <c r="E448" s="67"/>
      <c r="F448" s="72"/>
      <c r="G448" s="70"/>
      <c r="H448" s="69"/>
      <c r="I448" s="69"/>
      <c r="J448" s="70"/>
      <c r="K448" s="73"/>
      <c r="L448" s="73"/>
      <c r="M448" s="75"/>
      <c r="N448" s="74"/>
      <c r="O448" s="68"/>
      <c r="P448" s="67"/>
      <c r="Q448" s="68"/>
    </row>
    <row r="449" spans="2:17" x14ac:dyDescent="0.25">
      <c r="B449" s="68"/>
      <c r="C449" s="67"/>
      <c r="D449" s="68"/>
      <c r="E449" s="67"/>
      <c r="F449" s="72"/>
      <c r="G449" s="70"/>
      <c r="H449" s="69"/>
      <c r="I449" s="69"/>
      <c r="J449" s="70"/>
      <c r="K449" s="73"/>
      <c r="L449" s="73"/>
      <c r="M449" s="75"/>
      <c r="N449" s="74"/>
      <c r="O449" s="68"/>
      <c r="P449" s="67"/>
      <c r="Q449" s="68"/>
    </row>
    <row r="450" spans="2:17" x14ac:dyDescent="0.25">
      <c r="B450" s="68"/>
      <c r="C450" s="67"/>
      <c r="D450" s="68"/>
      <c r="E450" s="67"/>
      <c r="F450" s="72"/>
      <c r="G450" s="70"/>
      <c r="H450" s="69"/>
      <c r="I450" s="69"/>
      <c r="J450" s="70"/>
      <c r="K450" s="73"/>
      <c r="L450" s="73"/>
      <c r="M450" s="75"/>
      <c r="N450" s="74"/>
      <c r="O450" s="68"/>
      <c r="P450" s="67"/>
      <c r="Q450" s="68"/>
    </row>
    <row r="451" spans="2:17" x14ac:dyDescent="0.25">
      <c r="B451" s="68"/>
      <c r="C451" s="67"/>
      <c r="D451" s="68"/>
      <c r="E451" s="67"/>
      <c r="F451" s="72"/>
      <c r="G451" s="70"/>
      <c r="H451" s="69"/>
      <c r="I451" s="69"/>
      <c r="J451" s="70"/>
      <c r="K451" s="73"/>
      <c r="L451" s="73"/>
      <c r="M451" s="75"/>
      <c r="N451" s="74"/>
      <c r="O451" s="68"/>
      <c r="P451" s="67"/>
      <c r="Q451" s="68"/>
    </row>
    <row r="452" spans="2:17" x14ac:dyDescent="0.25">
      <c r="B452" s="68"/>
      <c r="C452" s="67"/>
      <c r="D452" s="68"/>
      <c r="E452" s="67"/>
      <c r="F452" s="72"/>
      <c r="G452" s="70"/>
      <c r="H452" s="69"/>
      <c r="I452" s="69"/>
      <c r="J452" s="70"/>
      <c r="K452" s="73"/>
      <c r="L452" s="73"/>
      <c r="M452" s="75"/>
      <c r="N452" s="74"/>
      <c r="O452" s="68"/>
      <c r="P452" s="67"/>
      <c r="Q452" s="68"/>
    </row>
    <row r="453" spans="2:17" x14ac:dyDescent="0.25">
      <c r="B453" s="68"/>
      <c r="C453" s="67"/>
      <c r="D453" s="68"/>
      <c r="E453" s="67"/>
      <c r="F453" s="72"/>
      <c r="G453" s="70"/>
      <c r="H453" s="69"/>
      <c r="I453" s="69"/>
      <c r="J453" s="70"/>
      <c r="K453" s="73"/>
      <c r="L453" s="73"/>
      <c r="M453" s="75"/>
      <c r="N453" s="74"/>
      <c r="O453" s="68"/>
      <c r="P453" s="67"/>
      <c r="Q453" s="68"/>
    </row>
    <row r="454" spans="2:17" x14ac:dyDescent="0.25">
      <c r="B454" s="68"/>
      <c r="C454" s="67"/>
      <c r="D454" s="68"/>
      <c r="E454" s="67"/>
      <c r="F454" s="72"/>
      <c r="G454" s="70"/>
      <c r="H454" s="69"/>
      <c r="I454" s="69"/>
      <c r="J454" s="70"/>
      <c r="K454" s="73"/>
      <c r="L454" s="73"/>
      <c r="M454" s="75"/>
      <c r="N454" s="74"/>
      <c r="O454" s="68"/>
      <c r="P454" s="67"/>
      <c r="Q454" s="68"/>
    </row>
    <row r="455" spans="2:17" x14ac:dyDescent="0.25">
      <c r="B455" s="68"/>
      <c r="C455" s="67"/>
      <c r="D455" s="68"/>
      <c r="E455" s="67"/>
      <c r="F455" s="72"/>
      <c r="G455" s="70"/>
      <c r="H455" s="69"/>
      <c r="I455" s="69"/>
      <c r="J455" s="70"/>
      <c r="K455" s="73"/>
      <c r="L455" s="73"/>
      <c r="M455" s="75"/>
      <c r="N455" s="74"/>
      <c r="O455" s="68"/>
      <c r="P455" s="67"/>
      <c r="Q455" s="68"/>
    </row>
    <row r="456" spans="2:17" x14ac:dyDescent="0.25">
      <c r="B456" s="68"/>
      <c r="C456" s="67"/>
      <c r="D456" s="68"/>
      <c r="E456" s="67"/>
      <c r="F456" s="72"/>
      <c r="G456" s="70"/>
      <c r="H456" s="69"/>
      <c r="I456" s="69"/>
      <c r="J456" s="70"/>
      <c r="K456" s="73"/>
      <c r="L456" s="73"/>
      <c r="M456" s="75"/>
      <c r="N456" s="74"/>
      <c r="O456" s="68"/>
      <c r="P456" s="67"/>
      <c r="Q456" s="68"/>
    </row>
    <row r="457" spans="2:17" x14ac:dyDescent="0.25">
      <c r="B457" s="68"/>
      <c r="C457" s="67"/>
      <c r="D457" s="68"/>
      <c r="E457" s="67"/>
      <c r="F457" s="72"/>
      <c r="G457" s="70"/>
      <c r="H457" s="69"/>
      <c r="I457" s="69"/>
      <c r="J457" s="70"/>
      <c r="K457" s="73"/>
      <c r="L457" s="73"/>
      <c r="M457" s="75"/>
      <c r="N457" s="74"/>
      <c r="O457" s="68"/>
      <c r="P457" s="67"/>
      <c r="Q457" s="68"/>
    </row>
    <row r="458" spans="2:17" x14ac:dyDescent="0.25">
      <c r="B458" s="68"/>
      <c r="C458" s="67"/>
      <c r="D458" s="68"/>
      <c r="E458" s="67"/>
      <c r="F458" s="72"/>
      <c r="G458" s="70"/>
      <c r="H458" s="69"/>
      <c r="I458" s="69"/>
      <c r="J458" s="70"/>
      <c r="K458" s="73"/>
      <c r="L458" s="73"/>
      <c r="M458" s="75"/>
      <c r="N458" s="74"/>
      <c r="O458" s="68"/>
      <c r="P458" s="67"/>
      <c r="Q458" s="68"/>
    </row>
    <row r="459" spans="2:17" x14ac:dyDescent="0.25">
      <c r="B459" s="68"/>
      <c r="C459" s="67"/>
      <c r="D459" s="68"/>
      <c r="E459" s="67"/>
      <c r="F459" s="72"/>
      <c r="G459" s="70"/>
      <c r="H459" s="69"/>
      <c r="I459" s="69"/>
      <c r="J459" s="70"/>
      <c r="K459" s="73"/>
      <c r="L459" s="73"/>
      <c r="M459" s="75"/>
      <c r="N459" s="74"/>
      <c r="O459" s="68"/>
      <c r="P459" s="67"/>
      <c r="Q459" s="68"/>
    </row>
    <row r="460" spans="2:17" x14ac:dyDescent="0.25">
      <c r="B460" s="68"/>
      <c r="C460" s="67"/>
      <c r="D460" s="68"/>
      <c r="E460" s="67"/>
      <c r="F460" s="72"/>
      <c r="G460" s="70"/>
      <c r="H460" s="69"/>
      <c r="I460" s="69"/>
      <c r="J460" s="70"/>
      <c r="K460" s="73"/>
      <c r="L460" s="73"/>
      <c r="M460" s="75"/>
      <c r="N460" s="74"/>
      <c r="O460" s="68"/>
      <c r="P460" s="67"/>
      <c r="Q460" s="68"/>
    </row>
    <row r="461" spans="2:17" x14ac:dyDescent="0.25">
      <c r="B461" s="68"/>
      <c r="C461" s="67"/>
      <c r="D461" s="68"/>
      <c r="E461" s="67"/>
      <c r="F461" s="72"/>
      <c r="G461" s="70"/>
      <c r="H461" s="69"/>
      <c r="I461" s="69"/>
      <c r="J461" s="70"/>
      <c r="K461" s="73"/>
      <c r="L461" s="73"/>
      <c r="M461" s="75"/>
      <c r="N461" s="74"/>
      <c r="O461" s="68"/>
      <c r="P461" s="67"/>
      <c r="Q461" s="68"/>
    </row>
    <row r="462" spans="2:17" x14ac:dyDescent="0.25">
      <c r="B462" s="68"/>
      <c r="C462" s="67"/>
      <c r="D462" s="68"/>
      <c r="E462" s="67"/>
      <c r="F462" s="72"/>
      <c r="G462" s="70"/>
      <c r="H462" s="69"/>
      <c r="I462" s="69"/>
      <c r="J462" s="70"/>
      <c r="K462" s="73"/>
      <c r="L462" s="73"/>
      <c r="M462" s="75"/>
      <c r="N462" s="74"/>
      <c r="O462" s="68"/>
      <c r="P462" s="67"/>
      <c r="Q462" s="68"/>
    </row>
    <row r="463" spans="2:17" x14ac:dyDescent="0.25">
      <c r="B463" s="68"/>
      <c r="C463" s="67"/>
      <c r="D463" s="68"/>
      <c r="E463" s="67"/>
      <c r="F463" s="72"/>
      <c r="G463" s="70"/>
      <c r="H463" s="69"/>
      <c r="I463" s="69"/>
      <c r="J463" s="70"/>
      <c r="K463" s="73"/>
      <c r="L463" s="73"/>
      <c r="M463" s="75"/>
      <c r="N463" s="74"/>
      <c r="O463" s="68"/>
      <c r="P463" s="67"/>
      <c r="Q463" s="68"/>
    </row>
    <row r="464" spans="2:17" x14ac:dyDescent="0.25">
      <c r="B464" s="68"/>
      <c r="C464" s="67"/>
      <c r="D464" s="68"/>
      <c r="E464" s="67"/>
      <c r="F464" s="72"/>
      <c r="G464" s="70"/>
      <c r="H464" s="69"/>
      <c r="I464" s="69"/>
      <c r="J464" s="70"/>
      <c r="K464" s="73"/>
      <c r="L464" s="73"/>
      <c r="M464" s="75"/>
      <c r="N464" s="74"/>
      <c r="O464" s="68"/>
      <c r="P464" s="67"/>
      <c r="Q464" s="68"/>
    </row>
    <row r="465" spans="2:17" x14ac:dyDescent="0.25">
      <c r="B465" s="68"/>
      <c r="C465" s="67"/>
      <c r="D465" s="68"/>
      <c r="E465" s="67"/>
      <c r="F465" s="72"/>
      <c r="G465" s="70"/>
      <c r="H465" s="69"/>
      <c r="I465" s="69"/>
      <c r="J465" s="70"/>
      <c r="K465" s="73"/>
      <c r="L465" s="73"/>
      <c r="M465" s="75"/>
      <c r="N465" s="74"/>
      <c r="O465" s="68"/>
      <c r="P465" s="67"/>
      <c r="Q465" s="68"/>
    </row>
    <row r="466" spans="2:17" x14ac:dyDescent="0.25">
      <c r="B466" s="68"/>
      <c r="C466" s="67"/>
      <c r="D466" s="68"/>
      <c r="E466" s="67"/>
      <c r="F466" s="72"/>
      <c r="G466" s="70"/>
      <c r="H466" s="69"/>
      <c r="I466" s="69"/>
      <c r="J466" s="70"/>
      <c r="K466" s="73"/>
      <c r="L466" s="73"/>
      <c r="M466" s="75"/>
      <c r="N466" s="74"/>
      <c r="O466" s="68"/>
      <c r="P466" s="67"/>
      <c r="Q466" s="68"/>
    </row>
    <row r="467" spans="2:17" x14ac:dyDescent="0.25">
      <c r="B467" s="68"/>
      <c r="C467" s="67"/>
      <c r="D467" s="68"/>
      <c r="E467" s="67"/>
      <c r="F467" s="72"/>
      <c r="G467" s="70"/>
      <c r="H467" s="69"/>
      <c r="I467" s="69"/>
      <c r="J467" s="70"/>
      <c r="K467" s="73"/>
      <c r="L467" s="73"/>
      <c r="M467" s="75"/>
      <c r="N467" s="74"/>
      <c r="O467" s="68"/>
      <c r="P467" s="67"/>
      <c r="Q467" s="68"/>
    </row>
    <row r="468" spans="2:17" x14ac:dyDescent="0.25">
      <c r="B468" s="68"/>
      <c r="C468" s="67"/>
      <c r="D468" s="68"/>
      <c r="E468" s="67"/>
      <c r="F468" s="72"/>
      <c r="G468" s="70"/>
      <c r="H468" s="69"/>
      <c r="I468" s="69"/>
      <c r="J468" s="70"/>
      <c r="K468" s="73"/>
      <c r="L468" s="73"/>
      <c r="M468" s="75"/>
      <c r="N468" s="74"/>
      <c r="O468" s="68"/>
      <c r="P468" s="67"/>
      <c r="Q468" s="68"/>
    </row>
    <row r="469" spans="2:17" x14ac:dyDescent="0.25">
      <c r="B469" s="68"/>
      <c r="C469" s="67"/>
      <c r="D469" s="68"/>
      <c r="E469" s="67"/>
      <c r="F469" s="72"/>
      <c r="G469" s="70"/>
      <c r="H469" s="69"/>
      <c r="I469" s="69"/>
      <c r="J469" s="70"/>
      <c r="K469" s="73"/>
      <c r="L469" s="73"/>
      <c r="M469" s="75"/>
      <c r="N469" s="74"/>
      <c r="O469" s="68"/>
      <c r="P469" s="67"/>
      <c r="Q469" s="68"/>
    </row>
    <row r="470" spans="2:17" x14ac:dyDescent="0.25">
      <c r="B470" s="68"/>
      <c r="C470" s="67"/>
      <c r="D470" s="68"/>
      <c r="E470" s="67"/>
      <c r="F470" s="72"/>
      <c r="G470" s="70"/>
      <c r="H470" s="69"/>
      <c r="I470" s="69"/>
      <c r="J470" s="70"/>
      <c r="K470" s="73"/>
      <c r="L470" s="73"/>
      <c r="M470" s="75"/>
      <c r="N470" s="74"/>
      <c r="O470" s="68"/>
      <c r="P470" s="67"/>
      <c r="Q470" s="68"/>
    </row>
    <row r="471" spans="2:17" x14ac:dyDescent="0.25">
      <c r="B471" s="68"/>
      <c r="C471" s="67"/>
      <c r="D471" s="68"/>
      <c r="E471" s="67"/>
      <c r="F471" s="72"/>
      <c r="G471" s="70"/>
      <c r="H471" s="69"/>
      <c r="I471" s="69"/>
      <c r="J471" s="70"/>
      <c r="K471" s="73"/>
      <c r="L471" s="73"/>
      <c r="M471" s="75"/>
      <c r="N471" s="74"/>
      <c r="O471" s="68"/>
      <c r="P471" s="67"/>
      <c r="Q471" s="68"/>
    </row>
    <row r="472" spans="2:17" x14ac:dyDescent="0.25">
      <c r="B472" s="68"/>
      <c r="C472" s="67"/>
      <c r="D472" s="68"/>
      <c r="E472" s="67"/>
      <c r="F472" s="72"/>
      <c r="G472" s="70"/>
      <c r="H472" s="69"/>
      <c r="I472" s="69"/>
      <c r="J472" s="70"/>
      <c r="K472" s="73"/>
      <c r="L472" s="73"/>
      <c r="M472" s="75"/>
      <c r="N472" s="74"/>
      <c r="O472" s="68"/>
      <c r="P472" s="67"/>
      <c r="Q472" s="68"/>
    </row>
    <row r="473" spans="2:17" x14ac:dyDescent="0.25">
      <c r="B473" s="68"/>
      <c r="C473" s="67"/>
      <c r="D473" s="68"/>
      <c r="E473" s="67"/>
      <c r="F473" s="72"/>
      <c r="G473" s="70"/>
      <c r="H473" s="69"/>
      <c r="I473" s="69"/>
      <c r="J473" s="70"/>
      <c r="K473" s="73"/>
      <c r="L473" s="73"/>
      <c r="M473" s="75"/>
      <c r="N473" s="74"/>
      <c r="O473" s="68"/>
      <c r="P473" s="67"/>
      <c r="Q473" s="68"/>
    </row>
    <row r="474" spans="2:17" x14ac:dyDescent="0.25">
      <c r="B474" s="68"/>
      <c r="C474" s="67"/>
      <c r="D474" s="68"/>
      <c r="E474" s="67"/>
      <c r="F474" s="72"/>
      <c r="G474" s="70"/>
      <c r="H474" s="69"/>
      <c r="I474" s="69"/>
      <c r="J474" s="70"/>
      <c r="K474" s="73"/>
      <c r="L474" s="73"/>
      <c r="M474" s="75"/>
      <c r="N474" s="74"/>
      <c r="O474" s="68"/>
      <c r="P474" s="67"/>
      <c r="Q474" s="68"/>
    </row>
    <row r="475" spans="2:17" x14ac:dyDescent="0.25">
      <c r="B475" s="68"/>
      <c r="C475" s="67"/>
      <c r="D475" s="68"/>
      <c r="E475" s="67"/>
      <c r="F475" s="72"/>
      <c r="G475" s="70"/>
      <c r="H475" s="69"/>
      <c r="I475" s="69"/>
      <c r="J475" s="70"/>
      <c r="K475" s="73"/>
      <c r="L475" s="73"/>
      <c r="M475" s="75"/>
      <c r="N475" s="74"/>
      <c r="O475" s="68"/>
      <c r="P475" s="67"/>
      <c r="Q475" s="68"/>
    </row>
    <row r="476" spans="2:17" x14ac:dyDescent="0.25">
      <c r="B476" s="68"/>
      <c r="C476" s="67"/>
      <c r="D476" s="68"/>
      <c r="E476" s="67"/>
      <c r="F476" s="72"/>
      <c r="G476" s="70"/>
      <c r="H476" s="69"/>
      <c r="I476" s="69"/>
      <c r="J476" s="70"/>
      <c r="K476" s="73"/>
      <c r="L476" s="73"/>
      <c r="M476" s="75"/>
      <c r="N476" s="74"/>
      <c r="O476" s="68"/>
      <c r="P476" s="67"/>
      <c r="Q476" s="68"/>
    </row>
    <row r="477" spans="2:17" x14ac:dyDescent="0.25">
      <c r="B477" s="68"/>
      <c r="C477" s="67"/>
      <c r="D477" s="68"/>
      <c r="E477" s="67"/>
      <c r="F477" s="72"/>
      <c r="G477" s="70"/>
      <c r="H477" s="69"/>
      <c r="I477" s="69"/>
      <c r="J477" s="70"/>
      <c r="K477" s="73"/>
      <c r="L477" s="73"/>
      <c r="M477" s="75"/>
      <c r="N477" s="74"/>
      <c r="O477" s="68"/>
      <c r="P477" s="67"/>
      <c r="Q477" s="68"/>
    </row>
    <row r="478" spans="2:17" x14ac:dyDescent="0.25">
      <c r="B478" s="68"/>
      <c r="C478" s="67"/>
      <c r="D478" s="68"/>
      <c r="E478" s="67"/>
      <c r="F478" s="72"/>
      <c r="G478" s="70"/>
      <c r="H478" s="69"/>
      <c r="I478" s="69"/>
      <c r="J478" s="70"/>
      <c r="K478" s="73"/>
      <c r="L478" s="73"/>
      <c r="M478" s="75"/>
      <c r="N478" s="74"/>
      <c r="O478" s="68"/>
      <c r="P478" s="67"/>
      <c r="Q478" s="68"/>
    </row>
    <row r="479" spans="2:17" x14ac:dyDescent="0.25">
      <c r="B479" s="68"/>
      <c r="C479" s="67"/>
      <c r="D479" s="68"/>
      <c r="E479" s="67"/>
      <c r="F479" s="72"/>
      <c r="G479" s="70"/>
      <c r="H479" s="69"/>
      <c r="I479" s="69"/>
      <c r="J479" s="70"/>
      <c r="K479" s="73"/>
      <c r="L479" s="73"/>
      <c r="M479" s="75"/>
      <c r="N479" s="74"/>
      <c r="O479" s="68"/>
      <c r="P479" s="67"/>
      <c r="Q479" s="68"/>
    </row>
    <row r="480" spans="2:17" x14ac:dyDescent="0.25">
      <c r="B480" s="68"/>
      <c r="C480" s="67"/>
      <c r="D480" s="68"/>
      <c r="E480" s="67"/>
      <c r="F480" s="72"/>
      <c r="G480" s="70"/>
      <c r="H480" s="69"/>
      <c r="I480" s="69"/>
      <c r="J480" s="70"/>
      <c r="K480" s="73"/>
      <c r="L480" s="73"/>
      <c r="M480" s="75"/>
      <c r="N480" s="74"/>
      <c r="O480" s="68"/>
      <c r="P480" s="67"/>
      <c r="Q480" s="68"/>
    </row>
    <row r="481" spans="2:17" x14ac:dyDescent="0.25">
      <c r="B481" s="68"/>
      <c r="C481" s="67"/>
      <c r="D481" s="68"/>
      <c r="E481" s="67"/>
      <c r="F481" s="72"/>
      <c r="G481" s="70"/>
      <c r="H481" s="69"/>
      <c r="I481" s="69"/>
      <c r="J481" s="70"/>
      <c r="K481" s="73"/>
      <c r="L481" s="73"/>
      <c r="M481" s="75"/>
      <c r="N481" s="74"/>
      <c r="O481" s="68"/>
      <c r="P481" s="67"/>
      <c r="Q481" s="68"/>
    </row>
    <row r="482" spans="2:17" x14ac:dyDescent="0.25">
      <c r="B482" s="68"/>
      <c r="C482" s="67"/>
      <c r="D482" s="68"/>
      <c r="E482" s="67"/>
      <c r="F482" s="72"/>
      <c r="G482" s="70"/>
      <c r="H482" s="69"/>
      <c r="I482" s="69"/>
      <c r="J482" s="70"/>
      <c r="K482" s="73"/>
      <c r="L482" s="73"/>
      <c r="M482" s="75"/>
      <c r="N482" s="74"/>
      <c r="O482" s="68"/>
      <c r="P482" s="67"/>
      <c r="Q482" s="68"/>
    </row>
    <row r="483" spans="2:17" x14ac:dyDescent="0.25">
      <c r="B483" s="68"/>
      <c r="C483" s="67"/>
      <c r="D483" s="68"/>
      <c r="E483" s="67"/>
      <c r="F483" s="72"/>
      <c r="G483" s="70"/>
      <c r="H483" s="69"/>
      <c r="I483" s="69"/>
      <c r="J483" s="70"/>
      <c r="K483" s="73"/>
      <c r="L483" s="73"/>
      <c r="M483" s="75"/>
      <c r="N483" s="74"/>
      <c r="O483" s="68"/>
      <c r="P483" s="67"/>
      <c r="Q483" s="68"/>
    </row>
    <row r="484" spans="2:17" x14ac:dyDescent="0.25">
      <c r="B484" s="68"/>
      <c r="C484" s="67"/>
      <c r="D484" s="68"/>
      <c r="E484" s="67"/>
      <c r="F484" s="72"/>
      <c r="G484" s="70"/>
      <c r="H484" s="69"/>
      <c r="I484" s="69"/>
      <c r="J484" s="70"/>
      <c r="K484" s="73"/>
      <c r="L484" s="73"/>
      <c r="M484" s="75"/>
      <c r="N484" s="74"/>
      <c r="O484" s="68"/>
      <c r="P484" s="67"/>
      <c r="Q484" s="68"/>
    </row>
    <row r="485" spans="2:17" x14ac:dyDescent="0.25">
      <c r="B485" s="68"/>
      <c r="C485" s="67"/>
      <c r="D485" s="68"/>
      <c r="E485" s="67"/>
      <c r="F485" s="72"/>
      <c r="G485" s="70"/>
      <c r="H485" s="69"/>
      <c r="I485" s="69"/>
      <c r="J485" s="70"/>
      <c r="K485" s="73"/>
      <c r="L485" s="73"/>
      <c r="M485" s="75"/>
      <c r="N485" s="74"/>
      <c r="O485" s="68"/>
      <c r="P485" s="67"/>
      <c r="Q485" s="68"/>
    </row>
    <row r="486" spans="2:17" x14ac:dyDescent="0.25">
      <c r="B486" s="68"/>
      <c r="C486" s="67"/>
      <c r="D486" s="68"/>
      <c r="E486" s="67"/>
      <c r="F486" s="72"/>
      <c r="G486" s="70"/>
      <c r="H486" s="69"/>
      <c r="I486" s="69"/>
      <c r="J486" s="70"/>
      <c r="K486" s="73"/>
      <c r="L486" s="73"/>
      <c r="M486" s="75"/>
      <c r="N486" s="74"/>
      <c r="O486" s="68"/>
      <c r="P486" s="67"/>
      <c r="Q486" s="68"/>
    </row>
    <row r="487" spans="2:17" x14ac:dyDescent="0.25">
      <c r="B487" s="68"/>
      <c r="C487" s="67"/>
      <c r="D487" s="68"/>
      <c r="E487" s="67"/>
      <c r="F487" s="72"/>
      <c r="G487" s="70"/>
      <c r="H487" s="69"/>
      <c r="I487" s="69"/>
      <c r="J487" s="70"/>
      <c r="K487" s="73"/>
      <c r="L487" s="73"/>
      <c r="M487" s="75"/>
      <c r="N487" s="74"/>
      <c r="O487" s="68"/>
      <c r="P487" s="67"/>
      <c r="Q487" s="68"/>
    </row>
    <row r="488" spans="2:17" x14ac:dyDescent="0.25">
      <c r="B488" s="68"/>
      <c r="C488" s="67"/>
      <c r="D488" s="68"/>
      <c r="E488" s="67"/>
      <c r="F488" s="72"/>
      <c r="G488" s="70"/>
      <c r="H488" s="69"/>
      <c r="I488" s="69"/>
      <c r="J488" s="70"/>
      <c r="K488" s="73"/>
      <c r="L488" s="73"/>
      <c r="M488" s="75"/>
      <c r="N488" s="74"/>
      <c r="O488" s="68"/>
      <c r="P488" s="67"/>
      <c r="Q488" s="68"/>
    </row>
    <row r="489" spans="2:17" x14ac:dyDescent="0.25">
      <c r="B489" s="68"/>
      <c r="C489" s="67"/>
      <c r="D489" s="68"/>
      <c r="E489" s="67"/>
      <c r="F489" s="72"/>
      <c r="G489" s="70"/>
      <c r="H489" s="69"/>
      <c r="I489" s="69"/>
      <c r="J489" s="70"/>
      <c r="K489" s="73"/>
      <c r="L489" s="73"/>
      <c r="M489" s="75"/>
      <c r="N489" s="74"/>
      <c r="O489" s="68"/>
      <c r="P489" s="67"/>
      <c r="Q489" s="68"/>
    </row>
    <row r="490" spans="2:17" x14ac:dyDescent="0.25">
      <c r="B490" s="68"/>
      <c r="C490" s="67"/>
      <c r="D490" s="68"/>
      <c r="E490" s="67"/>
      <c r="F490" s="72"/>
      <c r="G490" s="70"/>
      <c r="H490" s="69"/>
      <c r="I490" s="69"/>
      <c r="J490" s="70"/>
      <c r="K490" s="73"/>
      <c r="L490" s="73"/>
      <c r="M490" s="75"/>
      <c r="N490" s="74"/>
      <c r="O490" s="68"/>
      <c r="P490" s="67"/>
      <c r="Q490" s="68"/>
    </row>
    <row r="491" spans="2:17" x14ac:dyDescent="0.25">
      <c r="B491" s="68"/>
      <c r="C491" s="67"/>
      <c r="D491" s="68"/>
      <c r="E491" s="67"/>
      <c r="F491" s="72"/>
      <c r="G491" s="70"/>
      <c r="H491" s="69"/>
      <c r="I491" s="69"/>
      <c r="J491" s="70"/>
      <c r="K491" s="73"/>
      <c r="L491" s="73"/>
      <c r="M491" s="75"/>
      <c r="N491" s="74"/>
      <c r="O491" s="68"/>
      <c r="P491" s="67"/>
      <c r="Q491" s="68"/>
    </row>
    <row r="492" spans="2:17" x14ac:dyDescent="0.25">
      <c r="B492" s="68"/>
      <c r="C492" s="67"/>
      <c r="D492" s="68"/>
      <c r="E492" s="67"/>
      <c r="F492" s="72"/>
      <c r="G492" s="70"/>
      <c r="H492" s="69"/>
      <c r="I492" s="69"/>
      <c r="J492" s="70"/>
      <c r="K492" s="73"/>
      <c r="L492" s="73"/>
      <c r="M492" s="75"/>
      <c r="N492" s="74"/>
      <c r="O492" s="68"/>
      <c r="P492" s="67"/>
      <c r="Q492" s="68"/>
    </row>
    <row r="493" spans="2:17" x14ac:dyDescent="0.25">
      <c r="B493" s="68"/>
      <c r="C493" s="67"/>
      <c r="D493" s="68"/>
      <c r="E493" s="67"/>
      <c r="F493" s="72"/>
      <c r="G493" s="70"/>
      <c r="H493" s="69"/>
      <c r="I493" s="69"/>
      <c r="J493" s="70"/>
      <c r="K493" s="73"/>
      <c r="L493" s="73"/>
      <c r="M493" s="75"/>
      <c r="N493" s="74"/>
      <c r="O493" s="68"/>
      <c r="P493" s="67"/>
      <c r="Q493" s="68"/>
    </row>
    <row r="494" spans="2:17" x14ac:dyDescent="0.25">
      <c r="B494" s="68"/>
      <c r="C494" s="67"/>
      <c r="D494" s="68"/>
      <c r="E494" s="67"/>
      <c r="F494" s="72"/>
      <c r="G494" s="70"/>
      <c r="H494" s="69"/>
      <c r="I494" s="69"/>
      <c r="J494" s="70"/>
      <c r="K494" s="73"/>
      <c r="L494" s="73"/>
      <c r="M494" s="75"/>
      <c r="N494" s="74"/>
      <c r="O494" s="68"/>
      <c r="P494" s="67"/>
      <c r="Q494" s="68"/>
    </row>
    <row r="495" spans="2:17" x14ac:dyDescent="0.25">
      <c r="B495" s="68"/>
      <c r="C495" s="67"/>
      <c r="D495" s="68"/>
      <c r="E495" s="67"/>
      <c r="F495" s="72"/>
      <c r="G495" s="70"/>
      <c r="H495" s="69"/>
      <c r="I495" s="69"/>
      <c r="J495" s="70"/>
      <c r="K495" s="73"/>
      <c r="L495" s="73"/>
      <c r="M495" s="75"/>
      <c r="N495" s="74"/>
      <c r="O495" s="68"/>
      <c r="P495" s="67"/>
      <c r="Q495" s="68"/>
    </row>
    <row r="496" spans="2:17" x14ac:dyDescent="0.25">
      <c r="B496" s="68"/>
      <c r="C496" s="67"/>
      <c r="D496" s="68"/>
      <c r="E496" s="67"/>
      <c r="F496" s="72"/>
      <c r="G496" s="70"/>
      <c r="H496" s="69"/>
      <c r="I496" s="69"/>
      <c r="J496" s="70"/>
      <c r="K496" s="73"/>
      <c r="L496" s="73"/>
      <c r="M496" s="75"/>
      <c r="N496" s="74"/>
      <c r="O496" s="68"/>
      <c r="P496" s="67"/>
      <c r="Q496" s="68"/>
    </row>
    <row r="497" spans="2:17" x14ac:dyDescent="0.25">
      <c r="B497" s="68"/>
      <c r="C497" s="67"/>
      <c r="D497" s="68"/>
      <c r="E497" s="67"/>
      <c r="F497" s="72"/>
      <c r="G497" s="70"/>
      <c r="H497" s="69"/>
      <c r="I497" s="69"/>
      <c r="J497" s="70"/>
      <c r="K497" s="73"/>
      <c r="L497" s="73"/>
      <c r="M497" s="75"/>
      <c r="N497" s="74"/>
      <c r="O497" s="68"/>
      <c r="P497" s="67"/>
      <c r="Q497" s="68"/>
    </row>
    <row r="498" spans="2:17" x14ac:dyDescent="0.25">
      <c r="B498" s="68"/>
      <c r="C498" s="67"/>
      <c r="D498" s="68"/>
      <c r="E498" s="67"/>
      <c r="F498" s="72"/>
      <c r="G498" s="70"/>
      <c r="H498" s="69"/>
      <c r="I498" s="69"/>
      <c r="J498" s="70"/>
      <c r="K498" s="73"/>
      <c r="L498" s="73"/>
      <c r="M498" s="75"/>
      <c r="N498" s="74"/>
      <c r="O498" s="68"/>
      <c r="P498" s="67"/>
      <c r="Q498" s="68"/>
    </row>
    <row r="499" spans="2:17" x14ac:dyDescent="0.25">
      <c r="B499" s="68"/>
      <c r="C499" s="67"/>
      <c r="D499" s="68"/>
      <c r="E499" s="67"/>
      <c r="F499" s="72"/>
      <c r="G499" s="70"/>
      <c r="H499" s="69"/>
      <c r="I499" s="69"/>
      <c r="J499" s="70"/>
      <c r="K499" s="73"/>
      <c r="L499" s="73"/>
      <c r="M499" s="75"/>
      <c r="N499" s="74"/>
      <c r="O499" s="68"/>
      <c r="P499" s="67"/>
      <c r="Q499" s="68"/>
    </row>
    <row r="500" spans="2:17" x14ac:dyDescent="0.25">
      <c r="B500" s="68"/>
      <c r="C500" s="67"/>
      <c r="D500" s="68"/>
      <c r="E500" s="67"/>
      <c r="F500" s="72"/>
      <c r="G500" s="70"/>
      <c r="H500" s="69"/>
      <c r="I500" s="69"/>
      <c r="J500" s="70"/>
      <c r="K500" s="73"/>
      <c r="L500" s="73"/>
      <c r="M500" s="75"/>
      <c r="N500" s="74"/>
      <c r="O500" s="68"/>
      <c r="P500" s="67"/>
      <c r="Q500" s="68"/>
    </row>
    <row r="501" spans="2:17" x14ac:dyDescent="0.25">
      <c r="B501" s="68"/>
      <c r="C501" s="67"/>
      <c r="D501" s="68"/>
      <c r="E501" s="67"/>
      <c r="F501" s="72"/>
      <c r="G501" s="70"/>
      <c r="H501" s="69"/>
      <c r="I501" s="69"/>
      <c r="J501" s="70"/>
      <c r="K501" s="73"/>
      <c r="L501" s="73"/>
      <c r="M501" s="75"/>
      <c r="N501" s="74"/>
      <c r="O501" s="68"/>
      <c r="P501" s="67"/>
      <c r="Q501" s="68"/>
    </row>
    <row r="502" spans="2:17" x14ac:dyDescent="0.25">
      <c r="B502" s="68"/>
      <c r="C502" s="67"/>
      <c r="D502" s="68"/>
      <c r="E502" s="67"/>
      <c r="F502" s="72"/>
      <c r="G502" s="70"/>
      <c r="H502" s="69"/>
      <c r="I502" s="69"/>
      <c r="J502" s="70"/>
      <c r="K502" s="73"/>
      <c r="L502" s="73"/>
      <c r="M502" s="75"/>
      <c r="N502" s="74"/>
      <c r="O502" s="68"/>
      <c r="P502" s="67"/>
      <c r="Q502" s="68"/>
    </row>
    <row r="503" spans="2:17" x14ac:dyDescent="0.25">
      <c r="B503" s="68"/>
      <c r="C503" s="67"/>
      <c r="D503" s="68"/>
      <c r="E503" s="67"/>
      <c r="F503" s="72"/>
      <c r="G503" s="70"/>
      <c r="H503" s="69"/>
      <c r="I503" s="69"/>
      <c r="J503" s="70"/>
      <c r="K503" s="73"/>
      <c r="L503" s="73"/>
      <c r="M503" s="75"/>
      <c r="N503" s="74"/>
      <c r="O503" s="68"/>
      <c r="P503" s="67"/>
      <c r="Q503" s="68"/>
    </row>
    <row r="504" spans="2:17" x14ac:dyDescent="0.25">
      <c r="B504" s="68"/>
      <c r="C504" s="67"/>
      <c r="D504" s="68"/>
      <c r="E504" s="67"/>
      <c r="F504" s="72"/>
      <c r="G504" s="70"/>
      <c r="H504" s="69"/>
      <c r="I504" s="69"/>
      <c r="J504" s="70"/>
      <c r="K504" s="73"/>
      <c r="L504" s="73"/>
      <c r="M504" s="75"/>
      <c r="N504" s="74"/>
      <c r="O504" s="68"/>
      <c r="P504" s="67"/>
      <c r="Q504" s="68"/>
    </row>
    <row r="505" spans="2:17" x14ac:dyDescent="0.25">
      <c r="B505" s="68"/>
      <c r="C505" s="67"/>
      <c r="D505" s="68"/>
      <c r="E505" s="67"/>
      <c r="F505" s="72"/>
      <c r="G505" s="70"/>
      <c r="H505" s="69"/>
      <c r="I505" s="69"/>
      <c r="J505" s="70"/>
      <c r="K505" s="73"/>
      <c r="L505" s="73"/>
      <c r="M505" s="75"/>
      <c r="N505" s="74"/>
      <c r="O505" s="68"/>
      <c r="P505" s="67"/>
      <c r="Q505" s="68"/>
    </row>
    <row r="506" spans="2:17" x14ac:dyDescent="0.25">
      <c r="B506" s="68"/>
      <c r="C506" s="67"/>
      <c r="D506" s="68"/>
      <c r="E506" s="67"/>
      <c r="F506" s="72"/>
      <c r="G506" s="70"/>
      <c r="H506" s="69"/>
      <c r="I506" s="69"/>
      <c r="J506" s="70"/>
      <c r="K506" s="73"/>
      <c r="L506" s="73"/>
      <c r="M506" s="75"/>
      <c r="N506" s="74"/>
      <c r="O506" s="68"/>
      <c r="P506" s="67"/>
      <c r="Q506" s="68"/>
    </row>
    <row r="507" spans="2:17" x14ac:dyDescent="0.25">
      <c r="B507" s="68"/>
      <c r="C507" s="67"/>
      <c r="D507" s="68"/>
      <c r="E507" s="67"/>
      <c r="F507" s="72"/>
      <c r="G507" s="70"/>
      <c r="H507" s="69"/>
      <c r="I507" s="69"/>
      <c r="J507" s="70"/>
      <c r="K507" s="73"/>
      <c r="L507" s="73"/>
      <c r="M507" s="75"/>
      <c r="N507" s="74"/>
      <c r="O507" s="68"/>
      <c r="P507" s="67"/>
      <c r="Q507" s="68"/>
    </row>
  </sheetData>
  <sheetProtection password="930D" sheet="1" objects="1" scenarios="1" formatColumns="0" autoFilter="0"/>
  <mergeCells count="3">
    <mergeCell ref="C6:D6"/>
    <mergeCell ref="E6:G6"/>
    <mergeCell ref="I6:M6"/>
  </mergeCells>
  <conditionalFormatting sqref="B8:B507">
    <cfRule type="expression" dxfId="25" priority="13">
      <formula>AND($B8&lt;&gt;"",$B8&lt;&gt;$B7)</formula>
    </cfRule>
  </conditionalFormatting>
  <conditionalFormatting sqref="B8:Q507">
    <cfRule type="expression" dxfId="24" priority="12">
      <formula>AND($B8&lt;&gt;"",$B8&lt;&gt;$B7)</formula>
    </cfRule>
    <cfRule type="expression" dxfId="23" priority="14">
      <formula>AND($B8&lt;&gt;"",MOD(ROW(),2)=0)</formula>
    </cfRule>
  </conditionalFormatting>
  <conditionalFormatting sqref="F8:F507">
    <cfRule type="expression" dxfId="22" priority="1">
      <formula>$F8="INCONSISTENTE"</formula>
    </cfRule>
    <cfRule type="expression" dxfId="21" priority="2">
      <formula>$F8="AGOTADO"</formula>
    </cfRule>
    <cfRule type="expression" dxfId="20" priority="3">
      <formula>$F8="CRÍTICO"</formula>
    </cfRule>
    <cfRule type="expression" dxfId="19" priority="4">
      <formula>$F8="BAJO"</formula>
    </cfRule>
    <cfRule type="expression" dxfId="18" priority="5">
      <formula>$F8="ÓPTIMO"</formula>
    </cfRule>
    <cfRule type="expression" dxfId="17" priority="6">
      <formula>$F8="SOBRESTOCK"</formula>
    </cfRule>
    <cfRule type="expression" dxfId="16" priority="7">
      <formula>$F8="INACTIVO"</formula>
    </cfRule>
  </conditionalFormatting>
  <conditionalFormatting sqref="G8:G507">
    <cfRule type="expression" dxfId="15" priority="8">
      <formula>AND(ISNUMBER(G8),G8&lt;&gt;INT(G8))</formula>
    </cfRule>
  </conditionalFormatting>
  <conditionalFormatting sqref="H8:H507">
    <cfRule type="expression" dxfId="14" priority="9">
      <formula>AND(ISNUMBER(H8),H8&lt;&gt;INT(H8))</formula>
    </cfRule>
  </conditionalFormatting>
  <conditionalFormatting sqref="I8:I507">
    <cfRule type="expression" dxfId="13" priority="10">
      <formula>AND(ISNUMBER(I8),I8&lt;&gt;INT(I8))</formula>
    </cfRule>
  </conditionalFormatting>
  <conditionalFormatting sqref="J8:J507">
    <cfRule type="expression" dxfId="12" priority="11">
      <formula>AND(ISNUMBER(J8),J8&lt;&gt;INT(J8))</formula>
    </cfRule>
  </conditionalFormatting>
  <hyperlinks>
    <hyperlink ref="B5" location="'00_PORTADA_BODEGA'!A1" tooltip="Portada de Bodega" display="⌂ Bodega" xr:uid="{00000000-0004-0000-1000-000000000000}"/>
    <hyperlink ref="C5" location="'00_PORTADA_VENTAS'!A1" tooltip="Portada de Ventas" display="⌂ Ventas" xr:uid="{00000000-0004-0000-1000-000001000000}"/>
    <hyperlink ref="D5" location="'00_PORTADA_GERENCIA'!A1" tooltip="Portada de Gerencia: indicadores, pedido y actividad" display="◈ Gerencia" xr:uid="{00000000-0004-0000-1000-000002000000}"/>
    <hyperlink ref="E5" location="'10A_ENTRADAS'!C9" tooltip="Registrar entradas y ajustes (Bodega)" display="⇩ Entradas" xr:uid="{00000000-0004-0000-1000-000003000000}"/>
    <hyperlink ref="F5" location="'10B_SALIDAS'!E9" tooltip="Registrar salidas (Ventas)" display="⇧ Salidas" xr:uid="{00000000-0004-0000-1000-000004000000}"/>
    <hyperlink ref="G5" location="'17_CONSULTA'!C9" tooltip="Consultar un producto en su fila" display="⌕ Consulta" xr:uid="{00000000-0004-0000-1000-000005000000}"/>
    <hyperlink ref="H5" location="'15_STOCK'!A1" tooltip="Stock (instantánea recalculada a demanda)" display="▦ Stock" xr:uid="{00000000-0004-0000-1000-000006000000}"/>
    <hyperlink ref="I5" location="'18_PEDIDO'!A1" tooltip="Pedido sugerido por proveedor" display="✚ Pedido" xr:uid="{00000000-0004-0000-1000-000007000000}"/>
    <hyperlink ref="J5" location="'13_CONTEO'!I9" tooltip="Toma física (conteo) colaborativa" display="✓ Conteo" xr:uid="{00000000-0004-0000-1000-000008000000}"/>
    <hyperlink ref="K5" location="'99_AYUDA'!A1" tooltip="Guía de uso, acceso e instalación" display="? Guía" xr:uid="{00000000-0004-0000-1000-000009000000}"/>
  </hyperlinks>
  <pageMargins left="0.7" right="0.7" top="0.75" bottom="0.75" header="0.3" footer="0.3"/>
  <pageSetup fitToHeight="0" orientation="landscape"/>
  <headerFooter>
    <oddHeader>&amp;L&amp;"Segoe UI,Bold"&amp;9Pedido sugerido · M-INV&amp;R&amp;"Segoe UI,Regular"&amp;8&amp;D</oddHeader>
  </headerFooter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4A3B8"/>
  </sheetPr>
  <dimension ref="B1:M23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21.42578125" customWidth="1"/>
    <col min="3" max="3" width="3.42578125" customWidth="1"/>
    <col min="4" max="4" width="17.140625" customWidth="1"/>
    <col min="5" max="5" width="3.42578125" customWidth="1"/>
    <col min="6" max="6" width="18.5703125" customWidth="1"/>
    <col min="7" max="7" width="12.85546875" customWidth="1"/>
    <col min="9" max="9" width="15.7109375" customWidth="1"/>
    <col min="10" max="10" width="14.28515625" customWidth="1"/>
    <col min="12" max="12" width="27.140625" customWidth="1"/>
    <col min="13" max="13" width="17.140625" customWidth="1"/>
  </cols>
  <sheetData>
    <row r="1" spans="2:13" s="1" customFormat="1" ht="6" customHeight="1" x14ac:dyDescent="0.25"/>
    <row r="2" spans="2:13" s="1" customFormat="1" ht="24" customHeight="1" x14ac:dyDescent="0.25">
      <c r="B2" s="2" t="s">
        <v>257</v>
      </c>
    </row>
    <row r="3" spans="2:13" s="1" customFormat="1" ht="14.25" x14ac:dyDescent="0.25">
      <c r="B3" s="16" t="s">
        <v>258</v>
      </c>
    </row>
    <row r="4" spans="2:13" s="1" customFormat="1" ht="7.5" customHeight="1" x14ac:dyDescent="0.25"/>
    <row r="5" spans="2:13" s="7" customFormat="1" ht="18" customHeight="1" x14ac:dyDescent="0.25"/>
    <row r="6" spans="2:13" s="7" customFormat="1" ht="12" customHeight="1" x14ac:dyDescent="0.25"/>
    <row r="7" spans="2:13" x14ac:dyDescent="0.25">
      <c r="B7" s="18" t="s">
        <v>259</v>
      </c>
      <c r="D7" s="18" t="s">
        <v>260</v>
      </c>
      <c r="F7" s="18" t="s">
        <v>56</v>
      </c>
      <c r="G7" s="18" t="s">
        <v>108</v>
      </c>
      <c r="I7" s="18" t="s">
        <v>265</v>
      </c>
      <c r="J7" s="18" t="s">
        <v>264</v>
      </c>
      <c r="L7" s="18" t="s">
        <v>116</v>
      </c>
      <c r="M7" s="18" t="s">
        <v>4</v>
      </c>
    </row>
    <row r="8" spans="2:13" x14ac:dyDescent="0.25">
      <c r="B8" s="45" t="s">
        <v>46</v>
      </c>
      <c r="D8" s="45" t="s">
        <v>261</v>
      </c>
      <c r="F8" s="45" t="s">
        <v>60</v>
      </c>
      <c r="G8" s="79">
        <f>COUNTIF(tblStock[Estado],F8)</f>
        <v>0</v>
      </c>
      <c r="I8" s="80">
        <f ca="1">EDATE(DATE(YEAR(TODAY()),MONTH(TODAY()),1),-5)</f>
        <v>46113</v>
      </c>
      <c r="J8" s="79">
        <f ca="1">-SUMIFS(tblSalidas[CantidadNeta],tblSalidas[Fecha],"&gt;="&amp;I8,tblSalidas[Fecha],"&lt;"&amp;EDATE(I8,1),tblSalidas[Estado],"✔*")</f>
        <v>0</v>
      </c>
      <c r="L8" s="79" t="str">
        <f>IFERROR(INDEX(tblCategorias[Categoría],1)&amp;"","")</f>
        <v>MATERIA PRIMA</v>
      </c>
      <c r="M8" s="81">
        <f>IF(L8="",0,SUMIF(tblStock[Categoría],L8,tblStock[ValorInventario]))</f>
        <v>0</v>
      </c>
    </row>
    <row r="9" spans="2:13" x14ac:dyDescent="0.25">
      <c r="B9" s="45" t="s">
        <v>43</v>
      </c>
      <c r="D9" s="45" t="s">
        <v>44</v>
      </c>
      <c r="F9" s="45" t="s">
        <v>63</v>
      </c>
      <c r="G9" s="79">
        <f>COUNTIF(tblStock[Estado],F9)</f>
        <v>0</v>
      </c>
      <c r="I9" s="80">
        <f ca="1">EDATE(DATE(YEAR(TODAY()),MONTH(TODAY()),1),-4)</f>
        <v>46143</v>
      </c>
      <c r="J9" s="79">
        <f ca="1">-SUMIFS(tblSalidas[CantidadNeta],tblSalidas[Fecha],"&gt;="&amp;I9,tblSalidas[Fecha],"&lt;"&amp;EDATE(I9,1),tblSalidas[Estado],"✔*")</f>
        <v>0</v>
      </c>
      <c r="L9" s="79" t="str">
        <f>IFERROR(INDEX(tblCategorias[Categoría],2)&amp;"","")</f>
        <v>PRODUCTO TERMINADO</v>
      </c>
      <c r="M9" s="81">
        <f>IF(L9="",0,SUMIF(tblStock[Categoría],L9,tblStock[ValorInventario]))</f>
        <v>0</v>
      </c>
    </row>
    <row r="10" spans="2:13" x14ac:dyDescent="0.25">
      <c r="B10" s="45" t="s">
        <v>48</v>
      </c>
      <c r="D10" s="45" t="s">
        <v>53</v>
      </c>
      <c r="F10" s="45" t="s">
        <v>66</v>
      </c>
      <c r="G10" s="79">
        <f>COUNTIF(tblStock[Estado],F10)</f>
        <v>0</v>
      </c>
      <c r="I10" s="80">
        <f ca="1">EDATE(DATE(YEAR(TODAY()),MONTH(TODAY()),1),-3)</f>
        <v>46174</v>
      </c>
      <c r="J10" s="79">
        <f ca="1">-SUMIFS(tblSalidas[CantidadNeta],tblSalidas[Fecha],"&gt;="&amp;I10,tblSalidas[Fecha],"&lt;"&amp;EDATE(I10,1),tblSalidas[Estado],"✔*")</f>
        <v>0</v>
      </c>
      <c r="L10" s="79" t="str">
        <f>IFERROR(INDEX(tblCategorias[Categoría],3)&amp;"","")</f>
        <v>INSUMOS</v>
      </c>
      <c r="M10" s="81">
        <f>IF(L10="",0,SUMIF(tblStock[Categoría],L10,tblStock[ValorInventario]))</f>
        <v>0</v>
      </c>
    </row>
    <row r="11" spans="2:13" x14ac:dyDescent="0.25">
      <c r="B11" s="45" t="s">
        <v>50</v>
      </c>
      <c r="D11" s="45" t="s">
        <v>262</v>
      </c>
      <c r="F11" s="45" t="s">
        <v>69</v>
      </c>
      <c r="G11" s="79">
        <f>COUNTIF(tblStock[Estado],F11)</f>
        <v>0</v>
      </c>
      <c r="I11" s="80">
        <f ca="1">EDATE(DATE(YEAR(TODAY()),MONTH(TODAY()),1),-2)</f>
        <v>46204</v>
      </c>
      <c r="J11" s="79">
        <f ca="1">-SUMIFS(tblSalidas[CantidadNeta],tblSalidas[Fecha],"&gt;="&amp;I11,tblSalidas[Fecha],"&lt;"&amp;EDATE(I11,1),tblSalidas[Estado],"✔*")</f>
        <v>0</v>
      </c>
      <c r="L11" s="79" t="str">
        <f>IFERROR(INDEX(tblCategorias[Categoría],4)&amp;"","")</f>
        <v>REPUESTOS</v>
      </c>
      <c r="M11" s="81">
        <f>IF(L11="",0,SUMIF(tblStock[Categoría],L11,tblStock[ValorInventario]))</f>
        <v>0</v>
      </c>
    </row>
    <row r="12" spans="2:13" x14ac:dyDescent="0.25">
      <c r="F12" s="45" t="s">
        <v>72</v>
      </c>
      <c r="G12" s="79">
        <f>COUNTIF(tblStock[Estado],F12)</f>
        <v>0</v>
      </c>
      <c r="I12" s="80">
        <f ca="1">EDATE(DATE(YEAR(TODAY()),MONTH(TODAY()),1),-1)</f>
        <v>46235</v>
      </c>
      <c r="J12" s="79">
        <f ca="1">-SUMIFS(tblSalidas[CantidadNeta],tblSalidas[Fecha],"&gt;="&amp;I12,tblSalidas[Fecha],"&lt;"&amp;EDATE(I12,1),tblSalidas[Estado],"✔*")</f>
        <v>0</v>
      </c>
      <c r="L12" s="79" t="str">
        <f>IFERROR(INDEX(tblCategorias[Categoría],5)&amp;"","")</f>
        <v>EMPAQUES</v>
      </c>
      <c r="M12" s="81">
        <f>IF(L12="",0,SUMIF(tblStock[Categoría],L12,tblStock[ValorInventario]))</f>
        <v>0</v>
      </c>
    </row>
    <row r="13" spans="2:13" x14ac:dyDescent="0.25">
      <c r="F13" s="45" t="s">
        <v>75</v>
      </c>
      <c r="G13" s="79">
        <f>COUNTIF(tblStock[Estado],F13)</f>
        <v>0</v>
      </c>
      <c r="I13" s="80">
        <f ca="1">EDATE(DATE(YEAR(TODAY()),MONTH(TODAY()),1),0)</f>
        <v>46266</v>
      </c>
      <c r="J13" s="79">
        <f ca="1">-SUMIFS(tblSalidas[CantidadNeta],tblSalidas[Fecha],"&gt;="&amp;I13,tblSalidas[Fecha],"&lt;"&amp;EDATE(I13,1),tblSalidas[Estado],"✔*")</f>
        <v>0</v>
      </c>
      <c r="L13" s="79" t="str">
        <f>IFERROR(INDEX(tblCategorias[Categoría],6)&amp;"","")</f>
        <v>GENERAL</v>
      </c>
      <c r="M13" s="81">
        <f>IF(L13="",0,SUMIF(tblStock[Categoría],L13,tblStock[ValorInventario]))</f>
        <v>0</v>
      </c>
    </row>
    <row r="16" spans="2:13" x14ac:dyDescent="0.25">
      <c r="F16" s="18" t="s">
        <v>263</v>
      </c>
      <c r="G16" s="18" t="s">
        <v>264</v>
      </c>
    </row>
    <row r="17" spans="6:7" x14ac:dyDescent="0.25">
      <c r="F17" s="82">
        <f ca="1">TODAY()-6</f>
        <v>46284</v>
      </c>
      <c r="G17" s="79">
        <f ca="1">-SUMIFS(tblSalidas[CantidadNeta],tblSalidas[Fecha],F17,tblSalidas[Estado],"✔*")</f>
        <v>0</v>
      </c>
    </row>
    <row r="18" spans="6:7" x14ac:dyDescent="0.25">
      <c r="F18" s="82">
        <f ca="1">TODAY()-5</f>
        <v>46285</v>
      </c>
      <c r="G18" s="79">
        <f ca="1">-SUMIFS(tblSalidas[CantidadNeta],tblSalidas[Fecha],F18,tblSalidas[Estado],"✔*")</f>
        <v>0</v>
      </c>
    </row>
    <row r="19" spans="6:7" x14ac:dyDescent="0.25">
      <c r="F19" s="82">
        <f ca="1">TODAY()-4</f>
        <v>46286</v>
      </c>
      <c r="G19" s="79">
        <f ca="1">-SUMIFS(tblSalidas[CantidadNeta],tblSalidas[Fecha],F19,tblSalidas[Estado],"✔*")</f>
        <v>0</v>
      </c>
    </row>
    <row r="20" spans="6:7" x14ac:dyDescent="0.25">
      <c r="F20" s="82">
        <f ca="1">TODAY()-3</f>
        <v>46287</v>
      </c>
      <c r="G20" s="79">
        <f ca="1">-SUMIFS(tblSalidas[CantidadNeta],tblSalidas[Fecha],F20,tblSalidas[Estado],"✔*")</f>
        <v>0</v>
      </c>
    </row>
    <row r="21" spans="6:7" x14ac:dyDescent="0.25">
      <c r="F21" s="82">
        <f ca="1">TODAY()-2</f>
        <v>46288</v>
      </c>
      <c r="G21" s="79">
        <f ca="1">-SUMIFS(tblSalidas[CantidadNeta],tblSalidas[Fecha],F21,tblSalidas[Estado],"✔*")</f>
        <v>0</v>
      </c>
    </row>
    <row r="22" spans="6:7" x14ac:dyDescent="0.25">
      <c r="F22" s="82">
        <f ca="1">TODAY()-1</f>
        <v>46289</v>
      </c>
      <c r="G22" s="79">
        <f ca="1">-SUMIFS(tblSalidas[CantidadNeta],tblSalidas[Fecha],F22,tblSalidas[Estado],"✔*")</f>
        <v>0</v>
      </c>
    </row>
    <row r="23" spans="6:7" x14ac:dyDescent="0.25">
      <c r="F23" s="82">
        <f ca="1">TODAY()-0</f>
        <v>46290</v>
      </c>
      <c r="G23" s="79">
        <f ca="1">-SUMIFS(tblSalidas[CantidadNeta],tblSalidas[Fecha],F23,tblSalidas[Estado],"✔*")</f>
        <v>0</v>
      </c>
    </row>
  </sheetData>
  <sheetProtection password="930D" sheet="1" objects="1" scenario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4A3B8"/>
  </sheetPr>
  <dimension ref="B1:D62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45.7109375" customWidth="1"/>
    <col min="3" max="3" width="21.42578125" customWidth="1"/>
    <col min="4" max="4" width="15.7109375" customWidth="1"/>
    <col min="5" max="5" width="3.42578125" customWidth="1"/>
  </cols>
  <sheetData>
    <row r="1" spans="2:4" s="1" customFormat="1" ht="6" customHeight="1" x14ac:dyDescent="0.25"/>
    <row r="2" spans="2:4" s="1" customFormat="1" ht="24" customHeight="1" x14ac:dyDescent="0.25">
      <c r="B2" s="2" t="s">
        <v>266</v>
      </c>
    </row>
    <row r="3" spans="2:4" s="1" customFormat="1" ht="14.25" x14ac:dyDescent="0.25">
      <c r="B3" s="16" t="s">
        <v>267</v>
      </c>
    </row>
    <row r="4" spans="2:4" s="1" customFormat="1" ht="7.5" customHeight="1" x14ac:dyDescent="0.25"/>
    <row r="5" spans="2:4" s="7" customFormat="1" ht="18" customHeight="1" x14ac:dyDescent="0.25"/>
    <row r="6" spans="2:4" s="7" customFormat="1" ht="12" customHeight="1" x14ac:dyDescent="0.25"/>
    <row r="7" spans="2:4" x14ac:dyDescent="0.25">
      <c r="B7" s="18" t="s">
        <v>268</v>
      </c>
      <c r="C7" s="18" t="s">
        <v>4</v>
      </c>
      <c r="D7" s="18" t="s">
        <v>269</v>
      </c>
    </row>
    <row r="8" spans="2:4" x14ac:dyDescent="0.25">
      <c r="B8" s="45" t="s">
        <v>270</v>
      </c>
      <c r="C8" s="83">
        <f>COUNTIF(tblProductos[SKU],"?*")</f>
        <v>0</v>
      </c>
      <c r="D8" s="45" t="s">
        <v>271</v>
      </c>
    </row>
    <row r="9" spans="2:4" x14ac:dyDescent="0.25">
      <c r="B9" s="45" t="s">
        <v>272</v>
      </c>
      <c r="C9" s="83">
        <f>COUNTIFS(tblProductos[SKU],"?*",tblProductos[Activo],"&lt;&gt;NO")</f>
        <v>0</v>
      </c>
      <c r="D9" s="45" t="s">
        <v>271</v>
      </c>
    </row>
    <row r="10" spans="2:4" x14ac:dyDescent="0.25">
      <c r="B10" s="45" t="s">
        <v>273</v>
      </c>
      <c r="C10" s="83">
        <f>COUNTIF(tblProveedores[Proveedor],"?*")</f>
        <v>0</v>
      </c>
      <c r="D10" s="45" t="s">
        <v>271</v>
      </c>
    </row>
    <row r="11" spans="2:4" x14ac:dyDescent="0.25">
      <c r="B11" s="45" t="s">
        <v>274</v>
      </c>
      <c r="C11" s="83">
        <f>COUNTIFS(tblUsuarios[Correo],"?*",tblUsuarios[Activo],"&lt;&gt;NO")</f>
        <v>0</v>
      </c>
      <c r="D11" s="45" t="s">
        <v>271</v>
      </c>
    </row>
    <row r="12" spans="2:4" x14ac:dyDescent="0.25">
      <c r="B12" s="45" t="s">
        <v>275</v>
      </c>
      <c r="C12" s="83">
        <f>COUNTIFS(tblUsuarios[Correo],"?*",tblUsuarios[Activo],"&lt;&gt;NO",tblUsuarios[Rol],"ADMIN")</f>
        <v>0</v>
      </c>
      <c r="D12" s="45" t="s">
        <v>271</v>
      </c>
    </row>
    <row r="13" spans="2:4" x14ac:dyDescent="0.25">
      <c r="B13" s="45" t="s">
        <v>276</v>
      </c>
      <c r="C13" s="84">
        <f>IFERROR(LOOKUP(2,1/(tblProductos[SKU]&lt;&gt;""),ROW(tblProductos[SKU])-ROW(tblProductos[#Headers])),0)</f>
        <v>0</v>
      </c>
      <c r="D13" s="45" t="s">
        <v>277</v>
      </c>
    </row>
    <row r="14" spans="2:4" x14ac:dyDescent="0.25">
      <c r="B14" s="45" t="s">
        <v>278</v>
      </c>
      <c r="C14" s="84">
        <f>IFERROR(LOOKUP(2,1/(tblProveedores[Proveedor]&lt;&gt;""),ROW(tblProveedores[Proveedor])-ROW(tblProveedores[#Headers])),0)</f>
        <v>0</v>
      </c>
      <c r="D14" s="45" t="s">
        <v>277</v>
      </c>
    </row>
    <row r="15" spans="2:4" x14ac:dyDescent="0.25">
      <c r="B15" s="45" t="s">
        <v>279</v>
      </c>
      <c r="C15" s="83">
        <f>COUNTIF(tblStock[Estado],"INCONSISTENTE")</f>
        <v>0</v>
      </c>
      <c r="D15" s="45" t="s">
        <v>271</v>
      </c>
    </row>
    <row r="16" spans="2:4" x14ac:dyDescent="0.25">
      <c r="B16" s="45" t="s">
        <v>280</v>
      </c>
      <c r="C16" s="83">
        <f>COUNTIF(tblStock[Estado],"AGOTADO")</f>
        <v>0</v>
      </c>
      <c r="D16" s="45" t="s">
        <v>271</v>
      </c>
    </row>
    <row r="17" spans="2:4" x14ac:dyDescent="0.25">
      <c r="B17" s="45" t="s">
        <v>281</v>
      </c>
      <c r="C17" s="83">
        <f>COUNTIF(tblStock[Estado],"CRÍTICO")</f>
        <v>0</v>
      </c>
      <c r="D17" s="45" t="s">
        <v>271</v>
      </c>
    </row>
    <row r="18" spans="2:4" x14ac:dyDescent="0.25">
      <c r="B18" s="45" t="s">
        <v>282</v>
      </c>
      <c r="C18" s="83">
        <f>COUNTIF(tblStock[Estado],"BAJO")</f>
        <v>0</v>
      </c>
      <c r="D18" s="45" t="s">
        <v>271</v>
      </c>
    </row>
    <row r="19" spans="2:4" x14ac:dyDescent="0.25">
      <c r="B19" s="45" t="s">
        <v>283</v>
      </c>
      <c r="C19" s="83">
        <f>COUNTIF(tblStock[Estado],"ÓPTIMO")</f>
        <v>0</v>
      </c>
      <c r="D19" s="45" t="s">
        <v>271</v>
      </c>
    </row>
    <row r="20" spans="2:4" x14ac:dyDescent="0.25">
      <c r="B20" s="45" t="s">
        <v>284</v>
      </c>
      <c r="C20" s="83">
        <f>COUNTIF(tblStock[Estado],"SOBRESTOCK")</f>
        <v>0</v>
      </c>
      <c r="D20" s="45" t="s">
        <v>271</v>
      </c>
    </row>
    <row r="21" spans="2:4" x14ac:dyDescent="0.25">
      <c r="B21" s="45" t="s">
        <v>285</v>
      </c>
      <c r="C21" s="83">
        <f>COUNTIF(tblStock[Estado],"INACTIVO")</f>
        <v>0</v>
      </c>
      <c r="D21" s="45" t="s">
        <v>271</v>
      </c>
    </row>
    <row r="22" spans="2:4" x14ac:dyDescent="0.25">
      <c r="B22" s="45" t="s">
        <v>286</v>
      </c>
      <c r="C22" s="83">
        <f>kpiInconsistentes+kpiAgotados+kpiCriticos+kpiBajos</f>
        <v>0</v>
      </c>
      <c r="D22" s="45" t="s">
        <v>271</v>
      </c>
    </row>
    <row r="23" spans="2:4" x14ac:dyDescent="0.25">
      <c r="B23" s="45" t="s">
        <v>287</v>
      </c>
      <c r="C23" s="85">
        <f>SUM(tblStock[ValorInventario])</f>
        <v>0</v>
      </c>
      <c r="D23" s="45" t="s">
        <v>288</v>
      </c>
    </row>
    <row r="24" spans="2:4" x14ac:dyDescent="0.25">
      <c r="B24" s="45" t="s">
        <v>289</v>
      </c>
      <c r="C24" s="83">
        <f>COUNTIFS(tblStock[StockActual],"&gt;0",tblStock[Activo],"SI")</f>
        <v>0</v>
      </c>
      <c r="D24" s="45" t="s">
        <v>271</v>
      </c>
    </row>
    <row r="25" spans="2:4" x14ac:dyDescent="0.25">
      <c r="B25" s="45" t="s">
        <v>290</v>
      </c>
      <c r="C25" s="83">
        <f>COUNTIFS(tblStock[DiasSinMov],"&gt;"&amp;cfgDiasSinRotacion,tblStock[StockActual],"&gt;0",tblStock[Activo],"SI")</f>
        <v>0</v>
      </c>
      <c r="D25" s="45" t="s">
        <v>271</v>
      </c>
    </row>
    <row r="26" spans="2:4" x14ac:dyDescent="0.25">
      <c r="B26" s="45" t="s">
        <v>291</v>
      </c>
      <c r="C26" s="83">
        <f>COUNTIF(tblEntradas[Estado],"✔*")</f>
        <v>0</v>
      </c>
      <c r="D26" s="45" t="s">
        <v>271</v>
      </c>
    </row>
    <row r="27" spans="2:4" x14ac:dyDescent="0.25">
      <c r="B27" s="45" t="s">
        <v>292</v>
      </c>
      <c r="C27" s="83">
        <f>COUNTIF(tblSalidas[Estado],"✔*")</f>
        <v>0</v>
      </c>
      <c r="D27" s="45" t="s">
        <v>271</v>
      </c>
    </row>
    <row r="28" spans="2:4" x14ac:dyDescent="0.25">
      <c r="B28" s="45" t="s">
        <v>293</v>
      </c>
      <c r="C28" s="83">
        <f>COUNTIF(tblEntradas[Estado],"✖*")</f>
        <v>0</v>
      </c>
      <c r="D28" s="45" t="s">
        <v>271</v>
      </c>
    </row>
    <row r="29" spans="2:4" x14ac:dyDescent="0.25">
      <c r="B29" s="45" t="s">
        <v>294</v>
      </c>
      <c r="C29" s="83">
        <f>COUNTIF(tblSalidas[Estado],"✖*")</f>
        <v>0</v>
      </c>
      <c r="D29" s="45" t="s">
        <v>271</v>
      </c>
    </row>
    <row r="30" spans="2:4" x14ac:dyDescent="0.25">
      <c r="B30" s="45" t="s">
        <v>295</v>
      </c>
      <c r="C30" s="83">
        <f ca="1">COUNTIF(tblCapturaEntradas[Validación],"?*")</f>
        <v>0</v>
      </c>
      <c r="D30" s="45" t="s">
        <v>271</v>
      </c>
    </row>
    <row r="31" spans="2:4" x14ac:dyDescent="0.25">
      <c r="B31" s="45" t="s">
        <v>296</v>
      </c>
      <c r="C31" s="83">
        <f ca="1">COUNTIF(tblCapturaSalidas[Validación],"?*")</f>
        <v>0</v>
      </c>
      <c r="D31" s="45" t="s">
        <v>271</v>
      </c>
    </row>
    <row r="32" spans="2:4" x14ac:dyDescent="0.25">
      <c r="B32" s="45" t="s">
        <v>297</v>
      </c>
      <c r="C32" s="83">
        <f ca="1">COUNTIFS(tblEntradas[Fecha],TODAY(),tblEntradas[Tipo],"ENTRADA",tblEntradas[Estado],"✔*")</f>
        <v>0</v>
      </c>
      <c r="D32" s="45" t="s">
        <v>271</v>
      </c>
    </row>
    <row r="33" spans="2:4" x14ac:dyDescent="0.25">
      <c r="B33" s="45" t="s">
        <v>298</v>
      </c>
      <c r="C33" s="83">
        <f ca="1">COUNTIFS(tblEntradas[Fecha],"&gt;="&amp;DATE(YEAR(TODAY()),MONTH(TODAY()),1),tblEntradas[Tipo],"AJUSTE*",tblEntradas[Estado],"✔*")</f>
        <v>0</v>
      </c>
      <c r="D33" s="45" t="s">
        <v>271</v>
      </c>
    </row>
    <row r="34" spans="2:4" x14ac:dyDescent="0.25">
      <c r="B34" s="45" t="s">
        <v>299</v>
      </c>
      <c r="C34" s="83">
        <f>COUNTIFS(tblEntradas[Tipo],"SALDO INICIAL",tblEntradas[Estado],"✔*")</f>
        <v>0</v>
      </c>
      <c r="D34" s="45" t="s">
        <v>271</v>
      </c>
    </row>
    <row r="35" spans="2:4" x14ac:dyDescent="0.25">
      <c r="B35" s="45" t="s">
        <v>300</v>
      </c>
      <c r="C35" s="83">
        <f ca="1">COUNTIFS(tblSalidas[Fecha],TODAY(),tblSalidas[Estado],"✔*")</f>
        <v>0</v>
      </c>
      <c r="D35" s="45" t="s">
        <v>271</v>
      </c>
    </row>
    <row r="36" spans="2:4" x14ac:dyDescent="0.25">
      <c r="B36" s="45" t="s">
        <v>301</v>
      </c>
      <c r="C36" s="86">
        <f ca="1">-SUMIFS(tblSalidas[CantidadNeta],tblSalidas[Fecha],TODAY(),tblSalidas[Estado],"✔*")</f>
        <v>0</v>
      </c>
      <c r="D36" s="45" t="s">
        <v>302</v>
      </c>
    </row>
    <row r="37" spans="2:4" x14ac:dyDescent="0.25">
      <c r="B37" s="45" t="s">
        <v>303</v>
      </c>
      <c r="C37" s="83">
        <f ca="1">COUNTIFS(tblSalidas[Fecha],"&gt;="&amp;DATE(YEAR(TODAY()),MONTH(TODAY()),1),tblSalidas[Estado],"✔*")</f>
        <v>0</v>
      </c>
      <c r="D37" s="45" t="s">
        <v>271</v>
      </c>
    </row>
    <row r="38" spans="2:4" x14ac:dyDescent="0.25">
      <c r="B38" s="45" t="s">
        <v>304</v>
      </c>
      <c r="C38" s="83">
        <f>COUNTIF(tblEntradas[Timestamp],"&gt;"&amp;N(stkActualizado))+COUNTIF(tblSalidas[Timestamp],"&gt;"&amp;N(stkActualizado))</f>
        <v>0</v>
      </c>
      <c r="D38" s="45" t="s">
        <v>271</v>
      </c>
    </row>
    <row r="39" spans="2:4" x14ac:dyDescent="0.25">
      <c r="B39" s="45" t="s">
        <v>305</v>
      </c>
      <c r="C39" s="83">
        <f>kpiRechEnt+kpiRechSal</f>
        <v>0</v>
      </c>
      <c r="D39" s="45" t="s">
        <v>271</v>
      </c>
    </row>
    <row r="40" spans="2:4" x14ac:dyDescent="0.25">
      <c r="B40" s="45" t="s">
        <v>306</v>
      </c>
      <c r="C40" s="83">
        <f ca="1">COUNTIFS(tblEntradas[Fecha],"&gt;="&amp;DATE(YEAR(TODAY()),MONTH(TODAY()),1),tblEntradas[Estado],"✔*")+COUNTIFS(tblSalidas[Fecha],"&gt;="&amp;DATE(YEAR(TODAY()),MONTH(TODAY()),1),tblSalidas[Estado],"✔*")</f>
        <v>0</v>
      </c>
      <c r="D40" s="45" t="s">
        <v>271</v>
      </c>
    </row>
    <row r="41" spans="2:4" x14ac:dyDescent="0.25">
      <c r="B41" s="45" t="s">
        <v>307</v>
      </c>
      <c r="C41" s="86">
        <f>SUM(tblStock[Salidas30d])</f>
        <v>0</v>
      </c>
      <c r="D41" s="45" t="s">
        <v>302</v>
      </c>
    </row>
    <row r="42" spans="2:4" x14ac:dyDescent="0.25">
      <c r="B42" s="45" t="s">
        <v>308</v>
      </c>
      <c r="C42" s="84" t="str">
        <f>IFERROR(MEDIAN(tblStock[CoberturaDias]),"")</f>
        <v/>
      </c>
      <c r="D42" s="45" t="s">
        <v>277</v>
      </c>
    </row>
    <row r="43" spans="2:4" x14ac:dyDescent="0.25">
      <c r="B43" s="45" t="s">
        <v>309</v>
      </c>
      <c r="C43" s="83">
        <f>COUNT(tblPedido[APedir])</f>
        <v>0</v>
      </c>
      <c r="D43" s="45" t="s">
        <v>271</v>
      </c>
    </row>
    <row r="44" spans="2:4" x14ac:dyDescent="0.25">
      <c r="B44" s="45" t="s">
        <v>310</v>
      </c>
      <c r="C44" s="85">
        <f>SUM(tblPedido[Subtotal])</f>
        <v>0</v>
      </c>
      <c r="D44" s="45" t="s">
        <v>288</v>
      </c>
    </row>
    <row r="45" spans="2:4" x14ac:dyDescent="0.25">
      <c r="B45" s="45" t="s">
        <v>311</v>
      </c>
      <c r="C45" s="83">
        <f>SUMPRODUCT((tblPedido[Proveedor]&lt;&gt;"")/COUNTIF(tblPedido[Proveedor],tblPedido[Proveedor]&amp;""))</f>
        <v>0</v>
      </c>
      <c r="D45" s="45" t="s">
        <v>271</v>
      </c>
    </row>
    <row r="46" spans="2:4" x14ac:dyDescent="0.25">
      <c r="B46" s="45" t="s">
        <v>312</v>
      </c>
      <c r="C46" s="83">
        <f>COUNT(tblConteo[Conteo])</f>
        <v>0</v>
      </c>
      <c r="D46" s="45" t="s">
        <v>271</v>
      </c>
    </row>
    <row r="47" spans="2:4" x14ac:dyDescent="0.25">
      <c r="B47" s="45" t="s">
        <v>313</v>
      </c>
      <c r="C47" s="83">
        <f>COUNTIF(tblConteo[Diferencia],"&gt;0")+COUNTIF(tblConteo[Diferencia],"&lt;0")</f>
        <v>0</v>
      </c>
      <c r="D47" s="45" t="s">
        <v>271</v>
      </c>
    </row>
    <row r="48" spans="2:4" x14ac:dyDescent="0.25">
      <c r="B48" s="45" t="s">
        <v>314</v>
      </c>
      <c r="C48" s="85">
        <f>SUM(tblConteo[ValorDiferencia])</f>
        <v>0</v>
      </c>
      <c r="D48" s="45" t="s">
        <v>288</v>
      </c>
    </row>
    <row r="49" spans="2:4" x14ac:dyDescent="0.25">
      <c r="B49" s="45" t="s">
        <v>315</v>
      </c>
      <c r="C49" s="83">
        <f>COUNTIF(tblActividad[ID],"?*")</f>
        <v>0</v>
      </c>
      <c r="D49" s="45" t="s">
        <v>271</v>
      </c>
    </row>
    <row r="50" spans="2:4" x14ac:dyDescent="0.25">
      <c r="B50" s="45" t="s">
        <v>316</v>
      </c>
      <c r="C50" s="83">
        <f ca="1">COUNTIFS(tblActividad[Resultado],"✖*",tblActividad[Timestamp],"&gt;="&amp;DATE(YEAR(TODAY()),MONTH(TODAY()),1))</f>
        <v>0</v>
      </c>
      <c r="D50" s="45" t="s">
        <v>271</v>
      </c>
    </row>
    <row r="51" spans="2:4" x14ac:dyDescent="0.25">
      <c r="B51" s="45" t="s">
        <v>317</v>
      </c>
      <c r="C51" s="87" t="str">
        <f ca="1">"Hoy · "&amp;RIGHT("0"&amp;DAY(TODAY()),2)&amp;"/"&amp;RIGHT("0"&amp;MONTH(TODAY()),2)&amp;"/"&amp;YEAR(TODAY())</f>
        <v>Hoy · 25/09/2026</v>
      </c>
      <c r="D51" s="45" t="s">
        <v>318</v>
      </c>
    </row>
    <row r="52" spans="2:4" x14ac:dyDescent="0.25">
      <c r="B52" s="45" t="s">
        <v>319</v>
      </c>
      <c r="C52" s="87" t="str">
        <f>cfgEmpresa&amp;"   ·   "&amp;cfgBodega</f>
        <v>NOMBRE DE SU EMPRESA   ·   Bodega principal</v>
      </c>
      <c r="D52" s="45" t="s">
        <v>318</v>
      </c>
    </row>
    <row r="53" spans="2:4" x14ac:dyDescent="0.25">
      <c r="B53" s="45" t="s">
        <v>320</v>
      </c>
      <c r="C53" s="87" t="str">
        <f>IF(N(stkActualizado)=0,"Stock aún no calculado","Calculado el "&amp;RIGHT("0"&amp;DAY(stkActualizado),2)&amp;"/"&amp;RIGHT("0"&amp;MONTH(stkActualizado),2)&amp;"/"&amp;YEAR(stkActualizado)&amp;" "&amp;RIGHT("0"&amp;HOUR(stkActualizado),2)&amp;":"&amp;RIGHT("0"&amp;MINUTE(stkActualizado),2)&amp;" · "&amp;IF(stkActualizadoNombre="",stkActualizadoPor,stkActualizadoNombre))</f>
        <v>Stock aún no calculado</v>
      </c>
      <c r="D53" s="45" t="s">
        <v>318</v>
      </c>
    </row>
    <row r="54" spans="2:4" x14ac:dyDescent="0.25">
      <c r="B54" s="45" t="s">
        <v>321</v>
      </c>
      <c r="C54" s="87" t="str">
        <f>IF(N(stkActualizado)=0,"⚠ Pulse «Recalcular stock» para calcular el stock",IF(kpiNuevosDesdeCalculo&gt;0,"⚠ "&amp;kpiNuevosDesdeCalculo&amp;" movimiento(s) nuevo(s) desde el cálculo: recalcule","✔ Stock al día con las bitácoras"))</f>
        <v>⚠ Pulse «Recalcular stock» para calcular el stock</v>
      </c>
      <c r="D54" s="45" t="s">
        <v>318</v>
      </c>
    </row>
    <row r="55" spans="2:4" x14ac:dyDescent="0.25">
      <c r="B55" s="45" t="s">
        <v>322</v>
      </c>
      <c r="C55" s="87" t="str">
        <f>IF(N(stkActualizado)=0,"⚠ Sin calcular",IF(kpiNuevosDesdeCalculo&gt;0,"⚠ "&amp;kpiNuevosDesdeCalculo&amp;" mov. nuevo(s): recalcule","✔ Al día con las bitácoras"))</f>
        <v>⚠ Sin calcular</v>
      </c>
      <c r="D55" s="45" t="s">
        <v>318</v>
      </c>
    </row>
    <row r="56" spans="2:4" x14ac:dyDescent="0.25">
      <c r="B56" s="45" t="s">
        <v>323</v>
      </c>
      <c r="C56" s="87" t="str">
        <f>"✚  PEDIDO SUGERIDO  ·  $ "&amp;FIXED(kpiPedidoTotal,0)</f>
        <v>✚  PEDIDO SUGERIDO  ·  $ 0</v>
      </c>
      <c r="D56" s="45" t="s">
        <v>318</v>
      </c>
    </row>
    <row r="57" spans="2:4" x14ac:dyDescent="0.25">
      <c r="B57" s="45" t="s">
        <v>324</v>
      </c>
      <c r="C57" s="87" t="str">
        <f>IF(kpiEjecuciones=0,"Sin ejecuciones registradas","Última: "&amp;RIGHT("0"&amp;DAY(LOOKUP(2,1/(tblActividad[ID]&lt;&gt;""),tblActividad[Timestamp])),2)&amp;"/"&amp;RIGHT("0"&amp;MONTH(LOOKUP(2,1/(tblActividad[ID]&lt;&gt;""),tblActividad[Timestamp])),2)&amp;"/"&amp;YEAR(LOOKUP(2,1/(tblActividad[ID]&lt;&gt;""),tblActividad[Timestamp]))&amp;" "&amp;RIGHT("0"&amp;HOUR(LOOKUP(2,1/(tblActividad[ID]&lt;&gt;""),tblActividad[Timestamp])),2)&amp;":"&amp;RIGHT("0"&amp;MINUTE(LOOKUP(2,1/(tblActividad[ID]&lt;&gt;""),tblActividad[Timestamp])),2)&amp;" · "&amp;LOOKUP(2,1/(tblActividad[ID]&lt;&gt;""),tblActividad[Script])&amp;" · "&amp;LOOKUP(2,1/(tblActividad[ID]&lt;&gt;""),tblActividad[Nombre]))</f>
        <v>Sin ejecuciones registradas</v>
      </c>
      <c r="D57" s="45" t="s">
        <v>318</v>
      </c>
    </row>
    <row r="58" spans="2:4" x14ac:dyDescent="0.25">
      <c r="B58" s="45" t="s">
        <v>325</v>
      </c>
      <c r="C58" s="87" t="str">
        <f>IF(N(stkActualizado)=0,"⚠ Pulse «Recalcular stock» para calcular la instantánea",IF(kpiRechEnt+kpiRechSal&gt;0,"✖ "&amp;(kpiRechEnt+kpiRechSal)&amp;" registro(s) rechazado(s) en las bitácoras: revise 10A/10B y 14_ACTIVIDAD",IF(kpiEnAlerta&gt;0,"● "&amp;kpiEnAlerta&amp;" producto(s) requieren acción · pedido sugerido $ "&amp;FIXED(kpiPedidoTotal,0)&amp;" en "&amp;kpiPedidoLineas&amp;" línea(s)","✔ Inventario saludable · valor $ "&amp;FIXED(kpiValor,0))))</f>
        <v>⚠ Pulse «Recalcular stock» para calcular la instantánea</v>
      </c>
      <c r="D58" s="45" t="s">
        <v>318</v>
      </c>
    </row>
    <row r="59" spans="2:4" x14ac:dyDescent="0.25">
      <c r="B59" s="45" t="s">
        <v>326</v>
      </c>
      <c r="C59" s="87" t="str">
        <f>"⚠  ALERTAS DE STOCK CRÍTICO ("&amp;kpiEnAlerta&amp;")"</f>
        <v>⚠  ALERTAS DE STOCK CRÍTICO (0)</v>
      </c>
      <c r="D59" s="45" t="s">
        <v>318</v>
      </c>
    </row>
    <row r="60" spans="2:4" x14ac:dyDescent="0.25">
      <c r="B60" s="45" t="s">
        <v>327</v>
      </c>
      <c r="C60" s="87" t="str">
        <f>IF(kpiUsuarios=0,"① El administrador debe registrar los usuarios en 02_USUARIOS",IF(kpiCatalogo=0,"② Registre los productos en el catálogo (05_PRODUCTOS)",IF(kpiSaldosIni=0,"③ Cargue el SALDO INICIAL de cada producto en 10A_ENTRADAS",IF(kpiRechEnt&gt;0,"✖ Hay "&amp;kpiRechEnt&amp;" registro(s) rechazados en 10A: revíselos",IF(kpiConteoContados&gt;0,"✓ Conteo en curso: "&amp;kpiConteoContados&amp;" producto(s) contados · escriba SI en Confirmar y pulse Generar ajustes",IF(kpiAgotados+kpiCriticos&gt;0,"● "&amp;(kpiAgotados+kpiCriticos)&amp;" producto(s) agotados o críticos: gestione la reposición y registre las entradas al recibir","✔ Inventario saludable"))))))</f>
        <v>① El administrador debe registrar los usuarios en 02_USUARIOS</v>
      </c>
      <c r="D60" s="45" t="s">
        <v>318</v>
      </c>
    </row>
    <row r="61" spans="2:4" x14ac:dyDescent="0.25">
      <c r="B61" s="45" t="s">
        <v>328</v>
      </c>
      <c r="C61" s="87" t="str">
        <f>IF(kpiUsuarios=0,"El administrador debe registrar los usuarios en 02_USUARIOS",IF(kpiRechSal&gt;0,"✖ Hay "&amp;kpiRechSal&amp;" salida(s) rechazadas en 10B: revíselas",IF(kpiAgotados&gt;0,"● "&amp;kpiAgotados&amp;" producto(s) agotado(s): no los ofrezca sin confirmar con Bodega","✔ Todos los productos activos tienen stock")))</f>
        <v>El administrador debe registrar los usuarios en 02_USUARIOS</v>
      </c>
      <c r="D61" s="45" t="s">
        <v>318</v>
      </c>
    </row>
    <row r="62" spans="2:4" x14ac:dyDescent="0.25">
      <c r="B62" s="45" t="s">
        <v>329</v>
      </c>
      <c r="C62" s="87" t="str">
        <f>"Bitácoras oficiales: "&amp;FIXED(kpiRegEnt,0)&amp;" entradas/ajustes · "&amp;FIXED(kpiRegSal,0)&amp;" salidas"</f>
        <v>Bitácoras oficiales: 0 entradas/ajustes · 0 salidas</v>
      </c>
      <c r="D62" s="45" t="s">
        <v>318</v>
      </c>
    </row>
  </sheetData>
  <sheetProtection password="930D" sheet="1" objects="1" scenario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4A3B8"/>
  </sheetPr>
  <dimension ref="A1"/>
  <sheetViews>
    <sheetView workbookViewId="0"/>
  </sheetViews>
  <sheetFormatPr baseColWidth="10" defaultColWidth="9.140625" defaultRowHeight="15" x14ac:dyDescent="0.25"/>
  <cols>
    <col min="1" max="1" width="128.5703125" customWidth="1"/>
  </cols>
  <sheetData>
    <row r="1" spans="1:1" ht="30" customHeight="1" x14ac:dyDescent="0.25">
      <c r="A1" s="88" t="s">
        <v>330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55A64"/>
  </sheetPr>
  <dimension ref="B1:K103"/>
  <sheetViews>
    <sheetView showGridLines="0" showRowColHeaders="0" workbookViewId="0">
      <selection activeCell="B7" sqref="B7"/>
    </sheetView>
  </sheetViews>
  <sheetFormatPr baseColWidth="10" defaultColWidth="0" defaultRowHeight="15" zeroHeight="1" x14ac:dyDescent="0.25"/>
  <cols>
    <col min="1" max="1" width="3.42578125" customWidth="1"/>
    <col min="2" max="2" width="21.42578125" customWidth="1"/>
    <col min="3" max="11" width="15.7109375" customWidth="1"/>
    <col min="12" max="12" width="3.42578125" customWidth="1"/>
    <col min="13" max="13" width="0" hidden="1" customWidth="1"/>
  </cols>
  <sheetData>
    <row r="1" spans="2:11" s="1" customFormat="1" ht="4.5" customHeight="1" x14ac:dyDescent="0.25"/>
    <row r="2" spans="2:11" s="1" customFormat="1" ht="22.5" customHeight="1" x14ac:dyDescent="0.25">
      <c r="B2" s="2" t="s">
        <v>375</v>
      </c>
    </row>
    <row r="3" spans="2:11" s="1" customFormat="1" ht="14.25" x14ac:dyDescent="0.25">
      <c r="B3" s="16" t="s">
        <v>376</v>
      </c>
    </row>
    <row r="4" spans="2:11" s="1" customFormat="1" ht="4.5" customHeight="1" x14ac:dyDescent="0.25"/>
    <row r="5" spans="2:11" s="4" customFormat="1" ht="21" customHeight="1" x14ac:dyDescent="0.25">
      <c r="B5" s="6" t="s">
        <v>82</v>
      </c>
      <c r="C5" s="6" t="s">
        <v>83</v>
      </c>
      <c r="D5" s="6" t="s">
        <v>84</v>
      </c>
      <c r="E5" s="6" t="s">
        <v>85</v>
      </c>
      <c r="F5" s="6" t="s">
        <v>86</v>
      </c>
      <c r="G5" s="6" t="s">
        <v>87</v>
      </c>
      <c r="H5" s="6" t="s">
        <v>88</v>
      </c>
      <c r="I5" s="6" t="s">
        <v>89</v>
      </c>
      <c r="J5" s="6" t="s">
        <v>90</v>
      </c>
      <c r="K5" s="5" t="s">
        <v>91</v>
      </c>
    </row>
    <row r="6" spans="2:11" s="7" customFormat="1" ht="9" customHeight="1" x14ac:dyDescent="0.25"/>
    <row r="7" spans="2:11" s="7" customFormat="1" ht="19.5" customHeight="1" x14ac:dyDescent="0.25">
      <c r="B7" s="135" t="s">
        <v>377</v>
      </c>
      <c r="C7" s="135"/>
      <c r="D7" s="135"/>
      <c r="E7" s="135"/>
      <c r="F7" s="135"/>
      <c r="G7" s="135"/>
      <c r="H7" s="135"/>
      <c r="I7" s="135"/>
      <c r="J7" s="135"/>
      <c r="K7" s="135"/>
    </row>
    <row r="8" spans="2:11" ht="18" customHeight="1" x14ac:dyDescent="0.25">
      <c r="B8" s="89" t="str">
        <f>IF(AND(kpiUsuarios&gt;0,kpiAdmins&gt;0),"✔","○")</f>
        <v>○</v>
      </c>
      <c r="C8" s="136" t="str">
        <f>"Usuarios registrados en 02_USUARIOS (al menos un ADMIN)  ·  "&amp;"Usuarios activos: "&amp;kpiUsuarios</f>
        <v>Usuarios registrados en 02_USUARIOS (al menos un ADMIN)  ·  Usuarios activos: 0</v>
      </c>
      <c r="D8" s="136"/>
      <c r="E8" s="136"/>
      <c r="F8" s="136"/>
      <c r="G8" s="136"/>
      <c r="H8" s="136"/>
      <c r="I8" s="136"/>
      <c r="J8" s="136"/>
      <c r="K8" s="136"/>
    </row>
    <row r="9" spans="2:11" ht="18" customHeight="1" x14ac:dyDescent="0.25">
      <c r="B9" s="89" t="str">
        <f>IF(kpiCatalogo&gt;0,"✔","○")</f>
        <v>○</v>
      </c>
      <c r="C9" s="136" t="str">
        <f>"Productos en el catálogo (05_PRODUCTOS)  ·  "&amp;"Productos: "&amp;kpiCatalogo</f>
        <v>Productos en el catálogo (05_PRODUCTOS)  ·  Productos: 0</v>
      </c>
      <c r="D9" s="136"/>
      <c r="E9" s="136"/>
      <c r="F9" s="136"/>
      <c r="G9" s="136"/>
      <c r="H9" s="136"/>
      <c r="I9" s="136"/>
      <c r="J9" s="136"/>
      <c r="K9" s="136"/>
    </row>
    <row r="10" spans="2:11" ht="18" customHeight="1" x14ac:dyDescent="0.25">
      <c r="B10" s="89" t="str">
        <f>IF(kpiProveedores&gt;0,"✔","○")</f>
        <v>○</v>
      </c>
      <c r="C10" s="136" t="str">
        <f>"Proveedores registrados (agrupan las alertas y el pedido)  ·  "&amp;"Proveedores: "&amp;kpiProveedores</f>
        <v>Proveedores registrados (agrupan las alertas y el pedido)  ·  Proveedores: 0</v>
      </c>
      <c r="D10" s="136"/>
      <c r="E10" s="136"/>
      <c r="F10" s="136"/>
      <c r="G10" s="136"/>
      <c r="H10" s="136"/>
      <c r="I10" s="136"/>
      <c r="J10" s="136"/>
      <c r="K10" s="136"/>
    </row>
    <row r="11" spans="2:11" ht="18" customHeight="1" x14ac:dyDescent="0.25">
      <c r="B11" s="89" t="str">
        <f>IF(kpiEjecuciones&gt;0,"✔","○")</f>
        <v>○</v>
      </c>
      <c r="C11" s="136" t="str">
        <f>"Scripts instalados y ejecutados (14_ACTIVIDAD registra cada ejecución)  ·  "&amp;txtUltimaEjecucion</f>
        <v>Scripts instalados y ejecutados (14_ACTIVIDAD registra cada ejecución)  ·  Sin ejecuciones registradas</v>
      </c>
      <c r="D11" s="136"/>
      <c r="E11" s="136"/>
      <c r="F11" s="136"/>
      <c r="G11" s="136"/>
      <c r="H11" s="136"/>
      <c r="I11" s="136"/>
      <c r="J11" s="136"/>
      <c r="K11" s="136"/>
    </row>
    <row r="12" spans="2:11" ht="18" customHeight="1" x14ac:dyDescent="0.25">
      <c r="B12" s="89" t="str">
        <f>IF(N(stkActualizado)&gt;0,"✔","○")</f>
        <v>○</v>
      </c>
      <c r="C12" s="136" t="str">
        <f>"Stock calculado al menos una vez (Recalcular stock)  ·  "&amp;txtStockActualizado</f>
        <v>Stock calculado al menos una vez (Recalcular stock)  ·  Stock aún no calculado</v>
      </c>
      <c r="D12" s="136"/>
      <c r="E12" s="136"/>
      <c r="F12" s="136"/>
      <c r="G12" s="136"/>
      <c r="H12" s="136"/>
      <c r="I12" s="136"/>
      <c r="J12" s="136"/>
      <c r="K12" s="136"/>
    </row>
    <row r="13" spans="2:11" ht="18" customHeight="1" x14ac:dyDescent="0.25">
      <c r="B13" s="89" t="str">
        <f>IF(AND(kpiActivos&gt;0,kpiSaldosIni&gt;=kpiActivos),"✔","○")</f>
        <v>○</v>
      </c>
      <c r="C13" s="136" t="str">
        <f>"SALDO INICIAL cargado para todos los productos activos (10A o toma física)  ·  "&amp;"Con saldo inicial: "&amp;kpiSaldosIni&amp;" de "&amp;kpiActivos</f>
        <v>SALDO INICIAL cargado para todos los productos activos (10A o toma física)  ·  Con saldo inicial: 0 de 0</v>
      </c>
      <c r="D13" s="136"/>
      <c r="E13" s="136"/>
      <c r="F13" s="136"/>
      <c r="G13" s="136"/>
      <c r="H13" s="136"/>
      <c r="I13" s="136"/>
      <c r="J13" s="136"/>
      <c r="K13" s="136"/>
    </row>
    <row r="14" spans="2:11" s="7" customFormat="1" ht="10.5" customHeight="1" x14ac:dyDescent="0.25"/>
    <row r="15" spans="2:11" s="7" customFormat="1" ht="19.5" customHeight="1" x14ac:dyDescent="0.25">
      <c r="B15" s="135" t="s">
        <v>378</v>
      </c>
      <c r="C15" s="135"/>
      <c r="D15" s="135"/>
      <c r="E15" s="135"/>
      <c r="F15" s="135"/>
      <c r="G15" s="135"/>
      <c r="H15" s="135"/>
      <c r="I15" s="135"/>
      <c r="J15" s="135"/>
      <c r="K15" s="135"/>
    </row>
    <row r="16" spans="2:11" ht="31.5" customHeight="1" x14ac:dyDescent="0.25">
      <c r="B16" s="19" t="s">
        <v>379</v>
      </c>
      <c r="C16" s="137" t="s">
        <v>380</v>
      </c>
      <c r="D16" s="137"/>
      <c r="E16" s="137"/>
      <c r="F16" s="137"/>
      <c r="G16" s="137"/>
      <c r="H16" s="137"/>
      <c r="I16" s="137"/>
      <c r="J16" s="137"/>
      <c r="K16" s="137"/>
    </row>
    <row r="17" spans="2:11" ht="31.5" customHeight="1" x14ac:dyDescent="0.25">
      <c r="B17" s="19" t="s">
        <v>381</v>
      </c>
      <c r="C17" s="137" t="s">
        <v>382</v>
      </c>
      <c r="D17" s="137"/>
      <c r="E17" s="137"/>
      <c r="F17" s="137"/>
      <c r="G17" s="137"/>
      <c r="H17" s="137"/>
      <c r="I17" s="137"/>
      <c r="J17" s="137"/>
      <c r="K17" s="137"/>
    </row>
    <row r="18" spans="2:11" ht="19.5" customHeight="1" x14ac:dyDescent="0.25">
      <c r="B18" s="19" t="s">
        <v>383</v>
      </c>
      <c r="C18" s="137" t="s">
        <v>384</v>
      </c>
      <c r="D18" s="137"/>
      <c r="E18" s="137"/>
      <c r="F18" s="137"/>
      <c r="G18" s="137"/>
      <c r="H18" s="137"/>
      <c r="I18" s="137"/>
      <c r="J18" s="137"/>
      <c r="K18" s="137"/>
    </row>
    <row r="19" spans="2:11" ht="19.5" customHeight="1" x14ac:dyDescent="0.25">
      <c r="B19" s="19" t="s">
        <v>385</v>
      </c>
      <c r="C19" s="137" t="s">
        <v>386</v>
      </c>
      <c r="D19" s="137"/>
      <c r="E19" s="137"/>
      <c r="F19" s="137"/>
      <c r="G19" s="137"/>
      <c r="H19" s="137"/>
      <c r="I19" s="137"/>
      <c r="J19" s="137"/>
      <c r="K19" s="137"/>
    </row>
    <row r="20" spans="2:11" ht="19.5" customHeight="1" x14ac:dyDescent="0.25">
      <c r="B20" s="19" t="s">
        <v>387</v>
      </c>
      <c r="C20" s="137" t="s">
        <v>388</v>
      </c>
      <c r="D20" s="137"/>
      <c r="E20" s="137"/>
      <c r="F20" s="137"/>
      <c r="G20" s="137"/>
      <c r="H20" s="137"/>
      <c r="I20" s="137"/>
      <c r="J20" s="137"/>
      <c r="K20" s="137"/>
    </row>
    <row r="21" spans="2:11" ht="19.5" customHeight="1" x14ac:dyDescent="0.25">
      <c r="B21" s="19" t="s">
        <v>389</v>
      </c>
      <c r="C21" s="137" t="s">
        <v>390</v>
      </c>
      <c r="D21" s="137"/>
      <c r="E21" s="137"/>
      <c r="F21" s="137"/>
      <c r="G21" s="137"/>
      <c r="H21" s="137"/>
      <c r="I21" s="137"/>
      <c r="J21" s="137"/>
      <c r="K21" s="137"/>
    </row>
    <row r="22" spans="2:11" s="7" customFormat="1" ht="10.5" customHeight="1" x14ac:dyDescent="0.25"/>
    <row r="23" spans="2:11" s="7" customFormat="1" ht="19.5" customHeight="1" x14ac:dyDescent="0.25">
      <c r="B23" s="135" t="s">
        <v>391</v>
      </c>
      <c r="C23" s="135"/>
      <c r="D23" s="135"/>
      <c r="E23" s="135"/>
      <c r="F23" s="135"/>
      <c r="G23" s="135"/>
      <c r="H23" s="135"/>
      <c r="I23" s="135"/>
      <c r="J23" s="135"/>
      <c r="K23" s="135"/>
    </row>
    <row r="24" spans="2:11" ht="31.5" customHeight="1" x14ac:dyDescent="0.25">
      <c r="B24" s="19" t="s">
        <v>392</v>
      </c>
      <c r="C24" s="137" t="s">
        <v>393</v>
      </c>
      <c r="D24" s="137"/>
      <c r="E24" s="137"/>
      <c r="F24" s="137"/>
      <c r="G24" s="137"/>
      <c r="H24" s="137"/>
      <c r="I24" s="137"/>
      <c r="J24" s="137"/>
      <c r="K24" s="137"/>
    </row>
    <row r="25" spans="2:11" ht="31.5" customHeight="1" x14ac:dyDescent="0.25">
      <c r="B25" s="19" t="s">
        <v>394</v>
      </c>
      <c r="C25" s="137" t="s">
        <v>395</v>
      </c>
      <c r="D25" s="137"/>
      <c r="E25" s="137"/>
      <c r="F25" s="137"/>
      <c r="G25" s="137"/>
      <c r="H25" s="137"/>
      <c r="I25" s="137"/>
      <c r="J25" s="137"/>
      <c r="K25" s="137"/>
    </row>
    <row r="26" spans="2:11" ht="31.5" customHeight="1" x14ac:dyDescent="0.25">
      <c r="B26" s="19" t="s">
        <v>396</v>
      </c>
      <c r="C26" s="137" t="s">
        <v>397</v>
      </c>
      <c r="D26" s="137"/>
      <c r="E26" s="137"/>
      <c r="F26" s="137"/>
      <c r="G26" s="137"/>
      <c r="H26" s="137"/>
      <c r="I26" s="137"/>
      <c r="J26" s="137"/>
      <c r="K26" s="137"/>
    </row>
    <row r="27" spans="2:11" ht="31.5" customHeight="1" x14ac:dyDescent="0.25">
      <c r="B27" s="19" t="s">
        <v>398</v>
      </c>
      <c r="C27" s="137" t="s">
        <v>399</v>
      </c>
      <c r="D27" s="137"/>
      <c r="E27" s="137"/>
      <c r="F27" s="137"/>
      <c r="G27" s="137"/>
      <c r="H27" s="137"/>
      <c r="I27" s="137"/>
      <c r="J27" s="137"/>
      <c r="K27" s="137"/>
    </row>
    <row r="28" spans="2:11" s="7" customFormat="1" ht="10.5" customHeight="1" x14ac:dyDescent="0.25"/>
    <row r="29" spans="2:11" s="7" customFormat="1" ht="19.5" customHeight="1" x14ac:dyDescent="0.25">
      <c r="B29" s="135" t="s">
        <v>400</v>
      </c>
      <c r="C29" s="135"/>
      <c r="D29" s="135"/>
      <c r="E29" s="135"/>
      <c r="F29" s="135"/>
      <c r="G29" s="135"/>
      <c r="H29" s="135"/>
      <c r="I29" s="135"/>
      <c r="J29" s="135"/>
      <c r="K29" s="135"/>
    </row>
    <row r="30" spans="2:11" ht="31.5" customHeight="1" x14ac:dyDescent="0.25">
      <c r="B30" s="19" t="s">
        <v>44</v>
      </c>
      <c r="C30" s="137" t="s">
        <v>401</v>
      </c>
      <c r="D30" s="137"/>
      <c r="E30" s="137"/>
      <c r="F30" s="137"/>
      <c r="G30" s="137"/>
      <c r="H30" s="137"/>
      <c r="I30" s="137"/>
      <c r="J30" s="137"/>
      <c r="K30" s="137"/>
    </row>
    <row r="31" spans="2:11" ht="31.5" customHeight="1" x14ac:dyDescent="0.25">
      <c r="B31" s="19" t="s">
        <v>53</v>
      </c>
      <c r="C31" s="137" t="s">
        <v>402</v>
      </c>
      <c r="D31" s="137"/>
      <c r="E31" s="137"/>
      <c r="F31" s="137"/>
      <c r="G31" s="137"/>
      <c r="H31" s="137"/>
      <c r="I31" s="137"/>
      <c r="J31" s="137"/>
      <c r="K31" s="137"/>
    </row>
    <row r="32" spans="2:11" ht="31.5" customHeight="1" x14ac:dyDescent="0.25">
      <c r="B32" s="19" t="s">
        <v>261</v>
      </c>
      <c r="C32" s="137" t="s">
        <v>403</v>
      </c>
      <c r="D32" s="137"/>
      <c r="E32" s="137"/>
      <c r="F32" s="137"/>
      <c r="G32" s="137"/>
      <c r="H32" s="137"/>
      <c r="I32" s="137"/>
      <c r="J32" s="137"/>
      <c r="K32" s="137"/>
    </row>
    <row r="33" spans="2:11" ht="19.5" customHeight="1" x14ac:dyDescent="0.25">
      <c r="B33" s="19" t="s">
        <v>262</v>
      </c>
      <c r="C33" s="137" t="s">
        <v>404</v>
      </c>
      <c r="D33" s="137"/>
      <c r="E33" s="137"/>
      <c r="F33" s="137"/>
      <c r="G33" s="137"/>
      <c r="H33" s="137"/>
      <c r="I33" s="137"/>
      <c r="J33" s="137"/>
      <c r="K33" s="137"/>
    </row>
    <row r="34" spans="2:11" s="7" customFormat="1" ht="10.5" customHeight="1" x14ac:dyDescent="0.25"/>
    <row r="35" spans="2:11" s="7" customFormat="1" ht="19.5" customHeight="1" x14ac:dyDescent="0.25">
      <c r="B35" s="135" t="s">
        <v>405</v>
      </c>
      <c r="C35" s="135"/>
      <c r="D35" s="135"/>
      <c r="E35" s="135"/>
      <c r="F35" s="135"/>
      <c r="G35" s="135"/>
      <c r="H35" s="135"/>
      <c r="I35" s="135"/>
      <c r="J35" s="135"/>
      <c r="K35" s="135"/>
    </row>
    <row r="36" spans="2:11" ht="19.5" customHeight="1" x14ac:dyDescent="0.25">
      <c r="B36" s="19" t="s">
        <v>379</v>
      </c>
      <c r="C36" s="137" t="s">
        <v>406</v>
      </c>
      <c r="D36" s="137"/>
      <c r="E36" s="137"/>
      <c r="F36" s="137"/>
      <c r="G36" s="137"/>
      <c r="H36" s="137"/>
      <c r="I36" s="137"/>
      <c r="J36" s="137"/>
      <c r="K36" s="137"/>
    </row>
    <row r="37" spans="2:11" ht="19.5" customHeight="1" x14ac:dyDescent="0.25">
      <c r="B37" s="19" t="s">
        <v>381</v>
      </c>
      <c r="C37" s="137" t="s">
        <v>407</v>
      </c>
      <c r="D37" s="137"/>
      <c r="E37" s="137"/>
      <c r="F37" s="137"/>
      <c r="G37" s="137"/>
      <c r="H37" s="137"/>
      <c r="I37" s="137"/>
      <c r="J37" s="137"/>
      <c r="K37" s="137"/>
    </row>
    <row r="38" spans="2:11" ht="31.5" customHeight="1" x14ac:dyDescent="0.25">
      <c r="B38" s="19" t="s">
        <v>383</v>
      </c>
      <c r="C38" s="137" t="s">
        <v>408</v>
      </c>
      <c r="D38" s="137"/>
      <c r="E38" s="137"/>
      <c r="F38" s="137"/>
      <c r="G38" s="137"/>
      <c r="H38" s="137"/>
      <c r="I38" s="137"/>
      <c r="J38" s="137"/>
      <c r="K38" s="137"/>
    </row>
    <row r="39" spans="2:11" ht="19.5" customHeight="1" x14ac:dyDescent="0.25">
      <c r="B39" s="19" t="s">
        <v>385</v>
      </c>
      <c r="C39" s="137" t="s">
        <v>409</v>
      </c>
      <c r="D39" s="137"/>
      <c r="E39" s="137"/>
      <c r="F39" s="137"/>
      <c r="G39" s="137"/>
      <c r="H39" s="137"/>
      <c r="I39" s="137"/>
      <c r="J39" s="137"/>
      <c r="K39" s="137"/>
    </row>
    <row r="40" spans="2:11" ht="19.5" customHeight="1" x14ac:dyDescent="0.25">
      <c r="B40" s="19" t="s">
        <v>387</v>
      </c>
      <c r="C40" s="137" t="s">
        <v>410</v>
      </c>
      <c r="D40" s="137"/>
      <c r="E40" s="137"/>
      <c r="F40" s="137"/>
      <c r="G40" s="137"/>
      <c r="H40" s="137"/>
      <c r="I40" s="137"/>
      <c r="J40" s="137"/>
      <c r="K40" s="137"/>
    </row>
    <row r="41" spans="2:11" ht="31.5" customHeight="1" x14ac:dyDescent="0.25">
      <c r="B41" s="19" t="s">
        <v>389</v>
      </c>
      <c r="C41" s="137" t="s">
        <v>411</v>
      </c>
      <c r="D41" s="137"/>
      <c r="E41" s="137"/>
      <c r="F41" s="137"/>
      <c r="G41" s="137"/>
      <c r="H41" s="137"/>
      <c r="I41" s="137"/>
      <c r="J41" s="137"/>
      <c r="K41" s="137"/>
    </row>
    <row r="42" spans="2:11" s="7" customFormat="1" ht="10.5" customHeight="1" x14ac:dyDescent="0.25"/>
    <row r="43" spans="2:11" s="7" customFormat="1" ht="19.5" customHeight="1" x14ac:dyDescent="0.25">
      <c r="B43" s="135" t="s">
        <v>412</v>
      </c>
      <c r="C43" s="135"/>
      <c r="D43" s="135"/>
      <c r="E43" s="135"/>
      <c r="F43" s="135"/>
      <c r="G43" s="135"/>
      <c r="H43" s="135"/>
      <c r="I43" s="135"/>
      <c r="J43" s="135"/>
      <c r="K43" s="135"/>
    </row>
    <row r="44" spans="2:11" ht="31.5" customHeight="1" x14ac:dyDescent="0.25">
      <c r="B44" s="19" t="s">
        <v>413</v>
      </c>
      <c r="C44" s="137" t="s">
        <v>414</v>
      </c>
      <c r="D44" s="137"/>
      <c r="E44" s="137"/>
      <c r="F44" s="137"/>
      <c r="G44" s="137"/>
      <c r="H44" s="137"/>
      <c r="I44" s="137"/>
      <c r="J44" s="137"/>
      <c r="K44" s="137"/>
    </row>
    <row r="45" spans="2:11" ht="31.5" customHeight="1" x14ac:dyDescent="0.25">
      <c r="B45" s="19" t="s">
        <v>415</v>
      </c>
      <c r="C45" s="137" t="s">
        <v>416</v>
      </c>
      <c r="D45" s="137"/>
      <c r="E45" s="137"/>
      <c r="F45" s="137"/>
      <c r="G45" s="137"/>
      <c r="H45" s="137"/>
      <c r="I45" s="137"/>
      <c r="J45" s="137"/>
      <c r="K45" s="137"/>
    </row>
    <row r="46" spans="2:11" ht="19.5" customHeight="1" x14ac:dyDescent="0.25">
      <c r="B46" s="19" t="s">
        <v>417</v>
      </c>
      <c r="C46" s="137" t="s">
        <v>418</v>
      </c>
      <c r="D46" s="137"/>
      <c r="E46" s="137"/>
      <c r="F46" s="137"/>
      <c r="G46" s="137"/>
      <c r="H46" s="137"/>
      <c r="I46" s="137"/>
      <c r="J46" s="137"/>
      <c r="K46" s="137"/>
    </row>
    <row r="47" spans="2:11" s="7" customFormat="1" ht="10.5" customHeight="1" x14ac:dyDescent="0.25"/>
    <row r="48" spans="2:11" s="7" customFormat="1" ht="19.5" customHeight="1" x14ac:dyDescent="0.25">
      <c r="B48" s="135" t="s">
        <v>419</v>
      </c>
      <c r="C48" s="135"/>
      <c r="D48" s="135"/>
      <c r="E48" s="135"/>
      <c r="F48" s="135"/>
      <c r="G48" s="135"/>
      <c r="H48" s="135"/>
      <c r="I48" s="135"/>
      <c r="J48" s="135"/>
      <c r="K48" s="135"/>
    </row>
    <row r="49" spans="2:11" ht="19.5" customHeight="1" x14ac:dyDescent="0.25">
      <c r="B49" s="19" t="s">
        <v>379</v>
      </c>
      <c r="C49" s="137" t="s">
        <v>420</v>
      </c>
      <c r="D49" s="137"/>
      <c r="E49" s="137"/>
      <c r="F49" s="137"/>
      <c r="G49" s="137"/>
      <c r="H49" s="137"/>
      <c r="I49" s="137"/>
      <c r="J49" s="137"/>
      <c r="K49" s="137"/>
    </row>
    <row r="50" spans="2:11" ht="31.5" customHeight="1" x14ac:dyDescent="0.25">
      <c r="B50" s="19" t="s">
        <v>381</v>
      </c>
      <c r="C50" s="137" t="s">
        <v>421</v>
      </c>
      <c r="D50" s="137"/>
      <c r="E50" s="137"/>
      <c r="F50" s="137"/>
      <c r="G50" s="137"/>
      <c r="H50" s="137"/>
      <c r="I50" s="137"/>
      <c r="J50" s="137"/>
      <c r="K50" s="137"/>
    </row>
    <row r="51" spans="2:11" ht="31.5" customHeight="1" x14ac:dyDescent="0.25">
      <c r="B51" s="19" t="s">
        <v>383</v>
      </c>
      <c r="C51" s="137" t="s">
        <v>422</v>
      </c>
      <c r="D51" s="137"/>
      <c r="E51" s="137"/>
      <c r="F51" s="137"/>
      <c r="G51" s="137"/>
      <c r="H51" s="137"/>
      <c r="I51" s="137"/>
      <c r="J51" s="137"/>
      <c r="K51" s="137"/>
    </row>
    <row r="52" spans="2:11" ht="19.5" customHeight="1" x14ac:dyDescent="0.25">
      <c r="B52" s="19" t="s">
        <v>385</v>
      </c>
      <c r="C52" s="137" t="s">
        <v>423</v>
      </c>
      <c r="D52" s="137"/>
      <c r="E52" s="137"/>
      <c r="F52" s="137"/>
      <c r="G52" s="137"/>
      <c r="H52" s="137"/>
      <c r="I52" s="137"/>
      <c r="J52" s="137"/>
      <c r="K52" s="137"/>
    </row>
    <row r="53" spans="2:11" ht="31.5" customHeight="1" x14ac:dyDescent="0.25">
      <c r="B53" s="19" t="s">
        <v>387</v>
      </c>
      <c r="C53" s="137" t="s">
        <v>424</v>
      </c>
      <c r="D53" s="137"/>
      <c r="E53" s="137"/>
      <c r="F53" s="137"/>
      <c r="G53" s="137"/>
      <c r="H53" s="137"/>
      <c r="I53" s="137"/>
      <c r="J53" s="137"/>
      <c r="K53" s="137"/>
    </row>
    <row r="54" spans="2:11" ht="31.5" customHeight="1" x14ac:dyDescent="0.25">
      <c r="B54" s="19" t="s">
        <v>389</v>
      </c>
      <c r="C54" s="137" t="s">
        <v>425</v>
      </c>
      <c r="D54" s="137"/>
      <c r="E54" s="137"/>
      <c r="F54" s="137"/>
      <c r="G54" s="137"/>
      <c r="H54" s="137"/>
      <c r="I54" s="137"/>
      <c r="J54" s="137"/>
      <c r="K54" s="137"/>
    </row>
    <row r="55" spans="2:11" s="7" customFormat="1" ht="10.5" customHeight="1" x14ac:dyDescent="0.25"/>
    <row r="56" spans="2:11" s="7" customFormat="1" ht="19.5" customHeight="1" x14ac:dyDescent="0.25">
      <c r="B56" s="135" t="s">
        <v>426</v>
      </c>
      <c r="C56" s="135"/>
      <c r="D56" s="135"/>
      <c r="E56" s="135"/>
      <c r="F56" s="135"/>
      <c r="G56" s="135"/>
      <c r="H56" s="135"/>
      <c r="I56" s="135"/>
      <c r="J56" s="135"/>
      <c r="K56" s="135"/>
    </row>
    <row r="57" spans="2:11" ht="31.5" customHeight="1" x14ac:dyDescent="0.25">
      <c r="B57" s="19" t="s">
        <v>427</v>
      </c>
      <c r="C57" s="137" t="s">
        <v>428</v>
      </c>
      <c r="D57" s="137"/>
      <c r="E57" s="137"/>
      <c r="F57" s="137"/>
      <c r="G57" s="137"/>
      <c r="H57" s="137"/>
      <c r="I57" s="137"/>
      <c r="J57" s="137"/>
      <c r="K57" s="137"/>
    </row>
    <row r="58" spans="2:11" ht="31.5" customHeight="1" x14ac:dyDescent="0.25">
      <c r="B58" s="19" t="s">
        <v>429</v>
      </c>
      <c r="C58" s="137" t="s">
        <v>430</v>
      </c>
      <c r="D58" s="137"/>
      <c r="E58" s="137"/>
      <c r="F58" s="137"/>
      <c r="G58" s="137"/>
      <c r="H58" s="137"/>
      <c r="I58" s="137"/>
      <c r="J58" s="137"/>
      <c r="K58" s="137"/>
    </row>
    <row r="59" spans="2:11" s="7" customFormat="1" ht="10.5" customHeight="1" x14ac:dyDescent="0.25"/>
    <row r="60" spans="2:11" s="7" customFormat="1" ht="19.5" customHeight="1" x14ac:dyDescent="0.25">
      <c r="B60" s="135" t="s">
        <v>431</v>
      </c>
      <c r="C60" s="135"/>
      <c r="D60" s="135"/>
      <c r="E60" s="135"/>
      <c r="F60" s="135"/>
      <c r="G60" s="135"/>
      <c r="H60" s="135"/>
      <c r="I60" s="135"/>
      <c r="J60" s="135"/>
      <c r="K60" s="135"/>
    </row>
    <row r="61" spans="2:11" ht="31.5" customHeight="1" x14ac:dyDescent="0.25">
      <c r="B61" s="19" t="s">
        <v>432</v>
      </c>
      <c r="C61" s="137" t="s">
        <v>433</v>
      </c>
      <c r="D61" s="137"/>
      <c r="E61" s="137"/>
      <c r="F61" s="137"/>
      <c r="G61" s="137"/>
      <c r="H61" s="137"/>
      <c r="I61" s="137"/>
      <c r="J61" s="137"/>
      <c r="K61" s="137"/>
    </row>
    <row r="62" spans="2:11" ht="31.5" customHeight="1" x14ac:dyDescent="0.25">
      <c r="B62" s="19" t="s">
        <v>434</v>
      </c>
      <c r="C62" s="137" t="s">
        <v>435</v>
      </c>
      <c r="D62" s="137"/>
      <c r="E62" s="137"/>
      <c r="F62" s="137"/>
      <c r="G62" s="137"/>
      <c r="H62" s="137"/>
      <c r="I62" s="137"/>
      <c r="J62" s="137"/>
      <c r="K62" s="137"/>
    </row>
    <row r="63" spans="2:11" s="7" customFormat="1" ht="10.5" customHeight="1" x14ac:dyDescent="0.25"/>
    <row r="64" spans="2:11" s="7" customFormat="1" ht="19.5" customHeight="1" x14ac:dyDescent="0.25">
      <c r="B64" s="135" t="s">
        <v>436</v>
      </c>
      <c r="C64" s="135"/>
      <c r="D64" s="135"/>
      <c r="E64" s="135"/>
      <c r="F64" s="135"/>
      <c r="G64" s="135"/>
      <c r="H64" s="135"/>
      <c r="I64" s="135"/>
      <c r="J64" s="135"/>
      <c r="K64" s="135"/>
    </row>
    <row r="65" spans="2:11" ht="31.5" customHeight="1" x14ac:dyDescent="0.25">
      <c r="B65" s="19" t="s">
        <v>437</v>
      </c>
      <c r="C65" s="137" t="s">
        <v>438</v>
      </c>
      <c r="D65" s="137"/>
      <c r="E65" s="137"/>
      <c r="F65" s="137"/>
      <c r="G65" s="137"/>
      <c r="H65" s="137"/>
      <c r="I65" s="137"/>
      <c r="J65" s="137"/>
      <c r="K65" s="137"/>
    </row>
    <row r="66" spans="2:11" ht="31.5" customHeight="1" x14ac:dyDescent="0.25">
      <c r="B66" s="19" t="s">
        <v>439</v>
      </c>
      <c r="C66" s="137" t="s">
        <v>440</v>
      </c>
      <c r="D66" s="137"/>
      <c r="E66" s="137"/>
      <c r="F66" s="137"/>
      <c r="G66" s="137"/>
      <c r="H66" s="137"/>
      <c r="I66" s="137"/>
      <c r="J66" s="137"/>
      <c r="K66" s="137"/>
    </row>
    <row r="67" spans="2:11" s="7" customFormat="1" ht="10.5" customHeight="1" x14ac:dyDescent="0.25"/>
    <row r="68" spans="2:11" s="7" customFormat="1" ht="19.5" customHeight="1" x14ac:dyDescent="0.25">
      <c r="B68" s="135" t="s">
        <v>441</v>
      </c>
      <c r="C68" s="135"/>
      <c r="D68" s="135"/>
      <c r="E68" s="135"/>
      <c r="F68" s="135"/>
      <c r="G68" s="135"/>
      <c r="H68" s="135"/>
      <c r="I68" s="135"/>
      <c r="J68" s="135"/>
      <c r="K68" s="135"/>
    </row>
    <row r="69" spans="2:11" ht="31.5" customHeight="1" x14ac:dyDescent="0.25">
      <c r="B69" s="19" t="s">
        <v>442</v>
      </c>
      <c r="C69" s="137" t="s">
        <v>443</v>
      </c>
      <c r="D69" s="137"/>
      <c r="E69" s="137"/>
      <c r="F69" s="137"/>
      <c r="G69" s="137"/>
      <c r="H69" s="137"/>
      <c r="I69" s="137"/>
      <c r="J69" s="137"/>
      <c r="K69" s="137"/>
    </row>
    <row r="70" spans="2:11" ht="31.5" customHeight="1" x14ac:dyDescent="0.25">
      <c r="B70" s="19" t="s">
        <v>444</v>
      </c>
      <c r="C70" s="137" t="s">
        <v>445</v>
      </c>
      <c r="D70" s="137"/>
      <c r="E70" s="137"/>
      <c r="F70" s="137"/>
      <c r="G70" s="137"/>
      <c r="H70" s="137"/>
      <c r="I70" s="137"/>
      <c r="J70" s="137"/>
      <c r="K70" s="137"/>
    </row>
    <row r="71" spans="2:11" s="7" customFormat="1" ht="10.5" customHeight="1" x14ac:dyDescent="0.25"/>
    <row r="72" spans="2:11" s="7" customFormat="1" ht="19.5" customHeight="1" x14ac:dyDescent="0.25">
      <c r="B72" s="135" t="s">
        <v>446</v>
      </c>
      <c r="C72" s="135"/>
      <c r="D72" s="135"/>
      <c r="E72" s="135"/>
      <c r="F72" s="135"/>
      <c r="G72" s="135"/>
      <c r="H72" s="135"/>
      <c r="I72" s="135"/>
      <c r="J72" s="135"/>
      <c r="K72" s="135"/>
    </row>
    <row r="73" spans="2:11" ht="31.5" customHeight="1" x14ac:dyDescent="0.25">
      <c r="B73" s="19" t="s">
        <v>447</v>
      </c>
      <c r="C73" s="137" t="s">
        <v>448</v>
      </c>
      <c r="D73" s="137"/>
      <c r="E73" s="137"/>
      <c r="F73" s="137"/>
      <c r="G73" s="137"/>
      <c r="H73" s="137"/>
      <c r="I73" s="137"/>
      <c r="J73" s="137"/>
      <c r="K73" s="137"/>
    </row>
    <row r="74" spans="2:11" ht="31.5" customHeight="1" x14ac:dyDescent="0.25">
      <c r="B74" s="19" t="s">
        <v>449</v>
      </c>
      <c r="C74" s="137" t="s">
        <v>450</v>
      </c>
      <c r="D74" s="137"/>
      <c r="E74" s="137"/>
      <c r="F74" s="137"/>
      <c r="G74" s="137"/>
      <c r="H74" s="137"/>
      <c r="I74" s="137"/>
      <c r="J74" s="137"/>
      <c r="K74" s="137"/>
    </row>
    <row r="75" spans="2:11" s="7" customFormat="1" ht="10.5" customHeight="1" x14ac:dyDescent="0.25"/>
    <row r="76" spans="2:11" s="7" customFormat="1" ht="19.5" customHeight="1" x14ac:dyDescent="0.25">
      <c r="B76" s="135" t="s">
        <v>451</v>
      </c>
      <c r="C76" s="135"/>
      <c r="D76" s="135"/>
      <c r="E76" s="135"/>
      <c r="F76" s="135"/>
      <c r="G76" s="135"/>
      <c r="H76" s="135"/>
      <c r="I76" s="135"/>
      <c r="J76" s="135"/>
      <c r="K76" s="135"/>
    </row>
    <row r="77" spans="2:11" ht="31.5" customHeight="1" x14ac:dyDescent="0.25">
      <c r="B77" s="19" t="s">
        <v>452</v>
      </c>
      <c r="C77" s="137" t="s">
        <v>453</v>
      </c>
      <c r="D77" s="137"/>
      <c r="E77" s="137"/>
      <c r="F77" s="137"/>
      <c r="G77" s="137"/>
      <c r="H77" s="137"/>
      <c r="I77" s="137"/>
      <c r="J77" s="137"/>
      <c r="K77" s="137"/>
    </row>
    <row r="78" spans="2:11" ht="31.5" customHeight="1" x14ac:dyDescent="0.25">
      <c r="B78" s="19" t="s">
        <v>454</v>
      </c>
      <c r="C78" s="137" t="s">
        <v>455</v>
      </c>
      <c r="D78" s="137"/>
      <c r="E78" s="137"/>
      <c r="F78" s="137"/>
      <c r="G78" s="137"/>
      <c r="H78" s="137"/>
      <c r="I78" s="137"/>
      <c r="J78" s="137"/>
      <c r="K78" s="137"/>
    </row>
    <row r="79" spans="2:11" ht="31.5" customHeight="1" x14ac:dyDescent="0.25">
      <c r="B79" s="19" t="s">
        <v>456</v>
      </c>
      <c r="C79" s="137" t="s">
        <v>457</v>
      </c>
      <c r="D79" s="137"/>
      <c r="E79" s="137"/>
      <c r="F79" s="137"/>
      <c r="G79" s="137"/>
      <c r="H79" s="137"/>
      <c r="I79" s="137"/>
      <c r="J79" s="137"/>
      <c r="K79" s="137"/>
    </row>
    <row r="80" spans="2:11" s="7" customFormat="1" ht="10.5" customHeight="1" x14ac:dyDescent="0.25"/>
    <row r="81" spans="2:11" s="7" customFormat="1" ht="19.5" customHeight="1" x14ac:dyDescent="0.25">
      <c r="B81" s="135" t="s">
        <v>458</v>
      </c>
      <c r="C81" s="135"/>
      <c r="D81" s="135"/>
      <c r="E81" s="135"/>
      <c r="F81" s="135"/>
      <c r="G81" s="135"/>
      <c r="H81" s="135"/>
      <c r="I81" s="135"/>
      <c r="J81" s="135"/>
      <c r="K81" s="135"/>
    </row>
    <row r="82" spans="2:11" ht="31.5" customHeight="1" x14ac:dyDescent="0.25">
      <c r="B82" s="19" t="s">
        <v>459</v>
      </c>
      <c r="C82" s="137" t="s">
        <v>460</v>
      </c>
      <c r="D82" s="137"/>
      <c r="E82" s="137"/>
      <c r="F82" s="137"/>
      <c r="G82" s="137"/>
      <c r="H82" s="137"/>
      <c r="I82" s="137"/>
      <c r="J82" s="137"/>
      <c r="K82" s="137"/>
    </row>
    <row r="83" spans="2:11" s="7" customFormat="1" ht="10.5" customHeight="1" x14ac:dyDescent="0.25"/>
    <row r="84" spans="2:11" s="7" customFormat="1" ht="19.5" customHeight="1" x14ac:dyDescent="0.25">
      <c r="B84" s="135" t="s">
        <v>461</v>
      </c>
      <c r="C84" s="135"/>
      <c r="D84" s="135"/>
      <c r="E84" s="135"/>
      <c r="F84" s="135"/>
      <c r="G84" s="135"/>
      <c r="H84" s="135"/>
      <c r="I84" s="135"/>
      <c r="J84" s="135"/>
      <c r="K84" s="135"/>
    </row>
    <row r="85" spans="2:11" ht="31.5" customHeight="1" x14ac:dyDescent="0.25">
      <c r="B85" s="19" t="s">
        <v>462</v>
      </c>
      <c r="C85" s="137" t="s">
        <v>463</v>
      </c>
      <c r="D85" s="137"/>
      <c r="E85" s="137"/>
      <c r="F85" s="137"/>
      <c r="G85" s="137"/>
      <c r="H85" s="137"/>
      <c r="I85" s="137"/>
      <c r="J85" s="137"/>
      <c r="K85" s="137"/>
    </row>
    <row r="86" spans="2:11" ht="31.5" customHeight="1" x14ac:dyDescent="0.25">
      <c r="B86" s="19" t="s">
        <v>464</v>
      </c>
      <c r="C86" s="137" t="s">
        <v>465</v>
      </c>
      <c r="D86" s="137"/>
      <c r="E86" s="137"/>
      <c r="F86" s="137"/>
      <c r="G86" s="137"/>
      <c r="H86" s="137"/>
      <c r="I86" s="137"/>
      <c r="J86" s="137"/>
      <c r="K86" s="137"/>
    </row>
    <row r="87" spans="2:11" s="7" customFormat="1" ht="10.5" customHeight="1" x14ac:dyDescent="0.25"/>
    <row r="88" spans="2:11" s="7" customFormat="1" ht="19.5" customHeight="1" x14ac:dyDescent="0.25">
      <c r="B88" s="135" t="s">
        <v>466</v>
      </c>
      <c r="C88" s="135"/>
      <c r="D88" s="135"/>
      <c r="E88" s="135"/>
      <c r="F88" s="135"/>
      <c r="G88" s="135"/>
      <c r="H88" s="135"/>
      <c r="I88" s="135"/>
      <c r="J88" s="135"/>
      <c r="K88" s="135"/>
    </row>
    <row r="89" spans="2:11" ht="31.5" customHeight="1" x14ac:dyDescent="0.25">
      <c r="B89" s="19" t="s">
        <v>379</v>
      </c>
      <c r="C89" s="137" t="s">
        <v>467</v>
      </c>
      <c r="D89" s="137"/>
      <c r="E89" s="137"/>
      <c r="F89" s="137"/>
      <c r="G89" s="137"/>
      <c r="H89" s="137"/>
      <c r="I89" s="137"/>
      <c r="J89" s="137"/>
      <c r="K89" s="137"/>
    </row>
    <row r="90" spans="2:11" ht="19.5" customHeight="1" x14ac:dyDescent="0.25">
      <c r="B90" s="19" t="s">
        <v>381</v>
      </c>
      <c r="C90" s="137" t="s">
        <v>468</v>
      </c>
      <c r="D90" s="137"/>
      <c r="E90" s="137"/>
      <c r="F90" s="137"/>
      <c r="G90" s="137"/>
      <c r="H90" s="137"/>
      <c r="I90" s="137"/>
      <c r="J90" s="137"/>
      <c r="K90" s="137"/>
    </row>
    <row r="91" spans="2:11" ht="31.5" customHeight="1" x14ac:dyDescent="0.25">
      <c r="B91" s="19" t="s">
        <v>383</v>
      </c>
      <c r="C91" s="137" t="s">
        <v>469</v>
      </c>
      <c r="D91" s="137"/>
      <c r="E91" s="137"/>
      <c r="F91" s="137"/>
      <c r="G91" s="137"/>
      <c r="H91" s="137"/>
      <c r="I91" s="137"/>
      <c r="J91" s="137"/>
      <c r="K91" s="137"/>
    </row>
    <row r="92" spans="2:11" ht="19.5" customHeight="1" x14ac:dyDescent="0.25">
      <c r="B92" s="19" t="s">
        <v>385</v>
      </c>
      <c r="C92" s="137" t="s">
        <v>470</v>
      </c>
      <c r="D92" s="137"/>
      <c r="E92" s="137"/>
      <c r="F92" s="137"/>
      <c r="G92" s="137"/>
      <c r="H92" s="137"/>
      <c r="I92" s="137"/>
      <c r="J92" s="137"/>
      <c r="K92" s="137"/>
    </row>
    <row r="93" spans="2:11" ht="31.5" customHeight="1" x14ac:dyDescent="0.25">
      <c r="B93" s="19" t="s">
        <v>387</v>
      </c>
      <c r="C93" s="137" t="s">
        <v>471</v>
      </c>
      <c r="D93" s="137"/>
      <c r="E93" s="137"/>
      <c r="F93" s="137"/>
      <c r="G93" s="137"/>
      <c r="H93" s="137"/>
      <c r="I93" s="137"/>
      <c r="J93" s="137"/>
      <c r="K93" s="137"/>
    </row>
    <row r="94" spans="2:11" ht="31.5" customHeight="1" x14ac:dyDescent="0.25">
      <c r="B94" s="19" t="s">
        <v>389</v>
      </c>
      <c r="C94" s="137" t="s">
        <v>472</v>
      </c>
      <c r="D94" s="137"/>
      <c r="E94" s="137"/>
      <c r="F94" s="137"/>
      <c r="G94" s="137"/>
      <c r="H94" s="137"/>
      <c r="I94" s="137"/>
      <c r="J94" s="137"/>
      <c r="K94" s="137"/>
    </row>
    <row r="95" spans="2:11" s="7" customFormat="1" ht="10.5" customHeight="1" x14ac:dyDescent="0.25"/>
    <row r="96" spans="2:11" s="7" customFormat="1" ht="19.5" customHeight="1" x14ac:dyDescent="0.25">
      <c r="B96" s="135" t="s">
        <v>473</v>
      </c>
      <c r="C96" s="135"/>
      <c r="D96" s="135"/>
      <c r="E96" s="135"/>
      <c r="F96" s="135"/>
      <c r="G96" s="135"/>
      <c r="H96" s="135"/>
      <c r="I96" s="135"/>
      <c r="J96" s="135"/>
      <c r="K96" s="135"/>
    </row>
    <row r="97" spans="2:11" ht="19.5" customHeight="1" x14ac:dyDescent="0.25">
      <c r="B97" s="19" t="s">
        <v>474</v>
      </c>
      <c r="C97" s="137" t="s">
        <v>475</v>
      </c>
      <c r="D97" s="137"/>
      <c r="E97" s="137"/>
      <c r="F97" s="137"/>
      <c r="G97" s="137"/>
      <c r="H97" s="137"/>
      <c r="I97" s="137"/>
      <c r="J97" s="137"/>
      <c r="K97" s="137"/>
    </row>
    <row r="98" spans="2:11" ht="19.5" customHeight="1" x14ac:dyDescent="0.25">
      <c r="B98" s="19" t="s">
        <v>476</v>
      </c>
      <c r="C98" s="137" t="s">
        <v>477</v>
      </c>
      <c r="D98" s="137"/>
      <c r="E98" s="137"/>
      <c r="F98" s="137"/>
      <c r="G98" s="137"/>
      <c r="H98" s="137"/>
      <c r="I98" s="137"/>
      <c r="J98" s="137"/>
      <c r="K98" s="137"/>
    </row>
    <row r="99" spans="2:11" ht="19.5" customHeight="1" x14ac:dyDescent="0.25">
      <c r="B99" s="19" t="s">
        <v>478</v>
      </c>
      <c r="C99" s="137" t="s">
        <v>479</v>
      </c>
      <c r="D99" s="137"/>
      <c r="E99" s="137"/>
      <c r="F99" s="137"/>
      <c r="G99" s="137"/>
      <c r="H99" s="137"/>
      <c r="I99" s="137"/>
      <c r="J99" s="137"/>
      <c r="K99" s="137"/>
    </row>
    <row r="100" spans="2:11" ht="31.5" customHeight="1" x14ac:dyDescent="0.25">
      <c r="B100" s="19" t="s">
        <v>480</v>
      </c>
      <c r="C100" s="137" t="s">
        <v>481</v>
      </c>
      <c r="D100" s="137"/>
      <c r="E100" s="137"/>
      <c r="F100" s="137"/>
      <c r="G100" s="137"/>
      <c r="H100" s="137"/>
      <c r="I100" s="137"/>
      <c r="J100" s="137"/>
      <c r="K100" s="137"/>
    </row>
    <row r="101" spans="2:11" ht="19.5" customHeight="1" x14ac:dyDescent="0.25">
      <c r="B101" s="19" t="s">
        <v>482</v>
      </c>
      <c r="C101" s="137" t="s">
        <v>483</v>
      </c>
      <c r="D101" s="137"/>
      <c r="E101" s="137"/>
      <c r="F101" s="137"/>
      <c r="G101" s="137"/>
      <c r="H101" s="137"/>
      <c r="I101" s="137"/>
      <c r="J101" s="137"/>
      <c r="K101" s="137"/>
    </row>
    <row r="102" spans="2:11" s="7" customFormat="1" ht="14.25" x14ac:dyDescent="0.25"/>
    <row r="103" spans="2:11" s="7" customFormat="1" ht="14.25" x14ac:dyDescent="0.25">
      <c r="B103" s="90" t="s">
        <v>484</v>
      </c>
    </row>
  </sheetData>
  <sheetProtection password="930D" sheet="1" objects="1" scenarios="1"/>
  <mergeCells count="79">
    <mergeCell ref="C98:K98"/>
    <mergeCell ref="C99:K99"/>
    <mergeCell ref="C100:K100"/>
    <mergeCell ref="C101:K101"/>
    <mergeCell ref="C92:K92"/>
    <mergeCell ref="C93:K93"/>
    <mergeCell ref="C94:K94"/>
    <mergeCell ref="B96:K96"/>
    <mergeCell ref="C97:K97"/>
    <mergeCell ref="C86:K86"/>
    <mergeCell ref="B88:K88"/>
    <mergeCell ref="C89:K89"/>
    <mergeCell ref="C90:K90"/>
    <mergeCell ref="C91:K91"/>
    <mergeCell ref="C79:K79"/>
    <mergeCell ref="B81:K81"/>
    <mergeCell ref="C82:K82"/>
    <mergeCell ref="B84:K84"/>
    <mergeCell ref="C85:K85"/>
    <mergeCell ref="C73:K73"/>
    <mergeCell ref="C74:K74"/>
    <mergeCell ref="B76:K76"/>
    <mergeCell ref="C77:K77"/>
    <mergeCell ref="C78:K78"/>
    <mergeCell ref="C66:K66"/>
    <mergeCell ref="B68:K68"/>
    <mergeCell ref="C69:K69"/>
    <mergeCell ref="C70:K70"/>
    <mergeCell ref="B72:K72"/>
    <mergeCell ref="B60:K60"/>
    <mergeCell ref="C61:K61"/>
    <mergeCell ref="C62:K62"/>
    <mergeCell ref="B64:K64"/>
    <mergeCell ref="C65:K65"/>
    <mergeCell ref="C53:K53"/>
    <mergeCell ref="C54:K54"/>
    <mergeCell ref="B56:K56"/>
    <mergeCell ref="C57:K57"/>
    <mergeCell ref="C58:K58"/>
    <mergeCell ref="B48:K48"/>
    <mergeCell ref="C49:K49"/>
    <mergeCell ref="C50:K50"/>
    <mergeCell ref="C51:K51"/>
    <mergeCell ref="C52:K52"/>
    <mergeCell ref="C41:K41"/>
    <mergeCell ref="B43:K43"/>
    <mergeCell ref="C44:K44"/>
    <mergeCell ref="C45:K45"/>
    <mergeCell ref="C46:K46"/>
    <mergeCell ref="C36:K36"/>
    <mergeCell ref="C37:K37"/>
    <mergeCell ref="C38:K38"/>
    <mergeCell ref="C39:K39"/>
    <mergeCell ref="C40:K40"/>
    <mergeCell ref="C30:K30"/>
    <mergeCell ref="C31:K31"/>
    <mergeCell ref="C32:K32"/>
    <mergeCell ref="C33:K33"/>
    <mergeCell ref="B35:K35"/>
    <mergeCell ref="C24:K24"/>
    <mergeCell ref="C25:K25"/>
    <mergeCell ref="C26:K26"/>
    <mergeCell ref="C27:K27"/>
    <mergeCell ref="B29:K29"/>
    <mergeCell ref="C18:K18"/>
    <mergeCell ref="C19:K19"/>
    <mergeCell ref="C20:K20"/>
    <mergeCell ref="C21:K21"/>
    <mergeCell ref="B23:K23"/>
    <mergeCell ref="C12:K12"/>
    <mergeCell ref="C13:K13"/>
    <mergeCell ref="B15:K15"/>
    <mergeCell ref="C16:K16"/>
    <mergeCell ref="C17:K17"/>
    <mergeCell ref="B7:K7"/>
    <mergeCell ref="C8:K8"/>
    <mergeCell ref="C9:K9"/>
    <mergeCell ref="C10:K10"/>
    <mergeCell ref="C11:K11"/>
  </mergeCells>
  <conditionalFormatting sqref="B8">
    <cfRule type="expression" dxfId="11" priority="1">
      <formula>AND(kpiUsuarios&gt;0,kpiAdmins&gt;0)</formula>
    </cfRule>
    <cfRule type="expression" dxfId="10" priority="2">
      <formula>NOT(AND(kpiUsuarios&gt;0,kpiAdmins&gt;0))</formula>
    </cfRule>
  </conditionalFormatting>
  <conditionalFormatting sqref="B9">
    <cfRule type="expression" dxfId="9" priority="3">
      <formula>kpiCatalogo&gt;0</formula>
    </cfRule>
    <cfRule type="expression" dxfId="8" priority="4">
      <formula>NOT(kpiCatalogo&gt;0)</formula>
    </cfRule>
  </conditionalFormatting>
  <conditionalFormatting sqref="B10">
    <cfRule type="expression" dxfId="7" priority="5">
      <formula>kpiProveedores&gt;0</formula>
    </cfRule>
    <cfRule type="expression" dxfId="6" priority="6">
      <formula>NOT(kpiProveedores&gt;0)</formula>
    </cfRule>
  </conditionalFormatting>
  <conditionalFormatting sqref="B11">
    <cfRule type="expression" dxfId="5" priority="7">
      <formula>kpiEjecuciones&gt;0</formula>
    </cfRule>
    <cfRule type="expression" dxfId="4" priority="8">
      <formula>NOT(kpiEjecuciones&gt;0)</formula>
    </cfRule>
  </conditionalFormatting>
  <conditionalFormatting sqref="B12">
    <cfRule type="expression" dxfId="3" priority="9">
      <formula>N(stkActualizado)&gt;0</formula>
    </cfRule>
    <cfRule type="expression" dxfId="2" priority="10">
      <formula>NOT(N(stkActualizado)&gt;0)</formula>
    </cfRule>
  </conditionalFormatting>
  <conditionalFormatting sqref="B13">
    <cfRule type="expression" dxfId="1" priority="11">
      <formula>AND(kpiActivos&gt;0,kpiSaldosIni&gt;=kpiActivos)</formula>
    </cfRule>
    <cfRule type="expression" dxfId="0" priority="12">
      <formula>NOT(AND(kpiActivos&gt;0,kpiSaldosIni&gt;=kpiActivos))</formula>
    </cfRule>
  </conditionalFormatting>
  <hyperlinks>
    <hyperlink ref="B5" location="'00_PORTADA_BODEGA'!A1" tooltip="Portada de Bodega" display="⌂ Bodega" xr:uid="{00000000-0004-0000-1400-000000000000}"/>
    <hyperlink ref="C5" location="'00_PORTADA_VENTAS'!A1" tooltip="Portada de Ventas" display="⌂ Ventas" xr:uid="{00000000-0004-0000-1400-000001000000}"/>
    <hyperlink ref="D5" location="'00_PORTADA_GERENCIA'!A1" tooltip="Portada de Gerencia: indicadores, pedido y actividad" display="◈ Gerencia" xr:uid="{00000000-0004-0000-1400-000002000000}"/>
    <hyperlink ref="E5" location="'10A_ENTRADAS'!C9" tooltip="Registrar entradas y ajustes (Bodega)" display="⇩ Entradas" xr:uid="{00000000-0004-0000-1400-000003000000}"/>
    <hyperlink ref="F5" location="'10B_SALIDAS'!E9" tooltip="Registrar salidas (Ventas)" display="⇧ Salidas" xr:uid="{00000000-0004-0000-1400-000004000000}"/>
    <hyperlink ref="G5" location="'17_CONSULTA'!C9" tooltip="Consultar un producto en su fila" display="⌕ Consulta" xr:uid="{00000000-0004-0000-1400-000005000000}"/>
    <hyperlink ref="H5" location="'15_STOCK'!A1" tooltip="Stock (instantánea recalculada a demanda)" display="▦ Stock" xr:uid="{00000000-0004-0000-1400-000006000000}"/>
    <hyperlink ref="I5" location="'18_PEDIDO'!A1" tooltip="Pedido sugerido por proveedor" display="✚ Pedido" xr:uid="{00000000-0004-0000-1400-000007000000}"/>
    <hyperlink ref="J5" location="'13_CONTEO'!I9" tooltip="Toma física (conteo) colaborativa" display="✓ Conteo" xr:uid="{00000000-0004-0000-1400-000008000000}"/>
    <hyperlink ref="K5" location="'99_AYUDA'!A1" tooltip="Guía de uso, acceso e instalación" display="? Guía" xr:uid="{00000000-0004-0000-1400-000009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85</vt:i4>
      </vt:variant>
    </vt:vector>
  </HeadingPairs>
  <TitlesOfParts>
    <vt:vector size="100" baseType="lpstr">
      <vt:lpstr>00_PORTADA_BODEGA</vt:lpstr>
      <vt:lpstr>00_PORTADA_VENTAS</vt:lpstr>
      <vt:lpstr>00_PORTADA_GERENCIA</vt:lpstr>
      <vt:lpstr>02_USUARIOS</vt:lpstr>
      <vt:lpstr>04_PROVEEDORES</vt:lpstr>
      <vt:lpstr>05_PRODUCTOS</vt:lpstr>
      <vt:lpstr>10A_ENTRADAS</vt:lpstr>
      <vt:lpstr>10B_SALIDAS</vt:lpstr>
      <vt:lpstr>13_CONTEO</vt:lpstr>
      <vt:lpstr>14_ACTIVIDAD</vt:lpstr>
      <vt:lpstr>15_STOCK</vt:lpstr>
      <vt:lpstr>16_ALERTAS</vt:lpstr>
      <vt:lpstr>17_CONSULTA</vt:lpstr>
      <vt:lpstr>18_PEDIDO</vt:lpstr>
      <vt:lpstr>99_AYUDA</vt:lpstr>
      <vt:lpstr>cfgBodega</vt:lpstr>
      <vt:lpstr>cfgDiasSinRotacion</vt:lpstr>
      <vt:lpstr>cfgEdicion</vt:lpstr>
      <vt:lpstr>cfgEmpresa</vt:lpstr>
      <vt:lpstr>cfgFechaBuild</vt:lpstr>
      <vt:lpstr>cfgFechaMin</vt:lpstr>
      <vt:lpstr>cfgMargenAlerta</vt:lpstr>
      <vt:lpstr>cfgMoneda</vt:lpstr>
      <vt:lpstr>cfgNIT</vt:lpstr>
      <vt:lpstr>cfgProveedor</vt:lpstr>
      <vt:lpstr>cfgVersion</vt:lpstr>
      <vt:lpstr>ctConfirmar</vt:lpstr>
      <vt:lpstr>ctFecha</vt:lpstr>
      <vt:lpstr>ctResultado</vt:lpstr>
      <vt:lpstr>kpiActivos</vt:lpstr>
      <vt:lpstr>kpiAdmins</vt:lpstr>
      <vt:lpstr>kpiAgotados</vt:lpstr>
      <vt:lpstr>kpiAjustesMes</vt:lpstr>
      <vt:lpstr>kpiBajos</vt:lpstr>
      <vt:lpstr>kpiBloqMes</vt:lpstr>
      <vt:lpstr>kpiCatalogo</vt:lpstr>
      <vt:lpstr>kpiCobMed</vt:lpstr>
      <vt:lpstr>kpiConteoContados</vt:lpstr>
      <vt:lpstr>kpiConteoDif</vt:lpstr>
      <vt:lpstr>kpiConteoValor</vt:lpstr>
      <vt:lpstr>kpiCriticos</vt:lpstr>
      <vt:lpstr>kpiDisponibles</vt:lpstr>
      <vt:lpstr>kpiEjecuciones</vt:lpstr>
      <vt:lpstr>kpiEnAlerta</vt:lpstr>
      <vt:lpstr>kpiEntradasHoy</vt:lpstr>
      <vt:lpstr>kpiInactivos</vt:lpstr>
      <vt:lpstr>kpiInconsistentes</vt:lpstr>
      <vt:lpstr>kpiMovMes</vt:lpstr>
      <vt:lpstr>kpiNuevosDesdeCalculo</vt:lpstr>
      <vt:lpstr>kpiOptimos</vt:lpstr>
      <vt:lpstr>kpiPedidoLineas</vt:lpstr>
      <vt:lpstr>kpiPedidoProv</vt:lpstr>
      <vt:lpstr>kpiPedidoTotal</vt:lpstr>
      <vt:lpstr>kpiPendEnt</vt:lpstr>
      <vt:lpstr>kpiPendSal</vt:lpstr>
      <vt:lpstr>kpiProveedores</vt:lpstr>
      <vt:lpstr>kpiRechazos</vt:lpstr>
      <vt:lpstr>kpiRechEnt</vt:lpstr>
      <vt:lpstr>kpiRechSal</vt:lpstr>
      <vt:lpstr>kpiRegEnt</vt:lpstr>
      <vt:lpstr>kpiRegSal</vt:lpstr>
      <vt:lpstr>kpiSaldosIni</vt:lpstr>
      <vt:lpstr>kpiSalidasHoy</vt:lpstr>
      <vt:lpstr>kpiSalidasMes</vt:lpstr>
      <vt:lpstr>kpiSinRotacion</vt:lpstr>
      <vt:lpstr>kpiSobrestock</vt:lpstr>
      <vt:lpstr>kpiUltProd</vt:lpstr>
      <vt:lpstr>kpiUltProv</vt:lpstr>
      <vt:lpstr>kpiUnid30</vt:lpstr>
      <vt:lpstr>kpiUnidadesHoy</vt:lpstr>
      <vt:lpstr>kpiUsuarios</vt:lpstr>
      <vt:lpstr>kpiValor</vt:lpstr>
      <vt:lpstr>lstCategorias</vt:lpstr>
      <vt:lpstr>lstRoles</vt:lpstr>
      <vt:lpstr>lstTiposBodega</vt:lpstr>
      <vt:lpstr>lstUniCod</vt:lpstr>
      <vt:lpstr>lstUniDec</vt:lpstr>
      <vt:lpstr>stkActualizado</vt:lpstr>
      <vt:lpstr>stkActualizadoNombre</vt:lpstr>
      <vt:lpstr>stkActualizadoPor</vt:lpstr>
      <vt:lpstr>stkMovimientos</vt:lpstr>
      <vt:lpstr>'04_PROVEEDORES'!Títulos_a_imprimir</vt:lpstr>
      <vt:lpstr>'05_PRODUCTOS'!Títulos_a_imprimir</vt:lpstr>
      <vt:lpstr>'13_CONTEO'!Títulos_a_imprimir</vt:lpstr>
      <vt:lpstr>'14_ACTIVIDAD'!Títulos_a_imprimir</vt:lpstr>
      <vt:lpstr>'15_STOCK'!Títulos_a_imprimir</vt:lpstr>
      <vt:lpstr>'16_ALERTAS'!Títulos_a_imprimir</vt:lpstr>
      <vt:lpstr>'18_PEDIDO'!Títulos_a_imprimir</vt:lpstr>
      <vt:lpstr>txtAlertasBtn</vt:lpstr>
      <vt:lpstr>txtBitacoras</vt:lpstr>
      <vt:lpstr>txtEmpresa</vt:lpstr>
      <vt:lpstr>txtFrescura</vt:lpstr>
      <vt:lpstr>txtFrescuraCorta</vt:lpstr>
      <vt:lpstr>txtHoy</vt:lpstr>
      <vt:lpstr>txtPasoBodega</vt:lpstr>
      <vt:lpstr>txtPasoGerencia</vt:lpstr>
      <vt:lpstr>txtPasoVentas</vt:lpstr>
      <vt:lpstr>txtPedidoBtn</vt:lpstr>
      <vt:lpstr>txtStockActualizado</vt:lpstr>
      <vt:lpstr>txtUltimaEjecucion</vt:lpstr>
    </vt:vector>
  </TitlesOfParts>
  <Company>Z&amp;P Software Fast Solutions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M-INV · Inventario colaborativo</dc:title>
  <dc:subject>Inventario B2B en Microsoft 365 (CQRS fragmentado)</dc:subject>
  <dc:creator>Z&amp;P Software Fast Solutions</dc:creator>
  <cp:keywords>M-INV, inventario, Office Scripts, coautoría, CQRS</cp:keywords>
  <dc:description>Generado por tools/build_minv_v2.py. No editar a mano: regenerar desde el repositorio.</dc:description>
  <cp:lastModifiedBy>John Martin Zabaleta Cano</cp:lastModifiedBy>
  <dcterms:created xsi:type="dcterms:W3CDTF">2026-09-25T14:25:43Z</dcterms:created>
  <dcterms:modified xsi:type="dcterms:W3CDTF">2026-09-25T14:26:09Z</dcterms:modified>
  <cp:category>Inventarios</cp:category>
  <cp:contentStatus>Producción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-INV Version">
    <vt:lpwstr>2.1.0</vt:lpwstr>
  </property>
  <property fmtid="{D5CDD505-2E9C-101B-9397-08002B2CF9AE}" pid="3" name="M-INV Build">
    <vt:lpwstr>release</vt:lpwstr>
  </property>
  <property fmtid="{D5CDD505-2E9C-101B-9397-08002B2CF9AE}" pid="4" name="M-INV Edicion">
    <vt:lpwstr>colaborativa</vt:lpwstr>
  </property>
</Properties>
</file>