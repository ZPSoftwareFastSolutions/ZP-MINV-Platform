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Proyectos Claude 2\Sistema Inventario\ZP-MINV-Platform\releases\"/>
    </mc:Choice>
  </mc:AlternateContent>
  <xr:revisionPtr revIDLastSave="0" documentId="13_ncr:1_{AFCE59F6-CF50-40FF-8DB3-0679D0613D53}" xr6:coauthVersionLast="47" xr6:coauthVersionMax="47" xr10:uidLastSave="{00000000-0000-0000-0000-000000000000}"/>
  <workbookProtection workbookPassword="930D" lockStructure="1"/>
  <bookViews>
    <workbookView xWindow="-120" yWindow="-120" windowWidth="29040" windowHeight="15720" xr2:uid="{00000000-000D-0000-FFFF-FFFF00000000}"/>
  </bookViews>
  <sheets>
    <sheet name="00_PORTADA_BODEGA" sheetId="1" r:id="rId1"/>
    <sheet name="00_PORTADA_VENTAS" sheetId="2" r:id="rId2"/>
    <sheet name="01_CONFIG" sheetId="3" state="veryHidden" r:id="rId3"/>
    <sheet name="02_USUARIOS" sheetId="4" r:id="rId4"/>
    <sheet name="03_CATEGORIAS" sheetId="5" state="veryHidden" r:id="rId5"/>
    <sheet name="04_PROVEEDORES" sheetId="6" r:id="rId6"/>
    <sheet name="05_PRODUCTOS" sheetId="7" r:id="rId7"/>
    <sheet name="06_UNIDADES" sheetId="8" state="veryHidden" r:id="rId8"/>
    <sheet name="10A_ENTRADAS" sheetId="9" r:id="rId9"/>
    <sheet name="10B_SALIDAS" sheetId="10" r:id="rId10"/>
    <sheet name="15_STOCK" sheetId="11" r:id="rId11"/>
    <sheet name="16_ALERTAS" sheetId="12" r:id="rId12"/>
    <sheet name="90_LISTAS" sheetId="13" state="veryHidden" r:id="rId13"/>
    <sheet name="91_KPIS" sheetId="14" state="veryHidden" r:id="rId14"/>
    <sheet name="92_SESION" sheetId="15" state="veryHidden" r:id="rId15"/>
    <sheet name="99_AYUDA" sheetId="16" r:id="rId16"/>
  </sheets>
  <definedNames>
    <definedName name="cfgBodega">'01_CONFIG'!$C$11</definedName>
    <definedName name="cfgDiasSinRotacion">'01_CONFIG'!$C$14</definedName>
    <definedName name="cfgEdicion">'01_CONFIG'!$C$17</definedName>
    <definedName name="cfgEmpresa">'01_CONFIG'!$C$9</definedName>
    <definedName name="cfgFechaBuild">'01_CONFIG'!$C$18</definedName>
    <definedName name="cfgFechaMin">'01_CONFIG'!$C$15</definedName>
    <definedName name="cfgMargenAlerta">'01_CONFIG'!$C$13</definedName>
    <definedName name="cfgMoneda">'01_CONFIG'!$C$12</definedName>
    <definedName name="cfgNIT">'01_CONFIG'!$C$10</definedName>
    <definedName name="cfgProveedor">'01_CONFIG'!$C$19</definedName>
    <definedName name="cfgVersion">'01_CONFIG'!$C$16</definedName>
    <definedName name="kpiActivos">'91_KPIS'!$C$9</definedName>
    <definedName name="kpiAdmins">'91_KPIS'!$C$12</definedName>
    <definedName name="kpiAgotados">'91_KPIS'!$C$16</definedName>
    <definedName name="kpiAjustesMes">'91_KPIS'!$C$33</definedName>
    <definedName name="kpiBajos">'91_KPIS'!$C$18</definedName>
    <definedName name="kpiCatalogo">'91_KPIS'!$C$8</definedName>
    <definedName name="kpiCriticos">'91_KPIS'!$C$17</definedName>
    <definedName name="kpiDisponibles">'91_KPIS'!$C$24</definedName>
    <definedName name="kpiEnAlerta">'91_KPIS'!$C$22</definedName>
    <definedName name="kpiEntradasHoy">'91_KPIS'!$C$32</definedName>
    <definedName name="kpiInactivos">'91_KPIS'!$C$21</definedName>
    <definedName name="kpiInconsistentes">'91_KPIS'!$C$15</definedName>
    <definedName name="kpiNuevosDesdeCalculo">'91_KPIS'!$C$38</definedName>
    <definedName name="kpiOptimos">'91_KPIS'!$C$19</definedName>
    <definedName name="kpiPendEnt">'91_KPIS'!$C$30</definedName>
    <definedName name="kpiPendSal">'91_KPIS'!$C$31</definedName>
    <definedName name="kpiProveedores">'91_KPIS'!$C$10</definedName>
    <definedName name="kpiRechazos">'91_KPIS'!$C$39</definedName>
    <definedName name="kpiRechEnt">'91_KPIS'!$C$28</definedName>
    <definedName name="kpiRechSal">'91_KPIS'!$C$29</definedName>
    <definedName name="kpiRegEnt">'91_KPIS'!$C$26</definedName>
    <definedName name="kpiRegSal">'91_KPIS'!$C$27</definedName>
    <definedName name="kpiSaldosIni">'91_KPIS'!$C$34</definedName>
    <definedName name="kpiSalidasHoy">'91_KPIS'!$C$35</definedName>
    <definedName name="kpiSalidasMes">'91_KPIS'!$C$37</definedName>
    <definedName name="kpiSinRotacion">'91_KPIS'!$C$25</definedName>
    <definedName name="kpiSobrestock">'91_KPIS'!$C$20</definedName>
    <definedName name="kpiUltProd">'91_KPIS'!$C$13</definedName>
    <definedName name="kpiUltProv">'91_KPIS'!$C$14</definedName>
    <definedName name="kpiUnidadesHoy">'91_KPIS'!$C$36</definedName>
    <definedName name="kpiUsuarios">'91_KPIS'!$C$11</definedName>
    <definedName name="kpiValor">'91_KPIS'!$C$23</definedName>
    <definedName name="lstCategorias">tblCategorias[Categoría]</definedName>
    <definedName name="lstProductos">OFFSET('05_PRODUCTOS'!$L$8,0,0,MAX(1,kpiUltProd),1)</definedName>
    <definedName name="lstProveedores">OFFSET('04_PROVEEDORES'!$B$8,0,0,MAX(1,kpiUltProv),1)</definedName>
    <definedName name="lstRoles">'90_LISTAS'!$D$8:$D$11</definedName>
    <definedName name="lstTiposBodega">'90_LISTAS'!$B$8:$B$11</definedName>
    <definedName name="lstUniCod">tblUnidades[Código]</definedName>
    <definedName name="lstUniDec">tblUnidades[Decimales]</definedName>
    <definedName name="stkActualizado">'01_CONFIG'!$C$20</definedName>
    <definedName name="stkActualizadoNombre">'01_CONFIG'!$C$22</definedName>
    <definedName name="stkActualizadoPor">'01_CONFIG'!$C$21</definedName>
    <definedName name="stkMovimientos">'01_CONFIG'!$C$23</definedName>
    <definedName name="_xlnm.Print_Titles" localSheetId="5">'04_PROVEEDORES'!$7:$7</definedName>
    <definedName name="_xlnm.Print_Titles" localSheetId="6">'05_PRODUCTOS'!$7:$7</definedName>
    <definedName name="_xlnm.Print_Titles" localSheetId="10">'15_STOCK'!$7:$7</definedName>
    <definedName name="_xlnm.Print_Titles" localSheetId="11">'16_ALERTAS'!$7:$7</definedName>
    <definedName name="txtAlertasBtn">'91_KPIS'!$C$45</definedName>
    <definedName name="txtBitacoras">'91_KPIS'!$C$48</definedName>
    <definedName name="txtEmpresa">'91_KPIS'!$C$41</definedName>
    <definedName name="txtFrescura">'91_KPIS'!$C$43</definedName>
    <definedName name="txtFrescuraCorta">'91_KPIS'!$C$44</definedName>
    <definedName name="txtHoy">'91_KPIS'!$C$40</definedName>
    <definedName name="txtPasoBodega">'91_KPIS'!$C$46</definedName>
    <definedName name="txtPasoVentas">'91_KPIS'!$C$47</definedName>
    <definedName name="txtStockActualizado">'91_KPIS'!$C$42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6" l="1"/>
  <c r="C44" i="14"/>
  <c r="C43" i="14"/>
  <c r="C42" i="14"/>
  <c r="C11" i="16" s="1"/>
  <c r="C41" i="14"/>
  <c r="C40" i="14"/>
  <c r="C38" i="14"/>
  <c r="C37" i="14"/>
  <c r="C36" i="14"/>
  <c r="C35" i="14"/>
  <c r="C34" i="14"/>
  <c r="C33" i="14"/>
  <c r="C32" i="14"/>
  <c r="C29" i="14"/>
  <c r="C6" i="10" s="1"/>
  <c r="C28" i="14"/>
  <c r="C27" i="14"/>
  <c r="B6" i="10" s="1"/>
  <c r="C26" i="14"/>
  <c r="C25" i="14"/>
  <c r="C24" i="14"/>
  <c r="C23" i="14"/>
  <c r="C21" i="14"/>
  <c r="C20" i="14"/>
  <c r="C19" i="14"/>
  <c r="C18" i="14"/>
  <c r="C17" i="14"/>
  <c r="C16" i="14"/>
  <c r="K17" i="2" s="1"/>
  <c r="C15" i="14"/>
  <c r="C22" i="14" s="1"/>
  <c r="C45" i="14" s="1"/>
  <c r="J12" i="1" s="1"/>
  <c r="C14" i="14"/>
  <c r="C13" i="14"/>
  <c r="C12" i="14"/>
  <c r="C11" i="14"/>
  <c r="C10" i="14"/>
  <c r="C9" i="14"/>
  <c r="C8" i="14"/>
  <c r="F23" i="13"/>
  <c r="G23" i="13" s="1"/>
  <c r="F22" i="13"/>
  <c r="G22" i="13" s="1"/>
  <c r="F21" i="13"/>
  <c r="G21" i="13" s="1"/>
  <c r="F20" i="13"/>
  <c r="G20" i="13" s="1"/>
  <c r="F19" i="13"/>
  <c r="G19" i="13" s="1"/>
  <c r="F18" i="13"/>
  <c r="G18" i="13" s="1"/>
  <c r="F17" i="13"/>
  <c r="G17" i="13" s="1"/>
  <c r="G13" i="13"/>
  <c r="G12" i="13"/>
  <c r="G11" i="13"/>
  <c r="G10" i="13"/>
  <c r="G9" i="13"/>
  <c r="G8" i="13"/>
  <c r="F6" i="12"/>
  <c r="B6" i="12"/>
  <c r="D6" i="11"/>
  <c r="B6" i="11"/>
  <c r="O23" i="10"/>
  <c r="N23" i="10"/>
  <c r="L23" i="10"/>
  <c r="J23" i="10"/>
  <c r="I23" i="10"/>
  <c r="B23" i="10"/>
  <c r="O22" i="10"/>
  <c r="L22" i="10" s="1"/>
  <c r="I22" i="10" s="1"/>
  <c r="N22" i="10"/>
  <c r="J22" i="10"/>
  <c r="B22" i="10"/>
  <c r="O21" i="10"/>
  <c r="N21" i="10"/>
  <c r="L21" i="10"/>
  <c r="J21" i="10"/>
  <c r="I21" i="10"/>
  <c r="B21" i="10"/>
  <c r="O20" i="10"/>
  <c r="N20" i="10"/>
  <c r="J20" i="10"/>
  <c r="B20" i="10"/>
  <c r="O19" i="10"/>
  <c r="L19" i="10" s="1"/>
  <c r="I19" i="10" s="1"/>
  <c r="N19" i="10"/>
  <c r="J19" i="10"/>
  <c r="B19" i="10"/>
  <c r="O18" i="10"/>
  <c r="N18" i="10"/>
  <c r="L18" i="10"/>
  <c r="I18" i="10" s="1"/>
  <c r="J18" i="10"/>
  <c r="B18" i="10"/>
  <c r="O17" i="10"/>
  <c r="L17" i="10" s="1"/>
  <c r="I17" i="10" s="1"/>
  <c r="N17" i="10"/>
  <c r="J17" i="10"/>
  <c r="B17" i="10"/>
  <c r="O16" i="10"/>
  <c r="L16" i="10" s="1"/>
  <c r="I16" i="10" s="1"/>
  <c r="N16" i="10"/>
  <c r="J16" i="10"/>
  <c r="B16" i="10"/>
  <c r="O15" i="10"/>
  <c r="N15" i="10"/>
  <c r="L15" i="10"/>
  <c r="J15" i="10"/>
  <c r="I15" i="10"/>
  <c r="B15" i="10"/>
  <c r="O14" i="10"/>
  <c r="N14" i="10"/>
  <c r="L14" i="10"/>
  <c r="J14" i="10"/>
  <c r="I14" i="10"/>
  <c r="B14" i="10"/>
  <c r="O13" i="10"/>
  <c r="L13" i="10" s="1"/>
  <c r="I13" i="10" s="1"/>
  <c r="N13" i="10"/>
  <c r="J13" i="10"/>
  <c r="B13" i="10"/>
  <c r="O12" i="10"/>
  <c r="L12" i="10" s="1"/>
  <c r="I12" i="10" s="1"/>
  <c r="N12" i="10"/>
  <c r="J12" i="10"/>
  <c r="B12" i="10"/>
  <c r="O11" i="10"/>
  <c r="L11" i="10" s="1"/>
  <c r="I11" i="10" s="1"/>
  <c r="N11" i="10"/>
  <c r="J11" i="10"/>
  <c r="B11" i="10"/>
  <c r="O10" i="10"/>
  <c r="N10" i="10"/>
  <c r="L10" i="10"/>
  <c r="J10" i="10"/>
  <c r="I10" i="10"/>
  <c r="B10" i="10"/>
  <c r="O9" i="10"/>
  <c r="L9" i="10" s="1"/>
  <c r="I9" i="10" s="1"/>
  <c r="N9" i="10"/>
  <c r="J9" i="10"/>
  <c r="C31" i="14" s="1"/>
  <c r="E6" i="10" s="1"/>
  <c r="B9" i="10"/>
  <c r="O23" i="9"/>
  <c r="L23" i="9" s="1"/>
  <c r="I23" i="9" s="1"/>
  <c r="P23" i="9" s="1"/>
  <c r="M23" i="9"/>
  <c r="J23" i="9"/>
  <c r="O22" i="9"/>
  <c r="M22" i="9"/>
  <c r="J22" i="9"/>
  <c r="O21" i="9"/>
  <c r="M21" i="9"/>
  <c r="L21" i="9"/>
  <c r="I21" i="9" s="1"/>
  <c r="P21" i="9" s="1"/>
  <c r="J21" i="9"/>
  <c r="O20" i="9"/>
  <c r="M20" i="9"/>
  <c r="J20" i="9"/>
  <c r="O19" i="9"/>
  <c r="M19" i="9"/>
  <c r="J19" i="9"/>
  <c r="O18" i="9"/>
  <c r="M18" i="9"/>
  <c r="J18" i="9"/>
  <c r="O17" i="9"/>
  <c r="M17" i="9"/>
  <c r="J17" i="9"/>
  <c r="O16" i="9"/>
  <c r="M16" i="9"/>
  <c r="J16" i="9"/>
  <c r="O15" i="9"/>
  <c r="M15" i="9"/>
  <c r="L15" i="9"/>
  <c r="J15" i="9"/>
  <c r="I15" i="9"/>
  <c r="P15" i="9" s="1"/>
  <c r="O14" i="9"/>
  <c r="M14" i="9"/>
  <c r="L14" i="9"/>
  <c r="J14" i="9"/>
  <c r="I14" i="9"/>
  <c r="P14" i="9" s="1"/>
  <c r="O13" i="9"/>
  <c r="M13" i="9"/>
  <c r="L13" i="9"/>
  <c r="J13" i="9"/>
  <c r="I13" i="9"/>
  <c r="P13" i="9" s="1"/>
  <c r="O12" i="9"/>
  <c r="M12" i="9"/>
  <c r="L12" i="9"/>
  <c r="J12" i="9"/>
  <c r="I12" i="9"/>
  <c r="P12" i="9" s="1"/>
  <c r="O11" i="9"/>
  <c r="M11" i="9"/>
  <c r="L11" i="9"/>
  <c r="J11" i="9"/>
  <c r="I11" i="9"/>
  <c r="P11" i="9" s="1"/>
  <c r="O10" i="9"/>
  <c r="M10" i="9"/>
  <c r="L10" i="9"/>
  <c r="J10" i="9"/>
  <c r="I10" i="9"/>
  <c r="P10" i="9" s="1"/>
  <c r="O9" i="9"/>
  <c r="M9" i="9"/>
  <c r="L9" i="9"/>
  <c r="J9" i="9"/>
  <c r="I9" i="9"/>
  <c r="P9" i="9" s="1"/>
  <c r="N507" i="7"/>
  <c r="M507" i="7"/>
  <c r="L507" i="7"/>
  <c r="N506" i="7"/>
  <c r="M506" i="7"/>
  <c r="L506" i="7"/>
  <c r="N505" i="7"/>
  <c r="M505" i="7"/>
  <c r="L505" i="7"/>
  <c r="N504" i="7"/>
  <c r="M504" i="7"/>
  <c r="L504" i="7"/>
  <c r="N503" i="7"/>
  <c r="M503" i="7"/>
  <c r="L503" i="7"/>
  <c r="N502" i="7"/>
  <c r="M502" i="7"/>
  <c r="L502" i="7"/>
  <c r="N501" i="7"/>
  <c r="M501" i="7"/>
  <c r="L501" i="7"/>
  <c r="N500" i="7"/>
  <c r="M500" i="7"/>
  <c r="L500" i="7"/>
  <c r="N499" i="7"/>
  <c r="M499" i="7"/>
  <c r="L499" i="7"/>
  <c r="N498" i="7"/>
  <c r="M498" i="7"/>
  <c r="L498" i="7"/>
  <c r="N497" i="7"/>
  <c r="M497" i="7"/>
  <c r="L497" i="7"/>
  <c r="N496" i="7"/>
  <c r="M496" i="7"/>
  <c r="L496" i="7"/>
  <c r="N495" i="7"/>
  <c r="M495" i="7"/>
  <c r="L495" i="7"/>
  <c r="N494" i="7"/>
  <c r="M494" i="7"/>
  <c r="L494" i="7"/>
  <c r="N493" i="7"/>
  <c r="M493" i="7"/>
  <c r="L493" i="7"/>
  <c r="N492" i="7"/>
  <c r="M492" i="7"/>
  <c r="L492" i="7"/>
  <c r="N491" i="7"/>
  <c r="M491" i="7"/>
  <c r="L491" i="7"/>
  <c r="N490" i="7"/>
  <c r="M490" i="7"/>
  <c r="L490" i="7"/>
  <c r="N489" i="7"/>
  <c r="M489" i="7"/>
  <c r="L489" i="7"/>
  <c r="N488" i="7"/>
  <c r="M488" i="7"/>
  <c r="L488" i="7"/>
  <c r="N487" i="7"/>
  <c r="M487" i="7"/>
  <c r="L487" i="7"/>
  <c r="N486" i="7"/>
  <c r="M486" i="7"/>
  <c r="L486" i="7"/>
  <c r="N485" i="7"/>
  <c r="M485" i="7"/>
  <c r="L485" i="7"/>
  <c r="N484" i="7"/>
  <c r="M484" i="7"/>
  <c r="L484" i="7"/>
  <c r="N483" i="7"/>
  <c r="M483" i="7"/>
  <c r="L483" i="7"/>
  <c r="N482" i="7"/>
  <c r="M482" i="7"/>
  <c r="L482" i="7"/>
  <c r="N481" i="7"/>
  <c r="M481" i="7"/>
  <c r="L481" i="7"/>
  <c r="N480" i="7"/>
  <c r="M480" i="7"/>
  <c r="L480" i="7"/>
  <c r="N479" i="7"/>
  <c r="M479" i="7"/>
  <c r="L479" i="7"/>
  <c r="N478" i="7"/>
  <c r="M478" i="7"/>
  <c r="L478" i="7"/>
  <c r="N477" i="7"/>
  <c r="M477" i="7"/>
  <c r="L477" i="7"/>
  <c r="N476" i="7"/>
  <c r="M476" i="7"/>
  <c r="L476" i="7"/>
  <c r="N475" i="7"/>
  <c r="M475" i="7"/>
  <c r="L475" i="7"/>
  <c r="N474" i="7"/>
  <c r="M474" i="7"/>
  <c r="L474" i="7"/>
  <c r="N473" i="7"/>
  <c r="M473" i="7"/>
  <c r="L473" i="7"/>
  <c r="N472" i="7"/>
  <c r="M472" i="7"/>
  <c r="L472" i="7"/>
  <c r="N471" i="7"/>
  <c r="M471" i="7"/>
  <c r="L471" i="7"/>
  <c r="N470" i="7"/>
  <c r="M470" i="7"/>
  <c r="L470" i="7"/>
  <c r="N469" i="7"/>
  <c r="M469" i="7"/>
  <c r="L469" i="7"/>
  <c r="N468" i="7"/>
  <c r="M468" i="7"/>
  <c r="L468" i="7"/>
  <c r="N467" i="7"/>
  <c r="M467" i="7"/>
  <c r="L467" i="7"/>
  <c r="N466" i="7"/>
  <c r="M466" i="7"/>
  <c r="L466" i="7"/>
  <c r="N465" i="7"/>
  <c r="M465" i="7"/>
  <c r="L465" i="7"/>
  <c r="N464" i="7"/>
  <c r="M464" i="7"/>
  <c r="L464" i="7"/>
  <c r="N463" i="7"/>
  <c r="M463" i="7"/>
  <c r="L463" i="7"/>
  <c r="N462" i="7"/>
  <c r="M462" i="7"/>
  <c r="L462" i="7"/>
  <c r="N461" i="7"/>
  <c r="M461" i="7"/>
  <c r="L461" i="7"/>
  <c r="N460" i="7"/>
  <c r="M460" i="7"/>
  <c r="L460" i="7"/>
  <c r="N459" i="7"/>
  <c r="M459" i="7"/>
  <c r="L459" i="7"/>
  <c r="N458" i="7"/>
  <c r="M458" i="7"/>
  <c r="L458" i="7"/>
  <c r="N457" i="7"/>
  <c r="M457" i="7"/>
  <c r="L457" i="7"/>
  <c r="N456" i="7"/>
  <c r="M456" i="7"/>
  <c r="L456" i="7"/>
  <c r="N455" i="7"/>
  <c r="M455" i="7"/>
  <c r="L455" i="7"/>
  <c r="N454" i="7"/>
  <c r="M454" i="7"/>
  <c r="L454" i="7"/>
  <c r="N453" i="7"/>
  <c r="M453" i="7"/>
  <c r="L453" i="7"/>
  <c r="N452" i="7"/>
  <c r="M452" i="7"/>
  <c r="L452" i="7"/>
  <c r="N451" i="7"/>
  <c r="M451" i="7"/>
  <c r="L451" i="7"/>
  <c r="N450" i="7"/>
  <c r="M450" i="7"/>
  <c r="L450" i="7"/>
  <c r="N449" i="7"/>
  <c r="M449" i="7"/>
  <c r="L449" i="7"/>
  <c r="N448" i="7"/>
  <c r="M448" i="7"/>
  <c r="L448" i="7"/>
  <c r="N447" i="7"/>
  <c r="M447" i="7"/>
  <c r="L447" i="7"/>
  <c r="N446" i="7"/>
  <c r="M446" i="7"/>
  <c r="L446" i="7"/>
  <c r="N445" i="7"/>
  <c r="M445" i="7"/>
  <c r="L445" i="7"/>
  <c r="N444" i="7"/>
  <c r="M444" i="7"/>
  <c r="L444" i="7"/>
  <c r="N443" i="7"/>
  <c r="M443" i="7"/>
  <c r="L443" i="7"/>
  <c r="N442" i="7"/>
  <c r="M442" i="7"/>
  <c r="L442" i="7"/>
  <c r="N441" i="7"/>
  <c r="M441" i="7"/>
  <c r="L441" i="7"/>
  <c r="N440" i="7"/>
  <c r="M440" i="7"/>
  <c r="L440" i="7"/>
  <c r="N439" i="7"/>
  <c r="M439" i="7"/>
  <c r="L439" i="7"/>
  <c r="N438" i="7"/>
  <c r="M438" i="7"/>
  <c r="L438" i="7"/>
  <c r="N437" i="7"/>
  <c r="M437" i="7"/>
  <c r="L437" i="7"/>
  <c r="N436" i="7"/>
  <c r="M436" i="7"/>
  <c r="L436" i="7"/>
  <c r="N435" i="7"/>
  <c r="M435" i="7"/>
  <c r="L435" i="7"/>
  <c r="N434" i="7"/>
  <c r="M434" i="7"/>
  <c r="L434" i="7"/>
  <c r="N433" i="7"/>
  <c r="M433" i="7"/>
  <c r="L433" i="7"/>
  <c r="N432" i="7"/>
  <c r="M432" i="7"/>
  <c r="L432" i="7"/>
  <c r="N431" i="7"/>
  <c r="M431" i="7"/>
  <c r="L431" i="7"/>
  <c r="N430" i="7"/>
  <c r="M430" i="7"/>
  <c r="L430" i="7"/>
  <c r="N429" i="7"/>
  <c r="M429" i="7"/>
  <c r="L429" i="7"/>
  <c r="N428" i="7"/>
  <c r="M428" i="7"/>
  <c r="L428" i="7"/>
  <c r="N427" i="7"/>
  <c r="M427" i="7"/>
  <c r="L427" i="7"/>
  <c r="N426" i="7"/>
  <c r="M426" i="7"/>
  <c r="L426" i="7"/>
  <c r="N425" i="7"/>
  <c r="M425" i="7"/>
  <c r="L425" i="7"/>
  <c r="N424" i="7"/>
  <c r="M424" i="7"/>
  <c r="L424" i="7"/>
  <c r="N423" i="7"/>
  <c r="M423" i="7"/>
  <c r="L423" i="7"/>
  <c r="N422" i="7"/>
  <c r="M422" i="7"/>
  <c r="L422" i="7"/>
  <c r="N421" i="7"/>
  <c r="M421" i="7"/>
  <c r="L421" i="7"/>
  <c r="N420" i="7"/>
  <c r="M420" i="7"/>
  <c r="L420" i="7"/>
  <c r="N419" i="7"/>
  <c r="M419" i="7"/>
  <c r="L419" i="7"/>
  <c r="N418" i="7"/>
  <c r="M418" i="7"/>
  <c r="L418" i="7"/>
  <c r="N417" i="7"/>
  <c r="M417" i="7"/>
  <c r="L417" i="7"/>
  <c r="N416" i="7"/>
  <c r="M416" i="7"/>
  <c r="L416" i="7"/>
  <c r="N415" i="7"/>
  <c r="M415" i="7"/>
  <c r="L415" i="7"/>
  <c r="N414" i="7"/>
  <c r="M414" i="7"/>
  <c r="L414" i="7"/>
  <c r="N413" i="7"/>
  <c r="M413" i="7"/>
  <c r="L413" i="7"/>
  <c r="N412" i="7"/>
  <c r="M412" i="7"/>
  <c r="L412" i="7"/>
  <c r="N411" i="7"/>
  <c r="M411" i="7"/>
  <c r="L411" i="7"/>
  <c r="N410" i="7"/>
  <c r="M410" i="7"/>
  <c r="L410" i="7"/>
  <c r="N409" i="7"/>
  <c r="M409" i="7"/>
  <c r="L409" i="7"/>
  <c r="N408" i="7"/>
  <c r="M408" i="7"/>
  <c r="L408" i="7"/>
  <c r="N407" i="7"/>
  <c r="M407" i="7"/>
  <c r="L407" i="7"/>
  <c r="N406" i="7"/>
  <c r="M406" i="7"/>
  <c r="L406" i="7"/>
  <c r="N405" i="7"/>
  <c r="M405" i="7"/>
  <c r="L405" i="7"/>
  <c r="N404" i="7"/>
  <c r="M404" i="7"/>
  <c r="L404" i="7"/>
  <c r="N403" i="7"/>
  <c r="M403" i="7"/>
  <c r="L403" i="7"/>
  <c r="N402" i="7"/>
  <c r="M402" i="7"/>
  <c r="L402" i="7"/>
  <c r="N401" i="7"/>
  <c r="M401" i="7"/>
  <c r="L401" i="7"/>
  <c r="N400" i="7"/>
  <c r="M400" i="7"/>
  <c r="L400" i="7"/>
  <c r="N399" i="7"/>
  <c r="M399" i="7"/>
  <c r="L399" i="7"/>
  <c r="N398" i="7"/>
  <c r="M398" i="7"/>
  <c r="L398" i="7"/>
  <c r="N397" i="7"/>
  <c r="M397" i="7"/>
  <c r="L397" i="7"/>
  <c r="N396" i="7"/>
  <c r="M396" i="7"/>
  <c r="L396" i="7"/>
  <c r="N395" i="7"/>
  <c r="M395" i="7"/>
  <c r="L395" i="7"/>
  <c r="N394" i="7"/>
  <c r="M394" i="7"/>
  <c r="L394" i="7"/>
  <c r="N393" i="7"/>
  <c r="M393" i="7"/>
  <c r="L393" i="7"/>
  <c r="N392" i="7"/>
  <c r="M392" i="7"/>
  <c r="L392" i="7"/>
  <c r="N391" i="7"/>
  <c r="M391" i="7"/>
  <c r="L391" i="7"/>
  <c r="N390" i="7"/>
  <c r="M390" i="7"/>
  <c r="L390" i="7"/>
  <c r="N389" i="7"/>
  <c r="M389" i="7"/>
  <c r="L389" i="7"/>
  <c r="N388" i="7"/>
  <c r="M388" i="7"/>
  <c r="L388" i="7"/>
  <c r="N387" i="7"/>
  <c r="M387" i="7"/>
  <c r="L387" i="7"/>
  <c r="N386" i="7"/>
  <c r="M386" i="7"/>
  <c r="L386" i="7"/>
  <c r="N385" i="7"/>
  <c r="M385" i="7"/>
  <c r="L385" i="7"/>
  <c r="N384" i="7"/>
  <c r="M384" i="7"/>
  <c r="L384" i="7"/>
  <c r="N383" i="7"/>
  <c r="M383" i="7"/>
  <c r="L383" i="7"/>
  <c r="N382" i="7"/>
  <c r="M382" i="7"/>
  <c r="L382" i="7"/>
  <c r="N381" i="7"/>
  <c r="M381" i="7"/>
  <c r="L381" i="7"/>
  <c r="N380" i="7"/>
  <c r="M380" i="7"/>
  <c r="L380" i="7"/>
  <c r="N379" i="7"/>
  <c r="M379" i="7"/>
  <c r="L379" i="7"/>
  <c r="N378" i="7"/>
  <c r="M378" i="7"/>
  <c r="L378" i="7"/>
  <c r="N377" i="7"/>
  <c r="M377" i="7"/>
  <c r="L377" i="7"/>
  <c r="N376" i="7"/>
  <c r="M376" i="7"/>
  <c r="L376" i="7"/>
  <c r="N375" i="7"/>
  <c r="M375" i="7"/>
  <c r="L375" i="7"/>
  <c r="N374" i="7"/>
  <c r="M374" i="7"/>
  <c r="L374" i="7"/>
  <c r="N373" i="7"/>
  <c r="M373" i="7"/>
  <c r="L373" i="7"/>
  <c r="N372" i="7"/>
  <c r="M372" i="7"/>
  <c r="L372" i="7"/>
  <c r="N371" i="7"/>
  <c r="M371" i="7"/>
  <c r="L371" i="7"/>
  <c r="N370" i="7"/>
  <c r="M370" i="7"/>
  <c r="L370" i="7"/>
  <c r="N369" i="7"/>
  <c r="M369" i="7"/>
  <c r="L369" i="7"/>
  <c r="N368" i="7"/>
  <c r="M368" i="7"/>
  <c r="L368" i="7"/>
  <c r="N367" i="7"/>
  <c r="M367" i="7"/>
  <c r="L367" i="7"/>
  <c r="N366" i="7"/>
  <c r="M366" i="7"/>
  <c r="L366" i="7"/>
  <c r="N365" i="7"/>
  <c r="M365" i="7"/>
  <c r="L365" i="7"/>
  <c r="N364" i="7"/>
  <c r="M364" i="7"/>
  <c r="L364" i="7"/>
  <c r="N363" i="7"/>
  <c r="M363" i="7"/>
  <c r="L363" i="7"/>
  <c r="N362" i="7"/>
  <c r="M362" i="7"/>
  <c r="L362" i="7"/>
  <c r="N361" i="7"/>
  <c r="M361" i="7"/>
  <c r="L361" i="7"/>
  <c r="N360" i="7"/>
  <c r="M360" i="7"/>
  <c r="L360" i="7"/>
  <c r="N359" i="7"/>
  <c r="M359" i="7"/>
  <c r="L359" i="7"/>
  <c r="N358" i="7"/>
  <c r="M358" i="7"/>
  <c r="L358" i="7"/>
  <c r="N357" i="7"/>
  <c r="M357" i="7"/>
  <c r="L357" i="7"/>
  <c r="N356" i="7"/>
  <c r="M356" i="7"/>
  <c r="L356" i="7"/>
  <c r="N355" i="7"/>
  <c r="M355" i="7"/>
  <c r="L355" i="7"/>
  <c r="N354" i="7"/>
  <c r="M354" i="7"/>
  <c r="L354" i="7"/>
  <c r="N353" i="7"/>
  <c r="M353" i="7"/>
  <c r="L353" i="7"/>
  <c r="N352" i="7"/>
  <c r="M352" i="7"/>
  <c r="L352" i="7"/>
  <c r="N351" i="7"/>
  <c r="M351" i="7"/>
  <c r="L351" i="7"/>
  <c r="N350" i="7"/>
  <c r="M350" i="7"/>
  <c r="L350" i="7"/>
  <c r="N349" i="7"/>
  <c r="M349" i="7"/>
  <c r="L349" i="7"/>
  <c r="N348" i="7"/>
  <c r="M348" i="7"/>
  <c r="L348" i="7"/>
  <c r="N347" i="7"/>
  <c r="M347" i="7"/>
  <c r="L347" i="7"/>
  <c r="N346" i="7"/>
  <c r="M346" i="7"/>
  <c r="L346" i="7"/>
  <c r="N345" i="7"/>
  <c r="M345" i="7"/>
  <c r="L345" i="7"/>
  <c r="N344" i="7"/>
  <c r="M344" i="7"/>
  <c r="L344" i="7"/>
  <c r="N343" i="7"/>
  <c r="M343" i="7"/>
  <c r="L343" i="7"/>
  <c r="N342" i="7"/>
  <c r="M342" i="7"/>
  <c r="L342" i="7"/>
  <c r="N341" i="7"/>
  <c r="M341" i="7"/>
  <c r="L341" i="7"/>
  <c r="N340" i="7"/>
  <c r="M340" i="7"/>
  <c r="L340" i="7"/>
  <c r="N339" i="7"/>
  <c r="M339" i="7"/>
  <c r="L339" i="7"/>
  <c r="N338" i="7"/>
  <c r="M338" i="7"/>
  <c r="L338" i="7"/>
  <c r="N337" i="7"/>
  <c r="M337" i="7"/>
  <c r="L337" i="7"/>
  <c r="N336" i="7"/>
  <c r="M336" i="7"/>
  <c r="L336" i="7"/>
  <c r="N335" i="7"/>
  <c r="M335" i="7"/>
  <c r="L335" i="7"/>
  <c r="N334" i="7"/>
  <c r="M334" i="7"/>
  <c r="L334" i="7"/>
  <c r="N333" i="7"/>
  <c r="M333" i="7"/>
  <c r="L333" i="7"/>
  <c r="N332" i="7"/>
  <c r="M332" i="7"/>
  <c r="L332" i="7"/>
  <c r="N331" i="7"/>
  <c r="M331" i="7"/>
  <c r="L331" i="7"/>
  <c r="N330" i="7"/>
  <c r="M330" i="7"/>
  <c r="L330" i="7"/>
  <c r="N329" i="7"/>
  <c r="M329" i="7"/>
  <c r="L329" i="7"/>
  <c r="N328" i="7"/>
  <c r="M328" i="7"/>
  <c r="L328" i="7"/>
  <c r="N327" i="7"/>
  <c r="M327" i="7"/>
  <c r="L327" i="7"/>
  <c r="N326" i="7"/>
  <c r="M326" i="7"/>
  <c r="L326" i="7"/>
  <c r="N325" i="7"/>
  <c r="M325" i="7"/>
  <c r="L325" i="7"/>
  <c r="N324" i="7"/>
  <c r="M324" i="7"/>
  <c r="L324" i="7"/>
  <c r="N323" i="7"/>
  <c r="M323" i="7"/>
  <c r="L323" i="7"/>
  <c r="N322" i="7"/>
  <c r="M322" i="7"/>
  <c r="L322" i="7"/>
  <c r="N321" i="7"/>
  <c r="M321" i="7"/>
  <c r="L321" i="7"/>
  <c r="N320" i="7"/>
  <c r="M320" i="7"/>
  <c r="L320" i="7"/>
  <c r="N319" i="7"/>
  <c r="M319" i="7"/>
  <c r="L319" i="7"/>
  <c r="N318" i="7"/>
  <c r="M318" i="7"/>
  <c r="L318" i="7"/>
  <c r="N317" i="7"/>
  <c r="M317" i="7"/>
  <c r="L317" i="7"/>
  <c r="N316" i="7"/>
  <c r="M316" i="7"/>
  <c r="L316" i="7"/>
  <c r="N315" i="7"/>
  <c r="M315" i="7"/>
  <c r="L315" i="7"/>
  <c r="N314" i="7"/>
  <c r="M314" i="7"/>
  <c r="L314" i="7"/>
  <c r="N313" i="7"/>
  <c r="M313" i="7"/>
  <c r="L313" i="7"/>
  <c r="N312" i="7"/>
  <c r="M312" i="7"/>
  <c r="L312" i="7"/>
  <c r="N311" i="7"/>
  <c r="M311" i="7"/>
  <c r="L311" i="7"/>
  <c r="N310" i="7"/>
  <c r="M310" i="7"/>
  <c r="L310" i="7"/>
  <c r="N309" i="7"/>
  <c r="M309" i="7"/>
  <c r="L309" i="7"/>
  <c r="N308" i="7"/>
  <c r="M308" i="7"/>
  <c r="L308" i="7"/>
  <c r="N307" i="7"/>
  <c r="M307" i="7"/>
  <c r="L307" i="7"/>
  <c r="N306" i="7"/>
  <c r="M306" i="7"/>
  <c r="L306" i="7"/>
  <c r="N305" i="7"/>
  <c r="M305" i="7"/>
  <c r="L305" i="7"/>
  <c r="N304" i="7"/>
  <c r="M304" i="7"/>
  <c r="L304" i="7"/>
  <c r="N303" i="7"/>
  <c r="M303" i="7"/>
  <c r="L303" i="7"/>
  <c r="N302" i="7"/>
  <c r="M302" i="7"/>
  <c r="L302" i="7"/>
  <c r="N301" i="7"/>
  <c r="M301" i="7"/>
  <c r="L301" i="7"/>
  <c r="N300" i="7"/>
  <c r="M300" i="7"/>
  <c r="L300" i="7"/>
  <c r="N299" i="7"/>
  <c r="M299" i="7"/>
  <c r="L299" i="7"/>
  <c r="N298" i="7"/>
  <c r="M298" i="7"/>
  <c r="L298" i="7"/>
  <c r="N297" i="7"/>
  <c r="M297" i="7"/>
  <c r="L297" i="7"/>
  <c r="N296" i="7"/>
  <c r="M296" i="7"/>
  <c r="L296" i="7"/>
  <c r="N295" i="7"/>
  <c r="M295" i="7"/>
  <c r="L295" i="7"/>
  <c r="N294" i="7"/>
  <c r="M294" i="7"/>
  <c r="L294" i="7"/>
  <c r="N293" i="7"/>
  <c r="M293" i="7"/>
  <c r="L293" i="7"/>
  <c r="N292" i="7"/>
  <c r="M292" i="7"/>
  <c r="L292" i="7"/>
  <c r="N291" i="7"/>
  <c r="M291" i="7"/>
  <c r="L291" i="7"/>
  <c r="N290" i="7"/>
  <c r="M290" i="7"/>
  <c r="L290" i="7"/>
  <c r="N289" i="7"/>
  <c r="M289" i="7"/>
  <c r="L289" i="7"/>
  <c r="N288" i="7"/>
  <c r="M288" i="7"/>
  <c r="L288" i="7"/>
  <c r="N287" i="7"/>
  <c r="M287" i="7"/>
  <c r="L287" i="7"/>
  <c r="N286" i="7"/>
  <c r="M286" i="7"/>
  <c r="L286" i="7"/>
  <c r="N285" i="7"/>
  <c r="M285" i="7"/>
  <c r="L285" i="7"/>
  <c r="N284" i="7"/>
  <c r="M284" i="7"/>
  <c r="L284" i="7"/>
  <c r="N283" i="7"/>
  <c r="M283" i="7"/>
  <c r="L283" i="7"/>
  <c r="N282" i="7"/>
  <c r="M282" i="7"/>
  <c r="L282" i="7"/>
  <c r="N281" i="7"/>
  <c r="M281" i="7"/>
  <c r="L281" i="7"/>
  <c r="N280" i="7"/>
  <c r="M280" i="7"/>
  <c r="L280" i="7"/>
  <c r="N279" i="7"/>
  <c r="M279" i="7"/>
  <c r="L279" i="7"/>
  <c r="N278" i="7"/>
  <c r="M278" i="7"/>
  <c r="L278" i="7"/>
  <c r="N277" i="7"/>
  <c r="M277" i="7"/>
  <c r="L277" i="7"/>
  <c r="N276" i="7"/>
  <c r="M276" i="7"/>
  <c r="L276" i="7"/>
  <c r="N275" i="7"/>
  <c r="M275" i="7"/>
  <c r="L275" i="7"/>
  <c r="N274" i="7"/>
  <c r="M274" i="7"/>
  <c r="L274" i="7"/>
  <c r="N273" i="7"/>
  <c r="M273" i="7"/>
  <c r="L273" i="7"/>
  <c r="N272" i="7"/>
  <c r="M272" i="7"/>
  <c r="L272" i="7"/>
  <c r="N271" i="7"/>
  <c r="M271" i="7"/>
  <c r="L271" i="7"/>
  <c r="N270" i="7"/>
  <c r="M270" i="7"/>
  <c r="L270" i="7"/>
  <c r="N269" i="7"/>
  <c r="M269" i="7"/>
  <c r="L269" i="7"/>
  <c r="N268" i="7"/>
  <c r="M268" i="7"/>
  <c r="L268" i="7"/>
  <c r="N267" i="7"/>
  <c r="M267" i="7"/>
  <c r="L267" i="7"/>
  <c r="N266" i="7"/>
  <c r="M266" i="7"/>
  <c r="L266" i="7"/>
  <c r="N265" i="7"/>
  <c r="M265" i="7"/>
  <c r="L265" i="7"/>
  <c r="N264" i="7"/>
  <c r="M264" i="7"/>
  <c r="L264" i="7"/>
  <c r="N263" i="7"/>
  <c r="M263" i="7"/>
  <c r="L263" i="7"/>
  <c r="N262" i="7"/>
  <c r="M262" i="7"/>
  <c r="L262" i="7"/>
  <c r="N261" i="7"/>
  <c r="M261" i="7"/>
  <c r="L261" i="7"/>
  <c r="N260" i="7"/>
  <c r="M260" i="7"/>
  <c r="L260" i="7"/>
  <c r="N259" i="7"/>
  <c r="M259" i="7"/>
  <c r="L259" i="7"/>
  <c r="N258" i="7"/>
  <c r="M258" i="7"/>
  <c r="L258" i="7"/>
  <c r="N257" i="7"/>
  <c r="M257" i="7"/>
  <c r="L257" i="7"/>
  <c r="N256" i="7"/>
  <c r="M256" i="7"/>
  <c r="L256" i="7"/>
  <c r="N255" i="7"/>
  <c r="M255" i="7"/>
  <c r="L255" i="7"/>
  <c r="N254" i="7"/>
  <c r="M254" i="7"/>
  <c r="L254" i="7"/>
  <c r="N253" i="7"/>
  <c r="M253" i="7"/>
  <c r="L253" i="7"/>
  <c r="N252" i="7"/>
  <c r="M252" i="7"/>
  <c r="L252" i="7"/>
  <c r="N251" i="7"/>
  <c r="M251" i="7"/>
  <c r="L251" i="7"/>
  <c r="N250" i="7"/>
  <c r="M250" i="7"/>
  <c r="L250" i="7"/>
  <c r="N249" i="7"/>
  <c r="M249" i="7"/>
  <c r="L249" i="7"/>
  <c r="N248" i="7"/>
  <c r="M248" i="7"/>
  <c r="L248" i="7"/>
  <c r="N247" i="7"/>
  <c r="M247" i="7"/>
  <c r="L247" i="7"/>
  <c r="N246" i="7"/>
  <c r="M246" i="7"/>
  <c r="L246" i="7"/>
  <c r="N245" i="7"/>
  <c r="M245" i="7"/>
  <c r="L245" i="7"/>
  <c r="N244" i="7"/>
  <c r="M244" i="7"/>
  <c r="L244" i="7"/>
  <c r="N243" i="7"/>
  <c r="M243" i="7"/>
  <c r="L243" i="7"/>
  <c r="N242" i="7"/>
  <c r="M242" i="7"/>
  <c r="L242" i="7"/>
  <c r="N241" i="7"/>
  <c r="M241" i="7"/>
  <c r="L241" i="7"/>
  <c r="N240" i="7"/>
  <c r="M240" i="7"/>
  <c r="L240" i="7"/>
  <c r="N239" i="7"/>
  <c r="M239" i="7"/>
  <c r="L239" i="7"/>
  <c r="N238" i="7"/>
  <c r="M238" i="7"/>
  <c r="L238" i="7"/>
  <c r="N237" i="7"/>
  <c r="M237" i="7"/>
  <c r="L237" i="7"/>
  <c r="N236" i="7"/>
  <c r="M236" i="7"/>
  <c r="L236" i="7"/>
  <c r="N235" i="7"/>
  <c r="M235" i="7"/>
  <c r="L235" i="7"/>
  <c r="N234" i="7"/>
  <c r="M234" i="7"/>
  <c r="L234" i="7"/>
  <c r="N233" i="7"/>
  <c r="M233" i="7"/>
  <c r="L233" i="7"/>
  <c r="N232" i="7"/>
  <c r="M232" i="7"/>
  <c r="L232" i="7"/>
  <c r="N231" i="7"/>
  <c r="M231" i="7"/>
  <c r="L231" i="7"/>
  <c r="N230" i="7"/>
  <c r="M230" i="7"/>
  <c r="L230" i="7"/>
  <c r="N229" i="7"/>
  <c r="M229" i="7"/>
  <c r="L229" i="7"/>
  <c r="N228" i="7"/>
  <c r="M228" i="7"/>
  <c r="L228" i="7"/>
  <c r="N227" i="7"/>
  <c r="M227" i="7"/>
  <c r="L227" i="7"/>
  <c r="N226" i="7"/>
  <c r="M226" i="7"/>
  <c r="L226" i="7"/>
  <c r="N225" i="7"/>
  <c r="M225" i="7"/>
  <c r="L225" i="7"/>
  <c r="N224" i="7"/>
  <c r="M224" i="7"/>
  <c r="L224" i="7"/>
  <c r="N223" i="7"/>
  <c r="M223" i="7"/>
  <c r="L223" i="7"/>
  <c r="N222" i="7"/>
  <c r="M222" i="7"/>
  <c r="L222" i="7"/>
  <c r="N221" i="7"/>
  <c r="M221" i="7"/>
  <c r="L221" i="7"/>
  <c r="N220" i="7"/>
  <c r="M220" i="7"/>
  <c r="L220" i="7"/>
  <c r="N219" i="7"/>
  <c r="M219" i="7"/>
  <c r="L219" i="7"/>
  <c r="N218" i="7"/>
  <c r="M218" i="7"/>
  <c r="L218" i="7"/>
  <c r="N217" i="7"/>
  <c r="M217" i="7"/>
  <c r="L217" i="7"/>
  <c r="N216" i="7"/>
  <c r="M216" i="7"/>
  <c r="L216" i="7"/>
  <c r="N215" i="7"/>
  <c r="M215" i="7"/>
  <c r="L215" i="7"/>
  <c r="N214" i="7"/>
  <c r="M214" i="7"/>
  <c r="L214" i="7"/>
  <c r="N213" i="7"/>
  <c r="M213" i="7"/>
  <c r="L213" i="7"/>
  <c r="N212" i="7"/>
  <c r="M212" i="7"/>
  <c r="L212" i="7"/>
  <c r="N211" i="7"/>
  <c r="M211" i="7"/>
  <c r="L211" i="7"/>
  <c r="N210" i="7"/>
  <c r="M210" i="7"/>
  <c r="L210" i="7"/>
  <c r="N209" i="7"/>
  <c r="M209" i="7"/>
  <c r="L209" i="7"/>
  <c r="N208" i="7"/>
  <c r="M208" i="7"/>
  <c r="L208" i="7"/>
  <c r="N207" i="7"/>
  <c r="M207" i="7"/>
  <c r="L207" i="7"/>
  <c r="N206" i="7"/>
  <c r="M206" i="7"/>
  <c r="L206" i="7"/>
  <c r="N205" i="7"/>
  <c r="M205" i="7"/>
  <c r="L205" i="7"/>
  <c r="N204" i="7"/>
  <c r="M204" i="7"/>
  <c r="L204" i="7"/>
  <c r="N203" i="7"/>
  <c r="M203" i="7"/>
  <c r="L203" i="7"/>
  <c r="N202" i="7"/>
  <c r="M202" i="7"/>
  <c r="L202" i="7"/>
  <c r="N201" i="7"/>
  <c r="M201" i="7"/>
  <c r="L201" i="7"/>
  <c r="N200" i="7"/>
  <c r="M200" i="7"/>
  <c r="L200" i="7"/>
  <c r="N199" i="7"/>
  <c r="M199" i="7"/>
  <c r="L199" i="7"/>
  <c r="N198" i="7"/>
  <c r="M198" i="7"/>
  <c r="L198" i="7"/>
  <c r="N197" i="7"/>
  <c r="M197" i="7"/>
  <c r="L197" i="7"/>
  <c r="N196" i="7"/>
  <c r="M196" i="7"/>
  <c r="L196" i="7"/>
  <c r="N195" i="7"/>
  <c r="M195" i="7"/>
  <c r="L195" i="7"/>
  <c r="N194" i="7"/>
  <c r="M194" i="7"/>
  <c r="L194" i="7"/>
  <c r="N193" i="7"/>
  <c r="M193" i="7"/>
  <c r="L193" i="7"/>
  <c r="N192" i="7"/>
  <c r="M192" i="7"/>
  <c r="L192" i="7"/>
  <c r="N191" i="7"/>
  <c r="M191" i="7"/>
  <c r="L191" i="7"/>
  <c r="N190" i="7"/>
  <c r="M190" i="7"/>
  <c r="L190" i="7"/>
  <c r="N189" i="7"/>
  <c r="M189" i="7"/>
  <c r="L189" i="7"/>
  <c r="N188" i="7"/>
  <c r="M188" i="7"/>
  <c r="L188" i="7"/>
  <c r="N187" i="7"/>
  <c r="M187" i="7"/>
  <c r="L187" i="7"/>
  <c r="N186" i="7"/>
  <c r="M186" i="7"/>
  <c r="L186" i="7"/>
  <c r="N185" i="7"/>
  <c r="M185" i="7"/>
  <c r="L185" i="7"/>
  <c r="N184" i="7"/>
  <c r="M184" i="7"/>
  <c r="L184" i="7"/>
  <c r="N183" i="7"/>
  <c r="M183" i="7"/>
  <c r="L183" i="7"/>
  <c r="N182" i="7"/>
  <c r="M182" i="7"/>
  <c r="L182" i="7"/>
  <c r="N181" i="7"/>
  <c r="M181" i="7"/>
  <c r="L181" i="7"/>
  <c r="N180" i="7"/>
  <c r="M180" i="7"/>
  <c r="L180" i="7"/>
  <c r="N179" i="7"/>
  <c r="M179" i="7"/>
  <c r="L179" i="7"/>
  <c r="N178" i="7"/>
  <c r="M178" i="7"/>
  <c r="L178" i="7"/>
  <c r="N177" i="7"/>
  <c r="M177" i="7"/>
  <c r="L177" i="7"/>
  <c r="N176" i="7"/>
  <c r="M176" i="7"/>
  <c r="L176" i="7"/>
  <c r="N175" i="7"/>
  <c r="M175" i="7"/>
  <c r="L175" i="7"/>
  <c r="N174" i="7"/>
  <c r="M174" i="7"/>
  <c r="L174" i="7"/>
  <c r="N173" i="7"/>
  <c r="M173" i="7"/>
  <c r="L173" i="7"/>
  <c r="N172" i="7"/>
  <c r="M172" i="7"/>
  <c r="L172" i="7"/>
  <c r="N171" i="7"/>
  <c r="M171" i="7"/>
  <c r="L171" i="7"/>
  <c r="N170" i="7"/>
  <c r="M170" i="7"/>
  <c r="L170" i="7"/>
  <c r="N169" i="7"/>
  <c r="M169" i="7"/>
  <c r="L169" i="7"/>
  <c r="N168" i="7"/>
  <c r="M168" i="7"/>
  <c r="L168" i="7"/>
  <c r="N167" i="7"/>
  <c r="M167" i="7"/>
  <c r="L167" i="7"/>
  <c r="N166" i="7"/>
  <c r="M166" i="7"/>
  <c r="L166" i="7"/>
  <c r="N165" i="7"/>
  <c r="M165" i="7"/>
  <c r="L165" i="7"/>
  <c r="N164" i="7"/>
  <c r="M164" i="7"/>
  <c r="L164" i="7"/>
  <c r="N163" i="7"/>
  <c r="M163" i="7"/>
  <c r="L163" i="7"/>
  <c r="N162" i="7"/>
  <c r="M162" i="7"/>
  <c r="L162" i="7"/>
  <c r="N161" i="7"/>
  <c r="M161" i="7"/>
  <c r="L161" i="7"/>
  <c r="N160" i="7"/>
  <c r="M160" i="7"/>
  <c r="L160" i="7"/>
  <c r="N159" i="7"/>
  <c r="M159" i="7"/>
  <c r="L159" i="7"/>
  <c r="N158" i="7"/>
  <c r="M158" i="7"/>
  <c r="L158" i="7"/>
  <c r="N157" i="7"/>
  <c r="M157" i="7"/>
  <c r="L157" i="7"/>
  <c r="N156" i="7"/>
  <c r="M156" i="7"/>
  <c r="L156" i="7"/>
  <c r="N155" i="7"/>
  <c r="M155" i="7"/>
  <c r="L155" i="7"/>
  <c r="N154" i="7"/>
  <c r="M154" i="7"/>
  <c r="L154" i="7"/>
  <c r="N153" i="7"/>
  <c r="M153" i="7"/>
  <c r="L153" i="7"/>
  <c r="N152" i="7"/>
  <c r="M152" i="7"/>
  <c r="L152" i="7"/>
  <c r="N151" i="7"/>
  <c r="M151" i="7"/>
  <c r="L151" i="7"/>
  <c r="N150" i="7"/>
  <c r="M150" i="7"/>
  <c r="L150" i="7"/>
  <c r="N149" i="7"/>
  <c r="M149" i="7"/>
  <c r="L149" i="7"/>
  <c r="N148" i="7"/>
  <c r="M148" i="7"/>
  <c r="L148" i="7"/>
  <c r="N147" i="7"/>
  <c r="M147" i="7"/>
  <c r="L147" i="7"/>
  <c r="N146" i="7"/>
  <c r="M146" i="7"/>
  <c r="L146" i="7"/>
  <c r="N145" i="7"/>
  <c r="M145" i="7"/>
  <c r="L145" i="7"/>
  <c r="N144" i="7"/>
  <c r="M144" i="7"/>
  <c r="L144" i="7"/>
  <c r="N143" i="7"/>
  <c r="M143" i="7"/>
  <c r="L143" i="7"/>
  <c r="N142" i="7"/>
  <c r="M142" i="7"/>
  <c r="L142" i="7"/>
  <c r="N141" i="7"/>
  <c r="M141" i="7"/>
  <c r="L141" i="7"/>
  <c r="N140" i="7"/>
  <c r="M140" i="7"/>
  <c r="L140" i="7"/>
  <c r="N139" i="7"/>
  <c r="M139" i="7"/>
  <c r="L139" i="7"/>
  <c r="N138" i="7"/>
  <c r="M138" i="7"/>
  <c r="L138" i="7"/>
  <c r="N137" i="7"/>
  <c r="M137" i="7"/>
  <c r="L137" i="7"/>
  <c r="N136" i="7"/>
  <c r="M136" i="7"/>
  <c r="L136" i="7"/>
  <c r="N135" i="7"/>
  <c r="M135" i="7"/>
  <c r="L135" i="7"/>
  <c r="N134" i="7"/>
  <c r="M134" i="7"/>
  <c r="L134" i="7"/>
  <c r="N133" i="7"/>
  <c r="M133" i="7"/>
  <c r="L133" i="7"/>
  <c r="N132" i="7"/>
  <c r="M132" i="7"/>
  <c r="L132" i="7"/>
  <c r="N131" i="7"/>
  <c r="M131" i="7"/>
  <c r="L131" i="7"/>
  <c r="N130" i="7"/>
  <c r="M130" i="7"/>
  <c r="L130" i="7"/>
  <c r="N129" i="7"/>
  <c r="M129" i="7"/>
  <c r="L129" i="7"/>
  <c r="N128" i="7"/>
  <c r="M128" i="7"/>
  <c r="L128" i="7"/>
  <c r="N127" i="7"/>
  <c r="M127" i="7"/>
  <c r="L127" i="7"/>
  <c r="N126" i="7"/>
  <c r="M126" i="7"/>
  <c r="L126" i="7"/>
  <c r="N125" i="7"/>
  <c r="M125" i="7"/>
  <c r="L125" i="7"/>
  <c r="N124" i="7"/>
  <c r="M124" i="7"/>
  <c r="L124" i="7"/>
  <c r="N123" i="7"/>
  <c r="M123" i="7"/>
  <c r="L123" i="7"/>
  <c r="N122" i="7"/>
  <c r="M122" i="7"/>
  <c r="L122" i="7"/>
  <c r="N121" i="7"/>
  <c r="M121" i="7"/>
  <c r="L121" i="7"/>
  <c r="N120" i="7"/>
  <c r="M120" i="7"/>
  <c r="L120" i="7"/>
  <c r="N119" i="7"/>
  <c r="M119" i="7"/>
  <c r="L119" i="7"/>
  <c r="N118" i="7"/>
  <c r="M118" i="7"/>
  <c r="L118" i="7"/>
  <c r="N117" i="7"/>
  <c r="M117" i="7"/>
  <c r="L117" i="7"/>
  <c r="N116" i="7"/>
  <c r="M116" i="7"/>
  <c r="L116" i="7"/>
  <c r="N115" i="7"/>
  <c r="M115" i="7"/>
  <c r="L115" i="7"/>
  <c r="N114" i="7"/>
  <c r="M114" i="7"/>
  <c r="L114" i="7"/>
  <c r="N113" i="7"/>
  <c r="M113" i="7"/>
  <c r="L113" i="7"/>
  <c r="N112" i="7"/>
  <c r="M112" i="7"/>
  <c r="L112" i="7"/>
  <c r="N111" i="7"/>
  <c r="M111" i="7"/>
  <c r="L111" i="7"/>
  <c r="N110" i="7"/>
  <c r="M110" i="7"/>
  <c r="L110" i="7"/>
  <c r="N109" i="7"/>
  <c r="M109" i="7"/>
  <c r="L109" i="7"/>
  <c r="N108" i="7"/>
  <c r="M108" i="7"/>
  <c r="L108" i="7"/>
  <c r="N107" i="7"/>
  <c r="M107" i="7"/>
  <c r="L107" i="7"/>
  <c r="N106" i="7"/>
  <c r="M106" i="7"/>
  <c r="L106" i="7"/>
  <c r="N105" i="7"/>
  <c r="M105" i="7"/>
  <c r="L105" i="7"/>
  <c r="N104" i="7"/>
  <c r="M104" i="7"/>
  <c r="L104" i="7"/>
  <c r="N103" i="7"/>
  <c r="M103" i="7"/>
  <c r="L103" i="7"/>
  <c r="N102" i="7"/>
  <c r="M102" i="7"/>
  <c r="L102" i="7"/>
  <c r="N101" i="7"/>
  <c r="M101" i="7"/>
  <c r="L101" i="7"/>
  <c r="N100" i="7"/>
  <c r="M100" i="7"/>
  <c r="L100" i="7"/>
  <c r="N99" i="7"/>
  <c r="M99" i="7"/>
  <c r="L99" i="7"/>
  <c r="N98" i="7"/>
  <c r="M98" i="7"/>
  <c r="L98" i="7"/>
  <c r="N97" i="7"/>
  <c r="M97" i="7"/>
  <c r="L97" i="7"/>
  <c r="N96" i="7"/>
  <c r="M96" i="7"/>
  <c r="L96" i="7"/>
  <c r="N95" i="7"/>
  <c r="M95" i="7"/>
  <c r="L95" i="7"/>
  <c r="N94" i="7"/>
  <c r="M94" i="7"/>
  <c r="L94" i="7"/>
  <c r="N93" i="7"/>
  <c r="M93" i="7"/>
  <c r="L93" i="7"/>
  <c r="N92" i="7"/>
  <c r="M92" i="7"/>
  <c r="L92" i="7"/>
  <c r="N91" i="7"/>
  <c r="M91" i="7"/>
  <c r="L91" i="7"/>
  <c r="N90" i="7"/>
  <c r="M90" i="7"/>
  <c r="L90" i="7"/>
  <c r="N89" i="7"/>
  <c r="M89" i="7"/>
  <c r="L89" i="7"/>
  <c r="N88" i="7"/>
  <c r="M88" i="7"/>
  <c r="L88" i="7"/>
  <c r="N87" i="7"/>
  <c r="M87" i="7"/>
  <c r="L87" i="7"/>
  <c r="N86" i="7"/>
  <c r="M86" i="7"/>
  <c r="L86" i="7"/>
  <c r="N85" i="7"/>
  <c r="M85" i="7"/>
  <c r="L85" i="7"/>
  <c r="N84" i="7"/>
  <c r="M84" i="7"/>
  <c r="L84" i="7"/>
  <c r="N83" i="7"/>
  <c r="M83" i="7"/>
  <c r="L83" i="7"/>
  <c r="N82" i="7"/>
  <c r="M82" i="7"/>
  <c r="L82" i="7"/>
  <c r="N81" i="7"/>
  <c r="M81" i="7"/>
  <c r="L81" i="7"/>
  <c r="N80" i="7"/>
  <c r="M80" i="7"/>
  <c r="L80" i="7"/>
  <c r="N79" i="7"/>
  <c r="M79" i="7"/>
  <c r="L79" i="7"/>
  <c r="N78" i="7"/>
  <c r="M78" i="7"/>
  <c r="L78" i="7"/>
  <c r="N77" i="7"/>
  <c r="M77" i="7"/>
  <c r="L77" i="7"/>
  <c r="N76" i="7"/>
  <c r="M76" i="7"/>
  <c r="L76" i="7"/>
  <c r="N75" i="7"/>
  <c r="M75" i="7"/>
  <c r="L75" i="7"/>
  <c r="N74" i="7"/>
  <c r="M74" i="7"/>
  <c r="L74" i="7"/>
  <c r="N73" i="7"/>
  <c r="M73" i="7"/>
  <c r="L73" i="7"/>
  <c r="N72" i="7"/>
  <c r="M72" i="7"/>
  <c r="L72" i="7"/>
  <c r="N71" i="7"/>
  <c r="M71" i="7"/>
  <c r="L71" i="7"/>
  <c r="N70" i="7"/>
  <c r="M70" i="7"/>
  <c r="L70" i="7"/>
  <c r="N69" i="7"/>
  <c r="M69" i="7"/>
  <c r="L69" i="7"/>
  <c r="N68" i="7"/>
  <c r="M68" i="7"/>
  <c r="L68" i="7"/>
  <c r="N67" i="7"/>
  <c r="M67" i="7"/>
  <c r="L67" i="7"/>
  <c r="N66" i="7"/>
  <c r="M66" i="7"/>
  <c r="L66" i="7"/>
  <c r="N65" i="7"/>
  <c r="M65" i="7"/>
  <c r="L65" i="7"/>
  <c r="N64" i="7"/>
  <c r="M64" i="7"/>
  <c r="L64" i="7"/>
  <c r="N63" i="7"/>
  <c r="M63" i="7"/>
  <c r="L63" i="7"/>
  <c r="N62" i="7"/>
  <c r="M62" i="7"/>
  <c r="L62" i="7"/>
  <c r="N61" i="7"/>
  <c r="M61" i="7"/>
  <c r="L61" i="7"/>
  <c r="N60" i="7"/>
  <c r="M60" i="7"/>
  <c r="L60" i="7"/>
  <c r="N59" i="7"/>
  <c r="M59" i="7"/>
  <c r="L59" i="7"/>
  <c r="N58" i="7"/>
  <c r="M58" i="7"/>
  <c r="L58" i="7"/>
  <c r="N57" i="7"/>
  <c r="M57" i="7"/>
  <c r="L57" i="7"/>
  <c r="N56" i="7"/>
  <c r="M56" i="7"/>
  <c r="L56" i="7"/>
  <c r="N55" i="7"/>
  <c r="M55" i="7"/>
  <c r="L55" i="7"/>
  <c r="N54" i="7"/>
  <c r="M54" i="7"/>
  <c r="L54" i="7"/>
  <c r="N53" i="7"/>
  <c r="M53" i="7"/>
  <c r="L53" i="7"/>
  <c r="N52" i="7"/>
  <c r="M52" i="7"/>
  <c r="L52" i="7"/>
  <c r="N51" i="7"/>
  <c r="M51" i="7"/>
  <c r="L51" i="7"/>
  <c r="N50" i="7"/>
  <c r="M50" i="7"/>
  <c r="L50" i="7"/>
  <c r="N49" i="7"/>
  <c r="M49" i="7"/>
  <c r="L49" i="7"/>
  <c r="N48" i="7"/>
  <c r="M48" i="7"/>
  <c r="L48" i="7"/>
  <c r="N47" i="7"/>
  <c r="M47" i="7"/>
  <c r="L47" i="7"/>
  <c r="N46" i="7"/>
  <c r="M46" i="7"/>
  <c r="L46" i="7"/>
  <c r="N45" i="7"/>
  <c r="M45" i="7"/>
  <c r="L45" i="7"/>
  <c r="N44" i="7"/>
  <c r="M44" i="7"/>
  <c r="L44" i="7"/>
  <c r="N43" i="7"/>
  <c r="M43" i="7"/>
  <c r="L43" i="7"/>
  <c r="N42" i="7"/>
  <c r="M42" i="7"/>
  <c r="L42" i="7"/>
  <c r="N41" i="7"/>
  <c r="M41" i="7"/>
  <c r="L41" i="7"/>
  <c r="N40" i="7"/>
  <c r="M40" i="7"/>
  <c r="L40" i="7"/>
  <c r="N39" i="7"/>
  <c r="M39" i="7"/>
  <c r="L39" i="7"/>
  <c r="N38" i="7"/>
  <c r="M38" i="7"/>
  <c r="L38" i="7"/>
  <c r="N37" i="7"/>
  <c r="M37" i="7"/>
  <c r="L37" i="7"/>
  <c r="N36" i="7"/>
  <c r="M36" i="7"/>
  <c r="L36" i="7"/>
  <c r="N35" i="7"/>
  <c r="M35" i="7"/>
  <c r="L35" i="7"/>
  <c r="N34" i="7"/>
  <c r="M34" i="7"/>
  <c r="L34" i="7"/>
  <c r="N33" i="7"/>
  <c r="M33" i="7"/>
  <c r="L33" i="7"/>
  <c r="N32" i="7"/>
  <c r="M32" i="7"/>
  <c r="L32" i="7"/>
  <c r="N31" i="7"/>
  <c r="M31" i="7"/>
  <c r="L31" i="7"/>
  <c r="N30" i="7"/>
  <c r="M30" i="7"/>
  <c r="L30" i="7"/>
  <c r="N29" i="7"/>
  <c r="M29" i="7"/>
  <c r="L29" i="7"/>
  <c r="N28" i="7"/>
  <c r="M28" i="7"/>
  <c r="L28" i="7"/>
  <c r="N27" i="7"/>
  <c r="M27" i="7"/>
  <c r="L27" i="7"/>
  <c r="N26" i="7"/>
  <c r="M26" i="7"/>
  <c r="L26" i="7"/>
  <c r="N25" i="7"/>
  <c r="M25" i="7"/>
  <c r="L25" i="7"/>
  <c r="N24" i="7"/>
  <c r="M24" i="7"/>
  <c r="L24" i="7"/>
  <c r="N23" i="7"/>
  <c r="M23" i="7"/>
  <c r="L23" i="7"/>
  <c r="N22" i="7"/>
  <c r="M22" i="7"/>
  <c r="L22" i="7"/>
  <c r="N21" i="7"/>
  <c r="M21" i="7"/>
  <c r="L21" i="7"/>
  <c r="N20" i="7"/>
  <c r="M20" i="7"/>
  <c r="L20" i="7"/>
  <c r="N19" i="7"/>
  <c r="M19" i="7"/>
  <c r="L19" i="7"/>
  <c r="N18" i="7"/>
  <c r="M18" i="7"/>
  <c r="L18" i="7"/>
  <c r="N17" i="7"/>
  <c r="M17" i="7"/>
  <c r="L17" i="7"/>
  <c r="N16" i="7"/>
  <c r="M16" i="7"/>
  <c r="L16" i="7"/>
  <c r="N15" i="7"/>
  <c r="M15" i="7"/>
  <c r="L15" i="7"/>
  <c r="N14" i="7"/>
  <c r="M14" i="7"/>
  <c r="L14" i="7"/>
  <c r="N13" i="7"/>
  <c r="M13" i="7"/>
  <c r="L13" i="7"/>
  <c r="N12" i="7"/>
  <c r="M12" i="7"/>
  <c r="L12" i="7"/>
  <c r="N11" i="7"/>
  <c r="M11" i="7"/>
  <c r="L11" i="7"/>
  <c r="N10" i="7"/>
  <c r="M10" i="7"/>
  <c r="L10" i="7"/>
  <c r="N9" i="7"/>
  <c r="M9" i="7"/>
  <c r="L9" i="7"/>
  <c r="N8" i="7"/>
  <c r="M8" i="7"/>
  <c r="L8" i="7"/>
  <c r="J107" i="6"/>
  <c r="I107" i="6"/>
  <c r="H107" i="6"/>
  <c r="J106" i="6"/>
  <c r="I106" i="6"/>
  <c r="H106" i="6"/>
  <c r="J105" i="6"/>
  <c r="I105" i="6"/>
  <c r="H105" i="6"/>
  <c r="J104" i="6"/>
  <c r="I104" i="6"/>
  <c r="H104" i="6"/>
  <c r="J103" i="6"/>
  <c r="I103" i="6"/>
  <c r="H103" i="6"/>
  <c r="J102" i="6"/>
  <c r="I102" i="6"/>
  <c r="H102" i="6"/>
  <c r="J101" i="6"/>
  <c r="I101" i="6"/>
  <c r="H101" i="6"/>
  <c r="J100" i="6"/>
  <c r="I100" i="6"/>
  <c r="H100" i="6"/>
  <c r="J99" i="6"/>
  <c r="I99" i="6"/>
  <c r="H99" i="6"/>
  <c r="J98" i="6"/>
  <c r="I98" i="6"/>
  <c r="H98" i="6"/>
  <c r="J97" i="6"/>
  <c r="I97" i="6"/>
  <c r="H97" i="6"/>
  <c r="J96" i="6"/>
  <c r="I96" i="6"/>
  <c r="H96" i="6"/>
  <c r="J95" i="6"/>
  <c r="I95" i="6"/>
  <c r="H95" i="6"/>
  <c r="J94" i="6"/>
  <c r="I94" i="6"/>
  <c r="H94" i="6"/>
  <c r="J93" i="6"/>
  <c r="I93" i="6"/>
  <c r="H93" i="6"/>
  <c r="J92" i="6"/>
  <c r="I92" i="6"/>
  <c r="H92" i="6"/>
  <c r="J91" i="6"/>
  <c r="I91" i="6"/>
  <c r="H91" i="6"/>
  <c r="J90" i="6"/>
  <c r="I90" i="6"/>
  <c r="H90" i="6"/>
  <c r="J89" i="6"/>
  <c r="I89" i="6"/>
  <c r="H89" i="6"/>
  <c r="J88" i="6"/>
  <c r="I88" i="6"/>
  <c r="H88" i="6"/>
  <c r="J87" i="6"/>
  <c r="I87" i="6"/>
  <c r="H87" i="6"/>
  <c r="J86" i="6"/>
  <c r="I86" i="6"/>
  <c r="H86" i="6"/>
  <c r="J85" i="6"/>
  <c r="I85" i="6"/>
  <c r="H85" i="6"/>
  <c r="J84" i="6"/>
  <c r="I84" i="6"/>
  <c r="H84" i="6"/>
  <c r="J83" i="6"/>
  <c r="I83" i="6"/>
  <c r="H83" i="6"/>
  <c r="J82" i="6"/>
  <c r="I82" i="6"/>
  <c r="H82" i="6"/>
  <c r="J81" i="6"/>
  <c r="I81" i="6"/>
  <c r="H81" i="6"/>
  <c r="J80" i="6"/>
  <c r="I80" i="6"/>
  <c r="H80" i="6"/>
  <c r="J79" i="6"/>
  <c r="I79" i="6"/>
  <c r="H79" i="6"/>
  <c r="J78" i="6"/>
  <c r="I78" i="6"/>
  <c r="H78" i="6"/>
  <c r="J77" i="6"/>
  <c r="I77" i="6"/>
  <c r="H77" i="6"/>
  <c r="J76" i="6"/>
  <c r="I76" i="6"/>
  <c r="H76" i="6"/>
  <c r="J75" i="6"/>
  <c r="I75" i="6"/>
  <c r="H75" i="6"/>
  <c r="J74" i="6"/>
  <c r="I74" i="6"/>
  <c r="H74" i="6"/>
  <c r="J73" i="6"/>
  <c r="I73" i="6"/>
  <c r="H73" i="6"/>
  <c r="J72" i="6"/>
  <c r="I72" i="6"/>
  <c r="H72" i="6"/>
  <c r="J71" i="6"/>
  <c r="I71" i="6"/>
  <c r="H71" i="6"/>
  <c r="J70" i="6"/>
  <c r="I70" i="6"/>
  <c r="H70" i="6"/>
  <c r="J69" i="6"/>
  <c r="I69" i="6"/>
  <c r="H69" i="6"/>
  <c r="J68" i="6"/>
  <c r="I68" i="6"/>
  <c r="H68" i="6"/>
  <c r="J67" i="6"/>
  <c r="I67" i="6"/>
  <c r="H67" i="6"/>
  <c r="J66" i="6"/>
  <c r="I66" i="6"/>
  <c r="H66" i="6"/>
  <c r="J65" i="6"/>
  <c r="I65" i="6"/>
  <c r="H65" i="6"/>
  <c r="J64" i="6"/>
  <c r="I64" i="6"/>
  <c r="H64" i="6"/>
  <c r="J63" i="6"/>
  <c r="I63" i="6"/>
  <c r="H63" i="6"/>
  <c r="J62" i="6"/>
  <c r="I62" i="6"/>
  <c r="H62" i="6"/>
  <c r="J61" i="6"/>
  <c r="I61" i="6"/>
  <c r="H61" i="6"/>
  <c r="J60" i="6"/>
  <c r="I60" i="6"/>
  <c r="H60" i="6"/>
  <c r="J59" i="6"/>
  <c r="I59" i="6"/>
  <c r="H59" i="6"/>
  <c r="J58" i="6"/>
  <c r="I58" i="6"/>
  <c r="H58" i="6"/>
  <c r="J57" i="6"/>
  <c r="I57" i="6"/>
  <c r="H57" i="6"/>
  <c r="J56" i="6"/>
  <c r="I56" i="6"/>
  <c r="H56" i="6"/>
  <c r="J55" i="6"/>
  <c r="I55" i="6"/>
  <c r="H55" i="6"/>
  <c r="J54" i="6"/>
  <c r="I54" i="6"/>
  <c r="H54" i="6"/>
  <c r="J53" i="6"/>
  <c r="I53" i="6"/>
  <c r="H53" i="6"/>
  <c r="J52" i="6"/>
  <c r="I52" i="6"/>
  <c r="H52" i="6"/>
  <c r="J51" i="6"/>
  <c r="I51" i="6"/>
  <c r="H51" i="6"/>
  <c r="J50" i="6"/>
  <c r="I50" i="6"/>
  <c r="H50" i="6"/>
  <c r="J49" i="6"/>
  <c r="I49" i="6"/>
  <c r="H49" i="6"/>
  <c r="J48" i="6"/>
  <c r="I48" i="6"/>
  <c r="H48" i="6"/>
  <c r="J47" i="6"/>
  <c r="I47" i="6"/>
  <c r="H47" i="6"/>
  <c r="J46" i="6"/>
  <c r="I46" i="6"/>
  <c r="H46" i="6"/>
  <c r="J45" i="6"/>
  <c r="I45" i="6"/>
  <c r="H45" i="6"/>
  <c r="J44" i="6"/>
  <c r="I44" i="6"/>
  <c r="H44" i="6"/>
  <c r="J43" i="6"/>
  <c r="I43" i="6"/>
  <c r="H43" i="6"/>
  <c r="J42" i="6"/>
  <c r="I42" i="6"/>
  <c r="H42" i="6"/>
  <c r="J41" i="6"/>
  <c r="I41" i="6"/>
  <c r="H41" i="6"/>
  <c r="J40" i="6"/>
  <c r="I40" i="6"/>
  <c r="H40" i="6"/>
  <c r="J39" i="6"/>
  <c r="I39" i="6"/>
  <c r="H39" i="6"/>
  <c r="J38" i="6"/>
  <c r="I38" i="6"/>
  <c r="H38" i="6"/>
  <c r="J37" i="6"/>
  <c r="I37" i="6"/>
  <c r="H37" i="6"/>
  <c r="J36" i="6"/>
  <c r="I36" i="6"/>
  <c r="H36" i="6"/>
  <c r="J35" i="6"/>
  <c r="I35" i="6"/>
  <c r="H35" i="6"/>
  <c r="J34" i="6"/>
  <c r="I34" i="6"/>
  <c r="H34" i="6"/>
  <c r="J33" i="6"/>
  <c r="I33" i="6"/>
  <c r="H33" i="6"/>
  <c r="J32" i="6"/>
  <c r="I32" i="6"/>
  <c r="H32" i="6"/>
  <c r="J31" i="6"/>
  <c r="I31" i="6"/>
  <c r="H31" i="6"/>
  <c r="J30" i="6"/>
  <c r="I30" i="6"/>
  <c r="H30" i="6"/>
  <c r="J29" i="6"/>
  <c r="I29" i="6"/>
  <c r="H29" i="6"/>
  <c r="J28" i="6"/>
  <c r="I28" i="6"/>
  <c r="H28" i="6"/>
  <c r="J27" i="6"/>
  <c r="I27" i="6"/>
  <c r="H27" i="6"/>
  <c r="J26" i="6"/>
  <c r="I26" i="6"/>
  <c r="H26" i="6"/>
  <c r="J25" i="6"/>
  <c r="I25" i="6"/>
  <c r="H25" i="6"/>
  <c r="J24" i="6"/>
  <c r="I24" i="6"/>
  <c r="H24" i="6"/>
  <c r="J23" i="6"/>
  <c r="I23" i="6"/>
  <c r="H23" i="6"/>
  <c r="J22" i="6"/>
  <c r="I22" i="6"/>
  <c r="H22" i="6"/>
  <c r="J21" i="6"/>
  <c r="I21" i="6"/>
  <c r="H21" i="6"/>
  <c r="J20" i="6"/>
  <c r="I20" i="6"/>
  <c r="H20" i="6"/>
  <c r="J19" i="6"/>
  <c r="I19" i="6"/>
  <c r="H19" i="6"/>
  <c r="J18" i="6"/>
  <c r="I18" i="6"/>
  <c r="H18" i="6"/>
  <c r="J17" i="6"/>
  <c r="I17" i="6"/>
  <c r="H17" i="6"/>
  <c r="J16" i="6"/>
  <c r="I16" i="6"/>
  <c r="H16" i="6"/>
  <c r="J15" i="6"/>
  <c r="I15" i="6"/>
  <c r="H15" i="6"/>
  <c r="J14" i="6"/>
  <c r="I14" i="6"/>
  <c r="H14" i="6"/>
  <c r="J13" i="6"/>
  <c r="I13" i="6"/>
  <c r="H13" i="6"/>
  <c r="J12" i="6"/>
  <c r="I12" i="6"/>
  <c r="H12" i="6"/>
  <c r="J11" i="6"/>
  <c r="I11" i="6"/>
  <c r="H11" i="6"/>
  <c r="J10" i="6"/>
  <c r="I10" i="6"/>
  <c r="H10" i="6"/>
  <c r="J9" i="6"/>
  <c r="I9" i="6"/>
  <c r="H9" i="6"/>
  <c r="J8" i="6"/>
  <c r="I8" i="6"/>
  <c r="H8" i="6"/>
  <c r="H57" i="4"/>
  <c r="G57" i="4"/>
  <c r="F57" i="4"/>
  <c r="H56" i="4"/>
  <c r="G56" i="4"/>
  <c r="F56" i="4"/>
  <c r="H55" i="4"/>
  <c r="G55" i="4"/>
  <c r="F55" i="4"/>
  <c r="H54" i="4"/>
  <c r="G54" i="4"/>
  <c r="F54" i="4"/>
  <c r="H53" i="4"/>
  <c r="G53" i="4"/>
  <c r="F53" i="4"/>
  <c r="H52" i="4"/>
  <c r="G52" i="4"/>
  <c r="F52" i="4"/>
  <c r="H51" i="4"/>
  <c r="G51" i="4"/>
  <c r="F51" i="4"/>
  <c r="H50" i="4"/>
  <c r="G50" i="4"/>
  <c r="F50" i="4"/>
  <c r="H49" i="4"/>
  <c r="G49" i="4"/>
  <c r="F49" i="4"/>
  <c r="H48" i="4"/>
  <c r="G48" i="4"/>
  <c r="F48" i="4"/>
  <c r="H47" i="4"/>
  <c r="G47" i="4"/>
  <c r="F47" i="4"/>
  <c r="H46" i="4"/>
  <c r="G46" i="4"/>
  <c r="F46" i="4"/>
  <c r="H45" i="4"/>
  <c r="G45" i="4"/>
  <c r="F45" i="4"/>
  <c r="H44" i="4"/>
  <c r="G44" i="4"/>
  <c r="F44" i="4"/>
  <c r="H43" i="4"/>
  <c r="G43" i="4"/>
  <c r="F43" i="4"/>
  <c r="H42" i="4"/>
  <c r="G42" i="4"/>
  <c r="F42" i="4"/>
  <c r="H41" i="4"/>
  <c r="G41" i="4"/>
  <c r="F41" i="4"/>
  <c r="H40" i="4"/>
  <c r="G40" i="4"/>
  <c r="F40" i="4"/>
  <c r="H39" i="4"/>
  <c r="G39" i="4"/>
  <c r="F39" i="4"/>
  <c r="H38" i="4"/>
  <c r="G38" i="4"/>
  <c r="F38" i="4"/>
  <c r="H37" i="4"/>
  <c r="G37" i="4"/>
  <c r="F37" i="4"/>
  <c r="H36" i="4"/>
  <c r="G36" i="4"/>
  <c r="F36" i="4"/>
  <c r="H35" i="4"/>
  <c r="G35" i="4"/>
  <c r="F35" i="4"/>
  <c r="H34" i="4"/>
  <c r="G34" i="4"/>
  <c r="F34" i="4"/>
  <c r="H33" i="4"/>
  <c r="G33" i="4"/>
  <c r="F33" i="4"/>
  <c r="H32" i="4"/>
  <c r="G32" i="4"/>
  <c r="F32" i="4"/>
  <c r="H31" i="4"/>
  <c r="G31" i="4"/>
  <c r="F31" i="4"/>
  <c r="H30" i="4"/>
  <c r="G30" i="4"/>
  <c r="F30" i="4"/>
  <c r="H29" i="4"/>
  <c r="G29" i="4"/>
  <c r="F29" i="4"/>
  <c r="H28" i="4"/>
  <c r="G28" i="4"/>
  <c r="F28" i="4"/>
  <c r="H27" i="4"/>
  <c r="G27" i="4"/>
  <c r="F27" i="4"/>
  <c r="H26" i="4"/>
  <c r="G26" i="4"/>
  <c r="F26" i="4"/>
  <c r="H25" i="4"/>
  <c r="G25" i="4"/>
  <c r="F25" i="4"/>
  <c r="H24" i="4"/>
  <c r="G24" i="4"/>
  <c r="F24" i="4"/>
  <c r="H23" i="4"/>
  <c r="G23" i="4"/>
  <c r="F23" i="4"/>
  <c r="H22" i="4"/>
  <c r="G22" i="4"/>
  <c r="F22" i="4"/>
  <c r="H21" i="4"/>
  <c r="G21" i="4"/>
  <c r="F21" i="4"/>
  <c r="H20" i="4"/>
  <c r="G20" i="4"/>
  <c r="F20" i="4"/>
  <c r="H19" i="4"/>
  <c r="G19" i="4"/>
  <c r="F19" i="4"/>
  <c r="H18" i="4"/>
  <c r="G18" i="4"/>
  <c r="F18" i="4"/>
  <c r="H17" i="4"/>
  <c r="G17" i="4"/>
  <c r="F17" i="4"/>
  <c r="H16" i="4"/>
  <c r="G16" i="4"/>
  <c r="F16" i="4"/>
  <c r="H15" i="4"/>
  <c r="G15" i="4"/>
  <c r="F15" i="4"/>
  <c r="H14" i="4"/>
  <c r="G14" i="4"/>
  <c r="F14" i="4"/>
  <c r="H13" i="4"/>
  <c r="G13" i="4"/>
  <c r="F13" i="4"/>
  <c r="H12" i="4"/>
  <c r="G12" i="4"/>
  <c r="F12" i="4"/>
  <c r="H11" i="4"/>
  <c r="G11" i="4"/>
  <c r="F11" i="4"/>
  <c r="H10" i="4"/>
  <c r="G10" i="4"/>
  <c r="F10" i="4"/>
  <c r="H9" i="4"/>
  <c r="G9" i="4"/>
  <c r="F9" i="4"/>
  <c r="H8" i="4"/>
  <c r="G8" i="4"/>
  <c r="F8" i="4"/>
  <c r="M42" i="2"/>
  <c r="K42" i="2"/>
  <c r="I42" i="2"/>
  <c r="H42" i="2"/>
  <c r="D42" i="2"/>
  <c r="C42" i="2"/>
  <c r="B42" i="2"/>
  <c r="M41" i="2"/>
  <c r="K41" i="2"/>
  <c r="I41" i="2"/>
  <c r="H41" i="2"/>
  <c r="D41" i="2"/>
  <c r="C41" i="2"/>
  <c r="B41" i="2"/>
  <c r="M40" i="2"/>
  <c r="K40" i="2"/>
  <c r="I40" i="2"/>
  <c r="H40" i="2"/>
  <c r="D40" i="2"/>
  <c r="C40" i="2"/>
  <c r="B40" i="2"/>
  <c r="M39" i="2"/>
  <c r="K39" i="2"/>
  <c r="I39" i="2"/>
  <c r="H39" i="2"/>
  <c r="D39" i="2"/>
  <c r="C39" i="2"/>
  <c r="B39" i="2"/>
  <c r="M38" i="2"/>
  <c r="K38" i="2"/>
  <c r="I38" i="2"/>
  <c r="H38" i="2"/>
  <c r="D38" i="2"/>
  <c r="C38" i="2"/>
  <c r="B38" i="2"/>
  <c r="M37" i="2"/>
  <c r="K37" i="2"/>
  <c r="I37" i="2"/>
  <c r="H37" i="2"/>
  <c r="D37" i="2"/>
  <c r="C37" i="2"/>
  <c r="B37" i="2"/>
  <c r="M36" i="2"/>
  <c r="K36" i="2"/>
  <c r="I36" i="2"/>
  <c r="H36" i="2"/>
  <c r="D36" i="2"/>
  <c r="C36" i="2"/>
  <c r="B36" i="2"/>
  <c r="M35" i="2"/>
  <c r="K35" i="2"/>
  <c r="I35" i="2"/>
  <c r="H35" i="2"/>
  <c r="D35" i="2"/>
  <c r="C35" i="2"/>
  <c r="B35" i="2"/>
  <c r="I31" i="2"/>
  <c r="H31" i="2"/>
  <c r="G31" i="2"/>
  <c r="C31" i="2"/>
  <c r="B31" i="2"/>
  <c r="I30" i="2"/>
  <c r="H30" i="2"/>
  <c r="G30" i="2"/>
  <c r="C30" i="2"/>
  <c r="B30" i="2"/>
  <c r="I29" i="2"/>
  <c r="H29" i="2"/>
  <c r="G29" i="2"/>
  <c r="C29" i="2"/>
  <c r="B29" i="2"/>
  <c r="I28" i="2"/>
  <c r="H28" i="2"/>
  <c r="G28" i="2"/>
  <c r="C28" i="2"/>
  <c r="B28" i="2"/>
  <c r="I27" i="2"/>
  <c r="H27" i="2"/>
  <c r="G27" i="2"/>
  <c r="C27" i="2"/>
  <c r="B27" i="2"/>
  <c r="I26" i="2"/>
  <c r="H26" i="2"/>
  <c r="G26" i="2"/>
  <c r="C26" i="2"/>
  <c r="B26" i="2"/>
  <c r="I25" i="2"/>
  <c r="H25" i="2"/>
  <c r="G25" i="2"/>
  <c r="C25" i="2"/>
  <c r="B25" i="2"/>
  <c r="I24" i="2"/>
  <c r="H24" i="2"/>
  <c r="G24" i="2"/>
  <c r="C24" i="2"/>
  <c r="B24" i="2"/>
  <c r="I23" i="2"/>
  <c r="H23" i="2"/>
  <c r="G23" i="2"/>
  <c r="C23" i="2"/>
  <c r="B23" i="2"/>
  <c r="I22" i="2"/>
  <c r="H22" i="2"/>
  <c r="G22" i="2"/>
  <c r="C22" i="2"/>
  <c r="B22" i="2"/>
  <c r="K18" i="2"/>
  <c r="E18" i="2"/>
  <c r="B18" i="2"/>
  <c r="H17" i="2"/>
  <c r="E17" i="2"/>
  <c r="B17" i="2"/>
  <c r="B7" i="2"/>
  <c r="B3" i="2"/>
  <c r="J2" i="2"/>
  <c r="M42" i="1"/>
  <c r="K42" i="1"/>
  <c r="I42" i="1"/>
  <c r="H42" i="1"/>
  <c r="D42" i="1"/>
  <c r="C42" i="1"/>
  <c r="B42" i="1"/>
  <c r="M41" i="1"/>
  <c r="K41" i="1"/>
  <c r="I41" i="1"/>
  <c r="H41" i="1"/>
  <c r="D41" i="1"/>
  <c r="C41" i="1"/>
  <c r="B41" i="1"/>
  <c r="M40" i="1"/>
  <c r="K40" i="1"/>
  <c r="I40" i="1"/>
  <c r="H40" i="1"/>
  <c r="D40" i="1"/>
  <c r="C40" i="1"/>
  <c r="B40" i="1"/>
  <c r="M39" i="1"/>
  <c r="K39" i="1"/>
  <c r="I39" i="1"/>
  <c r="H39" i="1"/>
  <c r="D39" i="1"/>
  <c r="C39" i="1"/>
  <c r="B39" i="1"/>
  <c r="M38" i="1"/>
  <c r="K38" i="1"/>
  <c r="I38" i="1"/>
  <c r="H38" i="1"/>
  <c r="D38" i="1"/>
  <c r="C38" i="1"/>
  <c r="B38" i="1"/>
  <c r="M37" i="1"/>
  <c r="K37" i="1"/>
  <c r="I37" i="1"/>
  <c r="H37" i="1"/>
  <c r="D37" i="1"/>
  <c r="C37" i="1"/>
  <c r="B37" i="1"/>
  <c r="M36" i="1"/>
  <c r="K36" i="1"/>
  <c r="I36" i="1"/>
  <c r="H36" i="1"/>
  <c r="D36" i="1"/>
  <c r="C36" i="1"/>
  <c r="B36" i="1"/>
  <c r="M35" i="1"/>
  <c r="K35" i="1"/>
  <c r="I35" i="1"/>
  <c r="H35" i="1"/>
  <c r="D35" i="1"/>
  <c r="C35" i="1"/>
  <c r="B35" i="1"/>
  <c r="I31" i="1"/>
  <c r="H31" i="1"/>
  <c r="G31" i="1"/>
  <c r="C31" i="1"/>
  <c r="B31" i="1"/>
  <c r="I30" i="1"/>
  <c r="H30" i="1"/>
  <c r="G30" i="1"/>
  <c r="C30" i="1"/>
  <c r="B30" i="1"/>
  <c r="I29" i="1"/>
  <c r="H29" i="1"/>
  <c r="G29" i="1"/>
  <c r="C29" i="1"/>
  <c r="B29" i="1"/>
  <c r="I28" i="1"/>
  <c r="H28" i="1"/>
  <c r="G28" i="1"/>
  <c r="C28" i="1"/>
  <c r="B28" i="1"/>
  <c r="I27" i="1"/>
  <c r="H27" i="1"/>
  <c r="G27" i="1"/>
  <c r="C27" i="1"/>
  <c r="B27" i="1"/>
  <c r="I26" i="1"/>
  <c r="H26" i="1"/>
  <c r="G26" i="1"/>
  <c r="C26" i="1"/>
  <c r="B26" i="1"/>
  <c r="I25" i="1"/>
  <c r="H25" i="1"/>
  <c r="G25" i="1"/>
  <c r="C25" i="1"/>
  <c r="B25" i="1"/>
  <c r="I24" i="1"/>
  <c r="H24" i="1"/>
  <c r="G24" i="1"/>
  <c r="C24" i="1"/>
  <c r="B24" i="1"/>
  <c r="I23" i="1"/>
  <c r="H23" i="1"/>
  <c r="G23" i="1"/>
  <c r="C23" i="1"/>
  <c r="B23" i="1"/>
  <c r="I22" i="1"/>
  <c r="H22" i="1"/>
  <c r="G22" i="1"/>
  <c r="C22" i="1"/>
  <c r="B22" i="1"/>
  <c r="K18" i="1"/>
  <c r="H18" i="1"/>
  <c r="E18" i="1"/>
  <c r="B18" i="1"/>
  <c r="K17" i="1"/>
  <c r="H17" i="1"/>
  <c r="E17" i="1"/>
  <c r="B17" i="1"/>
  <c r="B7" i="1"/>
  <c r="B3" i="1"/>
  <c r="J2" i="1"/>
  <c r="C12" i="16" l="1"/>
  <c r="C30" i="14"/>
  <c r="E6" i="9" s="1"/>
  <c r="C39" i="14"/>
  <c r="C6" i="9"/>
  <c r="C48" i="14"/>
  <c r="B6" i="9"/>
  <c r="I22" i="9"/>
  <c r="P22" i="9" s="1"/>
  <c r="L22" i="9"/>
  <c r="L20" i="9"/>
  <c r="I20" i="9"/>
  <c r="P20" i="9" s="1"/>
  <c r="L19" i="9"/>
  <c r="I19" i="9" s="1"/>
  <c r="P19" i="9" s="1"/>
  <c r="L18" i="9"/>
  <c r="I18" i="9" s="1"/>
  <c r="P18" i="9" s="1"/>
  <c r="L17" i="9"/>
  <c r="I17" i="9" s="1"/>
  <c r="P17" i="9" s="1"/>
  <c r="L16" i="9"/>
  <c r="I16" i="9"/>
  <c r="P16" i="9" s="1"/>
  <c r="B44" i="1"/>
  <c r="B44" i="2"/>
  <c r="C47" i="14"/>
  <c r="B9" i="2" s="1"/>
  <c r="C8" i="16"/>
  <c r="B8" i="16"/>
  <c r="C46" i="14"/>
  <c r="B9" i="1" s="1"/>
  <c r="B6" i="4"/>
  <c r="C10" i="16"/>
  <c r="B10" i="16"/>
  <c r="B12" i="16"/>
  <c r="H18" i="2"/>
  <c r="B9" i="16"/>
  <c r="C9" i="16"/>
  <c r="M23" i="10"/>
  <c r="P23" i="10" s="1"/>
  <c r="C23" i="10"/>
  <c r="C22" i="10"/>
  <c r="M22" i="10"/>
  <c r="P22" i="10" s="1"/>
  <c r="C21" i="10"/>
  <c r="M21" i="10"/>
  <c r="P21" i="10" s="1"/>
  <c r="L20" i="10"/>
  <c r="I20" i="10" s="1"/>
  <c r="P20" i="10" s="1"/>
  <c r="C20" i="10"/>
  <c r="M20" i="10"/>
  <c r="C19" i="10"/>
  <c r="M19" i="10"/>
  <c r="P19" i="10" s="1"/>
  <c r="M18" i="10"/>
  <c r="P18" i="10" s="1"/>
  <c r="C18" i="10"/>
  <c r="M17" i="10"/>
  <c r="P17" i="10" s="1"/>
  <c r="C17" i="10"/>
  <c r="M16" i="10"/>
  <c r="P16" i="10" s="1"/>
  <c r="C16" i="10"/>
  <c r="C15" i="10"/>
  <c r="M15" i="10"/>
  <c r="P15" i="10" s="1"/>
  <c r="C14" i="10"/>
  <c r="M14" i="10"/>
  <c r="P14" i="10" s="1"/>
  <c r="M13" i="10"/>
  <c r="P13" i="10" s="1"/>
  <c r="C13" i="10"/>
  <c r="M12" i="10"/>
  <c r="P12" i="10" s="1"/>
  <c r="C12" i="10"/>
  <c r="C11" i="10"/>
  <c r="M11" i="10"/>
  <c r="P11" i="10" s="1"/>
  <c r="C10" i="10"/>
  <c r="M10" i="10"/>
  <c r="P10" i="10" s="1"/>
  <c r="M9" i="10"/>
  <c r="P9" i="10" s="1"/>
  <c r="C9" i="10"/>
  <c r="B20" i="9"/>
  <c r="N20" i="9"/>
  <c r="B21" i="9"/>
  <c r="N21" i="9"/>
  <c r="B22" i="9"/>
  <c r="N22" i="9"/>
  <c r="B23" i="9"/>
  <c r="N23" i="9"/>
  <c r="N9" i="9"/>
  <c r="B9" i="9"/>
  <c r="N10" i="9"/>
  <c r="B11" i="9"/>
  <c r="N11" i="9"/>
  <c r="B18" i="9"/>
  <c r="B12" i="9"/>
  <c r="N18" i="9"/>
  <c r="N12" i="9"/>
  <c r="B19" i="9"/>
  <c r="B13" i="9"/>
  <c r="N13" i="9"/>
  <c r="B10" i="9"/>
  <c r="N19" i="9"/>
  <c r="B14" i="9"/>
  <c r="N14" i="9"/>
  <c r="B15" i="9"/>
  <c r="N15" i="9"/>
  <c r="B16" i="9"/>
  <c r="N16" i="9"/>
  <c r="B17" i="9"/>
  <c r="N17" i="9"/>
</calcChain>
</file>

<file path=xl/sharedStrings.xml><?xml version="1.0" encoding="utf-8"?>
<sst xmlns="http://schemas.openxmlformats.org/spreadsheetml/2006/main" count="641" uniqueCount="366">
  <si>
    <t>Configuración del sistema</t>
  </si>
  <si>
    <t>Capa de configuración (oculta) · Solo administrador · Los scripts leen estos parámetros</t>
  </si>
  <si>
    <t>PARÁMETROS DEL TENANT</t>
  </si>
  <si>
    <t>Parámetro</t>
  </si>
  <si>
    <t>Valor</t>
  </si>
  <si>
    <t>Descripción</t>
  </si>
  <si>
    <t>Empresa (cliente)</t>
  </si>
  <si>
    <t>NOMBRE DE SU EMPRESA</t>
  </si>
  <si>
    <t>Nombre que aparece en las portadas.</t>
  </si>
  <si>
    <t>NIT / Identificación</t>
  </si>
  <si>
    <t>Identificación tributaria.</t>
  </si>
  <si>
    <t>Sede / Bodega</t>
  </si>
  <si>
    <t>Bodega principal</t>
  </si>
  <si>
    <t>Ubicación física que controla este libro.</t>
  </si>
  <si>
    <t>Moneda</t>
  </si>
  <si>
    <t>COP</t>
  </si>
  <si>
    <t>Informativo. Los formatos de valor usan el símbolo $.</t>
  </si>
  <si>
    <t>Margen de alerta preventiva</t>
  </si>
  <si>
    <t>Un producto pasa a BAJO cuando su stock es ≤ Mínimo × (1 + margen).</t>
  </si>
  <si>
    <t>Días para considerar sin rotación</t>
  </si>
  <si>
    <t>Productos con stock y sin movimientos en este plazo se marcan como inmovilizados.</t>
  </si>
  <si>
    <t>Fecha mínima permitida</t>
  </si>
  <si>
    <t>Los scripts rechazan fechas anteriores.</t>
  </si>
  <si>
    <t>Versión del sistema</t>
  </si>
  <si>
    <t>2.0.0</t>
  </si>
  <si>
    <t>Versión del motor M-INV.</t>
  </si>
  <si>
    <t>Edición</t>
  </si>
  <si>
    <t>Colaborativa (Microsoft 365)</t>
  </si>
  <si>
    <t>Libro colaborativo en OneDrive/SharePoint con Office Scripts.</t>
  </si>
  <si>
    <t>Fecha de generación</t>
  </si>
  <si>
    <t>Fecha en que se generó este libro.</t>
  </si>
  <si>
    <t>Implementado por</t>
  </si>
  <si>
    <t>Z&amp;P Software Fast Solutions</t>
  </si>
  <si>
    <t>Proveedor del software.</t>
  </si>
  <si>
    <t>Stock calculado el</t>
  </si>
  <si>
    <t>Lo escribe RecalcularStock.ts.</t>
  </si>
  <si>
    <t>Stock calculado por (correo)</t>
  </si>
  <si>
    <t>Stock calculado por (nombre)</t>
  </si>
  <si>
    <t>Movimientos procesados</t>
  </si>
  <si>
    <t>TIPOS DE MOVIMIENTO  (FactorStock y dominio: BODEGA → 10A · VENTAS → 10B)</t>
  </si>
  <si>
    <t>Tipo</t>
  </si>
  <si>
    <t>FactorStock</t>
  </si>
  <si>
    <t>Dominio</t>
  </si>
  <si>
    <t>SALDO INICIAL</t>
  </si>
  <si>
    <t>BODEGA</t>
  </si>
  <si>
    <t>Carga del inventario existente al implementar (una vez por producto).</t>
  </si>
  <si>
    <t>ENTRADA</t>
  </si>
  <si>
    <t>Compra, recepción de mercancía o devolución de un cliente.</t>
  </si>
  <si>
    <t>AJUSTE (+)</t>
  </si>
  <si>
    <t>Sobrante encontrado en conteo físico. Exige observación.</t>
  </si>
  <si>
    <t>AJUSTE (-)</t>
  </si>
  <si>
    <t>Merma, daño, pérdida o faltante. Exige observación.</t>
  </si>
  <si>
    <t>SALIDA</t>
  </si>
  <si>
    <t>VENTAS</t>
  </si>
  <si>
    <t>Venta, despacho a cliente o consumo interno.</t>
  </si>
  <si>
    <t>SEMÁFORO DE STOCK  (reglas que aplica RecalcularStock.ts)</t>
  </si>
  <si>
    <t>Estado</t>
  </si>
  <si>
    <t>Prioridad</t>
  </si>
  <si>
    <t>Regla</t>
  </si>
  <si>
    <t>Acción</t>
  </si>
  <si>
    <t>INCONSISTENTE</t>
  </si>
  <si>
    <t>Stock negativo: se registraron salidas mayores a lo disponible.</t>
  </si>
  <si>
    <t>Auditar la bitácora y registrar un AJUSTE</t>
  </si>
  <si>
    <t>AGOTADO</t>
  </si>
  <si>
    <t>Stock en cero.</t>
  </si>
  <si>
    <t>Reabastecer de inmediato</t>
  </si>
  <si>
    <t>CRÍTICO</t>
  </si>
  <si>
    <t>Stock en o por debajo del mínimo.</t>
  </si>
  <si>
    <t>Emitir orden de compra</t>
  </si>
  <si>
    <t>BAJO</t>
  </si>
  <si>
    <t>Stock cercano al mínimo (dentro del margen de alerta).</t>
  </si>
  <si>
    <t>Programar reposición</t>
  </si>
  <si>
    <t>ÓPTIMO</t>
  </si>
  <si>
    <t>Stock entre el margen de alerta y el máximo.</t>
  </si>
  <si>
    <t>Sin acción</t>
  </si>
  <si>
    <t>SOBRESTOCK</t>
  </si>
  <si>
    <t>Stock por encima del máximo.</t>
  </si>
  <si>
    <t>Frenar compras / rotar inventario</t>
  </si>
  <si>
    <t>INACTIVO</t>
  </si>
  <si>
    <t>Producto descontinuado (Activo = NO).</t>
  </si>
  <si>
    <t>Usuarios autorizados</t>
  </si>
  <si>
    <t>Control de acceso por rol · Lo administra el ADMIN · Los scripts validan el correo de Microsoft 365</t>
  </si>
  <si>
    <t>⌂ Bodega</t>
  </si>
  <si>
    <t>⌂ Ventas</t>
  </si>
  <si>
    <t>⇩ Entradas</t>
  </si>
  <si>
    <t>⇧ Salidas</t>
  </si>
  <si>
    <t>▦ Stock</t>
  </si>
  <si>
    <t>⚠ Alertas</t>
  </si>
  <si>
    <t>☰ Catálogo</t>
  </si>
  <si>
    <t>? Guía</t>
  </si>
  <si>
    <t>Correo</t>
  </si>
  <si>
    <t>Nombre</t>
  </si>
  <si>
    <t>Rol</t>
  </si>
  <si>
    <t>Activo</t>
  </si>
  <si>
    <t>OrdenBodega</t>
  </si>
  <si>
    <t>OrdenVentas</t>
  </si>
  <si>
    <t>Validación</t>
  </si>
  <si>
    <t>Agregue usuarios al final y no reordene: la posición define su fila de captura. Para retirar a alguien escriba NO en Activo.</t>
  </si>
  <si>
    <t>Proveedores</t>
  </si>
  <si>
    <t>Datos maestros · Solo ADMIN · Quién le vende cada producto y en cuántos días</t>
  </si>
  <si>
    <t>Proveedor</t>
  </si>
  <si>
    <t>NIT</t>
  </si>
  <si>
    <t>Contacto</t>
  </si>
  <si>
    <t>Teléfono</t>
  </si>
  <si>
    <t>DiasEntrega</t>
  </si>
  <si>
    <t>Productos</t>
  </si>
  <si>
    <t>EnAlerta</t>
  </si>
  <si>
    <t>✎</t>
  </si>
  <si>
    <t>ƒx</t>
  </si>
  <si>
    <t>Catálogo de productos</t>
  </si>
  <si>
    <t>Datos maestros · Solo ADMIN · Después de modificarlo pulse «Recalcular stock» · Nunca borre filas (use Activo = NO)</t>
  </si>
  <si>
    <t>SKU</t>
  </si>
  <si>
    <t>Producto</t>
  </si>
  <si>
    <t>Categoría</t>
  </si>
  <si>
    <t>Unidad</t>
  </si>
  <si>
    <t>StockMin</t>
  </si>
  <si>
    <t>StockMax</t>
  </si>
  <si>
    <t>CostoUnitario</t>
  </si>
  <si>
    <t>Ubicación</t>
  </si>
  <si>
    <t>Etiqueta</t>
  </si>
  <si>
    <t>Movimientos</t>
  </si>
  <si>
    <t>Categorías</t>
  </si>
  <si>
    <t>Capa de configuración (oculta) · Primer nivel de la lista en cascada</t>
  </si>
  <si>
    <t>Código</t>
  </si>
  <si>
    <t>MP</t>
  </si>
  <si>
    <t>MATERIA PRIMA</t>
  </si>
  <si>
    <t>Insumos que se transforman en producto</t>
  </si>
  <si>
    <t>PT</t>
  </si>
  <si>
    <t>PRODUCTO TERMINADO</t>
  </si>
  <si>
    <t>Artículos listos para la venta</t>
  </si>
  <si>
    <t>INS</t>
  </si>
  <si>
    <t>INSUMOS</t>
  </si>
  <si>
    <t>Materiales de consumo de la operación</t>
  </si>
  <si>
    <t>REP</t>
  </si>
  <si>
    <t>REPUESTOS</t>
  </si>
  <si>
    <t>Partes y repuestos de mantenimiento</t>
  </si>
  <si>
    <t>EMP</t>
  </si>
  <si>
    <t>EMPAQUES</t>
  </si>
  <si>
    <t>Material de empaque y embalaje</t>
  </si>
  <si>
    <t>GEN</t>
  </si>
  <si>
    <t>GENERAL</t>
  </si>
  <si>
    <t>Artículos sin categoría específica</t>
  </si>
  <si>
    <t>Unidades de medida</t>
  </si>
  <si>
    <t>Capa de configuración (oculta) · Define si la cantidad admite decimales</t>
  </si>
  <si>
    <t>Decimales</t>
  </si>
  <si>
    <t>UND</t>
  </si>
  <si>
    <t>NO</t>
  </si>
  <si>
    <t>Pieza individual</t>
  </si>
  <si>
    <t>CAJA</t>
  </si>
  <si>
    <t>Caja</t>
  </si>
  <si>
    <t>Caja cerrada del proveedor</t>
  </si>
  <si>
    <t>PAQ</t>
  </si>
  <si>
    <t>Paquete</t>
  </si>
  <si>
    <t>Paquete o bolsa cerrada</t>
  </si>
  <si>
    <t>PAR</t>
  </si>
  <si>
    <t>Par</t>
  </si>
  <si>
    <t>Par (guantes, botas)</t>
  </si>
  <si>
    <t>ROLLO</t>
  </si>
  <si>
    <t>Rollo</t>
  </si>
  <si>
    <t>Rollo completo</t>
  </si>
  <si>
    <t>KG</t>
  </si>
  <si>
    <t>Kilogramo</t>
  </si>
  <si>
    <t>SI</t>
  </si>
  <si>
    <t>Peso en kilogramos</t>
  </si>
  <si>
    <t>GL</t>
  </si>
  <si>
    <t>Galón</t>
  </si>
  <si>
    <t>Volumen en galones</t>
  </si>
  <si>
    <t>LT</t>
  </si>
  <si>
    <t>Litro</t>
  </si>
  <si>
    <t>Volumen en litros</t>
  </si>
  <si>
    <t>MT</t>
  </si>
  <si>
    <t>Metro</t>
  </si>
  <si>
    <t>Longitud en metros</t>
  </si>
  <si>
    <t>Entradas y ajustes · Bodega</t>
  </si>
  <si>
    <t>Fragmento de escritura de Bodega · Cada persona escribe en SU fila y pulsa Registrar · El script consolida en la bitácora oficial con su correo y la hora</t>
  </si>
  <si>
    <r>
      <rPr>
        <b/>
        <sz val="10"/>
        <color rgb="FF1565C0"/>
        <rFont val="Segoe UI"/>
        <family val="2"/>
      </rPr>
      <t xml:space="preserve">▍ </t>
    </r>
    <r>
      <rPr>
        <b/>
        <sz val="9"/>
        <color rgb="FF5F6B7A"/>
        <rFont val="Segoe UI"/>
        <family val="2"/>
      </rPr>
      <t>1 · CAPTURA — cada persona escribe solo en SU fila (nadie comparte celdas) y pulsa el botón Registrar</t>
    </r>
  </si>
  <si>
    <t>Usuario</t>
  </si>
  <si>
    <t>Fecha</t>
  </si>
  <si>
    <t>Cantidad</t>
  </si>
  <si>
    <t>Documento</t>
  </si>
  <si>
    <t>Observaciones</t>
  </si>
  <si>
    <t>Disponible</t>
  </si>
  <si>
    <t>Resultado</t>
  </si>
  <si>
    <t>Factor</t>
  </si>
  <si>
    <t>Queda</t>
  </si>
  <si>
    <r>
      <rPr>
        <b/>
        <sz val="10"/>
        <color rgb="FF1565C0"/>
        <rFont val="Segoe UI"/>
        <family val="2"/>
      </rPr>
      <t xml:space="preserve">▍ </t>
    </r>
    <r>
      <rPr>
        <b/>
        <sz val="9"/>
        <color rgb="FF5F6B7A"/>
        <rFont val="Segoe UI"/>
        <family val="2"/>
      </rPr>
      <t>2 · BITÁCORA OFICIAL — la escribe solo el script: inmutable y auditada (Usuario_O365 y Timestamp en columnas ocultas)</t>
    </r>
  </si>
  <si>
    <t>Los registros se agregan al final. Un rechazo por registro simultáneo queda en rojo tachado y no suma. Para ver el historial de un producto, filtre por Producto (use Vista de hoja para no afectar a los demás).</t>
  </si>
  <si>
    <t>ID</t>
  </si>
  <si>
    <t>CantidadNeta</t>
  </si>
  <si>
    <t>Registró</t>
  </si>
  <si>
    <t>Usuario_O365</t>
  </si>
  <si>
    <t>Timestamp</t>
  </si>
  <si>
    <t>⚙ Botón «Registrar en bodega» · Office Script RegistrarEntrada.ts (si no lo ve, instálelo: Guía › Instalación)</t>
  </si>
  <si>
    <t>Complete su fila, revise que Validación diga ✔ y pulse el botón de la derecha. Rojo tachado = no hay stock suficiente.</t>
  </si>
  <si>
    <t>Salidas · Ventas</t>
  </si>
  <si>
    <t>Fragmento de escritura de Ventas · Cada vendedor escribe en SU fila · Si no hay stock, la cantidad se tiñe de rojo tachado y el script bloquea la salida</t>
  </si>
  <si>
    <t>⚙ Botón «Registrar salida» · Office Script RegistrarSalida.ts (si no lo ve, instálelo: Guía › Instalación)</t>
  </si>
  <si>
    <t>Stock · instantánea</t>
  </si>
  <si>
    <t>Capa de lectura a demanda · No se recalcula mientras la gente trabaja · Pulse «Recalcular stock» para actualizarla con las dos bitácoras</t>
  </si>
  <si>
    <t>Entradas</t>
  </si>
  <si>
    <t>Salidas</t>
  </si>
  <si>
    <t>StockActual</t>
  </si>
  <si>
    <t>Nivel</t>
  </si>
  <si>
    <t>ValorInventario</t>
  </si>
  <si>
    <t>UltimoMov</t>
  </si>
  <si>
    <t>DiasSinMov</t>
  </si>
  <si>
    <t>⚙ Botón «Recalcular stock» · Office Script RecalcularStock.ts (si no lo ve, instálelo: Guía › Instalación)</t>
  </si>
  <si>
    <t>Alertas de stock · instantánea</t>
  </si>
  <si>
    <t>Priorizadas: inconsistentes, agotados, críticos, bajos y sobrestock · Cantidad sugerida hasta el máximo · Se actualiza con «Recalcular stock»</t>
  </si>
  <si>
    <t>#</t>
  </si>
  <si>
    <t>Stock</t>
  </si>
  <si>
    <t>Mínimo</t>
  </si>
  <si>
    <t>Máximo</t>
  </si>
  <si>
    <t>Faltante</t>
  </si>
  <si>
    <t>SugeridoPedir</t>
  </si>
  <si>
    <t>AcciónSugerida</t>
  </si>
  <si>
    <t>Motor de listas</t>
  </si>
  <si>
    <t>Capa de motor (oculta) · Listas fijas de validación · Productos y proveedores se leen del catálogo</t>
  </si>
  <si>
    <t>Tipos de Bodega</t>
  </si>
  <si>
    <t>Roles</t>
  </si>
  <si>
    <t>ADMIN</t>
  </si>
  <si>
    <t>CONSULTA</t>
  </si>
  <si>
    <t>Día</t>
  </si>
  <si>
    <t>Unidades</t>
  </si>
  <si>
    <t>Motor de indicadores</t>
  </si>
  <si>
    <t>Capa de motor (oculta) · Conteos livianos sobre la instantánea y las bitácoras · No editar</t>
  </si>
  <si>
    <t>Indicador</t>
  </si>
  <si>
    <t>Formato</t>
  </si>
  <si>
    <t>kpiCatalogo · Productos en el catálogo</t>
  </si>
  <si>
    <t>#,##0</t>
  </si>
  <si>
    <t>kpiActivos · Productos activos</t>
  </si>
  <si>
    <t>kpiProveedores · Proveedores</t>
  </si>
  <si>
    <t>kpiUsuarios · Usuarios activos</t>
  </si>
  <si>
    <t>kpiAdmins · Administradores activos</t>
  </si>
  <si>
    <t>kpiUltProd · Última fila usada del catálogo</t>
  </si>
  <si>
    <t>0</t>
  </si>
  <si>
    <t>kpiUltProv · Última fila usada de proveedores</t>
  </si>
  <si>
    <t>kpiInconsistentes · Inconsistentes</t>
  </si>
  <si>
    <t>kpiAgotados · Agotados</t>
  </si>
  <si>
    <t>kpiCriticos · Críticos</t>
  </si>
  <si>
    <t>kpiBajos · Preventivos</t>
  </si>
  <si>
    <t>kpiOptimos · Óptimos</t>
  </si>
  <si>
    <t>kpiSobrestock · Sobrestock</t>
  </si>
  <si>
    <t>kpiInactivos · Inactivos</t>
  </si>
  <si>
    <t>kpiEnAlerta · Requieren acción</t>
  </si>
  <si>
    <t>kpiValor · Valor del inventario</t>
  </si>
  <si>
    <t>$ #,##0</t>
  </si>
  <si>
    <t>kpiDisponibles · Productos con stock</t>
  </si>
  <si>
    <t>kpiSinRotacion · Sin rotación</t>
  </si>
  <si>
    <t>kpiRegEnt · Registros consolidados en 10A</t>
  </si>
  <si>
    <t>kpiRegSal · Registros consolidados en 10B</t>
  </si>
  <si>
    <t>kpiRechEnt · Rechazados en 10A</t>
  </si>
  <si>
    <t>kpiRechSal · Rechazados en 10B</t>
  </si>
  <si>
    <t>kpiPendEnt · Filas con datos en la captura 10A</t>
  </si>
  <si>
    <t>kpiPendSal · Filas con datos en la captura 10B</t>
  </si>
  <si>
    <t>kpiEntradasHoy · Entradas de hoy</t>
  </si>
  <si>
    <t>kpiAjustesMes · Ajustes del mes</t>
  </si>
  <si>
    <t>kpiSaldosIni · Productos con SALDO INICIAL</t>
  </si>
  <si>
    <t>kpiSalidasHoy · Salidas de hoy</t>
  </si>
  <si>
    <t>kpiUnidadesHoy · Unidades despachadas hoy</t>
  </si>
  <si>
    <t>#,##0.##</t>
  </si>
  <si>
    <t>kpiSalidasMes · Salidas del mes</t>
  </si>
  <si>
    <t>kpiNuevosDesdeCalculo · Movimientos posteriores a la instantánea</t>
  </si>
  <si>
    <t>kpiRechazos · Rechazos</t>
  </si>
  <si>
    <t>txtHoy · Fecha de hoy</t>
  </si>
  <si>
    <t>@</t>
  </si>
  <si>
    <t>txtEmpresa · Empresa y bodega</t>
  </si>
  <si>
    <t>txtStockActualizado · Cuándo se calculó la instantánea</t>
  </si>
  <si>
    <t>txtFrescura · Frescura de la instantánea</t>
  </si>
  <si>
    <t>txtFrescuraCorta · Frescura (chip)</t>
  </si>
  <si>
    <t>txtAlertasBtn · Botón de alertas</t>
  </si>
  <si>
    <t>txtPasoBodega · Próximo paso (Bodega)</t>
  </si>
  <si>
    <t>txtPasoVentas · Próximo paso (Ventas)</t>
  </si>
  <si>
    <t>txtBitacoras · Pie de portada</t>
  </si>
  <si>
    <t>Hoja técnica de M-INV: los Office Scripts la usan para identificar al usuario de Microsoft 365 (crean y borran un comentario). No la modifique ni la proteja.</t>
  </si>
  <si>
    <t>M-INV · Bodega</t>
  </si>
  <si>
    <t>Edición colaborativa · M-INV V2.0.0</t>
  </si>
  <si>
    <r>
      <rPr>
        <b/>
        <sz val="10"/>
        <color rgb="FF1565C0"/>
        <rFont val="Segoe UI"/>
        <family val="2"/>
      </rPr>
      <t xml:space="preserve">▍ </t>
    </r>
    <r>
      <rPr>
        <b/>
        <sz val="9"/>
        <color rgb="FF5F6B7A"/>
        <rFont val="Segoe UI"/>
        <family val="2"/>
      </rPr>
      <t>¿QUÉ NECESITA HACER?</t>
    </r>
  </si>
  <si>
    <t>⇩   REGISTRAR ENTRADA</t>
  </si>
  <si>
    <t>±   REGISTRAR AJUSTE</t>
  </si>
  <si>
    <r>
      <rPr>
        <b/>
        <sz val="10"/>
        <color rgb="FF1565C0"/>
        <rFont val="Segoe UI"/>
        <family val="2"/>
      </rPr>
      <t xml:space="preserve">▍ </t>
    </r>
    <r>
      <rPr>
        <b/>
        <sz val="9"/>
        <color rgb="FF5F6B7A"/>
        <rFont val="Segoe UI"/>
        <family val="2"/>
      </rPr>
      <t>INDICADORES</t>
    </r>
  </si>
  <si>
    <t>ENTRADAS DE HOY</t>
  </si>
  <si>
    <t>AGOTADOS</t>
  </si>
  <si>
    <t>CRÍTICOS Y PREVENTIVOS</t>
  </si>
  <si>
    <t>VALOR DEL INVENTARIO</t>
  </si>
  <si>
    <r>
      <rPr>
        <b/>
        <sz val="10"/>
        <color rgb="FF1565C0"/>
        <rFont val="Segoe UI"/>
        <family val="2"/>
      </rPr>
      <t xml:space="preserve">▍ </t>
    </r>
    <r>
      <rPr>
        <b/>
        <sz val="9"/>
        <color rgb="FF5F6B7A"/>
        <rFont val="Segoe UI"/>
        <family val="2"/>
      </rPr>
      <t>PRODUCTOS QUE REQUIEREN ACCIÓN  (instantánea de 16_ALERTAS)</t>
    </r>
  </si>
  <si>
    <t>Sugerido</t>
  </si>
  <si>
    <r>
      <rPr>
        <b/>
        <sz val="10"/>
        <color rgb="FF1565C0"/>
        <rFont val="Segoe UI"/>
        <family val="2"/>
      </rPr>
      <t xml:space="preserve">▍ </t>
    </r>
    <r>
      <rPr>
        <b/>
        <sz val="9"/>
        <color rgb="FF5F6B7A"/>
        <rFont val="Segoe UI"/>
        <family val="2"/>
      </rPr>
      <t>ÚLTIMAS ENTRADAS Y AJUSTES  (bitácora oficial 10A)</t>
    </r>
  </si>
  <si>
    <t>M-INV V2 · Colaborativo en Microsoft 365 · Z&amp;P Software Fast Solutions</t>
  </si>
  <si>
    <t>M-INV · Ventas</t>
  </si>
  <si>
    <t>⇧   REGISTRAR SALIDA</t>
  </si>
  <si>
    <t>▦   CONSULTAR DISPONIBILIDAD</t>
  </si>
  <si>
    <t>SALIDAS DE HOY</t>
  </si>
  <si>
    <t>SALIDAS DEL MES</t>
  </si>
  <si>
    <t>PRODUCTOS CON STOCK</t>
  </si>
  <si>
    <t>AGOTADOS · NO OFRECER</t>
  </si>
  <si>
    <r>
      <rPr>
        <b/>
        <sz val="10"/>
        <color rgb="FF1565C0"/>
        <rFont val="Segoe UI"/>
        <family val="2"/>
      </rPr>
      <t xml:space="preserve">▍ </t>
    </r>
    <r>
      <rPr>
        <b/>
        <sz val="9"/>
        <color rgb="FF5F6B7A"/>
        <rFont val="Segoe UI"/>
        <family val="2"/>
      </rPr>
      <t>AGOTADOS Y CRÍTICOS  —  confirme con Bodega antes de ofrecer</t>
    </r>
  </si>
  <si>
    <t>Últ. mov.</t>
  </si>
  <si>
    <r>
      <rPr>
        <b/>
        <sz val="10"/>
        <color rgb="FF1565C0"/>
        <rFont val="Segoe UI"/>
        <family val="2"/>
      </rPr>
      <t xml:space="preserve">▍ </t>
    </r>
    <r>
      <rPr>
        <b/>
        <sz val="9"/>
        <color rgb="FF5F6B7A"/>
        <rFont val="Segoe UI"/>
        <family val="2"/>
      </rPr>
      <t>ÚLTIMAS SALIDAS  (bitácora oficial 10B)</t>
    </r>
  </si>
  <si>
    <t>Guía de uso · M-INV colaborativo</t>
  </si>
  <si>
    <t>Cómo registrar sin chocar con otros usuarios · Qué significa cada color · Instalación en Microsoft 365</t>
  </si>
  <si>
    <t>PRIMEROS PASOS DEL ADMINISTRADOR  (se marcan solos)</t>
  </si>
  <si>
    <t>LA VERSIÓN COLABORATIVA EN 30 SEGUNDOS</t>
  </si>
  <si>
    <t>Un solo libro</t>
  </si>
  <si>
    <t>El libro vive en SharePoint o OneDrive y lo usan varias personas a la vez desde Excel para la web o de escritorio. No envíe copias por correo: todos trabajan sobre el mismo archivo.</t>
  </si>
  <si>
    <t>Escritura por rol</t>
  </si>
  <si>
    <t>Bodega registra en 10A_ENTRADAS (entradas, saldo inicial y ajustes) y Ventas en 10B_SALIDAS. Cada persona tiene SU fila de captura: nadie escribe en la celda de otro.</t>
  </si>
  <si>
    <t>Botón = registro</t>
  </si>
  <si>
    <t>Al pulsar el botón del script, el movimiento pasa a la bitácora oficial con su correo de Microsoft 365 y la hora exacta. La bitácora oficial no se puede editar.</t>
  </si>
  <si>
    <t>Stock a demanda</t>
  </si>
  <si>
    <t>15_STOCK y 16_ALERTAS son una instantánea: no se recalculan mientras la gente trabaja (así Excel para la web no se pone lento). Pulse «Recalcular stock» cuando necesite verlas al día. El disponible de su fila de captura siempre es exacto.</t>
  </si>
  <si>
    <t>SU ROL</t>
  </si>
  <si>
    <t>Portada 00_PORTADA_BODEGA. Registra ENTRADA, SALDO INICIAL y AJUSTE (+/-) en su fila de 10A_ENTRADAS con el botón «Registrar en bodega». Atiende las alertas de stock crítico.</t>
  </si>
  <si>
    <t>Portada 00_PORTADA_VENTAS. Registra SALIDAS en su fila de 10B_SALIDAS con el botón «Registrar salida». Antes de ofrecer, mire el disponible exacto en su fila o la instantánea de 15_STOCK.</t>
  </si>
  <si>
    <t>Administra usuarios (02_USUARIOS), catálogo, proveedores y configuración. Puede registrar en ambos fragmentos. Instala los scripts y sus botones.</t>
  </si>
  <si>
    <t>Solo lectura: portadas, stock, alertas y bitácoras (en SharePoint con permiso de lectura).</t>
  </si>
  <si>
    <t>REGISTRAR UN MOVIMIENTO (Bodega y Ventas)</t>
  </si>
  <si>
    <t>1</t>
  </si>
  <si>
    <t>Abra su portada y pulse REGISTRAR: llegará a la zona de captura de su hoja (10A o 10B).</t>
  </si>
  <si>
    <t>2</t>
  </si>
  <si>
    <t>Busque la fila con SU nombre en la columna Usuario. Escriba solo en esa fila.</t>
  </si>
  <si>
    <t>3</t>
  </si>
  <si>
    <t>Complete Tipo (solo Bodega), Producto (elíjalo de la lista: escriba parte del nombre o del SKU para filtrarla), Cantidad y, si aplica, Fecha, Documento y Observaciones (obligatoria en los ajustes).</t>
  </si>
  <si>
    <t>4</t>
  </si>
  <si>
    <t>Revise Disponible y Validación: debe decir «✔ Lista». Si dice ○ falta un dato; si dice ✖, corrija.</t>
  </si>
  <si>
    <t>5</t>
  </si>
  <si>
    <t>Pulse el botón del script (junto a la barra superior de la hoja). Espere unos segundos.</t>
  </si>
  <si>
    <t>6</t>
  </si>
  <si>
    <t>Lea Resultado: «✔ Registrado» con el ID del movimiento (su fila queda limpia para el siguiente) o «✖ Bloqueado» con el motivo (su fila se conserva para que la corrija).</t>
  </si>
  <si>
    <t>¿POR QUÉ LA CANTIDAD SE PONE ROJA Y TACHADA?</t>
  </si>
  <si>
    <t>Poka-yoke</t>
  </si>
  <si>
    <t>Porque ese movimiento dejaría el stock en negativo (sale más de lo disponible). Excel lo marca en rojo sangre con texto blanco tachado y el script se niega a consolidarlo. Corrija la cantidad o confirme con Bodega si falta registrar una entrada.</t>
  </si>
  <si>
    <t>En la bitácora</t>
  </si>
  <si>
    <t>Si dos personas sacan el mismo producto al mismo tiempo y la segunda salida deja el stock en negativo, el script la marca «✖ Rechazado» (en rojo tachado) y no suma al stock: el registro queda como evidencia, pero no afecta el inventario.</t>
  </si>
  <si>
    <t>EL STOCK ES UNA INSTANTÁNEA: RECALCULAR</t>
  </si>
  <si>
    <t>Cuándo</t>
  </si>
  <si>
    <t>La barra superior de 15_STOCK, 16_ALERTAS y de las portadas dice cuándo y quién calculó el stock y si hay movimientos nuevos desde entonces. Si ve «⚠ … recalcule», pulse «Recalcular stock».</t>
  </si>
  <si>
    <t>Qué hace</t>
  </si>
  <si>
    <t>El script RecalcularStock lee las dos bitácoras oficiales, calcula el stock, el semáforo, las alertas y el valor de cada producto y reescribe 15_STOCK y 16_ALERTAS en una sola operación. Recalcule también después de modificar el catálogo.</t>
  </si>
  <si>
    <t>¿QUÉ PASA SI VARIAS PERSONAS REGISTRAN A LA VEZ?</t>
  </si>
  <si>
    <t>Filas propias</t>
  </si>
  <si>
    <t>Cada persona escribe en su propia fila de captura: no hay dos personas editando la misma celda, que es lo que corrompe los datos en la coautoría.</t>
  </si>
  <si>
    <t>Agregar al final</t>
  </si>
  <si>
    <t>Los scripts agregan cada movimiento al final de la bitácora oficial con una sola operación del servidor e IDs que no dependen de un contador compartido: dos registros simultáneos producen dos filas, nunca se pisan.</t>
  </si>
  <si>
    <t>Doble control</t>
  </si>
  <si>
    <t>Después de agregar una salida o un ajuste negativo, el script vuelve a calcular el disponible; si otra persona se adelantó y el stock quedó en negativo, marca su propio registro como rechazado.</t>
  </si>
  <si>
    <t>CORREGIR UN ERROR</t>
  </si>
  <si>
    <t>Nunca borre</t>
  </si>
  <si>
    <t>La bitácora oficial es inmutable: no se borra ni se edita. Un error se corrige con un movimiento compensatorio: AJUSTE (+) o AJUSTE (-) en 10A_ENTRADAS con la explicación en Observaciones (ej: «Corrige la salida S-20260925-… registrada por 10 en vez de 8»).</t>
  </si>
  <si>
    <t>INSTALACIÓN EN MICROSOFT 365 (ADMINISTRADOR)</t>
  </si>
  <si>
    <t>Suba este libro a una biblioteca de SharePoint (o a OneDrive) y compártalo: Editar para ADMIN, BODEGA y VENTAS; Ver para CONSULTA. Detalle: docs/deployment/sharepoint-rbac-policies.md.</t>
  </si>
  <si>
    <t>Registre a cada persona en 02_USUARIOS con su correo de Microsoft 365 y su rol.</t>
  </si>
  <si>
    <t>En Excel (web o escritorio), pestaña Automatizar › Nuevo script: pegue cada archivo de src/office-scripts (versión con la contraseña del libro) y guárdelo con el mismo nombre.</t>
  </si>
  <si>
    <t>Ejecute una vez DiagnosticoInstalacion: comprueba identidad, permisos, contraseña y tablas.</t>
  </si>
  <si>
    <t>Agregue los botones: en el editor de código, «…» › Agregar en el libro, sobre cada recuadro amarillo ⚙ (10A, 10B, 15_STOCK y portadas). Así el script queda compartido con el libro.</t>
  </si>
  <si>
    <t>Pulse «Recalcular stock» y cargue el SALDO INICIAL de cada producto desde 10A_ENTRADAS.</t>
  </si>
  <si>
    <t>PREGUNTAS FRECUENTES</t>
  </si>
  <si>
    <t>No veo el botón</t>
  </si>
  <si>
    <t>El administrador aún no instaló el script o no tiene permiso de edición. Revise la instalación (arriba) o pida acceso de edición en SharePoint.</t>
  </si>
  <si>
    <t>Mi fila dice sin asignar</t>
  </si>
  <si>
    <t>Su correo no está en 02_USUARIOS o no tiene el rol de ese fragmento. Pida al administrador que lo agregue.</t>
  </si>
  <si>
    <t>El script dice que no me identifica</t>
  </si>
  <si>
    <t>Los scripts leen su correo de Microsoft 365. Abra el libro con su cuenta de trabajo (no como invitado anónimo) y vuelva a intentar.</t>
  </si>
  <si>
    <t>¿Funciona sin internet?</t>
  </si>
  <si>
    <t>No: la versión colaborativa necesita Excel conectado a Microsoft 365. Para trabajar sin conexión use la edición local M-INV V1.2.</t>
  </si>
  <si>
    <t>Documentación técnica: README.md · .claude/v2-concurrency-rules.md · docs/deployment/sharepoint-rbac-policies.md · src/office-scripts/README.md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</si>
</sst>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 #,##0"/>
    <numFmt numFmtId="165" formatCode="#,##0;\-#,##0;0"/>
    <numFmt numFmtId="166" formatCode="dd/mm/yyyy"/>
    <numFmt numFmtId="167" formatCode="0&quot; días&quot;"/>
    <numFmt numFmtId="168" formatCode="dd/mm/yyyy\ hh:mm"/>
    <numFmt numFmtId="169" formatCode="\+0;\-0;0"/>
    <numFmt numFmtId="170" formatCode="\+#,##0;\-#,##0;0"/>
    <numFmt numFmtId="171" formatCode="dd/mm/yyyy\ hh:mm:ss"/>
    <numFmt numFmtId="172" formatCode="0&quot; d&quot;"/>
    <numFmt numFmtId="173" formatCode="dd/mm"/>
    <numFmt numFmtId="174" formatCode="#,##0.##"/>
  </numFmts>
  <fonts count="45" x14ac:knownFonts="1">
    <font>
      <sz val="11"/>
      <color theme="1"/>
      <name val="Calibri"/>
      <family val="2"/>
      <scheme val="minor"/>
    </font>
    <font>
      <sz val="10"/>
      <color rgb="FF1F2937"/>
      <name val="Segoe UI"/>
      <family val="2"/>
    </font>
    <font>
      <sz val="16"/>
      <color rgb="FFFFFFFF"/>
      <name val="Segoe UI Semibold"/>
      <family val="2"/>
    </font>
    <font>
      <b/>
      <sz val="10"/>
      <color rgb="FFFFFFFF"/>
      <name val="Segoe UI"/>
      <family val="2"/>
    </font>
    <font>
      <sz val="9"/>
      <color rgb="FF9FB3C8"/>
      <name val="Segoe UI"/>
      <family val="2"/>
    </font>
    <font>
      <sz val="8.5"/>
      <color rgb="FF9FB3C8"/>
      <name val="Segoe UI"/>
      <family val="2"/>
    </font>
    <font>
      <sz val="9"/>
      <color rgb="FF0B1F33"/>
      <name val="Segoe UI Semibold"/>
      <family val="2"/>
    </font>
    <font>
      <sz val="9"/>
      <color rgb="FFDCE7F3"/>
      <name val="Segoe UI Semibold"/>
      <family val="2"/>
    </font>
    <font>
      <sz val="10"/>
      <color rgb="FF1F2937"/>
      <name val="Segoe UI Semibold"/>
      <family val="2"/>
    </font>
    <font>
      <b/>
      <sz val="8.5"/>
      <color rgb="FFB45309"/>
      <name val="Segoe UI"/>
      <family val="2"/>
    </font>
    <font>
      <sz val="11"/>
      <color rgb="FF0D47A1"/>
      <name val="Segoe UI Semibold"/>
      <family val="2"/>
    </font>
    <font>
      <sz val="12"/>
      <color rgb="FFFFFFFF"/>
      <name val="Segoe UI Semibold"/>
      <family val="2"/>
    </font>
    <font>
      <b/>
      <sz val="8.5"/>
      <color rgb="FF5F6B7A"/>
      <name val="Segoe UI"/>
      <family val="2"/>
    </font>
    <font>
      <sz val="22"/>
      <color rgb="FF2E7D32"/>
      <name val="Segoe UI Semibold"/>
      <family val="2"/>
    </font>
    <font>
      <sz val="22"/>
      <color rgb="FFC62828"/>
      <name val="Segoe UI Semibold"/>
      <family val="2"/>
    </font>
    <font>
      <sz val="22"/>
      <color rgb="FFB45309"/>
      <name val="Segoe UI Semibold"/>
      <family val="2"/>
    </font>
    <font>
      <sz val="22"/>
      <color rgb="FF1565C0"/>
      <name val="Segoe UI Semibold"/>
      <family val="2"/>
    </font>
    <font>
      <sz val="8.5"/>
      <color rgb="FF5F6B7A"/>
      <name val="Segoe UI"/>
      <family val="2"/>
    </font>
    <font>
      <b/>
      <sz val="9"/>
      <color rgb="FFFFFFFF"/>
      <name val="Segoe UI"/>
      <family val="2"/>
    </font>
    <font>
      <sz val="9"/>
      <color rgb="FF1F2937"/>
      <name val="Segoe UI"/>
      <family val="2"/>
    </font>
    <font>
      <b/>
      <sz val="9"/>
      <color rgb="FF1F2937"/>
      <name val="Segoe UI"/>
      <family val="2"/>
    </font>
    <font>
      <sz val="22"/>
      <color rgb="FF00796B"/>
      <name val="Segoe UI Semibold"/>
      <family val="2"/>
    </font>
    <font>
      <b/>
      <sz val="10.5"/>
      <color rgb="FF1565C0"/>
      <name val="Segoe UI"/>
      <family val="2"/>
    </font>
    <font>
      <b/>
      <sz val="9.5"/>
      <color rgb="FFFFFFFF"/>
      <name val="Segoe UI"/>
      <family val="2"/>
    </font>
    <font>
      <b/>
      <sz val="10"/>
      <color rgb="FF1F2937"/>
      <name val="Segoe UI"/>
      <family val="2"/>
    </font>
    <font>
      <b/>
      <sz val="10"/>
      <color rgb="FF0D47A1"/>
      <name val="Segoe UI"/>
      <family val="2"/>
    </font>
    <font>
      <sz val="9"/>
      <color rgb="FF5F6B7A"/>
      <name val="Segoe UI"/>
      <family val="2"/>
    </font>
    <font>
      <b/>
      <sz val="10"/>
      <color rgb="FF6A1B9A"/>
      <name val="Segoe UI"/>
      <family val="2"/>
    </font>
    <font>
      <b/>
      <sz val="10"/>
      <color rgb="FFC62828"/>
      <name val="Segoe UI"/>
      <family val="2"/>
    </font>
    <font>
      <b/>
      <sz val="10"/>
      <color rgb="FFB45309"/>
      <name val="Segoe UI"/>
      <family val="2"/>
    </font>
    <font>
      <b/>
      <sz val="10"/>
      <color rgb="FF2E7D32"/>
      <name val="Segoe UI"/>
      <family val="2"/>
    </font>
    <font>
      <b/>
      <sz val="10"/>
      <color rgb="FF1565C0"/>
      <name val="Segoe UI"/>
      <family val="2"/>
    </font>
    <font>
      <b/>
      <sz val="10"/>
      <color rgb="FF555F6D"/>
      <name val="Segoe UI"/>
      <family val="2"/>
    </font>
    <font>
      <i/>
      <sz val="8.5"/>
      <color rgb="FF5F6B7A"/>
      <name val="Segoe UI"/>
      <family val="2"/>
    </font>
    <font>
      <sz val="10"/>
      <color rgb="FF334155"/>
      <name val="Segoe UI"/>
      <family val="2"/>
    </font>
    <font>
      <b/>
      <sz val="10"/>
      <color rgb="FF334155"/>
      <name val="Segoe UI"/>
      <family val="2"/>
    </font>
    <font>
      <b/>
      <sz val="9"/>
      <color rgb="FF1565C0"/>
      <name val="Segoe UI"/>
      <family val="2"/>
    </font>
    <font>
      <i/>
      <sz val="9"/>
      <color rgb="FF5F6E84"/>
      <name val="Segoe UI"/>
      <family val="2"/>
    </font>
    <font>
      <sz val="8.5"/>
      <color rgb="FF5F6E84"/>
      <name val="Consolas"/>
      <family val="2"/>
    </font>
    <font>
      <sz val="9"/>
      <color rgb="FF334155"/>
      <name val="Segoe UI"/>
      <family val="2"/>
    </font>
    <font>
      <sz val="10"/>
      <color rgb="FF5F6E84"/>
      <name val="Segoe UI"/>
      <family val="2"/>
    </font>
    <font>
      <b/>
      <sz val="10"/>
      <color rgb="FF5F6B7A"/>
      <name val="Segoe UI"/>
      <family val="2"/>
    </font>
    <font>
      <sz val="11"/>
      <color rgb="FF1565C0"/>
      <name val="Segoe UI Semibold"/>
      <family val="2"/>
    </font>
    <font>
      <b/>
      <sz val="14"/>
      <color rgb="FF1F2937"/>
      <name val="Segoe UI"/>
      <family val="2"/>
    </font>
    <font>
      <b/>
      <sz val="9"/>
      <color rgb="FF5F6B7A"/>
      <name val="Segoe UI"/>
      <family val="2"/>
    </font>
  </fonts>
  <fills count="20">
    <fill>
      <patternFill patternType="none"/>
    </fill>
    <fill>
      <patternFill patternType="gray125"/>
    </fill>
    <fill>
      <patternFill patternType="solid">
        <fgColor rgb="FF0B1F33"/>
        <bgColor indexed="64"/>
      </patternFill>
    </fill>
    <fill>
      <patternFill patternType="solid">
        <fgColor rgb="FF16324F"/>
        <bgColor indexed="64"/>
      </patternFill>
    </fill>
    <fill>
      <patternFill patternType="solid">
        <fgColor rgb="FFFFFFFF"/>
        <bgColor indexed="64"/>
      </patternFill>
    </fill>
    <fill>
      <patternFill patternType="solid">
        <fgColor rgb="FFF3F5F8"/>
        <bgColor indexed="64"/>
      </patternFill>
    </fill>
    <fill>
      <patternFill patternType="solid">
        <fgColor rgb="FFFEF3C7"/>
        <bgColor indexed="64"/>
      </patternFill>
    </fill>
    <fill>
      <patternFill patternType="solid">
        <fgColor rgb="FFE3F2FD"/>
        <bgColor indexed="64"/>
      </patternFill>
    </fill>
    <fill>
      <patternFill patternType="solid">
        <fgColor rgb="FF2E7D32"/>
        <bgColor indexed="64"/>
      </patternFill>
    </fill>
    <fill>
      <patternFill patternType="solid">
        <fgColor rgb="FFB45309"/>
        <bgColor indexed="64"/>
      </patternFill>
    </fill>
    <fill>
      <patternFill patternType="solid">
        <fgColor rgb="FFC62828"/>
        <bgColor indexed="64"/>
      </patternFill>
    </fill>
    <fill>
      <patternFill patternType="solid">
        <fgColor rgb="FF475569"/>
        <bgColor indexed="64"/>
      </patternFill>
    </fill>
    <fill>
      <patternFill patternType="solid">
        <fgColor rgb="FF1565C0"/>
        <bgColor indexed="64"/>
      </patternFill>
    </fill>
    <fill>
      <patternFill patternType="solid">
        <fgColor rgb="FF00796B"/>
        <bgColor indexed="64"/>
      </patternFill>
    </fill>
    <fill>
      <patternFill patternType="solid">
        <fgColor rgb="FFF3E5F5"/>
        <bgColor indexed="64"/>
      </patternFill>
    </fill>
    <fill>
      <patternFill patternType="solid">
        <fgColor rgb="FFB71C1C"/>
        <bgColor indexed="64"/>
      </patternFill>
    </fill>
    <fill>
      <patternFill patternType="solid">
        <fgColor rgb="FFFDECEA"/>
        <bgColor indexed="64"/>
      </patternFill>
    </fill>
    <fill>
      <patternFill patternType="solid">
        <fgColor rgb="FFE8F5E9"/>
        <bgColor indexed="64"/>
      </patternFill>
    </fill>
    <fill>
      <patternFill patternType="solid">
        <fgColor rgb="FFF3F4F6"/>
        <bgColor indexed="64"/>
      </patternFill>
    </fill>
    <fill>
      <patternFill patternType="solid">
        <fgColor rgb="FFF1F4F8"/>
        <bgColor indexed="64"/>
      </patternFill>
    </fill>
  </fills>
  <borders count="16">
    <border>
      <left/>
      <right/>
      <top/>
      <bottom/>
      <diagonal/>
    </border>
    <border>
      <left style="medium">
        <color rgb="FF16324F"/>
      </left>
      <right style="medium">
        <color rgb="FF16324F"/>
      </right>
      <top style="medium">
        <color rgb="FF16324F"/>
      </top>
      <bottom style="medium">
        <color rgb="FF16324F"/>
      </bottom>
      <diagonal/>
    </border>
    <border>
      <left style="thin">
        <color rgb="FFDDE3EA"/>
      </left>
      <right style="thin">
        <color rgb="FFDDE3EA"/>
      </right>
      <top style="thin">
        <color rgb="FFDDE3EA"/>
      </top>
      <bottom style="thin">
        <color rgb="FFDDE3EA"/>
      </bottom>
      <diagonal/>
    </border>
    <border>
      <left style="mediumDashed">
        <color rgb="FFF59E0B"/>
      </left>
      <right style="mediumDashed">
        <color rgb="FFF59E0B"/>
      </right>
      <top style="mediumDashed">
        <color rgb="FFF59E0B"/>
      </top>
      <bottom style="mediumDashed">
        <color rgb="FFF59E0B"/>
      </bottom>
      <diagonal/>
    </border>
    <border>
      <left style="medium">
        <color rgb="FFFFFFFF"/>
      </left>
      <right style="medium">
        <color rgb="FFFFFFFF"/>
      </right>
      <top style="medium">
        <color rgb="FFFFFFFF"/>
      </top>
      <bottom style="medium">
        <color rgb="FFFFFFFF"/>
      </bottom>
      <diagonal/>
    </border>
    <border>
      <left style="thin">
        <color rgb="FFDDE3EA"/>
      </left>
      <right style="thin">
        <color rgb="FFDDE3EA"/>
      </right>
      <top style="thick">
        <color rgb="FF2E7D32"/>
      </top>
      <bottom/>
      <diagonal/>
    </border>
    <border>
      <left style="thin">
        <color rgb="FFDDE3EA"/>
      </left>
      <right style="thin">
        <color rgb="FFDDE3EA"/>
      </right>
      <top style="thick">
        <color rgb="FFC62828"/>
      </top>
      <bottom/>
      <diagonal/>
    </border>
    <border>
      <left style="thin">
        <color rgb="FFDDE3EA"/>
      </left>
      <right style="thin">
        <color rgb="FFDDE3EA"/>
      </right>
      <top style="thick">
        <color rgb="FFB45309"/>
      </top>
      <bottom/>
      <diagonal/>
    </border>
    <border>
      <left style="thin">
        <color rgb="FFDDE3EA"/>
      </left>
      <right style="thin">
        <color rgb="FFDDE3EA"/>
      </right>
      <top style="thick">
        <color rgb="FF1565C0"/>
      </top>
      <bottom/>
      <diagonal/>
    </border>
    <border>
      <left style="thin">
        <color rgb="FFDDE3EA"/>
      </left>
      <right style="thin">
        <color rgb="FFDDE3EA"/>
      </right>
      <top/>
      <bottom/>
      <diagonal/>
    </border>
    <border>
      <left style="thin">
        <color rgb="FFDDE3EA"/>
      </left>
      <right style="thin">
        <color rgb="FFDDE3EA"/>
      </right>
      <top/>
      <bottom style="thin">
        <color rgb="FFDDE3EA"/>
      </bottom>
      <diagonal/>
    </border>
    <border>
      <left/>
      <right/>
      <top/>
      <bottom style="thin">
        <color rgb="FFE5E7EB"/>
      </bottom>
      <diagonal/>
    </border>
    <border>
      <left style="thin">
        <color rgb="FFDDE3EA"/>
      </left>
      <right style="thin">
        <color rgb="FFDDE3EA"/>
      </right>
      <top style="thick">
        <color rgb="FF00796B"/>
      </top>
      <bottom/>
      <diagonal/>
    </border>
    <border>
      <left style="thin">
        <color rgb="FFFFFFFF"/>
      </left>
      <right style="thin">
        <color rgb="FFFFFFFF"/>
      </right>
      <top style="thin">
        <color rgb="FFFFFFFF"/>
      </top>
      <bottom style="thin">
        <color rgb="FFFFFFFF"/>
      </bottom>
      <diagonal/>
    </border>
    <border>
      <left style="thin">
        <color rgb="FF8FB3DE"/>
      </left>
      <right style="thin">
        <color rgb="FF8FB3DE"/>
      </right>
      <top style="thin">
        <color rgb="FF8FB3DE"/>
      </top>
      <bottom style="thin">
        <color rgb="FF8FB3DE"/>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13">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4" fillId="2" borderId="0" xfId="0" applyFont="1" applyFill="1" applyAlignment="1" applyProtection="1">
      <alignment vertical="center"/>
      <protection hidden="1"/>
    </xf>
    <xf numFmtId="0" fontId="1" fillId="3" borderId="0" xfId="0" applyFont="1" applyFill="1" applyAlignment="1">
      <alignment vertical="center"/>
    </xf>
    <xf numFmtId="0" fontId="6" fillId="4" borderId="1" xfId="0" applyFont="1" applyFill="1" applyBorder="1" applyAlignment="1">
      <alignment horizontal="center" vertical="center"/>
    </xf>
    <xf numFmtId="0" fontId="7" fillId="3" borderId="0" xfId="0" applyFont="1" applyFill="1" applyAlignment="1">
      <alignment horizontal="center" vertical="center"/>
    </xf>
    <xf numFmtId="0" fontId="1" fillId="5" borderId="0" xfId="0" applyFont="1" applyFill="1" applyAlignment="1">
      <alignment vertical="center"/>
    </xf>
    <xf numFmtId="0" fontId="18" fillId="11" borderId="0" xfId="0" applyFont="1" applyFill="1" applyAlignment="1">
      <alignment horizontal="center" vertical="center"/>
    </xf>
    <xf numFmtId="0" fontId="19" fillId="4" borderId="11" xfId="0" applyFont="1" applyFill="1" applyBorder="1" applyAlignment="1" applyProtection="1">
      <alignment horizontal="left" vertical="center" indent="1"/>
      <protection hidden="1"/>
    </xf>
    <xf numFmtId="165" fontId="19" fillId="4" borderId="11" xfId="0" applyNumberFormat="1" applyFont="1" applyFill="1" applyBorder="1" applyAlignment="1" applyProtection="1">
      <alignment horizontal="right" vertical="center" indent="1"/>
      <protection hidden="1"/>
    </xf>
    <xf numFmtId="166" fontId="19" fillId="4" borderId="11" xfId="0" applyNumberFormat="1" applyFont="1" applyFill="1" applyBorder="1" applyAlignment="1" applyProtection="1">
      <alignment horizontal="center" vertical="center"/>
      <protection hidden="1"/>
    </xf>
    <xf numFmtId="0" fontId="20" fillId="4" borderId="11" xfId="0" applyFont="1" applyFill="1" applyBorder="1" applyAlignment="1" applyProtection="1">
      <alignment horizontal="center" vertical="center"/>
      <protection hidden="1"/>
    </xf>
    <xf numFmtId="0" fontId="4" fillId="2" borderId="0" xfId="0" applyFont="1" applyFill="1" applyAlignment="1">
      <alignment vertical="center"/>
    </xf>
    <xf numFmtId="0" fontId="22" fillId="0" borderId="0" xfId="0" applyFont="1" applyAlignment="1">
      <alignment vertical="center"/>
    </xf>
    <xf numFmtId="0" fontId="23" fillId="11" borderId="13" xfId="0" applyFont="1" applyFill="1" applyBorder="1" applyAlignment="1">
      <alignment horizontal="center" vertical="center" wrapText="1"/>
    </xf>
    <xf numFmtId="0" fontId="23" fillId="12" borderId="13" xfId="0" applyFont="1" applyFill="1" applyBorder="1" applyAlignment="1">
      <alignment horizontal="center" vertical="center" wrapText="1"/>
    </xf>
    <xf numFmtId="0" fontId="24" fillId="0" borderId="2" xfId="0" applyFont="1" applyBorder="1" applyAlignment="1">
      <alignment horizontal="left" vertical="center" indent="1"/>
    </xf>
    <xf numFmtId="0" fontId="25" fillId="4" borderId="14" xfId="0" applyFont="1" applyFill="1" applyBorder="1" applyAlignment="1" applyProtection="1">
      <alignment horizontal="left" vertical="center" indent="1"/>
      <protection locked="0"/>
    </xf>
    <xf numFmtId="0" fontId="26" fillId="0" borderId="2" xfId="0" applyFont="1" applyBorder="1" applyAlignment="1">
      <alignment horizontal="left" vertical="center" wrapText="1" indent="1"/>
    </xf>
    <xf numFmtId="9" fontId="25" fillId="4" borderId="14" xfId="0" applyNumberFormat="1" applyFont="1" applyFill="1" applyBorder="1" applyAlignment="1" applyProtection="1">
      <alignment horizontal="left" vertical="center" indent="1"/>
      <protection locked="0"/>
    </xf>
    <xf numFmtId="167" fontId="25" fillId="4" borderId="14" xfId="0" applyNumberFormat="1" applyFont="1" applyFill="1" applyBorder="1" applyAlignment="1" applyProtection="1">
      <alignment horizontal="left" vertical="center" indent="1"/>
      <protection locked="0"/>
    </xf>
    <xf numFmtId="166" fontId="25" fillId="4" borderId="14" xfId="0" applyNumberFormat="1" applyFont="1" applyFill="1" applyBorder="1" applyAlignment="1" applyProtection="1">
      <alignment horizontal="left" vertical="center" indent="1"/>
      <protection locked="0"/>
    </xf>
    <xf numFmtId="168" fontId="25" fillId="4" borderId="14" xfId="0" applyNumberFormat="1" applyFont="1" applyFill="1" applyBorder="1" applyAlignment="1" applyProtection="1">
      <alignment horizontal="left" vertical="center" indent="1"/>
      <protection locked="0"/>
    </xf>
    <xf numFmtId="3" fontId="25" fillId="4" borderId="14" xfId="0" applyNumberFormat="1" applyFont="1" applyFill="1" applyBorder="1" applyAlignment="1" applyProtection="1">
      <alignment horizontal="left" vertical="center" indent="1"/>
      <protection locked="0"/>
    </xf>
    <xf numFmtId="169" fontId="24"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left" vertical="center" wrapText="1" indent="1"/>
    </xf>
    <xf numFmtId="0" fontId="27" fillId="14" borderId="2" xfId="0" applyFont="1" applyFill="1" applyBorder="1" applyAlignment="1">
      <alignment horizontal="left" vertical="center" indent="1"/>
    </xf>
    <xf numFmtId="0" fontId="24" fillId="0" borderId="2" xfId="0" applyFont="1" applyBorder="1" applyAlignment="1">
      <alignment horizontal="center" vertical="center"/>
    </xf>
    <xf numFmtId="0" fontId="3" fillId="15" borderId="2" xfId="0" applyFont="1" applyFill="1" applyBorder="1" applyAlignment="1">
      <alignment horizontal="left" vertical="center" indent="1"/>
    </xf>
    <xf numFmtId="0" fontId="28" fillId="16" borderId="2" xfId="0" applyFont="1" applyFill="1" applyBorder="1" applyAlignment="1">
      <alignment horizontal="left" vertical="center" indent="1"/>
    </xf>
    <xf numFmtId="0" fontId="29" fillId="6" borderId="2" xfId="0" applyFont="1" applyFill="1" applyBorder="1" applyAlignment="1">
      <alignment horizontal="left" vertical="center" indent="1"/>
    </xf>
    <xf numFmtId="0" fontId="30" fillId="17" borderId="2" xfId="0" applyFont="1" applyFill="1" applyBorder="1" applyAlignment="1">
      <alignment horizontal="left" vertical="center" indent="1"/>
    </xf>
    <xf numFmtId="0" fontId="31" fillId="7" borderId="2" xfId="0" applyFont="1" applyFill="1" applyBorder="1" applyAlignment="1">
      <alignment horizontal="left" vertical="center" indent="1"/>
    </xf>
    <xf numFmtId="0" fontId="32" fillId="18" borderId="2" xfId="0" applyFont="1" applyFill="1" applyBorder="1" applyAlignment="1">
      <alignment horizontal="left" vertical="center" indent="1"/>
    </xf>
    <xf numFmtId="0" fontId="20" fillId="4" borderId="2" xfId="0" applyFont="1" applyFill="1" applyBorder="1" applyAlignment="1" applyProtection="1">
      <alignment horizontal="center" vertical="center"/>
      <protection hidden="1"/>
    </xf>
    <xf numFmtId="0" fontId="33" fillId="5" borderId="0" xfId="0" applyFont="1" applyFill="1" applyAlignment="1">
      <alignment horizontal="left" vertical="center" indent="1"/>
    </xf>
    <xf numFmtId="0" fontId="1" fillId="4" borderId="14" xfId="0" applyFont="1" applyFill="1" applyBorder="1" applyAlignment="1">
      <alignment horizontal="left" vertical="center" indent="1"/>
    </xf>
    <xf numFmtId="0" fontId="1" fillId="4" borderId="14" xfId="0" applyFont="1" applyFill="1" applyBorder="1" applyAlignment="1">
      <alignment horizontal="center" vertical="center"/>
    </xf>
    <xf numFmtId="0" fontId="34" fillId="19" borderId="15" xfId="0" applyFont="1" applyFill="1" applyBorder="1" applyAlignment="1" applyProtection="1">
      <alignment horizontal="center" vertical="center"/>
      <protection hidden="1"/>
    </xf>
    <xf numFmtId="0" fontId="35" fillId="19" borderId="15" xfId="0" applyFont="1" applyFill="1" applyBorder="1" applyAlignment="1" applyProtection="1">
      <alignment horizontal="left" vertical="center" indent="1"/>
      <protection hidden="1"/>
    </xf>
    <xf numFmtId="0" fontId="1" fillId="0" borderId="2" xfId="0" applyFont="1" applyBorder="1" applyAlignment="1">
      <alignment horizontal="left" vertical="center" indent="1"/>
    </xf>
    <xf numFmtId="0" fontId="36" fillId="5" borderId="0" xfId="0" applyFont="1" applyFill="1" applyAlignment="1">
      <alignment horizontal="center" vertical="center"/>
    </xf>
    <xf numFmtId="0" fontId="37" fillId="5" borderId="0" xfId="0" applyFont="1" applyFill="1" applyAlignment="1">
      <alignment horizontal="center" vertical="center"/>
    </xf>
    <xf numFmtId="3" fontId="1" fillId="4" borderId="14" xfId="0" applyNumberFormat="1" applyFont="1" applyFill="1" applyBorder="1" applyAlignment="1">
      <alignment horizontal="right" vertical="center" indent="1"/>
    </xf>
    <xf numFmtId="164" fontId="1" fillId="4" borderId="14" xfId="0" applyNumberFormat="1" applyFont="1" applyFill="1" applyBorder="1" applyAlignment="1">
      <alignment horizontal="right" vertical="center" indent="1"/>
    </xf>
    <xf numFmtId="0" fontId="34" fillId="19" borderId="15" xfId="0" applyFont="1" applyFill="1" applyBorder="1" applyAlignment="1" applyProtection="1">
      <alignment horizontal="left" vertical="center" indent="1"/>
      <protection hidden="1"/>
    </xf>
    <xf numFmtId="0" fontId="1" fillId="4" borderId="14" xfId="0" applyFont="1" applyFill="1" applyBorder="1" applyAlignment="1" applyProtection="1">
      <alignment horizontal="left" vertical="center" indent="1"/>
      <protection locked="0"/>
    </xf>
    <xf numFmtId="166" fontId="1" fillId="4" borderId="14" xfId="0" applyNumberFormat="1" applyFont="1" applyFill="1" applyBorder="1" applyAlignment="1" applyProtection="1">
      <alignment horizontal="center" vertical="center"/>
      <protection locked="0"/>
    </xf>
    <xf numFmtId="3" fontId="1" fillId="4" borderId="14" xfId="0" applyNumberFormat="1" applyFont="1" applyFill="1" applyBorder="1" applyAlignment="1" applyProtection="1">
      <alignment horizontal="right" vertical="center" indent="1"/>
      <protection locked="0"/>
    </xf>
    <xf numFmtId="3" fontId="35" fillId="19" borderId="15" xfId="0" applyNumberFormat="1" applyFont="1" applyFill="1" applyBorder="1" applyAlignment="1" applyProtection="1">
      <alignment horizontal="right" vertical="center" indent="1"/>
      <protection hidden="1"/>
    </xf>
    <xf numFmtId="0" fontId="20" fillId="19" borderId="15" xfId="0" applyFont="1" applyFill="1" applyBorder="1" applyAlignment="1">
      <alignment horizontal="left" vertical="center" indent="1"/>
    </xf>
    <xf numFmtId="169" fontId="35" fillId="19" borderId="15" xfId="0" applyNumberFormat="1" applyFont="1" applyFill="1" applyBorder="1" applyAlignment="1" applyProtection="1">
      <alignment horizontal="center" vertical="center"/>
      <protection hidden="1"/>
    </xf>
    <xf numFmtId="3" fontId="34" fillId="19" borderId="15" xfId="0" applyNumberFormat="1" applyFont="1" applyFill="1" applyBorder="1" applyAlignment="1" applyProtection="1">
      <alignment horizontal="right" vertical="center" indent="1"/>
      <protection hidden="1"/>
    </xf>
    <xf numFmtId="0" fontId="38" fillId="19" borderId="15" xfId="0" applyFont="1" applyFill="1" applyBorder="1" applyAlignment="1" applyProtection="1">
      <alignment horizontal="center" vertical="center"/>
      <protection hidden="1"/>
    </xf>
    <xf numFmtId="166" fontId="34" fillId="19" borderId="15" xfId="0" applyNumberFormat="1" applyFont="1" applyFill="1" applyBorder="1" applyAlignment="1" applyProtection="1">
      <alignment horizontal="center" vertical="center"/>
      <protection hidden="1"/>
    </xf>
    <xf numFmtId="170" fontId="34" fillId="19" borderId="15" xfId="0" applyNumberFormat="1" applyFont="1" applyFill="1" applyBorder="1" applyAlignment="1" applyProtection="1">
      <alignment horizontal="right" vertical="center" indent="1"/>
      <protection hidden="1"/>
    </xf>
    <xf numFmtId="171" fontId="39" fillId="19" borderId="15" xfId="0" applyNumberFormat="1" applyFont="1" applyFill="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1" fillId="0" borderId="0" xfId="0" applyFont="1" applyAlignment="1" applyProtection="1">
      <alignment horizontal="left" vertical="center" indent="1"/>
      <protection hidden="1"/>
    </xf>
    <xf numFmtId="3" fontId="1" fillId="0" borderId="0" xfId="0" applyNumberFormat="1" applyFont="1" applyAlignment="1" applyProtection="1">
      <alignment horizontal="right" vertical="center" indent="1"/>
      <protection hidden="1"/>
    </xf>
    <xf numFmtId="3" fontId="24" fillId="0" borderId="0" xfId="0" applyNumberFormat="1" applyFont="1" applyAlignment="1" applyProtection="1">
      <alignment horizontal="right" vertical="center" indent="1"/>
      <protection hidden="1"/>
    </xf>
    <xf numFmtId="9" fontId="1" fillId="0" borderId="0" xfId="0" applyNumberFormat="1" applyFont="1" applyAlignment="1" applyProtection="1">
      <alignment horizontal="right" vertical="center" indent="1"/>
      <protection hidden="1"/>
    </xf>
    <xf numFmtId="0" fontId="24" fillId="0" borderId="0" xfId="0" applyFont="1" applyAlignment="1" applyProtection="1">
      <alignment horizontal="left" vertical="center" indent="1"/>
      <protection hidden="1"/>
    </xf>
    <xf numFmtId="164" fontId="1" fillId="0" borderId="0" xfId="0" applyNumberFormat="1" applyFont="1" applyAlignment="1" applyProtection="1">
      <alignment horizontal="right" vertical="center" indent="1"/>
      <protection hidden="1"/>
    </xf>
    <xf numFmtId="166" fontId="1" fillId="0" borderId="0" xfId="0" applyNumberFormat="1" applyFont="1" applyAlignment="1" applyProtection="1">
      <alignment horizontal="center" vertical="center"/>
      <protection hidden="1"/>
    </xf>
    <xf numFmtId="172" fontId="1" fillId="0" borderId="0" xfId="0" applyNumberFormat="1" applyFont="1" applyAlignment="1" applyProtection="1">
      <alignment horizontal="center" vertical="center"/>
      <protection hidden="1"/>
    </xf>
    <xf numFmtId="0" fontId="40" fillId="0" borderId="0" xfId="0" applyFont="1" applyAlignment="1" applyProtection="1">
      <alignment horizontal="center" vertical="center"/>
      <protection hidden="1"/>
    </xf>
    <xf numFmtId="0" fontId="1" fillId="0" borderId="2" xfId="0" applyFont="1" applyBorder="1" applyAlignment="1" applyProtection="1">
      <alignment vertical="center"/>
      <protection hidden="1"/>
    </xf>
    <xf numFmtId="173" fontId="1" fillId="0" borderId="2" xfId="0" applyNumberFormat="1" applyFont="1" applyBorder="1" applyAlignment="1" applyProtection="1">
      <alignment vertical="center"/>
      <protection hidden="1"/>
    </xf>
    <xf numFmtId="3" fontId="1" fillId="0" borderId="2" xfId="0" applyNumberFormat="1" applyFont="1" applyBorder="1" applyAlignment="1" applyProtection="1">
      <alignment horizontal="right" vertical="center"/>
      <protection hidden="1"/>
    </xf>
    <xf numFmtId="1" fontId="1" fillId="0" borderId="2" xfId="0" applyNumberFormat="1" applyFont="1" applyBorder="1" applyAlignment="1" applyProtection="1">
      <alignment horizontal="right" vertical="center"/>
      <protection hidden="1"/>
    </xf>
    <xf numFmtId="164" fontId="1" fillId="0" borderId="2" xfId="0" applyNumberFormat="1" applyFont="1" applyBorder="1" applyAlignment="1" applyProtection="1">
      <alignment horizontal="right" vertical="center"/>
      <protection hidden="1"/>
    </xf>
    <xf numFmtId="174" fontId="1" fillId="0" borderId="2" xfId="0" applyNumberFormat="1" applyFont="1" applyBorder="1" applyAlignment="1" applyProtection="1">
      <alignment horizontal="right" vertical="center"/>
      <protection hidden="1"/>
    </xf>
    <xf numFmtId="49" fontId="1" fillId="0" borderId="2" xfId="0" applyNumberFormat="1" applyFont="1" applyBorder="1" applyAlignment="1" applyProtection="1">
      <alignment horizontal="right" vertical="center"/>
      <protection hidden="1"/>
    </xf>
    <xf numFmtId="0" fontId="41" fillId="0" borderId="0" xfId="0" applyFont="1" applyAlignment="1">
      <alignment vertical="center" wrapText="1"/>
    </xf>
    <xf numFmtId="0" fontId="43" fillId="4" borderId="2" xfId="0" applyFont="1" applyFill="1" applyBorder="1" applyAlignment="1" applyProtection="1">
      <alignment horizontal="center" vertical="center"/>
      <protection hidden="1"/>
    </xf>
    <xf numFmtId="0" fontId="33" fillId="5" borderId="0" xfId="0" applyFont="1" applyFill="1" applyAlignment="1">
      <alignment vertical="center"/>
    </xf>
    <xf numFmtId="0" fontId="3" fillId="2" borderId="0" xfId="0" applyFont="1" applyFill="1" applyAlignment="1" applyProtection="1">
      <alignment horizontal="right" vertical="center"/>
      <protection hidden="1"/>
    </xf>
    <xf numFmtId="0" fontId="1" fillId="2" borderId="0" xfId="0" applyFont="1" applyFill="1" applyAlignment="1">
      <alignment vertical="center"/>
    </xf>
    <xf numFmtId="0" fontId="5" fillId="2" borderId="0" xfId="0" applyFont="1" applyFill="1" applyAlignment="1">
      <alignment horizontal="right" vertical="center"/>
    </xf>
    <xf numFmtId="0" fontId="8" fillId="4" borderId="2" xfId="0" applyFont="1" applyFill="1" applyBorder="1" applyAlignment="1" applyProtection="1">
      <alignment horizontal="left" vertical="center" indent="1"/>
      <protection hidden="1"/>
    </xf>
    <xf numFmtId="0" fontId="9" fillId="6" borderId="3" xfId="0" applyFont="1" applyFill="1" applyBorder="1" applyAlignment="1">
      <alignment horizontal="center" vertical="center" wrapText="1"/>
    </xf>
    <xf numFmtId="0" fontId="10" fillId="7" borderId="2" xfId="0" applyFont="1" applyFill="1" applyBorder="1" applyAlignment="1" applyProtection="1">
      <alignment horizontal="left" vertical="center" indent="1"/>
      <protection hidden="1"/>
    </xf>
    <xf numFmtId="0" fontId="11" fillId="8" borderId="4"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10" borderId="4" xfId="0" applyFont="1" applyFill="1" applyBorder="1" applyAlignment="1" applyProtection="1">
      <alignment horizontal="center" vertical="center"/>
      <protection hidden="1"/>
    </xf>
    <xf numFmtId="0" fontId="12" fillId="4" borderId="5" xfId="0" applyFont="1" applyFill="1" applyBorder="1" applyAlignment="1">
      <alignment horizontal="left" vertical="center" indent="1"/>
    </xf>
    <xf numFmtId="3" fontId="13" fillId="4" borderId="9" xfId="0" applyNumberFormat="1" applyFont="1" applyFill="1" applyBorder="1" applyAlignment="1" applyProtection="1">
      <alignment horizontal="left" vertical="center" indent="1"/>
      <protection hidden="1"/>
    </xf>
    <xf numFmtId="0" fontId="1" fillId="4" borderId="9" xfId="0" applyFont="1" applyFill="1" applyBorder="1" applyAlignment="1">
      <alignment vertical="center"/>
    </xf>
    <xf numFmtId="0" fontId="17" fillId="4" borderId="10" xfId="0" applyFont="1" applyFill="1" applyBorder="1" applyAlignment="1" applyProtection="1">
      <alignment horizontal="left" vertical="center" indent="1"/>
      <protection hidden="1"/>
    </xf>
    <xf numFmtId="0" fontId="12" fillId="4" borderId="6" xfId="0" applyFont="1" applyFill="1" applyBorder="1" applyAlignment="1">
      <alignment horizontal="left" vertical="center" indent="1"/>
    </xf>
    <xf numFmtId="3" fontId="14" fillId="4" borderId="9" xfId="0" applyNumberFormat="1" applyFont="1" applyFill="1" applyBorder="1" applyAlignment="1" applyProtection="1">
      <alignment horizontal="left" vertical="center" indent="1"/>
      <protection hidden="1"/>
    </xf>
    <xf numFmtId="0" fontId="12" fillId="4" borderId="7" xfId="0" applyFont="1" applyFill="1" applyBorder="1" applyAlignment="1">
      <alignment horizontal="left" vertical="center" indent="1"/>
    </xf>
    <xf numFmtId="3" fontId="15" fillId="4" borderId="9" xfId="0" applyNumberFormat="1" applyFont="1" applyFill="1" applyBorder="1" applyAlignment="1" applyProtection="1">
      <alignment horizontal="left" vertical="center" indent="1"/>
      <protection hidden="1"/>
    </xf>
    <xf numFmtId="0" fontId="12" fillId="4" borderId="8" xfId="0" applyFont="1" applyFill="1" applyBorder="1" applyAlignment="1">
      <alignment horizontal="left" vertical="center" indent="1"/>
    </xf>
    <xf numFmtId="164" fontId="16" fillId="4" borderId="9" xfId="0" applyNumberFormat="1" applyFont="1" applyFill="1" applyBorder="1" applyAlignment="1" applyProtection="1">
      <alignment horizontal="left" vertical="center" indent="1"/>
      <protection hidden="1"/>
    </xf>
    <xf numFmtId="0" fontId="18" fillId="11" borderId="0" xfId="0" applyFont="1" applyFill="1" applyAlignment="1">
      <alignment horizontal="center" vertical="center"/>
    </xf>
    <xf numFmtId="0" fontId="19" fillId="4" borderId="11" xfId="0" applyFont="1" applyFill="1" applyBorder="1" applyAlignment="1" applyProtection="1">
      <alignment horizontal="left" vertical="center" indent="1"/>
      <protection hidden="1"/>
    </xf>
    <xf numFmtId="0" fontId="17" fillId="5" borderId="0" xfId="0" applyFont="1" applyFill="1" applyAlignment="1" applyProtection="1">
      <alignment horizontal="left" vertical="center" indent="1"/>
      <protection hidden="1"/>
    </xf>
    <xf numFmtId="0" fontId="17" fillId="5" borderId="0" xfId="0" applyFont="1" applyFill="1" applyAlignment="1">
      <alignment horizontal="right" vertical="center"/>
    </xf>
    <xf numFmtId="0" fontId="11" fillId="12" borderId="4" xfId="0" applyFont="1" applyFill="1" applyBorder="1" applyAlignment="1">
      <alignment horizontal="center" vertical="center" wrapText="1"/>
    </xf>
    <xf numFmtId="0" fontId="11" fillId="13" borderId="4" xfId="0" applyFont="1" applyFill="1" applyBorder="1" applyAlignment="1">
      <alignment horizontal="center" vertical="center" wrapText="1"/>
    </xf>
    <xf numFmtId="3" fontId="16" fillId="4" borderId="9" xfId="0" applyNumberFormat="1" applyFont="1" applyFill="1" applyBorder="1" applyAlignment="1" applyProtection="1">
      <alignment horizontal="left" vertical="center" indent="1"/>
      <protection hidden="1"/>
    </xf>
    <xf numFmtId="0" fontId="12" fillId="4" borderId="12" xfId="0" applyFont="1" applyFill="1" applyBorder="1" applyAlignment="1">
      <alignment horizontal="left" vertical="center" indent="1"/>
    </xf>
    <xf numFmtId="3" fontId="21" fillId="4" borderId="9" xfId="0" applyNumberFormat="1" applyFont="1" applyFill="1" applyBorder="1" applyAlignment="1" applyProtection="1">
      <alignment horizontal="left" vertical="center" indent="1"/>
      <protection hidden="1"/>
    </xf>
    <xf numFmtId="0" fontId="7" fillId="3" borderId="0" xfId="0" applyFont="1" applyFill="1" applyAlignment="1">
      <alignment horizontal="center" vertical="center"/>
    </xf>
    <xf numFmtId="0" fontId="20" fillId="4" borderId="2" xfId="0" applyFont="1" applyFill="1" applyBorder="1" applyAlignment="1" applyProtection="1">
      <alignment horizontal="center" vertical="center"/>
      <protection hidden="1"/>
    </xf>
    <xf numFmtId="0" fontId="33" fillId="5" borderId="0" xfId="0" applyFont="1" applyFill="1" applyAlignment="1">
      <alignment horizontal="left" vertical="center" wrapText="1" indent="1"/>
    </xf>
    <xf numFmtId="0" fontId="42" fillId="5" borderId="0" xfId="0" applyFont="1" applyFill="1" applyAlignment="1">
      <alignment vertical="center"/>
    </xf>
    <xf numFmtId="0" fontId="1" fillId="4" borderId="2" xfId="0" applyFont="1" applyFill="1" applyBorder="1" applyAlignment="1" applyProtection="1">
      <alignment horizontal="left" vertical="center" indent="1"/>
      <protection hidden="1"/>
    </xf>
    <xf numFmtId="0" fontId="1" fillId="4" borderId="2" xfId="0" applyFont="1" applyFill="1" applyBorder="1" applyAlignment="1">
      <alignment horizontal="left" vertical="center" wrapText="1" indent="1"/>
    </xf>
  </cellXfs>
  <cellStyles count="1">
    <cellStyle name="Normal" xfId="0" builtinId="0"/>
  </cellStyles>
  <dxfs count="188">
    <dxf>
      <font>
        <color rgb="FFB45309"/>
      </font>
    </dxf>
    <dxf>
      <font>
        <color rgb="FF2E7D32"/>
      </font>
    </dxf>
    <dxf>
      <font>
        <color rgb="FFB45309"/>
      </font>
    </dxf>
    <dxf>
      <font>
        <color rgb="FF2E7D32"/>
      </font>
    </dxf>
    <dxf>
      <font>
        <color rgb="FFB45309"/>
      </font>
    </dxf>
    <dxf>
      <font>
        <color rgb="FF2E7D32"/>
      </font>
    </dxf>
    <dxf>
      <font>
        <color rgb="FFB45309"/>
      </font>
    </dxf>
    <dxf>
      <font>
        <color rgb="FF2E7D32"/>
      </font>
    </dxf>
    <dxf>
      <font>
        <color rgb="FFB45309"/>
      </font>
    </dxf>
    <dxf>
      <font>
        <color rgb="FF2E7D32"/>
      </font>
    </dxf>
    <dxf>
      <font>
        <b/>
        <color rgb="FF0D47A1"/>
      </font>
    </dxf>
    <dxf>
      <numFmt numFmtId="4" formatCode="#,##0.00"/>
    </dxf>
    <dxf>
      <numFmt numFmtId="4" formatCode="#,##0.00"/>
    </dxf>
    <dxf>
      <numFmt numFmtId="4" formatCode="#,##0.00"/>
    </dxf>
    <dxf>
      <font>
        <color rgb="FFB45309"/>
      </font>
      <fill>
        <patternFill>
          <bgColor rgb="FFFEF3C7"/>
        </patternFill>
      </fill>
    </dxf>
    <dxf>
      <font>
        <color rgb="FFFFFFFF"/>
      </font>
      <fill>
        <patternFill>
          <bgColor rgb="FF2E7D32"/>
        </patternFill>
      </fill>
    </dxf>
    <dxf>
      <font>
        <b/>
        <color rgb="FFFFFFFF"/>
      </font>
      <fill>
        <patternFill>
          <bgColor rgb="FF555F6D"/>
        </patternFill>
      </fill>
    </dxf>
    <dxf>
      <font>
        <b/>
        <color rgb="FFFFFFFF"/>
      </font>
      <fill>
        <patternFill>
          <bgColor rgb="FF1565C0"/>
        </patternFill>
      </fill>
    </dxf>
    <dxf>
      <font>
        <b/>
        <color rgb="FFFFFFFF"/>
      </font>
      <fill>
        <patternFill>
          <bgColor rgb="FF2E7D32"/>
        </patternFill>
      </fill>
    </dxf>
    <dxf>
      <font>
        <b/>
        <color rgb="FFFFFFFF"/>
      </font>
      <fill>
        <patternFill>
          <bgColor rgb="FFB45309"/>
        </patternFill>
      </fill>
    </dxf>
    <dxf>
      <font>
        <b/>
        <color rgb="FFFFFFFF"/>
      </font>
      <fill>
        <patternFill>
          <bgColor rgb="FFC62828"/>
        </patternFill>
      </fill>
    </dxf>
    <dxf>
      <font>
        <b/>
        <color rgb="FFFFFFFF"/>
      </font>
      <fill>
        <patternFill>
          <bgColor rgb="FFB71C1C"/>
        </patternFill>
      </fill>
    </dxf>
    <dxf>
      <font>
        <b/>
        <color rgb="FFFFFFFF"/>
      </font>
      <fill>
        <patternFill>
          <bgColor rgb="FF6A1B9A"/>
        </patternFill>
      </fill>
    </dxf>
    <dxf>
      <fill>
        <patternFill>
          <bgColor rgb="FFF8FAFC"/>
        </patternFill>
      </fill>
    </dxf>
    <dxf>
      <font>
        <b/>
        <color rgb="FFB45309"/>
      </font>
      <fill>
        <patternFill>
          <bgColor rgb="FFFEF3C7"/>
        </patternFill>
      </fill>
    </dxf>
    <dxf>
      <font>
        <b/>
        <color rgb="FF555F6D"/>
      </font>
      <numFmt numFmtId="177" formatCode="&quot;● &quot;@"/>
      <fill>
        <patternFill>
          <bgColor rgb="FFF3F4F6"/>
        </patternFill>
      </fill>
    </dxf>
    <dxf>
      <font>
        <b/>
        <color rgb="FF1565C0"/>
      </font>
      <numFmt numFmtId="177" formatCode="&quot;● &quot;@"/>
      <fill>
        <patternFill>
          <bgColor rgb="FFE3F2FD"/>
        </patternFill>
      </fill>
    </dxf>
    <dxf>
      <font>
        <b/>
        <color rgb="FF2E7D32"/>
      </font>
      <numFmt numFmtId="177" formatCode="&quot;● &quot;@"/>
      <fill>
        <patternFill>
          <bgColor rgb="FFE8F5E9"/>
        </patternFill>
      </fill>
    </dxf>
    <dxf>
      <font>
        <b/>
        <color rgb="FFB45309"/>
      </font>
      <numFmt numFmtId="177" formatCode="&quot;● &quot;@"/>
      <fill>
        <patternFill>
          <bgColor rgb="FFFEF3C7"/>
        </patternFill>
      </fill>
    </dxf>
    <dxf>
      <font>
        <b/>
        <color rgb="FFC62828"/>
      </font>
      <numFmt numFmtId="177" formatCode="&quot;● &quot;@"/>
      <fill>
        <patternFill>
          <bgColor rgb="FFFDECEA"/>
        </patternFill>
      </fill>
    </dxf>
    <dxf>
      <font>
        <b/>
        <color rgb="FFFFFFFF"/>
      </font>
      <numFmt numFmtId="177" formatCode="&quot;● &quot;@"/>
      <fill>
        <patternFill>
          <bgColor rgb="FFB71C1C"/>
        </patternFill>
      </fill>
    </dxf>
    <dxf>
      <font>
        <b/>
        <color rgb="FF6A1B9A"/>
      </font>
      <numFmt numFmtId="177" formatCode="&quot;● &quot;@"/>
      <fill>
        <patternFill>
          <bgColor rgb="FFF3E5F5"/>
        </patternFill>
      </fill>
    </dxf>
    <dxf>
      <numFmt numFmtId="4" formatCode="#,##0.00"/>
    </dxf>
    <dxf>
      <numFmt numFmtId="4" formatCode="#,##0.00"/>
    </dxf>
    <dxf>
      <numFmt numFmtId="4" formatCode="#,##0.00"/>
    </dxf>
    <dxf>
      <numFmt numFmtId="4" formatCode="#,##0.00"/>
    </dxf>
    <dxf>
      <numFmt numFmtId="4" formatCode="#,##0.00"/>
    </dxf>
    <dxf>
      <font>
        <color rgb="FFB45309"/>
      </font>
      <fill>
        <patternFill>
          <bgColor rgb="FFFEF3C7"/>
        </patternFill>
      </fill>
    </dxf>
    <dxf>
      <font>
        <color rgb="FFFFFFFF"/>
      </font>
      <fill>
        <patternFill>
          <bgColor rgb="FF2E7D32"/>
        </patternFill>
      </fill>
    </dxf>
    <dxf>
      <fill>
        <patternFill>
          <bgColor rgb="FFF8FAFC"/>
        </patternFill>
      </fill>
    </dxf>
    <dxf>
      <font>
        <b/>
        <color rgb="FFC62828"/>
      </font>
    </dxf>
    <dxf>
      <font>
        <b/>
        <color rgb="FF2E7D32"/>
      </font>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b/>
        <strike/>
        <color rgb="FFFFFFFF"/>
      </font>
      <fill>
        <patternFill>
          <bgColor rgb="FF8A0303"/>
        </patternFill>
      </fill>
    </dxf>
    <dxf>
      <numFmt numFmtId="176" formatCode="\+#,##0.00;\-#,##0.00;0"/>
    </dxf>
    <dxf>
      <font>
        <b/>
        <color rgb="FFC62828"/>
      </font>
    </dxf>
    <dxf>
      <font>
        <b/>
        <color rgb="FF2E7D32"/>
      </font>
    </dxf>
    <dxf>
      <numFmt numFmtId="4" formatCode="#,##0.00"/>
    </dxf>
    <dxf>
      <font>
        <b/>
        <strike/>
        <color rgb="FFFFFFFF"/>
      </font>
      <fill>
        <patternFill>
          <bgColor rgb="FF8A0303"/>
        </patternFill>
      </fill>
    </dxf>
    <dxf>
      <font>
        <b/>
        <strike/>
        <color rgb="FFFFFFFF"/>
      </font>
      <fill>
        <patternFill>
          <bgColor rgb="FF8A0303"/>
        </patternFill>
      </fill>
    </dxf>
    <dxf>
      <numFmt numFmtId="4" formatCode="#,##0.00"/>
    </dxf>
    <dxf>
      <font>
        <b/>
        <strike/>
        <color rgb="FFFFFFFF"/>
      </font>
      <fill>
        <patternFill>
          <bgColor rgb="FF8A0303"/>
        </patternFill>
      </fill>
    </dxf>
    <dxf>
      <numFmt numFmtId="4" formatCode="#,##0.00"/>
    </dxf>
    <dxf>
      <font>
        <b/>
        <color rgb="FFC62828"/>
      </font>
    </dxf>
    <dxf>
      <font>
        <b/>
        <color rgb="FF2E7D32"/>
      </font>
    </dxf>
    <dxf>
      <fill>
        <patternFill>
          <bgColor rgb="FFF8FAFC"/>
        </patternFill>
      </fill>
    </dxf>
    <dxf>
      <font>
        <color rgb="FF5F6E84"/>
      </font>
      <fill>
        <patternFill>
          <bgColor rgb="FFF8FAFC"/>
        </patternFill>
      </fill>
    </dxf>
    <dxf>
      <font>
        <b/>
        <color rgb="FF0D47A1"/>
      </font>
    </dxf>
    <dxf>
      <numFmt numFmtId="175" formatCode=";;;&quot;(sin asignar)&quot;"/>
    </dxf>
    <dxf>
      <font>
        <b/>
        <color rgb="FFC62828"/>
      </font>
    </dxf>
    <dxf>
      <font>
        <b/>
        <color rgb="FF2E7D32"/>
      </font>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b/>
        <strike/>
        <color rgb="FFFFFFFF"/>
      </font>
      <fill>
        <patternFill>
          <bgColor rgb="FF8A0303"/>
        </patternFill>
      </fill>
    </dxf>
    <dxf>
      <numFmt numFmtId="176" formatCode="\+#,##0.00;\-#,##0.00;0"/>
    </dxf>
    <dxf>
      <font>
        <b/>
        <color rgb="FFC62828"/>
      </font>
    </dxf>
    <dxf>
      <font>
        <b/>
        <color rgb="FF2E7D32"/>
      </font>
    </dxf>
    <dxf>
      <numFmt numFmtId="4" formatCode="#,##0.00"/>
    </dxf>
    <dxf>
      <font>
        <b/>
        <strike/>
        <color rgb="FFFFFFFF"/>
      </font>
      <fill>
        <patternFill>
          <bgColor rgb="FF8A0303"/>
        </patternFill>
      </fill>
    </dxf>
    <dxf>
      <font>
        <b/>
        <strike/>
        <color rgb="FFFFFFFF"/>
      </font>
      <fill>
        <patternFill>
          <bgColor rgb="FF8A0303"/>
        </patternFill>
      </fill>
    </dxf>
    <dxf>
      <numFmt numFmtId="4" formatCode="#,##0.00"/>
    </dxf>
    <dxf>
      <font>
        <b/>
        <strike/>
        <color rgb="FFFFFFFF"/>
      </font>
      <fill>
        <patternFill>
          <bgColor rgb="FF8A0303"/>
        </patternFill>
      </fill>
    </dxf>
    <dxf>
      <numFmt numFmtId="4" formatCode="#,##0.00"/>
    </dxf>
    <dxf>
      <font>
        <b/>
        <color rgb="FFC62828"/>
      </font>
    </dxf>
    <dxf>
      <font>
        <b/>
        <color rgb="FF2E7D32"/>
      </font>
    </dxf>
    <dxf>
      <fill>
        <patternFill>
          <bgColor rgb="FFF8FAFC"/>
        </patternFill>
      </fill>
    </dxf>
    <dxf>
      <font>
        <color rgb="FF5F6E84"/>
      </font>
      <fill>
        <patternFill>
          <bgColor rgb="FFF8FAFC"/>
        </patternFill>
      </fill>
    </dxf>
    <dxf>
      <font>
        <b/>
        <color rgb="FF0D47A1"/>
      </font>
    </dxf>
    <dxf>
      <numFmt numFmtId="175" formatCode=";;;&quot;(sin asignar)&quot;"/>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numFmt numFmtId="4" formatCode="#,##0.00"/>
    </dxf>
    <dxf>
      <numFmt numFmtId="4" formatCode="#,##0.00"/>
    </dxf>
    <dxf>
      <font>
        <i/>
        <color rgb="FF5F6E84"/>
      </font>
    </dxf>
    <dxf>
      <fill>
        <patternFill>
          <bgColor rgb="FFEAF3FE"/>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b/>
        <color rgb="FFC62828"/>
      </font>
    </dxf>
    <dxf>
      <fill>
        <patternFill>
          <bgColor rgb="FFEAF3FE"/>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ill>
        <patternFill>
          <bgColor rgb="FFEAF3FE"/>
        </patternFill>
      </fill>
    </dxf>
    <dxf>
      <font>
        <color rgb="FF2E7D32"/>
      </font>
    </dxf>
    <dxf>
      <font>
        <b/>
        <color rgb="FFC62828"/>
      </font>
    </dxf>
    <dxf>
      <numFmt numFmtId="4" formatCode="#,##0.00"/>
    </dxf>
    <dxf>
      <numFmt numFmtId="4" formatCode="#,##0.00"/>
    </dxf>
    <dxf>
      <font>
        <color rgb="FF2E7D32"/>
      </font>
      <fill>
        <patternFill>
          <bgColor rgb="FFE8F5E9"/>
        </patternFill>
      </fill>
    </dxf>
    <dxf>
      <font>
        <color rgb="FFB45309"/>
      </font>
      <fill>
        <patternFill>
          <bgColor rgb="FFFEF3C7"/>
        </patternFill>
      </fill>
    </dxf>
    <dxf>
      <font>
        <color rgb="FFC62828"/>
      </font>
      <fill>
        <patternFill>
          <bgColor rgb="FFFDECEA"/>
        </patternFill>
      </fill>
    </dxf>
    <dxf>
      <font>
        <color rgb="FF2E7D32"/>
      </font>
      <fill>
        <patternFill>
          <bgColor rgb="FFE8F5E9"/>
        </patternFill>
      </fill>
    </dxf>
    <dxf>
      <font>
        <color rgb="FFB45309"/>
      </font>
      <fill>
        <patternFill>
          <bgColor rgb="FFFEF3C7"/>
        </patternFill>
      </fill>
    </dxf>
    <dxf>
      <font>
        <color rgb="FFB45309"/>
      </font>
      <fill>
        <patternFill>
          <bgColor rgb="FFFEF3C7"/>
        </patternFill>
      </fill>
    </dxf>
    <dxf>
      <font>
        <b/>
        <color rgb="FFFFFFFF"/>
      </font>
      <fill>
        <patternFill>
          <bgColor rgb="FF555F6D"/>
        </patternFill>
      </fill>
    </dxf>
    <dxf>
      <font>
        <b/>
        <color rgb="FFFFFFFF"/>
      </font>
      <fill>
        <patternFill>
          <bgColor rgb="FF1565C0"/>
        </patternFill>
      </fill>
    </dxf>
    <dxf>
      <font>
        <b/>
        <color rgb="FFFFFFFF"/>
      </font>
      <fill>
        <patternFill>
          <bgColor rgb="FF2E7D32"/>
        </patternFill>
      </fill>
    </dxf>
    <dxf>
      <font>
        <b/>
        <color rgb="FFFFFFFF"/>
      </font>
      <fill>
        <patternFill>
          <bgColor rgb="FFB45309"/>
        </patternFill>
      </fill>
    </dxf>
    <dxf>
      <font>
        <b/>
        <color rgb="FFFFFFFF"/>
      </font>
      <fill>
        <patternFill>
          <bgColor rgb="FFC62828"/>
        </patternFill>
      </fill>
    </dxf>
    <dxf>
      <font>
        <b/>
        <color rgb="FFFFFFFF"/>
      </font>
      <fill>
        <patternFill>
          <bgColor rgb="FFB71C1C"/>
        </patternFill>
      </fill>
    </dxf>
    <dxf>
      <font>
        <b/>
        <color rgb="FFFFFFFF"/>
      </font>
      <fill>
        <patternFill>
          <bgColor rgb="FF6A1B9A"/>
        </patternFill>
      </fill>
    </dxf>
    <dxf>
      <font>
        <color rgb="FF2E7D32"/>
      </font>
    </dxf>
    <dxf>
      <font>
        <b/>
        <color rgb="FFC62828"/>
      </font>
    </dxf>
    <dxf>
      <numFmt numFmtId="4" formatCode="#,##0.00"/>
    </dxf>
    <dxf>
      <numFmt numFmtId="4" formatCode="#,##0.00"/>
    </dxf>
    <dxf>
      <font>
        <color rgb="FF2E7D32"/>
      </font>
      <fill>
        <patternFill>
          <bgColor rgb="FFE8F5E9"/>
        </patternFill>
      </fill>
    </dxf>
    <dxf>
      <font>
        <color rgb="FFB45309"/>
      </font>
      <fill>
        <patternFill>
          <bgColor rgb="FFFEF3C7"/>
        </patternFill>
      </fill>
    </dxf>
    <dxf>
      <font>
        <color rgb="FFC62828"/>
      </font>
      <fill>
        <patternFill>
          <bgColor rgb="FFFDECEA"/>
        </patternFill>
      </fill>
    </dxf>
    <dxf>
      <font>
        <color rgb="FF2E7D32"/>
      </font>
      <fill>
        <patternFill>
          <bgColor rgb="FFE8F5E9"/>
        </patternFill>
      </fill>
    </dxf>
    <dxf>
      <font>
        <color rgb="FFB45309"/>
      </font>
      <fill>
        <patternFill>
          <bgColor rgb="FFFEF3C7"/>
        </patternFill>
      </fill>
    </dxf>
    <dxf>
      <font>
        <color rgb="FFB45309"/>
      </font>
      <fill>
        <patternFill>
          <bgColor rgb="FFFEF3C7"/>
        </patternFill>
      </fill>
    </dxf>
    <dxf>
      <font>
        <b/>
        <color rgb="FFFFFFFF"/>
      </font>
      <fill>
        <patternFill>
          <bgColor rgb="FF555F6D"/>
        </patternFill>
      </fill>
    </dxf>
    <dxf>
      <font>
        <b/>
        <color rgb="FFFFFFFF"/>
      </font>
      <fill>
        <patternFill>
          <bgColor rgb="FF1565C0"/>
        </patternFill>
      </fill>
    </dxf>
    <dxf>
      <font>
        <b/>
        <color rgb="FFFFFFFF"/>
      </font>
      <fill>
        <patternFill>
          <bgColor rgb="FF2E7D32"/>
        </patternFill>
      </fill>
    </dxf>
    <dxf>
      <font>
        <b/>
        <color rgb="FFFFFFFF"/>
      </font>
      <fill>
        <patternFill>
          <bgColor rgb="FFB45309"/>
        </patternFill>
      </fill>
    </dxf>
    <dxf>
      <font>
        <b/>
        <color rgb="FFFFFFFF"/>
      </font>
      <fill>
        <patternFill>
          <bgColor rgb="FFC62828"/>
        </patternFill>
      </fill>
    </dxf>
    <dxf>
      <font>
        <b/>
        <color rgb="FFFFFFFF"/>
      </font>
      <fill>
        <patternFill>
          <bgColor rgb="FFB71C1C"/>
        </patternFill>
      </fill>
    </dxf>
    <dxf>
      <font>
        <b/>
        <color rgb="FFFFFFFF"/>
      </font>
      <fill>
        <patternFill>
          <bgColor rgb="FF6A1B9A"/>
        </patternFill>
      </fill>
    </dxf>
    <dxf>
      <font>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169" formatCode="\+0;\-0;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169" formatCode="\+0;\-0;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baseline="0">
                <a:solidFill>
                  <a:srgbClr val="1F2937"/>
                </a:solidFill>
              </a:defRPr>
            </a:pPr>
            <a:r>
              <a:rPr lang="en-US" sz="1000" b="1" baseline="0">
                <a:solidFill>
                  <a:srgbClr val="1F2937"/>
                </a:solidFill>
              </a:rPr>
              <a:t>Salud del inventario</a:t>
            </a:r>
          </a:p>
        </c:rich>
      </c:tx>
      <c:overlay val="0"/>
    </c:title>
    <c:autoTitleDeleted val="0"/>
    <c:plotArea>
      <c:layout/>
      <c:doughnutChart>
        <c:varyColors val="1"/>
        <c:ser>
          <c:idx val="0"/>
          <c:order val="0"/>
          <c:tx>
            <c:v>Productos</c:v>
          </c:tx>
          <c:dPt>
            <c:idx val="0"/>
            <c:bubble3D val="0"/>
            <c:spPr>
              <a:solidFill>
                <a:srgbClr val="8E24AA"/>
              </a:solidFill>
              <a:ln>
                <a:solidFill>
                  <a:srgbClr val="FFFFFF"/>
                </a:solidFill>
              </a:ln>
            </c:spPr>
            <c:extLst>
              <c:ext xmlns:c16="http://schemas.microsoft.com/office/drawing/2014/chart" uri="{C3380CC4-5D6E-409C-BE32-E72D297353CC}">
                <c16:uniqueId val="{00000000-E5C5-4C97-AA1C-B05383569E5C}"/>
              </c:ext>
            </c:extLst>
          </c:dPt>
          <c:dPt>
            <c:idx val="1"/>
            <c:bubble3D val="0"/>
            <c:spPr>
              <a:solidFill>
                <a:srgbClr val="9B1C1C"/>
              </a:solidFill>
              <a:ln>
                <a:solidFill>
                  <a:srgbClr val="FFFFFF"/>
                </a:solidFill>
              </a:ln>
            </c:spPr>
            <c:extLst>
              <c:ext xmlns:c16="http://schemas.microsoft.com/office/drawing/2014/chart" uri="{C3380CC4-5D6E-409C-BE32-E72D297353CC}">
                <c16:uniqueId val="{00000001-E5C5-4C97-AA1C-B05383569E5C}"/>
              </c:ext>
            </c:extLst>
          </c:dPt>
          <c:dPt>
            <c:idx val="2"/>
            <c:bubble3D val="0"/>
            <c:spPr>
              <a:solidFill>
                <a:srgbClr val="D32F2F"/>
              </a:solidFill>
              <a:ln>
                <a:solidFill>
                  <a:srgbClr val="FFFFFF"/>
                </a:solidFill>
              </a:ln>
            </c:spPr>
            <c:extLst>
              <c:ext xmlns:c16="http://schemas.microsoft.com/office/drawing/2014/chart" uri="{C3380CC4-5D6E-409C-BE32-E72D297353CC}">
                <c16:uniqueId val="{00000002-E5C5-4C97-AA1C-B05383569E5C}"/>
              </c:ext>
            </c:extLst>
          </c:dPt>
          <c:dPt>
            <c:idx val="3"/>
            <c:bubble3D val="0"/>
            <c:spPr>
              <a:solidFill>
                <a:srgbClr val="F59E0B"/>
              </a:solidFill>
              <a:ln>
                <a:solidFill>
                  <a:srgbClr val="FFFFFF"/>
                </a:solidFill>
              </a:ln>
            </c:spPr>
            <c:extLst>
              <c:ext xmlns:c16="http://schemas.microsoft.com/office/drawing/2014/chart" uri="{C3380CC4-5D6E-409C-BE32-E72D297353CC}">
                <c16:uniqueId val="{00000003-E5C5-4C97-AA1C-B05383569E5C}"/>
              </c:ext>
            </c:extLst>
          </c:dPt>
          <c:dPt>
            <c:idx val="4"/>
            <c:bubble3D val="0"/>
            <c:spPr>
              <a:solidFill>
                <a:srgbClr val="2E7D32"/>
              </a:solidFill>
              <a:ln>
                <a:solidFill>
                  <a:srgbClr val="FFFFFF"/>
                </a:solidFill>
              </a:ln>
            </c:spPr>
            <c:extLst>
              <c:ext xmlns:c16="http://schemas.microsoft.com/office/drawing/2014/chart" uri="{C3380CC4-5D6E-409C-BE32-E72D297353CC}">
                <c16:uniqueId val="{00000004-E5C5-4C97-AA1C-B05383569E5C}"/>
              </c:ext>
            </c:extLst>
          </c:dPt>
          <c:dPt>
            <c:idx val="5"/>
            <c:bubble3D val="0"/>
            <c:spPr>
              <a:solidFill>
                <a:srgbClr val="1565C0"/>
              </a:solidFill>
              <a:ln>
                <a:solidFill>
                  <a:srgbClr val="FFFFFF"/>
                </a:solidFill>
              </a:ln>
            </c:spPr>
            <c:extLst>
              <c:ext xmlns:c16="http://schemas.microsoft.com/office/drawing/2014/chart" uri="{C3380CC4-5D6E-409C-BE32-E72D297353CC}">
                <c16:uniqueId val="{00000005-E5C5-4C97-AA1C-B05383569E5C}"/>
              </c:ext>
            </c:extLst>
          </c:dPt>
          <c:dLbls>
            <c:spPr>
              <a:noFill/>
              <a:ln>
                <a:noFill/>
              </a:ln>
              <a:effectLst/>
            </c:spPr>
            <c:txPr>
              <a:bodyPr/>
              <a:lstStyle/>
              <a:p>
                <a:pPr>
                  <a:defRPr sz="900" b="1" baseline="0">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'90_LISTAS'!$F$8:$F$13</c:f>
              <c:strCache>
                <c:ptCount val="6"/>
                <c:pt idx="0">
                  <c:v>INCONSISTENTE</c:v>
                </c:pt>
                <c:pt idx="1">
                  <c:v>AGOTADO</c:v>
                </c:pt>
                <c:pt idx="2">
                  <c:v>CRÍTICO</c:v>
                </c:pt>
                <c:pt idx="3">
                  <c:v>BAJO</c:v>
                </c:pt>
                <c:pt idx="4">
                  <c:v>ÓPTIMO</c:v>
                </c:pt>
                <c:pt idx="5">
                  <c:v>SOBRESTOCK</c:v>
                </c:pt>
              </c:strCache>
            </c:strRef>
          </c:cat>
          <c:val>
            <c:numRef>
              <c:f>'90_LISTAS'!$G$8:$G$13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E5C5-4C97-AA1C-B05383569E5C}"/>
            </c:ext>
          </c:extLst>
        </c:ser>
        <c:dLbls>
          <c:showLegendKey val="0"/>
          <c:showVal val="0"/>
          <c:showCatName val="0"/>
          <c:showSerName val="0"/>
          <c:showPercent val="0"/>
          <c:showBubbleSize val="0"/>
          <c:showLeaderLines val="0"/>
        </c:dLbls>
        <c:firstSliceAng val="0"/>
        <c:holeSize val="55"/>
      </c:doughnutChart>
    </c:plotArea>
    <c:legend>
      <c:legendPos val="r"/>
      <c:overlay val="0"/>
      <c:txPr>
        <a:bodyPr/>
        <a:lstStyle/>
        <a:p>
          <a:pPr rtl="0">
            <a:defRPr sz="800" baseline="0"/>
          </a:pPr>
          <a:endParaRPr lang="en-US"/>
        </a:p>
      </c:txPr>
    </c:legend>
    <c:plotVisOnly val="1"/>
    <c:dispBlanksAs val="gap"/>
    <c:showDLblsOverMax val="0"/>
  </c:chart>
  <c:spPr>
    <a:solidFill>
      <a:srgbClr val="FFFFFF"/>
    </a:solidFill>
    <a:ln>
      <a:solidFill>
        <a:srgbClr val="DDE3EA"/>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baseline="0">
                <a:solidFill>
                  <a:srgbClr val="1F2937"/>
                </a:solidFill>
              </a:defRPr>
            </a:pPr>
            <a:r>
              <a:rPr lang="en-US" sz="1000" b="1" baseline="0">
                <a:solidFill>
                  <a:srgbClr val="1F2937"/>
                </a:solidFill>
              </a:rPr>
              <a:t>Unidades despachadas · últimos 7 días</a:t>
            </a:r>
          </a:p>
        </c:rich>
      </c:tx>
      <c:overlay val="0"/>
    </c:title>
    <c:autoTitleDeleted val="0"/>
    <c:plotArea>
      <c:layout/>
      <c:barChart>
        <c:barDir val="col"/>
        <c:grouping val="clustered"/>
        <c:varyColors val="0"/>
        <c:ser>
          <c:idx val="0"/>
          <c:order val="0"/>
          <c:tx>
            <c:v>Unidades despachadas</c:v>
          </c:tx>
          <c:spPr>
            <a:solidFill>
              <a:srgbClr val="1565C0"/>
            </a:solidFill>
          </c:spPr>
          <c:invertIfNegative val="0"/>
          <c:dLbls>
            <c:numFmt formatCode="#,##0" sourceLinked="0"/>
            <c:spPr>
              <a:noFill/>
              <a:ln>
                <a:noFill/>
              </a:ln>
              <a:effectLst/>
            </c:spPr>
            <c:txPr>
              <a:bodyPr/>
              <a:lstStyle/>
              <a:p>
                <a:pPr>
                  <a:defRPr sz="8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'90_LISTAS'!$F$17:$F$23</c:f>
              <c:numCache>
                <c:formatCode>dd/mm</c:formatCode>
                <c:ptCount val="7"/>
                <c:pt idx="0">
                  <c:v>46284</c:v>
                </c:pt>
                <c:pt idx="1">
                  <c:v>46285</c:v>
                </c:pt>
                <c:pt idx="2">
                  <c:v>46286</c:v>
                </c:pt>
                <c:pt idx="3">
                  <c:v>46287</c:v>
                </c:pt>
                <c:pt idx="4">
                  <c:v>46288</c:v>
                </c:pt>
                <c:pt idx="5">
                  <c:v>46289</c:v>
                </c:pt>
                <c:pt idx="6">
                  <c:v>46290</c:v>
                </c:pt>
              </c:numCache>
            </c:numRef>
          </c:cat>
          <c:val>
            <c:numRef>
              <c:f>'90_LISTAS'!$G$17:$G$23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9B98-4652-86DC-354412FF47C7}"/>
            </c:ext>
          </c:extLst>
        </c:ser>
        <c:dLbls>
          <c:showLegendKey val="0"/>
          <c:showVal val="0"/>
          <c:showCatName val="0"/>
          <c:showSerName val="0"/>
          <c:showPercent val="0"/>
          <c:showBubbleSize val="0"/>
        </c:dLbls>
        <c:gapWidth val="60"/>
        <c:axId val="50020001"/>
        <c:axId val="50020002"/>
      </c:barChart>
      <c:dateAx>
        <c:axId val="50020001"/>
        <c:scaling>
          <c:orientation val="minMax"/>
        </c:scaling>
        <c:delete val="0"/>
        <c:axPos val="b"/>
        <c:numFmt formatCode="dd/mm" sourceLinked="0"/>
        <c:majorTickMark val="out"/>
        <c:minorTickMark val="none"/>
        <c:tickLblPos val="nextTo"/>
        <c:txPr>
          <a:bodyPr/>
          <a:lstStyle/>
          <a:p>
            <a:pPr>
              <a:defRPr sz="800" baseline="0"/>
            </a:pPr>
            <a:endParaRPr lang="en-US"/>
          </a:p>
        </c:txPr>
        <c:crossAx val="50020002"/>
        <c:crosses val="autoZero"/>
        <c:auto val="1"/>
        <c:lblOffset val="100"/>
        <c:baseTimeUnit val="days"/>
      </c:dateAx>
      <c:valAx>
        <c:axId val="50020002"/>
        <c:scaling>
          <c:orientation val="minMax"/>
        </c:scaling>
        <c:delete val="1"/>
        <c:axPos val="l"/>
        <c:numFmt formatCode="General" sourceLinked="1"/>
        <c:majorTickMark val="out"/>
        <c:minorTickMark val="none"/>
        <c:tickLblPos val="nextTo"/>
        <c:crossAx val="50020001"/>
        <c:crosses val="autoZero"/>
        <c:crossBetween val="between"/>
      </c:valAx>
    </c:plotArea>
    <c:plotVisOnly val="1"/>
    <c:dispBlanksAs val="gap"/>
    <c:showDLblsOverMax val="0"/>
  </c:chart>
  <c:spPr>
    <a:solidFill>
      <a:srgbClr val="FFFFFF"/>
    </a:solidFill>
    <a:ln>
      <a:solidFill>
        <a:srgbClr val="DDE3EA"/>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38100</xdr:colOff>
      <xdr:row>19</xdr:row>
      <xdr:rowOff>0</xdr:rowOff>
    </xdr:from>
    <xdr:to>
      <xdr:col>13</xdr:col>
      <xdr:colOff>0</xdr:colOff>
      <xdr:row>30</xdr:row>
      <xdr:rowOff>171450</xdr:rowOff>
    </xdr:to>
    <xdr:graphicFrame macro="">
      <xdr:nvGraphicFramePr>
        <xdr:cNvPr id="2" name="Chart 1" descr="Gráfico: productos por estado (instantánea)">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19</xdr:row>
      <xdr:rowOff>0</xdr:rowOff>
    </xdr:from>
    <xdr:to>
      <xdr:col>13</xdr:col>
      <xdr:colOff>0</xdr:colOff>
      <xdr:row>30</xdr:row>
      <xdr:rowOff>171450</xdr:rowOff>
    </xdr:to>
    <xdr:graphicFrame macro="">
      <xdr:nvGraphicFramePr>
        <xdr:cNvPr id="2" name="Chart 1" descr="Gráfico: unidades despachadas por día">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TiposMov" displayName="tblTiposMov" ref="B26:E31" totalsRowShown="0">
  <tableColumns count="4">
    <tableColumn id="1" xr3:uid="{00000000-0010-0000-0000-000001000000}" name="Tipo"/>
    <tableColumn id="2" xr3:uid="{00000000-0010-0000-0000-000002000000}" name="FactorStock"/>
    <tableColumn id="3" xr3:uid="{00000000-0010-0000-0000-000003000000}" name="Dominio"/>
    <tableColumn id="4" xr3:uid="{00000000-0010-0000-0000-000004000000}" name="Descripció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stados" displayName="tblEstados" ref="B34:E41" totalsRowShown="0">
  <tableColumns count="4">
    <tableColumn id="1" xr3:uid="{00000000-0010-0000-0100-000001000000}" name="Estado"/>
    <tableColumn id="2" xr3:uid="{00000000-0010-0000-0100-000002000000}" name="Prioridad"/>
    <tableColumn id="3" xr3:uid="{00000000-0010-0000-0100-000003000000}" name="Regla"/>
    <tableColumn id="4" xr3:uid="{00000000-0010-0000-0100-000004000000}" name="Acció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Usuarios" displayName="tblUsuarios" ref="B7:H57" totalsRowShown="0">
  <autoFilter ref="B7:H57" xr:uid="{00000000-0009-0000-0100-000003000000}"/>
  <tableColumns count="7">
    <tableColumn id="1" xr3:uid="{00000000-0010-0000-0200-000001000000}" name="Correo"/>
    <tableColumn id="2" xr3:uid="{00000000-0010-0000-0200-000002000000}" name="Nombre"/>
    <tableColumn id="3" xr3:uid="{00000000-0010-0000-0200-000003000000}" name="Rol"/>
    <tableColumn id="4" xr3:uid="{00000000-0010-0000-0200-000004000000}" name="Activo"/>
    <tableColumn id="5" xr3:uid="{00000000-0010-0000-0200-000005000000}" name="OrdenBodega" dataDxfId="187">
      <calculatedColumnFormula>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calculatedColumnFormula>
    </tableColumn>
    <tableColumn id="6" xr3:uid="{00000000-0010-0000-0200-000006000000}" name="OrdenVentas" dataDxfId="186">
      <calculatedColumnFormula>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calculatedColumnFormula>
    </tableColumn>
    <tableColumn id="7" xr3:uid="{00000000-0010-0000-0200-000007000000}" name="Validación" dataDxfId="185">
      <calculatedColumnFormula>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Categorias" displayName="tblCategorias" ref="B7:D13" totalsRowShown="0">
  <tableColumns count="3">
    <tableColumn id="1" xr3:uid="{00000000-0010-0000-0300-000001000000}" name="Código"/>
    <tableColumn id="2" xr3:uid="{00000000-0010-0000-0300-000002000000}" name="Categoría"/>
    <tableColumn id="3" xr3:uid="{00000000-0010-0000-0300-000003000000}" name="Descripció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Proveedores" displayName="tblProveedores" ref="B7:J107" totalsRowShown="0">
  <autoFilter ref="B7:J107" xr:uid="{00000000-0009-0000-0100-000005000000}"/>
  <tableColumns count="9">
    <tableColumn id="1" xr3:uid="{00000000-0010-0000-0400-000001000000}" name="Proveedor"/>
    <tableColumn id="2" xr3:uid="{00000000-0010-0000-0400-000002000000}" name="NIT"/>
    <tableColumn id="3" xr3:uid="{00000000-0010-0000-0400-000003000000}" name="Contacto"/>
    <tableColumn id="4" xr3:uid="{00000000-0010-0000-0400-000004000000}" name="Teléfono"/>
    <tableColumn id="5" xr3:uid="{00000000-0010-0000-0400-000005000000}" name="Correo"/>
    <tableColumn id="6" xr3:uid="{00000000-0010-0000-0400-000006000000}" name="DiasEntrega"/>
    <tableColumn id="7" xr3:uid="{00000000-0010-0000-0400-000007000000}" name="Productos" dataDxfId="184">
      <calculatedColumnFormula>IF(tblProveedores[[#This Row],[Proveedor]]="","",COUNTIF(tblProductos[Proveedor],tblProveedores[[#This Row],[Proveedor]]))</calculatedColumnFormula>
    </tableColumn>
    <tableColumn id="8" xr3:uid="{00000000-0010-0000-0400-000008000000}" name="EnAlerta" dataDxfId="183">
      <calculatedColumnFormula>IF(tblProveedores[[#This Row],[Proveedor]]="","",SUMPRODUCT(COUNTIFS(tblStock[Proveedor],tblProveedores[[#This Row],[Proveedor]],tblStock[Estado],{"INCONSISTENTE","AGOTADO","CRÍTICO","BAJO"})))</calculatedColumnFormula>
    </tableColumn>
    <tableColumn id="9" xr3:uid="{00000000-0010-0000-0400-000009000000}" name="Validación" dataDxfId="182">
      <calculatedColumnFormula>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Productos" displayName="tblProductos" ref="B7:N507" totalsRowShown="0">
  <autoFilter ref="B7:N507" xr:uid="{00000000-0009-0000-0100-000006000000}"/>
  <tableColumns count="13">
    <tableColumn id="1" xr3:uid="{00000000-0010-0000-0500-000001000000}" name="SKU"/>
    <tableColumn id="2" xr3:uid="{00000000-0010-0000-0500-000002000000}" name="Producto"/>
    <tableColumn id="3" xr3:uid="{00000000-0010-0000-0500-000003000000}" name="Categoría"/>
    <tableColumn id="4" xr3:uid="{00000000-0010-0000-0500-000004000000}" name="Unidad"/>
    <tableColumn id="5" xr3:uid="{00000000-0010-0000-0500-000005000000}" name="StockMin"/>
    <tableColumn id="6" xr3:uid="{00000000-0010-0000-0500-000006000000}" name="StockMax"/>
    <tableColumn id="7" xr3:uid="{00000000-0010-0000-0500-000007000000}" name="CostoUnitario"/>
    <tableColumn id="8" xr3:uid="{00000000-0010-0000-0500-000008000000}" name="Proveedor"/>
    <tableColumn id="9" xr3:uid="{00000000-0010-0000-0500-000009000000}" name="Ubicación"/>
    <tableColumn id="10" xr3:uid="{00000000-0010-0000-0500-00000A000000}" name="Activo"/>
    <tableColumn id="11" xr3:uid="{00000000-0010-0000-0500-00000B000000}" name="Etiqueta" dataDxfId="181">
      <calculatedColumnFormula>IF(OR(tblProductos[[#This Row],[SKU]]="",tblProductos[[#This Row],[Producto]]=""),"",tblProductos[[#This Row],[SKU]]&amp;" · "&amp;tblProductos[[#This Row],[Producto]]&amp;IF(tblProductos[[#This Row],[Activo]]="NO","  (inactivo)",""))</calculatedColumnFormula>
    </tableColumn>
    <tableColumn id="12" xr3:uid="{00000000-0010-0000-0500-00000C000000}" name="Movimientos" dataDxfId="180">
      <calculatedColumnFormula>IF(tblProductos[[#This Row],[SKU]]="","",COUNTIF(tblEntradas[SKU],tblProductos[[#This Row],[SKU]])+COUNTIF(tblSalidas[SKU],tblProductos[[#This Row],[SKU]]))</calculatedColumnFormula>
    </tableColumn>
    <tableColumn id="13" xr3:uid="{00000000-0010-0000-0500-00000D000000}" name="Validación" dataDxfId="179">
      <calculatedColumnFormula>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Unidades" displayName="tblUnidades" ref="B7:E16" totalsRowShown="0">
  <tableColumns count="4">
    <tableColumn id="1" xr3:uid="{00000000-0010-0000-0600-000001000000}" name="Código"/>
    <tableColumn id="2" xr3:uid="{00000000-0010-0000-0600-000002000000}" name="Unidad"/>
    <tableColumn id="3" xr3:uid="{00000000-0010-0000-0600-000003000000}" name="Decimales"/>
    <tableColumn id="4" xr3:uid="{00000000-0010-0000-0600-000004000000}" name="Descripció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CapturaEntradas" displayName="tblCapturaEntradas" ref="B8:P23" totalsRowShown="0">
  <autoFilter ref="B8:P23" xr:uid="{00000000-0009-0000-0100-000008000000}"/>
  <tableColumns count="15">
    <tableColumn id="1" xr3:uid="{00000000-0010-0000-0700-000001000000}" name="Usuario" dataDxfId="178">
      <calculatedColumnFormula>IFERROR(INDEX(tblUsuarios[Nombre],MATCH(ROW()-ROW(tblCapturaEntradas[#Headers]),tblUsuarios[OrdenBodega],0)),"")</calculatedColumnFormula>
    </tableColumn>
    <tableColumn id="2" xr3:uid="{00000000-0010-0000-0700-000002000000}" name="Tipo"/>
    <tableColumn id="3" xr3:uid="{00000000-0010-0000-0700-000003000000}" name="Fecha"/>
    <tableColumn id="4" xr3:uid="{00000000-0010-0000-0700-000004000000}" name="Producto"/>
    <tableColumn id="5" xr3:uid="{00000000-0010-0000-0700-000005000000}" name="Cantidad"/>
    <tableColumn id="6" xr3:uid="{00000000-0010-0000-0700-000006000000}" name="Documento"/>
    <tableColumn id="7" xr3:uid="{00000000-0010-0000-0700-000007000000}" name="Observaciones"/>
    <tableColumn id="8" xr3:uid="{00000000-0010-0000-0700-000008000000}" name="Disponible" dataDxfId="177">
      <calculatedColumnFormula>IF(OR(tblCapturaEntradas[[#This Row],[SKU]]="",tblCapturaEntradas[[#This Row],[Unidad]]="?"),"",SUMIFS(tblEntradas[CantidadNeta],tblEntradas[SKU],tblCapturaEntradas[[#This Row],[SKU]],tblEntradas[Estado],"✔*")+SUMIFS(tblSalidas[CantidadNeta],tblSalidas[SKU],tblCapturaEntradas[[#This Row],[SKU]],tblSalidas[Estado],"✔*"))</calculatedColumnFormula>
    </tableColumn>
    <tableColumn id="9" xr3:uid="{00000000-0010-0000-0700-000009000000}" name="Validación" dataDxfId="176">
      <calculatedColumnFormula>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calculatedColumnFormula>
    </tableColumn>
    <tableColumn id="10" xr3:uid="{00000000-0010-0000-0700-00000A000000}" name="Resultado"/>
    <tableColumn id="11" xr3:uid="{00000000-0010-0000-0700-00000B000000}" name="Unidad" dataDxfId="175">
      <calculatedColumnFormula>IF(tblCapturaEntradas[[#This Row],[SKU]]="","",IFERROR(INDEX(tblProductos[Unidad],MATCH(tblCapturaEntradas[[#This Row],[SKU]],tblProductos[SKU],0)),"?"))</calculatedColumnFormula>
    </tableColumn>
    <tableColumn id="12" xr3:uid="{00000000-0010-0000-0700-00000C000000}" name="Factor" dataDxfId="174">
      <calculatedColumnFormula>IF(tblCapturaEntradas[[#This Row],[Tipo]]="","",IFERROR(INDEX(tblTiposMov[FactorStock],MATCH(tblCapturaEntradas[[#This Row],[Tipo]],tblTiposMov[Tipo],0))*(INDEX(tblTiposMov[Dominio],MATCH(tblCapturaEntradas[[#This Row],[Tipo]],tblTiposMov[Tipo],0))="BODEGA"),0))</calculatedColumnFormula>
    </tableColumn>
    <tableColumn id="13" xr3:uid="{00000000-0010-0000-0700-00000D000000}" name="Correo" dataDxfId="173">
      <calculatedColumnFormula>IFERROR(INDEX(tblUsuarios[Correo],MATCH(ROW()-ROW(tblCapturaEntradas[#Headers]),tblUsuarios[OrdenBodega],0)),"")</calculatedColumnFormula>
    </tableColumn>
    <tableColumn id="14" xr3:uid="{00000000-0010-0000-0700-00000E000000}" name="SKU" dataDxfId="172">
      <calculatedColumnFormula>IF(tblCapturaEntradas[[#This Row],[Producto]]="","",TRIM(LEFT(tblCapturaEntradas[[#This Row],[Producto]],FIND(" · ",tblCapturaEntradas[[#This Row],[Producto]]&amp;" · ")-1)))</calculatedColumnFormula>
    </tableColumn>
    <tableColumn id="15" xr3:uid="{00000000-0010-0000-0700-00000F000000}" name="Queda" dataDxfId="171">
      <calculatedColumnFormula>IF(OR(tblCapturaEntradas[[#This Row],[Disponible]]="",NOT(ISNUMBER(tblCapturaEntradas[[#This Row],[Cantidad]])),N(tblCapturaEntradas[[#This Row],[Factor]])=0),"",tblCapturaEntradas[[#This Row],[Disponible]]+tblCapturaEntradas[[#This Row],[Cantidad]]*tblCapturaEntradas[[#This Row],[Factor]])</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Entradas" displayName="tblEntradas" ref="B27:P28" totalsRowShown="0">
  <autoFilter ref="B27:P28" xr:uid="{00000000-0009-0000-0100-000009000000}"/>
  <tableColumns count="15">
    <tableColumn id="1" xr3:uid="{00000000-0010-0000-0800-000001000000}" name="ID"/>
    <tableColumn id="2" xr3:uid="{00000000-0010-0000-0800-000002000000}" name="Tipo"/>
    <tableColumn id="3" xr3:uid="{00000000-0010-0000-0800-000003000000}" name="Fecha"/>
    <tableColumn id="4" xr3:uid="{00000000-0010-0000-0800-000004000000}" name="Producto"/>
    <tableColumn id="5" xr3:uid="{00000000-0010-0000-0800-000005000000}" name="Cantidad"/>
    <tableColumn id="6" xr3:uid="{00000000-0010-0000-0800-000006000000}" name="Documento"/>
    <tableColumn id="7" xr3:uid="{00000000-0010-0000-0800-000007000000}" name="Observaciones"/>
    <tableColumn id="8" xr3:uid="{00000000-0010-0000-0800-000008000000}" name="CantidadNeta"/>
    <tableColumn id="9" xr3:uid="{00000000-0010-0000-0800-000009000000}" name="Estado"/>
    <tableColumn id="10" xr3:uid="{00000000-0010-0000-0800-00000A000000}" name="Registró"/>
    <tableColumn id="11" xr3:uid="{00000000-0010-0000-0800-00000B000000}" name="Unidad"/>
    <tableColumn id="12" xr3:uid="{00000000-0010-0000-0800-00000C000000}" name="FactorStock"/>
    <tableColumn id="13" xr3:uid="{00000000-0010-0000-0800-00000D000000}" name="Usuario_O365"/>
    <tableColumn id="14" xr3:uid="{00000000-0010-0000-0800-00000E000000}" name="SKU"/>
    <tableColumn id="15" xr3:uid="{00000000-0010-0000-0800-00000F000000}" name="Timestamp"/>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CapturaSalidas" displayName="tblCapturaSalidas" ref="B8:P23" totalsRowShown="0">
  <autoFilter ref="B8:P23" xr:uid="{00000000-0009-0000-0100-00000A000000}"/>
  <tableColumns count="15">
    <tableColumn id="1" xr3:uid="{00000000-0010-0000-0900-000001000000}" name="Usuario" dataDxfId="170">
      <calculatedColumnFormula>IFERROR(INDEX(tblUsuarios[Nombre],MATCH(ROW()-ROW(tblCapturaSalidas[#Headers]),tblUsuarios[OrdenVentas],0)),"")</calculatedColumnFormula>
    </tableColumn>
    <tableColumn id="2" xr3:uid="{00000000-0010-0000-0900-000002000000}" name="Tipo" dataDxfId="169">
      <calculatedColumnFormula>IF(tblCapturaSalidas[[#This Row],[Correo]]="","","SALIDA")</calculatedColumnFormula>
    </tableColumn>
    <tableColumn id="3" xr3:uid="{00000000-0010-0000-0900-000003000000}" name="Fecha"/>
    <tableColumn id="4" xr3:uid="{00000000-0010-0000-0900-000004000000}" name="Producto"/>
    <tableColumn id="5" xr3:uid="{00000000-0010-0000-0900-000005000000}" name="Cantidad"/>
    <tableColumn id="6" xr3:uid="{00000000-0010-0000-0900-000006000000}" name="Documento"/>
    <tableColumn id="7" xr3:uid="{00000000-0010-0000-0900-000007000000}" name="Observaciones"/>
    <tableColumn id="8" xr3:uid="{00000000-0010-0000-0900-000008000000}" name="Disponible" dataDxfId="168">
      <calculatedColumnFormula>IF(OR(tblCapturaSalidas[[#This Row],[SKU]]="",tblCapturaSalidas[[#This Row],[Unidad]]="?"),"",SUMIFS(tblEntradas[CantidadNeta],tblEntradas[SKU],tblCapturaSalidas[[#This Row],[SKU]],tblEntradas[Estado],"✔*")+SUMIFS(tblSalidas[CantidadNeta],tblSalidas[SKU],tblCapturaSalidas[[#This Row],[SKU]],tblSalidas[Estado],"✔*"))</calculatedColumnFormula>
    </tableColumn>
    <tableColumn id="9" xr3:uid="{00000000-0010-0000-0900-000009000000}" name="Validación" dataDxfId="167">
      <calculatedColumnFormula>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calculatedColumnFormula>
    </tableColumn>
    <tableColumn id="10" xr3:uid="{00000000-0010-0000-0900-00000A000000}" name="Resultado"/>
    <tableColumn id="11" xr3:uid="{00000000-0010-0000-0900-00000B000000}" name="Unidad" dataDxfId="166">
      <calculatedColumnFormula>IF(tblCapturaSalidas[[#This Row],[SKU]]="","",IFERROR(INDEX(tblProductos[Unidad],MATCH(tblCapturaSalidas[[#This Row],[SKU]],tblProductos[SKU],0)),"?"))</calculatedColumnFormula>
    </tableColumn>
    <tableColumn id="12" xr3:uid="{00000000-0010-0000-0900-00000C000000}" name="Factor" dataDxfId="165">
      <calculatedColumnFormula>IF(tblCapturaSalidas[[#This Row],[Correo]]="","",-1)</calculatedColumnFormula>
    </tableColumn>
    <tableColumn id="13" xr3:uid="{00000000-0010-0000-0900-00000D000000}" name="Correo" dataDxfId="164">
      <calculatedColumnFormula>IFERROR(INDEX(tblUsuarios[Correo],MATCH(ROW()-ROW(tblCapturaSalidas[#Headers]),tblUsuarios[OrdenVentas],0)),"")</calculatedColumnFormula>
    </tableColumn>
    <tableColumn id="14" xr3:uid="{00000000-0010-0000-0900-00000E000000}" name="SKU" dataDxfId="163">
      <calculatedColumnFormula>IF(tblCapturaSalidas[[#This Row],[Producto]]="","",TRIM(LEFT(tblCapturaSalidas[[#This Row],[Producto]],FIND(" · ",tblCapturaSalidas[[#This Row],[Producto]]&amp;" · ")-1)))</calculatedColumnFormula>
    </tableColumn>
    <tableColumn id="15" xr3:uid="{00000000-0010-0000-0900-00000F000000}" name="Queda" dataDxfId="162">
      <calculatedColumnFormula>IF(OR(tblCapturaSalidas[[#This Row],[Disponible]]="",NOT(ISNUMBER(tblCapturaSalidas[[#This Row],[Cantidad]])),N(tblCapturaSalidas[[#This Row],[Factor]])=0),"",tblCapturaSalidas[[#This Row],[Disponible]]+tblCapturaSalidas[[#This Row],[Cantidad]]*tblCapturaSalidas[[#This Row],[Factor]])</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Salidas" displayName="tblSalidas" ref="B27:P28" totalsRowShown="0">
  <autoFilter ref="B27:P28" xr:uid="{00000000-0009-0000-0100-00000B000000}"/>
  <tableColumns count="15">
    <tableColumn id="1" xr3:uid="{00000000-0010-0000-0A00-000001000000}" name="ID"/>
    <tableColumn id="2" xr3:uid="{00000000-0010-0000-0A00-000002000000}" name="Tipo"/>
    <tableColumn id="3" xr3:uid="{00000000-0010-0000-0A00-000003000000}" name="Fecha"/>
    <tableColumn id="4" xr3:uid="{00000000-0010-0000-0A00-000004000000}" name="Producto"/>
    <tableColumn id="5" xr3:uid="{00000000-0010-0000-0A00-000005000000}" name="Cantidad"/>
    <tableColumn id="6" xr3:uid="{00000000-0010-0000-0A00-000006000000}" name="Documento"/>
    <tableColumn id="7" xr3:uid="{00000000-0010-0000-0A00-000007000000}" name="Observaciones"/>
    <tableColumn id="8" xr3:uid="{00000000-0010-0000-0A00-000008000000}" name="CantidadNeta"/>
    <tableColumn id="9" xr3:uid="{00000000-0010-0000-0A00-000009000000}" name="Estado"/>
    <tableColumn id="10" xr3:uid="{00000000-0010-0000-0A00-00000A000000}" name="Registró"/>
    <tableColumn id="11" xr3:uid="{00000000-0010-0000-0A00-00000B000000}" name="Unidad"/>
    <tableColumn id="12" xr3:uid="{00000000-0010-0000-0A00-00000C000000}" name="FactorStock"/>
    <tableColumn id="13" xr3:uid="{00000000-0010-0000-0A00-00000D000000}" name="Usuario_O365"/>
    <tableColumn id="14" xr3:uid="{00000000-0010-0000-0A00-00000E000000}" name="SKU"/>
    <tableColumn id="15" xr3:uid="{00000000-0010-0000-0A00-00000F000000}" name="Timestamp"/>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Stock" displayName="tblStock" ref="B7:R507" totalsRowShown="0">
  <autoFilter ref="B7:R507" xr:uid="{00000000-0009-0000-0100-00000C000000}"/>
  <tableColumns count="17">
    <tableColumn id="1" xr3:uid="{00000000-0010-0000-0B00-000001000000}" name="SKU"/>
    <tableColumn id="2" xr3:uid="{00000000-0010-0000-0B00-000002000000}" name="Producto"/>
    <tableColumn id="3" xr3:uid="{00000000-0010-0000-0B00-000003000000}" name="Categoría"/>
    <tableColumn id="4" xr3:uid="{00000000-0010-0000-0B00-000004000000}" name="Proveedor"/>
    <tableColumn id="5" xr3:uid="{00000000-0010-0000-0B00-000005000000}" name="Unidad"/>
    <tableColumn id="6" xr3:uid="{00000000-0010-0000-0B00-000006000000}" name="Activo"/>
    <tableColumn id="7" xr3:uid="{00000000-0010-0000-0B00-000007000000}" name="Entradas"/>
    <tableColumn id="8" xr3:uid="{00000000-0010-0000-0B00-000008000000}" name="Salidas"/>
    <tableColumn id="9" xr3:uid="{00000000-0010-0000-0B00-000009000000}" name="StockActual"/>
    <tableColumn id="10" xr3:uid="{00000000-0010-0000-0B00-00000A000000}" name="StockMin"/>
    <tableColumn id="11" xr3:uid="{00000000-0010-0000-0B00-00000B000000}" name="StockMax"/>
    <tableColumn id="12" xr3:uid="{00000000-0010-0000-0B00-00000C000000}" name="Nivel"/>
    <tableColumn id="13" xr3:uid="{00000000-0010-0000-0B00-00000D000000}" name="Estado"/>
    <tableColumn id="14" xr3:uid="{00000000-0010-0000-0B00-00000E000000}" name="CostoUnitario"/>
    <tableColumn id="15" xr3:uid="{00000000-0010-0000-0B00-00000F000000}" name="ValorInventario"/>
    <tableColumn id="16" xr3:uid="{00000000-0010-0000-0B00-000010000000}" name="UltimoMov"/>
    <tableColumn id="17" xr3:uid="{00000000-0010-0000-0B00-000011000000}" name="DiasSinMov"/>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Alertas" displayName="tblAlertas" ref="B7:O507" totalsRowShown="0">
  <autoFilter ref="B7:O507" xr:uid="{00000000-0009-0000-0100-00000D000000}"/>
  <tableColumns count="14">
    <tableColumn id="1" xr3:uid="{00000000-0010-0000-0C00-000001000000}" name="#"/>
    <tableColumn id="2" xr3:uid="{00000000-0010-0000-0C00-000002000000}" name="Estado"/>
    <tableColumn id="3" xr3:uid="{00000000-0010-0000-0C00-000003000000}" name="SKU"/>
    <tableColumn id="4" xr3:uid="{00000000-0010-0000-0C00-000004000000}" name="Producto"/>
    <tableColumn id="5" xr3:uid="{00000000-0010-0000-0C00-000005000000}" name="Categoría"/>
    <tableColumn id="6" xr3:uid="{00000000-0010-0000-0C00-000006000000}" name="Proveedor"/>
    <tableColumn id="7" xr3:uid="{00000000-0010-0000-0C00-000007000000}" name="Stock"/>
    <tableColumn id="8" xr3:uid="{00000000-0010-0000-0C00-000008000000}" name="Mínimo"/>
    <tableColumn id="9" xr3:uid="{00000000-0010-0000-0C00-000009000000}" name="Máximo"/>
    <tableColumn id="10" xr3:uid="{00000000-0010-0000-0C00-00000A000000}" name="Unidad"/>
    <tableColumn id="11" xr3:uid="{00000000-0010-0000-0C00-00000B000000}" name="Faltante"/>
    <tableColumn id="12" xr3:uid="{00000000-0010-0000-0C00-00000C000000}" name="SugeridoPedir"/>
    <tableColumn id="13" xr3:uid="{00000000-0010-0000-0C00-00000D000000}" name="AcciónSugerida"/>
    <tableColumn id="14" xr3:uid="{00000000-0010-0000-0C00-00000E000000}" name="UltimoMov"/>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D32"/>
  </sheetPr>
  <dimension ref="B1:M44"/>
  <sheetViews>
    <sheetView showGridLines="0" showRowColHeaders="0" tabSelected="1" workbookViewId="0">
      <selection activeCell="B12" sqref="B12:E13"/>
    </sheetView>
  </sheetViews>
  <sheetFormatPr baseColWidth="10" defaultColWidth="0" defaultRowHeight="15" zeroHeight="1" x14ac:dyDescent="0.25"/>
  <cols>
    <col min="1" max="1" width="3.42578125" customWidth="1"/>
    <col min="2" max="13" width="13.42578125" customWidth="1"/>
    <col min="14" max="14" width="3.42578125" customWidth="1"/>
    <col min="15" max="15" width="0" hidden="1" customWidth="1"/>
  </cols>
  <sheetData>
    <row r="1" spans="2:13" s="1" customFormat="1" ht="4.5" customHeight="1" x14ac:dyDescent="0.25"/>
    <row r="2" spans="2:13" s="1" customFormat="1" ht="22.5" customHeight="1" x14ac:dyDescent="0.25">
      <c r="B2" s="2" t="s">
        <v>275</v>
      </c>
      <c r="J2" s="79" t="str">
        <f ca="1">txtHoy</f>
        <v>Hoy · 25/09/2026</v>
      </c>
      <c r="K2" s="80"/>
      <c r="L2" s="80"/>
      <c r="M2" s="80"/>
    </row>
    <row r="3" spans="2:13" s="1" customFormat="1" ht="14.25" x14ac:dyDescent="0.25">
      <c r="B3" s="3" t="str">
        <f>txtEmpresa</f>
        <v>NOMBRE DE SU EMPRESA   ·   Bodega principal</v>
      </c>
      <c r="J3" s="81" t="s">
        <v>276</v>
      </c>
      <c r="K3" s="81"/>
      <c r="L3" s="81"/>
      <c r="M3" s="81"/>
    </row>
    <row r="4" spans="2:13" s="1" customFormat="1" ht="4.5" customHeight="1" x14ac:dyDescent="0.25"/>
    <row r="5" spans="2:13" s="4" customFormat="1" ht="21" customHeight="1" x14ac:dyDescent="0.25">
      <c r="B5" s="5" t="s">
        <v>82</v>
      </c>
      <c r="C5" s="6" t="s">
        <v>83</v>
      </c>
      <c r="D5" s="6" t="s">
        <v>84</v>
      </c>
      <c r="E5" s="6" t="s">
        <v>85</v>
      </c>
      <c r="F5" s="6" t="s">
        <v>86</v>
      </c>
      <c r="G5" s="6" t="s">
        <v>87</v>
      </c>
      <c r="H5" s="6" t="s">
        <v>88</v>
      </c>
      <c r="I5" s="6" t="s">
        <v>89</v>
      </c>
    </row>
    <row r="6" spans="2:13" s="7" customFormat="1" ht="7.5" customHeight="1" x14ac:dyDescent="0.25"/>
    <row r="7" spans="2:13" s="7" customFormat="1" ht="30" customHeight="1" x14ac:dyDescent="0.25">
      <c r="B7" s="82" t="str">
        <f>txtFrescura&amp;"      ·      "&amp;txtStockActualizado</f>
        <v>⚠ Pulse «Recalcular stock» para calcular el stock      ·      Stock aún no calculado</v>
      </c>
      <c r="C7" s="82"/>
      <c r="D7" s="82"/>
      <c r="E7" s="82"/>
      <c r="F7" s="82"/>
      <c r="G7" s="82"/>
      <c r="H7" s="82"/>
      <c r="I7" s="82"/>
      <c r="J7" s="83" t="s">
        <v>206</v>
      </c>
      <c r="K7" s="83"/>
      <c r="L7" s="83"/>
      <c r="M7" s="83"/>
    </row>
    <row r="8" spans="2:13" s="7" customFormat="1" ht="6" customHeight="1" x14ac:dyDescent="0.25"/>
    <row r="9" spans="2:13" s="7" customFormat="1" ht="25.5" customHeight="1" x14ac:dyDescent="0.25">
      <c r="B9" s="84" t="str">
        <f>txtPasoBodega</f>
        <v>① El administrador debe registrar los usuarios en 02_USUARIOS</v>
      </c>
      <c r="C9" s="84"/>
      <c r="D9" s="84"/>
      <c r="E9" s="84"/>
      <c r="F9" s="84"/>
      <c r="G9" s="84"/>
      <c r="H9" s="84"/>
      <c r="I9" s="84"/>
      <c r="J9" s="84"/>
      <c r="K9" s="84"/>
      <c r="L9" s="84"/>
      <c r="M9" s="84"/>
    </row>
    <row r="10" spans="2:13" s="7" customFormat="1" ht="7.5" customHeight="1" x14ac:dyDescent="0.25"/>
    <row r="11" spans="2:13" s="7" customFormat="1" ht="16.5" customHeight="1" x14ac:dyDescent="0.25">
      <c r="B11" s="7" t="s">
        <v>277</v>
      </c>
    </row>
    <row r="12" spans="2:13" s="7" customFormat="1" ht="27" customHeight="1" x14ac:dyDescent="0.25">
      <c r="B12" s="85" t="s">
        <v>278</v>
      </c>
      <c r="C12" s="85"/>
      <c r="D12" s="85"/>
      <c r="E12" s="85"/>
      <c r="F12" s="86" t="s">
        <v>279</v>
      </c>
      <c r="G12" s="86"/>
      <c r="H12" s="86"/>
      <c r="I12" s="86"/>
      <c r="J12" s="87" t="str">
        <f>HYPERLINK("#'16_ALERTAS'!A1",txtAlertasBtn)</f>
        <v>⚠  ALERTAS DE STOCK CRÍTICO (0)</v>
      </c>
      <c r="K12" s="87"/>
      <c r="L12" s="87"/>
      <c r="M12" s="87"/>
    </row>
    <row r="13" spans="2:13" s="7" customFormat="1" ht="27" customHeight="1" x14ac:dyDescent="0.25">
      <c r="B13" s="85"/>
      <c r="C13" s="85"/>
      <c r="D13" s="85"/>
      <c r="E13" s="85"/>
      <c r="F13" s="86"/>
      <c r="G13" s="86"/>
      <c r="H13" s="86"/>
      <c r="I13" s="86"/>
      <c r="J13" s="87"/>
      <c r="K13" s="87"/>
      <c r="L13" s="87"/>
      <c r="M13" s="87"/>
    </row>
    <row r="14" spans="2:13" s="7" customFormat="1" ht="9" customHeight="1" x14ac:dyDescent="0.25"/>
    <row r="15" spans="2:13" s="7" customFormat="1" ht="16.5" customHeight="1" x14ac:dyDescent="0.25">
      <c r="B15" s="7" t="s">
        <v>280</v>
      </c>
    </row>
    <row r="16" spans="2:13" s="7" customFormat="1" ht="14.25" x14ac:dyDescent="0.25">
      <c r="B16" s="88" t="s">
        <v>281</v>
      </c>
      <c r="C16" s="88"/>
      <c r="D16" s="88"/>
      <c r="E16" s="92" t="s">
        <v>282</v>
      </c>
      <c r="F16" s="92"/>
      <c r="G16" s="92"/>
      <c r="H16" s="94" t="s">
        <v>283</v>
      </c>
      <c r="I16" s="94"/>
      <c r="J16" s="94"/>
      <c r="K16" s="96" t="s">
        <v>284</v>
      </c>
      <c r="L16" s="96"/>
      <c r="M16" s="96"/>
    </row>
    <row r="17" spans="2:13" s="7" customFormat="1" ht="31.5" customHeight="1" x14ac:dyDescent="0.25">
      <c r="B17" s="89">
        <f ca="1">kpiEntradasHoy</f>
        <v>0</v>
      </c>
      <c r="C17" s="90"/>
      <c r="D17" s="90"/>
      <c r="E17" s="93">
        <f>kpiAgotados</f>
        <v>0</v>
      </c>
      <c r="F17" s="90"/>
      <c r="G17" s="90"/>
      <c r="H17" s="95">
        <f>kpiCriticos+kpiBajos</f>
        <v>0</v>
      </c>
      <c r="I17" s="90"/>
      <c r="J17" s="90"/>
      <c r="K17" s="97">
        <f>kpiValor</f>
        <v>0</v>
      </c>
      <c r="L17" s="90"/>
      <c r="M17" s="90"/>
    </row>
    <row r="18" spans="2:13" s="7" customFormat="1" ht="14.25" x14ac:dyDescent="0.25">
      <c r="B18" s="91" t="str">
        <f ca="1">"Ajustes del mes: "&amp;kpiAjustesMes</f>
        <v>Ajustes del mes: 0</v>
      </c>
      <c r="C18" s="90"/>
      <c r="D18" s="90"/>
      <c r="E18" s="91" t="str">
        <f>"sin stock en la instantánea"</f>
        <v>sin stock en la instantánea</v>
      </c>
      <c r="F18" s="90"/>
      <c r="G18" s="90"/>
      <c r="H18" s="91" t="str">
        <f>"en o cerca del mínimo"</f>
        <v>en o cerca del mínimo</v>
      </c>
      <c r="I18" s="90"/>
      <c r="J18" s="90"/>
      <c r="K18" s="91" t="str">
        <f>"a costo unitario de catálogo"</f>
        <v>a costo unitario de catálogo</v>
      </c>
      <c r="L18" s="90"/>
      <c r="M18" s="90"/>
    </row>
    <row r="19" spans="2:13" s="7" customFormat="1" ht="9" customHeight="1" x14ac:dyDescent="0.25"/>
    <row r="20" spans="2:13" s="7" customFormat="1" ht="16.5" customHeight="1" x14ac:dyDescent="0.25">
      <c r="B20" s="7" t="s">
        <v>285</v>
      </c>
    </row>
    <row r="21" spans="2:13" s="7" customFormat="1" ht="18" customHeight="1" x14ac:dyDescent="0.25">
      <c r="B21" s="8" t="s">
        <v>56</v>
      </c>
      <c r="C21" s="98" t="s">
        <v>112</v>
      </c>
      <c r="D21" s="98"/>
      <c r="E21" s="98"/>
      <c r="F21" s="98"/>
      <c r="G21" s="8" t="s">
        <v>210</v>
      </c>
      <c r="H21" s="8" t="s">
        <v>211</v>
      </c>
      <c r="I21" s="8" t="s">
        <v>286</v>
      </c>
    </row>
    <row r="22" spans="2:13" s="7" customFormat="1" ht="16.5" customHeight="1" x14ac:dyDescent="0.25">
      <c r="B22" s="9" t="str">
        <f>IF(INDEX(tblAlertas[Estado],1)&lt;&gt;"",INDEX(tblAlertas[Estado],1),"")</f>
        <v/>
      </c>
      <c r="C22" s="99" t="str">
        <f>IF(INDEX(tblAlertas[Estado],1)&lt;&gt;"",INDEX(tblAlertas[SKU],1)&amp;" · "&amp;INDEX(tblAlertas[Producto],1),"")</f>
        <v/>
      </c>
      <c r="D22" s="99"/>
      <c r="E22" s="99"/>
      <c r="F22" s="99"/>
      <c r="G22" s="10" t="str">
        <f>IF(INDEX(tblAlertas[Estado],1)&lt;&gt;"",INDEX(tblAlertas[Stock],1),"")</f>
        <v/>
      </c>
      <c r="H22" s="10" t="str">
        <f>IF(INDEX(tblAlertas[Estado],1)&lt;&gt;"",INDEX(tblAlertas[Mínimo],1),"")</f>
        <v/>
      </c>
      <c r="I22" s="10" t="str">
        <f>IF(INDEX(tblAlertas[Estado],1)&lt;&gt;"",INDEX(tblAlertas[SugeridoPedir],1),"")</f>
        <v/>
      </c>
    </row>
    <row r="23" spans="2:13" s="7" customFormat="1" ht="16.5" customHeight="1" x14ac:dyDescent="0.25">
      <c r="B23" s="9" t="str">
        <f>IF(INDEX(tblAlertas[Estado],2)&lt;&gt;"",INDEX(tblAlertas[Estado],2),"")</f>
        <v/>
      </c>
      <c r="C23" s="99" t="str">
        <f>IF(INDEX(tblAlertas[Estado],2)&lt;&gt;"",INDEX(tblAlertas[SKU],2)&amp;" · "&amp;INDEX(tblAlertas[Producto],2),"")</f>
        <v/>
      </c>
      <c r="D23" s="99"/>
      <c r="E23" s="99"/>
      <c r="F23" s="99"/>
      <c r="G23" s="10" t="str">
        <f>IF(INDEX(tblAlertas[Estado],2)&lt;&gt;"",INDEX(tblAlertas[Stock],2),"")</f>
        <v/>
      </c>
      <c r="H23" s="10" t="str">
        <f>IF(INDEX(tblAlertas[Estado],2)&lt;&gt;"",INDEX(tblAlertas[Mínimo],2),"")</f>
        <v/>
      </c>
      <c r="I23" s="10" t="str">
        <f>IF(INDEX(tblAlertas[Estado],2)&lt;&gt;"",INDEX(tblAlertas[SugeridoPedir],2),"")</f>
        <v/>
      </c>
    </row>
    <row r="24" spans="2:13" s="7" customFormat="1" ht="16.5" customHeight="1" x14ac:dyDescent="0.25">
      <c r="B24" s="9" t="str">
        <f>IF(INDEX(tblAlertas[Estado],3)&lt;&gt;"",INDEX(tblAlertas[Estado],3),"")</f>
        <v/>
      </c>
      <c r="C24" s="99" t="str">
        <f>IF(INDEX(tblAlertas[Estado],3)&lt;&gt;"",INDEX(tblAlertas[SKU],3)&amp;" · "&amp;INDEX(tblAlertas[Producto],3),"")</f>
        <v/>
      </c>
      <c r="D24" s="99"/>
      <c r="E24" s="99"/>
      <c r="F24" s="99"/>
      <c r="G24" s="10" t="str">
        <f>IF(INDEX(tblAlertas[Estado],3)&lt;&gt;"",INDEX(tblAlertas[Stock],3),"")</f>
        <v/>
      </c>
      <c r="H24" s="10" t="str">
        <f>IF(INDEX(tblAlertas[Estado],3)&lt;&gt;"",INDEX(tblAlertas[Mínimo],3),"")</f>
        <v/>
      </c>
      <c r="I24" s="10" t="str">
        <f>IF(INDEX(tblAlertas[Estado],3)&lt;&gt;"",INDEX(tblAlertas[SugeridoPedir],3),"")</f>
        <v/>
      </c>
    </row>
    <row r="25" spans="2:13" s="7" customFormat="1" ht="16.5" customHeight="1" x14ac:dyDescent="0.25">
      <c r="B25" s="9" t="str">
        <f>IF(INDEX(tblAlertas[Estado],4)&lt;&gt;"",INDEX(tblAlertas[Estado],4),"")</f>
        <v/>
      </c>
      <c r="C25" s="99" t="str">
        <f>IF(INDEX(tblAlertas[Estado],4)&lt;&gt;"",INDEX(tblAlertas[SKU],4)&amp;" · "&amp;INDEX(tblAlertas[Producto],4),"")</f>
        <v/>
      </c>
      <c r="D25" s="99"/>
      <c r="E25" s="99"/>
      <c r="F25" s="99"/>
      <c r="G25" s="10" t="str">
        <f>IF(INDEX(tblAlertas[Estado],4)&lt;&gt;"",INDEX(tblAlertas[Stock],4),"")</f>
        <v/>
      </c>
      <c r="H25" s="10" t="str">
        <f>IF(INDEX(tblAlertas[Estado],4)&lt;&gt;"",INDEX(tblAlertas[Mínimo],4),"")</f>
        <v/>
      </c>
      <c r="I25" s="10" t="str">
        <f>IF(INDEX(tblAlertas[Estado],4)&lt;&gt;"",INDEX(tblAlertas[SugeridoPedir],4),"")</f>
        <v/>
      </c>
    </row>
    <row r="26" spans="2:13" s="7" customFormat="1" ht="16.5" customHeight="1" x14ac:dyDescent="0.25">
      <c r="B26" s="9" t="str">
        <f>IF(INDEX(tblAlertas[Estado],5)&lt;&gt;"",INDEX(tblAlertas[Estado],5),"")</f>
        <v/>
      </c>
      <c r="C26" s="99" t="str">
        <f>IF(INDEX(tblAlertas[Estado],5)&lt;&gt;"",INDEX(tblAlertas[SKU],5)&amp;" · "&amp;INDEX(tblAlertas[Producto],5),"")</f>
        <v/>
      </c>
      <c r="D26" s="99"/>
      <c r="E26" s="99"/>
      <c r="F26" s="99"/>
      <c r="G26" s="10" t="str">
        <f>IF(INDEX(tblAlertas[Estado],5)&lt;&gt;"",INDEX(tblAlertas[Stock],5),"")</f>
        <v/>
      </c>
      <c r="H26" s="10" t="str">
        <f>IF(INDEX(tblAlertas[Estado],5)&lt;&gt;"",INDEX(tblAlertas[Mínimo],5),"")</f>
        <v/>
      </c>
      <c r="I26" s="10" t="str">
        <f>IF(INDEX(tblAlertas[Estado],5)&lt;&gt;"",INDEX(tblAlertas[SugeridoPedir],5),"")</f>
        <v/>
      </c>
    </row>
    <row r="27" spans="2:13" s="7" customFormat="1" ht="16.5" customHeight="1" x14ac:dyDescent="0.25">
      <c r="B27" s="9" t="str">
        <f>IF(INDEX(tblAlertas[Estado],6)&lt;&gt;"",INDEX(tblAlertas[Estado],6),"")</f>
        <v/>
      </c>
      <c r="C27" s="99" t="str">
        <f>IF(INDEX(tblAlertas[Estado],6)&lt;&gt;"",INDEX(tblAlertas[SKU],6)&amp;" · "&amp;INDEX(tblAlertas[Producto],6),"")</f>
        <v/>
      </c>
      <c r="D27" s="99"/>
      <c r="E27" s="99"/>
      <c r="F27" s="99"/>
      <c r="G27" s="10" t="str">
        <f>IF(INDEX(tblAlertas[Estado],6)&lt;&gt;"",INDEX(tblAlertas[Stock],6),"")</f>
        <v/>
      </c>
      <c r="H27" s="10" t="str">
        <f>IF(INDEX(tblAlertas[Estado],6)&lt;&gt;"",INDEX(tblAlertas[Mínimo],6),"")</f>
        <v/>
      </c>
      <c r="I27" s="10" t="str">
        <f>IF(INDEX(tblAlertas[Estado],6)&lt;&gt;"",INDEX(tblAlertas[SugeridoPedir],6),"")</f>
        <v/>
      </c>
    </row>
    <row r="28" spans="2:13" s="7" customFormat="1" ht="16.5" customHeight="1" x14ac:dyDescent="0.25">
      <c r="B28" s="9" t="str">
        <f>IF(INDEX(tblAlertas[Estado],7)&lt;&gt;"",INDEX(tblAlertas[Estado],7),"")</f>
        <v/>
      </c>
      <c r="C28" s="99" t="str">
        <f>IF(INDEX(tblAlertas[Estado],7)&lt;&gt;"",INDEX(tblAlertas[SKU],7)&amp;" · "&amp;INDEX(tblAlertas[Producto],7),"")</f>
        <v/>
      </c>
      <c r="D28" s="99"/>
      <c r="E28" s="99"/>
      <c r="F28" s="99"/>
      <c r="G28" s="10" t="str">
        <f>IF(INDEX(tblAlertas[Estado],7)&lt;&gt;"",INDEX(tblAlertas[Stock],7),"")</f>
        <v/>
      </c>
      <c r="H28" s="10" t="str">
        <f>IF(INDEX(tblAlertas[Estado],7)&lt;&gt;"",INDEX(tblAlertas[Mínimo],7),"")</f>
        <v/>
      </c>
      <c r="I28" s="10" t="str">
        <f>IF(INDEX(tblAlertas[Estado],7)&lt;&gt;"",INDEX(tblAlertas[SugeridoPedir],7),"")</f>
        <v/>
      </c>
    </row>
    <row r="29" spans="2:13" s="7" customFormat="1" ht="16.5" customHeight="1" x14ac:dyDescent="0.25">
      <c r="B29" s="9" t="str">
        <f>IF(INDEX(tblAlertas[Estado],8)&lt;&gt;"",INDEX(tblAlertas[Estado],8),"")</f>
        <v/>
      </c>
      <c r="C29" s="99" t="str">
        <f>IF(INDEX(tblAlertas[Estado],8)&lt;&gt;"",INDEX(tblAlertas[SKU],8)&amp;" · "&amp;INDEX(tblAlertas[Producto],8),"")</f>
        <v/>
      </c>
      <c r="D29" s="99"/>
      <c r="E29" s="99"/>
      <c r="F29" s="99"/>
      <c r="G29" s="10" t="str">
        <f>IF(INDEX(tblAlertas[Estado],8)&lt;&gt;"",INDEX(tblAlertas[Stock],8),"")</f>
        <v/>
      </c>
      <c r="H29" s="10" t="str">
        <f>IF(INDEX(tblAlertas[Estado],8)&lt;&gt;"",INDEX(tblAlertas[Mínimo],8),"")</f>
        <v/>
      </c>
      <c r="I29" s="10" t="str">
        <f>IF(INDEX(tblAlertas[Estado],8)&lt;&gt;"",INDEX(tblAlertas[SugeridoPedir],8),"")</f>
        <v/>
      </c>
    </row>
    <row r="30" spans="2:13" s="7" customFormat="1" ht="16.5" customHeight="1" x14ac:dyDescent="0.25">
      <c r="B30" s="9" t="str">
        <f>IF(INDEX(tblAlertas[Estado],9)&lt;&gt;"",INDEX(tblAlertas[Estado],9),"")</f>
        <v/>
      </c>
      <c r="C30" s="99" t="str">
        <f>IF(INDEX(tblAlertas[Estado],9)&lt;&gt;"",INDEX(tblAlertas[SKU],9)&amp;" · "&amp;INDEX(tblAlertas[Producto],9),"")</f>
        <v/>
      </c>
      <c r="D30" s="99"/>
      <c r="E30" s="99"/>
      <c r="F30" s="99"/>
      <c r="G30" s="10" t="str">
        <f>IF(INDEX(tblAlertas[Estado],9)&lt;&gt;"",INDEX(tblAlertas[Stock],9),"")</f>
        <v/>
      </c>
      <c r="H30" s="10" t="str">
        <f>IF(INDEX(tblAlertas[Estado],9)&lt;&gt;"",INDEX(tblAlertas[Mínimo],9),"")</f>
        <v/>
      </c>
      <c r="I30" s="10" t="str">
        <f>IF(INDEX(tblAlertas[Estado],9)&lt;&gt;"",INDEX(tblAlertas[SugeridoPedir],9),"")</f>
        <v/>
      </c>
    </row>
    <row r="31" spans="2:13" s="7" customFormat="1" ht="16.5" customHeight="1" x14ac:dyDescent="0.25">
      <c r="B31" s="9" t="str">
        <f>IF(INDEX(tblAlertas[Estado],10)&lt;&gt;"",INDEX(tblAlertas[Estado],10),"")</f>
        <v/>
      </c>
      <c r="C31" s="99" t="str">
        <f>IF(INDEX(tblAlertas[Estado],10)&lt;&gt;"",INDEX(tblAlertas[SKU],10)&amp;" · "&amp;INDEX(tblAlertas[Producto],10),"")</f>
        <v/>
      </c>
      <c r="D31" s="99"/>
      <c r="E31" s="99"/>
      <c r="F31" s="99"/>
      <c r="G31" s="10" t="str">
        <f>IF(INDEX(tblAlertas[Estado],10)&lt;&gt;"",INDEX(tblAlertas[Stock],10),"")</f>
        <v/>
      </c>
      <c r="H31" s="10" t="str">
        <f>IF(INDEX(tblAlertas[Estado],10)&lt;&gt;"",INDEX(tblAlertas[Mínimo],10),"")</f>
        <v/>
      </c>
      <c r="I31" s="10" t="str">
        <f>IF(INDEX(tblAlertas[Estado],10)&lt;&gt;"",INDEX(tblAlertas[SugeridoPedir],10),"")</f>
        <v/>
      </c>
    </row>
    <row r="32" spans="2:13" s="7" customFormat="1" ht="9" customHeight="1" x14ac:dyDescent="0.25"/>
    <row r="33" spans="2:13" s="7" customFormat="1" ht="16.5" customHeight="1" x14ac:dyDescent="0.25">
      <c r="B33" s="7" t="s">
        <v>287</v>
      </c>
    </row>
    <row r="34" spans="2:13" s="7" customFormat="1" ht="18" customHeight="1" x14ac:dyDescent="0.25">
      <c r="B34" s="8" t="s">
        <v>177</v>
      </c>
      <c r="C34" s="8" t="s">
        <v>40</v>
      </c>
      <c r="D34" s="98" t="s">
        <v>112</v>
      </c>
      <c r="E34" s="98"/>
      <c r="F34" s="98"/>
      <c r="G34" s="98"/>
      <c r="H34" s="8" t="s">
        <v>178</v>
      </c>
      <c r="I34" s="98" t="s">
        <v>189</v>
      </c>
      <c r="J34" s="98"/>
      <c r="K34" s="98" t="s">
        <v>56</v>
      </c>
      <c r="L34" s="98"/>
      <c r="M34" s="8" t="s">
        <v>179</v>
      </c>
    </row>
    <row r="35" spans="2:13" s="7" customFormat="1" ht="16.5" customHeight="1" x14ac:dyDescent="0.25">
      <c r="B35" s="11" t="str">
        <f>IFERROR(IF(INDEX(tblEntradas[ID],ROWS(tblEntradas[ID])-0)="","",INDEX(tblEntradas[Fecha],ROWS(tblEntradas[ID])-0)),"")</f>
        <v/>
      </c>
      <c r="C35" s="12" t="str">
        <f>IFERROR(IF(INDEX(tblEntradas[ID],ROWS(tblEntradas[ID])-0)="","",INDEX(tblEntradas[Tipo],ROWS(tblEntradas[ID])-0)&amp;""),"")</f>
        <v/>
      </c>
      <c r="D35" s="99" t="str">
        <f>IFERROR(IF(INDEX(tblEntradas[ID],ROWS(tblEntradas[ID])-0)="","",INDEX(tblEntradas[Producto],ROWS(tblEntradas[ID])-0)&amp;""),"")</f>
        <v/>
      </c>
      <c r="E35" s="99"/>
      <c r="F35" s="99"/>
      <c r="G35" s="99"/>
      <c r="H35" s="10" t="str">
        <f>IFERROR(IF(INDEX(tblEntradas[ID],ROWS(tblEntradas[ID])-0)="","",INDEX(tblEntradas[Cantidad],ROWS(tblEntradas[ID])-0)),"")</f>
        <v/>
      </c>
      <c r="I35" s="99" t="str">
        <f>IFERROR(IF(INDEX(tblEntradas[ID],ROWS(tblEntradas[ID])-0)="","",INDEX(tblEntradas[Registró],ROWS(tblEntradas[ID])-0)&amp;""),"")</f>
        <v/>
      </c>
      <c r="J35" s="99"/>
      <c r="K35" s="99" t="str">
        <f>IFERROR(IF(INDEX(tblEntradas[ID],ROWS(tblEntradas[ID])-0)="","",INDEX(tblEntradas[Estado],ROWS(tblEntradas[ID])-0)&amp;""),"")</f>
        <v/>
      </c>
      <c r="L35" s="99"/>
      <c r="M35" s="9" t="str">
        <f>IFERROR(IF(INDEX(tblEntradas[ID],ROWS(tblEntradas[ID])-0)="","",INDEX(tblEntradas[Documento],ROWS(tblEntradas[ID])-0)&amp;""),"")</f>
        <v/>
      </c>
    </row>
    <row r="36" spans="2:13" s="7" customFormat="1" ht="16.5" customHeight="1" x14ac:dyDescent="0.25">
      <c r="B36" s="11" t="str">
        <f>IFERROR(IF(INDEX(tblEntradas[ID],ROWS(tblEntradas[ID])-1)="","",INDEX(tblEntradas[Fecha],ROWS(tblEntradas[ID])-1)),"")</f>
        <v/>
      </c>
      <c r="C36" s="12" t="str">
        <f>IFERROR(IF(INDEX(tblEntradas[ID],ROWS(tblEntradas[ID])-1)="","",INDEX(tblEntradas[Tipo],ROWS(tblEntradas[ID])-1)&amp;""),"")</f>
        <v/>
      </c>
      <c r="D36" s="99" t="str">
        <f>IFERROR(IF(INDEX(tblEntradas[ID],ROWS(tblEntradas[ID])-1)="","",INDEX(tblEntradas[Producto],ROWS(tblEntradas[ID])-1)&amp;""),"")</f>
        <v/>
      </c>
      <c r="E36" s="99"/>
      <c r="F36" s="99"/>
      <c r="G36" s="99"/>
      <c r="H36" s="10" t="str">
        <f>IFERROR(IF(INDEX(tblEntradas[ID],ROWS(tblEntradas[ID])-1)="","",INDEX(tblEntradas[Cantidad],ROWS(tblEntradas[ID])-1)),"")</f>
        <v/>
      </c>
      <c r="I36" s="99" t="str">
        <f>IFERROR(IF(INDEX(tblEntradas[ID],ROWS(tblEntradas[ID])-1)="","",INDEX(tblEntradas[Registró],ROWS(tblEntradas[ID])-1)&amp;""),"")</f>
        <v/>
      </c>
      <c r="J36" s="99"/>
      <c r="K36" s="99" t="str">
        <f>IFERROR(IF(INDEX(tblEntradas[ID],ROWS(tblEntradas[ID])-1)="","",INDEX(tblEntradas[Estado],ROWS(tblEntradas[ID])-1)&amp;""),"")</f>
        <v/>
      </c>
      <c r="L36" s="99"/>
      <c r="M36" s="9" t="str">
        <f>IFERROR(IF(INDEX(tblEntradas[ID],ROWS(tblEntradas[ID])-1)="","",INDEX(tblEntradas[Documento],ROWS(tblEntradas[ID])-1)&amp;""),"")</f>
        <v/>
      </c>
    </row>
    <row r="37" spans="2:13" s="7" customFormat="1" ht="16.5" customHeight="1" x14ac:dyDescent="0.25">
      <c r="B37" s="11" t="str">
        <f>IFERROR(IF(INDEX(tblEntradas[ID],ROWS(tblEntradas[ID])-2)="","",INDEX(tblEntradas[Fecha],ROWS(tblEntradas[ID])-2)),"")</f>
        <v/>
      </c>
      <c r="C37" s="12" t="str">
        <f>IFERROR(IF(INDEX(tblEntradas[ID],ROWS(tblEntradas[ID])-2)="","",INDEX(tblEntradas[Tipo],ROWS(tblEntradas[ID])-2)&amp;""),"")</f>
        <v/>
      </c>
      <c r="D37" s="99" t="str">
        <f>IFERROR(IF(INDEX(tblEntradas[ID],ROWS(tblEntradas[ID])-2)="","",INDEX(tblEntradas[Producto],ROWS(tblEntradas[ID])-2)&amp;""),"")</f>
        <v/>
      </c>
      <c r="E37" s="99"/>
      <c r="F37" s="99"/>
      <c r="G37" s="99"/>
      <c r="H37" s="10" t="str">
        <f>IFERROR(IF(INDEX(tblEntradas[ID],ROWS(tblEntradas[ID])-2)="","",INDEX(tblEntradas[Cantidad],ROWS(tblEntradas[ID])-2)),"")</f>
        <v/>
      </c>
      <c r="I37" s="99" t="str">
        <f>IFERROR(IF(INDEX(tblEntradas[ID],ROWS(tblEntradas[ID])-2)="","",INDEX(tblEntradas[Registró],ROWS(tblEntradas[ID])-2)&amp;""),"")</f>
        <v/>
      </c>
      <c r="J37" s="99"/>
      <c r="K37" s="99" t="str">
        <f>IFERROR(IF(INDEX(tblEntradas[ID],ROWS(tblEntradas[ID])-2)="","",INDEX(tblEntradas[Estado],ROWS(tblEntradas[ID])-2)&amp;""),"")</f>
        <v/>
      </c>
      <c r="L37" s="99"/>
      <c r="M37" s="9" t="str">
        <f>IFERROR(IF(INDEX(tblEntradas[ID],ROWS(tblEntradas[ID])-2)="","",INDEX(tblEntradas[Documento],ROWS(tblEntradas[ID])-2)&amp;""),"")</f>
        <v/>
      </c>
    </row>
    <row r="38" spans="2:13" s="7" customFormat="1" ht="16.5" customHeight="1" x14ac:dyDescent="0.25">
      <c r="B38" s="11" t="str">
        <f>IFERROR(IF(INDEX(tblEntradas[ID],ROWS(tblEntradas[ID])-3)="","",INDEX(tblEntradas[Fecha],ROWS(tblEntradas[ID])-3)),"")</f>
        <v/>
      </c>
      <c r="C38" s="12" t="str">
        <f>IFERROR(IF(INDEX(tblEntradas[ID],ROWS(tblEntradas[ID])-3)="","",INDEX(tblEntradas[Tipo],ROWS(tblEntradas[ID])-3)&amp;""),"")</f>
        <v/>
      </c>
      <c r="D38" s="99" t="str">
        <f>IFERROR(IF(INDEX(tblEntradas[ID],ROWS(tblEntradas[ID])-3)="","",INDEX(tblEntradas[Producto],ROWS(tblEntradas[ID])-3)&amp;""),"")</f>
        <v/>
      </c>
      <c r="E38" s="99"/>
      <c r="F38" s="99"/>
      <c r="G38" s="99"/>
      <c r="H38" s="10" t="str">
        <f>IFERROR(IF(INDEX(tblEntradas[ID],ROWS(tblEntradas[ID])-3)="","",INDEX(tblEntradas[Cantidad],ROWS(tblEntradas[ID])-3)),"")</f>
        <v/>
      </c>
      <c r="I38" s="99" t="str">
        <f>IFERROR(IF(INDEX(tblEntradas[ID],ROWS(tblEntradas[ID])-3)="","",INDEX(tblEntradas[Registró],ROWS(tblEntradas[ID])-3)&amp;""),"")</f>
        <v/>
      </c>
      <c r="J38" s="99"/>
      <c r="K38" s="99" t="str">
        <f>IFERROR(IF(INDEX(tblEntradas[ID],ROWS(tblEntradas[ID])-3)="","",INDEX(tblEntradas[Estado],ROWS(tblEntradas[ID])-3)&amp;""),"")</f>
        <v/>
      </c>
      <c r="L38" s="99"/>
      <c r="M38" s="9" t="str">
        <f>IFERROR(IF(INDEX(tblEntradas[ID],ROWS(tblEntradas[ID])-3)="","",INDEX(tblEntradas[Documento],ROWS(tblEntradas[ID])-3)&amp;""),"")</f>
        <v/>
      </c>
    </row>
    <row r="39" spans="2:13" s="7" customFormat="1" ht="16.5" customHeight="1" x14ac:dyDescent="0.25">
      <c r="B39" s="11" t="str">
        <f>IFERROR(IF(INDEX(tblEntradas[ID],ROWS(tblEntradas[ID])-4)="","",INDEX(tblEntradas[Fecha],ROWS(tblEntradas[ID])-4)),"")</f>
        <v/>
      </c>
      <c r="C39" s="12" t="str">
        <f>IFERROR(IF(INDEX(tblEntradas[ID],ROWS(tblEntradas[ID])-4)="","",INDEX(tblEntradas[Tipo],ROWS(tblEntradas[ID])-4)&amp;""),"")</f>
        <v/>
      </c>
      <c r="D39" s="99" t="str">
        <f>IFERROR(IF(INDEX(tblEntradas[ID],ROWS(tblEntradas[ID])-4)="","",INDEX(tblEntradas[Producto],ROWS(tblEntradas[ID])-4)&amp;""),"")</f>
        <v/>
      </c>
      <c r="E39" s="99"/>
      <c r="F39" s="99"/>
      <c r="G39" s="99"/>
      <c r="H39" s="10" t="str">
        <f>IFERROR(IF(INDEX(tblEntradas[ID],ROWS(tblEntradas[ID])-4)="","",INDEX(tblEntradas[Cantidad],ROWS(tblEntradas[ID])-4)),"")</f>
        <v/>
      </c>
      <c r="I39" s="99" t="str">
        <f>IFERROR(IF(INDEX(tblEntradas[ID],ROWS(tblEntradas[ID])-4)="","",INDEX(tblEntradas[Registró],ROWS(tblEntradas[ID])-4)&amp;""),"")</f>
        <v/>
      </c>
      <c r="J39" s="99"/>
      <c r="K39" s="99" t="str">
        <f>IFERROR(IF(INDEX(tblEntradas[ID],ROWS(tblEntradas[ID])-4)="","",INDEX(tblEntradas[Estado],ROWS(tblEntradas[ID])-4)&amp;""),"")</f>
        <v/>
      </c>
      <c r="L39" s="99"/>
      <c r="M39" s="9" t="str">
        <f>IFERROR(IF(INDEX(tblEntradas[ID],ROWS(tblEntradas[ID])-4)="","",INDEX(tblEntradas[Documento],ROWS(tblEntradas[ID])-4)&amp;""),"")</f>
        <v/>
      </c>
    </row>
    <row r="40" spans="2:13" s="7" customFormat="1" ht="16.5" customHeight="1" x14ac:dyDescent="0.25">
      <c r="B40" s="11" t="str">
        <f>IFERROR(IF(INDEX(tblEntradas[ID],ROWS(tblEntradas[ID])-5)="","",INDEX(tblEntradas[Fecha],ROWS(tblEntradas[ID])-5)),"")</f>
        <v/>
      </c>
      <c r="C40" s="12" t="str">
        <f>IFERROR(IF(INDEX(tblEntradas[ID],ROWS(tblEntradas[ID])-5)="","",INDEX(tblEntradas[Tipo],ROWS(tblEntradas[ID])-5)&amp;""),"")</f>
        <v/>
      </c>
      <c r="D40" s="99" t="str">
        <f>IFERROR(IF(INDEX(tblEntradas[ID],ROWS(tblEntradas[ID])-5)="","",INDEX(tblEntradas[Producto],ROWS(tblEntradas[ID])-5)&amp;""),"")</f>
        <v/>
      </c>
      <c r="E40" s="99"/>
      <c r="F40" s="99"/>
      <c r="G40" s="99"/>
      <c r="H40" s="10" t="str">
        <f>IFERROR(IF(INDEX(tblEntradas[ID],ROWS(tblEntradas[ID])-5)="","",INDEX(tblEntradas[Cantidad],ROWS(tblEntradas[ID])-5)),"")</f>
        <v/>
      </c>
      <c r="I40" s="99" t="str">
        <f>IFERROR(IF(INDEX(tblEntradas[ID],ROWS(tblEntradas[ID])-5)="","",INDEX(tblEntradas[Registró],ROWS(tblEntradas[ID])-5)&amp;""),"")</f>
        <v/>
      </c>
      <c r="J40" s="99"/>
      <c r="K40" s="99" t="str">
        <f>IFERROR(IF(INDEX(tblEntradas[ID],ROWS(tblEntradas[ID])-5)="","",INDEX(tblEntradas[Estado],ROWS(tblEntradas[ID])-5)&amp;""),"")</f>
        <v/>
      </c>
      <c r="L40" s="99"/>
      <c r="M40" s="9" t="str">
        <f>IFERROR(IF(INDEX(tblEntradas[ID],ROWS(tblEntradas[ID])-5)="","",INDEX(tblEntradas[Documento],ROWS(tblEntradas[ID])-5)&amp;""),"")</f>
        <v/>
      </c>
    </row>
    <row r="41" spans="2:13" s="7" customFormat="1" ht="16.5" customHeight="1" x14ac:dyDescent="0.25">
      <c r="B41" s="11" t="str">
        <f>IFERROR(IF(INDEX(tblEntradas[ID],ROWS(tblEntradas[ID])-6)="","",INDEX(tblEntradas[Fecha],ROWS(tblEntradas[ID])-6)),"")</f>
        <v/>
      </c>
      <c r="C41" s="12" t="str">
        <f>IFERROR(IF(INDEX(tblEntradas[ID],ROWS(tblEntradas[ID])-6)="","",INDEX(tblEntradas[Tipo],ROWS(tblEntradas[ID])-6)&amp;""),"")</f>
        <v/>
      </c>
      <c r="D41" s="99" t="str">
        <f>IFERROR(IF(INDEX(tblEntradas[ID],ROWS(tblEntradas[ID])-6)="","",INDEX(tblEntradas[Producto],ROWS(tblEntradas[ID])-6)&amp;""),"")</f>
        <v/>
      </c>
      <c r="E41" s="99"/>
      <c r="F41" s="99"/>
      <c r="G41" s="99"/>
      <c r="H41" s="10" t="str">
        <f>IFERROR(IF(INDEX(tblEntradas[ID],ROWS(tblEntradas[ID])-6)="","",INDEX(tblEntradas[Cantidad],ROWS(tblEntradas[ID])-6)),"")</f>
        <v/>
      </c>
      <c r="I41" s="99" t="str">
        <f>IFERROR(IF(INDEX(tblEntradas[ID],ROWS(tblEntradas[ID])-6)="","",INDEX(tblEntradas[Registró],ROWS(tblEntradas[ID])-6)&amp;""),"")</f>
        <v/>
      </c>
      <c r="J41" s="99"/>
      <c r="K41" s="99" t="str">
        <f>IFERROR(IF(INDEX(tblEntradas[ID],ROWS(tblEntradas[ID])-6)="","",INDEX(tblEntradas[Estado],ROWS(tblEntradas[ID])-6)&amp;""),"")</f>
        <v/>
      </c>
      <c r="L41" s="99"/>
      <c r="M41" s="9" t="str">
        <f>IFERROR(IF(INDEX(tblEntradas[ID],ROWS(tblEntradas[ID])-6)="","",INDEX(tblEntradas[Documento],ROWS(tblEntradas[ID])-6)&amp;""),"")</f>
        <v/>
      </c>
    </row>
    <row r="42" spans="2:13" s="7" customFormat="1" ht="16.5" customHeight="1" x14ac:dyDescent="0.25">
      <c r="B42" s="11" t="str">
        <f>IFERROR(IF(INDEX(tblEntradas[ID],ROWS(tblEntradas[ID])-7)="","",INDEX(tblEntradas[Fecha],ROWS(tblEntradas[ID])-7)),"")</f>
        <v/>
      </c>
      <c r="C42" s="12" t="str">
        <f>IFERROR(IF(INDEX(tblEntradas[ID],ROWS(tblEntradas[ID])-7)="","",INDEX(tblEntradas[Tipo],ROWS(tblEntradas[ID])-7)&amp;""),"")</f>
        <v/>
      </c>
      <c r="D42" s="99" t="str">
        <f>IFERROR(IF(INDEX(tblEntradas[ID],ROWS(tblEntradas[ID])-7)="","",INDEX(tblEntradas[Producto],ROWS(tblEntradas[ID])-7)&amp;""),"")</f>
        <v/>
      </c>
      <c r="E42" s="99"/>
      <c r="F42" s="99"/>
      <c r="G42" s="99"/>
      <c r="H42" s="10" t="str">
        <f>IFERROR(IF(INDEX(tblEntradas[ID],ROWS(tblEntradas[ID])-7)="","",INDEX(tblEntradas[Cantidad],ROWS(tblEntradas[ID])-7)),"")</f>
        <v/>
      </c>
      <c r="I42" s="99" t="str">
        <f>IFERROR(IF(INDEX(tblEntradas[ID],ROWS(tblEntradas[ID])-7)="","",INDEX(tblEntradas[Registró],ROWS(tblEntradas[ID])-7)&amp;""),"")</f>
        <v/>
      </c>
      <c r="J42" s="99"/>
      <c r="K42" s="99" t="str">
        <f>IFERROR(IF(INDEX(tblEntradas[ID],ROWS(tblEntradas[ID])-7)="","",INDEX(tblEntradas[Estado],ROWS(tblEntradas[ID])-7)&amp;""),"")</f>
        <v/>
      </c>
      <c r="L42" s="99"/>
      <c r="M42" s="9" t="str">
        <f>IFERROR(IF(INDEX(tblEntradas[ID],ROWS(tblEntradas[ID])-7)="","",INDEX(tblEntradas[Documento],ROWS(tblEntradas[ID])-7)&amp;""),"")</f>
        <v/>
      </c>
    </row>
    <row r="43" spans="2:13" s="7" customFormat="1" ht="9" customHeight="1" x14ac:dyDescent="0.25"/>
    <row r="44" spans="2:13" s="7" customFormat="1" ht="19.5" customHeight="1" x14ac:dyDescent="0.25">
      <c r="B44" s="100" t="str">
        <f>txtBitacoras</f>
        <v>Bitácoras oficiales: 0 entradas/ajustes · 0 salidas</v>
      </c>
      <c r="C44" s="100"/>
      <c r="D44" s="100"/>
      <c r="E44" s="100"/>
      <c r="F44" s="100"/>
      <c r="G44" s="100"/>
      <c r="H44" s="100"/>
      <c r="I44" s="101" t="s">
        <v>288</v>
      </c>
      <c r="J44" s="101"/>
      <c r="K44" s="101"/>
      <c r="L44" s="101"/>
      <c r="M44" s="101"/>
    </row>
  </sheetData>
  <sheetProtection password="930D" sheet="1" objects="1" scenarios="1"/>
  <mergeCells count="60">
    <mergeCell ref="B44:H44"/>
    <mergeCell ref="I44:M44"/>
    <mergeCell ref="D41:G41"/>
    <mergeCell ref="I41:J41"/>
    <mergeCell ref="K41:L41"/>
    <mergeCell ref="D42:G42"/>
    <mergeCell ref="I42:J42"/>
    <mergeCell ref="K42:L42"/>
    <mergeCell ref="D39:G39"/>
    <mergeCell ref="I39:J39"/>
    <mergeCell ref="K39:L39"/>
    <mergeCell ref="D40:G40"/>
    <mergeCell ref="I40:J40"/>
    <mergeCell ref="K40:L40"/>
    <mergeCell ref="D37:G37"/>
    <mergeCell ref="I37:J37"/>
    <mergeCell ref="K37:L37"/>
    <mergeCell ref="D38:G38"/>
    <mergeCell ref="I38:J38"/>
    <mergeCell ref="K38:L38"/>
    <mergeCell ref="D35:G35"/>
    <mergeCell ref="I35:J35"/>
    <mergeCell ref="K35:L35"/>
    <mergeCell ref="D36:G36"/>
    <mergeCell ref="I36:J36"/>
    <mergeCell ref="K36:L36"/>
    <mergeCell ref="C30:F30"/>
    <mergeCell ref="C31:F31"/>
    <mergeCell ref="D34:G34"/>
    <mergeCell ref="I34:J34"/>
    <mergeCell ref="K34:L34"/>
    <mergeCell ref="C25:F25"/>
    <mergeCell ref="C26:F26"/>
    <mergeCell ref="C27:F27"/>
    <mergeCell ref="C28:F28"/>
    <mergeCell ref="C29:F29"/>
    <mergeCell ref="K18:M18"/>
    <mergeCell ref="C21:F21"/>
    <mergeCell ref="C22:F22"/>
    <mergeCell ref="C23:F23"/>
    <mergeCell ref="C24:F24"/>
    <mergeCell ref="B18:D18"/>
    <mergeCell ref="E16:G16"/>
    <mergeCell ref="E17:G17"/>
    <mergeCell ref="E18:G18"/>
    <mergeCell ref="H16:J16"/>
    <mergeCell ref="H17:J17"/>
    <mergeCell ref="H18:J18"/>
    <mergeCell ref="B12:E13"/>
    <mergeCell ref="F12:I13"/>
    <mergeCell ref="J12:M13"/>
    <mergeCell ref="B16:D16"/>
    <mergeCell ref="B17:D17"/>
    <mergeCell ref="K16:M16"/>
    <mergeCell ref="K17:M17"/>
    <mergeCell ref="J2:M2"/>
    <mergeCell ref="J3:M3"/>
    <mergeCell ref="B7:I7"/>
    <mergeCell ref="J7:M7"/>
    <mergeCell ref="B9:M9"/>
  </mergeCells>
  <conditionalFormatting sqref="B22:B31">
    <cfRule type="expression" dxfId="161" priority="7">
      <formula>$B22="INCONSISTENTE"</formula>
    </cfRule>
    <cfRule type="expression" dxfId="160" priority="8">
      <formula>$B22="AGOTADO"</formula>
    </cfRule>
    <cfRule type="expression" dxfId="159" priority="9">
      <formula>$B22="CRÍTICO"</formula>
    </cfRule>
    <cfRule type="expression" dxfId="158" priority="10">
      <formula>$B22="BAJO"</formula>
    </cfRule>
    <cfRule type="expression" dxfId="157" priority="11">
      <formula>$B22="ÓPTIMO"</formula>
    </cfRule>
    <cfRule type="expression" dxfId="156" priority="12">
      <formula>$B22="SOBRESTOCK"</formula>
    </cfRule>
    <cfRule type="expression" dxfId="155" priority="13">
      <formula>$B22="INACTIVO"</formula>
    </cfRule>
  </conditionalFormatting>
  <conditionalFormatting sqref="B7:I7">
    <cfRule type="expression" dxfId="154" priority="1" stopIfTrue="1">
      <formula>N(stkActualizado)=0</formula>
    </cfRule>
    <cfRule type="expression" dxfId="153" priority="2" stopIfTrue="1">
      <formula>kpiNuevosDesdeCalculo&gt;0</formula>
    </cfRule>
    <cfRule type="expression" dxfId="152" priority="3" stopIfTrue="1">
      <formula>kpiNuevosDesdeCalculo=0</formula>
    </cfRule>
  </conditionalFormatting>
  <conditionalFormatting sqref="B9:M9">
    <cfRule type="expression" dxfId="151" priority="4">
      <formula>LEFT(txtPasoBodega,1)="✖"</formula>
    </cfRule>
    <cfRule type="expression" dxfId="150" priority="5">
      <formula>LEFT(txtPasoBodega,1)="●"</formula>
    </cfRule>
    <cfRule type="expression" dxfId="149" priority="6">
      <formula>LEFT(txtPasoBodega,1)="✔"</formula>
    </cfRule>
  </conditionalFormatting>
  <conditionalFormatting sqref="G22:I31">
    <cfRule type="expression" dxfId="148" priority="14">
      <formula>AND(ISNUMBER(G22),G22&lt;&gt;INT(G22))</formula>
    </cfRule>
  </conditionalFormatting>
  <conditionalFormatting sqref="H35:H42">
    <cfRule type="expression" dxfId="147" priority="15">
      <formula>AND(ISNUMBER(H35),H35&lt;&gt;INT(H35))</formula>
    </cfRule>
  </conditionalFormatting>
  <conditionalFormatting sqref="K35:L42">
    <cfRule type="expression" dxfId="146" priority="16">
      <formula>LEFT($K35,1)="✖"</formula>
    </cfRule>
    <cfRule type="expression" dxfId="145" priority="17">
      <formula>LEFT($K35,1)="✔"</formula>
    </cfRule>
  </conditionalFormatting>
  <hyperlinks>
    <hyperlink ref="B5" location="'00_PORTADA_BODEGA'!A1" tooltip="Portada de Bodega" display="⌂ Bodega" xr:uid="{00000000-0004-0000-0000-000000000000}"/>
    <hyperlink ref="C5" location="'00_PORTADA_VENTAS'!A1" tooltip="Portada de Ventas" display="⌂ Ventas" xr:uid="{00000000-0004-0000-0000-000001000000}"/>
    <hyperlink ref="D5" location="'10A_ENTRADAS'!C9" tooltip="Registrar entradas y ajustes (Bodega)" display="⇩ Entradas" xr:uid="{00000000-0004-0000-0000-000002000000}"/>
    <hyperlink ref="E5" location="'10B_SALIDAS'!E9" tooltip="Registrar salidas (Ventas)" display="⇧ Salidas" xr:uid="{00000000-0004-0000-0000-000003000000}"/>
    <hyperlink ref="F5" location="'15_STOCK'!A1" tooltip="Stock (instantánea recalculada a demanda)" display="▦ Stock" xr:uid="{00000000-0004-0000-0000-000004000000}"/>
    <hyperlink ref="G5" location="'16_ALERTAS'!A1" tooltip="Productos que requieren acción" display="⚠ Alertas" xr:uid="{00000000-0004-0000-0000-000005000000}"/>
    <hyperlink ref="H5" location="'05_PRODUCTOS'!A1" tooltip="Catálogo de productos" display="☰ Catálogo" xr:uid="{00000000-0004-0000-0000-000006000000}"/>
    <hyperlink ref="I5" location="'99_AYUDA'!A1" tooltip="Guía de uso y de instalación" display="? Guía" xr:uid="{00000000-0004-0000-0000-000007000000}"/>
    <hyperlink ref="B12" location="'10A_ENTRADAS'!C9" tooltip="Ir a su fila de captura en 10A_ENTRADAS (tipo ENTRADA o SALDO INICIAL)" display="⇩   REGISTRAR ENTRADA" xr:uid="{00000000-0004-0000-0000-000008000000}"/>
    <hyperlink ref="F12" location="'10A_ENTRADAS'!C9" tooltip="Ir a su fila de captura en 10A_ENTRADAS y elegir AJUSTE (+) o AJUSTE (-)" display="±   REGISTRAR AJUSTE" xr:uid="{00000000-0004-0000-0000-000009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5C0"/>
  </sheetPr>
  <dimension ref="B1:M44"/>
  <sheetViews>
    <sheetView showGridLines="0" showRowColHeaders="0" workbookViewId="0">
      <selection activeCell="B12" sqref="B12"/>
    </sheetView>
  </sheetViews>
  <sheetFormatPr baseColWidth="10" defaultColWidth="0" defaultRowHeight="15" zeroHeight="1" x14ac:dyDescent="0.25"/>
  <cols>
    <col min="1" max="1" width="3.42578125" customWidth="1"/>
    <col min="2" max="13" width="13.42578125" customWidth="1"/>
    <col min="14" max="14" width="3.42578125" customWidth="1"/>
    <col min="15" max="15" width="0" hidden="1" customWidth="1"/>
  </cols>
  <sheetData>
    <row r="1" spans="2:13" s="1" customFormat="1" ht="4.5" customHeight="1" x14ac:dyDescent="0.25"/>
    <row r="2" spans="2:13" s="1" customFormat="1" ht="22.5" customHeight="1" x14ac:dyDescent="0.25">
      <c r="B2" s="2" t="s">
        <v>289</v>
      </c>
      <c r="J2" s="79" t="str">
        <f ca="1">txtHoy</f>
        <v>Hoy · 25/09/2026</v>
      </c>
      <c r="K2" s="80"/>
      <c r="L2" s="80"/>
      <c r="M2" s="80"/>
    </row>
    <row r="3" spans="2:13" s="1" customFormat="1" ht="14.25" x14ac:dyDescent="0.25">
      <c r="B3" s="3" t="str">
        <f>txtEmpresa</f>
        <v>NOMBRE DE SU EMPRESA   ·   Bodega principal</v>
      </c>
      <c r="J3" s="81" t="s">
        <v>276</v>
      </c>
      <c r="K3" s="81"/>
      <c r="L3" s="81"/>
      <c r="M3" s="81"/>
    </row>
    <row r="4" spans="2:13" s="1" customFormat="1" ht="4.5" customHeight="1" x14ac:dyDescent="0.25"/>
    <row r="5" spans="2:13" s="4" customFormat="1" ht="21" customHeight="1" x14ac:dyDescent="0.25">
      <c r="B5" s="6" t="s">
        <v>82</v>
      </c>
      <c r="C5" s="5" t="s">
        <v>83</v>
      </c>
      <c r="D5" s="6" t="s">
        <v>84</v>
      </c>
      <c r="E5" s="6" t="s">
        <v>85</v>
      </c>
      <c r="F5" s="6" t="s">
        <v>86</v>
      </c>
      <c r="G5" s="6" t="s">
        <v>87</v>
      </c>
      <c r="H5" s="6" t="s">
        <v>88</v>
      </c>
      <c r="I5" s="6" t="s">
        <v>89</v>
      </c>
    </row>
    <row r="6" spans="2:13" s="7" customFormat="1" ht="7.5" customHeight="1" x14ac:dyDescent="0.25"/>
    <row r="7" spans="2:13" s="7" customFormat="1" ht="30" customHeight="1" x14ac:dyDescent="0.25">
      <c r="B7" s="82" t="str">
        <f>txtFrescura&amp;"      ·      "&amp;txtStockActualizado</f>
        <v>⚠ Pulse «Recalcular stock» para calcular el stock      ·      Stock aún no calculado</v>
      </c>
      <c r="C7" s="82"/>
      <c r="D7" s="82"/>
      <c r="E7" s="82"/>
      <c r="F7" s="82"/>
      <c r="G7" s="82"/>
      <c r="H7" s="82"/>
      <c r="I7" s="82"/>
      <c r="J7" s="83" t="s">
        <v>206</v>
      </c>
      <c r="K7" s="83"/>
      <c r="L7" s="83"/>
      <c r="M7" s="83"/>
    </row>
    <row r="8" spans="2:13" s="7" customFormat="1" ht="6" customHeight="1" x14ac:dyDescent="0.25"/>
    <row r="9" spans="2:13" s="7" customFormat="1" ht="25.5" customHeight="1" x14ac:dyDescent="0.25">
      <c r="B9" s="84" t="str">
        <f>txtPasoVentas</f>
        <v>El administrador debe registrar los usuarios en 02_USUARIOS</v>
      </c>
      <c r="C9" s="84"/>
      <c r="D9" s="84"/>
      <c r="E9" s="84"/>
      <c r="F9" s="84"/>
      <c r="G9" s="84"/>
      <c r="H9" s="84"/>
      <c r="I9" s="84"/>
      <c r="J9" s="84"/>
      <c r="K9" s="84"/>
      <c r="L9" s="84"/>
      <c r="M9" s="84"/>
    </row>
    <row r="10" spans="2:13" s="7" customFormat="1" ht="7.5" customHeight="1" x14ac:dyDescent="0.25"/>
    <row r="11" spans="2:13" s="7" customFormat="1" ht="16.5" customHeight="1" x14ac:dyDescent="0.25">
      <c r="B11" s="7" t="s">
        <v>277</v>
      </c>
    </row>
    <row r="12" spans="2:13" s="7" customFormat="1" ht="27" customHeight="1" x14ac:dyDescent="0.25">
      <c r="B12" s="102" t="s">
        <v>290</v>
      </c>
      <c r="C12" s="102"/>
      <c r="D12" s="102"/>
      <c r="E12" s="102"/>
      <c r="F12" s="102"/>
      <c r="G12" s="102"/>
      <c r="H12" s="103" t="s">
        <v>291</v>
      </c>
      <c r="I12" s="103"/>
      <c r="J12" s="103"/>
      <c r="K12" s="103"/>
      <c r="L12" s="103"/>
      <c r="M12" s="103"/>
    </row>
    <row r="13" spans="2:13" s="7" customFormat="1" ht="27" customHeight="1" x14ac:dyDescent="0.25">
      <c r="B13" s="102"/>
      <c r="C13" s="102"/>
      <c r="D13" s="102"/>
      <c r="E13" s="102"/>
      <c r="F13" s="102"/>
      <c r="G13" s="102"/>
      <c r="H13" s="103"/>
      <c r="I13" s="103"/>
      <c r="J13" s="103"/>
      <c r="K13" s="103"/>
      <c r="L13" s="103"/>
      <c r="M13" s="103"/>
    </row>
    <row r="14" spans="2:13" s="7" customFormat="1" ht="9" customHeight="1" x14ac:dyDescent="0.25"/>
    <row r="15" spans="2:13" s="7" customFormat="1" ht="16.5" customHeight="1" x14ac:dyDescent="0.25">
      <c r="B15" s="7" t="s">
        <v>280</v>
      </c>
    </row>
    <row r="16" spans="2:13" s="7" customFormat="1" ht="14.25" x14ac:dyDescent="0.25">
      <c r="B16" s="96" t="s">
        <v>292</v>
      </c>
      <c r="C16" s="96"/>
      <c r="D16" s="96"/>
      <c r="E16" s="105" t="s">
        <v>293</v>
      </c>
      <c r="F16" s="105"/>
      <c r="G16" s="105"/>
      <c r="H16" s="88" t="s">
        <v>294</v>
      </c>
      <c r="I16" s="88"/>
      <c r="J16" s="88"/>
      <c r="K16" s="92" t="s">
        <v>295</v>
      </c>
      <c r="L16" s="92"/>
      <c r="M16" s="92"/>
    </row>
    <row r="17" spans="2:13" s="7" customFormat="1" ht="31.5" customHeight="1" x14ac:dyDescent="0.25">
      <c r="B17" s="104">
        <f ca="1">kpiSalidasHoy</f>
        <v>0</v>
      </c>
      <c r="C17" s="90"/>
      <c r="D17" s="90"/>
      <c r="E17" s="106">
        <f ca="1">kpiSalidasMes</f>
        <v>0</v>
      </c>
      <c r="F17" s="90"/>
      <c r="G17" s="90"/>
      <c r="H17" s="89">
        <f>kpiDisponibles</f>
        <v>0</v>
      </c>
      <c r="I17" s="90"/>
      <c r="J17" s="90"/>
      <c r="K17" s="93">
        <f>kpiAgotados</f>
        <v>0</v>
      </c>
      <c r="L17" s="90"/>
      <c r="M17" s="90"/>
    </row>
    <row r="18" spans="2:13" s="7" customFormat="1" ht="14.25" x14ac:dyDescent="0.25">
      <c r="B18" s="91" t="str">
        <f ca="1">"Unidades despachadas: "&amp;kpiUnidadesHoy</f>
        <v>Unidades despachadas: 0</v>
      </c>
      <c r="C18" s="90"/>
      <c r="D18" s="90"/>
      <c r="E18" s="91" t="str">
        <f>"registros consolidados en 10B"</f>
        <v>registros consolidados en 10B</v>
      </c>
      <c r="F18" s="90"/>
      <c r="G18" s="90"/>
      <c r="H18" s="91" t="str">
        <f>"de "&amp;kpiActivos&amp;" activos"</f>
        <v>de 0 activos</v>
      </c>
      <c r="I18" s="90"/>
      <c r="J18" s="90"/>
      <c r="K18" s="91" t="str">
        <f>"confirme con Bodega"</f>
        <v>confirme con Bodega</v>
      </c>
      <c r="L18" s="90"/>
      <c r="M18" s="90"/>
    </row>
    <row r="19" spans="2:13" s="7" customFormat="1" ht="9" customHeight="1" x14ac:dyDescent="0.25"/>
    <row r="20" spans="2:13" s="7" customFormat="1" ht="16.5" customHeight="1" x14ac:dyDescent="0.25">
      <c r="B20" s="7" t="s">
        <v>296</v>
      </c>
    </row>
    <row r="21" spans="2:13" s="7" customFormat="1" ht="18" customHeight="1" x14ac:dyDescent="0.25">
      <c r="B21" s="8" t="s">
        <v>56</v>
      </c>
      <c r="C21" s="98" t="s">
        <v>112</v>
      </c>
      <c r="D21" s="98"/>
      <c r="E21" s="98"/>
      <c r="F21" s="98"/>
      <c r="G21" s="8" t="s">
        <v>210</v>
      </c>
      <c r="H21" s="8" t="s">
        <v>114</v>
      </c>
      <c r="I21" s="8" t="s">
        <v>297</v>
      </c>
    </row>
    <row r="22" spans="2:13" s="7" customFormat="1" ht="16.5" customHeight="1" x14ac:dyDescent="0.25">
      <c r="B22" s="9" t="str">
        <f>IF(OR(INDEX(tblAlertas[Estado],1)={"INCONSISTENTE","AGOTADO","CRÍTICO"}),INDEX(tblAlertas[Estado],1),"")</f>
        <v/>
      </c>
      <c r="C22" s="99" t="str">
        <f>IF(OR(INDEX(tblAlertas[Estado],1)={"INCONSISTENTE","AGOTADO","CRÍTICO"}),INDEX(tblAlertas[SKU],1)&amp;" · "&amp;INDEX(tblAlertas[Producto],1),"")</f>
        <v/>
      </c>
      <c r="D22" s="99"/>
      <c r="E22" s="99"/>
      <c r="F22" s="99"/>
      <c r="G22" s="10" t="str">
        <f>IF(OR(INDEX(tblAlertas[Estado],1)={"INCONSISTENTE","AGOTADO","CRÍTICO"}),INDEX(tblAlertas[Stock],1),"")</f>
        <v/>
      </c>
      <c r="H22" s="9" t="str">
        <f>IF(OR(INDEX(tblAlertas[Estado],1)={"INCONSISTENTE","AGOTADO","CRÍTICO"}),INDEX(tblAlertas[Unidad],1),"")</f>
        <v/>
      </c>
      <c r="I22" s="11" t="str">
        <f>IF(OR(INDEX(tblAlertas[Estado],1)={"INCONSISTENTE","AGOTADO","CRÍTICO"}),INDEX(tblAlertas[UltimoMov],1),"")</f>
        <v/>
      </c>
    </row>
    <row r="23" spans="2:13" s="7" customFormat="1" ht="16.5" customHeight="1" x14ac:dyDescent="0.25">
      <c r="B23" s="9" t="str">
        <f>IF(OR(INDEX(tblAlertas[Estado],2)={"INCONSISTENTE","AGOTADO","CRÍTICO"}),INDEX(tblAlertas[Estado],2),"")</f>
        <v/>
      </c>
      <c r="C23" s="99" t="str">
        <f>IF(OR(INDEX(tblAlertas[Estado],2)={"INCONSISTENTE","AGOTADO","CRÍTICO"}),INDEX(tblAlertas[SKU],2)&amp;" · "&amp;INDEX(tblAlertas[Producto],2),"")</f>
        <v/>
      </c>
      <c r="D23" s="99"/>
      <c r="E23" s="99"/>
      <c r="F23" s="99"/>
      <c r="G23" s="10" t="str">
        <f>IF(OR(INDEX(tblAlertas[Estado],2)={"INCONSISTENTE","AGOTADO","CRÍTICO"}),INDEX(tblAlertas[Stock],2),"")</f>
        <v/>
      </c>
      <c r="H23" s="9" t="str">
        <f>IF(OR(INDEX(tblAlertas[Estado],2)={"INCONSISTENTE","AGOTADO","CRÍTICO"}),INDEX(tblAlertas[Unidad],2),"")</f>
        <v/>
      </c>
      <c r="I23" s="11" t="str">
        <f>IF(OR(INDEX(tblAlertas[Estado],2)={"INCONSISTENTE","AGOTADO","CRÍTICO"}),INDEX(tblAlertas[UltimoMov],2),"")</f>
        <v/>
      </c>
    </row>
    <row r="24" spans="2:13" s="7" customFormat="1" ht="16.5" customHeight="1" x14ac:dyDescent="0.25">
      <c r="B24" s="9" t="str">
        <f>IF(OR(INDEX(tblAlertas[Estado],3)={"INCONSISTENTE","AGOTADO","CRÍTICO"}),INDEX(tblAlertas[Estado],3),"")</f>
        <v/>
      </c>
      <c r="C24" s="99" t="str">
        <f>IF(OR(INDEX(tblAlertas[Estado],3)={"INCONSISTENTE","AGOTADO","CRÍTICO"}),INDEX(tblAlertas[SKU],3)&amp;" · "&amp;INDEX(tblAlertas[Producto],3),"")</f>
        <v/>
      </c>
      <c r="D24" s="99"/>
      <c r="E24" s="99"/>
      <c r="F24" s="99"/>
      <c r="G24" s="10" t="str">
        <f>IF(OR(INDEX(tblAlertas[Estado],3)={"INCONSISTENTE","AGOTADO","CRÍTICO"}),INDEX(tblAlertas[Stock],3),"")</f>
        <v/>
      </c>
      <c r="H24" s="9" t="str">
        <f>IF(OR(INDEX(tblAlertas[Estado],3)={"INCONSISTENTE","AGOTADO","CRÍTICO"}),INDEX(tblAlertas[Unidad],3),"")</f>
        <v/>
      </c>
      <c r="I24" s="11" t="str">
        <f>IF(OR(INDEX(tblAlertas[Estado],3)={"INCONSISTENTE","AGOTADO","CRÍTICO"}),INDEX(tblAlertas[UltimoMov],3),"")</f>
        <v/>
      </c>
    </row>
    <row r="25" spans="2:13" s="7" customFormat="1" ht="16.5" customHeight="1" x14ac:dyDescent="0.25">
      <c r="B25" s="9" t="str">
        <f>IF(OR(INDEX(tblAlertas[Estado],4)={"INCONSISTENTE","AGOTADO","CRÍTICO"}),INDEX(tblAlertas[Estado],4),"")</f>
        <v/>
      </c>
      <c r="C25" s="99" t="str">
        <f>IF(OR(INDEX(tblAlertas[Estado],4)={"INCONSISTENTE","AGOTADO","CRÍTICO"}),INDEX(tblAlertas[SKU],4)&amp;" · "&amp;INDEX(tblAlertas[Producto],4),"")</f>
        <v/>
      </c>
      <c r="D25" s="99"/>
      <c r="E25" s="99"/>
      <c r="F25" s="99"/>
      <c r="G25" s="10" t="str">
        <f>IF(OR(INDEX(tblAlertas[Estado],4)={"INCONSISTENTE","AGOTADO","CRÍTICO"}),INDEX(tblAlertas[Stock],4),"")</f>
        <v/>
      </c>
      <c r="H25" s="9" t="str">
        <f>IF(OR(INDEX(tblAlertas[Estado],4)={"INCONSISTENTE","AGOTADO","CRÍTICO"}),INDEX(tblAlertas[Unidad],4),"")</f>
        <v/>
      </c>
      <c r="I25" s="11" t="str">
        <f>IF(OR(INDEX(tblAlertas[Estado],4)={"INCONSISTENTE","AGOTADO","CRÍTICO"}),INDEX(tblAlertas[UltimoMov],4),"")</f>
        <v/>
      </c>
    </row>
    <row r="26" spans="2:13" s="7" customFormat="1" ht="16.5" customHeight="1" x14ac:dyDescent="0.25">
      <c r="B26" s="9" t="str">
        <f>IF(OR(INDEX(tblAlertas[Estado],5)={"INCONSISTENTE","AGOTADO","CRÍTICO"}),INDEX(tblAlertas[Estado],5),"")</f>
        <v/>
      </c>
      <c r="C26" s="99" t="str">
        <f>IF(OR(INDEX(tblAlertas[Estado],5)={"INCONSISTENTE","AGOTADO","CRÍTICO"}),INDEX(tblAlertas[SKU],5)&amp;" · "&amp;INDEX(tblAlertas[Producto],5),"")</f>
        <v/>
      </c>
      <c r="D26" s="99"/>
      <c r="E26" s="99"/>
      <c r="F26" s="99"/>
      <c r="G26" s="10" t="str">
        <f>IF(OR(INDEX(tblAlertas[Estado],5)={"INCONSISTENTE","AGOTADO","CRÍTICO"}),INDEX(tblAlertas[Stock],5),"")</f>
        <v/>
      </c>
      <c r="H26" s="9" t="str">
        <f>IF(OR(INDEX(tblAlertas[Estado],5)={"INCONSISTENTE","AGOTADO","CRÍTICO"}),INDEX(tblAlertas[Unidad],5),"")</f>
        <v/>
      </c>
      <c r="I26" s="11" t="str">
        <f>IF(OR(INDEX(tblAlertas[Estado],5)={"INCONSISTENTE","AGOTADO","CRÍTICO"}),INDEX(tblAlertas[UltimoMov],5),"")</f>
        <v/>
      </c>
    </row>
    <row r="27" spans="2:13" s="7" customFormat="1" ht="16.5" customHeight="1" x14ac:dyDescent="0.25">
      <c r="B27" s="9" t="str">
        <f>IF(OR(INDEX(tblAlertas[Estado],6)={"INCONSISTENTE","AGOTADO","CRÍTICO"}),INDEX(tblAlertas[Estado],6),"")</f>
        <v/>
      </c>
      <c r="C27" s="99" t="str">
        <f>IF(OR(INDEX(tblAlertas[Estado],6)={"INCONSISTENTE","AGOTADO","CRÍTICO"}),INDEX(tblAlertas[SKU],6)&amp;" · "&amp;INDEX(tblAlertas[Producto],6),"")</f>
        <v/>
      </c>
      <c r="D27" s="99"/>
      <c r="E27" s="99"/>
      <c r="F27" s="99"/>
      <c r="G27" s="10" t="str">
        <f>IF(OR(INDEX(tblAlertas[Estado],6)={"INCONSISTENTE","AGOTADO","CRÍTICO"}),INDEX(tblAlertas[Stock],6),"")</f>
        <v/>
      </c>
      <c r="H27" s="9" t="str">
        <f>IF(OR(INDEX(tblAlertas[Estado],6)={"INCONSISTENTE","AGOTADO","CRÍTICO"}),INDEX(tblAlertas[Unidad],6),"")</f>
        <v/>
      </c>
      <c r="I27" s="11" t="str">
        <f>IF(OR(INDEX(tblAlertas[Estado],6)={"INCONSISTENTE","AGOTADO","CRÍTICO"}),INDEX(tblAlertas[UltimoMov],6),"")</f>
        <v/>
      </c>
    </row>
    <row r="28" spans="2:13" s="7" customFormat="1" ht="16.5" customHeight="1" x14ac:dyDescent="0.25">
      <c r="B28" s="9" t="str">
        <f>IF(OR(INDEX(tblAlertas[Estado],7)={"INCONSISTENTE","AGOTADO","CRÍTICO"}),INDEX(tblAlertas[Estado],7),"")</f>
        <v/>
      </c>
      <c r="C28" s="99" t="str">
        <f>IF(OR(INDEX(tblAlertas[Estado],7)={"INCONSISTENTE","AGOTADO","CRÍTICO"}),INDEX(tblAlertas[SKU],7)&amp;" · "&amp;INDEX(tblAlertas[Producto],7),"")</f>
        <v/>
      </c>
      <c r="D28" s="99"/>
      <c r="E28" s="99"/>
      <c r="F28" s="99"/>
      <c r="G28" s="10" t="str">
        <f>IF(OR(INDEX(tblAlertas[Estado],7)={"INCONSISTENTE","AGOTADO","CRÍTICO"}),INDEX(tblAlertas[Stock],7),"")</f>
        <v/>
      </c>
      <c r="H28" s="9" t="str">
        <f>IF(OR(INDEX(tblAlertas[Estado],7)={"INCONSISTENTE","AGOTADO","CRÍTICO"}),INDEX(tblAlertas[Unidad],7),"")</f>
        <v/>
      </c>
      <c r="I28" s="11" t="str">
        <f>IF(OR(INDEX(tblAlertas[Estado],7)={"INCONSISTENTE","AGOTADO","CRÍTICO"}),INDEX(tblAlertas[UltimoMov],7),"")</f>
        <v/>
      </c>
    </row>
    <row r="29" spans="2:13" s="7" customFormat="1" ht="16.5" customHeight="1" x14ac:dyDescent="0.25">
      <c r="B29" s="9" t="str">
        <f>IF(OR(INDEX(tblAlertas[Estado],8)={"INCONSISTENTE","AGOTADO","CRÍTICO"}),INDEX(tblAlertas[Estado],8),"")</f>
        <v/>
      </c>
      <c r="C29" s="99" t="str">
        <f>IF(OR(INDEX(tblAlertas[Estado],8)={"INCONSISTENTE","AGOTADO","CRÍTICO"}),INDEX(tblAlertas[SKU],8)&amp;" · "&amp;INDEX(tblAlertas[Producto],8),"")</f>
        <v/>
      </c>
      <c r="D29" s="99"/>
      <c r="E29" s="99"/>
      <c r="F29" s="99"/>
      <c r="G29" s="10" t="str">
        <f>IF(OR(INDEX(tblAlertas[Estado],8)={"INCONSISTENTE","AGOTADO","CRÍTICO"}),INDEX(tblAlertas[Stock],8),"")</f>
        <v/>
      </c>
      <c r="H29" s="9" t="str">
        <f>IF(OR(INDEX(tblAlertas[Estado],8)={"INCONSISTENTE","AGOTADO","CRÍTICO"}),INDEX(tblAlertas[Unidad],8),"")</f>
        <v/>
      </c>
      <c r="I29" s="11" t="str">
        <f>IF(OR(INDEX(tblAlertas[Estado],8)={"INCONSISTENTE","AGOTADO","CRÍTICO"}),INDEX(tblAlertas[UltimoMov],8),"")</f>
        <v/>
      </c>
    </row>
    <row r="30" spans="2:13" s="7" customFormat="1" ht="16.5" customHeight="1" x14ac:dyDescent="0.25">
      <c r="B30" s="9" t="str">
        <f>IF(OR(INDEX(tblAlertas[Estado],9)={"INCONSISTENTE","AGOTADO","CRÍTICO"}),INDEX(tblAlertas[Estado],9),"")</f>
        <v/>
      </c>
      <c r="C30" s="99" t="str">
        <f>IF(OR(INDEX(tblAlertas[Estado],9)={"INCONSISTENTE","AGOTADO","CRÍTICO"}),INDEX(tblAlertas[SKU],9)&amp;" · "&amp;INDEX(tblAlertas[Producto],9),"")</f>
        <v/>
      </c>
      <c r="D30" s="99"/>
      <c r="E30" s="99"/>
      <c r="F30" s="99"/>
      <c r="G30" s="10" t="str">
        <f>IF(OR(INDEX(tblAlertas[Estado],9)={"INCONSISTENTE","AGOTADO","CRÍTICO"}),INDEX(tblAlertas[Stock],9),"")</f>
        <v/>
      </c>
      <c r="H30" s="9" t="str">
        <f>IF(OR(INDEX(tblAlertas[Estado],9)={"INCONSISTENTE","AGOTADO","CRÍTICO"}),INDEX(tblAlertas[Unidad],9),"")</f>
        <v/>
      </c>
      <c r="I30" s="11" t="str">
        <f>IF(OR(INDEX(tblAlertas[Estado],9)={"INCONSISTENTE","AGOTADO","CRÍTICO"}),INDEX(tblAlertas[UltimoMov],9),"")</f>
        <v/>
      </c>
    </row>
    <row r="31" spans="2:13" s="7" customFormat="1" ht="16.5" customHeight="1" x14ac:dyDescent="0.25">
      <c r="B31" s="9" t="str">
        <f>IF(OR(INDEX(tblAlertas[Estado],10)={"INCONSISTENTE","AGOTADO","CRÍTICO"}),INDEX(tblAlertas[Estado],10),"")</f>
        <v/>
      </c>
      <c r="C31" s="99" t="str">
        <f>IF(OR(INDEX(tblAlertas[Estado],10)={"INCONSISTENTE","AGOTADO","CRÍTICO"}),INDEX(tblAlertas[SKU],10)&amp;" · "&amp;INDEX(tblAlertas[Producto],10),"")</f>
        <v/>
      </c>
      <c r="D31" s="99"/>
      <c r="E31" s="99"/>
      <c r="F31" s="99"/>
      <c r="G31" s="10" t="str">
        <f>IF(OR(INDEX(tblAlertas[Estado],10)={"INCONSISTENTE","AGOTADO","CRÍTICO"}),INDEX(tblAlertas[Stock],10),"")</f>
        <v/>
      </c>
      <c r="H31" s="9" t="str">
        <f>IF(OR(INDEX(tblAlertas[Estado],10)={"INCONSISTENTE","AGOTADO","CRÍTICO"}),INDEX(tblAlertas[Unidad],10),"")</f>
        <v/>
      </c>
      <c r="I31" s="11" t="str">
        <f>IF(OR(INDEX(tblAlertas[Estado],10)={"INCONSISTENTE","AGOTADO","CRÍTICO"}),INDEX(tblAlertas[UltimoMov],10),"")</f>
        <v/>
      </c>
    </row>
    <row r="32" spans="2:13" s="7" customFormat="1" ht="9" customHeight="1" x14ac:dyDescent="0.25"/>
    <row r="33" spans="2:13" s="7" customFormat="1" ht="16.5" customHeight="1" x14ac:dyDescent="0.25">
      <c r="B33" s="7" t="s">
        <v>298</v>
      </c>
    </row>
    <row r="34" spans="2:13" s="7" customFormat="1" ht="18" customHeight="1" x14ac:dyDescent="0.25">
      <c r="B34" s="8" t="s">
        <v>177</v>
      </c>
      <c r="C34" s="8" t="s">
        <v>40</v>
      </c>
      <c r="D34" s="98" t="s">
        <v>112</v>
      </c>
      <c r="E34" s="98"/>
      <c r="F34" s="98"/>
      <c r="G34" s="98"/>
      <c r="H34" s="8" t="s">
        <v>178</v>
      </c>
      <c r="I34" s="98" t="s">
        <v>189</v>
      </c>
      <c r="J34" s="98"/>
      <c r="K34" s="98" t="s">
        <v>56</v>
      </c>
      <c r="L34" s="98"/>
      <c r="M34" s="8" t="s">
        <v>179</v>
      </c>
    </row>
    <row r="35" spans="2:13" s="7" customFormat="1" ht="16.5" customHeight="1" x14ac:dyDescent="0.25">
      <c r="B35" s="11" t="str">
        <f>IFERROR(IF(INDEX(tblSalidas[ID],ROWS(tblSalidas[ID])-0)="","",INDEX(tblSalidas[Fecha],ROWS(tblSalidas[ID])-0)),"")</f>
        <v/>
      </c>
      <c r="C35" s="12" t="str">
        <f>IFERROR(IF(INDEX(tblSalidas[ID],ROWS(tblSalidas[ID])-0)="","",INDEX(tblSalidas[Tipo],ROWS(tblSalidas[ID])-0)&amp;""),"")</f>
        <v/>
      </c>
      <c r="D35" s="99" t="str">
        <f>IFERROR(IF(INDEX(tblSalidas[ID],ROWS(tblSalidas[ID])-0)="","",INDEX(tblSalidas[Producto],ROWS(tblSalidas[ID])-0)&amp;""),"")</f>
        <v/>
      </c>
      <c r="E35" s="99"/>
      <c r="F35" s="99"/>
      <c r="G35" s="99"/>
      <c r="H35" s="10" t="str">
        <f>IFERROR(IF(INDEX(tblSalidas[ID],ROWS(tblSalidas[ID])-0)="","",INDEX(tblSalidas[Cantidad],ROWS(tblSalidas[ID])-0)),"")</f>
        <v/>
      </c>
      <c r="I35" s="99" t="str">
        <f>IFERROR(IF(INDEX(tblSalidas[ID],ROWS(tblSalidas[ID])-0)="","",INDEX(tblSalidas[Registró],ROWS(tblSalidas[ID])-0)&amp;""),"")</f>
        <v/>
      </c>
      <c r="J35" s="99"/>
      <c r="K35" s="99" t="str">
        <f>IFERROR(IF(INDEX(tblSalidas[ID],ROWS(tblSalidas[ID])-0)="","",INDEX(tblSalidas[Estado],ROWS(tblSalidas[ID])-0)&amp;""),"")</f>
        <v/>
      </c>
      <c r="L35" s="99"/>
      <c r="M35" s="9" t="str">
        <f>IFERROR(IF(INDEX(tblSalidas[ID],ROWS(tblSalidas[ID])-0)="","",INDEX(tblSalidas[Documento],ROWS(tblSalidas[ID])-0)&amp;""),"")</f>
        <v/>
      </c>
    </row>
    <row r="36" spans="2:13" s="7" customFormat="1" ht="16.5" customHeight="1" x14ac:dyDescent="0.25">
      <c r="B36" s="11" t="str">
        <f>IFERROR(IF(INDEX(tblSalidas[ID],ROWS(tblSalidas[ID])-1)="","",INDEX(tblSalidas[Fecha],ROWS(tblSalidas[ID])-1)),"")</f>
        <v/>
      </c>
      <c r="C36" s="12" t="str">
        <f>IFERROR(IF(INDEX(tblSalidas[ID],ROWS(tblSalidas[ID])-1)="","",INDEX(tblSalidas[Tipo],ROWS(tblSalidas[ID])-1)&amp;""),"")</f>
        <v/>
      </c>
      <c r="D36" s="99" t="str">
        <f>IFERROR(IF(INDEX(tblSalidas[ID],ROWS(tblSalidas[ID])-1)="","",INDEX(tblSalidas[Producto],ROWS(tblSalidas[ID])-1)&amp;""),"")</f>
        <v/>
      </c>
      <c r="E36" s="99"/>
      <c r="F36" s="99"/>
      <c r="G36" s="99"/>
      <c r="H36" s="10" t="str">
        <f>IFERROR(IF(INDEX(tblSalidas[ID],ROWS(tblSalidas[ID])-1)="","",INDEX(tblSalidas[Cantidad],ROWS(tblSalidas[ID])-1)),"")</f>
        <v/>
      </c>
      <c r="I36" s="99" t="str">
        <f>IFERROR(IF(INDEX(tblSalidas[ID],ROWS(tblSalidas[ID])-1)="","",INDEX(tblSalidas[Registró],ROWS(tblSalidas[ID])-1)&amp;""),"")</f>
        <v/>
      </c>
      <c r="J36" s="99"/>
      <c r="K36" s="99" t="str">
        <f>IFERROR(IF(INDEX(tblSalidas[ID],ROWS(tblSalidas[ID])-1)="","",INDEX(tblSalidas[Estado],ROWS(tblSalidas[ID])-1)&amp;""),"")</f>
        <v/>
      </c>
      <c r="L36" s="99"/>
      <c r="M36" s="9" t="str">
        <f>IFERROR(IF(INDEX(tblSalidas[ID],ROWS(tblSalidas[ID])-1)="","",INDEX(tblSalidas[Documento],ROWS(tblSalidas[ID])-1)&amp;""),"")</f>
        <v/>
      </c>
    </row>
    <row r="37" spans="2:13" s="7" customFormat="1" ht="16.5" customHeight="1" x14ac:dyDescent="0.25">
      <c r="B37" s="11" t="str">
        <f>IFERROR(IF(INDEX(tblSalidas[ID],ROWS(tblSalidas[ID])-2)="","",INDEX(tblSalidas[Fecha],ROWS(tblSalidas[ID])-2)),"")</f>
        <v/>
      </c>
      <c r="C37" s="12" t="str">
        <f>IFERROR(IF(INDEX(tblSalidas[ID],ROWS(tblSalidas[ID])-2)="","",INDEX(tblSalidas[Tipo],ROWS(tblSalidas[ID])-2)&amp;""),"")</f>
        <v/>
      </c>
      <c r="D37" s="99" t="str">
        <f>IFERROR(IF(INDEX(tblSalidas[ID],ROWS(tblSalidas[ID])-2)="","",INDEX(tblSalidas[Producto],ROWS(tblSalidas[ID])-2)&amp;""),"")</f>
        <v/>
      </c>
      <c r="E37" s="99"/>
      <c r="F37" s="99"/>
      <c r="G37" s="99"/>
      <c r="H37" s="10" t="str">
        <f>IFERROR(IF(INDEX(tblSalidas[ID],ROWS(tblSalidas[ID])-2)="","",INDEX(tblSalidas[Cantidad],ROWS(tblSalidas[ID])-2)),"")</f>
        <v/>
      </c>
      <c r="I37" s="99" t="str">
        <f>IFERROR(IF(INDEX(tblSalidas[ID],ROWS(tblSalidas[ID])-2)="","",INDEX(tblSalidas[Registró],ROWS(tblSalidas[ID])-2)&amp;""),"")</f>
        <v/>
      </c>
      <c r="J37" s="99"/>
      <c r="K37" s="99" t="str">
        <f>IFERROR(IF(INDEX(tblSalidas[ID],ROWS(tblSalidas[ID])-2)="","",INDEX(tblSalidas[Estado],ROWS(tblSalidas[ID])-2)&amp;""),"")</f>
        <v/>
      </c>
      <c r="L37" s="99"/>
      <c r="M37" s="9" t="str">
        <f>IFERROR(IF(INDEX(tblSalidas[ID],ROWS(tblSalidas[ID])-2)="","",INDEX(tblSalidas[Documento],ROWS(tblSalidas[ID])-2)&amp;""),"")</f>
        <v/>
      </c>
    </row>
    <row r="38" spans="2:13" s="7" customFormat="1" ht="16.5" customHeight="1" x14ac:dyDescent="0.25">
      <c r="B38" s="11" t="str">
        <f>IFERROR(IF(INDEX(tblSalidas[ID],ROWS(tblSalidas[ID])-3)="","",INDEX(tblSalidas[Fecha],ROWS(tblSalidas[ID])-3)),"")</f>
        <v/>
      </c>
      <c r="C38" s="12" t="str">
        <f>IFERROR(IF(INDEX(tblSalidas[ID],ROWS(tblSalidas[ID])-3)="","",INDEX(tblSalidas[Tipo],ROWS(tblSalidas[ID])-3)&amp;""),"")</f>
        <v/>
      </c>
      <c r="D38" s="99" t="str">
        <f>IFERROR(IF(INDEX(tblSalidas[ID],ROWS(tblSalidas[ID])-3)="","",INDEX(tblSalidas[Producto],ROWS(tblSalidas[ID])-3)&amp;""),"")</f>
        <v/>
      </c>
      <c r="E38" s="99"/>
      <c r="F38" s="99"/>
      <c r="G38" s="99"/>
      <c r="H38" s="10" t="str">
        <f>IFERROR(IF(INDEX(tblSalidas[ID],ROWS(tblSalidas[ID])-3)="","",INDEX(tblSalidas[Cantidad],ROWS(tblSalidas[ID])-3)),"")</f>
        <v/>
      </c>
      <c r="I38" s="99" t="str">
        <f>IFERROR(IF(INDEX(tblSalidas[ID],ROWS(tblSalidas[ID])-3)="","",INDEX(tblSalidas[Registró],ROWS(tblSalidas[ID])-3)&amp;""),"")</f>
        <v/>
      </c>
      <c r="J38" s="99"/>
      <c r="K38" s="99" t="str">
        <f>IFERROR(IF(INDEX(tblSalidas[ID],ROWS(tblSalidas[ID])-3)="","",INDEX(tblSalidas[Estado],ROWS(tblSalidas[ID])-3)&amp;""),"")</f>
        <v/>
      </c>
      <c r="L38" s="99"/>
      <c r="M38" s="9" t="str">
        <f>IFERROR(IF(INDEX(tblSalidas[ID],ROWS(tblSalidas[ID])-3)="","",INDEX(tblSalidas[Documento],ROWS(tblSalidas[ID])-3)&amp;""),"")</f>
        <v/>
      </c>
    </row>
    <row r="39" spans="2:13" s="7" customFormat="1" ht="16.5" customHeight="1" x14ac:dyDescent="0.25">
      <c r="B39" s="11" t="str">
        <f>IFERROR(IF(INDEX(tblSalidas[ID],ROWS(tblSalidas[ID])-4)="","",INDEX(tblSalidas[Fecha],ROWS(tblSalidas[ID])-4)),"")</f>
        <v/>
      </c>
      <c r="C39" s="12" t="str">
        <f>IFERROR(IF(INDEX(tblSalidas[ID],ROWS(tblSalidas[ID])-4)="","",INDEX(tblSalidas[Tipo],ROWS(tblSalidas[ID])-4)&amp;""),"")</f>
        <v/>
      </c>
      <c r="D39" s="99" t="str">
        <f>IFERROR(IF(INDEX(tblSalidas[ID],ROWS(tblSalidas[ID])-4)="","",INDEX(tblSalidas[Producto],ROWS(tblSalidas[ID])-4)&amp;""),"")</f>
        <v/>
      </c>
      <c r="E39" s="99"/>
      <c r="F39" s="99"/>
      <c r="G39" s="99"/>
      <c r="H39" s="10" t="str">
        <f>IFERROR(IF(INDEX(tblSalidas[ID],ROWS(tblSalidas[ID])-4)="","",INDEX(tblSalidas[Cantidad],ROWS(tblSalidas[ID])-4)),"")</f>
        <v/>
      </c>
      <c r="I39" s="99" t="str">
        <f>IFERROR(IF(INDEX(tblSalidas[ID],ROWS(tblSalidas[ID])-4)="","",INDEX(tblSalidas[Registró],ROWS(tblSalidas[ID])-4)&amp;""),"")</f>
        <v/>
      </c>
      <c r="J39" s="99"/>
      <c r="K39" s="99" t="str">
        <f>IFERROR(IF(INDEX(tblSalidas[ID],ROWS(tblSalidas[ID])-4)="","",INDEX(tblSalidas[Estado],ROWS(tblSalidas[ID])-4)&amp;""),"")</f>
        <v/>
      </c>
      <c r="L39" s="99"/>
      <c r="M39" s="9" t="str">
        <f>IFERROR(IF(INDEX(tblSalidas[ID],ROWS(tblSalidas[ID])-4)="","",INDEX(tblSalidas[Documento],ROWS(tblSalidas[ID])-4)&amp;""),"")</f>
        <v/>
      </c>
    </row>
    <row r="40" spans="2:13" s="7" customFormat="1" ht="16.5" customHeight="1" x14ac:dyDescent="0.25">
      <c r="B40" s="11" t="str">
        <f>IFERROR(IF(INDEX(tblSalidas[ID],ROWS(tblSalidas[ID])-5)="","",INDEX(tblSalidas[Fecha],ROWS(tblSalidas[ID])-5)),"")</f>
        <v/>
      </c>
      <c r="C40" s="12" t="str">
        <f>IFERROR(IF(INDEX(tblSalidas[ID],ROWS(tblSalidas[ID])-5)="","",INDEX(tblSalidas[Tipo],ROWS(tblSalidas[ID])-5)&amp;""),"")</f>
        <v/>
      </c>
      <c r="D40" s="99" t="str">
        <f>IFERROR(IF(INDEX(tblSalidas[ID],ROWS(tblSalidas[ID])-5)="","",INDEX(tblSalidas[Producto],ROWS(tblSalidas[ID])-5)&amp;""),"")</f>
        <v/>
      </c>
      <c r="E40" s="99"/>
      <c r="F40" s="99"/>
      <c r="G40" s="99"/>
      <c r="H40" s="10" t="str">
        <f>IFERROR(IF(INDEX(tblSalidas[ID],ROWS(tblSalidas[ID])-5)="","",INDEX(tblSalidas[Cantidad],ROWS(tblSalidas[ID])-5)),"")</f>
        <v/>
      </c>
      <c r="I40" s="99" t="str">
        <f>IFERROR(IF(INDEX(tblSalidas[ID],ROWS(tblSalidas[ID])-5)="","",INDEX(tblSalidas[Registró],ROWS(tblSalidas[ID])-5)&amp;""),"")</f>
        <v/>
      </c>
      <c r="J40" s="99"/>
      <c r="K40" s="99" t="str">
        <f>IFERROR(IF(INDEX(tblSalidas[ID],ROWS(tblSalidas[ID])-5)="","",INDEX(tblSalidas[Estado],ROWS(tblSalidas[ID])-5)&amp;""),"")</f>
        <v/>
      </c>
      <c r="L40" s="99"/>
      <c r="M40" s="9" t="str">
        <f>IFERROR(IF(INDEX(tblSalidas[ID],ROWS(tblSalidas[ID])-5)="","",INDEX(tblSalidas[Documento],ROWS(tblSalidas[ID])-5)&amp;""),"")</f>
        <v/>
      </c>
    </row>
    <row r="41" spans="2:13" s="7" customFormat="1" ht="16.5" customHeight="1" x14ac:dyDescent="0.25">
      <c r="B41" s="11" t="str">
        <f>IFERROR(IF(INDEX(tblSalidas[ID],ROWS(tblSalidas[ID])-6)="","",INDEX(tblSalidas[Fecha],ROWS(tblSalidas[ID])-6)),"")</f>
        <v/>
      </c>
      <c r="C41" s="12" t="str">
        <f>IFERROR(IF(INDEX(tblSalidas[ID],ROWS(tblSalidas[ID])-6)="","",INDEX(tblSalidas[Tipo],ROWS(tblSalidas[ID])-6)&amp;""),"")</f>
        <v/>
      </c>
      <c r="D41" s="99" t="str">
        <f>IFERROR(IF(INDEX(tblSalidas[ID],ROWS(tblSalidas[ID])-6)="","",INDEX(tblSalidas[Producto],ROWS(tblSalidas[ID])-6)&amp;""),"")</f>
        <v/>
      </c>
      <c r="E41" s="99"/>
      <c r="F41" s="99"/>
      <c r="G41" s="99"/>
      <c r="H41" s="10" t="str">
        <f>IFERROR(IF(INDEX(tblSalidas[ID],ROWS(tblSalidas[ID])-6)="","",INDEX(tblSalidas[Cantidad],ROWS(tblSalidas[ID])-6)),"")</f>
        <v/>
      </c>
      <c r="I41" s="99" t="str">
        <f>IFERROR(IF(INDEX(tblSalidas[ID],ROWS(tblSalidas[ID])-6)="","",INDEX(tblSalidas[Registró],ROWS(tblSalidas[ID])-6)&amp;""),"")</f>
        <v/>
      </c>
      <c r="J41" s="99"/>
      <c r="K41" s="99" t="str">
        <f>IFERROR(IF(INDEX(tblSalidas[ID],ROWS(tblSalidas[ID])-6)="","",INDEX(tblSalidas[Estado],ROWS(tblSalidas[ID])-6)&amp;""),"")</f>
        <v/>
      </c>
      <c r="L41" s="99"/>
      <c r="M41" s="9" t="str">
        <f>IFERROR(IF(INDEX(tblSalidas[ID],ROWS(tblSalidas[ID])-6)="","",INDEX(tblSalidas[Documento],ROWS(tblSalidas[ID])-6)&amp;""),"")</f>
        <v/>
      </c>
    </row>
    <row r="42" spans="2:13" s="7" customFormat="1" ht="16.5" customHeight="1" x14ac:dyDescent="0.25">
      <c r="B42" s="11" t="str">
        <f>IFERROR(IF(INDEX(tblSalidas[ID],ROWS(tblSalidas[ID])-7)="","",INDEX(tblSalidas[Fecha],ROWS(tblSalidas[ID])-7)),"")</f>
        <v/>
      </c>
      <c r="C42" s="12" t="str">
        <f>IFERROR(IF(INDEX(tblSalidas[ID],ROWS(tblSalidas[ID])-7)="","",INDEX(tblSalidas[Tipo],ROWS(tblSalidas[ID])-7)&amp;""),"")</f>
        <v/>
      </c>
      <c r="D42" s="99" t="str">
        <f>IFERROR(IF(INDEX(tblSalidas[ID],ROWS(tblSalidas[ID])-7)="","",INDEX(tblSalidas[Producto],ROWS(tblSalidas[ID])-7)&amp;""),"")</f>
        <v/>
      </c>
      <c r="E42" s="99"/>
      <c r="F42" s="99"/>
      <c r="G42" s="99"/>
      <c r="H42" s="10" t="str">
        <f>IFERROR(IF(INDEX(tblSalidas[ID],ROWS(tblSalidas[ID])-7)="","",INDEX(tblSalidas[Cantidad],ROWS(tblSalidas[ID])-7)),"")</f>
        <v/>
      </c>
      <c r="I42" s="99" t="str">
        <f>IFERROR(IF(INDEX(tblSalidas[ID],ROWS(tblSalidas[ID])-7)="","",INDEX(tblSalidas[Registró],ROWS(tblSalidas[ID])-7)&amp;""),"")</f>
        <v/>
      </c>
      <c r="J42" s="99"/>
      <c r="K42" s="99" t="str">
        <f>IFERROR(IF(INDEX(tblSalidas[ID],ROWS(tblSalidas[ID])-7)="","",INDEX(tblSalidas[Estado],ROWS(tblSalidas[ID])-7)&amp;""),"")</f>
        <v/>
      </c>
      <c r="L42" s="99"/>
      <c r="M42" s="9" t="str">
        <f>IFERROR(IF(INDEX(tblSalidas[ID],ROWS(tblSalidas[ID])-7)="","",INDEX(tblSalidas[Documento],ROWS(tblSalidas[ID])-7)&amp;""),"")</f>
        <v/>
      </c>
    </row>
    <row r="43" spans="2:13" s="7" customFormat="1" ht="9" customHeight="1" x14ac:dyDescent="0.25"/>
    <row r="44" spans="2:13" s="7" customFormat="1" ht="19.5" customHeight="1" x14ac:dyDescent="0.25">
      <c r="B44" s="100" t="str">
        <f>txtBitacoras</f>
        <v>Bitácoras oficiales: 0 entradas/ajustes · 0 salidas</v>
      </c>
      <c r="C44" s="100"/>
      <c r="D44" s="100"/>
      <c r="E44" s="100"/>
      <c r="F44" s="100"/>
      <c r="G44" s="100"/>
      <c r="H44" s="100"/>
      <c r="I44" s="101" t="s">
        <v>288</v>
      </c>
      <c r="J44" s="101"/>
      <c r="K44" s="101"/>
      <c r="L44" s="101"/>
      <c r="M44" s="101"/>
    </row>
  </sheetData>
  <sheetProtection password="930D" sheet="1" objects="1" scenarios="1"/>
  <mergeCells count="59">
    <mergeCell ref="D42:G42"/>
    <mergeCell ref="I42:J42"/>
    <mergeCell ref="K42:L42"/>
    <mergeCell ref="B44:H44"/>
    <mergeCell ref="I44:M44"/>
    <mergeCell ref="D40:G40"/>
    <mergeCell ref="I40:J40"/>
    <mergeCell ref="K40:L40"/>
    <mergeCell ref="D41:G41"/>
    <mergeCell ref="I41:J41"/>
    <mergeCell ref="K41:L41"/>
    <mergeCell ref="D38:G38"/>
    <mergeCell ref="I38:J38"/>
    <mergeCell ref="K38:L38"/>
    <mergeCell ref="D39:G39"/>
    <mergeCell ref="I39:J39"/>
    <mergeCell ref="K39:L39"/>
    <mergeCell ref="D36:G36"/>
    <mergeCell ref="I36:J36"/>
    <mergeCell ref="K36:L36"/>
    <mergeCell ref="D37:G37"/>
    <mergeCell ref="I37:J37"/>
    <mergeCell ref="K37:L37"/>
    <mergeCell ref="C31:F31"/>
    <mergeCell ref="D34:G34"/>
    <mergeCell ref="I34:J34"/>
    <mergeCell ref="K34:L34"/>
    <mergeCell ref="D35:G35"/>
    <mergeCell ref="I35:J35"/>
    <mergeCell ref="K35:L35"/>
    <mergeCell ref="C26:F26"/>
    <mergeCell ref="C27:F27"/>
    <mergeCell ref="C28:F28"/>
    <mergeCell ref="C29:F29"/>
    <mergeCell ref="C30:F30"/>
    <mergeCell ref="C21:F21"/>
    <mergeCell ref="C22:F22"/>
    <mergeCell ref="C23:F23"/>
    <mergeCell ref="C24:F24"/>
    <mergeCell ref="C25:F25"/>
    <mergeCell ref="B12:G13"/>
    <mergeCell ref="H12:M13"/>
    <mergeCell ref="B16:D16"/>
    <mergeCell ref="B17:D17"/>
    <mergeCell ref="B18:D18"/>
    <mergeCell ref="E16:G16"/>
    <mergeCell ref="E17:G17"/>
    <mergeCell ref="E18:G18"/>
    <mergeCell ref="H16:J16"/>
    <mergeCell ref="H17:J17"/>
    <mergeCell ref="H18:J18"/>
    <mergeCell ref="K16:M16"/>
    <mergeCell ref="K17:M17"/>
    <mergeCell ref="K18:M18"/>
    <mergeCell ref="J2:M2"/>
    <mergeCell ref="J3:M3"/>
    <mergeCell ref="B7:I7"/>
    <mergeCell ref="J7:M7"/>
    <mergeCell ref="B9:M9"/>
  </mergeCells>
  <conditionalFormatting sqref="B22:B31">
    <cfRule type="expression" dxfId="144" priority="7">
      <formula>$B22="INCONSISTENTE"</formula>
    </cfRule>
    <cfRule type="expression" dxfId="143" priority="8">
      <formula>$B22="AGOTADO"</formula>
    </cfRule>
    <cfRule type="expression" dxfId="142" priority="9">
      <formula>$B22="CRÍTICO"</formula>
    </cfRule>
    <cfRule type="expression" dxfId="141" priority="10">
      <formula>$B22="BAJO"</formula>
    </cfRule>
    <cfRule type="expression" dxfId="140" priority="11">
      <formula>$B22="ÓPTIMO"</formula>
    </cfRule>
    <cfRule type="expression" dxfId="139" priority="12">
      <formula>$B22="SOBRESTOCK"</formula>
    </cfRule>
    <cfRule type="expression" dxfId="138" priority="13">
      <formula>$B22="INACTIVO"</formula>
    </cfRule>
  </conditionalFormatting>
  <conditionalFormatting sqref="B7:I7">
    <cfRule type="expression" dxfId="137" priority="1" stopIfTrue="1">
      <formula>N(stkActualizado)=0</formula>
    </cfRule>
    <cfRule type="expression" dxfId="136" priority="2" stopIfTrue="1">
      <formula>kpiNuevosDesdeCalculo&gt;0</formula>
    </cfRule>
    <cfRule type="expression" dxfId="135" priority="3" stopIfTrue="1">
      <formula>kpiNuevosDesdeCalculo=0</formula>
    </cfRule>
  </conditionalFormatting>
  <conditionalFormatting sqref="B9:M9">
    <cfRule type="expression" dxfId="134" priority="4">
      <formula>LEFT(txtPasoVentas,1)="✖"</formula>
    </cfRule>
    <cfRule type="expression" dxfId="133" priority="5">
      <formula>LEFT(txtPasoVentas,1)="●"</formula>
    </cfRule>
    <cfRule type="expression" dxfId="132" priority="6">
      <formula>LEFT(txtPasoVentas,1)="✔"</formula>
    </cfRule>
  </conditionalFormatting>
  <conditionalFormatting sqref="G22:I31">
    <cfRule type="expression" dxfId="131" priority="14">
      <formula>AND(ISNUMBER(G22),G22&lt;&gt;INT(G22))</formula>
    </cfRule>
  </conditionalFormatting>
  <conditionalFormatting sqref="H35:H42">
    <cfRule type="expression" dxfId="130" priority="15">
      <formula>AND(ISNUMBER(H35),H35&lt;&gt;INT(H35))</formula>
    </cfRule>
  </conditionalFormatting>
  <conditionalFormatting sqref="K35:L42">
    <cfRule type="expression" dxfId="129" priority="16">
      <formula>LEFT($K35,1)="✖"</formula>
    </cfRule>
    <cfRule type="expression" dxfId="128" priority="17">
      <formula>LEFT($K35,1)="✔"</formula>
    </cfRule>
  </conditionalFormatting>
  <hyperlinks>
    <hyperlink ref="B5" location="'00_PORTADA_BODEGA'!A1" tooltip="Portada de Bodega" display="⌂ Bodega" xr:uid="{00000000-0004-0000-0100-000000000000}"/>
    <hyperlink ref="C5" location="'00_PORTADA_VENTAS'!A1" tooltip="Portada de Ventas" display="⌂ Ventas" xr:uid="{00000000-0004-0000-0100-000001000000}"/>
    <hyperlink ref="D5" location="'10A_ENTRADAS'!C9" tooltip="Registrar entradas y ajustes (Bodega)" display="⇩ Entradas" xr:uid="{00000000-0004-0000-0100-000002000000}"/>
    <hyperlink ref="E5" location="'10B_SALIDAS'!E9" tooltip="Registrar salidas (Ventas)" display="⇧ Salidas" xr:uid="{00000000-0004-0000-0100-000003000000}"/>
    <hyperlink ref="F5" location="'15_STOCK'!A1" tooltip="Stock (instantánea recalculada a demanda)" display="▦ Stock" xr:uid="{00000000-0004-0000-0100-000004000000}"/>
    <hyperlink ref="G5" location="'16_ALERTAS'!A1" tooltip="Productos que requieren acción" display="⚠ Alertas" xr:uid="{00000000-0004-0000-0100-000005000000}"/>
    <hyperlink ref="H5" location="'05_PRODUCTOS'!A1" tooltip="Catálogo de productos" display="☰ Catálogo" xr:uid="{00000000-0004-0000-0100-000006000000}"/>
    <hyperlink ref="I5" location="'99_AYUDA'!A1" tooltip="Guía de uso y de instalación" display="? Guía" xr:uid="{00000000-0004-0000-0100-000007000000}"/>
    <hyperlink ref="B12" location="'10B_SALIDAS'!E9" tooltip="Ir a su fila de captura en 10B_SALIDAS" display="⇧   REGISTRAR SALIDA" xr:uid="{00000000-0004-0000-0100-000008000000}"/>
    <hyperlink ref="H12" location="'15_STOCK'!B8" tooltip="Stock por producto (instantánea). Para el disponible exacto, elija el producto en su fila de 10B" display="▦   CONSULTAR DISPONIBILIDAD" xr:uid="{00000000-0004-0000-0100-000009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4A3B8"/>
  </sheetPr>
  <dimension ref="B1:E41"/>
  <sheetViews>
    <sheetView showGridLines="0" workbookViewId="0"/>
  </sheetViews>
  <sheetFormatPr baseColWidth="10" defaultColWidth="9.140625" defaultRowHeight="15" x14ac:dyDescent="0.25"/>
  <cols>
    <col min="1" max="1" width="3.42578125" customWidth="1"/>
    <col min="2" max="2" width="35.7109375" customWidth="1"/>
    <col min="3" max="3" width="37.140625" customWidth="1"/>
    <col min="4" max="4" width="74.28515625" customWidth="1"/>
    <col min="5" max="5" width="31.42578125" customWidth="1"/>
  </cols>
  <sheetData>
    <row r="1" spans="2:4" s="1" customFormat="1" ht="6" customHeight="1" x14ac:dyDescent="0.25"/>
    <row r="2" spans="2:4" s="1" customFormat="1" ht="24" customHeight="1" x14ac:dyDescent="0.25">
      <c r="B2" s="2" t="s">
        <v>0</v>
      </c>
    </row>
    <row r="3" spans="2:4" s="1" customFormat="1" ht="14.25" x14ac:dyDescent="0.25">
      <c r="B3" s="13" t="s">
        <v>1</v>
      </c>
    </row>
    <row r="4" spans="2:4" s="1" customFormat="1" ht="7.5" customHeight="1" x14ac:dyDescent="0.25"/>
    <row r="5" spans="2:4" s="7" customFormat="1" ht="18" customHeight="1" x14ac:dyDescent="0.25"/>
    <row r="6" spans="2:4" s="7" customFormat="1" ht="12" customHeight="1" x14ac:dyDescent="0.25"/>
    <row r="7" spans="2:4" ht="15.75" x14ac:dyDescent="0.25">
      <c r="B7" s="14" t="s">
        <v>2</v>
      </c>
    </row>
    <row r="8" spans="2:4" x14ac:dyDescent="0.25">
      <c r="B8" s="15" t="s">
        <v>3</v>
      </c>
      <c r="C8" s="16" t="s">
        <v>4</v>
      </c>
      <c r="D8" s="15" t="s">
        <v>5</v>
      </c>
    </row>
    <row r="9" spans="2:4" x14ac:dyDescent="0.25">
      <c r="B9" s="17" t="s">
        <v>6</v>
      </c>
      <c r="C9" s="18" t="s">
        <v>7</v>
      </c>
      <c r="D9" s="19" t="s">
        <v>8</v>
      </c>
    </row>
    <row r="10" spans="2:4" x14ac:dyDescent="0.25">
      <c r="B10" s="17" t="s">
        <v>9</v>
      </c>
      <c r="C10" s="18"/>
      <c r="D10" s="19" t="s">
        <v>10</v>
      </c>
    </row>
    <row r="11" spans="2:4" x14ac:dyDescent="0.25">
      <c r="B11" s="17" t="s">
        <v>11</v>
      </c>
      <c r="C11" s="18" t="s">
        <v>12</v>
      </c>
      <c r="D11" s="19" t="s">
        <v>13</v>
      </c>
    </row>
    <row r="12" spans="2:4" x14ac:dyDescent="0.25">
      <c r="B12" s="17" t="s">
        <v>14</v>
      </c>
      <c r="C12" s="18" t="s">
        <v>15</v>
      </c>
      <c r="D12" s="19" t="s">
        <v>16</v>
      </c>
    </row>
    <row r="13" spans="2:4" x14ac:dyDescent="0.25">
      <c r="B13" s="17" t="s">
        <v>17</v>
      </c>
      <c r="C13" s="20">
        <v>0.2</v>
      </c>
      <c r="D13" s="19" t="s">
        <v>18</v>
      </c>
    </row>
    <row r="14" spans="2:4" x14ac:dyDescent="0.25">
      <c r="B14" s="17" t="s">
        <v>19</v>
      </c>
      <c r="C14" s="21">
        <v>60</v>
      </c>
      <c r="D14" s="19" t="s">
        <v>20</v>
      </c>
    </row>
    <row r="15" spans="2:4" x14ac:dyDescent="0.25">
      <c r="B15" s="17" t="s">
        <v>21</v>
      </c>
      <c r="C15" s="22">
        <v>43831</v>
      </c>
      <c r="D15" s="19" t="s">
        <v>22</v>
      </c>
    </row>
    <row r="16" spans="2:4" x14ac:dyDescent="0.25">
      <c r="B16" s="17" t="s">
        <v>23</v>
      </c>
      <c r="C16" s="18" t="s">
        <v>24</v>
      </c>
      <c r="D16" s="19" t="s">
        <v>25</v>
      </c>
    </row>
    <row r="17" spans="2:5" x14ac:dyDescent="0.25">
      <c r="B17" s="17" t="s">
        <v>26</v>
      </c>
      <c r="C17" s="18" t="s">
        <v>27</v>
      </c>
      <c r="D17" s="19" t="s">
        <v>28</v>
      </c>
    </row>
    <row r="18" spans="2:5" x14ac:dyDescent="0.25">
      <c r="B18" s="17" t="s">
        <v>29</v>
      </c>
      <c r="C18" s="22">
        <v>46290</v>
      </c>
      <c r="D18" s="19" t="s">
        <v>30</v>
      </c>
    </row>
    <row r="19" spans="2:5" x14ac:dyDescent="0.25">
      <c r="B19" s="17" t="s">
        <v>31</v>
      </c>
      <c r="C19" s="18" t="s">
        <v>32</v>
      </c>
      <c r="D19" s="19" t="s">
        <v>33</v>
      </c>
    </row>
    <row r="20" spans="2:5" x14ac:dyDescent="0.25">
      <c r="B20" s="17" t="s">
        <v>34</v>
      </c>
      <c r="C20" s="23">
        <v>0</v>
      </c>
      <c r="D20" s="19" t="s">
        <v>35</v>
      </c>
    </row>
    <row r="21" spans="2:5" x14ac:dyDescent="0.25">
      <c r="B21" s="17" t="s">
        <v>36</v>
      </c>
      <c r="C21" s="18"/>
      <c r="D21" s="19" t="s">
        <v>35</v>
      </c>
    </row>
    <row r="22" spans="2:5" x14ac:dyDescent="0.25">
      <c r="B22" s="17" t="s">
        <v>37</v>
      </c>
      <c r="C22" s="18"/>
      <c r="D22" s="19" t="s">
        <v>35</v>
      </c>
    </row>
    <row r="23" spans="2:5" x14ac:dyDescent="0.25">
      <c r="B23" s="17" t="s">
        <v>38</v>
      </c>
      <c r="C23" s="24">
        <v>0</v>
      </c>
      <c r="D23" s="19" t="s">
        <v>35</v>
      </c>
    </row>
    <row r="25" spans="2:5" ht="15.75" x14ac:dyDescent="0.25">
      <c r="B25" s="14" t="s">
        <v>39</v>
      </c>
    </row>
    <row r="26" spans="2:5" ht="22.5" customHeight="1" x14ac:dyDescent="0.25">
      <c r="B26" s="15" t="s">
        <v>40</v>
      </c>
      <c r="C26" s="15" t="s">
        <v>41</v>
      </c>
      <c r="D26" s="15" t="s">
        <v>42</v>
      </c>
      <c r="E26" s="15" t="s">
        <v>5</v>
      </c>
    </row>
    <row r="27" spans="2:5" ht="42.75" x14ac:dyDescent="0.25">
      <c r="B27" s="17" t="s">
        <v>43</v>
      </c>
      <c r="C27" s="25">
        <v>1</v>
      </c>
      <c r="D27" s="26" t="s">
        <v>44</v>
      </c>
      <c r="E27" s="27" t="s">
        <v>45</v>
      </c>
    </row>
    <row r="28" spans="2:5" ht="28.5" x14ac:dyDescent="0.25">
      <c r="B28" s="17" t="s">
        <v>46</v>
      </c>
      <c r="C28" s="25">
        <v>1</v>
      </c>
      <c r="D28" s="26" t="s">
        <v>44</v>
      </c>
      <c r="E28" s="27" t="s">
        <v>47</v>
      </c>
    </row>
    <row r="29" spans="2:5" ht="28.5" x14ac:dyDescent="0.25">
      <c r="B29" s="17" t="s">
        <v>48</v>
      </c>
      <c r="C29" s="25">
        <v>1</v>
      </c>
      <c r="D29" s="26" t="s">
        <v>44</v>
      </c>
      <c r="E29" s="27" t="s">
        <v>49</v>
      </c>
    </row>
    <row r="30" spans="2:5" ht="28.5" x14ac:dyDescent="0.25">
      <c r="B30" s="17" t="s">
        <v>50</v>
      </c>
      <c r="C30" s="25">
        <v>-1</v>
      </c>
      <c r="D30" s="26" t="s">
        <v>44</v>
      </c>
      <c r="E30" s="27" t="s">
        <v>51</v>
      </c>
    </row>
    <row r="31" spans="2:5" ht="28.5" x14ac:dyDescent="0.25">
      <c r="B31" s="17" t="s">
        <v>52</v>
      </c>
      <c r="C31" s="25">
        <v>-1</v>
      </c>
      <c r="D31" s="26" t="s">
        <v>53</v>
      </c>
      <c r="E31" s="27" t="s">
        <v>54</v>
      </c>
    </row>
    <row r="33" spans="2:5" ht="15.75" x14ac:dyDescent="0.25">
      <c r="B33" s="14" t="s">
        <v>55</v>
      </c>
    </row>
    <row r="34" spans="2:5" ht="22.5" customHeight="1" x14ac:dyDescent="0.25">
      <c r="B34" s="15" t="s">
        <v>56</v>
      </c>
      <c r="C34" s="15" t="s">
        <v>57</v>
      </c>
      <c r="D34" s="15" t="s">
        <v>58</v>
      </c>
      <c r="E34" s="15" t="s">
        <v>59</v>
      </c>
    </row>
    <row r="35" spans="2:5" ht="28.5" x14ac:dyDescent="0.25">
      <c r="B35" s="28" t="s">
        <v>60</v>
      </c>
      <c r="C35" s="29">
        <v>1</v>
      </c>
      <c r="D35" s="27" t="s">
        <v>61</v>
      </c>
      <c r="E35" s="27" t="s">
        <v>62</v>
      </c>
    </row>
    <row r="36" spans="2:5" x14ac:dyDescent="0.25">
      <c r="B36" s="30" t="s">
        <v>63</v>
      </c>
      <c r="C36" s="29">
        <v>2</v>
      </c>
      <c r="D36" s="27" t="s">
        <v>64</v>
      </c>
      <c r="E36" s="27" t="s">
        <v>65</v>
      </c>
    </row>
    <row r="37" spans="2:5" x14ac:dyDescent="0.25">
      <c r="B37" s="31" t="s">
        <v>66</v>
      </c>
      <c r="C37" s="29">
        <v>3</v>
      </c>
      <c r="D37" s="27" t="s">
        <v>67</v>
      </c>
      <c r="E37" s="27" t="s">
        <v>68</v>
      </c>
    </row>
    <row r="38" spans="2:5" x14ac:dyDescent="0.25">
      <c r="B38" s="32" t="s">
        <v>69</v>
      </c>
      <c r="C38" s="29">
        <v>4</v>
      </c>
      <c r="D38" s="27" t="s">
        <v>70</v>
      </c>
      <c r="E38" s="27" t="s">
        <v>71</v>
      </c>
    </row>
    <row r="39" spans="2:5" x14ac:dyDescent="0.25">
      <c r="B39" s="33" t="s">
        <v>72</v>
      </c>
      <c r="C39" s="29">
        <v>5</v>
      </c>
      <c r="D39" s="27" t="s">
        <v>73</v>
      </c>
      <c r="E39" s="27" t="s">
        <v>74</v>
      </c>
    </row>
    <row r="40" spans="2:5" x14ac:dyDescent="0.25">
      <c r="B40" s="34" t="s">
        <v>75</v>
      </c>
      <c r="C40" s="29">
        <v>6</v>
      </c>
      <c r="D40" s="27" t="s">
        <v>76</v>
      </c>
      <c r="E40" s="27" t="s">
        <v>77</v>
      </c>
    </row>
    <row r="41" spans="2:5" x14ac:dyDescent="0.25">
      <c r="B41" s="35" t="s">
        <v>78</v>
      </c>
      <c r="C41" s="29">
        <v>7</v>
      </c>
      <c r="D41" s="27" t="s">
        <v>79</v>
      </c>
      <c r="E41" s="27" t="s">
        <v>74</v>
      </c>
    </row>
  </sheetData>
  <sheetProtection password="930D" sheet="1" objects="1" scenarios="1"/>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55A64"/>
  </sheetPr>
  <dimension ref="B1:J57"/>
  <sheetViews>
    <sheetView showGridLines="0" showRowColHeaders="0" zoomScale="90" zoomScaleNormal="90" workbookViewId="0">
      <pane ySplit="7" topLeftCell="A8" activePane="bottomLeft" state="frozen"/>
      <selection pane="bottomLeft" activeCell="B8" sqref="B8"/>
    </sheetView>
  </sheetViews>
  <sheetFormatPr baseColWidth="10" defaultColWidth="0" defaultRowHeight="15" zeroHeight="1" x14ac:dyDescent="0.25"/>
  <cols>
    <col min="1" max="1" width="2.28515625" customWidth="1"/>
    <col min="2" max="2" width="42.85546875" customWidth="1"/>
    <col min="3" max="3" width="28.5703125" customWidth="1"/>
    <col min="4" max="4" width="15.7109375" customWidth="1"/>
    <col min="5" max="5" width="10.85546875" customWidth="1"/>
    <col min="6" max="7" width="15.7109375" customWidth="1"/>
    <col min="8" max="8" width="24.28515625" customWidth="1"/>
    <col min="9" max="10" width="13.7109375" customWidth="1"/>
    <col min="11" max="11" width="2.28515625" customWidth="1"/>
    <col min="12" max="12" width="0" hidden="1" customWidth="1"/>
  </cols>
  <sheetData>
    <row r="1" spans="2:10" s="1" customFormat="1" ht="4.5" customHeight="1" x14ac:dyDescent="0.25"/>
    <row r="2" spans="2:10" s="1" customFormat="1" ht="22.5" customHeight="1" x14ac:dyDescent="0.25">
      <c r="B2" s="2" t="s">
        <v>80</v>
      </c>
    </row>
    <row r="3" spans="2:10" s="1" customFormat="1" ht="14.25" x14ac:dyDescent="0.25">
      <c r="B3" s="13" t="s">
        <v>81</v>
      </c>
    </row>
    <row r="4" spans="2:10" s="1" customFormat="1" ht="4.5" customHeight="1" x14ac:dyDescent="0.25"/>
    <row r="5" spans="2:10" s="4" customFormat="1" ht="21" customHeight="1" x14ac:dyDescent="0.25">
      <c r="B5" s="6" t="s">
        <v>82</v>
      </c>
      <c r="C5" s="6" t="s">
        <v>83</v>
      </c>
      <c r="D5" s="6" t="s">
        <v>84</v>
      </c>
      <c r="E5" s="107" t="s">
        <v>85</v>
      </c>
      <c r="F5" s="107"/>
      <c r="G5" s="6" t="s">
        <v>86</v>
      </c>
      <c r="H5" s="6" t="s">
        <v>87</v>
      </c>
      <c r="I5" s="6" t="s">
        <v>88</v>
      </c>
      <c r="J5" s="6" t="s">
        <v>89</v>
      </c>
    </row>
    <row r="6" spans="2:10" s="7" customFormat="1" ht="22.5" customHeight="1" x14ac:dyDescent="0.25">
      <c r="B6" s="36" t="str">
        <f>"Usuarios activos: "&amp;kpiUsuarios</f>
        <v>Usuarios activos: 0</v>
      </c>
      <c r="C6" s="37" t="s">
        <v>97</v>
      </c>
    </row>
    <row r="7" spans="2:10" ht="24" customHeight="1" x14ac:dyDescent="0.25">
      <c r="B7" s="16" t="s">
        <v>90</v>
      </c>
      <c r="C7" s="16" t="s">
        <v>91</v>
      </c>
      <c r="D7" s="16" t="s">
        <v>92</v>
      </c>
      <c r="E7" s="16" t="s">
        <v>93</v>
      </c>
      <c r="F7" s="15" t="s">
        <v>94</v>
      </c>
      <c r="G7" s="15" t="s">
        <v>95</v>
      </c>
      <c r="H7" s="15" t="s">
        <v>96</v>
      </c>
    </row>
    <row r="8" spans="2:10" x14ac:dyDescent="0.25">
      <c r="B8" s="38"/>
      <c r="C8" s="38"/>
      <c r="D8" s="39"/>
      <c r="E8" s="39"/>
      <c r="F8"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8"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8"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9" spans="2:10" x14ac:dyDescent="0.25">
      <c r="B9" s="38"/>
      <c r="C9" s="38"/>
      <c r="D9" s="39"/>
      <c r="E9" s="39"/>
      <c r="F9"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9"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9"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0" spans="2:10" x14ac:dyDescent="0.25">
      <c r="B10" s="38"/>
      <c r="C10" s="38"/>
      <c r="D10" s="39"/>
      <c r="E10" s="39"/>
      <c r="F10"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0"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0"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1" spans="2:10" x14ac:dyDescent="0.25">
      <c r="B11" s="38"/>
      <c r="C11" s="38"/>
      <c r="D11" s="39"/>
      <c r="E11" s="39"/>
      <c r="F11"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1"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1"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2" spans="2:10" x14ac:dyDescent="0.25">
      <c r="B12" s="38"/>
      <c r="C12" s="38"/>
      <c r="D12" s="39"/>
      <c r="E12" s="39"/>
      <c r="F12"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2"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2"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3" spans="2:10" x14ac:dyDescent="0.25">
      <c r="B13" s="38"/>
      <c r="C13" s="38"/>
      <c r="D13" s="39"/>
      <c r="E13" s="39"/>
      <c r="F13"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3"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3"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4" spans="2:10" x14ac:dyDescent="0.25">
      <c r="B14" s="38"/>
      <c r="C14" s="38"/>
      <c r="D14" s="39"/>
      <c r="E14" s="39"/>
      <c r="F14"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4"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4"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5" spans="2:10" x14ac:dyDescent="0.25">
      <c r="B15" s="38"/>
      <c r="C15" s="38"/>
      <c r="D15" s="39"/>
      <c r="E15" s="39"/>
      <c r="F15"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5"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5"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6" spans="2:10" x14ac:dyDescent="0.25">
      <c r="B16" s="38"/>
      <c r="C16" s="38"/>
      <c r="D16" s="39"/>
      <c r="E16" s="39"/>
      <c r="F16"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6"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6"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7" spans="2:8" x14ac:dyDescent="0.25">
      <c r="B17" s="38"/>
      <c r="C17" s="38"/>
      <c r="D17" s="39"/>
      <c r="E17" s="39"/>
      <c r="F17"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7"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7"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8" spans="2:8" x14ac:dyDescent="0.25">
      <c r="B18" s="38"/>
      <c r="C18" s="38"/>
      <c r="D18" s="39"/>
      <c r="E18" s="39"/>
      <c r="F18"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8"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8"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9" spans="2:8" x14ac:dyDescent="0.25">
      <c r="B19" s="38"/>
      <c r="C19" s="38"/>
      <c r="D19" s="39"/>
      <c r="E19" s="39"/>
      <c r="F19"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9"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9"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0" spans="2:8" x14ac:dyDescent="0.25">
      <c r="B20" s="38"/>
      <c r="C20" s="38"/>
      <c r="D20" s="39"/>
      <c r="E20" s="39"/>
      <c r="F20"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0"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0"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1" spans="2:8" x14ac:dyDescent="0.25">
      <c r="B21" s="38"/>
      <c r="C21" s="38"/>
      <c r="D21" s="39"/>
      <c r="E21" s="39"/>
      <c r="F21"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1"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1"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2" spans="2:8" x14ac:dyDescent="0.25">
      <c r="B22" s="38"/>
      <c r="C22" s="38"/>
      <c r="D22" s="39"/>
      <c r="E22" s="39"/>
      <c r="F22"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2"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2"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3" spans="2:8" x14ac:dyDescent="0.25">
      <c r="B23" s="38"/>
      <c r="C23" s="38"/>
      <c r="D23" s="39"/>
      <c r="E23" s="39"/>
      <c r="F23"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3"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3"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4" spans="2:8" x14ac:dyDescent="0.25">
      <c r="B24" s="38"/>
      <c r="C24" s="38"/>
      <c r="D24" s="39"/>
      <c r="E24" s="39"/>
      <c r="F24"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4"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4"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5" spans="2:8" x14ac:dyDescent="0.25">
      <c r="B25" s="38"/>
      <c r="C25" s="38"/>
      <c r="D25" s="39"/>
      <c r="E25" s="39"/>
      <c r="F25"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5"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5"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6" spans="2:8" x14ac:dyDescent="0.25">
      <c r="B26" s="38"/>
      <c r="C26" s="38"/>
      <c r="D26" s="39"/>
      <c r="E26" s="39"/>
      <c r="F26"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6"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6"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7" spans="2:8" x14ac:dyDescent="0.25">
      <c r="B27" s="38"/>
      <c r="C27" s="38"/>
      <c r="D27" s="39"/>
      <c r="E27" s="39"/>
      <c r="F27"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7"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7"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8" spans="2:8" x14ac:dyDescent="0.25">
      <c r="B28" s="38"/>
      <c r="C28" s="38"/>
      <c r="D28" s="39"/>
      <c r="E28" s="39"/>
      <c r="F28"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8"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8"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9" spans="2:8" x14ac:dyDescent="0.25">
      <c r="B29" s="38"/>
      <c r="C29" s="38"/>
      <c r="D29" s="39"/>
      <c r="E29" s="39"/>
      <c r="F29"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9"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9"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0" spans="2:8" x14ac:dyDescent="0.25">
      <c r="B30" s="38"/>
      <c r="C30" s="38"/>
      <c r="D30" s="39"/>
      <c r="E30" s="39"/>
      <c r="F30"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0"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0"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1" spans="2:8" x14ac:dyDescent="0.25">
      <c r="B31" s="38"/>
      <c r="C31" s="38"/>
      <c r="D31" s="39"/>
      <c r="E31" s="39"/>
      <c r="F31"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1"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1"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2" spans="2:8" x14ac:dyDescent="0.25">
      <c r="B32" s="38"/>
      <c r="C32" s="38"/>
      <c r="D32" s="39"/>
      <c r="E32" s="39"/>
      <c r="F32"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2"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2"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3" spans="2:8" x14ac:dyDescent="0.25">
      <c r="B33" s="38"/>
      <c r="C33" s="38"/>
      <c r="D33" s="39"/>
      <c r="E33" s="39"/>
      <c r="F33"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3"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3"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4" spans="2:8" x14ac:dyDescent="0.25">
      <c r="B34" s="38"/>
      <c r="C34" s="38"/>
      <c r="D34" s="39"/>
      <c r="E34" s="39"/>
      <c r="F34"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4"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4"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5" spans="2:8" x14ac:dyDescent="0.25">
      <c r="B35" s="38"/>
      <c r="C35" s="38"/>
      <c r="D35" s="39"/>
      <c r="E35" s="39"/>
      <c r="F35"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5"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5"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6" spans="2:8" x14ac:dyDescent="0.25">
      <c r="B36" s="38"/>
      <c r="C36" s="38"/>
      <c r="D36" s="39"/>
      <c r="E36" s="39"/>
      <c r="F36"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6"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6"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7" spans="2:8" x14ac:dyDescent="0.25">
      <c r="B37" s="38"/>
      <c r="C37" s="38"/>
      <c r="D37" s="39"/>
      <c r="E37" s="39"/>
      <c r="F37"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7"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7"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8" spans="2:8" x14ac:dyDescent="0.25">
      <c r="B38" s="38"/>
      <c r="C38" s="38"/>
      <c r="D38" s="39"/>
      <c r="E38" s="39"/>
      <c r="F38"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8"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8"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9" spans="2:8" x14ac:dyDescent="0.25">
      <c r="B39" s="38"/>
      <c r="C39" s="38"/>
      <c r="D39" s="39"/>
      <c r="E39" s="39"/>
      <c r="F39"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9"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9"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0" spans="2:8" x14ac:dyDescent="0.25">
      <c r="B40" s="38"/>
      <c r="C40" s="38"/>
      <c r="D40" s="39"/>
      <c r="E40" s="39"/>
      <c r="F40"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0"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0"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1" spans="2:8" x14ac:dyDescent="0.25">
      <c r="B41" s="38"/>
      <c r="C41" s="38"/>
      <c r="D41" s="39"/>
      <c r="E41" s="39"/>
      <c r="F41"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1"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1"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2" spans="2:8" x14ac:dyDescent="0.25">
      <c r="B42" s="38"/>
      <c r="C42" s="38"/>
      <c r="D42" s="39"/>
      <c r="E42" s="39"/>
      <c r="F42"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2"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2"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3" spans="2:8" x14ac:dyDescent="0.25">
      <c r="B43" s="38"/>
      <c r="C43" s="38"/>
      <c r="D43" s="39"/>
      <c r="E43" s="39"/>
      <c r="F43"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3"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3"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4" spans="2:8" x14ac:dyDescent="0.25">
      <c r="B44" s="38"/>
      <c r="C44" s="38"/>
      <c r="D44" s="39"/>
      <c r="E44" s="39"/>
      <c r="F44"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4"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4"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5" spans="2:8" x14ac:dyDescent="0.25">
      <c r="B45" s="38"/>
      <c r="C45" s="38"/>
      <c r="D45" s="39"/>
      <c r="E45" s="39"/>
      <c r="F45"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5"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5"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6" spans="2:8" x14ac:dyDescent="0.25">
      <c r="B46" s="38"/>
      <c r="C46" s="38"/>
      <c r="D46" s="39"/>
      <c r="E46" s="39"/>
      <c r="F46"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6"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6"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7" spans="2:8" x14ac:dyDescent="0.25">
      <c r="B47" s="38"/>
      <c r="C47" s="38"/>
      <c r="D47" s="39"/>
      <c r="E47" s="39"/>
      <c r="F47"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7"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7"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8" spans="2:8" x14ac:dyDescent="0.25">
      <c r="B48" s="38"/>
      <c r="C48" s="38"/>
      <c r="D48" s="39"/>
      <c r="E48" s="39"/>
      <c r="F48"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8"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8"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9" spans="2:8" x14ac:dyDescent="0.25">
      <c r="B49" s="38"/>
      <c r="C49" s="38"/>
      <c r="D49" s="39"/>
      <c r="E49" s="39"/>
      <c r="F49"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9"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9"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0" spans="2:8" x14ac:dyDescent="0.25">
      <c r="B50" s="38"/>
      <c r="C50" s="38"/>
      <c r="D50" s="39"/>
      <c r="E50" s="39"/>
      <c r="F50"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0"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0"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1" spans="2:8" x14ac:dyDescent="0.25">
      <c r="B51" s="38"/>
      <c r="C51" s="38"/>
      <c r="D51" s="39"/>
      <c r="E51" s="39"/>
      <c r="F51"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1"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1"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2" spans="2:8" x14ac:dyDescent="0.25">
      <c r="B52" s="38"/>
      <c r="C52" s="38"/>
      <c r="D52" s="39"/>
      <c r="E52" s="39"/>
      <c r="F52"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2"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2"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3" spans="2:8" x14ac:dyDescent="0.25">
      <c r="B53" s="38"/>
      <c r="C53" s="38"/>
      <c r="D53" s="39"/>
      <c r="E53" s="39"/>
      <c r="F53"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3"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3"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4" spans="2:8" x14ac:dyDescent="0.25">
      <c r="B54" s="38"/>
      <c r="C54" s="38"/>
      <c r="D54" s="39"/>
      <c r="E54" s="39"/>
      <c r="F54"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4"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4"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5" spans="2:8" x14ac:dyDescent="0.25">
      <c r="B55" s="38"/>
      <c r="C55" s="38"/>
      <c r="D55" s="39"/>
      <c r="E55" s="39"/>
      <c r="F55"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5"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5"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6" spans="2:8" x14ac:dyDescent="0.25">
      <c r="B56" s="38"/>
      <c r="C56" s="38"/>
      <c r="D56" s="39"/>
      <c r="E56" s="39"/>
      <c r="F56"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6"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6"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7" spans="2:8" x14ac:dyDescent="0.25">
      <c r="B57" s="38"/>
      <c r="C57" s="38"/>
      <c r="D57" s="39"/>
      <c r="E57" s="39"/>
      <c r="F57" s="40"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7" s="40"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7" s="41"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sheetData>
  <sheetProtection password="930D" sheet="1" objects="1" scenarios="1" formatColumns="0" autoFilter="0"/>
  <mergeCells count="1">
    <mergeCell ref="E5:F5"/>
  </mergeCells>
  <conditionalFormatting sqref="B8:E57">
    <cfRule type="expression" dxfId="127" priority="6">
      <formula>AND($B8="",$B7&lt;&gt;"")</formula>
    </cfRule>
  </conditionalFormatting>
  <conditionalFormatting sqref="H8:H57">
    <cfRule type="expression" dxfId="126" priority="1">
      <formula>LEFT($H8,1)="✖"</formula>
    </cfRule>
    <cfRule type="expression" dxfId="125" priority="2">
      <formula>LEFT($H8,1)="⚠"</formula>
    </cfRule>
    <cfRule type="expression" dxfId="124" priority="3">
      <formula>LEFT($H8,1)="✔"</formula>
    </cfRule>
    <cfRule type="expression" dxfId="123" priority="4">
      <formula>LEFT($H8,1)="●"</formula>
    </cfRule>
    <cfRule type="expression" dxfId="122" priority="5">
      <formula>LEFT($H8,1)="○"</formula>
    </cfRule>
  </conditionalFormatting>
  <dataValidations count="11">
    <dataValidation allowBlank="1" showInputMessage="1" showErrorMessage="1" promptTitle="✎ Correo" prompt="Correo de Microsoft 365 con el que la persona inicia sesión. Los scripts lo comparan con el usuario que ejecuta el botón." sqref="B7" xr:uid="{00000000-0002-0000-0300-000000000000}"/>
    <dataValidation allowBlank="1" showInputMessage="1" showErrorMessage="1" promptTitle="✎ Nombre" prompt="Nombre visible en la captura y en la bitácora." sqref="C7" xr:uid="{00000000-0002-0000-0300-000001000000}"/>
    <dataValidation allowBlank="1" showInputMessage="1" showErrorMessage="1" promptTitle="✎ Rol" prompt="ADMIN (todo), BODEGA (10A: entradas y ajustes), VENTAS (10B: salidas), CONSULTA (solo lectura)." sqref="D7" xr:uid="{00000000-0002-0000-0300-000002000000}"/>
    <dataValidation allowBlank="1" showInputMessage="1" showErrorMessage="1" promptTitle="✎ Activo" prompt="Escriba NO para retirar el acceso sin borrar la fila (auditoría)." sqref="E7" xr:uid="{00000000-0002-0000-0300-000003000000}"/>
    <dataValidation allowBlank="1" showInputMessage="1" showErrorMessage="1" promptTitle="ƒx OrdenBodega" prompt="Fila de captura que le corresponde en 10A_ENTRADAS." sqref="F7" xr:uid="{00000000-0002-0000-0300-000004000000}"/>
    <dataValidation allowBlank="1" showInputMessage="1" showErrorMessage="1" promptTitle="ƒx OrdenVentas" prompt="Fila de captura que le corresponde en 10B_SALIDAS." sqref="G7" xr:uid="{00000000-0002-0000-0300-000005000000}"/>
    <dataValidation allowBlank="1" showInputMessage="1" showErrorMessage="1" promptTitle="ƒx Validación" prompt="Control del registro." sqref="H7" xr:uid="{00000000-0002-0000-0300-000006000000}"/>
    <dataValidation type="custom" allowBlank="1" showInputMessage="1" showErrorMessage="1" errorTitle="Correo no válido" error="Escriba un correo válido, sin espacios y sin repetir." promptTitle="Correo de Microsoft 365" prompt="El mismo con que la persona inicia sesión (ej: ana@empresa.com). Único." sqref="B8:B57" xr:uid="{00000000-0002-0000-0300-000007000000}">
      <formula1>AND(ISNUMBER(FIND("@",B8)),ISERROR(FIND(" ",B8)),LEN(B8)&lt;=120,COUNTIF($B$8:$B$57,B8)=1)</formula1>
    </dataValidation>
    <dataValidation type="textLength" allowBlank="1" showInputMessage="1" showErrorMessage="1" errorTitle="Nombre no válido" error="Entre 2 y 60 caracteres." promptTitle="Nombre" prompt="Nombre visible (2 a 60 caracteres)." sqref="C8:C57" xr:uid="{00000000-0002-0000-0300-000008000000}">
      <formula1>2</formula1>
      <formula2>60</formula2>
    </dataValidation>
    <dataValidation type="list" allowBlank="1" showInputMessage="1" showErrorMessage="1" errorTitle="Rol no válido" error="Elija un rol de la lista." promptTitle="Rol" prompt="ADMIN, BODEGA, VENTAS o CONSULTA (Alt + ↓)." sqref="D8:D57" xr:uid="{00000000-0002-0000-0300-000009000000}">
      <formula1>lstRoles</formula1>
    </dataValidation>
    <dataValidation type="list" allowBlank="1" showInputMessage="1" showErrorMessage="1" errorTitle="Valor no válido" error="Escriba SI o NO." promptTitle="¿Activo?" prompt="NO = sin acceso (la fila se conserva para auditoría)." sqref="E8:E57" xr:uid="{00000000-0002-0000-0300-00000A000000}">
      <formula1>"SI,NO"</formula1>
    </dataValidation>
  </dataValidations>
  <hyperlinks>
    <hyperlink ref="B5" location="'00_PORTADA_BODEGA'!A1" tooltip="Portada de Bodega" display="⌂ Bodega" xr:uid="{00000000-0004-0000-0300-000000000000}"/>
    <hyperlink ref="C5" location="'00_PORTADA_VENTAS'!A1" tooltip="Portada de Ventas" display="⌂ Ventas" xr:uid="{00000000-0004-0000-0300-000001000000}"/>
    <hyperlink ref="D5" location="'10A_ENTRADAS'!C9" tooltip="Registrar entradas y ajustes (Bodega)" display="⇩ Entradas" xr:uid="{00000000-0004-0000-0300-000002000000}"/>
    <hyperlink ref="E5" location="'10B_SALIDAS'!E9" tooltip="Registrar salidas (Ventas)" display="⇧ Salidas" xr:uid="{00000000-0004-0000-0300-000003000000}"/>
    <hyperlink ref="G5" location="'15_STOCK'!A1" tooltip="Stock (instantánea recalculada a demanda)" display="▦ Stock" xr:uid="{00000000-0004-0000-0300-000004000000}"/>
    <hyperlink ref="H5" location="'16_ALERTAS'!A1" tooltip="Productos que requieren acción" display="⚠ Alertas" xr:uid="{00000000-0004-0000-0300-000005000000}"/>
    <hyperlink ref="I5" location="'05_PRODUCTOS'!A1" tooltip="Catálogo de productos" display="☰ Catálogo" xr:uid="{00000000-0004-0000-0300-000006000000}"/>
    <hyperlink ref="J5" location="'99_AYUDA'!A1" tooltip="Guía de uso y de instalación" display="? Guía" xr:uid="{00000000-0004-0000-0300-000007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4A3B8"/>
  </sheetPr>
  <dimension ref="B1:D13"/>
  <sheetViews>
    <sheetView showGridLines="0" workbookViewId="0"/>
  </sheetViews>
  <sheetFormatPr baseColWidth="10" defaultColWidth="9.140625" defaultRowHeight="15" x14ac:dyDescent="0.25"/>
  <cols>
    <col min="1" max="1" width="3.42578125" customWidth="1"/>
    <col min="2" max="2" width="15.7109375" customWidth="1"/>
    <col min="3" max="3" width="34.28515625" customWidth="1"/>
    <col min="4" max="4" width="60" customWidth="1"/>
    <col min="5" max="5" width="3.42578125" customWidth="1"/>
  </cols>
  <sheetData>
    <row r="1" spans="2:4" s="1" customFormat="1" ht="6" customHeight="1" x14ac:dyDescent="0.25"/>
    <row r="2" spans="2:4" s="1" customFormat="1" ht="24" customHeight="1" x14ac:dyDescent="0.25">
      <c r="B2" s="2" t="s">
        <v>121</v>
      </c>
    </row>
    <row r="3" spans="2:4" s="1" customFormat="1" ht="14.25" x14ac:dyDescent="0.25">
      <c r="B3" s="13" t="s">
        <v>122</v>
      </c>
    </row>
    <row r="4" spans="2:4" s="1" customFormat="1" ht="7.5" customHeight="1" x14ac:dyDescent="0.25"/>
    <row r="5" spans="2:4" s="7" customFormat="1" ht="18" customHeight="1" x14ac:dyDescent="0.25"/>
    <row r="6" spans="2:4" s="7" customFormat="1" ht="12" customHeight="1" x14ac:dyDescent="0.25"/>
    <row r="7" spans="2:4" ht="22.5" customHeight="1" x14ac:dyDescent="0.25">
      <c r="B7" s="15" t="s">
        <v>123</v>
      </c>
      <c r="C7" s="15" t="s">
        <v>113</v>
      </c>
      <c r="D7" s="15" t="s">
        <v>5</v>
      </c>
    </row>
    <row r="8" spans="2:4" x14ac:dyDescent="0.25">
      <c r="B8" s="29" t="s">
        <v>124</v>
      </c>
      <c r="C8" s="17" t="s">
        <v>125</v>
      </c>
      <c r="D8" s="42" t="s">
        <v>126</v>
      </c>
    </row>
    <row r="9" spans="2:4" x14ac:dyDescent="0.25">
      <c r="B9" s="29" t="s">
        <v>127</v>
      </c>
      <c r="C9" s="17" t="s">
        <v>128</v>
      </c>
      <c r="D9" s="42" t="s">
        <v>129</v>
      </c>
    </row>
    <row r="10" spans="2:4" x14ac:dyDescent="0.25">
      <c r="B10" s="29" t="s">
        <v>130</v>
      </c>
      <c r="C10" s="17" t="s">
        <v>131</v>
      </c>
      <c r="D10" s="42" t="s">
        <v>132</v>
      </c>
    </row>
    <row r="11" spans="2:4" x14ac:dyDescent="0.25">
      <c r="B11" s="29" t="s">
        <v>133</v>
      </c>
      <c r="C11" s="17" t="s">
        <v>134</v>
      </c>
      <c r="D11" s="42" t="s">
        <v>135</v>
      </c>
    </row>
    <row r="12" spans="2:4" x14ac:dyDescent="0.25">
      <c r="B12" s="29" t="s">
        <v>136</v>
      </c>
      <c r="C12" s="17" t="s">
        <v>137</v>
      </c>
      <c r="D12" s="42" t="s">
        <v>138</v>
      </c>
    </row>
    <row r="13" spans="2:4" x14ac:dyDescent="0.25">
      <c r="B13" s="29" t="s">
        <v>139</v>
      </c>
      <c r="C13" s="17" t="s">
        <v>140</v>
      </c>
      <c r="D13" s="42" t="s">
        <v>141</v>
      </c>
    </row>
  </sheetData>
  <sheetProtection password="930D" sheet="1" objects="1" scenarios="1"/>
  <dataValidations count="3">
    <dataValidation allowBlank="1" showInputMessage="1" showErrorMessage="1" promptTitle="Código" prompt="Abreviatura interna (opcional)." sqref="B7" xr:uid="{00000000-0002-0000-0400-000000000000}"/>
    <dataValidation allowBlank="1" showInputMessage="1" showErrorMessage="1" promptTitle="Categoría" prompt="Nombre visible en las listas. No lo cambie si ya tiene productos asociados." sqref="C7" xr:uid="{00000000-0002-0000-0400-000001000000}"/>
    <dataValidation allowBlank="1" showInputMessage="1" showErrorMessage="1" promptTitle="Descripción" prompt="Texto de apoyo." sqref="D7" xr:uid="{00000000-0002-0000-0400-000002000000}"/>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D6E63"/>
    <pageSetUpPr fitToPage="1"/>
  </sheetPr>
  <dimension ref="B1:J107"/>
  <sheetViews>
    <sheetView showGridLines="0" showRowColHeaders="0" zoomScale="90" zoomScaleNormal="90" workbookViewId="0">
      <pane ySplit="7" topLeftCell="A8" activePane="bottomLeft" state="frozen"/>
      <selection pane="bottomLeft" activeCell="B8" sqref="B8"/>
    </sheetView>
  </sheetViews>
  <sheetFormatPr baseColWidth="10" defaultColWidth="0" defaultRowHeight="15" zeroHeight="1" x14ac:dyDescent="0.25"/>
  <cols>
    <col min="1" max="1" width="2.28515625" customWidth="1"/>
    <col min="2" max="2" width="34.28515625" customWidth="1"/>
    <col min="3" max="3" width="18.5703125" customWidth="1"/>
    <col min="4" max="4" width="24.28515625" customWidth="1"/>
    <col min="5" max="5" width="17.7109375" customWidth="1"/>
    <col min="6" max="6" width="35.7109375" customWidth="1"/>
    <col min="7" max="7" width="14.85546875" customWidth="1"/>
    <col min="8" max="9" width="14.28515625" customWidth="1"/>
    <col min="10" max="10" width="27.140625" customWidth="1"/>
    <col min="11" max="11" width="2.28515625" customWidth="1"/>
    <col min="12" max="12" width="0" hidden="1" customWidth="1"/>
  </cols>
  <sheetData>
    <row r="1" spans="2:10" s="1" customFormat="1" ht="4.5" customHeight="1" x14ac:dyDescent="0.25"/>
    <row r="2" spans="2:10" s="1" customFormat="1" ht="22.5" customHeight="1" x14ac:dyDescent="0.25">
      <c r="B2" s="2" t="s">
        <v>98</v>
      </c>
    </row>
    <row r="3" spans="2:10" s="1" customFormat="1" ht="14.25" x14ac:dyDescent="0.25">
      <c r="B3" s="13" t="s">
        <v>99</v>
      </c>
    </row>
    <row r="4" spans="2:10" s="1" customFormat="1" ht="4.5" customHeight="1" x14ac:dyDescent="0.25"/>
    <row r="5" spans="2:10" s="4" customFormat="1" ht="21" customHeight="1" x14ac:dyDescent="0.25">
      <c r="B5" s="6" t="s">
        <v>82</v>
      </c>
      <c r="C5" s="6" t="s">
        <v>83</v>
      </c>
      <c r="D5" s="6" t="s">
        <v>84</v>
      </c>
      <c r="E5" s="6" t="s">
        <v>85</v>
      </c>
      <c r="F5" s="6" t="s">
        <v>86</v>
      </c>
      <c r="G5" s="6" t="s">
        <v>87</v>
      </c>
      <c r="H5" s="6" t="s">
        <v>88</v>
      </c>
      <c r="I5" s="6" t="s">
        <v>89</v>
      </c>
    </row>
    <row r="6" spans="2:10" x14ac:dyDescent="0.25">
      <c r="B6" s="43" t="s">
        <v>107</v>
      </c>
      <c r="C6" s="43" t="s">
        <v>107</v>
      </c>
      <c r="D6" s="43" t="s">
        <v>107</v>
      </c>
      <c r="E6" s="43" t="s">
        <v>107</v>
      </c>
      <c r="F6" s="43" t="s">
        <v>107</v>
      </c>
      <c r="G6" s="43" t="s">
        <v>107</v>
      </c>
      <c r="H6" s="44" t="s">
        <v>108</v>
      </c>
      <c r="I6" s="44" t="s">
        <v>108</v>
      </c>
      <c r="J6" s="44" t="s">
        <v>108</v>
      </c>
    </row>
    <row r="7" spans="2:10" ht="25.5" customHeight="1" x14ac:dyDescent="0.25">
      <c r="B7" s="16" t="s">
        <v>100</v>
      </c>
      <c r="C7" s="16" t="s">
        <v>101</v>
      </c>
      <c r="D7" s="16" t="s">
        <v>102</v>
      </c>
      <c r="E7" s="16" t="s">
        <v>103</v>
      </c>
      <c r="F7" s="16" t="s">
        <v>90</v>
      </c>
      <c r="G7" s="16" t="s">
        <v>104</v>
      </c>
      <c r="H7" s="15" t="s">
        <v>105</v>
      </c>
      <c r="I7" s="15" t="s">
        <v>106</v>
      </c>
      <c r="J7" s="15" t="s">
        <v>96</v>
      </c>
    </row>
    <row r="8" spans="2:10" x14ac:dyDescent="0.25">
      <c r="B8" s="38"/>
      <c r="C8" s="39"/>
      <c r="D8" s="38"/>
      <c r="E8" s="39"/>
      <c r="F8" s="38"/>
      <c r="G8" s="45"/>
      <c r="H8" s="40" t="str">
        <f>IF(tblProveedores[[#This Row],[Proveedor]]="","",COUNTIF(tblProductos[Proveedor],tblProveedores[[#This Row],[Proveedor]]))</f>
        <v/>
      </c>
      <c r="I8" s="40" t="str">
        <f>IF(tblProveedores[[#This Row],[Proveedor]]="","",SUMPRODUCT(COUNTIFS(tblStock[Proveedor],tblProveedores[[#This Row],[Proveedor]],tblStock[Estado],{"INCONSISTENTE","AGOTADO","CRÍTICO","BAJO"})))</f>
        <v/>
      </c>
      <c r="J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 spans="2:10" x14ac:dyDescent="0.25">
      <c r="B9" s="38"/>
      <c r="C9" s="39"/>
      <c r="D9" s="38"/>
      <c r="E9" s="39"/>
      <c r="F9" s="38"/>
      <c r="G9" s="45"/>
      <c r="H9" s="40" t="str">
        <f>IF(tblProveedores[[#This Row],[Proveedor]]="","",COUNTIF(tblProductos[Proveedor],tblProveedores[[#This Row],[Proveedor]]))</f>
        <v/>
      </c>
      <c r="I9" s="40" t="str">
        <f>IF(tblProveedores[[#This Row],[Proveedor]]="","",SUMPRODUCT(COUNTIFS(tblStock[Proveedor],tblProveedores[[#This Row],[Proveedor]],tblStock[Estado],{"INCONSISTENTE","AGOTADO","CRÍTICO","BAJO"})))</f>
        <v/>
      </c>
      <c r="J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 spans="2:10" x14ac:dyDescent="0.25">
      <c r="B10" s="38"/>
      <c r="C10" s="39"/>
      <c r="D10" s="38"/>
      <c r="E10" s="39"/>
      <c r="F10" s="38"/>
      <c r="G10" s="45"/>
      <c r="H10" s="40" t="str">
        <f>IF(tblProveedores[[#This Row],[Proveedor]]="","",COUNTIF(tblProductos[Proveedor],tblProveedores[[#This Row],[Proveedor]]))</f>
        <v/>
      </c>
      <c r="I10" s="40" t="str">
        <f>IF(tblProveedores[[#This Row],[Proveedor]]="","",SUMPRODUCT(COUNTIFS(tblStock[Proveedor],tblProveedores[[#This Row],[Proveedor]],tblStock[Estado],{"INCONSISTENTE","AGOTADO","CRÍTICO","BAJO"})))</f>
        <v/>
      </c>
      <c r="J1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1" spans="2:10" x14ac:dyDescent="0.25">
      <c r="B11" s="38"/>
      <c r="C11" s="39"/>
      <c r="D11" s="38"/>
      <c r="E11" s="39"/>
      <c r="F11" s="38"/>
      <c r="G11" s="45"/>
      <c r="H11" s="40" t="str">
        <f>IF(tblProveedores[[#This Row],[Proveedor]]="","",COUNTIF(tblProductos[Proveedor],tblProveedores[[#This Row],[Proveedor]]))</f>
        <v/>
      </c>
      <c r="I11" s="40" t="str">
        <f>IF(tblProveedores[[#This Row],[Proveedor]]="","",SUMPRODUCT(COUNTIFS(tblStock[Proveedor],tblProveedores[[#This Row],[Proveedor]],tblStock[Estado],{"INCONSISTENTE","AGOTADO","CRÍTICO","BAJO"})))</f>
        <v/>
      </c>
      <c r="J1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2" spans="2:10" x14ac:dyDescent="0.25">
      <c r="B12" s="38"/>
      <c r="C12" s="39"/>
      <c r="D12" s="38"/>
      <c r="E12" s="39"/>
      <c r="F12" s="38"/>
      <c r="G12" s="45"/>
      <c r="H12" s="40" t="str">
        <f>IF(tblProveedores[[#This Row],[Proveedor]]="","",COUNTIF(tblProductos[Proveedor],tblProveedores[[#This Row],[Proveedor]]))</f>
        <v/>
      </c>
      <c r="I12" s="40" t="str">
        <f>IF(tblProveedores[[#This Row],[Proveedor]]="","",SUMPRODUCT(COUNTIFS(tblStock[Proveedor],tblProveedores[[#This Row],[Proveedor]],tblStock[Estado],{"INCONSISTENTE","AGOTADO","CRÍTICO","BAJO"})))</f>
        <v/>
      </c>
      <c r="J1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3" spans="2:10" x14ac:dyDescent="0.25">
      <c r="B13" s="38"/>
      <c r="C13" s="39"/>
      <c r="D13" s="38"/>
      <c r="E13" s="39"/>
      <c r="F13" s="38"/>
      <c r="G13" s="45"/>
      <c r="H13" s="40" t="str">
        <f>IF(tblProveedores[[#This Row],[Proveedor]]="","",COUNTIF(tblProductos[Proveedor],tblProveedores[[#This Row],[Proveedor]]))</f>
        <v/>
      </c>
      <c r="I13" s="40" t="str">
        <f>IF(tblProveedores[[#This Row],[Proveedor]]="","",SUMPRODUCT(COUNTIFS(tblStock[Proveedor],tblProveedores[[#This Row],[Proveedor]],tblStock[Estado],{"INCONSISTENTE","AGOTADO","CRÍTICO","BAJO"})))</f>
        <v/>
      </c>
      <c r="J1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4" spans="2:10" x14ac:dyDescent="0.25">
      <c r="B14" s="38"/>
      <c r="C14" s="39"/>
      <c r="D14" s="38"/>
      <c r="E14" s="39"/>
      <c r="F14" s="38"/>
      <c r="G14" s="45"/>
      <c r="H14" s="40" t="str">
        <f>IF(tblProveedores[[#This Row],[Proveedor]]="","",COUNTIF(tblProductos[Proveedor],tblProveedores[[#This Row],[Proveedor]]))</f>
        <v/>
      </c>
      <c r="I14" s="40" t="str">
        <f>IF(tblProveedores[[#This Row],[Proveedor]]="","",SUMPRODUCT(COUNTIFS(tblStock[Proveedor],tblProveedores[[#This Row],[Proveedor]],tblStock[Estado],{"INCONSISTENTE","AGOTADO","CRÍTICO","BAJO"})))</f>
        <v/>
      </c>
      <c r="J1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5" spans="2:10" x14ac:dyDescent="0.25">
      <c r="B15" s="38"/>
      <c r="C15" s="39"/>
      <c r="D15" s="38"/>
      <c r="E15" s="39"/>
      <c r="F15" s="38"/>
      <c r="G15" s="45"/>
      <c r="H15" s="40" t="str">
        <f>IF(tblProveedores[[#This Row],[Proveedor]]="","",COUNTIF(tblProductos[Proveedor],tblProveedores[[#This Row],[Proveedor]]))</f>
        <v/>
      </c>
      <c r="I15" s="40" t="str">
        <f>IF(tblProveedores[[#This Row],[Proveedor]]="","",SUMPRODUCT(COUNTIFS(tblStock[Proveedor],tblProveedores[[#This Row],[Proveedor]],tblStock[Estado],{"INCONSISTENTE","AGOTADO","CRÍTICO","BAJO"})))</f>
        <v/>
      </c>
      <c r="J1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6" spans="2:10" x14ac:dyDescent="0.25">
      <c r="B16" s="38"/>
      <c r="C16" s="39"/>
      <c r="D16" s="38"/>
      <c r="E16" s="39"/>
      <c r="F16" s="38"/>
      <c r="G16" s="45"/>
      <c r="H16" s="40" t="str">
        <f>IF(tblProveedores[[#This Row],[Proveedor]]="","",COUNTIF(tblProductos[Proveedor],tblProveedores[[#This Row],[Proveedor]]))</f>
        <v/>
      </c>
      <c r="I16" s="40" t="str">
        <f>IF(tblProveedores[[#This Row],[Proveedor]]="","",SUMPRODUCT(COUNTIFS(tblStock[Proveedor],tblProveedores[[#This Row],[Proveedor]],tblStock[Estado],{"INCONSISTENTE","AGOTADO","CRÍTICO","BAJO"})))</f>
        <v/>
      </c>
      <c r="J1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7" spans="2:10" x14ac:dyDescent="0.25">
      <c r="B17" s="38"/>
      <c r="C17" s="39"/>
      <c r="D17" s="38"/>
      <c r="E17" s="39"/>
      <c r="F17" s="38"/>
      <c r="G17" s="45"/>
      <c r="H17" s="40" t="str">
        <f>IF(tblProveedores[[#This Row],[Proveedor]]="","",COUNTIF(tblProductos[Proveedor],tblProveedores[[#This Row],[Proveedor]]))</f>
        <v/>
      </c>
      <c r="I17" s="40" t="str">
        <f>IF(tblProveedores[[#This Row],[Proveedor]]="","",SUMPRODUCT(COUNTIFS(tblStock[Proveedor],tblProveedores[[#This Row],[Proveedor]],tblStock[Estado],{"INCONSISTENTE","AGOTADO","CRÍTICO","BAJO"})))</f>
        <v/>
      </c>
      <c r="J1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8" spans="2:10" x14ac:dyDescent="0.25">
      <c r="B18" s="38"/>
      <c r="C18" s="39"/>
      <c r="D18" s="38"/>
      <c r="E18" s="39"/>
      <c r="F18" s="38"/>
      <c r="G18" s="45"/>
      <c r="H18" s="40" t="str">
        <f>IF(tblProveedores[[#This Row],[Proveedor]]="","",COUNTIF(tblProductos[Proveedor],tblProveedores[[#This Row],[Proveedor]]))</f>
        <v/>
      </c>
      <c r="I18" s="40" t="str">
        <f>IF(tblProveedores[[#This Row],[Proveedor]]="","",SUMPRODUCT(COUNTIFS(tblStock[Proveedor],tblProveedores[[#This Row],[Proveedor]],tblStock[Estado],{"INCONSISTENTE","AGOTADO","CRÍTICO","BAJO"})))</f>
        <v/>
      </c>
      <c r="J1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9" spans="2:10" x14ac:dyDescent="0.25">
      <c r="B19" s="38"/>
      <c r="C19" s="39"/>
      <c r="D19" s="38"/>
      <c r="E19" s="39"/>
      <c r="F19" s="38"/>
      <c r="G19" s="45"/>
      <c r="H19" s="40" t="str">
        <f>IF(tblProveedores[[#This Row],[Proveedor]]="","",COUNTIF(tblProductos[Proveedor],tblProveedores[[#This Row],[Proveedor]]))</f>
        <v/>
      </c>
      <c r="I19" s="40" t="str">
        <f>IF(tblProveedores[[#This Row],[Proveedor]]="","",SUMPRODUCT(COUNTIFS(tblStock[Proveedor],tblProveedores[[#This Row],[Proveedor]],tblStock[Estado],{"INCONSISTENTE","AGOTADO","CRÍTICO","BAJO"})))</f>
        <v/>
      </c>
      <c r="J1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0" spans="2:10" x14ac:dyDescent="0.25">
      <c r="B20" s="38"/>
      <c r="C20" s="39"/>
      <c r="D20" s="38"/>
      <c r="E20" s="39"/>
      <c r="F20" s="38"/>
      <c r="G20" s="45"/>
      <c r="H20" s="40" t="str">
        <f>IF(tblProveedores[[#This Row],[Proveedor]]="","",COUNTIF(tblProductos[Proveedor],tblProveedores[[#This Row],[Proveedor]]))</f>
        <v/>
      </c>
      <c r="I20" s="40" t="str">
        <f>IF(tblProveedores[[#This Row],[Proveedor]]="","",SUMPRODUCT(COUNTIFS(tblStock[Proveedor],tblProveedores[[#This Row],[Proveedor]],tblStock[Estado],{"INCONSISTENTE","AGOTADO","CRÍTICO","BAJO"})))</f>
        <v/>
      </c>
      <c r="J2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1" spans="2:10" x14ac:dyDescent="0.25">
      <c r="B21" s="38"/>
      <c r="C21" s="39"/>
      <c r="D21" s="38"/>
      <c r="E21" s="39"/>
      <c r="F21" s="38"/>
      <c r="G21" s="45"/>
      <c r="H21" s="40" t="str">
        <f>IF(tblProveedores[[#This Row],[Proveedor]]="","",COUNTIF(tblProductos[Proveedor],tblProveedores[[#This Row],[Proveedor]]))</f>
        <v/>
      </c>
      <c r="I21" s="40" t="str">
        <f>IF(tblProveedores[[#This Row],[Proveedor]]="","",SUMPRODUCT(COUNTIFS(tblStock[Proveedor],tblProveedores[[#This Row],[Proveedor]],tblStock[Estado],{"INCONSISTENTE","AGOTADO","CRÍTICO","BAJO"})))</f>
        <v/>
      </c>
      <c r="J2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2" spans="2:10" x14ac:dyDescent="0.25">
      <c r="B22" s="38"/>
      <c r="C22" s="39"/>
      <c r="D22" s="38"/>
      <c r="E22" s="39"/>
      <c r="F22" s="38"/>
      <c r="G22" s="45"/>
      <c r="H22" s="40" t="str">
        <f>IF(tblProveedores[[#This Row],[Proveedor]]="","",COUNTIF(tblProductos[Proveedor],tblProveedores[[#This Row],[Proveedor]]))</f>
        <v/>
      </c>
      <c r="I22" s="40" t="str">
        <f>IF(tblProveedores[[#This Row],[Proveedor]]="","",SUMPRODUCT(COUNTIFS(tblStock[Proveedor],tblProveedores[[#This Row],[Proveedor]],tblStock[Estado],{"INCONSISTENTE","AGOTADO","CRÍTICO","BAJO"})))</f>
        <v/>
      </c>
      <c r="J2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3" spans="2:10" x14ac:dyDescent="0.25">
      <c r="B23" s="38"/>
      <c r="C23" s="39"/>
      <c r="D23" s="38"/>
      <c r="E23" s="39"/>
      <c r="F23" s="38"/>
      <c r="G23" s="45"/>
      <c r="H23" s="40" t="str">
        <f>IF(tblProveedores[[#This Row],[Proveedor]]="","",COUNTIF(tblProductos[Proveedor],tblProveedores[[#This Row],[Proveedor]]))</f>
        <v/>
      </c>
      <c r="I23" s="40" t="str">
        <f>IF(tblProveedores[[#This Row],[Proveedor]]="","",SUMPRODUCT(COUNTIFS(tblStock[Proveedor],tblProveedores[[#This Row],[Proveedor]],tblStock[Estado],{"INCONSISTENTE","AGOTADO","CRÍTICO","BAJO"})))</f>
        <v/>
      </c>
      <c r="J2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4" spans="2:10" x14ac:dyDescent="0.25">
      <c r="B24" s="38"/>
      <c r="C24" s="39"/>
      <c r="D24" s="38"/>
      <c r="E24" s="39"/>
      <c r="F24" s="38"/>
      <c r="G24" s="45"/>
      <c r="H24" s="40" t="str">
        <f>IF(tblProveedores[[#This Row],[Proveedor]]="","",COUNTIF(tblProductos[Proveedor],tblProveedores[[#This Row],[Proveedor]]))</f>
        <v/>
      </c>
      <c r="I24" s="40" t="str">
        <f>IF(tblProveedores[[#This Row],[Proveedor]]="","",SUMPRODUCT(COUNTIFS(tblStock[Proveedor],tblProveedores[[#This Row],[Proveedor]],tblStock[Estado],{"INCONSISTENTE","AGOTADO","CRÍTICO","BAJO"})))</f>
        <v/>
      </c>
      <c r="J2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5" spans="2:10" x14ac:dyDescent="0.25">
      <c r="B25" s="38"/>
      <c r="C25" s="39"/>
      <c r="D25" s="38"/>
      <c r="E25" s="39"/>
      <c r="F25" s="38"/>
      <c r="G25" s="45"/>
      <c r="H25" s="40" t="str">
        <f>IF(tblProveedores[[#This Row],[Proveedor]]="","",COUNTIF(tblProductos[Proveedor],tblProveedores[[#This Row],[Proveedor]]))</f>
        <v/>
      </c>
      <c r="I25" s="40" t="str">
        <f>IF(tblProveedores[[#This Row],[Proveedor]]="","",SUMPRODUCT(COUNTIFS(tblStock[Proveedor],tblProveedores[[#This Row],[Proveedor]],tblStock[Estado],{"INCONSISTENTE","AGOTADO","CRÍTICO","BAJO"})))</f>
        <v/>
      </c>
      <c r="J2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6" spans="2:10" x14ac:dyDescent="0.25">
      <c r="B26" s="38"/>
      <c r="C26" s="39"/>
      <c r="D26" s="38"/>
      <c r="E26" s="39"/>
      <c r="F26" s="38"/>
      <c r="G26" s="45"/>
      <c r="H26" s="40" t="str">
        <f>IF(tblProveedores[[#This Row],[Proveedor]]="","",COUNTIF(tblProductos[Proveedor],tblProveedores[[#This Row],[Proveedor]]))</f>
        <v/>
      </c>
      <c r="I26" s="40" t="str">
        <f>IF(tblProveedores[[#This Row],[Proveedor]]="","",SUMPRODUCT(COUNTIFS(tblStock[Proveedor],tblProveedores[[#This Row],[Proveedor]],tblStock[Estado],{"INCONSISTENTE","AGOTADO","CRÍTICO","BAJO"})))</f>
        <v/>
      </c>
      <c r="J2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7" spans="2:10" x14ac:dyDescent="0.25">
      <c r="B27" s="38"/>
      <c r="C27" s="39"/>
      <c r="D27" s="38"/>
      <c r="E27" s="39"/>
      <c r="F27" s="38"/>
      <c r="G27" s="45"/>
      <c r="H27" s="40" t="str">
        <f>IF(tblProveedores[[#This Row],[Proveedor]]="","",COUNTIF(tblProductos[Proveedor],tblProveedores[[#This Row],[Proveedor]]))</f>
        <v/>
      </c>
      <c r="I27" s="40" t="str">
        <f>IF(tblProveedores[[#This Row],[Proveedor]]="","",SUMPRODUCT(COUNTIFS(tblStock[Proveedor],tblProveedores[[#This Row],[Proveedor]],tblStock[Estado],{"INCONSISTENTE","AGOTADO","CRÍTICO","BAJO"})))</f>
        <v/>
      </c>
      <c r="J2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8" spans="2:10" x14ac:dyDescent="0.25">
      <c r="B28" s="38"/>
      <c r="C28" s="39"/>
      <c r="D28" s="38"/>
      <c r="E28" s="39"/>
      <c r="F28" s="38"/>
      <c r="G28" s="45"/>
      <c r="H28" s="40" t="str">
        <f>IF(tblProveedores[[#This Row],[Proveedor]]="","",COUNTIF(tblProductos[Proveedor],tblProveedores[[#This Row],[Proveedor]]))</f>
        <v/>
      </c>
      <c r="I28" s="40" t="str">
        <f>IF(tblProveedores[[#This Row],[Proveedor]]="","",SUMPRODUCT(COUNTIFS(tblStock[Proveedor],tblProveedores[[#This Row],[Proveedor]],tblStock[Estado],{"INCONSISTENTE","AGOTADO","CRÍTICO","BAJO"})))</f>
        <v/>
      </c>
      <c r="J2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9" spans="2:10" x14ac:dyDescent="0.25">
      <c r="B29" s="38"/>
      <c r="C29" s="39"/>
      <c r="D29" s="38"/>
      <c r="E29" s="39"/>
      <c r="F29" s="38"/>
      <c r="G29" s="45"/>
      <c r="H29" s="40" t="str">
        <f>IF(tblProveedores[[#This Row],[Proveedor]]="","",COUNTIF(tblProductos[Proveedor],tblProveedores[[#This Row],[Proveedor]]))</f>
        <v/>
      </c>
      <c r="I29" s="40" t="str">
        <f>IF(tblProveedores[[#This Row],[Proveedor]]="","",SUMPRODUCT(COUNTIFS(tblStock[Proveedor],tblProveedores[[#This Row],[Proveedor]],tblStock[Estado],{"INCONSISTENTE","AGOTADO","CRÍTICO","BAJO"})))</f>
        <v/>
      </c>
      <c r="J2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0" spans="2:10" x14ac:dyDescent="0.25">
      <c r="B30" s="38"/>
      <c r="C30" s="39"/>
      <c r="D30" s="38"/>
      <c r="E30" s="39"/>
      <c r="F30" s="38"/>
      <c r="G30" s="45"/>
      <c r="H30" s="40" t="str">
        <f>IF(tblProveedores[[#This Row],[Proveedor]]="","",COUNTIF(tblProductos[Proveedor],tblProveedores[[#This Row],[Proveedor]]))</f>
        <v/>
      </c>
      <c r="I30" s="40" t="str">
        <f>IF(tblProveedores[[#This Row],[Proveedor]]="","",SUMPRODUCT(COUNTIFS(tblStock[Proveedor],tblProveedores[[#This Row],[Proveedor]],tblStock[Estado],{"INCONSISTENTE","AGOTADO","CRÍTICO","BAJO"})))</f>
        <v/>
      </c>
      <c r="J3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1" spans="2:10" x14ac:dyDescent="0.25">
      <c r="B31" s="38"/>
      <c r="C31" s="39"/>
      <c r="D31" s="38"/>
      <c r="E31" s="39"/>
      <c r="F31" s="38"/>
      <c r="G31" s="45"/>
      <c r="H31" s="40" t="str">
        <f>IF(tblProveedores[[#This Row],[Proveedor]]="","",COUNTIF(tblProductos[Proveedor],tblProveedores[[#This Row],[Proveedor]]))</f>
        <v/>
      </c>
      <c r="I31" s="40" t="str">
        <f>IF(tblProveedores[[#This Row],[Proveedor]]="","",SUMPRODUCT(COUNTIFS(tblStock[Proveedor],tblProveedores[[#This Row],[Proveedor]],tblStock[Estado],{"INCONSISTENTE","AGOTADO","CRÍTICO","BAJO"})))</f>
        <v/>
      </c>
      <c r="J3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2" spans="2:10" x14ac:dyDescent="0.25">
      <c r="B32" s="38"/>
      <c r="C32" s="39"/>
      <c r="D32" s="38"/>
      <c r="E32" s="39"/>
      <c r="F32" s="38"/>
      <c r="G32" s="45"/>
      <c r="H32" s="40" t="str">
        <f>IF(tblProveedores[[#This Row],[Proveedor]]="","",COUNTIF(tblProductos[Proveedor],tblProveedores[[#This Row],[Proveedor]]))</f>
        <v/>
      </c>
      <c r="I32" s="40" t="str">
        <f>IF(tblProveedores[[#This Row],[Proveedor]]="","",SUMPRODUCT(COUNTIFS(tblStock[Proveedor],tblProveedores[[#This Row],[Proveedor]],tblStock[Estado],{"INCONSISTENTE","AGOTADO","CRÍTICO","BAJO"})))</f>
        <v/>
      </c>
      <c r="J3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3" spans="2:10" x14ac:dyDescent="0.25">
      <c r="B33" s="38"/>
      <c r="C33" s="39"/>
      <c r="D33" s="38"/>
      <c r="E33" s="39"/>
      <c r="F33" s="38"/>
      <c r="G33" s="45"/>
      <c r="H33" s="40" t="str">
        <f>IF(tblProveedores[[#This Row],[Proveedor]]="","",COUNTIF(tblProductos[Proveedor],tblProveedores[[#This Row],[Proveedor]]))</f>
        <v/>
      </c>
      <c r="I33" s="40" t="str">
        <f>IF(tblProveedores[[#This Row],[Proveedor]]="","",SUMPRODUCT(COUNTIFS(tblStock[Proveedor],tblProveedores[[#This Row],[Proveedor]],tblStock[Estado],{"INCONSISTENTE","AGOTADO","CRÍTICO","BAJO"})))</f>
        <v/>
      </c>
      <c r="J3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4" spans="2:10" x14ac:dyDescent="0.25">
      <c r="B34" s="38"/>
      <c r="C34" s="39"/>
      <c r="D34" s="38"/>
      <c r="E34" s="39"/>
      <c r="F34" s="38"/>
      <c r="G34" s="45"/>
      <c r="H34" s="40" t="str">
        <f>IF(tblProveedores[[#This Row],[Proveedor]]="","",COUNTIF(tblProductos[Proveedor],tblProveedores[[#This Row],[Proveedor]]))</f>
        <v/>
      </c>
      <c r="I34" s="40" t="str">
        <f>IF(tblProveedores[[#This Row],[Proveedor]]="","",SUMPRODUCT(COUNTIFS(tblStock[Proveedor],tblProveedores[[#This Row],[Proveedor]],tblStock[Estado],{"INCONSISTENTE","AGOTADO","CRÍTICO","BAJO"})))</f>
        <v/>
      </c>
      <c r="J3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5" spans="2:10" x14ac:dyDescent="0.25">
      <c r="B35" s="38"/>
      <c r="C35" s="39"/>
      <c r="D35" s="38"/>
      <c r="E35" s="39"/>
      <c r="F35" s="38"/>
      <c r="G35" s="45"/>
      <c r="H35" s="40" t="str">
        <f>IF(tblProveedores[[#This Row],[Proveedor]]="","",COUNTIF(tblProductos[Proveedor],tblProveedores[[#This Row],[Proveedor]]))</f>
        <v/>
      </c>
      <c r="I35" s="40" t="str">
        <f>IF(tblProveedores[[#This Row],[Proveedor]]="","",SUMPRODUCT(COUNTIFS(tblStock[Proveedor],tblProveedores[[#This Row],[Proveedor]],tblStock[Estado],{"INCONSISTENTE","AGOTADO","CRÍTICO","BAJO"})))</f>
        <v/>
      </c>
      <c r="J3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6" spans="2:10" x14ac:dyDescent="0.25">
      <c r="B36" s="38"/>
      <c r="C36" s="39"/>
      <c r="D36" s="38"/>
      <c r="E36" s="39"/>
      <c r="F36" s="38"/>
      <c r="G36" s="45"/>
      <c r="H36" s="40" t="str">
        <f>IF(tblProveedores[[#This Row],[Proveedor]]="","",COUNTIF(tblProductos[Proveedor],tblProveedores[[#This Row],[Proveedor]]))</f>
        <v/>
      </c>
      <c r="I36" s="40" t="str">
        <f>IF(tblProveedores[[#This Row],[Proveedor]]="","",SUMPRODUCT(COUNTIFS(tblStock[Proveedor],tblProveedores[[#This Row],[Proveedor]],tblStock[Estado],{"INCONSISTENTE","AGOTADO","CRÍTICO","BAJO"})))</f>
        <v/>
      </c>
      <c r="J3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7" spans="2:10" x14ac:dyDescent="0.25">
      <c r="B37" s="38"/>
      <c r="C37" s="39"/>
      <c r="D37" s="38"/>
      <c r="E37" s="39"/>
      <c r="F37" s="38"/>
      <c r="G37" s="45"/>
      <c r="H37" s="40" t="str">
        <f>IF(tblProveedores[[#This Row],[Proveedor]]="","",COUNTIF(tblProductos[Proveedor],tblProveedores[[#This Row],[Proveedor]]))</f>
        <v/>
      </c>
      <c r="I37" s="40" t="str">
        <f>IF(tblProveedores[[#This Row],[Proveedor]]="","",SUMPRODUCT(COUNTIFS(tblStock[Proveedor],tblProveedores[[#This Row],[Proveedor]],tblStock[Estado],{"INCONSISTENTE","AGOTADO","CRÍTICO","BAJO"})))</f>
        <v/>
      </c>
      <c r="J3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8" spans="2:10" x14ac:dyDescent="0.25">
      <c r="B38" s="38"/>
      <c r="C38" s="39"/>
      <c r="D38" s="38"/>
      <c r="E38" s="39"/>
      <c r="F38" s="38"/>
      <c r="G38" s="45"/>
      <c r="H38" s="40" t="str">
        <f>IF(tblProveedores[[#This Row],[Proveedor]]="","",COUNTIF(tblProductos[Proveedor],tblProveedores[[#This Row],[Proveedor]]))</f>
        <v/>
      </c>
      <c r="I38" s="40" t="str">
        <f>IF(tblProveedores[[#This Row],[Proveedor]]="","",SUMPRODUCT(COUNTIFS(tblStock[Proveedor],tblProveedores[[#This Row],[Proveedor]],tblStock[Estado],{"INCONSISTENTE","AGOTADO","CRÍTICO","BAJO"})))</f>
        <v/>
      </c>
      <c r="J3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9" spans="2:10" x14ac:dyDescent="0.25">
      <c r="B39" s="38"/>
      <c r="C39" s="39"/>
      <c r="D39" s="38"/>
      <c r="E39" s="39"/>
      <c r="F39" s="38"/>
      <c r="G39" s="45"/>
      <c r="H39" s="40" t="str">
        <f>IF(tblProveedores[[#This Row],[Proveedor]]="","",COUNTIF(tblProductos[Proveedor],tblProveedores[[#This Row],[Proveedor]]))</f>
        <v/>
      </c>
      <c r="I39" s="40" t="str">
        <f>IF(tblProveedores[[#This Row],[Proveedor]]="","",SUMPRODUCT(COUNTIFS(tblStock[Proveedor],tblProveedores[[#This Row],[Proveedor]],tblStock[Estado],{"INCONSISTENTE","AGOTADO","CRÍTICO","BAJO"})))</f>
        <v/>
      </c>
      <c r="J3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0" spans="2:10" x14ac:dyDescent="0.25">
      <c r="B40" s="38"/>
      <c r="C40" s="39"/>
      <c r="D40" s="38"/>
      <c r="E40" s="39"/>
      <c r="F40" s="38"/>
      <c r="G40" s="45"/>
      <c r="H40" s="40" t="str">
        <f>IF(tblProveedores[[#This Row],[Proveedor]]="","",COUNTIF(tblProductos[Proveedor],tblProveedores[[#This Row],[Proveedor]]))</f>
        <v/>
      </c>
      <c r="I40" s="40" t="str">
        <f>IF(tblProveedores[[#This Row],[Proveedor]]="","",SUMPRODUCT(COUNTIFS(tblStock[Proveedor],tblProveedores[[#This Row],[Proveedor]],tblStock[Estado],{"INCONSISTENTE","AGOTADO","CRÍTICO","BAJO"})))</f>
        <v/>
      </c>
      <c r="J4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1" spans="2:10" x14ac:dyDescent="0.25">
      <c r="B41" s="38"/>
      <c r="C41" s="39"/>
      <c r="D41" s="38"/>
      <c r="E41" s="39"/>
      <c r="F41" s="38"/>
      <c r="G41" s="45"/>
      <c r="H41" s="40" t="str">
        <f>IF(tblProveedores[[#This Row],[Proveedor]]="","",COUNTIF(tblProductos[Proveedor],tblProveedores[[#This Row],[Proveedor]]))</f>
        <v/>
      </c>
      <c r="I41" s="40" t="str">
        <f>IF(tblProveedores[[#This Row],[Proveedor]]="","",SUMPRODUCT(COUNTIFS(tblStock[Proveedor],tblProveedores[[#This Row],[Proveedor]],tblStock[Estado],{"INCONSISTENTE","AGOTADO","CRÍTICO","BAJO"})))</f>
        <v/>
      </c>
      <c r="J4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2" spans="2:10" x14ac:dyDescent="0.25">
      <c r="B42" s="38"/>
      <c r="C42" s="39"/>
      <c r="D42" s="38"/>
      <c r="E42" s="39"/>
      <c r="F42" s="38"/>
      <c r="G42" s="45"/>
      <c r="H42" s="40" t="str">
        <f>IF(tblProveedores[[#This Row],[Proveedor]]="","",COUNTIF(tblProductos[Proveedor],tblProveedores[[#This Row],[Proveedor]]))</f>
        <v/>
      </c>
      <c r="I42" s="40" t="str">
        <f>IF(tblProveedores[[#This Row],[Proveedor]]="","",SUMPRODUCT(COUNTIFS(tblStock[Proveedor],tblProveedores[[#This Row],[Proveedor]],tblStock[Estado],{"INCONSISTENTE","AGOTADO","CRÍTICO","BAJO"})))</f>
        <v/>
      </c>
      <c r="J4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3" spans="2:10" x14ac:dyDescent="0.25">
      <c r="B43" s="38"/>
      <c r="C43" s="39"/>
      <c r="D43" s="38"/>
      <c r="E43" s="39"/>
      <c r="F43" s="38"/>
      <c r="G43" s="45"/>
      <c r="H43" s="40" t="str">
        <f>IF(tblProveedores[[#This Row],[Proveedor]]="","",COUNTIF(tblProductos[Proveedor],tblProveedores[[#This Row],[Proveedor]]))</f>
        <v/>
      </c>
      <c r="I43" s="40" t="str">
        <f>IF(tblProveedores[[#This Row],[Proveedor]]="","",SUMPRODUCT(COUNTIFS(tblStock[Proveedor],tblProveedores[[#This Row],[Proveedor]],tblStock[Estado],{"INCONSISTENTE","AGOTADO","CRÍTICO","BAJO"})))</f>
        <v/>
      </c>
      <c r="J4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4" spans="2:10" x14ac:dyDescent="0.25">
      <c r="B44" s="38"/>
      <c r="C44" s="39"/>
      <c r="D44" s="38"/>
      <c r="E44" s="39"/>
      <c r="F44" s="38"/>
      <c r="G44" s="45"/>
      <c r="H44" s="40" t="str">
        <f>IF(tblProveedores[[#This Row],[Proveedor]]="","",COUNTIF(tblProductos[Proveedor],tblProveedores[[#This Row],[Proveedor]]))</f>
        <v/>
      </c>
      <c r="I44" s="40" t="str">
        <f>IF(tblProveedores[[#This Row],[Proveedor]]="","",SUMPRODUCT(COUNTIFS(tblStock[Proveedor],tblProveedores[[#This Row],[Proveedor]],tblStock[Estado],{"INCONSISTENTE","AGOTADO","CRÍTICO","BAJO"})))</f>
        <v/>
      </c>
      <c r="J4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5" spans="2:10" x14ac:dyDescent="0.25">
      <c r="B45" s="38"/>
      <c r="C45" s="39"/>
      <c r="D45" s="38"/>
      <c r="E45" s="39"/>
      <c r="F45" s="38"/>
      <c r="G45" s="45"/>
      <c r="H45" s="40" t="str">
        <f>IF(tblProveedores[[#This Row],[Proveedor]]="","",COUNTIF(tblProductos[Proveedor],tblProveedores[[#This Row],[Proveedor]]))</f>
        <v/>
      </c>
      <c r="I45" s="40" t="str">
        <f>IF(tblProveedores[[#This Row],[Proveedor]]="","",SUMPRODUCT(COUNTIFS(tblStock[Proveedor],tblProveedores[[#This Row],[Proveedor]],tblStock[Estado],{"INCONSISTENTE","AGOTADO","CRÍTICO","BAJO"})))</f>
        <v/>
      </c>
      <c r="J4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6" spans="2:10" x14ac:dyDescent="0.25">
      <c r="B46" s="38"/>
      <c r="C46" s="39"/>
      <c r="D46" s="38"/>
      <c r="E46" s="39"/>
      <c r="F46" s="38"/>
      <c r="G46" s="45"/>
      <c r="H46" s="40" t="str">
        <f>IF(tblProveedores[[#This Row],[Proveedor]]="","",COUNTIF(tblProductos[Proveedor],tblProveedores[[#This Row],[Proveedor]]))</f>
        <v/>
      </c>
      <c r="I46" s="40" t="str">
        <f>IF(tblProveedores[[#This Row],[Proveedor]]="","",SUMPRODUCT(COUNTIFS(tblStock[Proveedor],tblProveedores[[#This Row],[Proveedor]],tblStock[Estado],{"INCONSISTENTE","AGOTADO","CRÍTICO","BAJO"})))</f>
        <v/>
      </c>
      <c r="J4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7" spans="2:10" x14ac:dyDescent="0.25">
      <c r="B47" s="38"/>
      <c r="C47" s="39"/>
      <c r="D47" s="38"/>
      <c r="E47" s="39"/>
      <c r="F47" s="38"/>
      <c r="G47" s="45"/>
      <c r="H47" s="40" t="str">
        <f>IF(tblProveedores[[#This Row],[Proveedor]]="","",COUNTIF(tblProductos[Proveedor],tblProveedores[[#This Row],[Proveedor]]))</f>
        <v/>
      </c>
      <c r="I47" s="40" t="str">
        <f>IF(tblProveedores[[#This Row],[Proveedor]]="","",SUMPRODUCT(COUNTIFS(tblStock[Proveedor],tblProveedores[[#This Row],[Proveedor]],tblStock[Estado],{"INCONSISTENTE","AGOTADO","CRÍTICO","BAJO"})))</f>
        <v/>
      </c>
      <c r="J4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8" spans="2:10" x14ac:dyDescent="0.25">
      <c r="B48" s="38"/>
      <c r="C48" s="39"/>
      <c r="D48" s="38"/>
      <c r="E48" s="39"/>
      <c r="F48" s="38"/>
      <c r="G48" s="45"/>
      <c r="H48" s="40" t="str">
        <f>IF(tblProveedores[[#This Row],[Proveedor]]="","",COUNTIF(tblProductos[Proveedor],tblProveedores[[#This Row],[Proveedor]]))</f>
        <v/>
      </c>
      <c r="I48" s="40" t="str">
        <f>IF(tblProveedores[[#This Row],[Proveedor]]="","",SUMPRODUCT(COUNTIFS(tblStock[Proveedor],tblProveedores[[#This Row],[Proveedor]],tblStock[Estado],{"INCONSISTENTE","AGOTADO","CRÍTICO","BAJO"})))</f>
        <v/>
      </c>
      <c r="J4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9" spans="2:10" x14ac:dyDescent="0.25">
      <c r="B49" s="38"/>
      <c r="C49" s="39"/>
      <c r="D49" s="38"/>
      <c r="E49" s="39"/>
      <c r="F49" s="38"/>
      <c r="G49" s="45"/>
      <c r="H49" s="40" t="str">
        <f>IF(tblProveedores[[#This Row],[Proveedor]]="","",COUNTIF(tblProductos[Proveedor],tblProveedores[[#This Row],[Proveedor]]))</f>
        <v/>
      </c>
      <c r="I49" s="40" t="str">
        <f>IF(tblProveedores[[#This Row],[Proveedor]]="","",SUMPRODUCT(COUNTIFS(tblStock[Proveedor],tblProveedores[[#This Row],[Proveedor]],tblStock[Estado],{"INCONSISTENTE","AGOTADO","CRÍTICO","BAJO"})))</f>
        <v/>
      </c>
      <c r="J4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0" spans="2:10" x14ac:dyDescent="0.25">
      <c r="B50" s="38"/>
      <c r="C50" s="39"/>
      <c r="D50" s="38"/>
      <c r="E50" s="39"/>
      <c r="F50" s="38"/>
      <c r="G50" s="45"/>
      <c r="H50" s="40" t="str">
        <f>IF(tblProveedores[[#This Row],[Proveedor]]="","",COUNTIF(tblProductos[Proveedor],tblProveedores[[#This Row],[Proveedor]]))</f>
        <v/>
      </c>
      <c r="I50" s="40" t="str">
        <f>IF(tblProveedores[[#This Row],[Proveedor]]="","",SUMPRODUCT(COUNTIFS(tblStock[Proveedor],tblProveedores[[#This Row],[Proveedor]],tblStock[Estado],{"INCONSISTENTE","AGOTADO","CRÍTICO","BAJO"})))</f>
        <v/>
      </c>
      <c r="J5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1" spans="2:10" x14ac:dyDescent="0.25">
      <c r="B51" s="38"/>
      <c r="C51" s="39"/>
      <c r="D51" s="38"/>
      <c r="E51" s="39"/>
      <c r="F51" s="38"/>
      <c r="G51" s="45"/>
      <c r="H51" s="40" t="str">
        <f>IF(tblProveedores[[#This Row],[Proveedor]]="","",COUNTIF(tblProductos[Proveedor],tblProveedores[[#This Row],[Proveedor]]))</f>
        <v/>
      </c>
      <c r="I51" s="40" t="str">
        <f>IF(tblProveedores[[#This Row],[Proveedor]]="","",SUMPRODUCT(COUNTIFS(tblStock[Proveedor],tblProveedores[[#This Row],[Proveedor]],tblStock[Estado],{"INCONSISTENTE","AGOTADO","CRÍTICO","BAJO"})))</f>
        <v/>
      </c>
      <c r="J5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2" spans="2:10" x14ac:dyDescent="0.25">
      <c r="B52" s="38"/>
      <c r="C52" s="39"/>
      <c r="D52" s="38"/>
      <c r="E52" s="39"/>
      <c r="F52" s="38"/>
      <c r="G52" s="45"/>
      <c r="H52" s="40" t="str">
        <f>IF(tblProveedores[[#This Row],[Proveedor]]="","",COUNTIF(tblProductos[Proveedor],tblProveedores[[#This Row],[Proveedor]]))</f>
        <v/>
      </c>
      <c r="I52" s="40" t="str">
        <f>IF(tblProveedores[[#This Row],[Proveedor]]="","",SUMPRODUCT(COUNTIFS(tblStock[Proveedor],tblProveedores[[#This Row],[Proveedor]],tblStock[Estado],{"INCONSISTENTE","AGOTADO","CRÍTICO","BAJO"})))</f>
        <v/>
      </c>
      <c r="J5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3" spans="2:10" x14ac:dyDescent="0.25">
      <c r="B53" s="38"/>
      <c r="C53" s="39"/>
      <c r="D53" s="38"/>
      <c r="E53" s="39"/>
      <c r="F53" s="38"/>
      <c r="G53" s="45"/>
      <c r="H53" s="40" t="str">
        <f>IF(tblProveedores[[#This Row],[Proveedor]]="","",COUNTIF(tblProductos[Proveedor],tblProveedores[[#This Row],[Proveedor]]))</f>
        <v/>
      </c>
      <c r="I53" s="40" t="str">
        <f>IF(tblProveedores[[#This Row],[Proveedor]]="","",SUMPRODUCT(COUNTIFS(tblStock[Proveedor],tblProveedores[[#This Row],[Proveedor]],tblStock[Estado],{"INCONSISTENTE","AGOTADO","CRÍTICO","BAJO"})))</f>
        <v/>
      </c>
      <c r="J5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4" spans="2:10" x14ac:dyDescent="0.25">
      <c r="B54" s="38"/>
      <c r="C54" s="39"/>
      <c r="D54" s="38"/>
      <c r="E54" s="39"/>
      <c r="F54" s="38"/>
      <c r="G54" s="45"/>
      <c r="H54" s="40" t="str">
        <f>IF(tblProveedores[[#This Row],[Proveedor]]="","",COUNTIF(tblProductos[Proveedor],tblProveedores[[#This Row],[Proveedor]]))</f>
        <v/>
      </c>
      <c r="I54" s="40" t="str">
        <f>IF(tblProveedores[[#This Row],[Proveedor]]="","",SUMPRODUCT(COUNTIFS(tblStock[Proveedor],tblProveedores[[#This Row],[Proveedor]],tblStock[Estado],{"INCONSISTENTE","AGOTADO","CRÍTICO","BAJO"})))</f>
        <v/>
      </c>
      <c r="J5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5" spans="2:10" x14ac:dyDescent="0.25">
      <c r="B55" s="38"/>
      <c r="C55" s="39"/>
      <c r="D55" s="38"/>
      <c r="E55" s="39"/>
      <c r="F55" s="38"/>
      <c r="G55" s="45"/>
      <c r="H55" s="40" t="str">
        <f>IF(tblProveedores[[#This Row],[Proveedor]]="","",COUNTIF(tblProductos[Proveedor],tblProveedores[[#This Row],[Proveedor]]))</f>
        <v/>
      </c>
      <c r="I55" s="40" t="str">
        <f>IF(tblProveedores[[#This Row],[Proveedor]]="","",SUMPRODUCT(COUNTIFS(tblStock[Proveedor],tblProveedores[[#This Row],[Proveedor]],tblStock[Estado],{"INCONSISTENTE","AGOTADO","CRÍTICO","BAJO"})))</f>
        <v/>
      </c>
      <c r="J5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6" spans="2:10" x14ac:dyDescent="0.25">
      <c r="B56" s="38"/>
      <c r="C56" s="39"/>
      <c r="D56" s="38"/>
      <c r="E56" s="39"/>
      <c r="F56" s="38"/>
      <c r="G56" s="45"/>
      <c r="H56" s="40" t="str">
        <f>IF(tblProveedores[[#This Row],[Proveedor]]="","",COUNTIF(tblProductos[Proveedor],tblProveedores[[#This Row],[Proveedor]]))</f>
        <v/>
      </c>
      <c r="I56" s="40" t="str">
        <f>IF(tblProveedores[[#This Row],[Proveedor]]="","",SUMPRODUCT(COUNTIFS(tblStock[Proveedor],tblProveedores[[#This Row],[Proveedor]],tblStock[Estado],{"INCONSISTENTE","AGOTADO","CRÍTICO","BAJO"})))</f>
        <v/>
      </c>
      <c r="J5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7" spans="2:10" x14ac:dyDescent="0.25">
      <c r="B57" s="38"/>
      <c r="C57" s="39"/>
      <c r="D57" s="38"/>
      <c r="E57" s="39"/>
      <c r="F57" s="38"/>
      <c r="G57" s="45"/>
      <c r="H57" s="40" t="str">
        <f>IF(tblProveedores[[#This Row],[Proveedor]]="","",COUNTIF(tblProductos[Proveedor],tblProveedores[[#This Row],[Proveedor]]))</f>
        <v/>
      </c>
      <c r="I57" s="40" t="str">
        <f>IF(tblProveedores[[#This Row],[Proveedor]]="","",SUMPRODUCT(COUNTIFS(tblStock[Proveedor],tblProveedores[[#This Row],[Proveedor]],tblStock[Estado],{"INCONSISTENTE","AGOTADO","CRÍTICO","BAJO"})))</f>
        <v/>
      </c>
      <c r="J5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8" spans="2:10" x14ac:dyDescent="0.25">
      <c r="B58" s="38"/>
      <c r="C58" s="39"/>
      <c r="D58" s="38"/>
      <c r="E58" s="39"/>
      <c r="F58" s="38"/>
      <c r="G58" s="45"/>
      <c r="H58" s="40" t="str">
        <f>IF(tblProveedores[[#This Row],[Proveedor]]="","",COUNTIF(tblProductos[Proveedor],tblProveedores[[#This Row],[Proveedor]]))</f>
        <v/>
      </c>
      <c r="I58" s="40" t="str">
        <f>IF(tblProveedores[[#This Row],[Proveedor]]="","",SUMPRODUCT(COUNTIFS(tblStock[Proveedor],tblProveedores[[#This Row],[Proveedor]],tblStock[Estado],{"INCONSISTENTE","AGOTADO","CRÍTICO","BAJO"})))</f>
        <v/>
      </c>
      <c r="J5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9" spans="2:10" x14ac:dyDescent="0.25">
      <c r="B59" s="38"/>
      <c r="C59" s="39"/>
      <c r="D59" s="38"/>
      <c r="E59" s="39"/>
      <c r="F59" s="38"/>
      <c r="G59" s="45"/>
      <c r="H59" s="40" t="str">
        <f>IF(tblProveedores[[#This Row],[Proveedor]]="","",COUNTIF(tblProductos[Proveedor],tblProveedores[[#This Row],[Proveedor]]))</f>
        <v/>
      </c>
      <c r="I59" s="40" t="str">
        <f>IF(tblProveedores[[#This Row],[Proveedor]]="","",SUMPRODUCT(COUNTIFS(tblStock[Proveedor],tblProveedores[[#This Row],[Proveedor]],tblStock[Estado],{"INCONSISTENTE","AGOTADO","CRÍTICO","BAJO"})))</f>
        <v/>
      </c>
      <c r="J5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0" spans="2:10" x14ac:dyDescent="0.25">
      <c r="B60" s="38"/>
      <c r="C60" s="39"/>
      <c r="D60" s="38"/>
      <c r="E60" s="39"/>
      <c r="F60" s="38"/>
      <c r="G60" s="45"/>
      <c r="H60" s="40" t="str">
        <f>IF(tblProveedores[[#This Row],[Proveedor]]="","",COUNTIF(tblProductos[Proveedor],tblProveedores[[#This Row],[Proveedor]]))</f>
        <v/>
      </c>
      <c r="I60" s="40" t="str">
        <f>IF(tblProveedores[[#This Row],[Proveedor]]="","",SUMPRODUCT(COUNTIFS(tblStock[Proveedor],tblProveedores[[#This Row],[Proveedor]],tblStock[Estado],{"INCONSISTENTE","AGOTADO","CRÍTICO","BAJO"})))</f>
        <v/>
      </c>
      <c r="J6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1" spans="2:10" x14ac:dyDescent="0.25">
      <c r="B61" s="38"/>
      <c r="C61" s="39"/>
      <c r="D61" s="38"/>
      <c r="E61" s="39"/>
      <c r="F61" s="38"/>
      <c r="G61" s="45"/>
      <c r="H61" s="40" t="str">
        <f>IF(tblProveedores[[#This Row],[Proveedor]]="","",COUNTIF(tblProductos[Proveedor],tblProveedores[[#This Row],[Proveedor]]))</f>
        <v/>
      </c>
      <c r="I61" s="40" t="str">
        <f>IF(tblProveedores[[#This Row],[Proveedor]]="","",SUMPRODUCT(COUNTIFS(tblStock[Proveedor],tblProveedores[[#This Row],[Proveedor]],tblStock[Estado],{"INCONSISTENTE","AGOTADO","CRÍTICO","BAJO"})))</f>
        <v/>
      </c>
      <c r="J6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2" spans="2:10" x14ac:dyDescent="0.25">
      <c r="B62" s="38"/>
      <c r="C62" s="39"/>
      <c r="D62" s="38"/>
      <c r="E62" s="39"/>
      <c r="F62" s="38"/>
      <c r="G62" s="45"/>
      <c r="H62" s="40" t="str">
        <f>IF(tblProveedores[[#This Row],[Proveedor]]="","",COUNTIF(tblProductos[Proveedor],tblProveedores[[#This Row],[Proveedor]]))</f>
        <v/>
      </c>
      <c r="I62" s="40" t="str">
        <f>IF(tblProveedores[[#This Row],[Proveedor]]="","",SUMPRODUCT(COUNTIFS(tblStock[Proveedor],tblProveedores[[#This Row],[Proveedor]],tblStock[Estado],{"INCONSISTENTE","AGOTADO","CRÍTICO","BAJO"})))</f>
        <v/>
      </c>
      <c r="J6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3" spans="2:10" x14ac:dyDescent="0.25">
      <c r="B63" s="38"/>
      <c r="C63" s="39"/>
      <c r="D63" s="38"/>
      <c r="E63" s="39"/>
      <c r="F63" s="38"/>
      <c r="G63" s="45"/>
      <c r="H63" s="40" t="str">
        <f>IF(tblProveedores[[#This Row],[Proveedor]]="","",COUNTIF(tblProductos[Proveedor],tblProveedores[[#This Row],[Proveedor]]))</f>
        <v/>
      </c>
      <c r="I63" s="40" t="str">
        <f>IF(tblProveedores[[#This Row],[Proveedor]]="","",SUMPRODUCT(COUNTIFS(tblStock[Proveedor],tblProveedores[[#This Row],[Proveedor]],tblStock[Estado],{"INCONSISTENTE","AGOTADO","CRÍTICO","BAJO"})))</f>
        <v/>
      </c>
      <c r="J6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4" spans="2:10" x14ac:dyDescent="0.25">
      <c r="B64" s="38"/>
      <c r="C64" s="39"/>
      <c r="D64" s="38"/>
      <c r="E64" s="39"/>
      <c r="F64" s="38"/>
      <c r="G64" s="45"/>
      <c r="H64" s="40" t="str">
        <f>IF(tblProveedores[[#This Row],[Proveedor]]="","",COUNTIF(tblProductos[Proveedor],tblProveedores[[#This Row],[Proveedor]]))</f>
        <v/>
      </c>
      <c r="I64" s="40" t="str">
        <f>IF(tblProveedores[[#This Row],[Proveedor]]="","",SUMPRODUCT(COUNTIFS(tblStock[Proveedor],tblProveedores[[#This Row],[Proveedor]],tblStock[Estado],{"INCONSISTENTE","AGOTADO","CRÍTICO","BAJO"})))</f>
        <v/>
      </c>
      <c r="J6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5" spans="2:10" x14ac:dyDescent="0.25">
      <c r="B65" s="38"/>
      <c r="C65" s="39"/>
      <c r="D65" s="38"/>
      <c r="E65" s="39"/>
      <c r="F65" s="38"/>
      <c r="G65" s="45"/>
      <c r="H65" s="40" t="str">
        <f>IF(tblProveedores[[#This Row],[Proveedor]]="","",COUNTIF(tblProductos[Proveedor],tblProveedores[[#This Row],[Proveedor]]))</f>
        <v/>
      </c>
      <c r="I65" s="40" t="str">
        <f>IF(tblProveedores[[#This Row],[Proveedor]]="","",SUMPRODUCT(COUNTIFS(tblStock[Proveedor],tblProveedores[[#This Row],[Proveedor]],tblStock[Estado],{"INCONSISTENTE","AGOTADO","CRÍTICO","BAJO"})))</f>
        <v/>
      </c>
      <c r="J6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6" spans="2:10" x14ac:dyDescent="0.25">
      <c r="B66" s="38"/>
      <c r="C66" s="39"/>
      <c r="D66" s="38"/>
      <c r="E66" s="39"/>
      <c r="F66" s="38"/>
      <c r="G66" s="45"/>
      <c r="H66" s="40" t="str">
        <f>IF(tblProveedores[[#This Row],[Proveedor]]="","",COUNTIF(tblProductos[Proveedor],tblProveedores[[#This Row],[Proveedor]]))</f>
        <v/>
      </c>
      <c r="I66" s="40" t="str">
        <f>IF(tblProveedores[[#This Row],[Proveedor]]="","",SUMPRODUCT(COUNTIFS(tblStock[Proveedor],tblProveedores[[#This Row],[Proveedor]],tblStock[Estado],{"INCONSISTENTE","AGOTADO","CRÍTICO","BAJO"})))</f>
        <v/>
      </c>
      <c r="J6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7" spans="2:10" x14ac:dyDescent="0.25">
      <c r="B67" s="38"/>
      <c r="C67" s="39"/>
      <c r="D67" s="38"/>
      <c r="E67" s="39"/>
      <c r="F67" s="38"/>
      <c r="G67" s="45"/>
      <c r="H67" s="40" t="str">
        <f>IF(tblProveedores[[#This Row],[Proveedor]]="","",COUNTIF(tblProductos[Proveedor],tblProveedores[[#This Row],[Proveedor]]))</f>
        <v/>
      </c>
      <c r="I67" s="40" t="str">
        <f>IF(tblProveedores[[#This Row],[Proveedor]]="","",SUMPRODUCT(COUNTIFS(tblStock[Proveedor],tblProveedores[[#This Row],[Proveedor]],tblStock[Estado],{"INCONSISTENTE","AGOTADO","CRÍTICO","BAJO"})))</f>
        <v/>
      </c>
      <c r="J6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8" spans="2:10" x14ac:dyDescent="0.25">
      <c r="B68" s="38"/>
      <c r="C68" s="39"/>
      <c r="D68" s="38"/>
      <c r="E68" s="39"/>
      <c r="F68" s="38"/>
      <c r="G68" s="45"/>
      <c r="H68" s="40" t="str">
        <f>IF(tblProveedores[[#This Row],[Proveedor]]="","",COUNTIF(tblProductos[Proveedor],tblProveedores[[#This Row],[Proveedor]]))</f>
        <v/>
      </c>
      <c r="I68" s="40" t="str">
        <f>IF(tblProveedores[[#This Row],[Proveedor]]="","",SUMPRODUCT(COUNTIFS(tblStock[Proveedor],tblProveedores[[#This Row],[Proveedor]],tblStock[Estado],{"INCONSISTENTE","AGOTADO","CRÍTICO","BAJO"})))</f>
        <v/>
      </c>
      <c r="J6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9" spans="2:10" x14ac:dyDescent="0.25">
      <c r="B69" s="38"/>
      <c r="C69" s="39"/>
      <c r="D69" s="38"/>
      <c r="E69" s="39"/>
      <c r="F69" s="38"/>
      <c r="G69" s="45"/>
      <c r="H69" s="40" t="str">
        <f>IF(tblProveedores[[#This Row],[Proveedor]]="","",COUNTIF(tblProductos[Proveedor],tblProveedores[[#This Row],[Proveedor]]))</f>
        <v/>
      </c>
      <c r="I69" s="40" t="str">
        <f>IF(tblProveedores[[#This Row],[Proveedor]]="","",SUMPRODUCT(COUNTIFS(tblStock[Proveedor],tblProveedores[[#This Row],[Proveedor]],tblStock[Estado],{"INCONSISTENTE","AGOTADO","CRÍTICO","BAJO"})))</f>
        <v/>
      </c>
      <c r="J6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0" spans="2:10" x14ac:dyDescent="0.25">
      <c r="B70" s="38"/>
      <c r="C70" s="39"/>
      <c r="D70" s="38"/>
      <c r="E70" s="39"/>
      <c r="F70" s="38"/>
      <c r="G70" s="45"/>
      <c r="H70" s="40" t="str">
        <f>IF(tblProveedores[[#This Row],[Proveedor]]="","",COUNTIF(tblProductos[Proveedor],tblProveedores[[#This Row],[Proveedor]]))</f>
        <v/>
      </c>
      <c r="I70" s="40" t="str">
        <f>IF(tblProveedores[[#This Row],[Proveedor]]="","",SUMPRODUCT(COUNTIFS(tblStock[Proveedor],tblProveedores[[#This Row],[Proveedor]],tblStock[Estado],{"INCONSISTENTE","AGOTADO","CRÍTICO","BAJO"})))</f>
        <v/>
      </c>
      <c r="J7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1" spans="2:10" x14ac:dyDescent="0.25">
      <c r="B71" s="38"/>
      <c r="C71" s="39"/>
      <c r="D71" s="38"/>
      <c r="E71" s="39"/>
      <c r="F71" s="38"/>
      <c r="G71" s="45"/>
      <c r="H71" s="40" t="str">
        <f>IF(tblProveedores[[#This Row],[Proveedor]]="","",COUNTIF(tblProductos[Proveedor],tblProveedores[[#This Row],[Proveedor]]))</f>
        <v/>
      </c>
      <c r="I71" s="40" t="str">
        <f>IF(tblProveedores[[#This Row],[Proveedor]]="","",SUMPRODUCT(COUNTIFS(tblStock[Proveedor],tblProveedores[[#This Row],[Proveedor]],tblStock[Estado],{"INCONSISTENTE","AGOTADO","CRÍTICO","BAJO"})))</f>
        <v/>
      </c>
      <c r="J7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2" spans="2:10" x14ac:dyDescent="0.25">
      <c r="B72" s="38"/>
      <c r="C72" s="39"/>
      <c r="D72" s="38"/>
      <c r="E72" s="39"/>
      <c r="F72" s="38"/>
      <c r="G72" s="45"/>
      <c r="H72" s="40" t="str">
        <f>IF(tblProveedores[[#This Row],[Proveedor]]="","",COUNTIF(tblProductos[Proveedor],tblProveedores[[#This Row],[Proveedor]]))</f>
        <v/>
      </c>
      <c r="I72" s="40" t="str">
        <f>IF(tblProveedores[[#This Row],[Proveedor]]="","",SUMPRODUCT(COUNTIFS(tblStock[Proveedor],tblProveedores[[#This Row],[Proveedor]],tblStock[Estado],{"INCONSISTENTE","AGOTADO","CRÍTICO","BAJO"})))</f>
        <v/>
      </c>
      <c r="J7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3" spans="2:10" x14ac:dyDescent="0.25">
      <c r="B73" s="38"/>
      <c r="C73" s="39"/>
      <c r="D73" s="38"/>
      <c r="E73" s="39"/>
      <c r="F73" s="38"/>
      <c r="G73" s="45"/>
      <c r="H73" s="40" t="str">
        <f>IF(tblProveedores[[#This Row],[Proveedor]]="","",COUNTIF(tblProductos[Proveedor],tblProveedores[[#This Row],[Proveedor]]))</f>
        <v/>
      </c>
      <c r="I73" s="40" t="str">
        <f>IF(tblProveedores[[#This Row],[Proveedor]]="","",SUMPRODUCT(COUNTIFS(tblStock[Proveedor],tblProveedores[[#This Row],[Proveedor]],tblStock[Estado],{"INCONSISTENTE","AGOTADO","CRÍTICO","BAJO"})))</f>
        <v/>
      </c>
      <c r="J7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4" spans="2:10" x14ac:dyDescent="0.25">
      <c r="B74" s="38"/>
      <c r="C74" s="39"/>
      <c r="D74" s="38"/>
      <c r="E74" s="39"/>
      <c r="F74" s="38"/>
      <c r="G74" s="45"/>
      <c r="H74" s="40" t="str">
        <f>IF(tblProveedores[[#This Row],[Proveedor]]="","",COUNTIF(tblProductos[Proveedor],tblProveedores[[#This Row],[Proveedor]]))</f>
        <v/>
      </c>
      <c r="I74" s="40" t="str">
        <f>IF(tblProveedores[[#This Row],[Proveedor]]="","",SUMPRODUCT(COUNTIFS(tblStock[Proveedor],tblProveedores[[#This Row],[Proveedor]],tblStock[Estado],{"INCONSISTENTE","AGOTADO","CRÍTICO","BAJO"})))</f>
        <v/>
      </c>
      <c r="J7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5" spans="2:10" x14ac:dyDescent="0.25">
      <c r="B75" s="38"/>
      <c r="C75" s="39"/>
      <c r="D75" s="38"/>
      <c r="E75" s="39"/>
      <c r="F75" s="38"/>
      <c r="G75" s="45"/>
      <c r="H75" s="40" t="str">
        <f>IF(tblProveedores[[#This Row],[Proveedor]]="","",COUNTIF(tblProductos[Proveedor],tblProveedores[[#This Row],[Proveedor]]))</f>
        <v/>
      </c>
      <c r="I75" s="40" t="str">
        <f>IF(tblProveedores[[#This Row],[Proveedor]]="","",SUMPRODUCT(COUNTIFS(tblStock[Proveedor],tblProveedores[[#This Row],[Proveedor]],tblStock[Estado],{"INCONSISTENTE","AGOTADO","CRÍTICO","BAJO"})))</f>
        <v/>
      </c>
      <c r="J7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6" spans="2:10" x14ac:dyDescent="0.25">
      <c r="B76" s="38"/>
      <c r="C76" s="39"/>
      <c r="D76" s="38"/>
      <c r="E76" s="39"/>
      <c r="F76" s="38"/>
      <c r="G76" s="45"/>
      <c r="H76" s="40" t="str">
        <f>IF(tblProveedores[[#This Row],[Proveedor]]="","",COUNTIF(tblProductos[Proveedor],tblProveedores[[#This Row],[Proveedor]]))</f>
        <v/>
      </c>
      <c r="I76" s="40" t="str">
        <f>IF(tblProveedores[[#This Row],[Proveedor]]="","",SUMPRODUCT(COUNTIFS(tblStock[Proveedor],tblProveedores[[#This Row],[Proveedor]],tblStock[Estado],{"INCONSISTENTE","AGOTADO","CRÍTICO","BAJO"})))</f>
        <v/>
      </c>
      <c r="J7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7" spans="2:10" x14ac:dyDescent="0.25">
      <c r="B77" s="38"/>
      <c r="C77" s="39"/>
      <c r="D77" s="38"/>
      <c r="E77" s="39"/>
      <c r="F77" s="38"/>
      <c r="G77" s="45"/>
      <c r="H77" s="40" t="str">
        <f>IF(tblProveedores[[#This Row],[Proveedor]]="","",COUNTIF(tblProductos[Proveedor],tblProveedores[[#This Row],[Proveedor]]))</f>
        <v/>
      </c>
      <c r="I77" s="40" t="str">
        <f>IF(tblProveedores[[#This Row],[Proveedor]]="","",SUMPRODUCT(COUNTIFS(tblStock[Proveedor],tblProveedores[[#This Row],[Proveedor]],tblStock[Estado],{"INCONSISTENTE","AGOTADO","CRÍTICO","BAJO"})))</f>
        <v/>
      </c>
      <c r="J7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8" spans="2:10" x14ac:dyDescent="0.25">
      <c r="B78" s="38"/>
      <c r="C78" s="39"/>
      <c r="D78" s="38"/>
      <c r="E78" s="39"/>
      <c r="F78" s="38"/>
      <c r="G78" s="45"/>
      <c r="H78" s="40" t="str">
        <f>IF(tblProveedores[[#This Row],[Proveedor]]="","",COUNTIF(tblProductos[Proveedor],tblProveedores[[#This Row],[Proveedor]]))</f>
        <v/>
      </c>
      <c r="I78" s="40" t="str">
        <f>IF(tblProveedores[[#This Row],[Proveedor]]="","",SUMPRODUCT(COUNTIFS(tblStock[Proveedor],tblProveedores[[#This Row],[Proveedor]],tblStock[Estado],{"INCONSISTENTE","AGOTADO","CRÍTICO","BAJO"})))</f>
        <v/>
      </c>
      <c r="J7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9" spans="2:10" x14ac:dyDescent="0.25">
      <c r="B79" s="38"/>
      <c r="C79" s="39"/>
      <c r="D79" s="38"/>
      <c r="E79" s="39"/>
      <c r="F79" s="38"/>
      <c r="G79" s="45"/>
      <c r="H79" s="40" t="str">
        <f>IF(tblProveedores[[#This Row],[Proveedor]]="","",COUNTIF(tblProductos[Proveedor],tblProveedores[[#This Row],[Proveedor]]))</f>
        <v/>
      </c>
      <c r="I79" s="40" t="str">
        <f>IF(tblProveedores[[#This Row],[Proveedor]]="","",SUMPRODUCT(COUNTIFS(tblStock[Proveedor],tblProveedores[[#This Row],[Proveedor]],tblStock[Estado],{"INCONSISTENTE","AGOTADO","CRÍTICO","BAJO"})))</f>
        <v/>
      </c>
      <c r="J7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0" spans="2:10" x14ac:dyDescent="0.25">
      <c r="B80" s="38"/>
      <c r="C80" s="39"/>
      <c r="D80" s="38"/>
      <c r="E80" s="39"/>
      <c r="F80" s="38"/>
      <c r="G80" s="45"/>
      <c r="H80" s="40" t="str">
        <f>IF(tblProveedores[[#This Row],[Proveedor]]="","",COUNTIF(tblProductos[Proveedor],tblProveedores[[#This Row],[Proveedor]]))</f>
        <v/>
      </c>
      <c r="I80" s="40" t="str">
        <f>IF(tblProveedores[[#This Row],[Proveedor]]="","",SUMPRODUCT(COUNTIFS(tblStock[Proveedor],tblProveedores[[#This Row],[Proveedor]],tblStock[Estado],{"INCONSISTENTE","AGOTADO","CRÍTICO","BAJO"})))</f>
        <v/>
      </c>
      <c r="J8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1" spans="2:10" x14ac:dyDescent="0.25">
      <c r="B81" s="38"/>
      <c r="C81" s="39"/>
      <c r="D81" s="38"/>
      <c r="E81" s="39"/>
      <c r="F81" s="38"/>
      <c r="G81" s="45"/>
      <c r="H81" s="40" t="str">
        <f>IF(tblProveedores[[#This Row],[Proveedor]]="","",COUNTIF(tblProductos[Proveedor],tblProveedores[[#This Row],[Proveedor]]))</f>
        <v/>
      </c>
      <c r="I81" s="40" t="str">
        <f>IF(tblProveedores[[#This Row],[Proveedor]]="","",SUMPRODUCT(COUNTIFS(tblStock[Proveedor],tblProveedores[[#This Row],[Proveedor]],tblStock[Estado],{"INCONSISTENTE","AGOTADO","CRÍTICO","BAJO"})))</f>
        <v/>
      </c>
      <c r="J8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2" spans="2:10" x14ac:dyDescent="0.25">
      <c r="B82" s="38"/>
      <c r="C82" s="39"/>
      <c r="D82" s="38"/>
      <c r="E82" s="39"/>
      <c r="F82" s="38"/>
      <c r="G82" s="45"/>
      <c r="H82" s="40" t="str">
        <f>IF(tblProveedores[[#This Row],[Proveedor]]="","",COUNTIF(tblProductos[Proveedor],tblProveedores[[#This Row],[Proveedor]]))</f>
        <v/>
      </c>
      <c r="I82" s="40" t="str">
        <f>IF(tblProveedores[[#This Row],[Proveedor]]="","",SUMPRODUCT(COUNTIFS(tblStock[Proveedor],tblProveedores[[#This Row],[Proveedor]],tblStock[Estado],{"INCONSISTENTE","AGOTADO","CRÍTICO","BAJO"})))</f>
        <v/>
      </c>
      <c r="J8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3" spans="2:10" x14ac:dyDescent="0.25">
      <c r="B83" s="38"/>
      <c r="C83" s="39"/>
      <c r="D83" s="38"/>
      <c r="E83" s="39"/>
      <c r="F83" s="38"/>
      <c r="G83" s="45"/>
      <c r="H83" s="40" t="str">
        <f>IF(tblProveedores[[#This Row],[Proveedor]]="","",COUNTIF(tblProductos[Proveedor],tblProveedores[[#This Row],[Proveedor]]))</f>
        <v/>
      </c>
      <c r="I83" s="40" t="str">
        <f>IF(tblProveedores[[#This Row],[Proveedor]]="","",SUMPRODUCT(COUNTIFS(tblStock[Proveedor],tblProveedores[[#This Row],[Proveedor]],tblStock[Estado],{"INCONSISTENTE","AGOTADO","CRÍTICO","BAJO"})))</f>
        <v/>
      </c>
      <c r="J8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4" spans="2:10" x14ac:dyDescent="0.25">
      <c r="B84" s="38"/>
      <c r="C84" s="39"/>
      <c r="D84" s="38"/>
      <c r="E84" s="39"/>
      <c r="F84" s="38"/>
      <c r="G84" s="45"/>
      <c r="H84" s="40" t="str">
        <f>IF(tblProveedores[[#This Row],[Proveedor]]="","",COUNTIF(tblProductos[Proveedor],tblProveedores[[#This Row],[Proveedor]]))</f>
        <v/>
      </c>
      <c r="I84" s="40" t="str">
        <f>IF(tblProveedores[[#This Row],[Proveedor]]="","",SUMPRODUCT(COUNTIFS(tblStock[Proveedor],tblProveedores[[#This Row],[Proveedor]],tblStock[Estado],{"INCONSISTENTE","AGOTADO","CRÍTICO","BAJO"})))</f>
        <v/>
      </c>
      <c r="J8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5" spans="2:10" x14ac:dyDescent="0.25">
      <c r="B85" s="38"/>
      <c r="C85" s="39"/>
      <c r="D85" s="38"/>
      <c r="E85" s="39"/>
      <c r="F85" s="38"/>
      <c r="G85" s="45"/>
      <c r="H85" s="40" t="str">
        <f>IF(tblProveedores[[#This Row],[Proveedor]]="","",COUNTIF(tblProductos[Proveedor],tblProveedores[[#This Row],[Proveedor]]))</f>
        <v/>
      </c>
      <c r="I85" s="40" t="str">
        <f>IF(tblProveedores[[#This Row],[Proveedor]]="","",SUMPRODUCT(COUNTIFS(tblStock[Proveedor],tblProveedores[[#This Row],[Proveedor]],tblStock[Estado],{"INCONSISTENTE","AGOTADO","CRÍTICO","BAJO"})))</f>
        <v/>
      </c>
      <c r="J8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6" spans="2:10" x14ac:dyDescent="0.25">
      <c r="B86" s="38"/>
      <c r="C86" s="39"/>
      <c r="D86" s="38"/>
      <c r="E86" s="39"/>
      <c r="F86" s="38"/>
      <c r="G86" s="45"/>
      <c r="H86" s="40" t="str">
        <f>IF(tblProveedores[[#This Row],[Proveedor]]="","",COUNTIF(tblProductos[Proveedor],tblProveedores[[#This Row],[Proveedor]]))</f>
        <v/>
      </c>
      <c r="I86" s="40" t="str">
        <f>IF(tblProveedores[[#This Row],[Proveedor]]="","",SUMPRODUCT(COUNTIFS(tblStock[Proveedor],tblProveedores[[#This Row],[Proveedor]],tblStock[Estado],{"INCONSISTENTE","AGOTADO","CRÍTICO","BAJO"})))</f>
        <v/>
      </c>
      <c r="J8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7" spans="2:10" x14ac:dyDescent="0.25">
      <c r="B87" s="38"/>
      <c r="C87" s="39"/>
      <c r="D87" s="38"/>
      <c r="E87" s="39"/>
      <c r="F87" s="38"/>
      <c r="G87" s="45"/>
      <c r="H87" s="40" t="str">
        <f>IF(tblProveedores[[#This Row],[Proveedor]]="","",COUNTIF(tblProductos[Proveedor],tblProveedores[[#This Row],[Proveedor]]))</f>
        <v/>
      </c>
      <c r="I87" s="40" t="str">
        <f>IF(tblProveedores[[#This Row],[Proveedor]]="","",SUMPRODUCT(COUNTIFS(tblStock[Proveedor],tblProveedores[[#This Row],[Proveedor]],tblStock[Estado],{"INCONSISTENTE","AGOTADO","CRÍTICO","BAJO"})))</f>
        <v/>
      </c>
      <c r="J8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8" spans="2:10" x14ac:dyDescent="0.25">
      <c r="B88" s="38"/>
      <c r="C88" s="39"/>
      <c r="D88" s="38"/>
      <c r="E88" s="39"/>
      <c r="F88" s="38"/>
      <c r="G88" s="45"/>
      <c r="H88" s="40" t="str">
        <f>IF(tblProveedores[[#This Row],[Proveedor]]="","",COUNTIF(tblProductos[Proveedor],tblProveedores[[#This Row],[Proveedor]]))</f>
        <v/>
      </c>
      <c r="I88" s="40" t="str">
        <f>IF(tblProveedores[[#This Row],[Proveedor]]="","",SUMPRODUCT(COUNTIFS(tblStock[Proveedor],tblProveedores[[#This Row],[Proveedor]],tblStock[Estado],{"INCONSISTENTE","AGOTADO","CRÍTICO","BAJO"})))</f>
        <v/>
      </c>
      <c r="J8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9" spans="2:10" x14ac:dyDescent="0.25">
      <c r="B89" s="38"/>
      <c r="C89" s="39"/>
      <c r="D89" s="38"/>
      <c r="E89" s="39"/>
      <c r="F89" s="38"/>
      <c r="G89" s="45"/>
      <c r="H89" s="40" t="str">
        <f>IF(tblProveedores[[#This Row],[Proveedor]]="","",COUNTIF(tblProductos[Proveedor],tblProveedores[[#This Row],[Proveedor]]))</f>
        <v/>
      </c>
      <c r="I89" s="40" t="str">
        <f>IF(tblProveedores[[#This Row],[Proveedor]]="","",SUMPRODUCT(COUNTIFS(tblStock[Proveedor],tblProveedores[[#This Row],[Proveedor]],tblStock[Estado],{"INCONSISTENTE","AGOTADO","CRÍTICO","BAJO"})))</f>
        <v/>
      </c>
      <c r="J8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0" spans="2:10" x14ac:dyDescent="0.25">
      <c r="B90" s="38"/>
      <c r="C90" s="39"/>
      <c r="D90" s="38"/>
      <c r="E90" s="39"/>
      <c r="F90" s="38"/>
      <c r="G90" s="45"/>
      <c r="H90" s="40" t="str">
        <f>IF(tblProveedores[[#This Row],[Proveedor]]="","",COUNTIF(tblProductos[Proveedor],tblProveedores[[#This Row],[Proveedor]]))</f>
        <v/>
      </c>
      <c r="I90" s="40" t="str">
        <f>IF(tblProveedores[[#This Row],[Proveedor]]="","",SUMPRODUCT(COUNTIFS(tblStock[Proveedor],tblProveedores[[#This Row],[Proveedor]],tblStock[Estado],{"INCONSISTENTE","AGOTADO","CRÍTICO","BAJO"})))</f>
        <v/>
      </c>
      <c r="J9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1" spans="2:10" x14ac:dyDescent="0.25">
      <c r="B91" s="38"/>
      <c r="C91" s="39"/>
      <c r="D91" s="38"/>
      <c r="E91" s="39"/>
      <c r="F91" s="38"/>
      <c r="G91" s="45"/>
      <c r="H91" s="40" t="str">
        <f>IF(tblProveedores[[#This Row],[Proveedor]]="","",COUNTIF(tblProductos[Proveedor],tblProveedores[[#This Row],[Proveedor]]))</f>
        <v/>
      </c>
      <c r="I91" s="40" t="str">
        <f>IF(tblProveedores[[#This Row],[Proveedor]]="","",SUMPRODUCT(COUNTIFS(tblStock[Proveedor],tblProveedores[[#This Row],[Proveedor]],tblStock[Estado],{"INCONSISTENTE","AGOTADO","CRÍTICO","BAJO"})))</f>
        <v/>
      </c>
      <c r="J9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2" spans="2:10" x14ac:dyDescent="0.25">
      <c r="B92" s="38"/>
      <c r="C92" s="39"/>
      <c r="D92" s="38"/>
      <c r="E92" s="39"/>
      <c r="F92" s="38"/>
      <c r="G92" s="45"/>
      <c r="H92" s="40" t="str">
        <f>IF(tblProveedores[[#This Row],[Proveedor]]="","",COUNTIF(tblProductos[Proveedor],tblProveedores[[#This Row],[Proveedor]]))</f>
        <v/>
      </c>
      <c r="I92" s="40" t="str">
        <f>IF(tblProveedores[[#This Row],[Proveedor]]="","",SUMPRODUCT(COUNTIFS(tblStock[Proveedor],tblProveedores[[#This Row],[Proveedor]],tblStock[Estado],{"INCONSISTENTE","AGOTADO","CRÍTICO","BAJO"})))</f>
        <v/>
      </c>
      <c r="J9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3" spans="2:10" x14ac:dyDescent="0.25">
      <c r="B93" s="38"/>
      <c r="C93" s="39"/>
      <c r="D93" s="38"/>
      <c r="E93" s="39"/>
      <c r="F93" s="38"/>
      <c r="G93" s="45"/>
      <c r="H93" s="40" t="str">
        <f>IF(tblProveedores[[#This Row],[Proveedor]]="","",COUNTIF(tblProductos[Proveedor],tblProveedores[[#This Row],[Proveedor]]))</f>
        <v/>
      </c>
      <c r="I93" s="40" t="str">
        <f>IF(tblProveedores[[#This Row],[Proveedor]]="","",SUMPRODUCT(COUNTIFS(tblStock[Proveedor],tblProveedores[[#This Row],[Proveedor]],tblStock[Estado],{"INCONSISTENTE","AGOTADO","CRÍTICO","BAJO"})))</f>
        <v/>
      </c>
      <c r="J9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4" spans="2:10" x14ac:dyDescent="0.25">
      <c r="B94" s="38"/>
      <c r="C94" s="39"/>
      <c r="D94" s="38"/>
      <c r="E94" s="39"/>
      <c r="F94" s="38"/>
      <c r="G94" s="45"/>
      <c r="H94" s="40" t="str">
        <f>IF(tblProveedores[[#This Row],[Proveedor]]="","",COUNTIF(tblProductos[Proveedor],tblProveedores[[#This Row],[Proveedor]]))</f>
        <v/>
      </c>
      <c r="I94" s="40" t="str">
        <f>IF(tblProveedores[[#This Row],[Proveedor]]="","",SUMPRODUCT(COUNTIFS(tblStock[Proveedor],tblProveedores[[#This Row],[Proveedor]],tblStock[Estado],{"INCONSISTENTE","AGOTADO","CRÍTICO","BAJO"})))</f>
        <v/>
      </c>
      <c r="J9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5" spans="2:10" x14ac:dyDescent="0.25">
      <c r="B95" s="38"/>
      <c r="C95" s="39"/>
      <c r="D95" s="38"/>
      <c r="E95" s="39"/>
      <c r="F95" s="38"/>
      <c r="G95" s="45"/>
      <c r="H95" s="40" t="str">
        <f>IF(tblProveedores[[#This Row],[Proveedor]]="","",COUNTIF(tblProductos[Proveedor],tblProveedores[[#This Row],[Proveedor]]))</f>
        <v/>
      </c>
      <c r="I95" s="40" t="str">
        <f>IF(tblProveedores[[#This Row],[Proveedor]]="","",SUMPRODUCT(COUNTIFS(tblStock[Proveedor],tblProveedores[[#This Row],[Proveedor]],tblStock[Estado],{"INCONSISTENTE","AGOTADO","CRÍTICO","BAJO"})))</f>
        <v/>
      </c>
      <c r="J9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6" spans="2:10" x14ac:dyDescent="0.25">
      <c r="B96" s="38"/>
      <c r="C96" s="39"/>
      <c r="D96" s="38"/>
      <c r="E96" s="39"/>
      <c r="F96" s="38"/>
      <c r="G96" s="45"/>
      <c r="H96" s="40" t="str">
        <f>IF(tblProveedores[[#This Row],[Proveedor]]="","",COUNTIF(tblProductos[Proveedor],tblProveedores[[#This Row],[Proveedor]]))</f>
        <v/>
      </c>
      <c r="I96" s="40" t="str">
        <f>IF(tblProveedores[[#This Row],[Proveedor]]="","",SUMPRODUCT(COUNTIFS(tblStock[Proveedor],tblProveedores[[#This Row],[Proveedor]],tblStock[Estado],{"INCONSISTENTE","AGOTADO","CRÍTICO","BAJO"})))</f>
        <v/>
      </c>
      <c r="J9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7" spans="2:10" x14ac:dyDescent="0.25">
      <c r="B97" s="38"/>
      <c r="C97" s="39"/>
      <c r="D97" s="38"/>
      <c r="E97" s="39"/>
      <c r="F97" s="38"/>
      <c r="G97" s="45"/>
      <c r="H97" s="40" t="str">
        <f>IF(tblProveedores[[#This Row],[Proveedor]]="","",COUNTIF(tblProductos[Proveedor],tblProveedores[[#This Row],[Proveedor]]))</f>
        <v/>
      </c>
      <c r="I97" s="40" t="str">
        <f>IF(tblProveedores[[#This Row],[Proveedor]]="","",SUMPRODUCT(COUNTIFS(tblStock[Proveedor],tblProveedores[[#This Row],[Proveedor]],tblStock[Estado],{"INCONSISTENTE","AGOTADO","CRÍTICO","BAJO"})))</f>
        <v/>
      </c>
      <c r="J9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8" spans="2:10" x14ac:dyDescent="0.25">
      <c r="B98" s="38"/>
      <c r="C98" s="39"/>
      <c r="D98" s="38"/>
      <c r="E98" s="39"/>
      <c r="F98" s="38"/>
      <c r="G98" s="45"/>
      <c r="H98" s="40" t="str">
        <f>IF(tblProveedores[[#This Row],[Proveedor]]="","",COUNTIF(tblProductos[Proveedor],tblProveedores[[#This Row],[Proveedor]]))</f>
        <v/>
      </c>
      <c r="I98" s="40" t="str">
        <f>IF(tblProveedores[[#This Row],[Proveedor]]="","",SUMPRODUCT(COUNTIFS(tblStock[Proveedor],tblProveedores[[#This Row],[Proveedor]],tblStock[Estado],{"INCONSISTENTE","AGOTADO","CRÍTICO","BAJO"})))</f>
        <v/>
      </c>
      <c r="J98"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9" spans="2:10" x14ac:dyDescent="0.25">
      <c r="B99" s="38"/>
      <c r="C99" s="39"/>
      <c r="D99" s="38"/>
      <c r="E99" s="39"/>
      <c r="F99" s="38"/>
      <c r="G99" s="45"/>
      <c r="H99" s="40" t="str">
        <f>IF(tblProveedores[[#This Row],[Proveedor]]="","",COUNTIF(tblProductos[Proveedor],tblProveedores[[#This Row],[Proveedor]]))</f>
        <v/>
      </c>
      <c r="I99" s="40" t="str">
        <f>IF(tblProveedores[[#This Row],[Proveedor]]="","",SUMPRODUCT(COUNTIFS(tblStock[Proveedor],tblProveedores[[#This Row],[Proveedor]],tblStock[Estado],{"INCONSISTENTE","AGOTADO","CRÍTICO","BAJO"})))</f>
        <v/>
      </c>
      <c r="J99"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0" spans="2:10" x14ac:dyDescent="0.25">
      <c r="B100" s="38"/>
      <c r="C100" s="39"/>
      <c r="D100" s="38"/>
      <c r="E100" s="39"/>
      <c r="F100" s="38"/>
      <c r="G100" s="45"/>
      <c r="H100" s="40" t="str">
        <f>IF(tblProveedores[[#This Row],[Proveedor]]="","",COUNTIF(tblProductos[Proveedor],tblProveedores[[#This Row],[Proveedor]]))</f>
        <v/>
      </c>
      <c r="I100" s="40" t="str">
        <f>IF(tblProveedores[[#This Row],[Proveedor]]="","",SUMPRODUCT(COUNTIFS(tblStock[Proveedor],tblProveedores[[#This Row],[Proveedor]],tblStock[Estado],{"INCONSISTENTE","AGOTADO","CRÍTICO","BAJO"})))</f>
        <v/>
      </c>
      <c r="J100"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1" spans="2:10" x14ac:dyDescent="0.25">
      <c r="B101" s="38"/>
      <c r="C101" s="39"/>
      <c r="D101" s="38"/>
      <c r="E101" s="39"/>
      <c r="F101" s="38"/>
      <c r="G101" s="45"/>
      <c r="H101" s="40" t="str">
        <f>IF(tblProveedores[[#This Row],[Proveedor]]="","",COUNTIF(tblProductos[Proveedor],tblProveedores[[#This Row],[Proveedor]]))</f>
        <v/>
      </c>
      <c r="I101" s="40" t="str">
        <f>IF(tblProveedores[[#This Row],[Proveedor]]="","",SUMPRODUCT(COUNTIFS(tblStock[Proveedor],tblProveedores[[#This Row],[Proveedor]],tblStock[Estado],{"INCONSISTENTE","AGOTADO","CRÍTICO","BAJO"})))</f>
        <v/>
      </c>
      <c r="J101"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2" spans="2:10" x14ac:dyDescent="0.25">
      <c r="B102" s="38"/>
      <c r="C102" s="39"/>
      <c r="D102" s="38"/>
      <c r="E102" s="39"/>
      <c r="F102" s="38"/>
      <c r="G102" s="45"/>
      <c r="H102" s="40" t="str">
        <f>IF(tblProveedores[[#This Row],[Proveedor]]="","",COUNTIF(tblProductos[Proveedor],tblProveedores[[#This Row],[Proveedor]]))</f>
        <v/>
      </c>
      <c r="I102" s="40" t="str">
        <f>IF(tblProveedores[[#This Row],[Proveedor]]="","",SUMPRODUCT(COUNTIFS(tblStock[Proveedor],tblProveedores[[#This Row],[Proveedor]],tblStock[Estado],{"INCONSISTENTE","AGOTADO","CRÍTICO","BAJO"})))</f>
        <v/>
      </c>
      <c r="J102"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3" spans="2:10" x14ac:dyDescent="0.25">
      <c r="B103" s="38"/>
      <c r="C103" s="39"/>
      <c r="D103" s="38"/>
      <c r="E103" s="39"/>
      <c r="F103" s="38"/>
      <c r="G103" s="45"/>
      <c r="H103" s="40" t="str">
        <f>IF(tblProveedores[[#This Row],[Proveedor]]="","",COUNTIF(tblProductos[Proveedor],tblProveedores[[#This Row],[Proveedor]]))</f>
        <v/>
      </c>
      <c r="I103" s="40" t="str">
        <f>IF(tblProveedores[[#This Row],[Proveedor]]="","",SUMPRODUCT(COUNTIFS(tblStock[Proveedor],tblProveedores[[#This Row],[Proveedor]],tblStock[Estado],{"INCONSISTENTE","AGOTADO","CRÍTICO","BAJO"})))</f>
        <v/>
      </c>
      <c r="J103"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4" spans="2:10" x14ac:dyDescent="0.25">
      <c r="B104" s="38"/>
      <c r="C104" s="39"/>
      <c r="D104" s="38"/>
      <c r="E104" s="39"/>
      <c r="F104" s="38"/>
      <c r="G104" s="45"/>
      <c r="H104" s="40" t="str">
        <f>IF(tblProveedores[[#This Row],[Proveedor]]="","",COUNTIF(tblProductos[Proveedor],tblProveedores[[#This Row],[Proveedor]]))</f>
        <v/>
      </c>
      <c r="I104" s="40" t="str">
        <f>IF(tblProveedores[[#This Row],[Proveedor]]="","",SUMPRODUCT(COUNTIFS(tblStock[Proveedor],tblProveedores[[#This Row],[Proveedor]],tblStock[Estado],{"INCONSISTENTE","AGOTADO","CRÍTICO","BAJO"})))</f>
        <v/>
      </c>
      <c r="J104"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5" spans="2:10" x14ac:dyDescent="0.25">
      <c r="B105" s="38"/>
      <c r="C105" s="39"/>
      <c r="D105" s="38"/>
      <c r="E105" s="39"/>
      <c r="F105" s="38"/>
      <c r="G105" s="45"/>
      <c r="H105" s="40" t="str">
        <f>IF(tblProveedores[[#This Row],[Proveedor]]="","",COUNTIF(tblProductos[Proveedor],tblProveedores[[#This Row],[Proveedor]]))</f>
        <v/>
      </c>
      <c r="I105" s="40" t="str">
        <f>IF(tblProveedores[[#This Row],[Proveedor]]="","",SUMPRODUCT(COUNTIFS(tblStock[Proveedor],tblProveedores[[#This Row],[Proveedor]],tblStock[Estado],{"INCONSISTENTE","AGOTADO","CRÍTICO","BAJO"})))</f>
        <v/>
      </c>
      <c r="J105"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6" spans="2:10" x14ac:dyDescent="0.25">
      <c r="B106" s="38"/>
      <c r="C106" s="39"/>
      <c r="D106" s="38"/>
      <c r="E106" s="39"/>
      <c r="F106" s="38"/>
      <c r="G106" s="45"/>
      <c r="H106" s="40" t="str">
        <f>IF(tblProveedores[[#This Row],[Proveedor]]="","",COUNTIF(tblProductos[Proveedor],tblProveedores[[#This Row],[Proveedor]]))</f>
        <v/>
      </c>
      <c r="I106" s="40" t="str">
        <f>IF(tblProveedores[[#This Row],[Proveedor]]="","",SUMPRODUCT(COUNTIFS(tblStock[Proveedor],tblProveedores[[#This Row],[Proveedor]],tblStock[Estado],{"INCONSISTENTE","AGOTADO","CRÍTICO","BAJO"})))</f>
        <v/>
      </c>
      <c r="J106"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7" spans="2:10" x14ac:dyDescent="0.25">
      <c r="B107" s="38"/>
      <c r="C107" s="39"/>
      <c r="D107" s="38"/>
      <c r="E107" s="39"/>
      <c r="F107" s="38"/>
      <c r="G107" s="45"/>
      <c r="H107" s="40" t="str">
        <f>IF(tblProveedores[[#This Row],[Proveedor]]="","",COUNTIF(tblProductos[Proveedor],tblProveedores[[#This Row],[Proveedor]]))</f>
        <v/>
      </c>
      <c r="I107" s="40" t="str">
        <f>IF(tblProveedores[[#This Row],[Proveedor]]="","",SUMPRODUCT(COUNTIFS(tblStock[Proveedor],tblProveedores[[#This Row],[Proveedor]],tblStock[Estado],{"INCONSISTENTE","AGOTADO","CRÍTICO","BAJO"})))</f>
        <v/>
      </c>
      <c r="J107" s="41"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sheetData>
  <sheetProtection password="930D" sheet="1" objects="1" scenarios="1" formatColumns="0" autoFilter="0"/>
  <conditionalFormatting sqref="B8:G107">
    <cfRule type="expression" dxfId="121" priority="1">
      <formula>AND($B8="",$B7&lt;&gt;"")</formula>
    </cfRule>
  </conditionalFormatting>
  <conditionalFormatting sqref="I8:I107">
    <cfRule type="cellIs" dxfId="120" priority="7" operator="greaterThan">
      <formula>0</formula>
    </cfRule>
  </conditionalFormatting>
  <conditionalFormatting sqref="J8:J107">
    <cfRule type="expression" dxfId="119" priority="2">
      <formula>LEFT($J8,1)="✖"</formula>
    </cfRule>
    <cfRule type="expression" dxfId="118" priority="3">
      <formula>LEFT($J8,1)="⚠"</formula>
    </cfRule>
    <cfRule type="expression" dxfId="117" priority="4">
      <formula>LEFT($J8,1)="✔"</formula>
    </cfRule>
    <cfRule type="expression" dxfId="116" priority="5">
      <formula>LEFT($J8,1)="●"</formula>
    </cfRule>
    <cfRule type="expression" dxfId="115" priority="6">
      <formula>LEFT($J8,1)="○"</formula>
    </cfRule>
  </conditionalFormatting>
  <dataValidations count="15">
    <dataValidation allowBlank="1" showInputMessage="1" showErrorMessage="1" promptTitle="✎ Proveedor" prompt="Razón social o nombre comercial (único). Aparece en el catálogo y en el pedido sugerido." sqref="B7" xr:uid="{00000000-0002-0000-0500-000000000000}"/>
    <dataValidation allowBlank="1" showInputMessage="1" showErrorMessage="1" promptTitle="✎ NIT" prompt="Identificación tributaria (opcional)." sqref="C7" xr:uid="{00000000-0002-0000-0500-000001000000}"/>
    <dataValidation allowBlank="1" showInputMessage="1" showErrorMessage="1" promptTitle="✎ Contacto" prompt="Persona de contacto para pedidos." sqref="D7" xr:uid="{00000000-0002-0000-0500-000002000000}"/>
    <dataValidation allowBlank="1" showInputMessage="1" showErrorMessage="1" promptTitle="✎ Teléfono" prompt="Teléfono o celular del contacto." sqref="E7" xr:uid="{00000000-0002-0000-0500-000003000000}"/>
    <dataValidation allowBlank="1" showInputMessage="1" showErrorMessage="1" promptTitle="✎ Correo" prompt="Correo para enviar el pedido sugerido." sqref="F7" xr:uid="{00000000-0002-0000-0500-000004000000}"/>
    <dataValidation allowBlank="1" showInputMessage="1" showErrorMessage="1" promptTitle="✎ DiasEntrega" prompt="Días que tarda en entregar desde el pedido (lead time). Se usa para la fecha estimada de llegada." sqref="G7" xr:uid="{00000000-0002-0000-0500-000005000000}"/>
    <dataValidation allowBlank="1" showInputMessage="1" showErrorMessage="1" promptTitle="ƒx Productos" prompt="Productos del catálogo asignados a este proveedor." sqref="H7" xr:uid="{00000000-0002-0000-0500-000006000000}"/>
    <dataValidation allowBlank="1" showInputMessage="1" showErrorMessage="1" promptTitle="ƒx EnAlerta" prompt="Productos de este proveedor que requieren reposición." sqref="I7" xr:uid="{00000000-0002-0000-0500-000007000000}"/>
    <dataValidation allowBlank="1" showInputMessage="1" showErrorMessage="1" promptTitle="ƒx Validación" prompt="Control de calidad del registro." sqref="J7" xr:uid="{00000000-0002-0000-0500-000008000000}"/>
    <dataValidation type="custom" allowBlank="1" showInputMessage="1" showErrorMessage="1" errorTitle="Proveedor no válido" error="El nombre debe tener entre 3 y 60 caracteres y no puede repetirse." promptTitle="Proveedor" prompt="Nombre único de 3 a 60 caracteres." sqref="B8:B107" xr:uid="{00000000-0002-0000-0500-000009000000}">
      <formula1>AND(LEN(B8)&gt;=3,LEN(B8)&lt;=60,COUNTIF($B$8:$B$107,B8)=1)</formula1>
    </dataValidation>
    <dataValidation type="textLength" operator="lessThanOrEqual" allowBlank="1" showInputMessage="1" showErrorMessage="1" errorTitle="Texto muy largo" error="Máximo 20 caracteres." promptTitle="NIT" prompt="Máximo 20 caracteres." sqref="C8:C107" xr:uid="{00000000-0002-0000-0500-00000A000000}">
      <formula1>20</formula1>
    </dataValidation>
    <dataValidation type="textLength" operator="lessThanOrEqual" allowBlank="1" showInputMessage="1" showErrorMessage="1" errorTitle="Texto muy largo" error="Máximo 60 caracteres." promptTitle="Contacto" prompt="Máximo 60 caracteres." sqref="D8:D107" xr:uid="{00000000-0002-0000-0500-00000B000000}">
      <formula1>60</formula1>
    </dataValidation>
    <dataValidation type="textLength" operator="lessThanOrEqual" allowBlank="1" showInputMessage="1" showErrorMessage="1" errorTitle="Texto muy largo" error="Máximo 20 caracteres." promptTitle="Teléfono" prompt="Máximo 20 caracteres." sqref="E8:E107" xr:uid="{00000000-0002-0000-0500-00000C000000}">
      <formula1>20</formula1>
    </dataValidation>
    <dataValidation type="custom" allowBlank="1" showInputMessage="1" showErrorMessage="1" errorTitle="Correo no válido" error="Escriba un correo válido, sin espacios." promptTitle="Correo" prompt="Ej: pedidos@proveedor.com" sqref="F8:F107" xr:uid="{00000000-0002-0000-0500-00000D000000}">
      <formula1>AND(ISNUMBER(FIND("@",F8)),ISERROR(FIND(" ",F8)),LEN(F8)&lt;=80)</formula1>
    </dataValidation>
    <dataValidation type="whole" allowBlank="1" showInputMessage="1" showErrorMessage="1" errorTitle="Valor no válido" error="Escriba un número entero entre 0 y 365." promptTitle="Días de entrega" prompt="Número entero de días (0 a 365)." sqref="G8:G107" xr:uid="{00000000-0002-0000-0500-00000E000000}">
      <formula1>0</formula1>
      <formula2>365</formula2>
    </dataValidation>
  </dataValidations>
  <hyperlinks>
    <hyperlink ref="B5" location="'00_PORTADA_BODEGA'!A1" tooltip="Portada de Bodega" display="⌂ Bodega" xr:uid="{00000000-0004-0000-0500-000000000000}"/>
    <hyperlink ref="C5" location="'00_PORTADA_VENTAS'!A1" tooltip="Portada de Ventas" display="⌂ Ventas" xr:uid="{00000000-0004-0000-0500-000001000000}"/>
    <hyperlink ref="D5" location="'10A_ENTRADAS'!C9" tooltip="Registrar entradas y ajustes (Bodega)" display="⇩ Entradas" xr:uid="{00000000-0004-0000-0500-000002000000}"/>
    <hyperlink ref="E5" location="'10B_SALIDAS'!E9" tooltip="Registrar salidas (Ventas)" display="⇧ Salidas" xr:uid="{00000000-0004-0000-0500-000003000000}"/>
    <hyperlink ref="F5" location="'15_STOCK'!A1" tooltip="Stock (instantánea recalculada a demanda)" display="▦ Stock" xr:uid="{00000000-0004-0000-0500-000004000000}"/>
    <hyperlink ref="G5" location="'16_ALERTAS'!A1" tooltip="Productos que requieren acción" display="⚠ Alertas" xr:uid="{00000000-0004-0000-0500-000005000000}"/>
    <hyperlink ref="H5" location="'05_PRODUCTOS'!A1" tooltip="Catálogo de productos" display="☰ Catálogo" xr:uid="{00000000-0004-0000-0500-000006000000}"/>
    <hyperlink ref="I5" location="'99_AYUDA'!A1" tooltip="Guía de uso y de instalación" display="? Guía" xr:uid="{00000000-0004-0000-0500-000007000000}"/>
  </hyperlinks>
  <pageMargins left="0.4" right="0.4" top="0.7" bottom="0.6" header="0.3" footer="0.3"/>
  <pageSetup fitToHeight="0" orientation="landscape"/>
  <headerFooter>
    <oddHeader>&amp;L&amp;"Segoe UI,Bold"&amp;9M-INV · Proveedores&amp;R&amp;"Segoe UI,Regular"&amp;8&amp;D</oddHeader>
    <oddFooter>&amp;L&amp;"Segoe UI,Regular"&amp;8Z&amp;&amp;P Software Fast Solutions&amp;R&amp;"Segoe UI,Regular"&amp;8Página &amp;P de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E35B1"/>
    <pageSetUpPr fitToPage="1"/>
  </sheetPr>
  <dimension ref="B1:N507"/>
  <sheetViews>
    <sheetView showGridLines="0" showRowColHeaders="0" zoomScale="90" zoomScaleNormal="90" workbookViewId="0">
      <pane ySplit="7" topLeftCell="A8" activePane="bottomLeft" state="frozen"/>
      <selection pane="bottomLeft" activeCell="B8" sqref="B8"/>
    </sheetView>
  </sheetViews>
  <sheetFormatPr baseColWidth="10" defaultColWidth="0" defaultRowHeight="15" zeroHeight="1" x14ac:dyDescent="0.25"/>
  <cols>
    <col min="1" max="1" width="2.28515625" customWidth="1"/>
    <col min="2" max="2" width="13.140625" customWidth="1"/>
    <col min="3" max="3" width="41.42578125" customWidth="1"/>
    <col min="4" max="4" width="24" customWidth="1"/>
    <col min="5" max="5" width="12" customWidth="1"/>
    <col min="6" max="7" width="13.7109375" customWidth="1"/>
    <col min="8" max="8" width="17.140625" customWidth="1"/>
    <col min="9" max="9" width="30" customWidth="1"/>
    <col min="10" max="10" width="13.7109375" customWidth="1"/>
    <col min="11" max="11" width="9.42578125" customWidth="1"/>
    <col min="12" max="12" width="42.85546875" customWidth="1"/>
    <col min="13" max="13" width="16" customWidth="1"/>
    <col min="14" max="14" width="25.7109375" customWidth="1"/>
    <col min="15" max="15" width="2.28515625" customWidth="1"/>
    <col min="16" max="16" width="0" hidden="1" customWidth="1"/>
  </cols>
  <sheetData>
    <row r="1" spans="2:14" s="1" customFormat="1" ht="4.5" customHeight="1" x14ac:dyDescent="0.25"/>
    <row r="2" spans="2:14" s="1" customFormat="1" ht="22.5" customHeight="1" x14ac:dyDescent="0.25">
      <c r="B2" s="2" t="s">
        <v>109</v>
      </c>
    </row>
    <row r="3" spans="2:14" s="1" customFormat="1" ht="14.25" x14ac:dyDescent="0.25">
      <c r="B3" s="13" t="s">
        <v>110</v>
      </c>
    </row>
    <row r="4" spans="2:14" s="1" customFormat="1" ht="4.5" customHeight="1" x14ac:dyDescent="0.25"/>
    <row r="5" spans="2:14" s="4" customFormat="1" ht="21" customHeight="1" x14ac:dyDescent="0.25">
      <c r="B5" s="6" t="s">
        <v>82</v>
      </c>
      <c r="C5" s="6" t="s">
        <v>83</v>
      </c>
      <c r="D5" s="6" t="s">
        <v>84</v>
      </c>
      <c r="E5" s="6" t="s">
        <v>85</v>
      </c>
      <c r="F5" s="6" t="s">
        <v>86</v>
      </c>
      <c r="G5" s="6" t="s">
        <v>87</v>
      </c>
      <c r="H5" s="5" t="s">
        <v>88</v>
      </c>
      <c r="I5" s="6" t="s">
        <v>89</v>
      </c>
    </row>
    <row r="6" spans="2:14" x14ac:dyDescent="0.25">
      <c r="B6" s="43" t="s">
        <v>107</v>
      </c>
      <c r="C6" s="43" t="s">
        <v>107</v>
      </c>
      <c r="D6" s="43" t="s">
        <v>107</v>
      </c>
      <c r="E6" s="43" t="s">
        <v>107</v>
      </c>
      <c r="F6" s="43" t="s">
        <v>107</v>
      </c>
      <c r="G6" s="43" t="s">
        <v>107</v>
      </c>
      <c r="H6" s="43" t="s">
        <v>107</v>
      </c>
      <c r="I6" s="43" t="s">
        <v>107</v>
      </c>
      <c r="J6" s="43" t="s">
        <v>107</v>
      </c>
      <c r="K6" s="43" t="s">
        <v>107</v>
      </c>
      <c r="L6" s="44" t="s">
        <v>108</v>
      </c>
      <c r="M6" s="44" t="s">
        <v>108</v>
      </c>
      <c r="N6" s="44" t="s">
        <v>108</v>
      </c>
    </row>
    <row r="7" spans="2:14" ht="25.5" customHeight="1" x14ac:dyDescent="0.25">
      <c r="B7" s="16" t="s">
        <v>111</v>
      </c>
      <c r="C7" s="16" t="s">
        <v>112</v>
      </c>
      <c r="D7" s="16" t="s">
        <v>113</v>
      </c>
      <c r="E7" s="16" t="s">
        <v>114</v>
      </c>
      <c r="F7" s="16" t="s">
        <v>115</v>
      </c>
      <c r="G7" s="16" t="s">
        <v>116</v>
      </c>
      <c r="H7" s="16" t="s">
        <v>117</v>
      </c>
      <c r="I7" s="16" t="s">
        <v>100</v>
      </c>
      <c r="J7" s="16" t="s">
        <v>118</v>
      </c>
      <c r="K7" s="16" t="s">
        <v>93</v>
      </c>
      <c r="L7" s="15" t="s">
        <v>119</v>
      </c>
      <c r="M7" s="15" t="s">
        <v>120</v>
      </c>
      <c r="N7" s="15" t="s">
        <v>96</v>
      </c>
    </row>
    <row r="8" spans="2:14" x14ac:dyDescent="0.25">
      <c r="B8" s="38"/>
      <c r="C8" s="38"/>
      <c r="D8" s="38"/>
      <c r="E8" s="39"/>
      <c r="F8" s="45"/>
      <c r="G8" s="45"/>
      <c r="H8" s="46"/>
      <c r="I8" s="38"/>
      <c r="J8" s="39"/>
      <c r="K8" s="39"/>
      <c r="L8" s="47" t="str">
        <f>IF(OR(tblProductos[[#This Row],[SKU]]="",tblProductos[[#This Row],[Producto]]=""),"",tblProductos[[#This Row],[SKU]]&amp;" · "&amp;tblProductos[[#This Row],[Producto]]&amp;IF(tblProductos[[#This Row],[Activo]]="NO","  (inactivo)",""))</f>
        <v/>
      </c>
      <c r="M8" s="40" t="str">
        <f>IF(tblProductos[[#This Row],[SKU]]="","",COUNTIF(tblEntradas[SKU],tblProductos[[#This Row],[SKU]])+COUNTIF(tblSalidas[SKU],tblProductos[[#This Row],[SKU]]))</f>
        <v/>
      </c>
      <c r="N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 spans="2:14" x14ac:dyDescent="0.25">
      <c r="B9" s="38"/>
      <c r="C9" s="38"/>
      <c r="D9" s="38"/>
      <c r="E9" s="39"/>
      <c r="F9" s="45"/>
      <c r="G9" s="45"/>
      <c r="H9" s="46"/>
      <c r="I9" s="38"/>
      <c r="J9" s="39"/>
      <c r="K9" s="39"/>
      <c r="L9" s="47" t="str">
        <f>IF(OR(tblProductos[[#This Row],[SKU]]="",tblProductos[[#This Row],[Producto]]=""),"",tblProductos[[#This Row],[SKU]]&amp;" · "&amp;tblProductos[[#This Row],[Producto]]&amp;IF(tblProductos[[#This Row],[Activo]]="NO","  (inactivo)",""))</f>
        <v/>
      </c>
      <c r="M9" s="40" t="str">
        <f>IF(tblProductos[[#This Row],[SKU]]="","",COUNTIF(tblEntradas[SKU],tblProductos[[#This Row],[SKU]])+COUNTIF(tblSalidas[SKU],tblProductos[[#This Row],[SKU]]))</f>
        <v/>
      </c>
      <c r="N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 spans="2:14" x14ac:dyDescent="0.25">
      <c r="B10" s="38"/>
      <c r="C10" s="38"/>
      <c r="D10" s="38"/>
      <c r="E10" s="39"/>
      <c r="F10" s="45"/>
      <c r="G10" s="45"/>
      <c r="H10" s="46"/>
      <c r="I10" s="38"/>
      <c r="J10" s="39"/>
      <c r="K10" s="39"/>
      <c r="L10" s="47" t="str">
        <f>IF(OR(tblProductos[[#This Row],[SKU]]="",tblProductos[[#This Row],[Producto]]=""),"",tblProductos[[#This Row],[SKU]]&amp;" · "&amp;tblProductos[[#This Row],[Producto]]&amp;IF(tblProductos[[#This Row],[Activo]]="NO","  (inactivo)",""))</f>
        <v/>
      </c>
      <c r="M10" s="40" t="str">
        <f>IF(tblProductos[[#This Row],[SKU]]="","",COUNTIF(tblEntradas[SKU],tblProductos[[#This Row],[SKU]])+COUNTIF(tblSalidas[SKU],tblProductos[[#This Row],[SKU]]))</f>
        <v/>
      </c>
      <c r="N1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 spans="2:14" x14ac:dyDescent="0.25">
      <c r="B11" s="38"/>
      <c r="C11" s="38"/>
      <c r="D11" s="38"/>
      <c r="E11" s="39"/>
      <c r="F11" s="45"/>
      <c r="G11" s="45"/>
      <c r="H11" s="46"/>
      <c r="I11" s="38"/>
      <c r="J11" s="39"/>
      <c r="K11" s="39"/>
      <c r="L11" s="47" t="str">
        <f>IF(OR(tblProductos[[#This Row],[SKU]]="",tblProductos[[#This Row],[Producto]]=""),"",tblProductos[[#This Row],[SKU]]&amp;" · "&amp;tblProductos[[#This Row],[Producto]]&amp;IF(tblProductos[[#This Row],[Activo]]="NO","  (inactivo)",""))</f>
        <v/>
      </c>
      <c r="M11" s="40" t="str">
        <f>IF(tblProductos[[#This Row],[SKU]]="","",COUNTIF(tblEntradas[SKU],tblProductos[[#This Row],[SKU]])+COUNTIF(tblSalidas[SKU],tblProductos[[#This Row],[SKU]]))</f>
        <v/>
      </c>
      <c r="N1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 spans="2:14" x14ac:dyDescent="0.25">
      <c r="B12" s="38"/>
      <c r="C12" s="38"/>
      <c r="D12" s="38"/>
      <c r="E12" s="39"/>
      <c r="F12" s="45"/>
      <c r="G12" s="45"/>
      <c r="H12" s="46"/>
      <c r="I12" s="38"/>
      <c r="J12" s="39"/>
      <c r="K12" s="39"/>
      <c r="L12" s="47" t="str">
        <f>IF(OR(tblProductos[[#This Row],[SKU]]="",tblProductos[[#This Row],[Producto]]=""),"",tblProductos[[#This Row],[SKU]]&amp;" · "&amp;tblProductos[[#This Row],[Producto]]&amp;IF(tblProductos[[#This Row],[Activo]]="NO","  (inactivo)",""))</f>
        <v/>
      </c>
      <c r="M12" s="40" t="str">
        <f>IF(tblProductos[[#This Row],[SKU]]="","",COUNTIF(tblEntradas[SKU],tblProductos[[#This Row],[SKU]])+COUNTIF(tblSalidas[SKU],tblProductos[[#This Row],[SKU]]))</f>
        <v/>
      </c>
      <c r="N1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 spans="2:14" x14ac:dyDescent="0.25">
      <c r="B13" s="38"/>
      <c r="C13" s="38"/>
      <c r="D13" s="38"/>
      <c r="E13" s="39"/>
      <c r="F13" s="45"/>
      <c r="G13" s="45"/>
      <c r="H13" s="46"/>
      <c r="I13" s="38"/>
      <c r="J13" s="39"/>
      <c r="K13" s="39"/>
      <c r="L13" s="47" t="str">
        <f>IF(OR(tblProductos[[#This Row],[SKU]]="",tblProductos[[#This Row],[Producto]]=""),"",tblProductos[[#This Row],[SKU]]&amp;" · "&amp;tblProductos[[#This Row],[Producto]]&amp;IF(tblProductos[[#This Row],[Activo]]="NO","  (inactivo)",""))</f>
        <v/>
      </c>
      <c r="M13" s="40" t="str">
        <f>IF(tblProductos[[#This Row],[SKU]]="","",COUNTIF(tblEntradas[SKU],tblProductos[[#This Row],[SKU]])+COUNTIF(tblSalidas[SKU],tblProductos[[#This Row],[SKU]]))</f>
        <v/>
      </c>
      <c r="N1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 spans="2:14" x14ac:dyDescent="0.25">
      <c r="B14" s="38"/>
      <c r="C14" s="38"/>
      <c r="D14" s="38"/>
      <c r="E14" s="39"/>
      <c r="F14" s="45"/>
      <c r="G14" s="45"/>
      <c r="H14" s="46"/>
      <c r="I14" s="38"/>
      <c r="J14" s="39"/>
      <c r="K14" s="39"/>
      <c r="L14" s="47" t="str">
        <f>IF(OR(tblProductos[[#This Row],[SKU]]="",tblProductos[[#This Row],[Producto]]=""),"",tblProductos[[#This Row],[SKU]]&amp;" · "&amp;tblProductos[[#This Row],[Producto]]&amp;IF(tblProductos[[#This Row],[Activo]]="NO","  (inactivo)",""))</f>
        <v/>
      </c>
      <c r="M14" s="40" t="str">
        <f>IF(tblProductos[[#This Row],[SKU]]="","",COUNTIF(tblEntradas[SKU],tblProductos[[#This Row],[SKU]])+COUNTIF(tblSalidas[SKU],tblProductos[[#This Row],[SKU]]))</f>
        <v/>
      </c>
      <c r="N1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 spans="2:14" x14ac:dyDescent="0.25">
      <c r="B15" s="38"/>
      <c r="C15" s="38"/>
      <c r="D15" s="38"/>
      <c r="E15" s="39"/>
      <c r="F15" s="45"/>
      <c r="G15" s="45"/>
      <c r="H15" s="46"/>
      <c r="I15" s="38"/>
      <c r="J15" s="39"/>
      <c r="K15" s="39"/>
      <c r="L15" s="47" t="str">
        <f>IF(OR(tblProductos[[#This Row],[SKU]]="",tblProductos[[#This Row],[Producto]]=""),"",tblProductos[[#This Row],[SKU]]&amp;" · "&amp;tblProductos[[#This Row],[Producto]]&amp;IF(tblProductos[[#This Row],[Activo]]="NO","  (inactivo)",""))</f>
        <v/>
      </c>
      <c r="M15" s="40" t="str">
        <f>IF(tblProductos[[#This Row],[SKU]]="","",COUNTIF(tblEntradas[SKU],tblProductos[[#This Row],[SKU]])+COUNTIF(tblSalidas[SKU],tblProductos[[#This Row],[SKU]]))</f>
        <v/>
      </c>
      <c r="N1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 spans="2:14" x14ac:dyDescent="0.25">
      <c r="B16" s="38"/>
      <c r="C16" s="38"/>
      <c r="D16" s="38"/>
      <c r="E16" s="39"/>
      <c r="F16" s="45"/>
      <c r="G16" s="45"/>
      <c r="H16" s="46"/>
      <c r="I16" s="38"/>
      <c r="J16" s="39"/>
      <c r="K16" s="39"/>
      <c r="L16" s="47" t="str">
        <f>IF(OR(tblProductos[[#This Row],[SKU]]="",tblProductos[[#This Row],[Producto]]=""),"",tblProductos[[#This Row],[SKU]]&amp;" · "&amp;tblProductos[[#This Row],[Producto]]&amp;IF(tblProductos[[#This Row],[Activo]]="NO","  (inactivo)",""))</f>
        <v/>
      </c>
      <c r="M16" s="40" t="str">
        <f>IF(tblProductos[[#This Row],[SKU]]="","",COUNTIF(tblEntradas[SKU],tblProductos[[#This Row],[SKU]])+COUNTIF(tblSalidas[SKU],tblProductos[[#This Row],[SKU]]))</f>
        <v/>
      </c>
      <c r="N1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 spans="2:14" x14ac:dyDescent="0.25">
      <c r="B17" s="38"/>
      <c r="C17" s="38"/>
      <c r="D17" s="38"/>
      <c r="E17" s="39"/>
      <c r="F17" s="45"/>
      <c r="G17" s="45"/>
      <c r="H17" s="46"/>
      <c r="I17" s="38"/>
      <c r="J17" s="39"/>
      <c r="K17" s="39"/>
      <c r="L17" s="47" t="str">
        <f>IF(OR(tblProductos[[#This Row],[SKU]]="",tblProductos[[#This Row],[Producto]]=""),"",tblProductos[[#This Row],[SKU]]&amp;" · "&amp;tblProductos[[#This Row],[Producto]]&amp;IF(tblProductos[[#This Row],[Activo]]="NO","  (inactivo)",""))</f>
        <v/>
      </c>
      <c r="M17" s="40" t="str">
        <f>IF(tblProductos[[#This Row],[SKU]]="","",COUNTIF(tblEntradas[SKU],tblProductos[[#This Row],[SKU]])+COUNTIF(tblSalidas[SKU],tblProductos[[#This Row],[SKU]]))</f>
        <v/>
      </c>
      <c r="N1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 spans="2:14" x14ac:dyDescent="0.25">
      <c r="B18" s="38"/>
      <c r="C18" s="38"/>
      <c r="D18" s="38"/>
      <c r="E18" s="39"/>
      <c r="F18" s="45"/>
      <c r="G18" s="45"/>
      <c r="H18" s="46"/>
      <c r="I18" s="38"/>
      <c r="J18" s="39"/>
      <c r="K18" s="39"/>
      <c r="L18" s="47" t="str">
        <f>IF(OR(tblProductos[[#This Row],[SKU]]="",tblProductos[[#This Row],[Producto]]=""),"",tblProductos[[#This Row],[SKU]]&amp;" · "&amp;tblProductos[[#This Row],[Producto]]&amp;IF(tblProductos[[#This Row],[Activo]]="NO","  (inactivo)",""))</f>
        <v/>
      </c>
      <c r="M18" s="40" t="str">
        <f>IF(tblProductos[[#This Row],[SKU]]="","",COUNTIF(tblEntradas[SKU],tblProductos[[#This Row],[SKU]])+COUNTIF(tblSalidas[SKU],tblProductos[[#This Row],[SKU]]))</f>
        <v/>
      </c>
      <c r="N1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 spans="2:14" x14ac:dyDescent="0.25">
      <c r="B19" s="38"/>
      <c r="C19" s="38"/>
      <c r="D19" s="38"/>
      <c r="E19" s="39"/>
      <c r="F19" s="45"/>
      <c r="G19" s="45"/>
      <c r="H19" s="46"/>
      <c r="I19" s="38"/>
      <c r="J19" s="39"/>
      <c r="K19" s="39"/>
      <c r="L19" s="47" t="str">
        <f>IF(OR(tblProductos[[#This Row],[SKU]]="",tblProductos[[#This Row],[Producto]]=""),"",tblProductos[[#This Row],[SKU]]&amp;" · "&amp;tblProductos[[#This Row],[Producto]]&amp;IF(tblProductos[[#This Row],[Activo]]="NO","  (inactivo)",""))</f>
        <v/>
      </c>
      <c r="M19" s="40" t="str">
        <f>IF(tblProductos[[#This Row],[SKU]]="","",COUNTIF(tblEntradas[SKU],tblProductos[[#This Row],[SKU]])+COUNTIF(tblSalidas[SKU],tblProductos[[#This Row],[SKU]]))</f>
        <v/>
      </c>
      <c r="N1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 spans="2:14" x14ac:dyDescent="0.25">
      <c r="B20" s="38"/>
      <c r="C20" s="38"/>
      <c r="D20" s="38"/>
      <c r="E20" s="39"/>
      <c r="F20" s="45"/>
      <c r="G20" s="45"/>
      <c r="H20" s="46"/>
      <c r="I20" s="38"/>
      <c r="J20" s="39"/>
      <c r="K20" s="39"/>
      <c r="L20" s="47" t="str">
        <f>IF(OR(tblProductos[[#This Row],[SKU]]="",tblProductos[[#This Row],[Producto]]=""),"",tblProductos[[#This Row],[SKU]]&amp;" · "&amp;tblProductos[[#This Row],[Producto]]&amp;IF(tblProductos[[#This Row],[Activo]]="NO","  (inactivo)",""))</f>
        <v/>
      </c>
      <c r="M20" s="40" t="str">
        <f>IF(tblProductos[[#This Row],[SKU]]="","",COUNTIF(tblEntradas[SKU],tblProductos[[#This Row],[SKU]])+COUNTIF(tblSalidas[SKU],tblProductos[[#This Row],[SKU]]))</f>
        <v/>
      </c>
      <c r="N2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 spans="2:14" x14ac:dyDescent="0.25">
      <c r="B21" s="38"/>
      <c r="C21" s="38"/>
      <c r="D21" s="38"/>
      <c r="E21" s="39"/>
      <c r="F21" s="45"/>
      <c r="G21" s="45"/>
      <c r="H21" s="46"/>
      <c r="I21" s="38"/>
      <c r="J21" s="39"/>
      <c r="K21" s="39"/>
      <c r="L21" s="47" t="str">
        <f>IF(OR(tblProductos[[#This Row],[SKU]]="",tblProductos[[#This Row],[Producto]]=""),"",tblProductos[[#This Row],[SKU]]&amp;" · "&amp;tblProductos[[#This Row],[Producto]]&amp;IF(tblProductos[[#This Row],[Activo]]="NO","  (inactivo)",""))</f>
        <v/>
      </c>
      <c r="M21" s="40" t="str">
        <f>IF(tblProductos[[#This Row],[SKU]]="","",COUNTIF(tblEntradas[SKU],tblProductos[[#This Row],[SKU]])+COUNTIF(tblSalidas[SKU],tblProductos[[#This Row],[SKU]]))</f>
        <v/>
      </c>
      <c r="N2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 spans="2:14" x14ac:dyDescent="0.25">
      <c r="B22" s="38"/>
      <c r="C22" s="38"/>
      <c r="D22" s="38"/>
      <c r="E22" s="39"/>
      <c r="F22" s="45"/>
      <c r="G22" s="45"/>
      <c r="H22" s="46"/>
      <c r="I22" s="38"/>
      <c r="J22" s="39"/>
      <c r="K22" s="39"/>
      <c r="L22" s="47" t="str">
        <f>IF(OR(tblProductos[[#This Row],[SKU]]="",tblProductos[[#This Row],[Producto]]=""),"",tblProductos[[#This Row],[SKU]]&amp;" · "&amp;tblProductos[[#This Row],[Producto]]&amp;IF(tblProductos[[#This Row],[Activo]]="NO","  (inactivo)",""))</f>
        <v/>
      </c>
      <c r="M22" s="40" t="str">
        <f>IF(tblProductos[[#This Row],[SKU]]="","",COUNTIF(tblEntradas[SKU],tblProductos[[#This Row],[SKU]])+COUNTIF(tblSalidas[SKU],tblProductos[[#This Row],[SKU]]))</f>
        <v/>
      </c>
      <c r="N2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 spans="2:14" x14ac:dyDescent="0.25">
      <c r="B23" s="38"/>
      <c r="C23" s="38"/>
      <c r="D23" s="38"/>
      <c r="E23" s="39"/>
      <c r="F23" s="45"/>
      <c r="G23" s="45"/>
      <c r="H23" s="46"/>
      <c r="I23" s="38"/>
      <c r="J23" s="39"/>
      <c r="K23" s="39"/>
      <c r="L23" s="47" t="str">
        <f>IF(OR(tblProductos[[#This Row],[SKU]]="",tblProductos[[#This Row],[Producto]]=""),"",tblProductos[[#This Row],[SKU]]&amp;" · "&amp;tblProductos[[#This Row],[Producto]]&amp;IF(tblProductos[[#This Row],[Activo]]="NO","  (inactivo)",""))</f>
        <v/>
      </c>
      <c r="M23" s="40" t="str">
        <f>IF(tblProductos[[#This Row],[SKU]]="","",COUNTIF(tblEntradas[SKU],tblProductos[[#This Row],[SKU]])+COUNTIF(tblSalidas[SKU],tblProductos[[#This Row],[SKU]]))</f>
        <v/>
      </c>
      <c r="N2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 spans="2:14" x14ac:dyDescent="0.25">
      <c r="B24" s="38"/>
      <c r="C24" s="38"/>
      <c r="D24" s="38"/>
      <c r="E24" s="39"/>
      <c r="F24" s="45"/>
      <c r="G24" s="45"/>
      <c r="H24" s="46"/>
      <c r="I24" s="38"/>
      <c r="J24" s="39"/>
      <c r="K24" s="39"/>
      <c r="L24" s="47" t="str">
        <f>IF(OR(tblProductos[[#This Row],[SKU]]="",tblProductos[[#This Row],[Producto]]=""),"",tblProductos[[#This Row],[SKU]]&amp;" · "&amp;tblProductos[[#This Row],[Producto]]&amp;IF(tblProductos[[#This Row],[Activo]]="NO","  (inactivo)",""))</f>
        <v/>
      </c>
      <c r="M24" s="40" t="str">
        <f>IF(tblProductos[[#This Row],[SKU]]="","",COUNTIF(tblEntradas[SKU],tblProductos[[#This Row],[SKU]])+COUNTIF(tblSalidas[SKU],tblProductos[[#This Row],[SKU]]))</f>
        <v/>
      </c>
      <c r="N2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 spans="2:14" x14ac:dyDescent="0.25">
      <c r="B25" s="38"/>
      <c r="C25" s="38"/>
      <c r="D25" s="38"/>
      <c r="E25" s="39"/>
      <c r="F25" s="45"/>
      <c r="G25" s="45"/>
      <c r="H25" s="46"/>
      <c r="I25" s="38"/>
      <c r="J25" s="39"/>
      <c r="K25" s="39"/>
      <c r="L25" s="47" t="str">
        <f>IF(OR(tblProductos[[#This Row],[SKU]]="",tblProductos[[#This Row],[Producto]]=""),"",tblProductos[[#This Row],[SKU]]&amp;" · "&amp;tblProductos[[#This Row],[Producto]]&amp;IF(tblProductos[[#This Row],[Activo]]="NO","  (inactivo)",""))</f>
        <v/>
      </c>
      <c r="M25" s="40" t="str">
        <f>IF(tblProductos[[#This Row],[SKU]]="","",COUNTIF(tblEntradas[SKU],tblProductos[[#This Row],[SKU]])+COUNTIF(tblSalidas[SKU],tblProductos[[#This Row],[SKU]]))</f>
        <v/>
      </c>
      <c r="N2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 spans="2:14" x14ac:dyDescent="0.25">
      <c r="B26" s="38"/>
      <c r="C26" s="38"/>
      <c r="D26" s="38"/>
      <c r="E26" s="39"/>
      <c r="F26" s="45"/>
      <c r="G26" s="45"/>
      <c r="H26" s="46"/>
      <c r="I26" s="38"/>
      <c r="J26" s="39"/>
      <c r="K26" s="39"/>
      <c r="L26" s="47" t="str">
        <f>IF(OR(tblProductos[[#This Row],[SKU]]="",tblProductos[[#This Row],[Producto]]=""),"",tblProductos[[#This Row],[SKU]]&amp;" · "&amp;tblProductos[[#This Row],[Producto]]&amp;IF(tblProductos[[#This Row],[Activo]]="NO","  (inactivo)",""))</f>
        <v/>
      </c>
      <c r="M26" s="40" t="str">
        <f>IF(tblProductos[[#This Row],[SKU]]="","",COUNTIF(tblEntradas[SKU],tblProductos[[#This Row],[SKU]])+COUNTIF(tblSalidas[SKU],tblProductos[[#This Row],[SKU]]))</f>
        <v/>
      </c>
      <c r="N2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 spans="2:14" x14ac:dyDescent="0.25">
      <c r="B27" s="38"/>
      <c r="C27" s="38"/>
      <c r="D27" s="38"/>
      <c r="E27" s="39"/>
      <c r="F27" s="45"/>
      <c r="G27" s="45"/>
      <c r="H27" s="46"/>
      <c r="I27" s="38"/>
      <c r="J27" s="39"/>
      <c r="K27" s="39"/>
      <c r="L27" s="47" t="str">
        <f>IF(OR(tblProductos[[#This Row],[SKU]]="",tblProductos[[#This Row],[Producto]]=""),"",tblProductos[[#This Row],[SKU]]&amp;" · "&amp;tblProductos[[#This Row],[Producto]]&amp;IF(tblProductos[[#This Row],[Activo]]="NO","  (inactivo)",""))</f>
        <v/>
      </c>
      <c r="M27" s="40" t="str">
        <f>IF(tblProductos[[#This Row],[SKU]]="","",COUNTIF(tblEntradas[SKU],tblProductos[[#This Row],[SKU]])+COUNTIF(tblSalidas[SKU],tblProductos[[#This Row],[SKU]]))</f>
        <v/>
      </c>
      <c r="N2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 spans="2:14" x14ac:dyDescent="0.25">
      <c r="B28" s="38"/>
      <c r="C28" s="38"/>
      <c r="D28" s="38"/>
      <c r="E28" s="39"/>
      <c r="F28" s="45"/>
      <c r="G28" s="45"/>
      <c r="H28" s="46"/>
      <c r="I28" s="38"/>
      <c r="J28" s="39"/>
      <c r="K28" s="39"/>
      <c r="L28" s="47" t="str">
        <f>IF(OR(tblProductos[[#This Row],[SKU]]="",tblProductos[[#This Row],[Producto]]=""),"",tblProductos[[#This Row],[SKU]]&amp;" · "&amp;tblProductos[[#This Row],[Producto]]&amp;IF(tblProductos[[#This Row],[Activo]]="NO","  (inactivo)",""))</f>
        <v/>
      </c>
      <c r="M28" s="40" t="str">
        <f>IF(tblProductos[[#This Row],[SKU]]="","",COUNTIF(tblEntradas[SKU],tblProductos[[#This Row],[SKU]])+COUNTIF(tblSalidas[SKU],tblProductos[[#This Row],[SKU]]))</f>
        <v/>
      </c>
      <c r="N2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 spans="2:14" x14ac:dyDescent="0.25">
      <c r="B29" s="38"/>
      <c r="C29" s="38"/>
      <c r="D29" s="38"/>
      <c r="E29" s="39"/>
      <c r="F29" s="45"/>
      <c r="G29" s="45"/>
      <c r="H29" s="46"/>
      <c r="I29" s="38"/>
      <c r="J29" s="39"/>
      <c r="K29" s="39"/>
      <c r="L29" s="47" t="str">
        <f>IF(OR(tblProductos[[#This Row],[SKU]]="",tblProductos[[#This Row],[Producto]]=""),"",tblProductos[[#This Row],[SKU]]&amp;" · "&amp;tblProductos[[#This Row],[Producto]]&amp;IF(tblProductos[[#This Row],[Activo]]="NO","  (inactivo)",""))</f>
        <v/>
      </c>
      <c r="M29" s="40" t="str">
        <f>IF(tblProductos[[#This Row],[SKU]]="","",COUNTIF(tblEntradas[SKU],tblProductos[[#This Row],[SKU]])+COUNTIF(tblSalidas[SKU],tblProductos[[#This Row],[SKU]]))</f>
        <v/>
      </c>
      <c r="N2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 spans="2:14" x14ac:dyDescent="0.25">
      <c r="B30" s="38"/>
      <c r="C30" s="38"/>
      <c r="D30" s="38"/>
      <c r="E30" s="39"/>
      <c r="F30" s="45"/>
      <c r="G30" s="45"/>
      <c r="H30" s="46"/>
      <c r="I30" s="38"/>
      <c r="J30" s="39"/>
      <c r="K30" s="39"/>
      <c r="L30" s="47" t="str">
        <f>IF(OR(tblProductos[[#This Row],[SKU]]="",tblProductos[[#This Row],[Producto]]=""),"",tblProductos[[#This Row],[SKU]]&amp;" · "&amp;tblProductos[[#This Row],[Producto]]&amp;IF(tblProductos[[#This Row],[Activo]]="NO","  (inactivo)",""))</f>
        <v/>
      </c>
      <c r="M30" s="40" t="str">
        <f>IF(tblProductos[[#This Row],[SKU]]="","",COUNTIF(tblEntradas[SKU],tblProductos[[#This Row],[SKU]])+COUNTIF(tblSalidas[SKU],tblProductos[[#This Row],[SKU]]))</f>
        <v/>
      </c>
      <c r="N3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 spans="2:14" x14ac:dyDescent="0.25">
      <c r="B31" s="38"/>
      <c r="C31" s="38"/>
      <c r="D31" s="38"/>
      <c r="E31" s="39"/>
      <c r="F31" s="45"/>
      <c r="G31" s="45"/>
      <c r="H31" s="46"/>
      <c r="I31" s="38"/>
      <c r="J31" s="39"/>
      <c r="K31" s="39"/>
      <c r="L31" s="47" t="str">
        <f>IF(OR(tblProductos[[#This Row],[SKU]]="",tblProductos[[#This Row],[Producto]]=""),"",tblProductos[[#This Row],[SKU]]&amp;" · "&amp;tblProductos[[#This Row],[Producto]]&amp;IF(tblProductos[[#This Row],[Activo]]="NO","  (inactivo)",""))</f>
        <v/>
      </c>
      <c r="M31" s="40" t="str">
        <f>IF(tblProductos[[#This Row],[SKU]]="","",COUNTIF(tblEntradas[SKU],tblProductos[[#This Row],[SKU]])+COUNTIF(tblSalidas[SKU],tblProductos[[#This Row],[SKU]]))</f>
        <v/>
      </c>
      <c r="N3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 spans="2:14" x14ac:dyDescent="0.25">
      <c r="B32" s="38"/>
      <c r="C32" s="38"/>
      <c r="D32" s="38"/>
      <c r="E32" s="39"/>
      <c r="F32" s="45"/>
      <c r="G32" s="45"/>
      <c r="H32" s="46"/>
      <c r="I32" s="38"/>
      <c r="J32" s="39"/>
      <c r="K32" s="39"/>
      <c r="L32" s="47" t="str">
        <f>IF(OR(tblProductos[[#This Row],[SKU]]="",tblProductos[[#This Row],[Producto]]=""),"",tblProductos[[#This Row],[SKU]]&amp;" · "&amp;tblProductos[[#This Row],[Producto]]&amp;IF(tblProductos[[#This Row],[Activo]]="NO","  (inactivo)",""))</f>
        <v/>
      </c>
      <c r="M32" s="40" t="str">
        <f>IF(tblProductos[[#This Row],[SKU]]="","",COUNTIF(tblEntradas[SKU],tblProductos[[#This Row],[SKU]])+COUNTIF(tblSalidas[SKU],tblProductos[[#This Row],[SKU]]))</f>
        <v/>
      </c>
      <c r="N3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 spans="2:14" x14ac:dyDescent="0.25">
      <c r="B33" s="38"/>
      <c r="C33" s="38"/>
      <c r="D33" s="38"/>
      <c r="E33" s="39"/>
      <c r="F33" s="45"/>
      <c r="G33" s="45"/>
      <c r="H33" s="46"/>
      <c r="I33" s="38"/>
      <c r="J33" s="39"/>
      <c r="K33" s="39"/>
      <c r="L33" s="47" t="str">
        <f>IF(OR(tblProductos[[#This Row],[SKU]]="",tblProductos[[#This Row],[Producto]]=""),"",tblProductos[[#This Row],[SKU]]&amp;" · "&amp;tblProductos[[#This Row],[Producto]]&amp;IF(tblProductos[[#This Row],[Activo]]="NO","  (inactivo)",""))</f>
        <v/>
      </c>
      <c r="M33" s="40" t="str">
        <f>IF(tblProductos[[#This Row],[SKU]]="","",COUNTIF(tblEntradas[SKU],tblProductos[[#This Row],[SKU]])+COUNTIF(tblSalidas[SKU],tblProductos[[#This Row],[SKU]]))</f>
        <v/>
      </c>
      <c r="N3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 spans="2:14" x14ac:dyDescent="0.25">
      <c r="B34" s="38"/>
      <c r="C34" s="38"/>
      <c r="D34" s="38"/>
      <c r="E34" s="39"/>
      <c r="F34" s="45"/>
      <c r="G34" s="45"/>
      <c r="H34" s="46"/>
      <c r="I34" s="38"/>
      <c r="J34" s="39"/>
      <c r="K34" s="39"/>
      <c r="L34" s="47" t="str">
        <f>IF(OR(tblProductos[[#This Row],[SKU]]="",tblProductos[[#This Row],[Producto]]=""),"",tblProductos[[#This Row],[SKU]]&amp;" · "&amp;tblProductos[[#This Row],[Producto]]&amp;IF(tblProductos[[#This Row],[Activo]]="NO","  (inactivo)",""))</f>
        <v/>
      </c>
      <c r="M34" s="40" t="str">
        <f>IF(tblProductos[[#This Row],[SKU]]="","",COUNTIF(tblEntradas[SKU],tblProductos[[#This Row],[SKU]])+COUNTIF(tblSalidas[SKU],tblProductos[[#This Row],[SKU]]))</f>
        <v/>
      </c>
      <c r="N3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 spans="2:14" x14ac:dyDescent="0.25">
      <c r="B35" s="38"/>
      <c r="C35" s="38"/>
      <c r="D35" s="38"/>
      <c r="E35" s="39"/>
      <c r="F35" s="45"/>
      <c r="G35" s="45"/>
      <c r="H35" s="46"/>
      <c r="I35" s="38"/>
      <c r="J35" s="39"/>
      <c r="K35" s="39"/>
      <c r="L35" s="47" t="str">
        <f>IF(OR(tblProductos[[#This Row],[SKU]]="",tblProductos[[#This Row],[Producto]]=""),"",tblProductos[[#This Row],[SKU]]&amp;" · "&amp;tblProductos[[#This Row],[Producto]]&amp;IF(tblProductos[[#This Row],[Activo]]="NO","  (inactivo)",""))</f>
        <v/>
      </c>
      <c r="M35" s="40" t="str">
        <f>IF(tblProductos[[#This Row],[SKU]]="","",COUNTIF(tblEntradas[SKU],tblProductos[[#This Row],[SKU]])+COUNTIF(tblSalidas[SKU],tblProductos[[#This Row],[SKU]]))</f>
        <v/>
      </c>
      <c r="N3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 spans="2:14" x14ac:dyDescent="0.25">
      <c r="B36" s="38"/>
      <c r="C36" s="38"/>
      <c r="D36" s="38"/>
      <c r="E36" s="39"/>
      <c r="F36" s="45"/>
      <c r="G36" s="45"/>
      <c r="H36" s="46"/>
      <c r="I36" s="38"/>
      <c r="J36" s="39"/>
      <c r="K36" s="39"/>
      <c r="L36" s="47" t="str">
        <f>IF(OR(tblProductos[[#This Row],[SKU]]="",tblProductos[[#This Row],[Producto]]=""),"",tblProductos[[#This Row],[SKU]]&amp;" · "&amp;tblProductos[[#This Row],[Producto]]&amp;IF(tblProductos[[#This Row],[Activo]]="NO","  (inactivo)",""))</f>
        <v/>
      </c>
      <c r="M36" s="40" t="str">
        <f>IF(tblProductos[[#This Row],[SKU]]="","",COUNTIF(tblEntradas[SKU],tblProductos[[#This Row],[SKU]])+COUNTIF(tblSalidas[SKU],tblProductos[[#This Row],[SKU]]))</f>
        <v/>
      </c>
      <c r="N3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 spans="2:14" x14ac:dyDescent="0.25">
      <c r="B37" s="38"/>
      <c r="C37" s="38"/>
      <c r="D37" s="38"/>
      <c r="E37" s="39"/>
      <c r="F37" s="45"/>
      <c r="G37" s="45"/>
      <c r="H37" s="46"/>
      <c r="I37" s="38"/>
      <c r="J37" s="39"/>
      <c r="K37" s="39"/>
      <c r="L37" s="47" t="str">
        <f>IF(OR(tblProductos[[#This Row],[SKU]]="",tblProductos[[#This Row],[Producto]]=""),"",tblProductos[[#This Row],[SKU]]&amp;" · "&amp;tblProductos[[#This Row],[Producto]]&amp;IF(tblProductos[[#This Row],[Activo]]="NO","  (inactivo)",""))</f>
        <v/>
      </c>
      <c r="M37" s="40" t="str">
        <f>IF(tblProductos[[#This Row],[SKU]]="","",COUNTIF(tblEntradas[SKU],tblProductos[[#This Row],[SKU]])+COUNTIF(tblSalidas[SKU],tblProductos[[#This Row],[SKU]]))</f>
        <v/>
      </c>
      <c r="N3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 spans="2:14" x14ac:dyDescent="0.25">
      <c r="B38" s="38"/>
      <c r="C38" s="38"/>
      <c r="D38" s="38"/>
      <c r="E38" s="39"/>
      <c r="F38" s="45"/>
      <c r="G38" s="45"/>
      <c r="H38" s="46"/>
      <c r="I38" s="38"/>
      <c r="J38" s="39"/>
      <c r="K38" s="39"/>
      <c r="L38" s="47" t="str">
        <f>IF(OR(tblProductos[[#This Row],[SKU]]="",tblProductos[[#This Row],[Producto]]=""),"",tblProductos[[#This Row],[SKU]]&amp;" · "&amp;tblProductos[[#This Row],[Producto]]&amp;IF(tblProductos[[#This Row],[Activo]]="NO","  (inactivo)",""))</f>
        <v/>
      </c>
      <c r="M38" s="40" t="str">
        <f>IF(tblProductos[[#This Row],[SKU]]="","",COUNTIF(tblEntradas[SKU],tblProductos[[#This Row],[SKU]])+COUNTIF(tblSalidas[SKU],tblProductos[[#This Row],[SKU]]))</f>
        <v/>
      </c>
      <c r="N3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 spans="2:14" x14ac:dyDescent="0.25">
      <c r="B39" s="38"/>
      <c r="C39" s="38"/>
      <c r="D39" s="38"/>
      <c r="E39" s="39"/>
      <c r="F39" s="45"/>
      <c r="G39" s="45"/>
      <c r="H39" s="46"/>
      <c r="I39" s="38"/>
      <c r="J39" s="39"/>
      <c r="K39" s="39"/>
      <c r="L39" s="47" t="str">
        <f>IF(OR(tblProductos[[#This Row],[SKU]]="",tblProductos[[#This Row],[Producto]]=""),"",tblProductos[[#This Row],[SKU]]&amp;" · "&amp;tblProductos[[#This Row],[Producto]]&amp;IF(tblProductos[[#This Row],[Activo]]="NO","  (inactivo)",""))</f>
        <v/>
      </c>
      <c r="M39" s="40" t="str">
        <f>IF(tblProductos[[#This Row],[SKU]]="","",COUNTIF(tblEntradas[SKU],tblProductos[[#This Row],[SKU]])+COUNTIF(tblSalidas[SKU],tblProductos[[#This Row],[SKU]]))</f>
        <v/>
      </c>
      <c r="N3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 spans="2:14" x14ac:dyDescent="0.25">
      <c r="B40" s="38"/>
      <c r="C40" s="38"/>
      <c r="D40" s="38"/>
      <c r="E40" s="39"/>
      <c r="F40" s="45"/>
      <c r="G40" s="45"/>
      <c r="H40" s="46"/>
      <c r="I40" s="38"/>
      <c r="J40" s="39"/>
      <c r="K40" s="39"/>
      <c r="L40" s="47" t="str">
        <f>IF(OR(tblProductos[[#This Row],[SKU]]="",tblProductos[[#This Row],[Producto]]=""),"",tblProductos[[#This Row],[SKU]]&amp;" · "&amp;tblProductos[[#This Row],[Producto]]&amp;IF(tblProductos[[#This Row],[Activo]]="NO","  (inactivo)",""))</f>
        <v/>
      </c>
      <c r="M40" s="40" t="str">
        <f>IF(tblProductos[[#This Row],[SKU]]="","",COUNTIF(tblEntradas[SKU],tblProductos[[#This Row],[SKU]])+COUNTIF(tblSalidas[SKU],tblProductos[[#This Row],[SKU]]))</f>
        <v/>
      </c>
      <c r="N4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 spans="2:14" x14ac:dyDescent="0.25">
      <c r="B41" s="38"/>
      <c r="C41" s="38"/>
      <c r="D41" s="38"/>
      <c r="E41" s="39"/>
      <c r="F41" s="45"/>
      <c r="G41" s="45"/>
      <c r="H41" s="46"/>
      <c r="I41" s="38"/>
      <c r="J41" s="39"/>
      <c r="K41" s="39"/>
      <c r="L41" s="47" t="str">
        <f>IF(OR(tblProductos[[#This Row],[SKU]]="",tblProductos[[#This Row],[Producto]]=""),"",tblProductos[[#This Row],[SKU]]&amp;" · "&amp;tblProductos[[#This Row],[Producto]]&amp;IF(tblProductos[[#This Row],[Activo]]="NO","  (inactivo)",""))</f>
        <v/>
      </c>
      <c r="M41" s="40" t="str">
        <f>IF(tblProductos[[#This Row],[SKU]]="","",COUNTIF(tblEntradas[SKU],tblProductos[[#This Row],[SKU]])+COUNTIF(tblSalidas[SKU],tblProductos[[#This Row],[SKU]]))</f>
        <v/>
      </c>
      <c r="N4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 spans="2:14" x14ac:dyDescent="0.25">
      <c r="B42" s="38"/>
      <c r="C42" s="38"/>
      <c r="D42" s="38"/>
      <c r="E42" s="39"/>
      <c r="F42" s="45"/>
      <c r="G42" s="45"/>
      <c r="H42" s="46"/>
      <c r="I42" s="38"/>
      <c r="J42" s="39"/>
      <c r="K42" s="39"/>
      <c r="L42" s="47" t="str">
        <f>IF(OR(tblProductos[[#This Row],[SKU]]="",tblProductos[[#This Row],[Producto]]=""),"",tblProductos[[#This Row],[SKU]]&amp;" · "&amp;tblProductos[[#This Row],[Producto]]&amp;IF(tblProductos[[#This Row],[Activo]]="NO","  (inactivo)",""))</f>
        <v/>
      </c>
      <c r="M42" s="40" t="str">
        <f>IF(tblProductos[[#This Row],[SKU]]="","",COUNTIF(tblEntradas[SKU],tblProductos[[#This Row],[SKU]])+COUNTIF(tblSalidas[SKU],tblProductos[[#This Row],[SKU]]))</f>
        <v/>
      </c>
      <c r="N4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 spans="2:14" x14ac:dyDescent="0.25">
      <c r="B43" s="38"/>
      <c r="C43" s="38"/>
      <c r="D43" s="38"/>
      <c r="E43" s="39"/>
      <c r="F43" s="45"/>
      <c r="G43" s="45"/>
      <c r="H43" s="46"/>
      <c r="I43" s="38"/>
      <c r="J43" s="39"/>
      <c r="K43" s="39"/>
      <c r="L43" s="47" t="str">
        <f>IF(OR(tblProductos[[#This Row],[SKU]]="",tblProductos[[#This Row],[Producto]]=""),"",tblProductos[[#This Row],[SKU]]&amp;" · "&amp;tblProductos[[#This Row],[Producto]]&amp;IF(tblProductos[[#This Row],[Activo]]="NO","  (inactivo)",""))</f>
        <v/>
      </c>
      <c r="M43" s="40" t="str">
        <f>IF(tblProductos[[#This Row],[SKU]]="","",COUNTIF(tblEntradas[SKU],tblProductos[[#This Row],[SKU]])+COUNTIF(tblSalidas[SKU],tblProductos[[#This Row],[SKU]]))</f>
        <v/>
      </c>
      <c r="N4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 spans="2:14" x14ac:dyDescent="0.25">
      <c r="B44" s="38"/>
      <c r="C44" s="38"/>
      <c r="D44" s="38"/>
      <c r="E44" s="39"/>
      <c r="F44" s="45"/>
      <c r="G44" s="45"/>
      <c r="H44" s="46"/>
      <c r="I44" s="38"/>
      <c r="J44" s="39"/>
      <c r="K44" s="39"/>
      <c r="L44" s="47" t="str">
        <f>IF(OR(tblProductos[[#This Row],[SKU]]="",tblProductos[[#This Row],[Producto]]=""),"",tblProductos[[#This Row],[SKU]]&amp;" · "&amp;tblProductos[[#This Row],[Producto]]&amp;IF(tblProductos[[#This Row],[Activo]]="NO","  (inactivo)",""))</f>
        <v/>
      </c>
      <c r="M44" s="40" t="str">
        <f>IF(tblProductos[[#This Row],[SKU]]="","",COUNTIF(tblEntradas[SKU],tblProductos[[#This Row],[SKU]])+COUNTIF(tblSalidas[SKU],tblProductos[[#This Row],[SKU]]))</f>
        <v/>
      </c>
      <c r="N4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 spans="2:14" x14ac:dyDescent="0.25">
      <c r="B45" s="38"/>
      <c r="C45" s="38"/>
      <c r="D45" s="38"/>
      <c r="E45" s="39"/>
      <c r="F45" s="45"/>
      <c r="G45" s="45"/>
      <c r="H45" s="46"/>
      <c r="I45" s="38"/>
      <c r="J45" s="39"/>
      <c r="K45" s="39"/>
      <c r="L45" s="47" t="str">
        <f>IF(OR(tblProductos[[#This Row],[SKU]]="",tblProductos[[#This Row],[Producto]]=""),"",tblProductos[[#This Row],[SKU]]&amp;" · "&amp;tblProductos[[#This Row],[Producto]]&amp;IF(tblProductos[[#This Row],[Activo]]="NO","  (inactivo)",""))</f>
        <v/>
      </c>
      <c r="M45" s="40" t="str">
        <f>IF(tblProductos[[#This Row],[SKU]]="","",COUNTIF(tblEntradas[SKU],tblProductos[[#This Row],[SKU]])+COUNTIF(tblSalidas[SKU],tblProductos[[#This Row],[SKU]]))</f>
        <v/>
      </c>
      <c r="N4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 spans="2:14" x14ac:dyDescent="0.25">
      <c r="B46" s="38"/>
      <c r="C46" s="38"/>
      <c r="D46" s="38"/>
      <c r="E46" s="39"/>
      <c r="F46" s="45"/>
      <c r="G46" s="45"/>
      <c r="H46" s="46"/>
      <c r="I46" s="38"/>
      <c r="J46" s="39"/>
      <c r="K46" s="39"/>
      <c r="L46" s="47" t="str">
        <f>IF(OR(tblProductos[[#This Row],[SKU]]="",tblProductos[[#This Row],[Producto]]=""),"",tblProductos[[#This Row],[SKU]]&amp;" · "&amp;tblProductos[[#This Row],[Producto]]&amp;IF(tblProductos[[#This Row],[Activo]]="NO","  (inactivo)",""))</f>
        <v/>
      </c>
      <c r="M46" s="40" t="str">
        <f>IF(tblProductos[[#This Row],[SKU]]="","",COUNTIF(tblEntradas[SKU],tblProductos[[#This Row],[SKU]])+COUNTIF(tblSalidas[SKU],tblProductos[[#This Row],[SKU]]))</f>
        <v/>
      </c>
      <c r="N4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 spans="2:14" x14ac:dyDescent="0.25">
      <c r="B47" s="38"/>
      <c r="C47" s="38"/>
      <c r="D47" s="38"/>
      <c r="E47" s="39"/>
      <c r="F47" s="45"/>
      <c r="G47" s="45"/>
      <c r="H47" s="46"/>
      <c r="I47" s="38"/>
      <c r="J47" s="39"/>
      <c r="K47" s="39"/>
      <c r="L47" s="47" t="str">
        <f>IF(OR(tblProductos[[#This Row],[SKU]]="",tblProductos[[#This Row],[Producto]]=""),"",tblProductos[[#This Row],[SKU]]&amp;" · "&amp;tblProductos[[#This Row],[Producto]]&amp;IF(tblProductos[[#This Row],[Activo]]="NO","  (inactivo)",""))</f>
        <v/>
      </c>
      <c r="M47" s="40" t="str">
        <f>IF(tblProductos[[#This Row],[SKU]]="","",COUNTIF(tblEntradas[SKU],tblProductos[[#This Row],[SKU]])+COUNTIF(tblSalidas[SKU],tblProductos[[#This Row],[SKU]]))</f>
        <v/>
      </c>
      <c r="N4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 spans="2:14" x14ac:dyDescent="0.25">
      <c r="B48" s="38"/>
      <c r="C48" s="38"/>
      <c r="D48" s="38"/>
      <c r="E48" s="39"/>
      <c r="F48" s="45"/>
      <c r="G48" s="45"/>
      <c r="H48" s="46"/>
      <c r="I48" s="38"/>
      <c r="J48" s="39"/>
      <c r="K48" s="39"/>
      <c r="L48" s="47" t="str">
        <f>IF(OR(tblProductos[[#This Row],[SKU]]="",tblProductos[[#This Row],[Producto]]=""),"",tblProductos[[#This Row],[SKU]]&amp;" · "&amp;tblProductos[[#This Row],[Producto]]&amp;IF(tblProductos[[#This Row],[Activo]]="NO","  (inactivo)",""))</f>
        <v/>
      </c>
      <c r="M48" s="40" t="str">
        <f>IF(tblProductos[[#This Row],[SKU]]="","",COUNTIF(tblEntradas[SKU],tblProductos[[#This Row],[SKU]])+COUNTIF(tblSalidas[SKU],tblProductos[[#This Row],[SKU]]))</f>
        <v/>
      </c>
      <c r="N4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 spans="2:14" x14ac:dyDescent="0.25">
      <c r="B49" s="38"/>
      <c r="C49" s="38"/>
      <c r="D49" s="38"/>
      <c r="E49" s="39"/>
      <c r="F49" s="45"/>
      <c r="G49" s="45"/>
      <c r="H49" s="46"/>
      <c r="I49" s="38"/>
      <c r="J49" s="39"/>
      <c r="K49" s="39"/>
      <c r="L49" s="47" t="str">
        <f>IF(OR(tblProductos[[#This Row],[SKU]]="",tblProductos[[#This Row],[Producto]]=""),"",tblProductos[[#This Row],[SKU]]&amp;" · "&amp;tblProductos[[#This Row],[Producto]]&amp;IF(tblProductos[[#This Row],[Activo]]="NO","  (inactivo)",""))</f>
        <v/>
      </c>
      <c r="M49" s="40" t="str">
        <f>IF(tblProductos[[#This Row],[SKU]]="","",COUNTIF(tblEntradas[SKU],tblProductos[[#This Row],[SKU]])+COUNTIF(tblSalidas[SKU],tblProductos[[#This Row],[SKU]]))</f>
        <v/>
      </c>
      <c r="N4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 spans="2:14" x14ac:dyDescent="0.25">
      <c r="B50" s="38"/>
      <c r="C50" s="38"/>
      <c r="D50" s="38"/>
      <c r="E50" s="39"/>
      <c r="F50" s="45"/>
      <c r="G50" s="45"/>
      <c r="H50" s="46"/>
      <c r="I50" s="38"/>
      <c r="J50" s="39"/>
      <c r="K50" s="39"/>
      <c r="L50" s="47" t="str">
        <f>IF(OR(tblProductos[[#This Row],[SKU]]="",tblProductos[[#This Row],[Producto]]=""),"",tblProductos[[#This Row],[SKU]]&amp;" · "&amp;tblProductos[[#This Row],[Producto]]&amp;IF(tblProductos[[#This Row],[Activo]]="NO","  (inactivo)",""))</f>
        <v/>
      </c>
      <c r="M50" s="40" t="str">
        <f>IF(tblProductos[[#This Row],[SKU]]="","",COUNTIF(tblEntradas[SKU],tblProductos[[#This Row],[SKU]])+COUNTIF(tblSalidas[SKU],tblProductos[[#This Row],[SKU]]))</f>
        <v/>
      </c>
      <c r="N5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1" spans="2:14" x14ac:dyDescent="0.25">
      <c r="B51" s="38"/>
      <c r="C51" s="38"/>
      <c r="D51" s="38"/>
      <c r="E51" s="39"/>
      <c r="F51" s="45"/>
      <c r="G51" s="45"/>
      <c r="H51" s="46"/>
      <c r="I51" s="38"/>
      <c r="J51" s="39"/>
      <c r="K51" s="39"/>
      <c r="L51" s="47" t="str">
        <f>IF(OR(tblProductos[[#This Row],[SKU]]="",tblProductos[[#This Row],[Producto]]=""),"",tblProductos[[#This Row],[SKU]]&amp;" · "&amp;tblProductos[[#This Row],[Producto]]&amp;IF(tblProductos[[#This Row],[Activo]]="NO","  (inactivo)",""))</f>
        <v/>
      </c>
      <c r="M51" s="40" t="str">
        <f>IF(tblProductos[[#This Row],[SKU]]="","",COUNTIF(tblEntradas[SKU],tblProductos[[#This Row],[SKU]])+COUNTIF(tblSalidas[SKU],tblProductos[[#This Row],[SKU]]))</f>
        <v/>
      </c>
      <c r="N5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2" spans="2:14" x14ac:dyDescent="0.25">
      <c r="B52" s="38"/>
      <c r="C52" s="38"/>
      <c r="D52" s="38"/>
      <c r="E52" s="39"/>
      <c r="F52" s="45"/>
      <c r="G52" s="45"/>
      <c r="H52" s="46"/>
      <c r="I52" s="38"/>
      <c r="J52" s="39"/>
      <c r="K52" s="39"/>
      <c r="L52" s="47" t="str">
        <f>IF(OR(tblProductos[[#This Row],[SKU]]="",tblProductos[[#This Row],[Producto]]=""),"",tblProductos[[#This Row],[SKU]]&amp;" · "&amp;tblProductos[[#This Row],[Producto]]&amp;IF(tblProductos[[#This Row],[Activo]]="NO","  (inactivo)",""))</f>
        <v/>
      </c>
      <c r="M52" s="40" t="str">
        <f>IF(tblProductos[[#This Row],[SKU]]="","",COUNTIF(tblEntradas[SKU],tblProductos[[#This Row],[SKU]])+COUNTIF(tblSalidas[SKU],tblProductos[[#This Row],[SKU]]))</f>
        <v/>
      </c>
      <c r="N5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3" spans="2:14" x14ac:dyDescent="0.25">
      <c r="B53" s="38"/>
      <c r="C53" s="38"/>
      <c r="D53" s="38"/>
      <c r="E53" s="39"/>
      <c r="F53" s="45"/>
      <c r="G53" s="45"/>
      <c r="H53" s="46"/>
      <c r="I53" s="38"/>
      <c r="J53" s="39"/>
      <c r="K53" s="39"/>
      <c r="L53" s="47" t="str">
        <f>IF(OR(tblProductos[[#This Row],[SKU]]="",tblProductos[[#This Row],[Producto]]=""),"",tblProductos[[#This Row],[SKU]]&amp;" · "&amp;tblProductos[[#This Row],[Producto]]&amp;IF(tblProductos[[#This Row],[Activo]]="NO","  (inactivo)",""))</f>
        <v/>
      </c>
      <c r="M53" s="40" t="str">
        <f>IF(tblProductos[[#This Row],[SKU]]="","",COUNTIF(tblEntradas[SKU],tblProductos[[#This Row],[SKU]])+COUNTIF(tblSalidas[SKU],tblProductos[[#This Row],[SKU]]))</f>
        <v/>
      </c>
      <c r="N5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4" spans="2:14" x14ac:dyDescent="0.25">
      <c r="B54" s="38"/>
      <c r="C54" s="38"/>
      <c r="D54" s="38"/>
      <c r="E54" s="39"/>
      <c r="F54" s="45"/>
      <c r="G54" s="45"/>
      <c r="H54" s="46"/>
      <c r="I54" s="38"/>
      <c r="J54" s="39"/>
      <c r="K54" s="39"/>
      <c r="L54" s="47" t="str">
        <f>IF(OR(tblProductos[[#This Row],[SKU]]="",tblProductos[[#This Row],[Producto]]=""),"",tblProductos[[#This Row],[SKU]]&amp;" · "&amp;tblProductos[[#This Row],[Producto]]&amp;IF(tblProductos[[#This Row],[Activo]]="NO","  (inactivo)",""))</f>
        <v/>
      </c>
      <c r="M54" s="40" t="str">
        <f>IF(tblProductos[[#This Row],[SKU]]="","",COUNTIF(tblEntradas[SKU],tblProductos[[#This Row],[SKU]])+COUNTIF(tblSalidas[SKU],tblProductos[[#This Row],[SKU]]))</f>
        <v/>
      </c>
      <c r="N5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5" spans="2:14" x14ac:dyDescent="0.25">
      <c r="B55" s="38"/>
      <c r="C55" s="38"/>
      <c r="D55" s="38"/>
      <c r="E55" s="39"/>
      <c r="F55" s="45"/>
      <c r="G55" s="45"/>
      <c r="H55" s="46"/>
      <c r="I55" s="38"/>
      <c r="J55" s="39"/>
      <c r="K55" s="39"/>
      <c r="L55" s="47" t="str">
        <f>IF(OR(tblProductos[[#This Row],[SKU]]="",tblProductos[[#This Row],[Producto]]=""),"",tblProductos[[#This Row],[SKU]]&amp;" · "&amp;tblProductos[[#This Row],[Producto]]&amp;IF(tblProductos[[#This Row],[Activo]]="NO","  (inactivo)",""))</f>
        <v/>
      </c>
      <c r="M55" s="40" t="str">
        <f>IF(tblProductos[[#This Row],[SKU]]="","",COUNTIF(tblEntradas[SKU],tblProductos[[#This Row],[SKU]])+COUNTIF(tblSalidas[SKU],tblProductos[[#This Row],[SKU]]))</f>
        <v/>
      </c>
      <c r="N5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6" spans="2:14" x14ac:dyDescent="0.25">
      <c r="B56" s="38"/>
      <c r="C56" s="38"/>
      <c r="D56" s="38"/>
      <c r="E56" s="39"/>
      <c r="F56" s="45"/>
      <c r="G56" s="45"/>
      <c r="H56" s="46"/>
      <c r="I56" s="38"/>
      <c r="J56" s="39"/>
      <c r="K56" s="39"/>
      <c r="L56" s="47" t="str">
        <f>IF(OR(tblProductos[[#This Row],[SKU]]="",tblProductos[[#This Row],[Producto]]=""),"",tblProductos[[#This Row],[SKU]]&amp;" · "&amp;tblProductos[[#This Row],[Producto]]&amp;IF(tblProductos[[#This Row],[Activo]]="NO","  (inactivo)",""))</f>
        <v/>
      </c>
      <c r="M56" s="40" t="str">
        <f>IF(tblProductos[[#This Row],[SKU]]="","",COUNTIF(tblEntradas[SKU],tblProductos[[#This Row],[SKU]])+COUNTIF(tblSalidas[SKU],tblProductos[[#This Row],[SKU]]))</f>
        <v/>
      </c>
      <c r="N5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7" spans="2:14" x14ac:dyDescent="0.25">
      <c r="B57" s="38"/>
      <c r="C57" s="38"/>
      <c r="D57" s="38"/>
      <c r="E57" s="39"/>
      <c r="F57" s="45"/>
      <c r="G57" s="45"/>
      <c r="H57" s="46"/>
      <c r="I57" s="38"/>
      <c r="J57" s="39"/>
      <c r="K57" s="39"/>
      <c r="L57" s="47" t="str">
        <f>IF(OR(tblProductos[[#This Row],[SKU]]="",tblProductos[[#This Row],[Producto]]=""),"",tblProductos[[#This Row],[SKU]]&amp;" · "&amp;tblProductos[[#This Row],[Producto]]&amp;IF(tblProductos[[#This Row],[Activo]]="NO","  (inactivo)",""))</f>
        <v/>
      </c>
      <c r="M57" s="40" t="str">
        <f>IF(tblProductos[[#This Row],[SKU]]="","",COUNTIF(tblEntradas[SKU],tblProductos[[#This Row],[SKU]])+COUNTIF(tblSalidas[SKU],tblProductos[[#This Row],[SKU]]))</f>
        <v/>
      </c>
      <c r="N5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8" spans="2:14" x14ac:dyDescent="0.25">
      <c r="B58" s="38"/>
      <c r="C58" s="38"/>
      <c r="D58" s="38"/>
      <c r="E58" s="39"/>
      <c r="F58" s="45"/>
      <c r="G58" s="45"/>
      <c r="H58" s="46"/>
      <c r="I58" s="38"/>
      <c r="J58" s="39"/>
      <c r="K58" s="39"/>
      <c r="L58" s="47" t="str">
        <f>IF(OR(tblProductos[[#This Row],[SKU]]="",tblProductos[[#This Row],[Producto]]=""),"",tblProductos[[#This Row],[SKU]]&amp;" · "&amp;tblProductos[[#This Row],[Producto]]&amp;IF(tblProductos[[#This Row],[Activo]]="NO","  (inactivo)",""))</f>
        <v/>
      </c>
      <c r="M58" s="40" t="str">
        <f>IF(tblProductos[[#This Row],[SKU]]="","",COUNTIF(tblEntradas[SKU],tblProductos[[#This Row],[SKU]])+COUNTIF(tblSalidas[SKU],tblProductos[[#This Row],[SKU]]))</f>
        <v/>
      </c>
      <c r="N5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9" spans="2:14" x14ac:dyDescent="0.25">
      <c r="B59" s="38"/>
      <c r="C59" s="38"/>
      <c r="D59" s="38"/>
      <c r="E59" s="39"/>
      <c r="F59" s="45"/>
      <c r="G59" s="45"/>
      <c r="H59" s="46"/>
      <c r="I59" s="38"/>
      <c r="J59" s="39"/>
      <c r="K59" s="39"/>
      <c r="L59" s="47" t="str">
        <f>IF(OR(tblProductos[[#This Row],[SKU]]="",tblProductos[[#This Row],[Producto]]=""),"",tblProductos[[#This Row],[SKU]]&amp;" · "&amp;tblProductos[[#This Row],[Producto]]&amp;IF(tblProductos[[#This Row],[Activo]]="NO","  (inactivo)",""))</f>
        <v/>
      </c>
      <c r="M59" s="40" t="str">
        <f>IF(tblProductos[[#This Row],[SKU]]="","",COUNTIF(tblEntradas[SKU],tblProductos[[#This Row],[SKU]])+COUNTIF(tblSalidas[SKU],tblProductos[[#This Row],[SKU]]))</f>
        <v/>
      </c>
      <c r="N5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0" spans="2:14" x14ac:dyDescent="0.25">
      <c r="B60" s="38"/>
      <c r="C60" s="38"/>
      <c r="D60" s="38"/>
      <c r="E60" s="39"/>
      <c r="F60" s="45"/>
      <c r="G60" s="45"/>
      <c r="H60" s="46"/>
      <c r="I60" s="38"/>
      <c r="J60" s="39"/>
      <c r="K60" s="39"/>
      <c r="L60" s="47" t="str">
        <f>IF(OR(tblProductos[[#This Row],[SKU]]="",tblProductos[[#This Row],[Producto]]=""),"",tblProductos[[#This Row],[SKU]]&amp;" · "&amp;tblProductos[[#This Row],[Producto]]&amp;IF(tblProductos[[#This Row],[Activo]]="NO","  (inactivo)",""))</f>
        <v/>
      </c>
      <c r="M60" s="40" t="str">
        <f>IF(tblProductos[[#This Row],[SKU]]="","",COUNTIF(tblEntradas[SKU],tblProductos[[#This Row],[SKU]])+COUNTIF(tblSalidas[SKU],tblProductos[[#This Row],[SKU]]))</f>
        <v/>
      </c>
      <c r="N6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1" spans="2:14" x14ac:dyDescent="0.25">
      <c r="B61" s="38"/>
      <c r="C61" s="38"/>
      <c r="D61" s="38"/>
      <c r="E61" s="39"/>
      <c r="F61" s="45"/>
      <c r="G61" s="45"/>
      <c r="H61" s="46"/>
      <c r="I61" s="38"/>
      <c r="J61" s="39"/>
      <c r="K61" s="39"/>
      <c r="L61" s="47" t="str">
        <f>IF(OR(tblProductos[[#This Row],[SKU]]="",tblProductos[[#This Row],[Producto]]=""),"",tblProductos[[#This Row],[SKU]]&amp;" · "&amp;tblProductos[[#This Row],[Producto]]&amp;IF(tblProductos[[#This Row],[Activo]]="NO","  (inactivo)",""))</f>
        <v/>
      </c>
      <c r="M61" s="40" t="str">
        <f>IF(tblProductos[[#This Row],[SKU]]="","",COUNTIF(tblEntradas[SKU],tblProductos[[#This Row],[SKU]])+COUNTIF(tblSalidas[SKU],tblProductos[[#This Row],[SKU]]))</f>
        <v/>
      </c>
      <c r="N6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2" spans="2:14" x14ac:dyDescent="0.25">
      <c r="B62" s="38"/>
      <c r="C62" s="38"/>
      <c r="D62" s="38"/>
      <c r="E62" s="39"/>
      <c r="F62" s="45"/>
      <c r="G62" s="45"/>
      <c r="H62" s="46"/>
      <c r="I62" s="38"/>
      <c r="J62" s="39"/>
      <c r="K62" s="39"/>
      <c r="L62" s="47" t="str">
        <f>IF(OR(tblProductos[[#This Row],[SKU]]="",tblProductos[[#This Row],[Producto]]=""),"",tblProductos[[#This Row],[SKU]]&amp;" · "&amp;tblProductos[[#This Row],[Producto]]&amp;IF(tblProductos[[#This Row],[Activo]]="NO","  (inactivo)",""))</f>
        <v/>
      </c>
      <c r="M62" s="40" t="str">
        <f>IF(tblProductos[[#This Row],[SKU]]="","",COUNTIF(tblEntradas[SKU],tblProductos[[#This Row],[SKU]])+COUNTIF(tblSalidas[SKU],tblProductos[[#This Row],[SKU]]))</f>
        <v/>
      </c>
      <c r="N6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3" spans="2:14" x14ac:dyDescent="0.25">
      <c r="B63" s="38"/>
      <c r="C63" s="38"/>
      <c r="D63" s="38"/>
      <c r="E63" s="39"/>
      <c r="F63" s="45"/>
      <c r="G63" s="45"/>
      <c r="H63" s="46"/>
      <c r="I63" s="38"/>
      <c r="J63" s="39"/>
      <c r="K63" s="39"/>
      <c r="L63" s="47" t="str">
        <f>IF(OR(tblProductos[[#This Row],[SKU]]="",tblProductos[[#This Row],[Producto]]=""),"",tblProductos[[#This Row],[SKU]]&amp;" · "&amp;tblProductos[[#This Row],[Producto]]&amp;IF(tblProductos[[#This Row],[Activo]]="NO","  (inactivo)",""))</f>
        <v/>
      </c>
      <c r="M63" s="40" t="str">
        <f>IF(tblProductos[[#This Row],[SKU]]="","",COUNTIF(tblEntradas[SKU],tblProductos[[#This Row],[SKU]])+COUNTIF(tblSalidas[SKU],tblProductos[[#This Row],[SKU]]))</f>
        <v/>
      </c>
      <c r="N6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4" spans="2:14" x14ac:dyDescent="0.25">
      <c r="B64" s="38"/>
      <c r="C64" s="38"/>
      <c r="D64" s="38"/>
      <c r="E64" s="39"/>
      <c r="F64" s="45"/>
      <c r="G64" s="45"/>
      <c r="H64" s="46"/>
      <c r="I64" s="38"/>
      <c r="J64" s="39"/>
      <c r="K64" s="39"/>
      <c r="L64" s="47" t="str">
        <f>IF(OR(tblProductos[[#This Row],[SKU]]="",tblProductos[[#This Row],[Producto]]=""),"",tblProductos[[#This Row],[SKU]]&amp;" · "&amp;tblProductos[[#This Row],[Producto]]&amp;IF(tblProductos[[#This Row],[Activo]]="NO","  (inactivo)",""))</f>
        <v/>
      </c>
      <c r="M64" s="40" t="str">
        <f>IF(tblProductos[[#This Row],[SKU]]="","",COUNTIF(tblEntradas[SKU],tblProductos[[#This Row],[SKU]])+COUNTIF(tblSalidas[SKU],tblProductos[[#This Row],[SKU]]))</f>
        <v/>
      </c>
      <c r="N6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5" spans="2:14" x14ac:dyDescent="0.25">
      <c r="B65" s="38"/>
      <c r="C65" s="38"/>
      <c r="D65" s="38"/>
      <c r="E65" s="39"/>
      <c r="F65" s="45"/>
      <c r="G65" s="45"/>
      <c r="H65" s="46"/>
      <c r="I65" s="38"/>
      <c r="J65" s="39"/>
      <c r="K65" s="39"/>
      <c r="L65" s="47" t="str">
        <f>IF(OR(tblProductos[[#This Row],[SKU]]="",tblProductos[[#This Row],[Producto]]=""),"",tblProductos[[#This Row],[SKU]]&amp;" · "&amp;tblProductos[[#This Row],[Producto]]&amp;IF(tblProductos[[#This Row],[Activo]]="NO","  (inactivo)",""))</f>
        <v/>
      </c>
      <c r="M65" s="40" t="str">
        <f>IF(tblProductos[[#This Row],[SKU]]="","",COUNTIF(tblEntradas[SKU],tblProductos[[#This Row],[SKU]])+COUNTIF(tblSalidas[SKU],tblProductos[[#This Row],[SKU]]))</f>
        <v/>
      </c>
      <c r="N6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6" spans="2:14" x14ac:dyDescent="0.25">
      <c r="B66" s="38"/>
      <c r="C66" s="38"/>
      <c r="D66" s="38"/>
      <c r="E66" s="39"/>
      <c r="F66" s="45"/>
      <c r="G66" s="45"/>
      <c r="H66" s="46"/>
      <c r="I66" s="38"/>
      <c r="J66" s="39"/>
      <c r="K66" s="39"/>
      <c r="L66" s="47" t="str">
        <f>IF(OR(tblProductos[[#This Row],[SKU]]="",tblProductos[[#This Row],[Producto]]=""),"",tblProductos[[#This Row],[SKU]]&amp;" · "&amp;tblProductos[[#This Row],[Producto]]&amp;IF(tblProductos[[#This Row],[Activo]]="NO","  (inactivo)",""))</f>
        <v/>
      </c>
      <c r="M66" s="40" t="str">
        <f>IF(tblProductos[[#This Row],[SKU]]="","",COUNTIF(tblEntradas[SKU],tblProductos[[#This Row],[SKU]])+COUNTIF(tblSalidas[SKU],tblProductos[[#This Row],[SKU]]))</f>
        <v/>
      </c>
      <c r="N6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7" spans="2:14" x14ac:dyDescent="0.25">
      <c r="B67" s="38"/>
      <c r="C67" s="38"/>
      <c r="D67" s="38"/>
      <c r="E67" s="39"/>
      <c r="F67" s="45"/>
      <c r="G67" s="45"/>
      <c r="H67" s="46"/>
      <c r="I67" s="38"/>
      <c r="J67" s="39"/>
      <c r="K67" s="39"/>
      <c r="L67" s="47" t="str">
        <f>IF(OR(tblProductos[[#This Row],[SKU]]="",tblProductos[[#This Row],[Producto]]=""),"",tblProductos[[#This Row],[SKU]]&amp;" · "&amp;tblProductos[[#This Row],[Producto]]&amp;IF(tblProductos[[#This Row],[Activo]]="NO","  (inactivo)",""))</f>
        <v/>
      </c>
      <c r="M67" s="40" t="str">
        <f>IF(tblProductos[[#This Row],[SKU]]="","",COUNTIF(tblEntradas[SKU],tblProductos[[#This Row],[SKU]])+COUNTIF(tblSalidas[SKU],tblProductos[[#This Row],[SKU]]))</f>
        <v/>
      </c>
      <c r="N6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8" spans="2:14" x14ac:dyDescent="0.25">
      <c r="B68" s="38"/>
      <c r="C68" s="38"/>
      <c r="D68" s="38"/>
      <c r="E68" s="39"/>
      <c r="F68" s="45"/>
      <c r="G68" s="45"/>
      <c r="H68" s="46"/>
      <c r="I68" s="38"/>
      <c r="J68" s="39"/>
      <c r="K68" s="39"/>
      <c r="L68" s="47" t="str">
        <f>IF(OR(tblProductos[[#This Row],[SKU]]="",tblProductos[[#This Row],[Producto]]=""),"",tblProductos[[#This Row],[SKU]]&amp;" · "&amp;tblProductos[[#This Row],[Producto]]&amp;IF(tblProductos[[#This Row],[Activo]]="NO","  (inactivo)",""))</f>
        <v/>
      </c>
      <c r="M68" s="40" t="str">
        <f>IF(tblProductos[[#This Row],[SKU]]="","",COUNTIF(tblEntradas[SKU],tblProductos[[#This Row],[SKU]])+COUNTIF(tblSalidas[SKU],tblProductos[[#This Row],[SKU]]))</f>
        <v/>
      </c>
      <c r="N6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9" spans="2:14" x14ac:dyDescent="0.25">
      <c r="B69" s="38"/>
      <c r="C69" s="38"/>
      <c r="D69" s="38"/>
      <c r="E69" s="39"/>
      <c r="F69" s="45"/>
      <c r="G69" s="45"/>
      <c r="H69" s="46"/>
      <c r="I69" s="38"/>
      <c r="J69" s="39"/>
      <c r="K69" s="39"/>
      <c r="L69" s="47" t="str">
        <f>IF(OR(tblProductos[[#This Row],[SKU]]="",tblProductos[[#This Row],[Producto]]=""),"",tblProductos[[#This Row],[SKU]]&amp;" · "&amp;tblProductos[[#This Row],[Producto]]&amp;IF(tblProductos[[#This Row],[Activo]]="NO","  (inactivo)",""))</f>
        <v/>
      </c>
      <c r="M69" s="40" t="str">
        <f>IF(tblProductos[[#This Row],[SKU]]="","",COUNTIF(tblEntradas[SKU],tblProductos[[#This Row],[SKU]])+COUNTIF(tblSalidas[SKU],tblProductos[[#This Row],[SKU]]))</f>
        <v/>
      </c>
      <c r="N6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0" spans="2:14" x14ac:dyDescent="0.25">
      <c r="B70" s="38"/>
      <c r="C70" s="38"/>
      <c r="D70" s="38"/>
      <c r="E70" s="39"/>
      <c r="F70" s="45"/>
      <c r="G70" s="45"/>
      <c r="H70" s="46"/>
      <c r="I70" s="38"/>
      <c r="J70" s="39"/>
      <c r="K70" s="39"/>
      <c r="L70" s="47" t="str">
        <f>IF(OR(tblProductos[[#This Row],[SKU]]="",tblProductos[[#This Row],[Producto]]=""),"",tblProductos[[#This Row],[SKU]]&amp;" · "&amp;tblProductos[[#This Row],[Producto]]&amp;IF(tblProductos[[#This Row],[Activo]]="NO","  (inactivo)",""))</f>
        <v/>
      </c>
      <c r="M70" s="40" t="str">
        <f>IF(tblProductos[[#This Row],[SKU]]="","",COUNTIF(tblEntradas[SKU],tblProductos[[#This Row],[SKU]])+COUNTIF(tblSalidas[SKU],tblProductos[[#This Row],[SKU]]))</f>
        <v/>
      </c>
      <c r="N7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1" spans="2:14" x14ac:dyDescent="0.25">
      <c r="B71" s="38"/>
      <c r="C71" s="38"/>
      <c r="D71" s="38"/>
      <c r="E71" s="39"/>
      <c r="F71" s="45"/>
      <c r="G71" s="45"/>
      <c r="H71" s="46"/>
      <c r="I71" s="38"/>
      <c r="J71" s="39"/>
      <c r="K71" s="39"/>
      <c r="L71" s="47" t="str">
        <f>IF(OR(tblProductos[[#This Row],[SKU]]="",tblProductos[[#This Row],[Producto]]=""),"",tblProductos[[#This Row],[SKU]]&amp;" · "&amp;tblProductos[[#This Row],[Producto]]&amp;IF(tblProductos[[#This Row],[Activo]]="NO","  (inactivo)",""))</f>
        <v/>
      </c>
      <c r="M71" s="40" t="str">
        <f>IF(tblProductos[[#This Row],[SKU]]="","",COUNTIF(tblEntradas[SKU],tblProductos[[#This Row],[SKU]])+COUNTIF(tblSalidas[SKU],tblProductos[[#This Row],[SKU]]))</f>
        <v/>
      </c>
      <c r="N7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2" spans="2:14" x14ac:dyDescent="0.25">
      <c r="B72" s="38"/>
      <c r="C72" s="38"/>
      <c r="D72" s="38"/>
      <c r="E72" s="39"/>
      <c r="F72" s="45"/>
      <c r="G72" s="45"/>
      <c r="H72" s="46"/>
      <c r="I72" s="38"/>
      <c r="J72" s="39"/>
      <c r="K72" s="39"/>
      <c r="L72" s="47" t="str">
        <f>IF(OR(tblProductos[[#This Row],[SKU]]="",tblProductos[[#This Row],[Producto]]=""),"",tblProductos[[#This Row],[SKU]]&amp;" · "&amp;tblProductos[[#This Row],[Producto]]&amp;IF(tblProductos[[#This Row],[Activo]]="NO","  (inactivo)",""))</f>
        <v/>
      </c>
      <c r="M72" s="40" t="str">
        <f>IF(tblProductos[[#This Row],[SKU]]="","",COUNTIF(tblEntradas[SKU],tblProductos[[#This Row],[SKU]])+COUNTIF(tblSalidas[SKU],tblProductos[[#This Row],[SKU]]))</f>
        <v/>
      </c>
      <c r="N7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3" spans="2:14" x14ac:dyDescent="0.25">
      <c r="B73" s="38"/>
      <c r="C73" s="38"/>
      <c r="D73" s="38"/>
      <c r="E73" s="39"/>
      <c r="F73" s="45"/>
      <c r="G73" s="45"/>
      <c r="H73" s="46"/>
      <c r="I73" s="38"/>
      <c r="J73" s="39"/>
      <c r="K73" s="39"/>
      <c r="L73" s="47" t="str">
        <f>IF(OR(tblProductos[[#This Row],[SKU]]="",tblProductos[[#This Row],[Producto]]=""),"",tblProductos[[#This Row],[SKU]]&amp;" · "&amp;tblProductos[[#This Row],[Producto]]&amp;IF(tblProductos[[#This Row],[Activo]]="NO","  (inactivo)",""))</f>
        <v/>
      </c>
      <c r="M73" s="40" t="str">
        <f>IF(tblProductos[[#This Row],[SKU]]="","",COUNTIF(tblEntradas[SKU],tblProductos[[#This Row],[SKU]])+COUNTIF(tblSalidas[SKU],tblProductos[[#This Row],[SKU]]))</f>
        <v/>
      </c>
      <c r="N7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4" spans="2:14" x14ac:dyDescent="0.25">
      <c r="B74" s="38"/>
      <c r="C74" s="38"/>
      <c r="D74" s="38"/>
      <c r="E74" s="39"/>
      <c r="F74" s="45"/>
      <c r="G74" s="45"/>
      <c r="H74" s="46"/>
      <c r="I74" s="38"/>
      <c r="J74" s="39"/>
      <c r="K74" s="39"/>
      <c r="L74" s="47" t="str">
        <f>IF(OR(tblProductos[[#This Row],[SKU]]="",tblProductos[[#This Row],[Producto]]=""),"",tblProductos[[#This Row],[SKU]]&amp;" · "&amp;tblProductos[[#This Row],[Producto]]&amp;IF(tblProductos[[#This Row],[Activo]]="NO","  (inactivo)",""))</f>
        <v/>
      </c>
      <c r="M74" s="40" t="str">
        <f>IF(tblProductos[[#This Row],[SKU]]="","",COUNTIF(tblEntradas[SKU],tblProductos[[#This Row],[SKU]])+COUNTIF(tblSalidas[SKU],tblProductos[[#This Row],[SKU]]))</f>
        <v/>
      </c>
      <c r="N7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5" spans="2:14" x14ac:dyDescent="0.25">
      <c r="B75" s="38"/>
      <c r="C75" s="38"/>
      <c r="D75" s="38"/>
      <c r="E75" s="39"/>
      <c r="F75" s="45"/>
      <c r="G75" s="45"/>
      <c r="H75" s="46"/>
      <c r="I75" s="38"/>
      <c r="J75" s="39"/>
      <c r="K75" s="39"/>
      <c r="L75" s="47" t="str">
        <f>IF(OR(tblProductos[[#This Row],[SKU]]="",tblProductos[[#This Row],[Producto]]=""),"",tblProductos[[#This Row],[SKU]]&amp;" · "&amp;tblProductos[[#This Row],[Producto]]&amp;IF(tblProductos[[#This Row],[Activo]]="NO","  (inactivo)",""))</f>
        <v/>
      </c>
      <c r="M75" s="40" t="str">
        <f>IF(tblProductos[[#This Row],[SKU]]="","",COUNTIF(tblEntradas[SKU],tblProductos[[#This Row],[SKU]])+COUNTIF(tblSalidas[SKU],tblProductos[[#This Row],[SKU]]))</f>
        <v/>
      </c>
      <c r="N7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6" spans="2:14" x14ac:dyDescent="0.25">
      <c r="B76" s="38"/>
      <c r="C76" s="38"/>
      <c r="D76" s="38"/>
      <c r="E76" s="39"/>
      <c r="F76" s="45"/>
      <c r="G76" s="45"/>
      <c r="H76" s="46"/>
      <c r="I76" s="38"/>
      <c r="J76" s="39"/>
      <c r="K76" s="39"/>
      <c r="L76" s="47" t="str">
        <f>IF(OR(tblProductos[[#This Row],[SKU]]="",tblProductos[[#This Row],[Producto]]=""),"",tblProductos[[#This Row],[SKU]]&amp;" · "&amp;tblProductos[[#This Row],[Producto]]&amp;IF(tblProductos[[#This Row],[Activo]]="NO","  (inactivo)",""))</f>
        <v/>
      </c>
      <c r="M76" s="40" t="str">
        <f>IF(tblProductos[[#This Row],[SKU]]="","",COUNTIF(tblEntradas[SKU],tblProductos[[#This Row],[SKU]])+COUNTIF(tblSalidas[SKU],tblProductos[[#This Row],[SKU]]))</f>
        <v/>
      </c>
      <c r="N7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7" spans="2:14" x14ac:dyDescent="0.25">
      <c r="B77" s="38"/>
      <c r="C77" s="38"/>
      <c r="D77" s="38"/>
      <c r="E77" s="39"/>
      <c r="F77" s="45"/>
      <c r="G77" s="45"/>
      <c r="H77" s="46"/>
      <c r="I77" s="38"/>
      <c r="J77" s="39"/>
      <c r="K77" s="39"/>
      <c r="L77" s="47" t="str">
        <f>IF(OR(tblProductos[[#This Row],[SKU]]="",tblProductos[[#This Row],[Producto]]=""),"",tblProductos[[#This Row],[SKU]]&amp;" · "&amp;tblProductos[[#This Row],[Producto]]&amp;IF(tblProductos[[#This Row],[Activo]]="NO","  (inactivo)",""))</f>
        <v/>
      </c>
      <c r="M77" s="40" t="str">
        <f>IF(tblProductos[[#This Row],[SKU]]="","",COUNTIF(tblEntradas[SKU],tblProductos[[#This Row],[SKU]])+COUNTIF(tblSalidas[SKU],tblProductos[[#This Row],[SKU]]))</f>
        <v/>
      </c>
      <c r="N7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8" spans="2:14" x14ac:dyDescent="0.25">
      <c r="B78" s="38"/>
      <c r="C78" s="38"/>
      <c r="D78" s="38"/>
      <c r="E78" s="39"/>
      <c r="F78" s="45"/>
      <c r="G78" s="45"/>
      <c r="H78" s="46"/>
      <c r="I78" s="38"/>
      <c r="J78" s="39"/>
      <c r="K78" s="39"/>
      <c r="L78" s="47" t="str">
        <f>IF(OR(tblProductos[[#This Row],[SKU]]="",tblProductos[[#This Row],[Producto]]=""),"",tblProductos[[#This Row],[SKU]]&amp;" · "&amp;tblProductos[[#This Row],[Producto]]&amp;IF(tblProductos[[#This Row],[Activo]]="NO","  (inactivo)",""))</f>
        <v/>
      </c>
      <c r="M78" s="40" t="str">
        <f>IF(tblProductos[[#This Row],[SKU]]="","",COUNTIF(tblEntradas[SKU],tblProductos[[#This Row],[SKU]])+COUNTIF(tblSalidas[SKU],tblProductos[[#This Row],[SKU]]))</f>
        <v/>
      </c>
      <c r="N7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9" spans="2:14" x14ac:dyDescent="0.25">
      <c r="B79" s="38"/>
      <c r="C79" s="38"/>
      <c r="D79" s="38"/>
      <c r="E79" s="39"/>
      <c r="F79" s="45"/>
      <c r="G79" s="45"/>
      <c r="H79" s="46"/>
      <c r="I79" s="38"/>
      <c r="J79" s="39"/>
      <c r="K79" s="39"/>
      <c r="L79" s="47" t="str">
        <f>IF(OR(tblProductos[[#This Row],[SKU]]="",tblProductos[[#This Row],[Producto]]=""),"",tblProductos[[#This Row],[SKU]]&amp;" · "&amp;tblProductos[[#This Row],[Producto]]&amp;IF(tblProductos[[#This Row],[Activo]]="NO","  (inactivo)",""))</f>
        <v/>
      </c>
      <c r="M79" s="40" t="str">
        <f>IF(tblProductos[[#This Row],[SKU]]="","",COUNTIF(tblEntradas[SKU],tblProductos[[#This Row],[SKU]])+COUNTIF(tblSalidas[SKU],tblProductos[[#This Row],[SKU]]))</f>
        <v/>
      </c>
      <c r="N7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0" spans="2:14" x14ac:dyDescent="0.25">
      <c r="B80" s="38"/>
      <c r="C80" s="38"/>
      <c r="D80" s="38"/>
      <c r="E80" s="39"/>
      <c r="F80" s="45"/>
      <c r="G80" s="45"/>
      <c r="H80" s="46"/>
      <c r="I80" s="38"/>
      <c r="J80" s="39"/>
      <c r="K80" s="39"/>
      <c r="L80" s="47" t="str">
        <f>IF(OR(tblProductos[[#This Row],[SKU]]="",tblProductos[[#This Row],[Producto]]=""),"",tblProductos[[#This Row],[SKU]]&amp;" · "&amp;tblProductos[[#This Row],[Producto]]&amp;IF(tblProductos[[#This Row],[Activo]]="NO","  (inactivo)",""))</f>
        <v/>
      </c>
      <c r="M80" s="40" t="str">
        <f>IF(tblProductos[[#This Row],[SKU]]="","",COUNTIF(tblEntradas[SKU],tblProductos[[#This Row],[SKU]])+COUNTIF(tblSalidas[SKU],tblProductos[[#This Row],[SKU]]))</f>
        <v/>
      </c>
      <c r="N8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1" spans="2:14" x14ac:dyDescent="0.25">
      <c r="B81" s="38"/>
      <c r="C81" s="38"/>
      <c r="D81" s="38"/>
      <c r="E81" s="39"/>
      <c r="F81" s="45"/>
      <c r="G81" s="45"/>
      <c r="H81" s="46"/>
      <c r="I81" s="38"/>
      <c r="J81" s="39"/>
      <c r="K81" s="39"/>
      <c r="L81" s="47" t="str">
        <f>IF(OR(tblProductos[[#This Row],[SKU]]="",tblProductos[[#This Row],[Producto]]=""),"",tblProductos[[#This Row],[SKU]]&amp;" · "&amp;tblProductos[[#This Row],[Producto]]&amp;IF(tblProductos[[#This Row],[Activo]]="NO","  (inactivo)",""))</f>
        <v/>
      </c>
      <c r="M81" s="40" t="str">
        <f>IF(tblProductos[[#This Row],[SKU]]="","",COUNTIF(tblEntradas[SKU],tblProductos[[#This Row],[SKU]])+COUNTIF(tblSalidas[SKU],tblProductos[[#This Row],[SKU]]))</f>
        <v/>
      </c>
      <c r="N8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2" spans="2:14" x14ac:dyDescent="0.25">
      <c r="B82" s="38"/>
      <c r="C82" s="38"/>
      <c r="D82" s="38"/>
      <c r="E82" s="39"/>
      <c r="F82" s="45"/>
      <c r="G82" s="45"/>
      <c r="H82" s="46"/>
      <c r="I82" s="38"/>
      <c r="J82" s="39"/>
      <c r="K82" s="39"/>
      <c r="L82" s="47" t="str">
        <f>IF(OR(tblProductos[[#This Row],[SKU]]="",tblProductos[[#This Row],[Producto]]=""),"",tblProductos[[#This Row],[SKU]]&amp;" · "&amp;tblProductos[[#This Row],[Producto]]&amp;IF(tblProductos[[#This Row],[Activo]]="NO","  (inactivo)",""))</f>
        <v/>
      </c>
      <c r="M82" s="40" t="str">
        <f>IF(tblProductos[[#This Row],[SKU]]="","",COUNTIF(tblEntradas[SKU],tblProductos[[#This Row],[SKU]])+COUNTIF(tblSalidas[SKU],tblProductos[[#This Row],[SKU]]))</f>
        <v/>
      </c>
      <c r="N8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3" spans="2:14" x14ac:dyDescent="0.25">
      <c r="B83" s="38"/>
      <c r="C83" s="38"/>
      <c r="D83" s="38"/>
      <c r="E83" s="39"/>
      <c r="F83" s="45"/>
      <c r="G83" s="45"/>
      <c r="H83" s="46"/>
      <c r="I83" s="38"/>
      <c r="J83" s="39"/>
      <c r="K83" s="39"/>
      <c r="L83" s="47" t="str">
        <f>IF(OR(tblProductos[[#This Row],[SKU]]="",tblProductos[[#This Row],[Producto]]=""),"",tblProductos[[#This Row],[SKU]]&amp;" · "&amp;tblProductos[[#This Row],[Producto]]&amp;IF(tblProductos[[#This Row],[Activo]]="NO","  (inactivo)",""))</f>
        <v/>
      </c>
      <c r="M83" s="40" t="str">
        <f>IF(tblProductos[[#This Row],[SKU]]="","",COUNTIF(tblEntradas[SKU],tblProductos[[#This Row],[SKU]])+COUNTIF(tblSalidas[SKU],tblProductos[[#This Row],[SKU]]))</f>
        <v/>
      </c>
      <c r="N8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4" spans="2:14" x14ac:dyDescent="0.25">
      <c r="B84" s="38"/>
      <c r="C84" s="38"/>
      <c r="D84" s="38"/>
      <c r="E84" s="39"/>
      <c r="F84" s="45"/>
      <c r="G84" s="45"/>
      <c r="H84" s="46"/>
      <c r="I84" s="38"/>
      <c r="J84" s="39"/>
      <c r="K84" s="39"/>
      <c r="L84" s="47" t="str">
        <f>IF(OR(tblProductos[[#This Row],[SKU]]="",tblProductos[[#This Row],[Producto]]=""),"",tblProductos[[#This Row],[SKU]]&amp;" · "&amp;tblProductos[[#This Row],[Producto]]&amp;IF(tblProductos[[#This Row],[Activo]]="NO","  (inactivo)",""))</f>
        <v/>
      </c>
      <c r="M84" s="40" t="str">
        <f>IF(tblProductos[[#This Row],[SKU]]="","",COUNTIF(tblEntradas[SKU],tblProductos[[#This Row],[SKU]])+COUNTIF(tblSalidas[SKU],tblProductos[[#This Row],[SKU]]))</f>
        <v/>
      </c>
      <c r="N8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5" spans="2:14" x14ac:dyDescent="0.25">
      <c r="B85" s="38"/>
      <c r="C85" s="38"/>
      <c r="D85" s="38"/>
      <c r="E85" s="39"/>
      <c r="F85" s="45"/>
      <c r="G85" s="45"/>
      <c r="H85" s="46"/>
      <c r="I85" s="38"/>
      <c r="J85" s="39"/>
      <c r="K85" s="39"/>
      <c r="L85" s="47" t="str">
        <f>IF(OR(tblProductos[[#This Row],[SKU]]="",tblProductos[[#This Row],[Producto]]=""),"",tblProductos[[#This Row],[SKU]]&amp;" · "&amp;tblProductos[[#This Row],[Producto]]&amp;IF(tblProductos[[#This Row],[Activo]]="NO","  (inactivo)",""))</f>
        <v/>
      </c>
      <c r="M85" s="40" t="str">
        <f>IF(tblProductos[[#This Row],[SKU]]="","",COUNTIF(tblEntradas[SKU],tblProductos[[#This Row],[SKU]])+COUNTIF(tblSalidas[SKU],tblProductos[[#This Row],[SKU]]))</f>
        <v/>
      </c>
      <c r="N8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6" spans="2:14" x14ac:dyDescent="0.25">
      <c r="B86" s="38"/>
      <c r="C86" s="38"/>
      <c r="D86" s="38"/>
      <c r="E86" s="39"/>
      <c r="F86" s="45"/>
      <c r="G86" s="45"/>
      <c r="H86" s="46"/>
      <c r="I86" s="38"/>
      <c r="J86" s="39"/>
      <c r="K86" s="39"/>
      <c r="L86" s="47" t="str">
        <f>IF(OR(tblProductos[[#This Row],[SKU]]="",tblProductos[[#This Row],[Producto]]=""),"",tblProductos[[#This Row],[SKU]]&amp;" · "&amp;tblProductos[[#This Row],[Producto]]&amp;IF(tblProductos[[#This Row],[Activo]]="NO","  (inactivo)",""))</f>
        <v/>
      </c>
      <c r="M86" s="40" t="str">
        <f>IF(tblProductos[[#This Row],[SKU]]="","",COUNTIF(tblEntradas[SKU],tblProductos[[#This Row],[SKU]])+COUNTIF(tblSalidas[SKU],tblProductos[[#This Row],[SKU]]))</f>
        <v/>
      </c>
      <c r="N8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7" spans="2:14" x14ac:dyDescent="0.25">
      <c r="B87" s="38"/>
      <c r="C87" s="38"/>
      <c r="D87" s="38"/>
      <c r="E87" s="39"/>
      <c r="F87" s="45"/>
      <c r="G87" s="45"/>
      <c r="H87" s="46"/>
      <c r="I87" s="38"/>
      <c r="J87" s="39"/>
      <c r="K87" s="39"/>
      <c r="L87" s="47" t="str">
        <f>IF(OR(tblProductos[[#This Row],[SKU]]="",tblProductos[[#This Row],[Producto]]=""),"",tblProductos[[#This Row],[SKU]]&amp;" · "&amp;tblProductos[[#This Row],[Producto]]&amp;IF(tblProductos[[#This Row],[Activo]]="NO","  (inactivo)",""))</f>
        <v/>
      </c>
      <c r="M87" s="40" t="str">
        <f>IF(tblProductos[[#This Row],[SKU]]="","",COUNTIF(tblEntradas[SKU],tblProductos[[#This Row],[SKU]])+COUNTIF(tblSalidas[SKU],tblProductos[[#This Row],[SKU]]))</f>
        <v/>
      </c>
      <c r="N8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8" spans="2:14" x14ac:dyDescent="0.25">
      <c r="B88" s="38"/>
      <c r="C88" s="38"/>
      <c r="D88" s="38"/>
      <c r="E88" s="39"/>
      <c r="F88" s="45"/>
      <c r="G88" s="45"/>
      <c r="H88" s="46"/>
      <c r="I88" s="38"/>
      <c r="J88" s="39"/>
      <c r="K88" s="39"/>
      <c r="L88" s="47" t="str">
        <f>IF(OR(tblProductos[[#This Row],[SKU]]="",tblProductos[[#This Row],[Producto]]=""),"",tblProductos[[#This Row],[SKU]]&amp;" · "&amp;tblProductos[[#This Row],[Producto]]&amp;IF(tblProductos[[#This Row],[Activo]]="NO","  (inactivo)",""))</f>
        <v/>
      </c>
      <c r="M88" s="40" t="str">
        <f>IF(tblProductos[[#This Row],[SKU]]="","",COUNTIF(tblEntradas[SKU],tblProductos[[#This Row],[SKU]])+COUNTIF(tblSalidas[SKU],tblProductos[[#This Row],[SKU]]))</f>
        <v/>
      </c>
      <c r="N8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9" spans="2:14" x14ac:dyDescent="0.25">
      <c r="B89" s="38"/>
      <c r="C89" s="38"/>
      <c r="D89" s="38"/>
      <c r="E89" s="39"/>
      <c r="F89" s="45"/>
      <c r="G89" s="45"/>
      <c r="H89" s="46"/>
      <c r="I89" s="38"/>
      <c r="J89" s="39"/>
      <c r="K89" s="39"/>
      <c r="L89" s="47" t="str">
        <f>IF(OR(tblProductos[[#This Row],[SKU]]="",tblProductos[[#This Row],[Producto]]=""),"",tblProductos[[#This Row],[SKU]]&amp;" · "&amp;tblProductos[[#This Row],[Producto]]&amp;IF(tblProductos[[#This Row],[Activo]]="NO","  (inactivo)",""))</f>
        <v/>
      </c>
      <c r="M89" s="40" t="str">
        <f>IF(tblProductos[[#This Row],[SKU]]="","",COUNTIF(tblEntradas[SKU],tblProductos[[#This Row],[SKU]])+COUNTIF(tblSalidas[SKU],tblProductos[[#This Row],[SKU]]))</f>
        <v/>
      </c>
      <c r="N8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0" spans="2:14" x14ac:dyDescent="0.25">
      <c r="B90" s="38"/>
      <c r="C90" s="38"/>
      <c r="D90" s="38"/>
      <c r="E90" s="39"/>
      <c r="F90" s="45"/>
      <c r="G90" s="45"/>
      <c r="H90" s="46"/>
      <c r="I90" s="38"/>
      <c r="J90" s="39"/>
      <c r="K90" s="39"/>
      <c r="L90" s="47" t="str">
        <f>IF(OR(tblProductos[[#This Row],[SKU]]="",tblProductos[[#This Row],[Producto]]=""),"",tblProductos[[#This Row],[SKU]]&amp;" · "&amp;tblProductos[[#This Row],[Producto]]&amp;IF(tblProductos[[#This Row],[Activo]]="NO","  (inactivo)",""))</f>
        <v/>
      </c>
      <c r="M90" s="40" t="str">
        <f>IF(tblProductos[[#This Row],[SKU]]="","",COUNTIF(tblEntradas[SKU],tblProductos[[#This Row],[SKU]])+COUNTIF(tblSalidas[SKU],tblProductos[[#This Row],[SKU]]))</f>
        <v/>
      </c>
      <c r="N9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1" spans="2:14" x14ac:dyDescent="0.25">
      <c r="B91" s="38"/>
      <c r="C91" s="38"/>
      <c r="D91" s="38"/>
      <c r="E91" s="39"/>
      <c r="F91" s="45"/>
      <c r="G91" s="45"/>
      <c r="H91" s="46"/>
      <c r="I91" s="38"/>
      <c r="J91" s="39"/>
      <c r="K91" s="39"/>
      <c r="L91" s="47" t="str">
        <f>IF(OR(tblProductos[[#This Row],[SKU]]="",tblProductos[[#This Row],[Producto]]=""),"",tblProductos[[#This Row],[SKU]]&amp;" · "&amp;tblProductos[[#This Row],[Producto]]&amp;IF(tblProductos[[#This Row],[Activo]]="NO","  (inactivo)",""))</f>
        <v/>
      </c>
      <c r="M91" s="40" t="str">
        <f>IF(tblProductos[[#This Row],[SKU]]="","",COUNTIF(tblEntradas[SKU],tblProductos[[#This Row],[SKU]])+COUNTIF(tblSalidas[SKU],tblProductos[[#This Row],[SKU]]))</f>
        <v/>
      </c>
      <c r="N9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2" spans="2:14" x14ac:dyDescent="0.25">
      <c r="B92" s="38"/>
      <c r="C92" s="38"/>
      <c r="D92" s="38"/>
      <c r="E92" s="39"/>
      <c r="F92" s="45"/>
      <c r="G92" s="45"/>
      <c r="H92" s="46"/>
      <c r="I92" s="38"/>
      <c r="J92" s="39"/>
      <c r="K92" s="39"/>
      <c r="L92" s="47" t="str">
        <f>IF(OR(tblProductos[[#This Row],[SKU]]="",tblProductos[[#This Row],[Producto]]=""),"",tblProductos[[#This Row],[SKU]]&amp;" · "&amp;tblProductos[[#This Row],[Producto]]&amp;IF(tblProductos[[#This Row],[Activo]]="NO","  (inactivo)",""))</f>
        <v/>
      </c>
      <c r="M92" s="40" t="str">
        <f>IF(tblProductos[[#This Row],[SKU]]="","",COUNTIF(tblEntradas[SKU],tblProductos[[#This Row],[SKU]])+COUNTIF(tblSalidas[SKU],tblProductos[[#This Row],[SKU]]))</f>
        <v/>
      </c>
      <c r="N9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3" spans="2:14" x14ac:dyDescent="0.25">
      <c r="B93" s="38"/>
      <c r="C93" s="38"/>
      <c r="D93" s="38"/>
      <c r="E93" s="39"/>
      <c r="F93" s="45"/>
      <c r="G93" s="45"/>
      <c r="H93" s="46"/>
      <c r="I93" s="38"/>
      <c r="J93" s="39"/>
      <c r="K93" s="39"/>
      <c r="L93" s="47" t="str">
        <f>IF(OR(tblProductos[[#This Row],[SKU]]="",tblProductos[[#This Row],[Producto]]=""),"",tblProductos[[#This Row],[SKU]]&amp;" · "&amp;tblProductos[[#This Row],[Producto]]&amp;IF(tblProductos[[#This Row],[Activo]]="NO","  (inactivo)",""))</f>
        <v/>
      </c>
      <c r="M93" s="40" t="str">
        <f>IF(tblProductos[[#This Row],[SKU]]="","",COUNTIF(tblEntradas[SKU],tblProductos[[#This Row],[SKU]])+COUNTIF(tblSalidas[SKU],tblProductos[[#This Row],[SKU]]))</f>
        <v/>
      </c>
      <c r="N9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4" spans="2:14" x14ac:dyDescent="0.25">
      <c r="B94" s="38"/>
      <c r="C94" s="38"/>
      <c r="D94" s="38"/>
      <c r="E94" s="39"/>
      <c r="F94" s="45"/>
      <c r="G94" s="45"/>
      <c r="H94" s="46"/>
      <c r="I94" s="38"/>
      <c r="J94" s="39"/>
      <c r="K94" s="39"/>
      <c r="L94" s="47" t="str">
        <f>IF(OR(tblProductos[[#This Row],[SKU]]="",tblProductos[[#This Row],[Producto]]=""),"",tblProductos[[#This Row],[SKU]]&amp;" · "&amp;tblProductos[[#This Row],[Producto]]&amp;IF(tblProductos[[#This Row],[Activo]]="NO","  (inactivo)",""))</f>
        <v/>
      </c>
      <c r="M94" s="40" t="str">
        <f>IF(tblProductos[[#This Row],[SKU]]="","",COUNTIF(tblEntradas[SKU],tblProductos[[#This Row],[SKU]])+COUNTIF(tblSalidas[SKU],tblProductos[[#This Row],[SKU]]))</f>
        <v/>
      </c>
      <c r="N9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5" spans="2:14" x14ac:dyDescent="0.25">
      <c r="B95" s="38"/>
      <c r="C95" s="38"/>
      <c r="D95" s="38"/>
      <c r="E95" s="39"/>
      <c r="F95" s="45"/>
      <c r="G95" s="45"/>
      <c r="H95" s="46"/>
      <c r="I95" s="38"/>
      <c r="J95" s="39"/>
      <c r="K95" s="39"/>
      <c r="L95" s="47" t="str">
        <f>IF(OR(tblProductos[[#This Row],[SKU]]="",tblProductos[[#This Row],[Producto]]=""),"",tblProductos[[#This Row],[SKU]]&amp;" · "&amp;tblProductos[[#This Row],[Producto]]&amp;IF(tblProductos[[#This Row],[Activo]]="NO","  (inactivo)",""))</f>
        <v/>
      </c>
      <c r="M95" s="40" t="str">
        <f>IF(tblProductos[[#This Row],[SKU]]="","",COUNTIF(tblEntradas[SKU],tblProductos[[#This Row],[SKU]])+COUNTIF(tblSalidas[SKU],tblProductos[[#This Row],[SKU]]))</f>
        <v/>
      </c>
      <c r="N9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6" spans="2:14" x14ac:dyDescent="0.25">
      <c r="B96" s="38"/>
      <c r="C96" s="38"/>
      <c r="D96" s="38"/>
      <c r="E96" s="39"/>
      <c r="F96" s="45"/>
      <c r="G96" s="45"/>
      <c r="H96" s="46"/>
      <c r="I96" s="38"/>
      <c r="J96" s="39"/>
      <c r="K96" s="39"/>
      <c r="L96" s="47" t="str">
        <f>IF(OR(tblProductos[[#This Row],[SKU]]="",tblProductos[[#This Row],[Producto]]=""),"",tblProductos[[#This Row],[SKU]]&amp;" · "&amp;tblProductos[[#This Row],[Producto]]&amp;IF(tblProductos[[#This Row],[Activo]]="NO","  (inactivo)",""))</f>
        <v/>
      </c>
      <c r="M96" s="40" t="str">
        <f>IF(tblProductos[[#This Row],[SKU]]="","",COUNTIF(tblEntradas[SKU],tblProductos[[#This Row],[SKU]])+COUNTIF(tblSalidas[SKU],tblProductos[[#This Row],[SKU]]))</f>
        <v/>
      </c>
      <c r="N9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7" spans="2:14" x14ac:dyDescent="0.25">
      <c r="B97" s="38"/>
      <c r="C97" s="38"/>
      <c r="D97" s="38"/>
      <c r="E97" s="39"/>
      <c r="F97" s="45"/>
      <c r="G97" s="45"/>
      <c r="H97" s="46"/>
      <c r="I97" s="38"/>
      <c r="J97" s="39"/>
      <c r="K97" s="39"/>
      <c r="L97" s="47" t="str">
        <f>IF(OR(tblProductos[[#This Row],[SKU]]="",tblProductos[[#This Row],[Producto]]=""),"",tblProductos[[#This Row],[SKU]]&amp;" · "&amp;tblProductos[[#This Row],[Producto]]&amp;IF(tblProductos[[#This Row],[Activo]]="NO","  (inactivo)",""))</f>
        <v/>
      </c>
      <c r="M97" s="40" t="str">
        <f>IF(tblProductos[[#This Row],[SKU]]="","",COUNTIF(tblEntradas[SKU],tblProductos[[#This Row],[SKU]])+COUNTIF(tblSalidas[SKU],tblProductos[[#This Row],[SKU]]))</f>
        <v/>
      </c>
      <c r="N9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8" spans="2:14" x14ac:dyDescent="0.25">
      <c r="B98" s="38"/>
      <c r="C98" s="38"/>
      <c r="D98" s="38"/>
      <c r="E98" s="39"/>
      <c r="F98" s="45"/>
      <c r="G98" s="45"/>
      <c r="H98" s="46"/>
      <c r="I98" s="38"/>
      <c r="J98" s="39"/>
      <c r="K98" s="39"/>
      <c r="L98" s="47" t="str">
        <f>IF(OR(tblProductos[[#This Row],[SKU]]="",tblProductos[[#This Row],[Producto]]=""),"",tblProductos[[#This Row],[SKU]]&amp;" · "&amp;tblProductos[[#This Row],[Producto]]&amp;IF(tblProductos[[#This Row],[Activo]]="NO","  (inactivo)",""))</f>
        <v/>
      </c>
      <c r="M98" s="40" t="str">
        <f>IF(tblProductos[[#This Row],[SKU]]="","",COUNTIF(tblEntradas[SKU],tblProductos[[#This Row],[SKU]])+COUNTIF(tblSalidas[SKU],tblProductos[[#This Row],[SKU]]))</f>
        <v/>
      </c>
      <c r="N9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9" spans="2:14" x14ac:dyDescent="0.25">
      <c r="B99" s="38"/>
      <c r="C99" s="38"/>
      <c r="D99" s="38"/>
      <c r="E99" s="39"/>
      <c r="F99" s="45"/>
      <c r="G99" s="45"/>
      <c r="H99" s="46"/>
      <c r="I99" s="38"/>
      <c r="J99" s="39"/>
      <c r="K99" s="39"/>
      <c r="L99" s="47" t="str">
        <f>IF(OR(tblProductos[[#This Row],[SKU]]="",tblProductos[[#This Row],[Producto]]=""),"",tblProductos[[#This Row],[SKU]]&amp;" · "&amp;tblProductos[[#This Row],[Producto]]&amp;IF(tblProductos[[#This Row],[Activo]]="NO","  (inactivo)",""))</f>
        <v/>
      </c>
      <c r="M99" s="40" t="str">
        <f>IF(tblProductos[[#This Row],[SKU]]="","",COUNTIF(tblEntradas[SKU],tblProductos[[#This Row],[SKU]])+COUNTIF(tblSalidas[SKU],tblProductos[[#This Row],[SKU]]))</f>
        <v/>
      </c>
      <c r="N9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0" spans="2:14" x14ac:dyDescent="0.25">
      <c r="B100" s="38"/>
      <c r="C100" s="38"/>
      <c r="D100" s="38"/>
      <c r="E100" s="39"/>
      <c r="F100" s="45"/>
      <c r="G100" s="45"/>
      <c r="H100" s="46"/>
      <c r="I100" s="38"/>
      <c r="J100" s="39"/>
      <c r="K100" s="39"/>
      <c r="L100" s="47" t="str">
        <f>IF(OR(tblProductos[[#This Row],[SKU]]="",tblProductos[[#This Row],[Producto]]=""),"",tblProductos[[#This Row],[SKU]]&amp;" · "&amp;tblProductos[[#This Row],[Producto]]&amp;IF(tblProductos[[#This Row],[Activo]]="NO","  (inactivo)",""))</f>
        <v/>
      </c>
      <c r="M100" s="40" t="str">
        <f>IF(tblProductos[[#This Row],[SKU]]="","",COUNTIF(tblEntradas[SKU],tblProductos[[#This Row],[SKU]])+COUNTIF(tblSalidas[SKU],tblProductos[[#This Row],[SKU]]))</f>
        <v/>
      </c>
      <c r="N10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1" spans="2:14" x14ac:dyDescent="0.25">
      <c r="B101" s="38"/>
      <c r="C101" s="38"/>
      <c r="D101" s="38"/>
      <c r="E101" s="39"/>
      <c r="F101" s="45"/>
      <c r="G101" s="45"/>
      <c r="H101" s="46"/>
      <c r="I101" s="38"/>
      <c r="J101" s="39"/>
      <c r="K101" s="39"/>
      <c r="L101" s="47" t="str">
        <f>IF(OR(tblProductos[[#This Row],[SKU]]="",tblProductos[[#This Row],[Producto]]=""),"",tblProductos[[#This Row],[SKU]]&amp;" · "&amp;tblProductos[[#This Row],[Producto]]&amp;IF(tblProductos[[#This Row],[Activo]]="NO","  (inactivo)",""))</f>
        <v/>
      </c>
      <c r="M101" s="40" t="str">
        <f>IF(tblProductos[[#This Row],[SKU]]="","",COUNTIF(tblEntradas[SKU],tblProductos[[#This Row],[SKU]])+COUNTIF(tblSalidas[SKU],tblProductos[[#This Row],[SKU]]))</f>
        <v/>
      </c>
      <c r="N10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2" spans="2:14" x14ac:dyDescent="0.25">
      <c r="B102" s="38"/>
      <c r="C102" s="38"/>
      <c r="D102" s="38"/>
      <c r="E102" s="39"/>
      <c r="F102" s="45"/>
      <c r="G102" s="45"/>
      <c r="H102" s="46"/>
      <c r="I102" s="38"/>
      <c r="J102" s="39"/>
      <c r="K102" s="39"/>
      <c r="L102" s="47" t="str">
        <f>IF(OR(tblProductos[[#This Row],[SKU]]="",tblProductos[[#This Row],[Producto]]=""),"",tblProductos[[#This Row],[SKU]]&amp;" · "&amp;tblProductos[[#This Row],[Producto]]&amp;IF(tblProductos[[#This Row],[Activo]]="NO","  (inactivo)",""))</f>
        <v/>
      </c>
      <c r="M102" s="40" t="str">
        <f>IF(tblProductos[[#This Row],[SKU]]="","",COUNTIF(tblEntradas[SKU],tblProductos[[#This Row],[SKU]])+COUNTIF(tblSalidas[SKU],tblProductos[[#This Row],[SKU]]))</f>
        <v/>
      </c>
      <c r="N10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3" spans="2:14" x14ac:dyDescent="0.25">
      <c r="B103" s="38"/>
      <c r="C103" s="38"/>
      <c r="D103" s="38"/>
      <c r="E103" s="39"/>
      <c r="F103" s="45"/>
      <c r="G103" s="45"/>
      <c r="H103" s="46"/>
      <c r="I103" s="38"/>
      <c r="J103" s="39"/>
      <c r="K103" s="39"/>
      <c r="L103" s="47" t="str">
        <f>IF(OR(tblProductos[[#This Row],[SKU]]="",tblProductos[[#This Row],[Producto]]=""),"",tblProductos[[#This Row],[SKU]]&amp;" · "&amp;tblProductos[[#This Row],[Producto]]&amp;IF(tblProductos[[#This Row],[Activo]]="NO","  (inactivo)",""))</f>
        <v/>
      </c>
      <c r="M103" s="40" t="str">
        <f>IF(tblProductos[[#This Row],[SKU]]="","",COUNTIF(tblEntradas[SKU],tblProductos[[#This Row],[SKU]])+COUNTIF(tblSalidas[SKU],tblProductos[[#This Row],[SKU]]))</f>
        <v/>
      </c>
      <c r="N10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4" spans="2:14" x14ac:dyDescent="0.25">
      <c r="B104" s="38"/>
      <c r="C104" s="38"/>
      <c r="D104" s="38"/>
      <c r="E104" s="39"/>
      <c r="F104" s="45"/>
      <c r="G104" s="45"/>
      <c r="H104" s="46"/>
      <c r="I104" s="38"/>
      <c r="J104" s="39"/>
      <c r="K104" s="39"/>
      <c r="L104" s="47" t="str">
        <f>IF(OR(tblProductos[[#This Row],[SKU]]="",tblProductos[[#This Row],[Producto]]=""),"",tblProductos[[#This Row],[SKU]]&amp;" · "&amp;tblProductos[[#This Row],[Producto]]&amp;IF(tblProductos[[#This Row],[Activo]]="NO","  (inactivo)",""))</f>
        <v/>
      </c>
      <c r="M104" s="40" t="str">
        <f>IF(tblProductos[[#This Row],[SKU]]="","",COUNTIF(tblEntradas[SKU],tblProductos[[#This Row],[SKU]])+COUNTIF(tblSalidas[SKU],tblProductos[[#This Row],[SKU]]))</f>
        <v/>
      </c>
      <c r="N10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5" spans="2:14" x14ac:dyDescent="0.25">
      <c r="B105" s="38"/>
      <c r="C105" s="38"/>
      <c r="D105" s="38"/>
      <c r="E105" s="39"/>
      <c r="F105" s="45"/>
      <c r="G105" s="45"/>
      <c r="H105" s="46"/>
      <c r="I105" s="38"/>
      <c r="J105" s="39"/>
      <c r="K105" s="39"/>
      <c r="L105" s="47" t="str">
        <f>IF(OR(tblProductos[[#This Row],[SKU]]="",tblProductos[[#This Row],[Producto]]=""),"",tblProductos[[#This Row],[SKU]]&amp;" · "&amp;tblProductos[[#This Row],[Producto]]&amp;IF(tblProductos[[#This Row],[Activo]]="NO","  (inactivo)",""))</f>
        <v/>
      </c>
      <c r="M105" s="40" t="str">
        <f>IF(tblProductos[[#This Row],[SKU]]="","",COUNTIF(tblEntradas[SKU],tblProductos[[#This Row],[SKU]])+COUNTIF(tblSalidas[SKU],tblProductos[[#This Row],[SKU]]))</f>
        <v/>
      </c>
      <c r="N10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6" spans="2:14" x14ac:dyDescent="0.25">
      <c r="B106" s="38"/>
      <c r="C106" s="38"/>
      <c r="D106" s="38"/>
      <c r="E106" s="39"/>
      <c r="F106" s="45"/>
      <c r="G106" s="45"/>
      <c r="H106" s="46"/>
      <c r="I106" s="38"/>
      <c r="J106" s="39"/>
      <c r="K106" s="39"/>
      <c r="L106" s="47" t="str">
        <f>IF(OR(tblProductos[[#This Row],[SKU]]="",tblProductos[[#This Row],[Producto]]=""),"",tblProductos[[#This Row],[SKU]]&amp;" · "&amp;tblProductos[[#This Row],[Producto]]&amp;IF(tblProductos[[#This Row],[Activo]]="NO","  (inactivo)",""))</f>
        <v/>
      </c>
      <c r="M106" s="40" t="str">
        <f>IF(tblProductos[[#This Row],[SKU]]="","",COUNTIF(tblEntradas[SKU],tblProductos[[#This Row],[SKU]])+COUNTIF(tblSalidas[SKU],tblProductos[[#This Row],[SKU]]))</f>
        <v/>
      </c>
      <c r="N10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7" spans="2:14" x14ac:dyDescent="0.25">
      <c r="B107" s="38"/>
      <c r="C107" s="38"/>
      <c r="D107" s="38"/>
      <c r="E107" s="39"/>
      <c r="F107" s="45"/>
      <c r="G107" s="45"/>
      <c r="H107" s="46"/>
      <c r="I107" s="38"/>
      <c r="J107" s="39"/>
      <c r="K107" s="39"/>
      <c r="L107" s="47" t="str">
        <f>IF(OR(tblProductos[[#This Row],[SKU]]="",tblProductos[[#This Row],[Producto]]=""),"",tblProductos[[#This Row],[SKU]]&amp;" · "&amp;tblProductos[[#This Row],[Producto]]&amp;IF(tblProductos[[#This Row],[Activo]]="NO","  (inactivo)",""))</f>
        <v/>
      </c>
      <c r="M107" s="40" t="str">
        <f>IF(tblProductos[[#This Row],[SKU]]="","",COUNTIF(tblEntradas[SKU],tblProductos[[#This Row],[SKU]])+COUNTIF(tblSalidas[SKU],tblProductos[[#This Row],[SKU]]))</f>
        <v/>
      </c>
      <c r="N10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8" spans="2:14" x14ac:dyDescent="0.25">
      <c r="B108" s="38"/>
      <c r="C108" s="38"/>
      <c r="D108" s="38"/>
      <c r="E108" s="39"/>
      <c r="F108" s="45"/>
      <c r="G108" s="45"/>
      <c r="H108" s="46"/>
      <c r="I108" s="38"/>
      <c r="J108" s="39"/>
      <c r="K108" s="39"/>
      <c r="L108" s="47" t="str">
        <f>IF(OR(tblProductos[[#This Row],[SKU]]="",tblProductos[[#This Row],[Producto]]=""),"",tblProductos[[#This Row],[SKU]]&amp;" · "&amp;tblProductos[[#This Row],[Producto]]&amp;IF(tblProductos[[#This Row],[Activo]]="NO","  (inactivo)",""))</f>
        <v/>
      </c>
      <c r="M108" s="40" t="str">
        <f>IF(tblProductos[[#This Row],[SKU]]="","",COUNTIF(tblEntradas[SKU],tblProductos[[#This Row],[SKU]])+COUNTIF(tblSalidas[SKU],tblProductos[[#This Row],[SKU]]))</f>
        <v/>
      </c>
      <c r="N10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9" spans="2:14" x14ac:dyDescent="0.25">
      <c r="B109" s="38"/>
      <c r="C109" s="38"/>
      <c r="D109" s="38"/>
      <c r="E109" s="39"/>
      <c r="F109" s="45"/>
      <c r="G109" s="45"/>
      <c r="H109" s="46"/>
      <c r="I109" s="38"/>
      <c r="J109" s="39"/>
      <c r="K109" s="39"/>
      <c r="L109" s="47" t="str">
        <f>IF(OR(tblProductos[[#This Row],[SKU]]="",tblProductos[[#This Row],[Producto]]=""),"",tblProductos[[#This Row],[SKU]]&amp;" · "&amp;tblProductos[[#This Row],[Producto]]&amp;IF(tblProductos[[#This Row],[Activo]]="NO","  (inactivo)",""))</f>
        <v/>
      </c>
      <c r="M109" s="40" t="str">
        <f>IF(tblProductos[[#This Row],[SKU]]="","",COUNTIF(tblEntradas[SKU],tblProductos[[#This Row],[SKU]])+COUNTIF(tblSalidas[SKU],tblProductos[[#This Row],[SKU]]))</f>
        <v/>
      </c>
      <c r="N10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0" spans="2:14" x14ac:dyDescent="0.25">
      <c r="B110" s="38"/>
      <c r="C110" s="38"/>
      <c r="D110" s="38"/>
      <c r="E110" s="39"/>
      <c r="F110" s="45"/>
      <c r="G110" s="45"/>
      <c r="H110" s="46"/>
      <c r="I110" s="38"/>
      <c r="J110" s="39"/>
      <c r="K110" s="39"/>
      <c r="L110" s="47" t="str">
        <f>IF(OR(tblProductos[[#This Row],[SKU]]="",tblProductos[[#This Row],[Producto]]=""),"",tblProductos[[#This Row],[SKU]]&amp;" · "&amp;tblProductos[[#This Row],[Producto]]&amp;IF(tblProductos[[#This Row],[Activo]]="NO","  (inactivo)",""))</f>
        <v/>
      </c>
      <c r="M110" s="40" t="str">
        <f>IF(tblProductos[[#This Row],[SKU]]="","",COUNTIF(tblEntradas[SKU],tblProductos[[#This Row],[SKU]])+COUNTIF(tblSalidas[SKU],tblProductos[[#This Row],[SKU]]))</f>
        <v/>
      </c>
      <c r="N11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1" spans="2:14" x14ac:dyDescent="0.25">
      <c r="B111" s="38"/>
      <c r="C111" s="38"/>
      <c r="D111" s="38"/>
      <c r="E111" s="39"/>
      <c r="F111" s="45"/>
      <c r="G111" s="45"/>
      <c r="H111" s="46"/>
      <c r="I111" s="38"/>
      <c r="J111" s="39"/>
      <c r="K111" s="39"/>
      <c r="L111" s="47" t="str">
        <f>IF(OR(tblProductos[[#This Row],[SKU]]="",tblProductos[[#This Row],[Producto]]=""),"",tblProductos[[#This Row],[SKU]]&amp;" · "&amp;tblProductos[[#This Row],[Producto]]&amp;IF(tblProductos[[#This Row],[Activo]]="NO","  (inactivo)",""))</f>
        <v/>
      </c>
      <c r="M111" s="40" t="str">
        <f>IF(tblProductos[[#This Row],[SKU]]="","",COUNTIF(tblEntradas[SKU],tblProductos[[#This Row],[SKU]])+COUNTIF(tblSalidas[SKU],tblProductos[[#This Row],[SKU]]))</f>
        <v/>
      </c>
      <c r="N11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2" spans="2:14" x14ac:dyDescent="0.25">
      <c r="B112" s="38"/>
      <c r="C112" s="38"/>
      <c r="D112" s="38"/>
      <c r="E112" s="39"/>
      <c r="F112" s="45"/>
      <c r="G112" s="45"/>
      <c r="H112" s="46"/>
      <c r="I112" s="38"/>
      <c r="J112" s="39"/>
      <c r="K112" s="39"/>
      <c r="L112" s="47" t="str">
        <f>IF(OR(tblProductos[[#This Row],[SKU]]="",tblProductos[[#This Row],[Producto]]=""),"",tblProductos[[#This Row],[SKU]]&amp;" · "&amp;tblProductos[[#This Row],[Producto]]&amp;IF(tblProductos[[#This Row],[Activo]]="NO","  (inactivo)",""))</f>
        <v/>
      </c>
      <c r="M112" s="40" t="str">
        <f>IF(tblProductos[[#This Row],[SKU]]="","",COUNTIF(tblEntradas[SKU],tblProductos[[#This Row],[SKU]])+COUNTIF(tblSalidas[SKU],tblProductos[[#This Row],[SKU]]))</f>
        <v/>
      </c>
      <c r="N11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3" spans="2:14" x14ac:dyDescent="0.25">
      <c r="B113" s="38"/>
      <c r="C113" s="38"/>
      <c r="D113" s="38"/>
      <c r="E113" s="39"/>
      <c r="F113" s="45"/>
      <c r="G113" s="45"/>
      <c r="H113" s="46"/>
      <c r="I113" s="38"/>
      <c r="J113" s="39"/>
      <c r="K113" s="39"/>
      <c r="L113" s="47" t="str">
        <f>IF(OR(tblProductos[[#This Row],[SKU]]="",tblProductos[[#This Row],[Producto]]=""),"",tblProductos[[#This Row],[SKU]]&amp;" · "&amp;tblProductos[[#This Row],[Producto]]&amp;IF(tblProductos[[#This Row],[Activo]]="NO","  (inactivo)",""))</f>
        <v/>
      </c>
      <c r="M113" s="40" t="str">
        <f>IF(tblProductos[[#This Row],[SKU]]="","",COUNTIF(tblEntradas[SKU],tblProductos[[#This Row],[SKU]])+COUNTIF(tblSalidas[SKU],tblProductos[[#This Row],[SKU]]))</f>
        <v/>
      </c>
      <c r="N11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4" spans="2:14" x14ac:dyDescent="0.25">
      <c r="B114" s="38"/>
      <c r="C114" s="38"/>
      <c r="D114" s="38"/>
      <c r="E114" s="39"/>
      <c r="F114" s="45"/>
      <c r="G114" s="45"/>
      <c r="H114" s="46"/>
      <c r="I114" s="38"/>
      <c r="J114" s="39"/>
      <c r="K114" s="39"/>
      <c r="L114" s="47" t="str">
        <f>IF(OR(tblProductos[[#This Row],[SKU]]="",tblProductos[[#This Row],[Producto]]=""),"",tblProductos[[#This Row],[SKU]]&amp;" · "&amp;tblProductos[[#This Row],[Producto]]&amp;IF(tblProductos[[#This Row],[Activo]]="NO","  (inactivo)",""))</f>
        <v/>
      </c>
      <c r="M114" s="40" t="str">
        <f>IF(tblProductos[[#This Row],[SKU]]="","",COUNTIF(tblEntradas[SKU],tblProductos[[#This Row],[SKU]])+COUNTIF(tblSalidas[SKU],tblProductos[[#This Row],[SKU]]))</f>
        <v/>
      </c>
      <c r="N11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5" spans="2:14" x14ac:dyDescent="0.25">
      <c r="B115" s="38"/>
      <c r="C115" s="38"/>
      <c r="D115" s="38"/>
      <c r="E115" s="39"/>
      <c r="F115" s="45"/>
      <c r="G115" s="45"/>
      <c r="H115" s="46"/>
      <c r="I115" s="38"/>
      <c r="J115" s="39"/>
      <c r="K115" s="39"/>
      <c r="L115" s="47" t="str">
        <f>IF(OR(tblProductos[[#This Row],[SKU]]="",tblProductos[[#This Row],[Producto]]=""),"",tblProductos[[#This Row],[SKU]]&amp;" · "&amp;tblProductos[[#This Row],[Producto]]&amp;IF(tblProductos[[#This Row],[Activo]]="NO","  (inactivo)",""))</f>
        <v/>
      </c>
      <c r="M115" s="40" t="str">
        <f>IF(tblProductos[[#This Row],[SKU]]="","",COUNTIF(tblEntradas[SKU],tblProductos[[#This Row],[SKU]])+COUNTIF(tblSalidas[SKU],tblProductos[[#This Row],[SKU]]))</f>
        <v/>
      </c>
      <c r="N11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6" spans="2:14" x14ac:dyDescent="0.25">
      <c r="B116" s="38"/>
      <c r="C116" s="38"/>
      <c r="D116" s="38"/>
      <c r="E116" s="39"/>
      <c r="F116" s="45"/>
      <c r="G116" s="45"/>
      <c r="H116" s="46"/>
      <c r="I116" s="38"/>
      <c r="J116" s="39"/>
      <c r="K116" s="39"/>
      <c r="L116" s="47" t="str">
        <f>IF(OR(tblProductos[[#This Row],[SKU]]="",tblProductos[[#This Row],[Producto]]=""),"",tblProductos[[#This Row],[SKU]]&amp;" · "&amp;tblProductos[[#This Row],[Producto]]&amp;IF(tblProductos[[#This Row],[Activo]]="NO","  (inactivo)",""))</f>
        <v/>
      </c>
      <c r="M116" s="40" t="str">
        <f>IF(tblProductos[[#This Row],[SKU]]="","",COUNTIF(tblEntradas[SKU],tblProductos[[#This Row],[SKU]])+COUNTIF(tblSalidas[SKU],tblProductos[[#This Row],[SKU]]))</f>
        <v/>
      </c>
      <c r="N11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7" spans="2:14" x14ac:dyDescent="0.25">
      <c r="B117" s="38"/>
      <c r="C117" s="38"/>
      <c r="D117" s="38"/>
      <c r="E117" s="39"/>
      <c r="F117" s="45"/>
      <c r="G117" s="45"/>
      <c r="H117" s="46"/>
      <c r="I117" s="38"/>
      <c r="J117" s="39"/>
      <c r="K117" s="39"/>
      <c r="L117" s="47" t="str">
        <f>IF(OR(tblProductos[[#This Row],[SKU]]="",tblProductos[[#This Row],[Producto]]=""),"",tblProductos[[#This Row],[SKU]]&amp;" · "&amp;tblProductos[[#This Row],[Producto]]&amp;IF(tblProductos[[#This Row],[Activo]]="NO","  (inactivo)",""))</f>
        <v/>
      </c>
      <c r="M117" s="40" t="str">
        <f>IF(tblProductos[[#This Row],[SKU]]="","",COUNTIF(tblEntradas[SKU],tblProductos[[#This Row],[SKU]])+COUNTIF(tblSalidas[SKU],tblProductos[[#This Row],[SKU]]))</f>
        <v/>
      </c>
      <c r="N11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8" spans="2:14" x14ac:dyDescent="0.25">
      <c r="B118" s="38"/>
      <c r="C118" s="38"/>
      <c r="D118" s="38"/>
      <c r="E118" s="39"/>
      <c r="F118" s="45"/>
      <c r="G118" s="45"/>
      <c r="H118" s="46"/>
      <c r="I118" s="38"/>
      <c r="J118" s="39"/>
      <c r="K118" s="39"/>
      <c r="L118" s="47" t="str">
        <f>IF(OR(tblProductos[[#This Row],[SKU]]="",tblProductos[[#This Row],[Producto]]=""),"",tblProductos[[#This Row],[SKU]]&amp;" · "&amp;tblProductos[[#This Row],[Producto]]&amp;IF(tblProductos[[#This Row],[Activo]]="NO","  (inactivo)",""))</f>
        <v/>
      </c>
      <c r="M118" s="40" t="str">
        <f>IF(tblProductos[[#This Row],[SKU]]="","",COUNTIF(tblEntradas[SKU],tblProductos[[#This Row],[SKU]])+COUNTIF(tblSalidas[SKU],tblProductos[[#This Row],[SKU]]))</f>
        <v/>
      </c>
      <c r="N11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9" spans="2:14" x14ac:dyDescent="0.25">
      <c r="B119" s="38"/>
      <c r="C119" s="38"/>
      <c r="D119" s="38"/>
      <c r="E119" s="39"/>
      <c r="F119" s="45"/>
      <c r="G119" s="45"/>
      <c r="H119" s="46"/>
      <c r="I119" s="38"/>
      <c r="J119" s="39"/>
      <c r="K119" s="39"/>
      <c r="L119" s="47" t="str">
        <f>IF(OR(tblProductos[[#This Row],[SKU]]="",tblProductos[[#This Row],[Producto]]=""),"",tblProductos[[#This Row],[SKU]]&amp;" · "&amp;tblProductos[[#This Row],[Producto]]&amp;IF(tblProductos[[#This Row],[Activo]]="NO","  (inactivo)",""))</f>
        <v/>
      </c>
      <c r="M119" s="40" t="str">
        <f>IF(tblProductos[[#This Row],[SKU]]="","",COUNTIF(tblEntradas[SKU],tblProductos[[#This Row],[SKU]])+COUNTIF(tblSalidas[SKU],tblProductos[[#This Row],[SKU]]))</f>
        <v/>
      </c>
      <c r="N11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0" spans="2:14" x14ac:dyDescent="0.25">
      <c r="B120" s="38"/>
      <c r="C120" s="38"/>
      <c r="D120" s="38"/>
      <c r="E120" s="39"/>
      <c r="F120" s="45"/>
      <c r="G120" s="45"/>
      <c r="H120" s="46"/>
      <c r="I120" s="38"/>
      <c r="J120" s="39"/>
      <c r="K120" s="39"/>
      <c r="L120" s="47" t="str">
        <f>IF(OR(tblProductos[[#This Row],[SKU]]="",tblProductos[[#This Row],[Producto]]=""),"",tblProductos[[#This Row],[SKU]]&amp;" · "&amp;tblProductos[[#This Row],[Producto]]&amp;IF(tblProductos[[#This Row],[Activo]]="NO","  (inactivo)",""))</f>
        <v/>
      </c>
      <c r="M120" s="40" t="str">
        <f>IF(tblProductos[[#This Row],[SKU]]="","",COUNTIF(tblEntradas[SKU],tblProductos[[#This Row],[SKU]])+COUNTIF(tblSalidas[SKU],tblProductos[[#This Row],[SKU]]))</f>
        <v/>
      </c>
      <c r="N12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1" spans="2:14" x14ac:dyDescent="0.25">
      <c r="B121" s="38"/>
      <c r="C121" s="38"/>
      <c r="D121" s="38"/>
      <c r="E121" s="39"/>
      <c r="F121" s="45"/>
      <c r="G121" s="45"/>
      <c r="H121" s="46"/>
      <c r="I121" s="38"/>
      <c r="J121" s="39"/>
      <c r="K121" s="39"/>
      <c r="L121" s="47" t="str">
        <f>IF(OR(tblProductos[[#This Row],[SKU]]="",tblProductos[[#This Row],[Producto]]=""),"",tblProductos[[#This Row],[SKU]]&amp;" · "&amp;tblProductos[[#This Row],[Producto]]&amp;IF(tblProductos[[#This Row],[Activo]]="NO","  (inactivo)",""))</f>
        <v/>
      </c>
      <c r="M121" s="40" t="str">
        <f>IF(tblProductos[[#This Row],[SKU]]="","",COUNTIF(tblEntradas[SKU],tblProductos[[#This Row],[SKU]])+COUNTIF(tblSalidas[SKU],tblProductos[[#This Row],[SKU]]))</f>
        <v/>
      </c>
      <c r="N12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2" spans="2:14" x14ac:dyDescent="0.25">
      <c r="B122" s="38"/>
      <c r="C122" s="38"/>
      <c r="D122" s="38"/>
      <c r="E122" s="39"/>
      <c r="F122" s="45"/>
      <c r="G122" s="45"/>
      <c r="H122" s="46"/>
      <c r="I122" s="38"/>
      <c r="J122" s="39"/>
      <c r="K122" s="39"/>
      <c r="L122" s="47" t="str">
        <f>IF(OR(tblProductos[[#This Row],[SKU]]="",tblProductos[[#This Row],[Producto]]=""),"",tblProductos[[#This Row],[SKU]]&amp;" · "&amp;tblProductos[[#This Row],[Producto]]&amp;IF(tblProductos[[#This Row],[Activo]]="NO","  (inactivo)",""))</f>
        <v/>
      </c>
      <c r="M122" s="40" t="str">
        <f>IF(tblProductos[[#This Row],[SKU]]="","",COUNTIF(tblEntradas[SKU],tblProductos[[#This Row],[SKU]])+COUNTIF(tblSalidas[SKU],tblProductos[[#This Row],[SKU]]))</f>
        <v/>
      </c>
      <c r="N12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3" spans="2:14" x14ac:dyDescent="0.25">
      <c r="B123" s="38"/>
      <c r="C123" s="38"/>
      <c r="D123" s="38"/>
      <c r="E123" s="39"/>
      <c r="F123" s="45"/>
      <c r="G123" s="45"/>
      <c r="H123" s="46"/>
      <c r="I123" s="38"/>
      <c r="J123" s="39"/>
      <c r="K123" s="39"/>
      <c r="L123" s="47" t="str">
        <f>IF(OR(tblProductos[[#This Row],[SKU]]="",tblProductos[[#This Row],[Producto]]=""),"",tblProductos[[#This Row],[SKU]]&amp;" · "&amp;tblProductos[[#This Row],[Producto]]&amp;IF(tblProductos[[#This Row],[Activo]]="NO","  (inactivo)",""))</f>
        <v/>
      </c>
      <c r="M123" s="40" t="str">
        <f>IF(tblProductos[[#This Row],[SKU]]="","",COUNTIF(tblEntradas[SKU],tblProductos[[#This Row],[SKU]])+COUNTIF(tblSalidas[SKU],tblProductos[[#This Row],[SKU]]))</f>
        <v/>
      </c>
      <c r="N12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4" spans="2:14" x14ac:dyDescent="0.25">
      <c r="B124" s="38"/>
      <c r="C124" s="38"/>
      <c r="D124" s="38"/>
      <c r="E124" s="39"/>
      <c r="F124" s="45"/>
      <c r="G124" s="45"/>
      <c r="H124" s="46"/>
      <c r="I124" s="38"/>
      <c r="J124" s="39"/>
      <c r="K124" s="39"/>
      <c r="L124" s="47" t="str">
        <f>IF(OR(tblProductos[[#This Row],[SKU]]="",tblProductos[[#This Row],[Producto]]=""),"",tblProductos[[#This Row],[SKU]]&amp;" · "&amp;tblProductos[[#This Row],[Producto]]&amp;IF(tblProductos[[#This Row],[Activo]]="NO","  (inactivo)",""))</f>
        <v/>
      </c>
      <c r="M124" s="40" t="str">
        <f>IF(tblProductos[[#This Row],[SKU]]="","",COUNTIF(tblEntradas[SKU],tblProductos[[#This Row],[SKU]])+COUNTIF(tblSalidas[SKU],tblProductos[[#This Row],[SKU]]))</f>
        <v/>
      </c>
      <c r="N12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5" spans="2:14" x14ac:dyDescent="0.25">
      <c r="B125" s="38"/>
      <c r="C125" s="38"/>
      <c r="D125" s="38"/>
      <c r="E125" s="39"/>
      <c r="F125" s="45"/>
      <c r="G125" s="45"/>
      <c r="H125" s="46"/>
      <c r="I125" s="38"/>
      <c r="J125" s="39"/>
      <c r="K125" s="39"/>
      <c r="L125" s="47" t="str">
        <f>IF(OR(tblProductos[[#This Row],[SKU]]="",tblProductos[[#This Row],[Producto]]=""),"",tblProductos[[#This Row],[SKU]]&amp;" · "&amp;tblProductos[[#This Row],[Producto]]&amp;IF(tblProductos[[#This Row],[Activo]]="NO","  (inactivo)",""))</f>
        <v/>
      </c>
      <c r="M125" s="40" t="str">
        <f>IF(tblProductos[[#This Row],[SKU]]="","",COUNTIF(tblEntradas[SKU],tblProductos[[#This Row],[SKU]])+COUNTIF(tblSalidas[SKU],tblProductos[[#This Row],[SKU]]))</f>
        <v/>
      </c>
      <c r="N12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6" spans="2:14" x14ac:dyDescent="0.25">
      <c r="B126" s="38"/>
      <c r="C126" s="38"/>
      <c r="D126" s="38"/>
      <c r="E126" s="39"/>
      <c r="F126" s="45"/>
      <c r="G126" s="45"/>
      <c r="H126" s="46"/>
      <c r="I126" s="38"/>
      <c r="J126" s="39"/>
      <c r="K126" s="39"/>
      <c r="L126" s="47" t="str">
        <f>IF(OR(tblProductos[[#This Row],[SKU]]="",tblProductos[[#This Row],[Producto]]=""),"",tblProductos[[#This Row],[SKU]]&amp;" · "&amp;tblProductos[[#This Row],[Producto]]&amp;IF(tblProductos[[#This Row],[Activo]]="NO","  (inactivo)",""))</f>
        <v/>
      </c>
      <c r="M126" s="40" t="str">
        <f>IF(tblProductos[[#This Row],[SKU]]="","",COUNTIF(tblEntradas[SKU],tblProductos[[#This Row],[SKU]])+COUNTIF(tblSalidas[SKU],tblProductos[[#This Row],[SKU]]))</f>
        <v/>
      </c>
      <c r="N12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7" spans="2:14" x14ac:dyDescent="0.25">
      <c r="B127" s="38"/>
      <c r="C127" s="38"/>
      <c r="D127" s="38"/>
      <c r="E127" s="39"/>
      <c r="F127" s="45"/>
      <c r="G127" s="45"/>
      <c r="H127" s="46"/>
      <c r="I127" s="38"/>
      <c r="J127" s="39"/>
      <c r="K127" s="39"/>
      <c r="L127" s="47" t="str">
        <f>IF(OR(tblProductos[[#This Row],[SKU]]="",tblProductos[[#This Row],[Producto]]=""),"",tblProductos[[#This Row],[SKU]]&amp;" · "&amp;tblProductos[[#This Row],[Producto]]&amp;IF(tblProductos[[#This Row],[Activo]]="NO","  (inactivo)",""))</f>
        <v/>
      </c>
      <c r="M127" s="40" t="str">
        <f>IF(tblProductos[[#This Row],[SKU]]="","",COUNTIF(tblEntradas[SKU],tblProductos[[#This Row],[SKU]])+COUNTIF(tblSalidas[SKU],tblProductos[[#This Row],[SKU]]))</f>
        <v/>
      </c>
      <c r="N12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8" spans="2:14" x14ac:dyDescent="0.25">
      <c r="B128" s="38"/>
      <c r="C128" s="38"/>
      <c r="D128" s="38"/>
      <c r="E128" s="39"/>
      <c r="F128" s="45"/>
      <c r="G128" s="45"/>
      <c r="H128" s="46"/>
      <c r="I128" s="38"/>
      <c r="J128" s="39"/>
      <c r="K128" s="39"/>
      <c r="L128" s="47" t="str">
        <f>IF(OR(tblProductos[[#This Row],[SKU]]="",tblProductos[[#This Row],[Producto]]=""),"",tblProductos[[#This Row],[SKU]]&amp;" · "&amp;tblProductos[[#This Row],[Producto]]&amp;IF(tblProductos[[#This Row],[Activo]]="NO","  (inactivo)",""))</f>
        <v/>
      </c>
      <c r="M128" s="40" t="str">
        <f>IF(tblProductos[[#This Row],[SKU]]="","",COUNTIF(tblEntradas[SKU],tblProductos[[#This Row],[SKU]])+COUNTIF(tblSalidas[SKU],tblProductos[[#This Row],[SKU]]))</f>
        <v/>
      </c>
      <c r="N12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9" spans="2:14" x14ac:dyDescent="0.25">
      <c r="B129" s="38"/>
      <c r="C129" s="38"/>
      <c r="D129" s="38"/>
      <c r="E129" s="39"/>
      <c r="F129" s="45"/>
      <c r="G129" s="45"/>
      <c r="H129" s="46"/>
      <c r="I129" s="38"/>
      <c r="J129" s="39"/>
      <c r="K129" s="39"/>
      <c r="L129" s="47" t="str">
        <f>IF(OR(tblProductos[[#This Row],[SKU]]="",tblProductos[[#This Row],[Producto]]=""),"",tblProductos[[#This Row],[SKU]]&amp;" · "&amp;tblProductos[[#This Row],[Producto]]&amp;IF(tblProductos[[#This Row],[Activo]]="NO","  (inactivo)",""))</f>
        <v/>
      </c>
      <c r="M129" s="40" t="str">
        <f>IF(tblProductos[[#This Row],[SKU]]="","",COUNTIF(tblEntradas[SKU],tblProductos[[#This Row],[SKU]])+COUNTIF(tblSalidas[SKU],tblProductos[[#This Row],[SKU]]))</f>
        <v/>
      </c>
      <c r="N12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0" spans="2:14" x14ac:dyDescent="0.25">
      <c r="B130" s="38"/>
      <c r="C130" s="38"/>
      <c r="D130" s="38"/>
      <c r="E130" s="39"/>
      <c r="F130" s="45"/>
      <c r="G130" s="45"/>
      <c r="H130" s="46"/>
      <c r="I130" s="38"/>
      <c r="J130" s="39"/>
      <c r="K130" s="39"/>
      <c r="L130" s="47" t="str">
        <f>IF(OR(tblProductos[[#This Row],[SKU]]="",tblProductos[[#This Row],[Producto]]=""),"",tblProductos[[#This Row],[SKU]]&amp;" · "&amp;tblProductos[[#This Row],[Producto]]&amp;IF(tblProductos[[#This Row],[Activo]]="NO","  (inactivo)",""))</f>
        <v/>
      </c>
      <c r="M130" s="40" t="str">
        <f>IF(tblProductos[[#This Row],[SKU]]="","",COUNTIF(tblEntradas[SKU],tblProductos[[#This Row],[SKU]])+COUNTIF(tblSalidas[SKU],tblProductos[[#This Row],[SKU]]))</f>
        <v/>
      </c>
      <c r="N13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1" spans="2:14" x14ac:dyDescent="0.25">
      <c r="B131" s="38"/>
      <c r="C131" s="38"/>
      <c r="D131" s="38"/>
      <c r="E131" s="39"/>
      <c r="F131" s="45"/>
      <c r="G131" s="45"/>
      <c r="H131" s="46"/>
      <c r="I131" s="38"/>
      <c r="J131" s="39"/>
      <c r="K131" s="39"/>
      <c r="L131" s="47" t="str">
        <f>IF(OR(tblProductos[[#This Row],[SKU]]="",tblProductos[[#This Row],[Producto]]=""),"",tblProductos[[#This Row],[SKU]]&amp;" · "&amp;tblProductos[[#This Row],[Producto]]&amp;IF(tblProductos[[#This Row],[Activo]]="NO","  (inactivo)",""))</f>
        <v/>
      </c>
      <c r="M131" s="40" t="str">
        <f>IF(tblProductos[[#This Row],[SKU]]="","",COUNTIF(tblEntradas[SKU],tblProductos[[#This Row],[SKU]])+COUNTIF(tblSalidas[SKU],tblProductos[[#This Row],[SKU]]))</f>
        <v/>
      </c>
      <c r="N13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2" spans="2:14" x14ac:dyDescent="0.25">
      <c r="B132" s="38"/>
      <c r="C132" s="38"/>
      <c r="D132" s="38"/>
      <c r="E132" s="39"/>
      <c r="F132" s="45"/>
      <c r="G132" s="45"/>
      <c r="H132" s="46"/>
      <c r="I132" s="38"/>
      <c r="J132" s="39"/>
      <c r="K132" s="39"/>
      <c r="L132" s="47" t="str">
        <f>IF(OR(tblProductos[[#This Row],[SKU]]="",tblProductos[[#This Row],[Producto]]=""),"",tblProductos[[#This Row],[SKU]]&amp;" · "&amp;tblProductos[[#This Row],[Producto]]&amp;IF(tblProductos[[#This Row],[Activo]]="NO","  (inactivo)",""))</f>
        <v/>
      </c>
      <c r="M132" s="40" t="str">
        <f>IF(tblProductos[[#This Row],[SKU]]="","",COUNTIF(tblEntradas[SKU],tblProductos[[#This Row],[SKU]])+COUNTIF(tblSalidas[SKU],tblProductos[[#This Row],[SKU]]))</f>
        <v/>
      </c>
      <c r="N13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3" spans="2:14" x14ac:dyDescent="0.25">
      <c r="B133" s="38"/>
      <c r="C133" s="38"/>
      <c r="D133" s="38"/>
      <c r="E133" s="39"/>
      <c r="F133" s="45"/>
      <c r="G133" s="45"/>
      <c r="H133" s="46"/>
      <c r="I133" s="38"/>
      <c r="J133" s="39"/>
      <c r="K133" s="39"/>
      <c r="L133" s="47" t="str">
        <f>IF(OR(tblProductos[[#This Row],[SKU]]="",tblProductos[[#This Row],[Producto]]=""),"",tblProductos[[#This Row],[SKU]]&amp;" · "&amp;tblProductos[[#This Row],[Producto]]&amp;IF(tblProductos[[#This Row],[Activo]]="NO","  (inactivo)",""))</f>
        <v/>
      </c>
      <c r="M133" s="40" t="str">
        <f>IF(tblProductos[[#This Row],[SKU]]="","",COUNTIF(tblEntradas[SKU],tblProductos[[#This Row],[SKU]])+COUNTIF(tblSalidas[SKU],tblProductos[[#This Row],[SKU]]))</f>
        <v/>
      </c>
      <c r="N13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4" spans="2:14" x14ac:dyDescent="0.25">
      <c r="B134" s="38"/>
      <c r="C134" s="38"/>
      <c r="D134" s="38"/>
      <c r="E134" s="39"/>
      <c r="F134" s="45"/>
      <c r="G134" s="45"/>
      <c r="H134" s="46"/>
      <c r="I134" s="38"/>
      <c r="J134" s="39"/>
      <c r="K134" s="39"/>
      <c r="L134" s="47" t="str">
        <f>IF(OR(tblProductos[[#This Row],[SKU]]="",tblProductos[[#This Row],[Producto]]=""),"",tblProductos[[#This Row],[SKU]]&amp;" · "&amp;tblProductos[[#This Row],[Producto]]&amp;IF(tblProductos[[#This Row],[Activo]]="NO","  (inactivo)",""))</f>
        <v/>
      </c>
      <c r="M134" s="40" t="str">
        <f>IF(tblProductos[[#This Row],[SKU]]="","",COUNTIF(tblEntradas[SKU],tblProductos[[#This Row],[SKU]])+COUNTIF(tblSalidas[SKU],tblProductos[[#This Row],[SKU]]))</f>
        <v/>
      </c>
      <c r="N13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5" spans="2:14" x14ac:dyDescent="0.25">
      <c r="B135" s="38"/>
      <c r="C135" s="38"/>
      <c r="D135" s="38"/>
      <c r="E135" s="39"/>
      <c r="F135" s="45"/>
      <c r="G135" s="45"/>
      <c r="H135" s="46"/>
      <c r="I135" s="38"/>
      <c r="J135" s="39"/>
      <c r="K135" s="39"/>
      <c r="L135" s="47" t="str">
        <f>IF(OR(tblProductos[[#This Row],[SKU]]="",tblProductos[[#This Row],[Producto]]=""),"",tblProductos[[#This Row],[SKU]]&amp;" · "&amp;tblProductos[[#This Row],[Producto]]&amp;IF(tblProductos[[#This Row],[Activo]]="NO","  (inactivo)",""))</f>
        <v/>
      </c>
      <c r="M135" s="40" t="str">
        <f>IF(tblProductos[[#This Row],[SKU]]="","",COUNTIF(tblEntradas[SKU],tblProductos[[#This Row],[SKU]])+COUNTIF(tblSalidas[SKU],tblProductos[[#This Row],[SKU]]))</f>
        <v/>
      </c>
      <c r="N13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6" spans="2:14" x14ac:dyDescent="0.25">
      <c r="B136" s="38"/>
      <c r="C136" s="38"/>
      <c r="D136" s="38"/>
      <c r="E136" s="39"/>
      <c r="F136" s="45"/>
      <c r="G136" s="45"/>
      <c r="H136" s="46"/>
      <c r="I136" s="38"/>
      <c r="J136" s="39"/>
      <c r="K136" s="39"/>
      <c r="L136" s="47" t="str">
        <f>IF(OR(tblProductos[[#This Row],[SKU]]="",tblProductos[[#This Row],[Producto]]=""),"",tblProductos[[#This Row],[SKU]]&amp;" · "&amp;tblProductos[[#This Row],[Producto]]&amp;IF(tblProductos[[#This Row],[Activo]]="NO","  (inactivo)",""))</f>
        <v/>
      </c>
      <c r="M136" s="40" t="str">
        <f>IF(tblProductos[[#This Row],[SKU]]="","",COUNTIF(tblEntradas[SKU],tblProductos[[#This Row],[SKU]])+COUNTIF(tblSalidas[SKU],tblProductos[[#This Row],[SKU]]))</f>
        <v/>
      </c>
      <c r="N13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7" spans="2:14" x14ac:dyDescent="0.25">
      <c r="B137" s="38"/>
      <c r="C137" s="38"/>
      <c r="D137" s="38"/>
      <c r="E137" s="39"/>
      <c r="F137" s="45"/>
      <c r="G137" s="45"/>
      <c r="H137" s="46"/>
      <c r="I137" s="38"/>
      <c r="J137" s="39"/>
      <c r="K137" s="39"/>
      <c r="L137" s="47" t="str">
        <f>IF(OR(tblProductos[[#This Row],[SKU]]="",tblProductos[[#This Row],[Producto]]=""),"",tblProductos[[#This Row],[SKU]]&amp;" · "&amp;tblProductos[[#This Row],[Producto]]&amp;IF(tblProductos[[#This Row],[Activo]]="NO","  (inactivo)",""))</f>
        <v/>
      </c>
      <c r="M137" s="40" t="str">
        <f>IF(tblProductos[[#This Row],[SKU]]="","",COUNTIF(tblEntradas[SKU],tblProductos[[#This Row],[SKU]])+COUNTIF(tblSalidas[SKU],tblProductos[[#This Row],[SKU]]))</f>
        <v/>
      </c>
      <c r="N13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8" spans="2:14" x14ac:dyDescent="0.25">
      <c r="B138" s="38"/>
      <c r="C138" s="38"/>
      <c r="D138" s="38"/>
      <c r="E138" s="39"/>
      <c r="F138" s="45"/>
      <c r="G138" s="45"/>
      <c r="H138" s="46"/>
      <c r="I138" s="38"/>
      <c r="J138" s="39"/>
      <c r="K138" s="39"/>
      <c r="L138" s="47" t="str">
        <f>IF(OR(tblProductos[[#This Row],[SKU]]="",tblProductos[[#This Row],[Producto]]=""),"",tblProductos[[#This Row],[SKU]]&amp;" · "&amp;tblProductos[[#This Row],[Producto]]&amp;IF(tblProductos[[#This Row],[Activo]]="NO","  (inactivo)",""))</f>
        <v/>
      </c>
      <c r="M138" s="40" t="str">
        <f>IF(tblProductos[[#This Row],[SKU]]="","",COUNTIF(tblEntradas[SKU],tblProductos[[#This Row],[SKU]])+COUNTIF(tblSalidas[SKU],tblProductos[[#This Row],[SKU]]))</f>
        <v/>
      </c>
      <c r="N13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9" spans="2:14" x14ac:dyDescent="0.25">
      <c r="B139" s="38"/>
      <c r="C139" s="38"/>
      <c r="D139" s="38"/>
      <c r="E139" s="39"/>
      <c r="F139" s="45"/>
      <c r="G139" s="45"/>
      <c r="H139" s="46"/>
      <c r="I139" s="38"/>
      <c r="J139" s="39"/>
      <c r="K139" s="39"/>
      <c r="L139" s="47" t="str">
        <f>IF(OR(tblProductos[[#This Row],[SKU]]="",tblProductos[[#This Row],[Producto]]=""),"",tblProductos[[#This Row],[SKU]]&amp;" · "&amp;tblProductos[[#This Row],[Producto]]&amp;IF(tblProductos[[#This Row],[Activo]]="NO","  (inactivo)",""))</f>
        <v/>
      </c>
      <c r="M139" s="40" t="str">
        <f>IF(tblProductos[[#This Row],[SKU]]="","",COUNTIF(tblEntradas[SKU],tblProductos[[#This Row],[SKU]])+COUNTIF(tblSalidas[SKU],tblProductos[[#This Row],[SKU]]))</f>
        <v/>
      </c>
      <c r="N13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0" spans="2:14" x14ac:dyDescent="0.25">
      <c r="B140" s="38"/>
      <c r="C140" s="38"/>
      <c r="D140" s="38"/>
      <c r="E140" s="39"/>
      <c r="F140" s="45"/>
      <c r="G140" s="45"/>
      <c r="H140" s="46"/>
      <c r="I140" s="38"/>
      <c r="J140" s="39"/>
      <c r="K140" s="39"/>
      <c r="L140" s="47" t="str">
        <f>IF(OR(tblProductos[[#This Row],[SKU]]="",tblProductos[[#This Row],[Producto]]=""),"",tblProductos[[#This Row],[SKU]]&amp;" · "&amp;tblProductos[[#This Row],[Producto]]&amp;IF(tblProductos[[#This Row],[Activo]]="NO","  (inactivo)",""))</f>
        <v/>
      </c>
      <c r="M140" s="40" t="str">
        <f>IF(tblProductos[[#This Row],[SKU]]="","",COUNTIF(tblEntradas[SKU],tblProductos[[#This Row],[SKU]])+COUNTIF(tblSalidas[SKU],tblProductos[[#This Row],[SKU]]))</f>
        <v/>
      </c>
      <c r="N14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1" spans="2:14" x14ac:dyDescent="0.25">
      <c r="B141" s="38"/>
      <c r="C141" s="38"/>
      <c r="D141" s="38"/>
      <c r="E141" s="39"/>
      <c r="F141" s="45"/>
      <c r="G141" s="45"/>
      <c r="H141" s="46"/>
      <c r="I141" s="38"/>
      <c r="J141" s="39"/>
      <c r="K141" s="39"/>
      <c r="L141" s="47" t="str">
        <f>IF(OR(tblProductos[[#This Row],[SKU]]="",tblProductos[[#This Row],[Producto]]=""),"",tblProductos[[#This Row],[SKU]]&amp;" · "&amp;tblProductos[[#This Row],[Producto]]&amp;IF(tblProductos[[#This Row],[Activo]]="NO","  (inactivo)",""))</f>
        <v/>
      </c>
      <c r="M141" s="40" t="str">
        <f>IF(tblProductos[[#This Row],[SKU]]="","",COUNTIF(tblEntradas[SKU],tblProductos[[#This Row],[SKU]])+COUNTIF(tblSalidas[SKU],tblProductos[[#This Row],[SKU]]))</f>
        <v/>
      </c>
      <c r="N14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2" spans="2:14" x14ac:dyDescent="0.25">
      <c r="B142" s="38"/>
      <c r="C142" s="38"/>
      <c r="D142" s="38"/>
      <c r="E142" s="39"/>
      <c r="F142" s="45"/>
      <c r="G142" s="45"/>
      <c r="H142" s="46"/>
      <c r="I142" s="38"/>
      <c r="J142" s="39"/>
      <c r="K142" s="39"/>
      <c r="L142" s="47" t="str">
        <f>IF(OR(tblProductos[[#This Row],[SKU]]="",tblProductos[[#This Row],[Producto]]=""),"",tblProductos[[#This Row],[SKU]]&amp;" · "&amp;tblProductos[[#This Row],[Producto]]&amp;IF(tblProductos[[#This Row],[Activo]]="NO","  (inactivo)",""))</f>
        <v/>
      </c>
      <c r="M142" s="40" t="str">
        <f>IF(tblProductos[[#This Row],[SKU]]="","",COUNTIF(tblEntradas[SKU],tblProductos[[#This Row],[SKU]])+COUNTIF(tblSalidas[SKU],tblProductos[[#This Row],[SKU]]))</f>
        <v/>
      </c>
      <c r="N14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3" spans="2:14" x14ac:dyDescent="0.25">
      <c r="B143" s="38"/>
      <c r="C143" s="38"/>
      <c r="D143" s="38"/>
      <c r="E143" s="39"/>
      <c r="F143" s="45"/>
      <c r="G143" s="45"/>
      <c r="H143" s="46"/>
      <c r="I143" s="38"/>
      <c r="J143" s="39"/>
      <c r="K143" s="39"/>
      <c r="L143" s="47" t="str">
        <f>IF(OR(tblProductos[[#This Row],[SKU]]="",tblProductos[[#This Row],[Producto]]=""),"",tblProductos[[#This Row],[SKU]]&amp;" · "&amp;tblProductos[[#This Row],[Producto]]&amp;IF(tblProductos[[#This Row],[Activo]]="NO","  (inactivo)",""))</f>
        <v/>
      </c>
      <c r="M143" s="40" t="str">
        <f>IF(tblProductos[[#This Row],[SKU]]="","",COUNTIF(tblEntradas[SKU],tblProductos[[#This Row],[SKU]])+COUNTIF(tblSalidas[SKU],tblProductos[[#This Row],[SKU]]))</f>
        <v/>
      </c>
      <c r="N14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4" spans="2:14" x14ac:dyDescent="0.25">
      <c r="B144" s="38"/>
      <c r="C144" s="38"/>
      <c r="D144" s="38"/>
      <c r="E144" s="39"/>
      <c r="F144" s="45"/>
      <c r="G144" s="45"/>
      <c r="H144" s="46"/>
      <c r="I144" s="38"/>
      <c r="J144" s="39"/>
      <c r="K144" s="39"/>
      <c r="L144" s="47" t="str">
        <f>IF(OR(tblProductos[[#This Row],[SKU]]="",tblProductos[[#This Row],[Producto]]=""),"",tblProductos[[#This Row],[SKU]]&amp;" · "&amp;tblProductos[[#This Row],[Producto]]&amp;IF(tblProductos[[#This Row],[Activo]]="NO","  (inactivo)",""))</f>
        <v/>
      </c>
      <c r="M144" s="40" t="str">
        <f>IF(tblProductos[[#This Row],[SKU]]="","",COUNTIF(tblEntradas[SKU],tblProductos[[#This Row],[SKU]])+COUNTIF(tblSalidas[SKU],tblProductos[[#This Row],[SKU]]))</f>
        <v/>
      </c>
      <c r="N14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5" spans="2:14" x14ac:dyDescent="0.25">
      <c r="B145" s="38"/>
      <c r="C145" s="38"/>
      <c r="D145" s="38"/>
      <c r="E145" s="39"/>
      <c r="F145" s="45"/>
      <c r="G145" s="45"/>
      <c r="H145" s="46"/>
      <c r="I145" s="38"/>
      <c r="J145" s="39"/>
      <c r="K145" s="39"/>
      <c r="L145" s="47" t="str">
        <f>IF(OR(tblProductos[[#This Row],[SKU]]="",tblProductos[[#This Row],[Producto]]=""),"",tblProductos[[#This Row],[SKU]]&amp;" · "&amp;tblProductos[[#This Row],[Producto]]&amp;IF(tblProductos[[#This Row],[Activo]]="NO","  (inactivo)",""))</f>
        <v/>
      </c>
      <c r="M145" s="40" t="str">
        <f>IF(tblProductos[[#This Row],[SKU]]="","",COUNTIF(tblEntradas[SKU],tblProductos[[#This Row],[SKU]])+COUNTIF(tblSalidas[SKU],tblProductos[[#This Row],[SKU]]))</f>
        <v/>
      </c>
      <c r="N14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6" spans="2:14" x14ac:dyDescent="0.25">
      <c r="B146" s="38"/>
      <c r="C146" s="38"/>
      <c r="D146" s="38"/>
      <c r="E146" s="39"/>
      <c r="F146" s="45"/>
      <c r="G146" s="45"/>
      <c r="H146" s="46"/>
      <c r="I146" s="38"/>
      <c r="J146" s="39"/>
      <c r="K146" s="39"/>
      <c r="L146" s="47" t="str">
        <f>IF(OR(tblProductos[[#This Row],[SKU]]="",tblProductos[[#This Row],[Producto]]=""),"",tblProductos[[#This Row],[SKU]]&amp;" · "&amp;tblProductos[[#This Row],[Producto]]&amp;IF(tblProductos[[#This Row],[Activo]]="NO","  (inactivo)",""))</f>
        <v/>
      </c>
      <c r="M146" s="40" t="str">
        <f>IF(tblProductos[[#This Row],[SKU]]="","",COUNTIF(tblEntradas[SKU],tblProductos[[#This Row],[SKU]])+COUNTIF(tblSalidas[SKU],tblProductos[[#This Row],[SKU]]))</f>
        <v/>
      </c>
      <c r="N14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7" spans="2:14" x14ac:dyDescent="0.25">
      <c r="B147" s="38"/>
      <c r="C147" s="38"/>
      <c r="D147" s="38"/>
      <c r="E147" s="39"/>
      <c r="F147" s="45"/>
      <c r="G147" s="45"/>
      <c r="H147" s="46"/>
      <c r="I147" s="38"/>
      <c r="J147" s="39"/>
      <c r="K147" s="39"/>
      <c r="L147" s="47" t="str">
        <f>IF(OR(tblProductos[[#This Row],[SKU]]="",tblProductos[[#This Row],[Producto]]=""),"",tblProductos[[#This Row],[SKU]]&amp;" · "&amp;tblProductos[[#This Row],[Producto]]&amp;IF(tblProductos[[#This Row],[Activo]]="NO","  (inactivo)",""))</f>
        <v/>
      </c>
      <c r="M147" s="40" t="str">
        <f>IF(tblProductos[[#This Row],[SKU]]="","",COUNTIF(tblEntradas[SKU],tblProductos[[#This Row],[SKU]])+COUNTIF(tblSalidas[SKU],tblProductos[[#This Row],[SKU]]))</f>
        <v/>
      </c>
      <c r="N14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8" spans="2:14" x14ac:dyDescent="0.25">
      <c r="B148" s="38"/>
      <c r="C148" s="38"/>
      <c r="D148" s="38"/>
      <c r="E148" s="39"/>
      <c r="F148" s="45"/>
      <c r="G148" s="45"/>
      <c r="H148" s="46"/>
      <c r="I148" s="38"/>
      <c r="J148" s="39"/>
      <c r="K148" s="39"/>
      <c r="L148" s="47" t="str">
        <f>IF(OR(tblProductos[[#This Row],[SKU]]="",tblProductos[[#This Row],[Producto]]=""),"",tblProductos[[#This Row],[SKU]]&amp;" · "&amp;tblProductos[[#This Row],[Producto]]&amp;IF(tblProductos[[#This Row],[Activo]]="NO","  (inactivo)",""))</f>
        <v/>
      </c>
      <c r="M148" s="40" t="str">
        <f>IF(tblProductos[[#This Row],[SKU]]="","",COUNTIF(tblEntradas[SKU],tblProductos[[#This Row],[SKU]])+COUNTIF(tblSalidas[SKU],tblProductos[[#This Row],[SKU]]))</f>
        <v/>
      </c>
      <c r="N14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9" spans="2:14" x14ac:dyDescent="0.25">
      <c r="B149" s="38"/>
      <c r="C149" s="38"/>
      <c r="D149" s="38"/>
      <c r="E149" s="39"/>
      <c r="F149" s="45"/>
      <c r="G149" s="45"/>
      <c r="H149" s="46"/>
      <c r="I149" s="38"/>
      <c r="J149" s="39"/>
      <c r="K149" s="39"/>
      <c r="L149" s="47" t="str">
        <f>IF(OR(tblProductos[[#This Row],[SKU]]="",tblProductos[[#This Row],[Producto]]=""),"",tblProductos[[#This Row],[SKU]]&amp;" · "&amp;tblProductos[[#This Row],[Producto]]&amp;IF(tblProductos[[#This Row],[Activo]]="NO","  (inactivo)",""))</f>
        <v/>
      </c>
      <c r="M149" s="40" t="str">
        <f>IF(tblProductos[[#This Row],[SKU]]="","",COUNTIF(tblEntradas[SKU],tblProductos[[#This Row],[SKU]])+COUNTIF(tblSalidas[SKU],tblProductos[[#This Row],[SKU]]))</f>
        <v/>
      </c>
      <c r="N14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0" spans="2:14" x14ac:dyDescent="0.25">
      <c r="B150" s="38"/>
      <c r="C150" s="38"/>
      <c r="D150" s="38"/>
      <c r="E150" s="39"/>
      <c r="F150" s="45"/>
      <c r="G150" s="45"/>
      <c r="H150" s="46"/>
      <c r="I150" s="38"/>
      <c r="J150" s="39"/>
      <c r="K150" s="39"/>
      <c r="L150" s="47" t="str">
        <f>IF(OR(tblProductos[[#This Row],[SKU]]="",tblProductos[[#This Row],[Producto]]=""),"",tblProductos[[#This Row],[SKU]]&amp;" · "&amp;tblProductos[[#This Row],[Producto]]&amp;IF(tblProductos[[#This Row],[Activo]]="NO","  (inactivo)",""))</f>
        <v/>
      </c>
      <c r="M150" s="40" t="str">
        <f>IF(tblProductos[[#This Row],[SKU]]="","",COUNTIF(tblEntradas[SKU],tblProductos[[#This Row],[SKU]])+COUNTIF(tblSalidas[SKU],tblProductos[[#This Row],[SKU]]))</f>
        <v/>
      </c>
      <c r="N15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1" spans="2:14" x14ac:dyDescent="0.25">
      <c r="B151" s="38"/>
      <c r="C151" s="38"/>
      <c r="D151" s="38"/>
      <c r="E151" s="39"/>
      <c r="F151" s="45"/>
      <c r="G151" s="45"/>
      <c r="H151" s="46"/>
      <c r="I151" s="38"/>
      <c r="J151" s="39"/>
      <c r="K151" s="39"/>
      <c r="L151" s="47" t="str">
        <f>IF(OR(tblProductos[[#This Row],[SKU]]="",tblProductos[[#This Row],[Producto]]=""),"",tblProductos[[#This Row],[SKU]]&amp;" · "&amp;tblProductos[[#This Row],[Producto]]&amp;IF(tblProductos[[#This Row],[Activo]]="NO","  (inactivo)",""))</f>
        <v/>
      </c>
      <c r="M151" s="40" t="str">
        <f>IF(tblProductos[[#This Row],[SKU]]="","",COUNTIF(tblEntradas[SKU],tblProductos[[#This Row],[SKU]])+COUNTIF(tblSalidas[SKU],tblProductos[[#This Row],[SKU]]))</f>
        <v/>
      </c>
      <c r="N15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2" spans="2:14" x14ac:dyDescent="0.25">
      <c r="B152" s="38"/>
      <c r="C152" s="38"/>
      <c r="D152" s="38"/>
      <c r="E152" s="39"/>
      <c r="F152" s="45"/>
      <c r="G152" s="45"/>
      <c r="H152" s="46"/>
      <c r="I152" s="38"/>
      <c r="J152" s="39"/>
      <c r="K152" s="39"/>
      <c r="L152" s="47" t="str">
        <f>IF(OR(tblProductos[[#This Row],[SKU]]="",tblProductos[[#This Row],[Producto]]=""),"",tblProductos[[#This Row],[SKU]]&amp;" · "&amp;tblProductos[[#This Row],[Producto]]&amp;IF(tblProductos[[#This Row],[Activo]]="NO","  (inactivo)",""))</f>
        <v/>
      </c>
      <c r="M152" s="40" t="str">
        <f>IF(tblProductos[[#This Row],[SKU]]="","",COUNTIF(tblEntradas[SKU],tblProductos[[#This Row],[SKU]])+COUNTIF(tblSalidas[SKU],tblProductos[[#This Row],[SKU]]))</f>
        <v/>
      </c>
      <c r="N15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3" spans="2:14" x14ac:dyDescent="0.25">
      <c r="B153" s="38"/>
      <c r="C153" s="38"/>
      <c r="D153" s="38"/>
      <c r="E153" s="39"/>
      <c r="F153" s="45"/>
      <c r="G153" s="45"/>
      <c r="H153" s="46"/>
      <c r="I153" s="38"/>
      <c r="J153" s="39"/>
      <c r="K153" s="39"/>
      <c r="L153" s="47" t="str">
        <f>IF(OR(tblProductos[[#This Row],[SKU]]="",tblProductos[[#This Row],[Producto]]=""),"",tblProductos[[#This Row],[SKU]]&amp;" · "&amp;tblProductos[[#This Row],[Producto]]&amp;IF(tblProductos[[#This Row],[Activo]]="NO","  (inactivo)",""))</f>
        <v/>
      </c>
      <c r="M153" s="40" t="str">
        <f>IF(tblProductos[[#This Row],[SKU]]="","",COUNTIF(tblEntradas[SKU],tblProductos[[#This Row],[SKU]])+COUNTIF(tblSalidas[SKU],tblProductos[[#This Row],[SKU]]))</f>
        <v/>
      </c>
      <c r="N15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4" spans="2:14" x14ac:dyDescent="0.25">
      <c r="B154" s="38"/>
      <c r="C154" s="38"/>
      <c r="D154" s="38"/>
      <c r="E154" s="39"/>
      <c r="F154" s="45"/>
      <c r="G154" s="45"/>
      <c r="H154" s="46"/>
      <c r="I154" s="38"/>
      <c r="J154" s="39"/>
      <c r="K154" s="39"/>
      <c r="L154" s="47" t="str">
        <f>IF(OR(tblProductos[[#This Row],[SKU]]="",tblProductos[[#This Row],[Producto]]=""),"",tblProductos[[#This Row],[SKU]]&amp;" · "&amp;tblProductos[[#This Row],[Producto]]&amp;IF(tblProductos[[#This Row],[Activo]]="NO","  (inactivo)",""))</f>
        <v/>
      </c>
      <c r="M154" s="40" t="str">
        <f>IF(tblProductos[[#This Row],[SKU]]="","",COUNTIF(tblEntradas[SKU],tblProductos[[#This Row],[SKU]])+COUNTIF(tblSalidas[SKU],tblProductos[[#This Row],[SKU]]))</f>
        <v/>
      </c>
      <c r="N15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5" spans="2:14" x14ac:dyDescent="0.25">
      <c r="B155" s="38"/>
      <c r="C155" s="38"/>
      <c r="D155" s="38"/>
      <c r="E155" s="39"/>
      <c r="F155" s="45"/>
      <c r="G155" s="45"/>
      <c r="H155" s="46"/>
      <c r="I155" s="38"/>
      <c r="J155" s="39"/>
      <c r="K155" s="39"/>
      <c r="L155" s="47" t="str">
        <f>IF(OR(tblProductos[[#This Row],[SKU]]="",tblProductos[[#This Row],[Producto]]=""),"",tblProductos[[#This Row],[SKU]]&amp;" · "&amp;tblProductos[[#This Row],[Producto]]&amp;IF(tblProductos[[#This Row],[Activo]]="NO","  (inactivo)",""))</f>
        <v/>
      </c>
      <c r="M155" s="40" t="str">
        <f>IF(tblProductos[[#This Row],[SKU]]="","",COUNTIF(tblEntradas[SKU],tblProductos[[#This Row],[SKU]])+COUNTIF(tblSalidas[SKU],tblProductos[[#This Row],[SKU]]))</f>
        <v/>
      </c>
      <c r="N15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6" spans="2:14" x14ac:dyDescent="0.25">
      <c r="B156" s="38"/>
      <c r="C156" s="38"/>
      <c r="D156" s="38"/>
      <c r="E156" s="39"/>
      <c r="F156" s="45"/>
      <c r="G156" s="45"/>
      <c r="H156" s="46"/>
      <c r="I156" s="38"/>
      <c r="J156" s="39"/>
      <c r="K156" s="39"/>
      <c r="L156" s="47" t="str">
        <f>IF(OR(tblProductos[[#This Row],[SKU]]="",tblProductos[[#This Row],[Producto]]=""),"",tblProductos[[#This Row],[SKU]]&amp;" · "&amp;tblProductos[[#This Row],[Producto]]&amp;IF(tblProductos[[#This Row],[Activo]]="NO","  (inactivo)",""))</f>
        <v/>
      </c>
      <c r="M156" s="40" t="str">
        <f>IF(tblProductos[[#This Row],[SKU]]="","",COUNTIF(tblEntradas[SKU],tblProductos[[#This Row],[SKU]])+COUNTIF(tblSalidas[SKU],tblProductos[[#This Row],[SKU]]))</f>
        <v/>
      </c>
      <c r="N15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7" spans="2:14" x14ac:dyDescent="0.25">
      <c r="B157" s="38"/>
      <c r="C157" s="38"/>
      <c r="D157" s="38"/>
      <c r="E157" s="39"/>
      <c r="F157" s="45"/>
      <c r="G157" s="45"/>
      <c r="H157" s="46"/>
      <c r="I157" s="38"/>
      <c r="J157" s="39"/>
      <c r="K157" s="39"/>
      <c r="L157" s="47" t="str">
        <f>IF(OR(tblProductos[[#This Row],[SKU]]="",tblProductos[[#This Row],[Producto]]=""),"",tblProductos[[#This Row],[SKU]]&amp;" · "&amp;tblProductos[[#This Row],[Producto]]&amp;IF(tblProductos[[#This Row],[Activo]]="NO","  (inactivo)",""))</f>
        <v/>
      </c>
      <c r="M157" s="40" t="str">
        <f>IF(tblProductos[[#This Row],[SKU]]="","",COUNTIF(tblEntradas[SKU],tblProductos[[#This Row],[SKU]])+COUNTIF(tblSalidas[SKU],tblProductos[[#This Row],[SKU]]))</f>
        <v/>
      </c>
      <c r="N15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8" spans="2:14" x14ac:dyDescent="0.25">
      <c r="B158" s="38"/>
      <c r="C158" s="38"/>
      <c r="D158" s="38"/>
      <c r="E158" s="39"/>
      <c r="F158" s="45"/>
      <c r="G158" s="45"/>
      <c r="H158" s="46"/>
      <c r="I158" s="38"/>
      <c r="J158" s="39"/>
      <c r="K158" s="39"/>
      <c r="L158" s="47" t="str">
        <f>IF(OR(tblProductos[[#This Row],[SKU]]="",tblProductos[[#This Row],[Producto]]=""),"",tblProductos[[#This Row],[SKU]]&amp;" · "&amp;tblProductos[[#This Row],[Producto]]&amp;IF(tblProductos[[#This Row],[Activo]]="NO","  (inactivo)",""))</f>
        <v/>
      </c>
      <c r="M158" s="40" t="str">
        <f>IF(tblProductos[[#This Row],[SKU]]="","",COUNTIF(tblEntradas[SKU],tblProductos[[#This Row],[SKU]])+COUNTIF(tblSalidas[SKU],tblProductos[[#This Row],[SKU]]))</f>
        <v/>
      </c>
      <c r="N15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9" spans="2:14" x14ac:dyDescent="0.25">
      <c r="B159" s="38"/>
      <c r="C159" s="38"/>
      <c r="D159" s="38"/>
      <c r="E159" s="39"/>
      <c r="F159" s="45"/>
      <c r="G159" s="45"/>
      <c r="H159" s="46"/>
      <c r="I159" s="38"/>
      <c r="J159" s="39"/>
      <c r="K159" s="39"/>
      <c r="L159" s="47" t="str">
        <f>IF(OR(tblProductos[[#This Row],[SKU]]="",tblProductos[[#This Row],[Producto]]=""),"",tblProductos[[#This Row],[SKU]]&amp;" · "&amp;tblProductos[[#This Row],[Producto]]&amp;IF(tblProductos[[#This Row],[Activo]]="NO","  (inactivo)",""))</f>
        <v/>
      </c>
      <c r="M159" s="40" t="str">
        <f>IF(tblProductos[[#This Row],[SKU]]="","",COUNTIF(tblEntradas[SKU],tblProductos[[#This Row],[SKU]])+COUNTIF(tblSalidas[SKU],tblProductos[[#This Row],[SKU]]))</f>
        <v/>
      </c>
      <c r="N15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0" spans="2:14" x14ac:dyDescent="0.25">
      <c r="B160" s="38"/>
      <c r="C160" s="38"/>
      <c r="D160" s="38"/>
      <c r="E160" s="39"/>
      <c r="F160" s="45"/>
      <c r="G160" s="45"/>
      <c r="H160" s="46"/>
      <c r="I160" s="38"/>
      <c r="J160" s="39"/>
      <c r="K160" s="39"/>
      <c r="L160" s="47" t="str">
        <f>IF(OR(tblProductos[[#This Row],[SKU]]="",tblProductos[[#This Row],[Producto]]=""),"",tblProductos[[#This Row],[SKU]]&amp;" · "&amp;tblProductos[[#This Row],[Producto]]&amp;IF(tblProductos[[#This Row],[Activo]]="NO","  (inactivo)",""))</f>
        <v/>
      </c>
      <c r="M160" s="40" t="str">
        <f>IF(tblProductos[[#This Row],[SKU]]="","",COUNTIF(tblEntradas[SKU],tblProductos[[#This Row],[SKU]])+COUNTIF(tblSalidas[SKU],tblProductos[[#This Row],[SKU]]))</f>
        <v/>
      </c>
      <c r="N16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1" spans="2:14" x14ac:dyDescent="0.25">
      <c r="B161" s="38"/>
      <c r="C161" s="38"/>
      <c r="D161" s="38"/>
      <c r="E161" s="39"/>
      <c r="F161" s="45"/>
      <c r="G161" s="45"/>
      <c r="H161" s="46"/>
      <c r="I161" s="38"/>
      <c r="J161" s="39"/>
      <c r="K161" s="39"/>
      <c r="L161" s="47" t="str">
        <f>IF(OR(tblProductos[[#This Row],[SKU]]="",tblProductos[[#This Row],[Producto]]=""),"",tblProductos[[#This Row],[SKU]]&amp;" · "&amp;tblProductos[[#This Row],[Producto]]&amp;IF(tblProductos[[#This Row],[Activo]]="NO","  (inactivo)",""))</f>
        <v/>
      </c>
      <c r="M161" s="40" t="str">
        <f>IF(tblProductos[[#This Row],[SKU]]="","",COUNTIF(tblEntradas[SKU],tblProductos[[#This Row],[SKU]])+COUNTIF(tblSalidas[SKU],tblProductos[[#This Row],[SKU]]))</f>
        <v/>
      </c>
      <c r="N16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2" spans="2:14" x14ac:dyDescent="0.25">
      <c r="B162" s="38"/>
      <c r="C162" s="38"/>
      <c r="D162" s="38"/>
      <c r="E162" s="39"/>
      <c r="F162" s="45"/>
      <c r="G162" s="45"/>
      <c r="H162" s="46"/>
      <c r="I162" s="38"/>
      <c r="J162" s="39"/>
      <c r="K162" s="39"/>
      <c r="L162" s="47" t="str">
        <f>IF(OR(tblProductos[[#This Row],[SKU]]="",tblProductos[[#This Row],[Producto]]=""),"",tblProductos[[#This Row],[SKU]]&amp;" · "&amp;tblProductos[[#This Row],[Producto]]&amp;IF(tblProductos[[#This Row],[Activo]]="NO","  (inactivo)",""))</f>
        <v/>
      </c>
      <c r="M162" s="40" t="str">
        <f>IF(tblProductos[[#This Row],[SKU]]="","",COUNTIF(tblEntradas[SKU],tblProductos[[#This Row],[SKU]])+COUNTIF(tblSalidas[SKU],tblProductos[[#This Row],[SKU]]))</f>
        <v/>
      </c>
      <c r="N16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3" spans="2:14" x14ac:dyDescent="0.25">
      <c r="B163" s="38"/>
      <c r="C163" s="38"/>
      <c r="D163" s="38"/>
      <c r="E163" s="39"/>
      <c r="F163" s="45"/>
      <c r="G163" s="45"/>
      <c r="H163" s="46"/>
      <c r="I163" s="38"/>
      <c r="J163" s="39"/>
      <c r="K163" s="39"/>
      <c r="L163" s="47" t="str">
        <f>IF(OR(tblProductos[[#This Row],[SKU]]="",tblProductos[[#This Row],[Producto]]=""),"",tblProductos[[#This Row],[SKU]]&amp;" · "&amp;tblProductos[[#This Row],[Producto]]&amp;IF(tblProductos[[#This Row],[Activo]]="NO","  (inactivo)",""))</f>
        <v/>
      </c>
      <c r="M163" s="40" t="str">
        <f>IF(tblProductos[[#This Row],[SKU]]="","",COUNTIF(tblEntradas[SKU],tblProductos[[#This Row],[SKU]])+COUNTIF(tblSalidas[SKU],tblProductos[[#This Row],[SKU]]))</f>
        <v/>
      </c>
      <c r="N16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4" spans="2:14" x14ac:dyDescent="0.25">
      <c r="B164" s="38"/>
      <c r="C164" s="38"/>
      <c r="D164" s="38"/>
      <c r="E164" s="39"/>
      <c r="F164" s="45"/>
      <c r="G164" s="45"/>
      <c r="H164" s="46"/>
      <c r="I164" s="38"/>
      <c r="J164" s="39"/>
      <c r="K164" s="39"/>
      <c r="L164" s="47" t="str">
        <f>IF(OR(tblProductos[[#This Row],[SKU]]="",tblProductos[[#This Row],[Producto]]=""),"",tblProductos[[#This Row],[SKU]]&amp;" · "&amp;tblProductos[[#This Row],[Producto]]&amp;IF(tblProductos[[#This Row],[Activo]]="NO","  (inactivo)",""))</f>
        <v/>
      </c>
      <c r="M164" s="40" t="str">
        <f>IF(tblProductos[[#This Row],[SKU]]="","",COUNTIF(tblEntradas[SKU],tblProductos[[#This Row],[SKU]])+COUNTIF(tblSalidas[SKU],tblProductos[[#This Row],[SKU]]))</f>
        <v/>
      </c>
      <c r="N16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5" spans="2:14" x14ac:dyDescent="0.25">
      <c r="B165" s="38"/>
      <c r="C165" s="38"/>
      <c r="D165" s="38"/>
      <c r="E165" s="39"/>
      <c r="F165" s="45"/>
      <c r="G165" s="45"/>
      <c r="H165" s="46"/>
      <c r="I165" s="38"/>
      <c r="J165" s="39"/>
      <c r="K165" s="39"/>
      <c r="L165" s="47" t="str">
        <f>IF(OR(tblProductos[[#This Row],[SKU]]="",tblProductos[[#This Row],[Producto]]=""),"",tblProductos[[#This Row],[SKU]]&amp;" · "&amp;tblProductos[[#This Row],[Producto]]&amp;IF(tblProductos[[#This Row],[Activo]]="NO","  (inactivo)",""))</f>
        <v/>
      </c>
      <c r="M165" s="40" t="str">
        <f>IF(tblProductos[[#This Row],[SKU]]="","",COUNTIF(tblEntradas[SKU],tblProductos[[#This Row],[SKU]])+COUNTIF(tblSalidas[SKU],tblProductos[[#This Row],[SKU]]))</f>
        <v/>
      </c>
      <c r="N16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6" spans="2:14" x14ac:dyDescent="0.25">
      <c r="B166" s="38"/>
      <c r="C166" s="38"/>
      <c r="D166" s="38"/>
      <c r="E166" s="39"/>
      <c r="F166" s="45"/>
      <c r="G166" s="45"/>
      <c r="H166" s="46"/>
      <c r="I166" s="38"/>
      <c r="J166" s="39"/>
      <c r="K166" s="39"/>
      <c r="L166" s="47" t="str">
        <f>IF(OR(tblProductos[[#This Row],[SKU]]="",tblProductos[[#This Row],[Producto]]=""),"",tblProductos[[#This Row],[SKU]]&amp;" · "&amp;tblProductos[[#This Row],[Producto]]&amp;IF(tblProductos[[#This Row],[Activo]]="NO","  (inactivo)",""))</f>
        <v/>
      </c>
      <c r="M166" s="40" t="str">
        <f>IF(tblProductos[[#This Row],[SKU]]="","",COUNTIF(tblEntradas[SKU],tblProductos[[#This Row],[SKU]])+COUNTIF(tblSalidas[SKU],tblProductos[[#This Row],[SKU]]))</f>
        <v/>
      </c>
      <c r="N16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7" spans="2:14" x14ac:dyDescent="0.25">
      <c r="B167" s="38"/>
      <c r="C167" s="38"/>
      <c r="D167" s="38"/>
      <c r="E167" s="39"/>
      <c r="F167" s="45"/>
      <c r="G167" s="45"/>
      <c r="H167" s="46"/>
      <c r="I167" s="38"/>
      <c r="J167" s="39"/>
      <c r="K167" s="39"/>
      <c r="L167" s="47" t="str">
        <f>IF(OR(tblProductos[[#This Row],[SKU]]="",tblProductos[[#This Row],[Producto]]=""),"",tblProductos[[#This Row],[SKU]]&amp;" · "&amp;tblProductos[[#This Row],[Producto]]&amp;IF(tblProductos[[#This Row],[Activo]]="NO","  (inactivo)",""))</f>
        <v/>
      </c>
      <c r="M167" s="40" t="str">
        <f>IF(tblProductos[[#This Row],[SKU]]="","",COUNTIF(tblEntradas[SKU],tblProductos[[#This Row],[SKU]])+COUNTIF(tblSalidas[SKU],tblProductos[[#This Row],[SKU]]))</f>
        <v/>
      </c>
      <c r="N16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8" spans="2:14" x14ac:dyDescent="0.25">
      <c r="B168" s="38"/>
      <c r="C168" s="38"/>
      <c r="D168" s="38"/>
      <c r="E168" s="39"/>
      <c r="F168" s="45"/>
      <c r="G168" s="45"/>
      <c r="H168" s="46"/>
      <c r="I168" s="38"/>
      <c r="J168" s="39"/>
      <c r="K168" s="39"/>
      <c r="L168" s="47" t="str">
        <f>IF(OR(tblProductos[[#This Row],[SKU]]="",tblProductos[[#This Row],[Producto]]=""),"",tblProductos[[#This Row],[SKU]]&amp;" · "&amp;tblProductos[[#This Row],[Producto]]&amp;IF(tblProductos[[#This Row],[Activo]]="NO","  (inactivo)",""))</f>
        <v/>
      </c>
      <c r="M168" s="40" t="str">
        <f>IF(tblProductos[[#This Row],[SKU]]="","",COUNTIF(tblEntradas[SKU],tblProductos[[#This Row],[SKU]])+COUNTIF(tblSalidas[SKU],tblProductos[[#This Row],[SKU]]))</f>
        <v/>
      </c>
      <c r="N16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9" spans="2:14" x14ac:dyDescent="0.25">
      <c r="B169" s="38"/>
      <c r="C169" s="38"/>
      <c r="D169" s="38"/>
      <c r="E169" s="39"/>
      <c r="F169" s="45"/>
      <c r="G169" s="45"/>
      <c r="H169" s="46"/>
      <c r="I169" s="38"/>
      <c r="J169" s="39"/>
      <c r="K169" s="39"/>
      <c r="L169" s="47" t="str">
        <f>IF(OR(tblProductos[[#This Row],[SKU]]="",tblProductos[[#This Row],[Producto]]=""),"",tblProductos[[#This Row],[SKU]]&amp;" · "&amp;tblProductos[[#This Row],[Producto]]&amp;IF(tblProductos[[#This Row],[Activo]]="NO","  (inactivo)",""))</f>
        <v/>
      </c>
      <c r="M169" s="40" t="str">
        <f>IF(tblProductos[[#This Row],[SKU]]="","",COUNTIF(tblEntradas[SKU],tblProductos[[#This Row],[SKU]])+COUNTIF(tblSalidas[SKU],tblProductos[[#This Row],[SKU]]))</f>
        <v/>
      </c>
      <c r="N16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0" spans="2:14" x14ac:dyDescent="0.25">
      <c r="B170" s="38"/>
      <c r="C170" s="38"/>
      <c r="D170" s="38"/>
      <c r="E170" s="39"/>
      <c r="F170" s="45"/>
      <c r="G170" s="45"/>
      <c r="H170" s="46"/>
      <c r="I170" s="38"/>
      <c r="J170" s="39"/>
      <c r="K170" s="39"/>
      <c r="L170" s="47" t="str">
        <f>IF(OR(tblProductos[[#This Row],[SKU]]="",tblProductos[[#This Row],[Producto]]=""),"",tblProductos[[#This Row],[SKU]]&amp;" · "&amp;tblProductos[[#This Row],[Producto]]&amp;IF(tblProductos[[#This Row],[Activo]]="NO","  (inactivo)",""))</f>
        <v/>
      </c>
      <c r="M170" s="40" t="str">
        <f>IF(tblProductos[[#This Row],[SKU]]="","",COUNTIF(tblEntradas[SKU],tblProductos[[#This Row],[SKU]])+COUNTIF(tblSalidas[SKU],tblProductos[[#This Row],[SKU]]))</f>
        <v/>
      </c>
      <c r="N17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1" spans="2:14" x14ac:dyDescent="0.25">
      <c r="B171" s="38"/>
      <c r="C171" s="38"/>
      <c r="D171" s="38"/>
      <c r="E171" s="39"/>
      <c r="F171" s="45"/>
      <c r="G171" s="45"/>
      <c r="H171" s="46"/>
      <c r="I171" s="38"/>
      <c r="J171" s="39"/>
      <c r="K171" s="39"/>
      <c r="L171" s="47" t="str">
        <f>IF(OR(tblProductos[[#This Row],[SKU]]="",tblProductos[[#This Row],[Producto]]=""),"",tblProductos[[#This Row],[SKU]]&amp;" · "&amp;tblProductos[[#This Row],[Producto]]&amp;IF(tblProductos[[#This Row],[Activo]]="NO","  (inactivo)",""))</f>
        <v/>
      </c>
      <c r="M171" s="40" t="str">
        <f>IF(tblProductos[[#This Row],[SKU]]="","",COUNTIF(tblEntradas[SKU],tblProductos[[#This Row],[SKU]])+COUNTIF(tblSalidas[SKU],tblProductos[[#This Row],[SKU]]))</f>
        <v/>
      </c>
      <c r="N17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2" spans="2:14" x14ac:dyDescent="0.25">
      <c r="B172" s="38"/>
      <c r="C172" s="38"/>
      <c r="D172" s="38"/>
      <c r="E172" s="39"/>
      <c r="F172" s="45"/>
      <c r="G172" s="45"/>
      <c r="H172" s="46"/>
      <c r="I172" s="38"/>
      <c r="J172" s="39"/>
      <c r="K172" s="39"/>
      <c r="L172" s="47" t="str">
        <f>IF(OR(tblProductos[[#This Row],[SKU]]="",tblProductos[[#This Row],[Producto]]=""),"",tblProductos[[#This Row],[SKU]]&amp;" · "&amp;tblProductos[[#This Row],[Producto]]&amp;IF(tblProductos[[#This Row],[Activo]]="NO","  (inactivo)",""))</f>
        <v/>
      </c>
      <c r="M172" s="40" t="str">
        <f>IF(tblProductos[[#This Row],[SKU]]="","",COUNTIF(tblEntradas[SKU],tblProductos[[#This Row],[SKU]])+COUNTIF(tblSalidas[SKU],tblProductos[[#This Row],[SKU]]))</f>
        <v/>
      </c>
      <c r="N17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3" spans="2:14" x14ac:dyDescent="0.25">
      <c r="B173" s="38"/>
      <c r="C173" s="38"/>
      <c r="D173" s="38"/>
      <c r="E173" s="39"/>
      <c r="F173" s="45"/>
      <c r="G173" s="45"/>
      <c r="H173" s="46"/>
      <c r="I173" s="38"/>
      <c r="J173" s="39"/>
      <c r="K173" s="39"/>
      <c r="L173" s="47" t="str">
        <f>IF(OR(tblProductos[[#This Row],[SKU]]="",tblProductos[[#This Row],[Producto]]=""),"",tblProductos[[#This Row],[SKU]]&amp;" · "&amp;tblProductos[[#This Row],[Producto]]&amp;IF(tblProductos[[#This Row],[Activo]]="NO","  (inactivo)",""))</f>
        <v/>
      </c>
      <c r="M173" s="40" t="str">
        <f>IF(tblProductos[[#This Row],[SKU]]="","",COUNTIF(tblEntradas[SKU],tblProductos[[#This Row],[SKU]])+COUNTIF(tblSalidas[SKU],tblProductos[[#This Row],[SKU]]))</f>
        <v/>
      </c>
      <c r="N17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4" spans="2:14" x14ac:dyDescent="0.25">
      <c r="B174" s="38"/>
      <c r="C174" s="38"/>
      <c r="D174" s="38"/>
      <c r="E174" s="39"/>
      <c r="F174" s="45"/>
      <c r="G174" s="45"/>
      <c r="H174" s="46"/>
      <c r="I174" s="38"/>
      <c r="J174" s="39"/>
      <c r="K174" s="39"/>
      <c r="L174" s="47" t="str">
        <f>IF(OR(tblProductos[[#This Row],[SKU]]="",tblProductos[[#This Row],[Producto]]=""),"",tblProductos[[#This Row],[SKU]]&amp;" · "&amp;tblProductos[[#This Row],[Producto]]&amp;IF(tblProductos[[#This Row],[Activo]]="NO","  (inactivo)",""))</f>
        <v/>
      </c>
      <c r="M174" s="40" t="str">
        <f>IF(tblProductos[[#This Row],[SKU]]="","",COUNTIF(tblEntradas[SKU],tblProductos[[#This Row],[SKU]])+COUNTIF(tblSalidas[SKU],tblProductos[[#This Row],[SKU]]))</f>
        <v/>
      </c>
      <c r="N17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5" spans="2:14" x14ac:dyDescent="0.25">
      <c r="B175" s="38"/>
      <c r="C175" s="38"/>
      <c r="D175" s="38"/>
      <c r="E175" s="39"/>
      <c r="F175" s="45"/>
      <c r="G175" s="45"/>
      <c r="H175" s="46"/>
      <c r="I175" s="38"/>
      <c r="J175" s="39"/>
      <c r="K175" s="39"/>
      <c r="L175" s="47" t="str">
        <f>IF(OR(tblProductos[[#This Row],[SKU]]="",tblProductos[[#This Row],[Producto]]=""),"",tblProductos[[#This Row],[SKU]]&amp;" · "&amp;tblProductos[[#This Row],[Producto]]&amp;IF(tblProductos[[#This Row],[Activo]]="NO","  (inactivo)",""))</f>
        <v/>
      </c>
      <c r="M175" s="40" t="str">
        <f>IF(tblProductos[[#This Row],[SKU]]="","",COUNTIF(tblEntradas[SKU],tblProductos[[#This Row],[SKU]])+COUNTIF(tblSalidas[SKU],tblProductos[[#This Row],[SKU]]))</f>
        <v/>
      </c>
      <c r="N17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6" spans="2:14" x14ac:dyDescent="0.25">
      <c r="B176" s="38"/>
      <c r="C176" s="38"/>
      <c r="D176" s="38"/>
      <c r="E176" s="39"/>
      <c r="F176" s="45"/>
      <c r="G176" s="45"/>
      <c r="H176" s="46"/>
      <c r="I176" s="38"/>
      <c r="J176" s="39"/>
      <c r="K176" s="39"/>
      <c r="L176" s="47" t="str">
        <f>IF(OR(tblProductos[[#This Row],[SKU]]="",tblProductos[[#This Row],[Producto]]=""),"",tblProductos[[#This Row],[SKU]]&amp;" · "&amp;tblProductos[[#This Row],[Producto]]&amp;IF(tblProductos[[#This Row],[Activo]]="NO","  (inactivo)",""))</f>
        <v/>
      </c>
      <c r="M176" s="40" t="str">
        <f>IF(tblProductos[[#This Row],[SKU]]="","",COUNTIF(tblEntradas[SKU],tblProductos[[#This Row],[SKU]])+COUNTIF(tblSalidas[SKU],tblProductos[[#This Row],[SKU]]))</f>
        <v/>
      </c>
      <c r="N17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7" spans="2:14" x14ac:dyDescent="0.25">
      <c r="B177" s="38"/>
      <c r="C177" s="38"/>
      <c r="D177" s="38"/>
      <c r="E177" s="39"/>
      <c r="F177" s="45"/>
      <c r="G177" s="45"/>
      <c r="H177" s="46"/>
      <c r="I177" s="38"/>
      <c r="J177" s="39"/>
      <c r="K177" s="39"/>
      <c r="L177" s="47" t="str">
        <f>IF(OR(tblProductos[[#This Row],[SKU]]="",tblProductos[[#This Row],[Producto]]=""),"",tblProductos[[#This Row],[SKU]]&amp;" · "&amp;tblProductos[[#This Row],[Producto]]&amp;IF(tblProductos[[#This Row],[Activo]]="NO","  (inactivo)",""))</f>
        <v/>
      </c>
      <c r="M177" s="40" t="str">
        <f>IF(tblProductos[[#This Row],[SKU]]="","",COUNTIF(tblEntradas[SKU],tblProductos[[#This Row],[SKU]])+COUNTIF(tblSalidas[SKU],tblProductos[[#This Row],[SKU]]))</f>
        <v/>
      </c>
      <c r="N17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8" spans="2:14" x14ac:dyDescent="0.25">
      <c r="B178" s="38"/>
      <c r="C178" s="38"/>
      <c r="D178" s="38"/>
      <c r="E178" s="39"/>
      <c r="F178" s="45"/>
      <c r="G178" s="45"/>
      <c r="H178" s="46"/>
      <c r="I178" s="38"/>
      <c r="J178" s="39"/>
      <c r="K178" s="39"/>
      <c r="L178" s="47" t="str">
        <f>IF(OR(tblProductos[[#This Row],[SKU]]="",tblProductos[[#This Row],[Producto]]=""),"",tblProductos[[#This Row],[SKU]]&amp;" · "&amp;tblProductos[[#This Row],[Producto]]&amp;IF(tblProductos[[#This Row],[Activo]]="NO","  (inactivo)",""))</f>
        <v/>
      </c>
      <c r="M178" s="40" t="str">
        <f>IF(tblProductos[[#This Row],[SKU]]="","",COUNTIF(tblEntradas[SKU],tblProductos[[#This Row],[SKU]])+COUNTIF(tblSalidas[SKU],tblProductos[[#This Row],[SKU]]))</f>
        <v/>
      </c>
      <c r="N17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9" spans="2:14" x14ac:dyDescent="0.25">
      <c r="B179" s="38"/>
      <c r="C179" s="38"/>
      <c r="D179" s="38"/>
      <c r="E179" s="39"/>
      <c r="F179" s="45"/>
      <c r="G179" s="45"/>
      <c r="H179" s="46"/>
      <c r="I179" s="38"/>
      <c r="J179" s="39"/>
      <c r="K179" s="39"/>
      <c r="L179" s="47" t="str">
        <f>IF(OR(tblProductos[[#This Row],[SKU]]="",tblProductos[[#This Row],[Producto]]=""),"",tblProductos[[#This Row],[SKU]]&amp;" · "&amp;tblProductos[[#This Row],[Producto]]&amp;IF(tblProductos[[#This Row],[Activo]]="NO","  (inactivo)",""))</f>
        <v/>
      </c>
      <c r="M179" s="40" t="str">
        <f>IF(tblProductos[[#This Row],[SKU]]="","",COUNTIF(tblEntradas[SKU],tblProductos[[#This Row],[SKU]])+COUNTIF(tblSalidas[SKU],tblProductos[[#This Row],[SKU]]))</f>
        <v/>
      </c>
      <c r="N17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0" spans="2:14" x14ac:dyDescent="0.25">
      <c r="B180" s="38"/>
      <c r="C180" s="38"/>
      <c r="D180" s="38"/>
      <c r="E180" s="39"/>
      <c r="F180" s="45"/>
      <c r="G180" s="45"/>
      <c r="H180" s="46"/>
      <c r="I180" s="38"/>
      <c r="J180" s="39"/>
      <c r="K180" s="39"/>
      <c r="L180" s="47" t="str">
        <f>IF(OR(tblProductos[[#This Row],[SKU]]="",tblProductos[[#This Row],[Producto]]=""),"",tblProductos[[#This Row],[SKU]]&amp;" · "&amp;tblProductos[[#This Row],[Producto]]&amp;IF(tblProductos[[#This Row],[Activo]]="NO","  (inactivo)",""))</f>
        <v/>
      </c>
      <c r="M180" s="40" t="str">
        <f>IF(tblProductos[[#This Row],[SKU]]="","",COUNTIF(tblEntradas[SKU],tblProductos[[#This Row],[SKU]])+COUNTIF(tblSalidas[SKU],tblProductos[[#This Row],[SKU]]))</f>
        <v/>
      </c>
      <c r="N18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1" spans="2:14" x14ac:dyDescent="0.25">
      <c r="B181" s="38"/>
      <c r="C181" s="38"/>
      <c r="D181" s="38"/>
      <c r="E181" s="39"/>
      <c r="F181" s="45"/>
      <c r="G181" s="45"/>
      <c r="H181" s="46"/>
      <c r="I181" s="38"/>
      <c r="J181" s="39"/>
      <c r="K181" s="39"/>
      <c r="L181" s="47" t="str">
        <f>IF(OR(tblProductos[[#This Row],[SKU]]="",tblProductos[[#This Row],[Producto]]=""),"",tblProductos[[#This Row],[SKU]]&amp;" · "&amp;tblProductos[[#This Row],[Producto]]&amp;IF(tblProductos[[#This Row],[Activo]]="NO","  (inactivo)",""))</f>
        <v/>
      </c>
      <c r="M181" s="40" t="str">
        <f>IF(tblProductos[[#This Row],[SKU]]="","",COUNTIF(tblEntradas[SKU],tblProductos[[#This Row],[SKU]])+COUNTIF(tblSalidas[SKU],tblProductos[[#This Row],[SKU]]))</f>
        <v/>
      </c>
      <c r="N18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2" spans="2:14" x14ac:dyDescent="0.25">
      <c r="B182" s="38"/>
      <c r="C182" s="38"/>
      <c r="D182" s="38"/>
      <c r="E182" s="39"/>
      <c r="F182" s="45"/>
      <c r="G182" s="45"/>
      <c r="H182" s="46"/>
      <c r="I182" s="38"/>
      <c r="J182" s="39"/>
      <c r="K182" s="39"/>
      <c r="L182" s="47" t="str">
        <f>IF(OR(tblProductos[[#This Row],[SKU]]="",tblProductos[[#This Row],[Producto]]=""),"",tblProductos[[#This Row],[SKU]]&amp;" · "&amp;tblProductos[[#This Row],[Producto]]&amp;IF(tblProductos[[#This Row],[Activo]]="NO","  (inactivo)",""))</f>
        <v/>
      </c>
      <c r="M182" s="40" t="str">
        <f>IF(tblProductos[[#This Row],[SKU]]="","",COUNTIF(tblEntradas[SKU],tblProductos[[#This Row],[SKU]])+COUNTIF(tblSalidas[SKU],tblProductos[[#This Row],[SKU]]))</f>
        <v/>
      </c>
      <c r="N18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3" spans="2:14" x14ac:dyDescent="0.25">
      <c r="B183" s="38"/>
      <c r="C183" s="38"/>
      <c r="D183" s="38"/>
      <c r="E183" s="39"/>
      <c r="F183" s="45"/>
      <c r="G183" s="45"/>
      <c r="H183" s="46"/>
      <c r="I183" s="38"/>
      <c r="J183" s="39"/>
      <c r="K183" s="39"/>
      <c r="L183" s="47" t="str">
        <f>IF(OR(tblProductos[[#This Row],[SKU]]="",tblProductos[[#This Row],[Producto]]=""),"",tblProductos[[#This Row],[SKU]]&amp;" · "&amp;tblProductos[[#This Row],[Producto]]&amp;IF(tblProductos[[#This Row],[Activo]]="NO","  (inactivo)",""))</f>
        <v/>
      </c>
      <c r="M183" s="40" t="str">
        <f>IF(tblProductos[[#This Row],[SKU]]="","",COUNTIF(tblEntradas[SKU],tblProductos[[#This Row],[SKU]])+COUNTIF(tblSalidas[SKU],tblProductos[[#This Row],[SKU]]))</f>
        <v/>
      </c>
      <c r="N18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4" spans="2:14" x14ac:dyDescent="0.25">
      <c r="B184" s="38"/>
      <c r="C184" s="38"/>
      <c r="D184" s="38"/>
      <c r="E184" s="39"/>
      <c r="F184" s="45"/>
      <c r="G184" s="45"/>
      <c r="H184" s="46"/>
      <c r="I184" s="38"/>
      <c r="J184" s="39"/>
      <c r="K184" s="39"/>
      <c r="L184" s="47" t="str">
        <f>IF(OR(tblProductos[[#This Row],[SKU]]="",tblProductos[[#This Row],[Producto]]=""),"",tblProductos[[#This Row],[SKU]]&amp;" · "&amp;tblProductos[[#This Row],[Producto]]&amp;IF(tblProductos[[#This Row],[Activo]]="NO","  (inactivo)",""))</f>
        <v/>
      </c>
      <c r="M184" s="40" t="str">
        <f>IF(tblProductos[[#This Row],[SKU]]="","",COUNTIF(tblEntradas[SKU],tblProductos[[#This Row],[SKU]])+COUNTIF(tblSalidas[SKU],tblProductos[[#This Row],[SKU]]))</f>
        <v/>
      </c>
      <c r="N18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5" spans="2:14" x14ac:dyDescent="0.25">
      <c r="B185" s="38"/>
      <c r="C185" s="38"/>
      <c r="D185" s="38"/>
      <c r="E185" s="39"/>
      <c r="F185" s="45"/>
      <c r="G185" s="45"/>
      <c r="H185" s="46"/>
      <c r="I185" s="38"/>
      <c r="J185" s="39"/>
      <c r="K185" s="39"/>
      <c r="L185" s="47" t="str">
        <f>IF(OR(tblProductos[[#This Row],[SKU]]="",tblProductos[[#This Row],[Producto]]=""),"",tblProductos[[#This Row],[SKU]]&amp;" · "&amp;tblProductos[[#This Row],[Producto]]&amp;IF(tblProductos[[#This Row],[Activo]]="NO","  (inactivo)",""))</f>
        <v/>
      </c>
      <c r="M185" s="40" t="str">
        <f>IF(tblProductos[[#This Row],[SKU]]="","",COUNTIF(tblEntradas[SKU],tblProductos[[#This Row],[SKU]])+COUNTIF(tblSalidas[SKU],tblProductos[[#This Row],[SKU]]))</f>
        <v/>
      </c>
      <c r="N18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6" spans="2:14" x14ac:dyDescent="0.25">
      <c r="B186" s="38"/>
      <c r="C186" s="38"/>
      <c r="D186" s="38"/>
      <c r="E186" s="39"/>
      <c r="F186" s="45"/>
      <c r="G186" s="45"/>
      <c r="H186" s="46"/>
      <c r="I186" s="38"/>
      <c r="J186" s="39"/>
      <c r="K186" s="39"/>
      <c r="L186" s="47" t="str">
        <f>IF(OR(tblProductos[[#This Row],[SKU]]="",tblProductos[[#This Row],[Producto]]=""),"",tblProductos[[#This Row],[SKU]]&amp;" · "&amp;tblProductos[[#This Row],[Producto]]&amp;IF(tblProductos[[#This Row],[Activo]]="NO","  (inactivo)",""))</f>
        <v/>
      </c>
      <c r="M186" s="40" t="str">
        <f>IF(tblProductos[[#This Row],[SKU]]="","",COUNTIF(tblEntradas[SKU],tblProductos[[#This Row],[SKU]])+COUNTIF(tblSalidas[SKU],tblProductos[[#This Row],[SKU]]))</f>
        <v/>
      </c>
      <c r="N18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7" spans="2:14" x14ac:dyDescent="0.25">
      <c r="B187" s="38"/>
      <c r="C187" s="38"/>
      <c r="D187" s="38"/>
      <c r="E187" s="39"/>
      <c r="F187" s="45"/>
      <c r="G187" s="45"/>
      <c r="H187" s="46"/>
      <c r="I187" s="38"/>
      <c r="J187" s="39"/>
      <c r="K187" s="39"/>
      <c r="L187" s="47" t="str">
        <f>IF(OR(tblProductos[[#This Row],[SKU]]="",tblProductos[[#This Row],[Producto]]=""),"",tblProductos[[#This Row],[SKU]]&amp;" · "&amp;tblProductos[[#This Row],[Producto]]&amp;IF(tblProductos[[#This Row],[Activo]]="NO","  (inactivo)",""))</f>
        <v/>
      </c>
      <c r="M187" s="40" t="str">
        <f>IF(tblProductos[[#This Row],[SKU]]="","",COUNTIF(tblEntradas[SKU],tblProductos[[#This Row],[SKU]])+COUNTIF(tblSalidas[SKU],tblProductos[[#This Row],[SKU]]))</f>
        <v/>
      </c>
      <c r="N18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8" spans="2:14" x14ac:dyDescent="0.25">
      <c r="B188" s="38"/>
      <c r="C188" s="38"/>
      <c r="D188" s="38"/>
      <c r="E188" s="39"/>
      <c r="F188" s="45"/>
      <c r="G188" s="45"/>
      <c r="H188" s="46"/>
      <c r="I188" s="38"/>
      <c r="J188" s="39"/>
      <c r="K188" s="39"/>
      <c r="L188" s="47" t="str">
        <f>IF(OR(tblProductos[[#This Row],[SKU]]="",tblProductos[[#This Row],[Producto]]=""),"",tblProductos[[#This Row],[SKU]]&amp;" · "&amp;tblProductos[[#This Row],[Producto]]&amp;IF(tblProductos[[#This Row],[Activo]]="NO","  (inactivo)",""))</f>
        <v/>
      </c>
      <c r="M188" s="40" t="str">
        <f>IF(tblProductos[[#This Row],[SKU]]="","",COUNTIF(tblEntradas[SKU],tblProductos[[#This Row],[SKU]])+COUNTIF(tblSalidas[SKU],tblProductos[[#This Row],[SKU]]))</f>
        <v/>
      </c>
      <c r="N18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9" spans="2:14" x14ac:dyDescent="0.25">
      <c r="B189" s="38"/>
      <c r="C189" s="38"/>
      <c r="D189" s="38"/>
      <c r="E189" s="39"/>
      <c r="F189" s="45"/>
      <c r="G189" s="45"/>
      <c r="H189" s="46"/>
      <c r="I189" s="38"/>
      <c r="J189" s="39"/>
      <c r="K189" s="39"/>
      <c r="L189" s="47" t="str">
        <f>IF(OR(tblProductos[[#This Row],[SKU]]="",tblProductos[[#This Row],[Producto]]=""),"",tblProductos[[#This Row],[SKU]]&amp;" · "&amp;tblProductos[[#This Row],[Producto]]&amp;IF(tblProductos[[#This Row],[Activo]]="NO","  (inactivo)",""))</f>
        <v/>
      </c>
      <c r="M189" s="40" t="str">
        <f>IF(tblProductos[[#This Row],[SKU]]="","",COUNTIF(tblEntradas[SKU],tblProductos[[#This Row],[SKU]])+COUNTIF(tblSalidas[SKU],tblProductos[[#This Row],[SKU]]))</f>
        <v/>
      </c>
      <c r="N18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0" spans="2:14" x14ac:dyDescent="0.25">
      <c r="B190" s="38"/>
      <c r="C190" s="38"/>
      <c r="D190" s="38"/>
      <c r="E190" s="39"/>
      <c r="F190" s="45"/>
      <c r="G190" s="45"/>
      <c r="H190" s="46"/>
      <c r="I190" s="38"/>
      <c r="J190" s="39"/>
      <c r="K190" s="39"/>
      <c r="L190" s="47" t="str">
        <f>IF(OR(tblProductos[[#This Row],[SKU]]="",tblProductos[[#This Row],[Producto]]=""),"",tblProductos[[#This Row],[SKU]]&amp;" · "&amp;tblProductos[[#This Row],[Producto]]&amp;IF(tblProductos[[#This Row],[Activo]]="NO","  (inactivo)",""))</f>
        <v/>
      </c>
      <c r="M190" s="40" t="str">
        <f>IF(tblProductos[[#This Row],[SKU]]="","",COUNTIF(tblEntradas[SKU],tblProductos[[#This Row],[SKU]])+COUNTIF(tblSalidas[SKU],tblProductos[[#This Row],[SKU]]))</f>
        <v/>
      </c>
      <c r="N19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1" spans="2:14" x14ac:dyDescent="0.25">
      <c r="B191" s="38"/>
      <c r="C191" s="38"/>
      <c r="D191" s="38"/>
      <c r="E191" s="39"/>
      <c r="F191" s="45"/>
      <c r="G191" s="45"/>
      <c r="H191" s="46"/>
      <c r="I191" s="38"/>
      <c r="J191" s="39"/>
      <c r="K191" s="39"/>
      <c r="L191" s="47" t="str">
        <f>IF(OR(tblProductos[[#This Row],[SKU]]="",tblProductos[[#This Row],[Producto]]=""),"",tblProductos[[#This Row],[SKU]]&amp;" · "&amp;tblProductos[[#This Row],[Producto]]&amp;IF(tblProductos[[#This Row],[Activo]]="NO","  (inactivo)",""))</f>
        <v/>
      </c>
      <c r="M191" s="40" t="str">
        <f>IF(tblProductos[[#This Row],[SKU]]="","",COUNTIF(tblEntradas[SKU],tblProductos[[#This Row],[SKU]])+COUNTIF(tblSalidas[SKU],tblProductos[[#This Row],[SKU]]))</f>
        <v/>
      </c>
      <c r="N19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2" spans="2:14" x14ac:dyDescent="0.25">
      <c r="B192" s="38"/>
      <c r="C192" s="38"/>
      <c r="D192" s="38"/>
      <c r="E192" s="39"/>
      <c r="F192" s="45"/>
      <c r="G192" s="45"/>
      <c r="H192" s="46"/>
      <c r="I192" s="38"/>
      <c r="J192" s="39"/>
      <c r="K192" s="39"/>
      <c r="L192" s="47" t="str">
        <f>IF(OR(tblProductos[[#This Row],[SKU]]="",tblProductos[[#This Row],[Producto]]=""),"",tblProductos[[#This Row],[SKU]]&amp;" · "&amp;tblProductos[[#This Row],[Producto]]&amp;IF(tblProductos[[#This Row],[Activo]]="NO","  (inactivo)",""))</f>
        <v/>
      </c>
      <c r="M192" s="40" t="str">
        <f>IF(tblProductos[[#This Row],[SKU]]="","",COUNTIF(tblEntradas[SKU],tblProductos[[#This Row],[SKU]])+COUNTIF(tblSalidas[SKU],tblProductos[[#This Row],[SKU]]))</f>
        <v/>
      </c>
      <c r="N19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3" spans="2:14" x14ac:dyDescent="0.25">
      <c r="B193" s="38"/>
      <c r="C193" s="38"/>
      <c r="D193" s="38"/>
      <c r="E193" s="39"/>
      <c r="F193" s="45"/>
      <c r="G193" s="45"/>
      <c r="H193" s="46"/>
      <c r="I193" s="38"/>
      <c r="J193" s="39"/>
      <c r="K193" s="39"/>
      <c r="L193" s="47" t="str">
        <f>IF(OR(tblProductos[[#This Row],[SKU]]="",tblProductos[[#This Row],[Producto]]=""),"",tblProductos[[#This Row],[SKU]]&amp;" · "&amp;tblProductos[[#This Row],[Producto]]&amp;IF(tblProductos[[#This Row],[Activo]]="NO","  (inactivo)",""))</f>
        <v/>
      </c>
      <c r="M193" s="40" t="str">
        <f>IF(tblProductos[[#This Row],[SKU]]="","",COUNTIF(tblEntradas[SKU],tblProductos[[#This Row],[SKU]])+COUNTIF(tblSalidas[SKU],tblProductos[[#This Row],[SKU]]))</f>
        <v/>
      </c>
      <c r="N19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4" spans="2:14" x14ac:dyDescent="0.25">
      <c r="B194" s="38"/>
      <c r="C194" s="38"/>
      <c r="D194" s="38"/>
      <c r="E194" s="39"/>
      <c r="F194" s="45"/>
      <c r="G194" s="45"/>
      <c r="H194" s="46"/>
      <c r="I194" s="38"/>
      <c r="J194" s="39"/>
      <c r="K194" s="39"/>
      <c r="L194" s="47" t="str">
        <f>IF(OR(tblProductos[[#This Row],[SKU]]="",tblProductos[[#This Row],[Producto]]=""),"",tblProductos[[#This Row],[SKU]]&amp;" · "&amp;tblProductos[[#This Row],[Producto]]&amp;IF(tblProductos[[#This Row],[Activo]]="NO","  (inactivo)",""))</f>
        <v/>
      </c>
      <c r="M194" s="40" t="str">
        <f>IF(tblProductos[[#This Row],[SKU]]="","",COUNTIF(tblEntradas[SKU],tblProductos[[#This Row],[SKU]])+COUNTIF(tblSalidas[SKU],tblProductos[[#This Row],[SKU]]))</f>
        <v/>
      </c>
      <c r="N19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5" spans="2:14" x14ac:dyDescent="0.25">
      <c r="B195" s="38"/>
      <c r="C195" s="38"/>
      <c r="D195" s="38"/>
      <c r="E195" s="39"/>
      <c r="F195" s="45"/>
      <c r="G195" s="45"/>
      <c r="H195" s="46"/>
      <c r="I195" s="38"/>
      <c r="J195" s="39"/>
      <c r="K195" s="39"/>
      <c r="L195" s="47" t="str">
        <f>IF(OR(tblProductos[[#This Row],[SKU]]="",tblProductos[[#This Row],[Producto]]=""),"",tblProductos[[#This Row],[SKU]]&amp;" · "&amp;tblProductos[[#This Row],[Producto]]&amp;IF(tblProductos[[#This Row],[Activo]]="NO","  (inactivo)",""))</f>
        <v/>
      </c>
      <c r="M195" s="40" t="str">
        <f>IF(tblProductos[[#This Row],[SKU]]="","",COUNTIF(tblEntradas[SKU],tblProductos[[#This Row],[SKU]])+COUNTIF(tblSalidas[SKU],tblProductos[[#This Row],[SKU]]))</f>
        <v/>
      </c>
      <c r="N19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6" spans="2:14" x14ac:dyDescent="0.25">
      <c r="B196" s="38"/>
      <c r="C196" s="38"/>
      <c r="D196" s="38"/>
      <c r="E196" s="39"/>
      <c r="F196" s="45"/>
      <c r="G196" s="45"/>
      <c r="H196" s="46"/>
      <c r="I196" s="38"/>
      <c r="J196" s="39"/>
      <c r="K196" s="39"/>
      <c r="L196" s="47" t="str">
        <f>IF(OR(tblProductos[[#This Row],[SKU]]="",tblProductos[[#This Row],[Producto]]=""),"",tblProductos[[#This Row],[SKU]]&amp;" · "&amp;tblProductos[[#This Row],[Producto]]&amp;IF(tblProductos[[#This Row],[Activo]]="NO","  (inactivo)",""))</f>
        <v/>
      </c>
      <c r="M196" s="40" t="str">
        <f>IF(tblProductos[[#This Row],[SKU]]="","",COUNTIF(tblEntradas[SKU],tblProductos[[#This Row],[SKU]])+COUNTIF(tblSalidas[SKU],tblProductos[[#This Row],[SKU]]))</f>
        <v/>
      </c>
      <c r="N19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7" spans="2:14" x14ac:dyDescent="0.25">
      <c r="B197" s="38"/>
      <c r="C197" s="38"/>
      <c r="D197" s="38"/>
      <c r="E197" s="39"/>
      <c r="F197" s="45"/>
      <c r="G197" s="45"/>
      <c r="H197" s="46"/>
      <c r="I197" s="38"/>
      <c r="J197" s="39"/>
      <c r="K197" s="39"/>
      <c r="L197" s="47" t="str">
        <f>IF(OR(tblProductos[[#This Row],[SKU]]="",tblProductos[[#This Row],[Producto]]=""),"",tblProductos[[#This Row],[SKU]]&amp;" · "&amp;tblProductos[[#This Row],[Producto]]&amp;IF(tblProductos[[#This Row],[Activo]]="NO","  (inactivo)",""))</f>
        <v/>
      </c>
      <c r="M197" s="40" t="str">
        <f>IF(tblProductos[[#This Row],[SKU]]="","",COUNTIF(tblEntradas[SKU],tblProductos[[#This Row],[SKU]])+COUNTIF(tblSalidas[SKU],tblProductos[[#This Row],[SKU]]))</f>
        <v/>
      </c>
      <c r="N19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8" spans="2:14" x14ac:dyDescent="0.25">
      <c r="B198" s="38"/>
      <c r="C198" s="38"/>
      <c r="D198" s="38"/>
      <c r="E198" s="39"/>
      <c r="F198" s="45"/>
      <c r="G198" s="45"/>
      <c r="H198" s="46"/>
      <c r="I198" s="38"/>
      <c r="J198" s="39"/>
      <c r="K198" s="39"/>
      <c r="L198" s="47" t="str">
        <f>IF(OR(tblProductos[[#This Row],[SKU]]="",tblProductos[[#This Row],[Producto]]=""),"",tblProductos[[#This Row],[SKU]]&amp;" · "&amp;tblProductos[[#This Row],[Producto]]&amp;IF(tblProductos[[#This Row],[Activo]]="NO","  (inactivo)",""))</f>
        <v/>
      </c>
      <c r="M198" s="40" t="str">
        <f>IF(tblProductos[[#This Row],[SKU]]="","",COUNTIF(tblEntradas[SKU],tblProductos[[#This Row],[SKU]])+COUNTIF(tblSalidas[SKU],tblProductos[[#This Row],[SKU]]))</f>
        <v/>
      </c>
      <c r="N19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9" spans="2:14" x14ac:dyDescent="0.25">
      <c r="B199" s="38"/>
      <c r="C199" s="38"/>
      <c r="D199" s="38"/>
      <c r="E199" s="39"/>
      <c r="F199" s="45"/>
      <c r="G199" s="45"/>
      <c r="H199" s="46"/>
      <c r="I199" s="38"/>
      <c r="J199" s="39"/>
      <c r="K199" s="39"/>
      <c r="L199" s="47" t="str">
        <f>IF(OR(tblProductos[[#This Row],[SKU]]="",tblProductos[[#This Row],[Producto]]=""),"",tblProductos[[#This Row],[SKU]]&amp;" · "&amp;tblProductos[[#This Row],[Producto]]&amp;IF(tblProductos[[#This Row],[Activo]]="NO","  (inactivo)",""))</f>
        <v/>
      </c>
      <c r="M199" s="40" t="str">
        <f>IF(tblProductos[[#This Row],[SKU]]="","",COUNTIF(tblEntradas[SKU],tblProductos[[#This Row],[SKU]])+COUNTIF(tblSalidas[SKU],tblProductos[[#This Row],[SKU]]))</f>
        <v/>
      </c>
      <c r="N19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0" spans="2:14" x14ac:dyDescent="0.25">
      <c r="B200" s="38"/>
      <c r="C200" s="38"/>
      <c r="D200" s="38"/>
      <c r="E200" s="39"/>
      <c r="F200" s="45"/>
      <c r="G200" s="45"/>
      <c r="H200" s="46"/>
      <c r="I200" s="38"/>
      <c r="J200" s="39"/>
      <c r="K200" s="39"/>
      <c r="L200" s="47" t="str">
        <f>IF(OR(tblProductos[[#This Row],[SKU]]="",tblProductos[[#This Row],[Producto]]=""),"",tblProductos[[#This Row],[SKU]]&amp;" · "&amp;tblProductos[[#This Row],[Producto]]&amp;IF(tblProductos[[#This Row],[Activo]]="NO","  (inactivo)",""))</f>
        <v/>
      </c>
      <c r="M200" s="40" t="str">
        <f>IF(tblProductos[[#This Row],[SKU]]="","",COUNTIF(tblEntradas[SKU],tblProductos[[#This Row],[SKU]])+COUNTIF(tblSalidas[SKU],tblProductos[[#This Row],[SKU]]))</f>
        <v/>
      </c>
      <c r="N20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1" spans="2:14" x14ac:dyDescent="0.25">
      <c r="B201" s="38"/>
      <c r="C201" s="38"/>
      <c r="D201" s="38"/>
      <c r="E201" s="39"/>
      <c r="F201" s="45"/>
      <c r="G201" s="45"/>
      <c r="H201" s="46"/>
      <c r="I201" s="38"/>
      <c r="J201" s="39"/>
      <c r="K201" s="39"/>
      <c r="L201" s="47" t="str">
        <f>IF(OR(tblProductos[[#This Row],[SKU]]="",tblProductos[[#This Row],[Producto]]=""),"",tblProductos[[#This Row],[SKU]]&amp;" · "&amp;tblProductos[[#This Row],[Producto]]&amp;IF(tblProductos[[#This Row],[Activo]]="NO","  (inactivo)",""))</f>
        <v/>
      </c>
      <c r="M201" s="40" t="str">
        <f>IF(tblProductos[[#This Row],[SKU]]="","",COUNTIF(tblEntradas[SKU],tblProductos[[#This Row],[SKU]])+COUNTIF(tblSalidas[SKU],tblProductos[[#This Row],[SKU]]))</f>
        <v/>
      </c>
      <c r="N20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2" spans="2:14" x14ac:dyDescent="0.25">
      <c r="B202" s="38"/>
      <c r="C202" s="38"/>
      <c r="D202" s="38"/>
      <c r="E202" s="39"/>
      <c r="F202" s="45"/>
      <c r="G202" s="45"/>
      <c r="H202" s="46"/>
      <c r="I202" s="38"/>
      <c r="J202" s="39"/>
      <c r="K202" s="39"/>
      <c r="L202" s="47" t="str">
        <f>IF(OR(tblProductos[[#This Row],[SKU]]="",tblProductos[[#This Row],[Producto]]=""),"",tblProductos[[#This Row],[SKU]]&amp;" · "&amp;tblProductos[[#This Row],[Producto]]&amp;IF(tblProductos[[#This Row],[Activo]]="NO","  (inactivo)",""))</f>
        <v/>
      </c>
      <c r="M202" s="40" t="str">
        <f>IF(tblProductos[[#This Row],[SKU]]="","",COUNTIF(tblEntradas[SKU],tblProductos[[#This Row],[SKU]])+COUNTIF(tblSalidas[SKU],tblProductos[[#This Row],[SKU]]))</f>
        <v/>
      </c>
      <c r="N20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3" spans="2:14" x14ac:dyDescent="0.25">
      <c r="B203" s="38"/>
      <c r="C203" s="38"/>
      <c r="D203" s="38"/>
      <c r="E203" s="39"/>
      <c r="F203" s="45"/>
      <c r="G203" s="45"/>
      <c r="H203" s="46"/>
      <c r="I203" s="38"/>
      <c r="J203" s="39"/>
      <c r="K203" s="39"/>
      <c r="L203" s="47" t="str">
        <f>IF(OR(tblProductos[[#This Row],[SKU]]="",tblProductos[[#This Row],[Producto]]=""),"",tblProductos[[#This Row],[SKU]]&amp;" · "&amp;tblProductos[[#This Row],[Producto]]&amp;IF(tblProductos[[#This Row],[Activo]]="NO","  (inactivo)",""))</f>
        <v/>
      </c>
      <c r="M203" s="40" t="str">
        <f>IF(tblProductos[[#This Row],[SKU]]="","",COUNTIF(tblEntradas[SKU],tblProductos[[#This Row],[SKU]])+COUNTIF(tblSalidas[SKU],tblProductos[[#This Row],[SKU]]))</f>
        <v/>
      </c>
      <c r="N20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4" spans="2:14" x14ac:dyDescent="0.25">
      <c r="B204" s="38"/>
      <c r="C204" s="38"/>
      <c r="D204" s="38"/>
      <c r="E204" s="39"/>
      <c r="F204" s="45"/>
      <c r="G204" s="45"/>
      <c r="H204" s="46"/>
      <c r="I204" s="38"/>
      <c r="J204" s="39"/>
      <c r="K204" s="39"/>
      <c r="L204" s="47" t="str">
        <f>IF(OR(tblProductos[[#This Row],[SKU]]="",tblProductos[[#This Row],[Producto]]=""),"",tblProductos[[#This Row],[SKU]]&amp;" · "&amp;tblProductos[[#This Row],[Producto]]&amp;IF(tblProductos[[#This Row],[Activo]]="NO","  (inactivo)",""))</f>
        <v/>
      </c>
      <c r="M204" s="40" t="str">
        <f>IF(tblProductos[[#This Row],[SKU]]="","",COUNTIF(tblEntradas[SKU],tblProductos[[#This Row],[SKU]])+COUNTIF(tblSalidas[SKU],tblProductos[[#This Row],[SKU]]))</f>
        <v/>
      </c>
      <c r="N20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5" spans="2:14" x14ac:dyDescent="0.25">
      <c r="B205" s="38"/>
      <c r="C205" s="38"/>
      <c r="D205" s="38"/>
      <c r="E205" s="39"/>
      <c r="F205" s="45"/>
      <c r="G205" s="45"/>
      <c r="H205" s="46"/>
      <c r="I205" s="38"/>
      <c r="J205" s="39"/>
      <c r="K205" s="39"/>
      <c r="L205" s="47" t="str">
        <f>IF(OR(tblProductos[[#This Row],[SKU]]="",tblProductos[[#This Row],[Producto]]=""),"",tblProductos[[#This Row],[SKU]]&amp;" · "&amp;tblProductos[[#This Row],[Producto]]&amp;IF(tblProductos[[#This Row],[Activo]]="NO","  (inactivo)",""))</f>
        <v/>
      </c>
      <c r="M205" s="40" t="str">
        <f>IF(tblProductos[[#This Row],[SKU]]="","",COUNTIF(tblEntradas[SKU],tblProductos[[#This Row],[SKU]])+COUNTIF(tblSalidas[SKU],tblProductos[[#This Row],[SKU]]))</f>
        <v/>
      </c>
      <c r="N20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6" spans="2:14" x14ac:dyDescent="0.25">
      <c r="B206" s="38"/>
      <c r="C206" s="38"/>
      <c r="D206" s="38"/>
      <c r="E206" s="39"/>
      <c r="F206" s="45"/>
      <c r="G206" s="45"/>
      <c r="H206" s="46"/>
      <c r="I206" s="38"/>
      <c r="J206" s="39"/>
      <c r="K206" s="39"/>
      <c r="L206" s="47" t="str">
        <f>IF(OR(tblProductos[[#This Row],[SKU]]="",tblProductos[[#This Row],[Producto]]=""),"",tblProductos[[#This Row],[SKU]]&amp;" · "&amp;tblProductos[[#This Row],[Producto]]&amp;IF(tblProductos[[#This Row],[Activo]]="NO","  (inactivo)",""))</f>
        <v/>
      </c>
      <c r="M206" s="40" t="str">
        <f>IF(tblProductos[[#This Row],[SKU]]="","",COUNTIF(tblEntradas[SKU],tblProductos[[#This Row],[SKU]])+COUNTIF(tblSalidas[SKU],tblProductos[[#This Row],[SKU]]))</f>
        <v/>
      </c>
      <c r="N20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7" spans="2:14" x14ac:dyDescent="0.25">
      <c r="B207" s="38"/>
      <c r="C207" s="38"/>
      <c r="D207" s="38"/>
      <c r="E207" s="39"/>
      <c r="F207" s="45"/>
      <c r="G207" s="45"/>
      <c r="H207" s="46"/>
      <c r="I207" s="38"/>
      <c r="J207" s="39"/>
      <c r="K207" s="39"/>
      <c r="L207" s="47" t="str">
        <f>IF(OR(tblProductos[[#This Row],[SKU]]="",tblProductos[[#This Row],[Producto]]=""),"",tblProductos[[#This Row],[SKU]]&amp;" · "&amp;tblProductos[[#This Row],[Producto]]&amp;IF(tblProductos[[#This Row],[Activo]]="NO","  (inactivo)",""))</f>
        <v/>
      </c>
      <c r="M207" s="40" t="str">
        <f>IF(tblProductos[[#This Row],[SKU]]="","",COUNTIF(tblEntradas[SKU],tblProductos[[#This Row],[SKU]])+COUNTIF(tblSalidas[SKU],tblProductos[[#This Row],[SKU]]))</f>
        <v/>
      </c>
      <c r="N20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8" spans="2:14" x14ac:dyDescent="0.25">
      <c r="B208" s="38"/>
      <c r="C208" s="38"/>
      <c r="D208" s="38"/>
      <c r="E208" s="39"/>
      <c r="F208" s="45"/>
      <c r="G208" s="45"/>
      <c r="H208" s="46"/>
      <c r="I208" s="38"/>
      <c r="J208" s="39"/>
      <c r="K208" s="39"/>
      <c r="L208" s="47" t="str">
        <f>IF(OR(tblProductos[[#This Row],[SKU]]="",tblProductos[[#This Row],[Producto]]=""),"",tblProductos[[#This Row],[SKU]]&amp;" · "&amp;tblProductos[[#This Row],[Producto]]&amp;IF(tblProductos[[#This Row],[Activo]]="NO","  (inactivo)",""))</f>
        <v/>
      </c>
      <c r="M208" s="40" t="str">
        <f>IF(tblProductos[[#This Row],[SKU]]="","",COUNTIF(tblEntradas[SKU],tblProductos[[#This Row],[SKU]])+COUNTIF(tblSalidas[SKU],tblProductos[[#This Row],[SKU]]))</f>
        <v/>
      </c>
      <c r="N20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9" spans="2:14" x14ac:dyDescent="0.25">
      <c r="B209" s="38"/>
      <c r="C209" s="38"/>
      <c r="D209" s="38"/>
      <c r="E209" s="39"/>
      <c r="F209" s="45"/>
      <c r="G209" s="45"/>
      <c r="H209" s="46"/>
      <c r="I209" s="38"/>
      <c r="J209" s="39"/>
      <c r="K209" s="39"/>
      <c r="L209" s="47" t="str">
        <f>IF(OR(tblProductos[[#This Row],[SKU]]="",tblProductos[[#This Row],[Producto]]=""),"",tblProductos[[#This Row],[SKU]]&amp;" · "&amp;tblProductos[[#This Row],[Producto]]&amp;IF(tblProductos[[#This Row],[Activo]]="NO","  (inactivo)",""))</f>
        <v/>
      </c>
      <c r="M209" s="40" t="str">
        <f>IF(tblProductos[[#This Row],[SKU]]="","",COUNTIF(tblEntradas[SKU],tblProductos[[#This Row],[SKU]])+COUNTIF(tblSalidas[SKU],tblProductos[[#This Row],[SKU]]))</f>
        <v/>
      </c>
      <c r="N20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0" spans="2:14" x14ac:dyDescent="0.25">
      <c r="B210" s="38"/>
      <c r="C210" s="38"/>
      <c r="D210" s="38"/>
      <c r="E210" s="39"/>
      <c r="F210" s="45"/>
      <c r="G210" s="45"/>
      <c r="H210" s="46"/>
      <c r="I210" s="38"/>
      <c r="J210" s="39"/>
      <c r="K210" s="39"/>
      <c r="L210" s="47" t="str">
        <f>IF(OR(tblProductos[[#This Row],[SKU]]="",tblProductos[[#This Row],[Producto]]=""),"",tblProductos[[#This Row],[SKU]]&amp;" · "&amp;tblProductos[[#This Row],[Producto]]&amp;IF(tblProductos[[#This Row],[Activo]]="NO","  (inactivo)",""))</f>
        <v/>
      </c>
      <c r="M210" s="40" t="str">
        <f>IF(tblProductos[[#This Row],[SKU]]="","",COUNTIF(tblEntradas[SKU],tblProductos[[#This Row],[SKU]])+COUNTIF(tblSalidas[SKU],tblProductos[[#This Row],[SKU]]))</f>
        <v/>
      </c>
      <c r="N21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1" spans="2:14" x14ac:dyDescent="0.25">
      <c r="B211" s="38"/>
      <c r="C211" s="38"/>
      <c r="D211" s="38"/>
      <c r="E211" s="39"/>
      <c r="F211" s="45"/>
      <c r="G211" s="45"/>
      <c r="H211" s="46"/>
      <c r="I211" s="38"/>
      <c r="J211" s="39"/>
      <c r="K211" s="39"/>
      <c r="L211" s="47" t="str">
        <f>IF(OR(tblProductos[[#This Row],[SKU]]="",tblProductos[[#This Row],[Producto]]=""),"",tblProductos[[#This Row],[SKU]]&amp;" · "&amp;tblProductos[[#This Row],[Producto]]&amp;IF(tblProductos[[#This Row],[Activo]]="NO","  (inactivo)",""))</f>
        <v/>
      </c>
      <c r="M211" s="40" t="str">
        <f>IF(tblProductos[[#This Row],[SKU]]="","",COUNTIF(tblEntradas[SKU],tblProductos[[#This Row],[SKU]])+COUNTIF(tblSalidas[SKU],tblProductos[[#This Row],[SKU]]))</f>
        <v/>
      </c>
      <c r="N21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2" spans="2:14" x14ac:dyDescent="0.25">
      <c r="B212" s="38"/>
      <c r="C212" s="38"/>
      <c r="D212" s="38"/>
      <c r="E212" s="39"/>
      <c r="F212" s="45"/>
      <c r="G212" s="45"/>
      <c r="H212" s="46"/>
      <c r="I212" s="38"/>
      <c r="J212" s="39"/>
      <c r="K212" s="39"/>
      <c r="L212" s="47" t="str">
        <f>IF(OR(tblProductos[[#This Row],[SKU]]="",tblProductos[[#This Row],[Producto]]=""),"",tblProductos[[#This Row],[SKU]]&amp;" · "&amp;tblProductos[[#This Row],[Producto]]&amp;IF(tblProductos[[#This Row],[Activo]]="NO","  (inactivo)",""))</f>
        <v/>
      </c>
      <c r="M212" s="40" t="str">
        <f>IF(tblProductos[[#This Row],[SKU]]="","",COUNTIF(tblEntradas[SKU],tblProductos[[#This Row],[SKU]])+COUNTIF(tblSalidas[SKU],tblProductos[[#This Row],[SKU]]))</f>
        <v/>
      </c>
      <c r="N21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3" spans="2:14" x14ac:dyDescent="0.25">
      <c r="B213" s="38"/>
      <c r="C213" s="38"/>
      <c r="D213" s="38"/>
      <c r="E213" s="39"/>
      <c r="F213" s="45"/>
      <c r="G213" s="45"/>
      <c r="H213" s="46"/>
      <c r="I213" s="38"/>
      <c r="J213" s="39"/>
      <c r="K213" s="39"/>
      <c r="L213" s="47" t="str">
        <f>IF(OR(tblProductos[[#This Row],[SKU]]="",tblProductos[[#This Row],[Producto]]=""),"",tblProductos[[#This Row],[SKU]]&amp;" · "&amp;tblProductos[[#This Row],[Producto]]&amp;IF(tblProductos[[#This Row],[Activo]]="NO","  (inactivo)",""))</f>
        <v/>
      </c>
      <c r="M213" s="40" t="str">
        <f>IF(tblProductos[[#This Row],[SKU]]="","",COUNTIF(tblEntradas[SKU],tblProductos[[#This Row],[SKU]])+COUNTIF(tblSalidas[SKU],tblProductos[[#This Row],[SKU]]))</f>
        <v/>
      </c>
      <c r="N21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4" spans="2:14" x14ac:dyDescent="0.25">
      <c r="B214" s="38"/>
      <c r="C214" s="38"/>
      <c r="D214" s="38"/>
      <c r="E214" s="39"/>
      <c r="F214" s="45"/>
      <c r="G214" s="45"/>
      <c r="H214" s="46"/>
      <c r="I214" s="38"/>
      <c r="J214" s="39"/>
      <c r="K214" s="39"/>
      <c r="L214" s="47" t="str">
        <f>IF(OR(tblProductos[[#This Row],[SKU]]="",tblProductos[[#This Row],[Producto]]=""),"",tblProductos[[#This Row],[SKU]]&amp;" · "&amp;tblProductos[[#This Row],[Producto]]&amp;IF(tblProductos[[#This Row],[Activo]]="NO","  (inactivo)",""))</f>
        <v/>
      </c>
      <c r="M214" s="40" t="str">
        <f>IF(tblProductos[[#This Row],[SKU]]="","",COUNTIF(tblEntradas[SKU],tblProductos[[#This Row],[SKU]])+COUNTIF(tblSalidas[SKU],tblProductos[[#This Row],[SKU]]))</f>
        <v/>
      </c>
      <c r="N21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5" spans="2:14" x14ac:dyDescent="0.25">
      <c r="B215" s="38"/>
      <c r="C215" s="38"/>
      <c r="D215" s="38"/>
      <c r="E215" s="39"/>
      <c r="F215" s="45"/>
      <c r="G215" s="45"/>
      <c r="H215" s="46"/>
      <c r="I215" s="38"/>
      <c r="J215" s="39"/>
      <c r="K215" s="39"/>
      <c r="L215" s="47" t="str">
        <f>IF(OR(tblProductos[[#This Row],[SKU]]="",tblProductos[[#This Row],[Producto]]=""),"",tblProductos[[#This Row],[SKU]]&amp;" · "&amp;tblProductos[[#This Row],[Producto]]&amp;IF(tblProductos[[#This Row],[Activo]]="NO","  (inactivo)",""))</f>
        <v/>
      </c>
      <c r="M215" s="40" t="str">
        <f>IF(tblProductos[[#This Row],[SKU]]="","",COUNTIF(tblEntradas[SKU],tblProductos[[#This Row],[SKU]])+COUNTIF(tblSalidas[SKU],tblProductos[[#This Row],[SKU]]))</f>
        <v/>
      </c>
      <c r="N21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6" spans="2:14" x14ac:dyDescent="0.25">
      <c r="B216" s="38"/>
      <c r="C216" s="38"/>
      <c r="D216" s="38"/>
      <c r="E216" s="39"/>
      <c r="F216" s="45"/>
      <c r="G216" s="45"/>
      <c r="H216" s="46"/>
      <c r="I216" s="38"/>
      <c r="J216" s="39"/>
      <c r="K216" s="39"/>
      <c r="L216" s="47" t="str">
        <f>IF(OR(tblProductos[[#This Row],[SKU]]="",tblProductos[[#This Row],[Producto]]=""),"",tblProductos[[#This Row],[SKU]]&amp;" · "&amp;tblProductos[[#This Row],[Producto]]&amp;IF(tblProductos[[#This Row],[Activo]]="NO","  (inactivo)",""))</f>
        <v/>
      </c>
      <c r="M216" s="40" t="str">
        <f>IF(tblProductos[[#This Row],[SKU]]="","",COUNTIF(tblEntradas[SKU],tblProductos[[#This Row],[SKU]])+COUNTIF(tblSalidas[SKU],tblProductos[[#This Row],[SKU]]))</f>
        <v/>
      </c>
      <c r="N21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7" spans="2:14" x14ac:dyDescent="0.25">
      <c r="B217" s="38"/>
      <c r="C217" s="38"/>
      <c r="D217" s="38"/>
      <c r="E217" s="39"/>
      <c r="F217" s="45"/>
      <c r="G217" s="45"/>
      <c r="H217" s="46"/>
      <c r="I217" s="38"/>
      <c r="J217" s="39"/>
      <c r="K217" s="39"/>
      <c r="L217" s="47" t="str">
        <f>IF(OR(tblProductos[[#This Row],[SKU]]="",tblProductos[[#This Row],[Producto]]=""),"",tblProductos[[#This Row],[SKU]]&amp;" · "&amp;tblProductos[[#This Row],[Producto]]&amp;IF(tblProductos[[#This Row],[Activo]]="NO","  (inactivo)",""))</f>
        <v/>
      </c>
      <c r="M217" s="40" t="str">
        <f>IF(tblProductos[[#This Row],[SKU]]="","",COUNTIF(tblEntradas[SKU],tblProductos[[#This Row],[SKU]])+COUNTIF(tblSalidas[SKU],tblProductos[[#This Row],[SKU]]))</f>
        <v/>
      </c>
      <c r="N21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8" spans="2:14" x14ac:dyDescent="0.25">
      <c r="B218" s="38"/>
      <c r="C218" s="38"/>
      <c r="D218" s="38"/>
      <c r="E218" s="39"/>
      <c r="F218" s="45"/>
      <c r="G218" s="45"/>
      <c r="H218" s="46"/>
      <c r="I218" s="38"/>
      <c r="J218" s="39"/>
      <c r="K218" s="39"/>
      <c r="L218" s="47" t="str">
        <f>IF(OR(tblProductos[[#This Row],[SKU]]="",tblProductos[[#This Row],[Producto]]=""),"",tblProductos[[#This Row],[SKU]]&amp;" · "&amp;tblProductos[[#This Row],[Producto]]&amp;IF(tblProductos[[#This Row],[Activo]]="NO","  (inactivo)",""))</f>
        <v/>
      </c>
      <c r="M218" s="40" t="str">
        <f>IF(tblProductos[[#This Row],[SKU]]="","",COUNTIF(tblEntradas[SKU],tblProductos[[#This Row],[SKU]])+COUNTIF(tblSalidas[SKU],tblProductos[[#This Row],[SKU]]))</f>
        <v/>
      </c>
      <c r="N21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9" spans="2:14" x14ac:dyDescent="0.25">
      <c r="B219" s="38"/>
      <c r="C219" s="38"/>
      <c r="D219" s="38"/>
      <c r="E219" s="39"/>
      <c r="F219" s="45"/>
      <c r="G219" s="45"/>
      <c r="H219" s="46"/>
      <c r="I219" s="38"/>
      <c r="J219" s="39"/>
      <c r="K219" s="39"/>
      <c r="L219" s="47" t="str">
        <f>IF(OR(tblProductos[[#This Row],[SKU]]="",tblProductos[[#This Row],[Producto]]=""),"",tblProductos[[#This Row],[SKU]]&amp;" · "&amp;tblProductos[[#This Row],[Producto]]&amp;IF(tblProductos[[#This Row],[Activo]]="NO","  (inactivo)",""))</f>
        <v/>
      </c>
      <c r="M219" s="40" t="str">
        <f>IF(tblProductos[[#This Row],[SKU]]="","",COUNTIF(tblEntradas[SKU],tblProductos[[#This Row],[SKU]])+COUNTIF(tblSalidas[SKU],tblProductos[[#This Row],[SKU]]))</f>
        <v/>
      </c>
      <c r="N21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0" spans="2:14" x14ac:dyDescent="0.25">
      <c r="B220" s="38"/>
      <c r="C220" s="38"/>
      <c r="D220" s="38"/>
      <c r="E220" s="39"/>
      <c r="F220" s="45"/>
      <c r="G220" s="45"/>
      <c r="H220" s="46"/>
      <c r="I220" s="38"/>
      <c r="J220" s="39"/>
      <c r="K220" s="39"/>
      <c r="L220" s="47" t="str">
        <f>IF(OR(tblProductos[[#This Row],[SKU]]="",tblProductos[[#This Row],[Producto]]=""),"",tblProductos[[#This Row],[SKU]]&amp;" · "&amp;tblProductos[[#This Row],[Producto]]&amp;IF(tblProductos[[#This Row],[Activo]]="NO","  (inactivo)",""))</f>
        <v/>
      </c>
      <c r="M220" s="40" t="str">
        <f>IF(tblProductos[[#This Row],[SKU]]="","",COUNTIF(tblEntradas[SKU],tblProductos[[#This Row],[SKU]])+COUNTIF(tblSalidas[SKU],tblProductos[[#This Row],[SKU]]))</f>
        <v/>
      </c>
      <c r="N22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1" spans="2:14" x14ac:dyDescent="0.25">
      <c r="B221" s="38"/>
      <c r="C221" s="38"/>
      <c r="D221" s="38"/>
      <c r="E221" s="39"/>
      <c r="F221" s="45"/>
      <c r="G221" s="45"/>
      <c r="H221" s="46"/>
      <c r="I221" s="38"/>
      <c r="J221" s="39"/>
      <c r="K221" s="39"/>
      <c r="L221" s="47" t="str">
        <f>IF(OR(tblProductos[[#This Row],[SKU]]="",tblProductos[[#This Row],[Producto]]=""),"",tblProductos[[#This Row],[SKU]]&amp;" · "&amp;tblProductos[[#This Row],[Producto]]&amp;IF(tblProductos[[#This Row],[Activo]]="NO","  (inactivo)",""))</f>
        <v/>
      </c>
      <c r="M221" s="40" t="str">
        <f>IF(tblProductos[[#This Row],[SKU]]="","",COUNTIF(tblEntradas[SKU],tblProductos[[#This Row],[SKU]])+COUNTIF(tblSalidas[SKU],tblProductos[[#This Row],[SKU]]))</f>
        <v/>
      </c>
      <c r="N22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2" spans="2:14" x14ac:dyDescent="0.25">
      <c r="B222" s="38"/>
      <c r="C222" s="38"/>
      <c r="D222" s="38"/>
      <c r="E222" s="39"/>
      <c r="F222" s="45"/>
      <c r="G222" s="45"/>
      <c r="H222" s="46"/>
      <c r="I222" s="38"/>
      <c r="J222" s="39"/>
      <c r="K222" s="39"/>
      <c r="L222" s="47" t="str">
        <f>IF(OR(tblProductos[[#This Row],[SKU]]="",tblProductos[[#This Row],[Producto]]=""),"",tblProductos[[#This Row],[SKU]]&amp;" · "&amp;tblProductos[[#This Row],[Producto]]&amp;IF(tblProductos[[#This Row],[Activo]]="NO","  (inactivo)",""))</f>
        <v/>
      </c>
      <c r="M222" s="40" t="str">
        <f>IF(tblProductos[[#This Row],[SKU]]="","",COUNTIF(tblEntradas[SKU],tblProductos[[#This Row],[SKU]])+COUNTIF(tblSalidas[SKU],tblProductos[[#This Row],[SKU]]))</f>
        <v/>
      </c>
      <c r="N22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3" spans="2:14" x14ac:dyDescent="0.25">
      <c r="B223" s="38"/>
      <c r="C223" s="38"/>
      <c r="D223" s="38"/>
      <c r="E223" s="39"/>
      <c r="F223" s="45"/>
      <c r="G223" s="45"/>
      <c r="H223" s="46"/>
      <c r="I223" s="38"/>
      <c r="J223" s="39"/>
      <c r="K223" s="39"/>
      <c r="L223" s="47" t="str">
        <f>IF(OR(tblProductos[[#This Row],[SKU]]="",tblProductos[[#This Row],[Producto]]=""),"",tblProductos[[#This Row],[SKU]]&amp;" · "&amp;tblProductos[[#This Row],[Producto]]&amp;IF(tblProductos[[#This Row],[Activo]]="NO","  (inactivo)",""))</f>
        <v/>
      </c>
      <c r="M223" s="40" t="str">
        <f>IF(tblProductos[[#This Row],[SKU]]="","",COUNTIF(tblEntradas[SKU],tblProductos[[#This Row],[SKU]])+COUNTIF(tblSalidas[SKU],tblProductos[[#This Row],[SKU]]))</f>
        <v/>
      </c>
      <c r="N22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4" spans="2:14" x14ac:dyDescent="0.25">
      <c r="B224" s="38"/>
      <c r="C224" s="38"/>
      <c r="D224" s="38"/>
      <c r="E224" s="39"/>
      <c r="F224" s="45"/>
      <c r="G224" s="45"/>
      <c r="H224" s="46"/>
      <c r="I224" s="38"/>
      <c r="J224" s="39"/>
      <c r="K224" s="39"/>
      <c r="L224" s="47" t="str">
        <f>IF(OR(tblProductos[[#This Row],[SKU]]="",tblProductos[[#This Row],[Producto]]=""),"",tblProductos[[#This Row],[SKU]]&amp;" · "&amp;tblProductos[[#This Row],[Producto]]&amp;IF(tblProductos[[#This Row],[Activo]]="NO","  (inactivo)",""))</f>
        <v/>
      </c>
      <c r="M224" s="40" t="str">
        <f>IF(tblProductos[[#This Row],[SKU]]="","",COUNTIF(tblEntradas[SKU],tblProductos[[#This Row],[SKU]])+COUNTIF(tblSalidas[SKU],tblProductos[[#This Row],[SKU]]))</f>
        <v/>
      </c>
      <c r="N22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5" spans="2:14" x14ac:dyDescent="0.25">
      <c r="B225" s="38"/>
      <c r="C225" s="38"/>
      <c r="D225" s="38"/>
      <c r="E225" s="39"/>
      <c r="F225" s="45"/>
      <c r="G225" s="45"/>
      <c r="H225" s="46"/>
      <c r="I225" s="38"/>
      <c r="J225" s="39"/>
      <c r="K225" s="39"/>
      <c r="L225" s="47" t="str">
        <f>IF(OR(tblProductos[[#This Row],[SKU]]="",tblProductos[[#This Row],[Producto]]=""),"",tblProductos[[#This Row],[SKU]]&amp;" · "&amp;tblProductos[[#This Row],[Producto]]&amp;IF(tblProductos[[#This Row],[Activo]]="NO","  (inactivo)",""))</f>
        <v/>
      </c>
      <c r="M225" s="40" t="str">
        <f>IF(tblProductos[[#This Row],[SKU]]="","",COUNTIF(tblEntradas[SKU],tblProductos[[#This Row],[SKU]])+COUNTIF(tblSalidas[SKU],tblProductos[[#This Row],[SKU]]))</f>
        <v/>
      </c>
      <c r="N22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6" spans="2:14" x14ac:dyDescent="0.25">
      <c r="B226" s="38"/>
      <c r="C226" s="38"/>
      <c r="D226" s="38"/>
      <c r="E226" s="39"/>
      <c r="F226" s="45"/>
      <c r="G226" s="45"/>
      <c r="H226" s="46"/>
      <c r="I226" s="38"/>
      <c r="J226" s="39"/>
      <c r="K226" s="39"/>
      <c r="L226" s="47" t="str">
        <f>IF(OR(tblProductos[[#This Row],[SKU]]="",tblProductos[[#This Row],[Producto]]=""),"",tblProductos[[#This Row],[SKU]]&amp;" · "&amp;tblProductos[[#This Row],[Producto]]&amp;IF(tblProductos[[#This Row],[Activo]]="NO","  (inactivo)",""))</f>
        <v/>
      </c>
      <c r="M226" s="40" t="str">
        <f>IF(tblProductos[[#This Row],[SKU]]="","",COUNTIF(tblEntradas[SKU],tblProductos[[#This Row],[SKU]])+COUNTIF(tblSalidas[SKU],tblProductos[[#This Row],[SKU]]))</f>
        <v/>
      </c>
      <c r="N22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7" spans="2:14" x14ac:dyDescent="0.25">
      <c r="B227" s="38"/>
      <c r="C227" s="38"/>
      <c r="D227" s="38"/>
      <c r="E227" s="39"/>
      <c r="F227" s="45"/>
      <c r="G227" s="45"/>
      <c r="H227" s="46"/>
      <c r="I227" s="38"/>
      <c r="J227" s="39"/>
      <c r="K227" s="39"/>
      <c r="L227" s="47" t="str">
        <f>IF(OR(tblProductos[[#This Row],[SKU]]="",tblProductos[[#This Row],[Producto]]=""),"",tblProductos[[#This Row],[SKU]]&amp;" · "&amp;tblProductos[[#This Row],[Producto]]&amp;IF(tblProductos[[#This Row],[Activo]]="NO","  (inactivo)",""))</f>
        <v/>
      </c>
      <c r="M227" s="40" t="str">
        <f>IF(tblProductos[[#This Row],[SKU]]="","",COUNTIF(tblEntradas[SKU],tblProductos[[#This Row],[SKU]])+COUNTIF(tblSalidas[SKU],tblProductos[[#This Row],[SKU]]))</f>
        <v/>
      </c>
      <c r="N22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8" spans="2:14" x14ac:dyDescent="0.25">
      <c r="B228" s="38"/>
      <c r="C228" s="38"/>
      <c r="D228" s="38"/>
      <c r="E228" s="39"/>
      <c r="F228" s="45"/>
      <c r="G228" s="45"/>
      <c r="H228" s="46"/>
      <c r="I228" s="38"/>
      <c r="J228" s="39"/>
      <c r="K228" s="39"/>
      <c r="L228" s="47" t="str">
        <f>IF(OR(tblProductos[[#This Row],[SKU]]="",tblProductos[[#This Row],[Producto]]=""),"",tblProductos[[#This Row],[SKU]]&amp;" · "&amp;tblProductos[[#This Row],[Producto]]&amp;IF(tblProductos[[#This Row],[Activo]]="NO","  (inactivo)",""))</f>
        <v/>
      </c>
      <c r="M228" s="40" t="str">
        <f>IF(tblProductos[[#This Row],[SKU]]="","",COUNTIF(tblEntradas[SKU],tblProductos[[#This Row],[SKU]])+COUNTIF(tblSalidas[SKU],tblProductos[[#This Row],[SKU]]))</f>
        <v/>
      </c>
      <c r="N22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9" spans="2:14" x14ac:dyDescent="0.25">
      <c r="B229" s="38"/>
      <c r="C229" s="38"/>
      <c r="D229" s="38"/>
      <c r="E229" s="39"/>
      <c r="F229" s="45"/>
      <c r="G229" s="45"/>
      <c r="H229" s="46"/>
      <c r="I229" s="38"/>
      <c r="J229" s="39"/>
      <c r="K229" s="39"/>
      <c r="L229" s="47" t="str">
        <f>IF(OR(tblProductos[[#This Row],[SKU]]="",tblProductos[[#This Row],[Producto]]=""),"",tblProductos[[#This Row],[SKU]]&amp;" · "&amp;tblProductos[[#This Row],[Producto]]&amp;IF(tblProductos[[#This Row],[Activo]]="NO","  (inactivo)",""))</f>
        <v/>
      </c>
      <c r="M229" s="40" t="str">
        <f>IF(tblProductos[[#This Row],[SKU]]="","",COUNTIF(tblEntradas[SKU],tblProductos[[#This Row],[SKU]])+COUNTIF(tblSalidas[SKU],tblProductos[[#This Row],[SKU]]))</f>
        <v/>
      </c>
      <c r="N22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0" spans="2:14" x14ac:dyDescent="0.25">
      <c r="B230" s="38"/>
      <c r="C230" s="38"/>
      <c r="D230" s="38"/>
      <c r="E230" s="39"/>
      <c r="F230" s="45"/>
      <c r="G230" s="45"/>
      <c r="H230" s="46"/>
      <c r="I230" s="38"/>
      <c r="J230" s="39"/>
      <c r="K230" s="39"/>
      <c r="L230" s="47" t="str">
        <f>IF(OR(tblProductos[[#This Row],[SKU]]="",tblProductos[[#This Row],[Producto]]=""),"",tblProductos[[#This Row],[SKU]]&amp;" · "&amp;tblProductos[[#This Row],[Producto]]&amp;IF(tblProductos[[#This Row],[Activo]]="NO","  (inactivo)",""))</f>
        <v/>
      </c>
      <c r="M230" s="40" t="str">
        <f>IF(tblProductos[[#This Row],[SKU]]="","",COUNTIF(tblEntradas[SKU],tblProductos[[#This Row],[SKU]])+COUNTIF(tblSalidas[SKU],tblProductos[[#This Row],[SKU]]))</f>
        <v/>
      </c>
      <c r="N23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1" spans="2:14" x14ac:dyDescent="0.25">
      <c r="B231" s="38"/>
      <c r="C231" s="38"/>
      <c r="D231" s="38"/>
      <c r="E231" s="39"/>
      <c r="F231" s="45"/>
      <c r="G231" s="45"/>
      <c r="H231" s="46"/>
      <c r="I231" s="38"/>
      <c r="J231" s="39"/>
      <c r="K231" s="39"/>
      <c r="L231" s="47" t="str">
        <f>IF(OR(tblProductos[[#This Row],[SKU]]="",tblProductos[[#This Row],[Producto]]=""),"",tblProductos[[#This Row],[SKU]]&amp;" · "&amp;tblProductos[[#This Row],[Producto]]&amp;IF(tblProductos[[#This Row],[Activo]]="NO","  (inactivo)",""))</f>
        <v/>
      </c>
      <c r="M231" s="40" t="str">
        <f>IF(tblProductos[[#This Row],[SKU]]="","",COUNTIF(tblEntradas[SKU],tblProductos[[#This Row],[SKU]])+COUNTIF(tblSalidas[SKU],tblProductos[[#This Row],[SKU]]))</f>
        <v/>
      </c>
      <c r="N23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2" spans="2:14" x14ac:dyDescent="0.25">
      <c r="B232" s="38"/>
      <c r="C232" s="38"/>
      <c r="D232" s="38"/>
      <c r="E232" s="39"/>
      <c r="F232" s="45"/>
      <c r="G232" s="45"/>
      <c r="H232" s="46"/>
      <c r="I232" s="38"/>
      <c r="J232" s="39"/>
      <c r="K232" s="39"/>
      <c r="L232" s="47" t="str">
        <f>IF(OR(tblProductos[[#This Row],[SKU]]="",tblProductos[[#This Row],[Producto]]=""),"",tblProductos[[#This Row],[SKU]]&amp;" · "&amp;tblProductos[[#This Row],[Producto]]&amp;IF(tblProductos[[#This Row],[Activo]]="NO","  (inactivo)",""))</f>
        <v/>
      </c>
      <c r="M232" s="40" t="str">
        <f>IF(tblProductos[[#This Row],[SKU]]="","",COUNTIF(tblEntradas[SKU],tblProductos[[#This Row],[SKU]])+COUNTIF(tblSalidas[SKU],tblProductos[[#This Row],[SKU]]))</f>
        <v/>
      </c>
      <c r="N23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3" spans="2:14" x14ac:dyDescent="0.25">
      <c r="B233" s="38"/>
      <c r="C233" s="38"/>
      <c r="D233" s="38"/>
      <c r="E233" s="39"/>
      <c r="F233" s="45"/>
      <c r="G233" s="45"/>
      <c r="H233" s="46"/>
      <c r="I233" s="38"/>
      <c r="J233" s="39"/>
      <c r="K233" s="39"/>
      <c r="L233" s="47" t="str">
        <f>IF(OR(tblProductos[[#This Row],[SKU]]="",tblProductos[[#This Row],[Producto]]=""),"",tblProductos[[#This Row],[SKU]]&amp;" · "&amp;tblProductos[[#This Row],[Producto]]&amp;IF(tblProductos[[#This Row],[Activo]]="NO","  (inactivo)",""))</f>
        <v/>
      </c>
      <c r="M233" s="40" t="str">
        <f>IF(tblProductos[[#This Row],[SKU]]="","",COUNTIF(tblEntradas[SKU],tblProductos[[#This Row],[SKU]])+COUNTIF(tblSalidas[SKU],tblProductos[[#This Row],[SKU]]))</f>
        <v/>
      </c>
      <c r="N23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4" spans="2:14" x14ac:dyDescent="0.25">
      <c r="B234" s="38"/>
      <c r="C234" s="38"/>
      <c r="D234" s="38"/>
      <c r="E234" s="39"/>
      <c r="F234" s="45"/>
      <c r="G234" s="45"/>
      <c r="H234" s="46"/>
      <c r="I234" s="38"/>
      <c r="J234" s="39"/>
      <c r="K234" s="39"/>
      <c r="L234" s="47" t="str">
        <f>IF(OR(tblProductos[[#This Row],[SKU]]="",tblProductos[[#This Row],[Producto]]=""),"",tblProductos[[#This Row],[SKU]]&amp;" · "&amp;tblProductos[[#This Row],[Producto]]&amp;IF(tblProductos[[#This Row],[Activo]]="NO","  (inactivo)",""))</f>
        <v/>
      </c>
      <c r="M234" s="40" t="str">
        <f>IF(tblProductos[[#This Row],[SKU]]="","",COUNTIF(tblEntradas[SKU],tblProductos[[#This Row],[SKU]])+COUNTIF(tblSalidas[SKU],tblProductos[[#This Row],[SKU]]))</f>
        <v/>
      </c>
      <c r="N23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5" spans="2:14" x14ac:dyDescent="0.25">
      <c r="B235" s="38"/>
      <c r="C235" s="38"/>
      <c r="D235" s="38"/>
      <c r="E235" s="39"/>
      <c r="F235" s="45"/>
      <c r="G235" s="45"/>
      <c r="H235" s="46"/>
      <c r="I235" s="38"/>
      <c r="J235" s="39"/>
      <c r="K235" s="39"/>
      <c r="L235" s="47" t="str">
        <f>IF(OR(tblProductos[[#This Row],[SKU]]="",tblProductos[[#This Row],[Producto]]=""),"",tblProductos[[#This Row],[SKU]]&amp;" · "&amp;tblProductos[[#This Row],[Producto]]&amp;IF(tblProductos[[#This Row],[Activo]]="NO","  (inactivo)",""))</f>
        <v/>
      </c>
      <c r="M235" s="40" t="str">
        <f>IF(tblProductos[[#This Row],[SKU]]="","",COUNTIF(tblEntradas[SKU],tblProductos[[#This Row],[SKU]])+COUNTIF(tblSalidas[SKU],tblProductos[[#This Row],[SKU]]))</f>
        <v/>
      </c>
      <c r="N23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6" spans="2:14" x14ac:dyDescent="0.25">
      <c r="B236" s="38"/>
      <c r="C236" s="38"/>
      <c r="D236" s="38"/>
      <c r="E236" s="39"/>
      <c r="F236" s="45"/>
      <c r="G236" s="45"/>
      <c r="H236" s="46"/>
      <c r="I236" s="38"/>
      <c r="J236" s="39"/>
      <c r="K236" s="39"/>
      <c r="L236" s="47" t="str">
        <f>IF(OR(tblProductos[[#This Row],[SKU]]="",tblProductos[[#This Row],[Producto]]=""),"",tblProductos[[#This Row],[SKU]]&amp;" · "&amp;tblProductos[[#This Row],[Producto]]&amp;IF(tblProductos[[#This Row],[Activo]]="NO","  (inactivo)",""))</f>
        <v/>
      </c>
      <c r="M236" s="40" t="str">
        <f>IF(tblProductos[[#This Row],[SKU]]="","",COUNTIF(tblEntradas[SKU],tblProductos[[#This Row],[SKU]])+COUNTIF(tblSalidas[SKU],tblProductos[[#This Row],[SKU]]))</f>
        <v/>
      </c>
      <c r="N23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7" spans="2:14" x14ac:dyDescent="0.25">
      <c r="B237" s="38"/>
      <c r="C237" s="38"/>
      <c r="D237" s="38"/>
      <c r="E237" s="39"/>
      <c r="F237" s="45"/>
      <c r="G237" s="45"/>
      <c r="H237" s="46"/>
      <c r="I237" s="38"/>
      <c r="J237" s="39"/>
      <c r="K237" s="39"/>
      <c r="L237" s="47" t="str">
        <f>IF(OR(tblProductos[[#This Row],[SKU]]="",tblProductos[[#This Row],[Producto]]=""),"",tblProductos[[#This Row],[SKU]]&amp;" · "&amp;tblProductos[[#This Row],[Producto]]&amp;IF(tblProductos[[#This Row],[Activo]]="NO","  (inactivo)",""))</f>
        <v/>
      </c>
      <c r="M237" s="40" t="str">
        <f>IF(tblProductos[[#This Row],[SKU]]="","",COUNTIF(tblEntradas[SKU],tblProductos[[#This Row],[SKU]])+COUNTIF(tblSalidas[SKU],tblProductos[[#This Row],[SKU]]))</f>
        <v/>
      </c>
      <c r="N23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8" spans="2:14" x14ac:dyDescent="0.25">
      <c r="B238" s="38"/>
      <c r="C238" s="38"/>
      <c r="D238" s="38"/>
      <c r="E238" s="39"/>
      <c r="F238" s="45"/>
      <c r="G238" s="45"/>
      <c r="H238" s="46"/>
      <c r="I238" s="38"/>
      <c r="J238" s="39"/>
      <c r="K238" s="39"/>
      <c r="L238" s="47" t="str">
        <f>IF(OR(tblProductos[[#This Row],[SKU]]="",tblProductos[[#This Row],[Producto]]=""),"",tblProductos[[#This Row],[SKU]]&amp;" · "&amp;tblProductos[[#This Row],[Producto]]&amp;IF(tblProductos[[#This Row],[Activo]]="NO","  (inactivo)",""))</f>
        <v/>
      </c>
      <c r="M238" s="40" t="str">
        <f>IF(tblProductos[[#This Row],[SKU]]="","",COUNTIF(tblEntradas[SKU],tblProductos[[#This Row],[SKU]])+COUNTIF(tblSalidas[SKU],tblProductos[[#This Row],[SKU]]))</f>
        <v/>
      </c>
      <c r="N23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9" spans="2:14" x14ac:dyDescent="0.25">
      <c r="B239" s="38"/>
      <c r="C239" s="38"/>
      <c r="D239" s="38"/>
      <c r="E239" s="39"/>
      <c r="F239" s="45"/>
      <c r="G239" s="45"/>
      <c r="H239" s="46"/>
      <c r="I239" s="38"/>
      <c r="J239" s="39"/>
      <c r="K239" s="39"/>
      <c r="L239" s="47" t="str">
        <f>IF(OR(tblProductos[[#This Row],[SKU]]="",tblProductos[[#This Row],[Producto]]=""),"",tblProductos[[#This Row],[SKU]]&amp;" · "&amp;tblProductos[[#This Row],[Producto]]&amp;IF(tblProductos[[#This Row],[Activo]]="NO","  (inactivo)",""))</f>
        <v/>
      </c>
      <c r="M239" s="40" t="str">
        <f>IF(tblProductos[[#This Row],[SKU]]="","",COUNTIF(tblEntradas[SKU],tblProductos[[#This Row],[SKU]])+COUNTIF(tblSalidas[SKU],tblProductos[[#This Row],[SKU]]))</f>
        <v/>
      </c>
      <c r="N23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0" spans="2:14" x14ac:dyDescent="0.25">
      <c r="B240" s="38"/>
      <c r="C240" s="38"/>
      <c r="D240" s="38"/>
      <c r="E240" s="39"/>
      <c r="F240" s="45"/>
      <c r="G240" s="45"/>
      <c r="H240" s="46"/>
      <c r="I240" s="38"/>
      <c r="J240" s="39"/>
      <c r="K240" s="39"/>
      <c r="L240" s="47" t="str">
        <f>IF(OR(tblProductos[[#This Row],[SKU]]="",tblProductos[[#This Row],[Producto]]=""),"",tblProductos[[#This Row],[SKU]]&amp;" · "&amp;tblProductos[[#This Row],[Producto]]&amp;IF(tblProductos[[#This Row],[Activo]]="NO","  (inactivo)",""))</f>
        <v/>
      </c>
      <c r="M240" s="40" t="str">
        <f>IF(tblProductos[[#This Row],[SKU]]="","",COUNTIF(tblEntradas[SKU],tblProductos[[#This Row],[SKU]])+COUNTIF(tblSalidas[SKU],tblProductos[[#This Row],[SKU]]))</f>
        <v/>
      </c>
      <c r="N24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1" spans="2:14" x14ac:dyDescent="0.25">
      <c r="B241" s="38"/>
      <c r="C241" s="38"/>
      <c r="D241" s="38"/>
      <c r="E241" s="39"/>
      <c r="F241" s="45"/>
      <c r="G241" s="45"/>
      <c r="H241" s="46"/>
      <c r="I241" s="38"/>
      <c r="J241" s="39"/>
      <c r="K241" s="39"/>
      <c r="L241" s="47" t="str">
        <f>IF(OR(tblProductos[[#This Row],[SKU]]="",tblProductos[[#This Row],[Producto]]=""),"",tblProductos[[#This Row],[SKU]]&amp;" · "&amp;tblProductos[[#This Row],[Producto]]&amp;IF(tblProductos[[#This Row],[Activo]]="NO","  (inactivo)",""))</f>
        <v/>
      </c>
      <c r="M241" s="40" t="str">
        <f>IF(tblProductos[[#This Row],[SKU]]="","",COUNTIF(tblEntradas[SKU],tblProductos[[#This Row],[SKU]])+COUNTIF(tblSalidas[SKU],tblProductos[[#This Row],[SKU]]))</f>
        <v/>
      </c>
      <c r="N24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2" spans="2:14" x14ac:dyDescent="0.25">
      <c r="B242" s="38"/>
      <c r="C242" s="38"/>
      <c r="D242" s="38"/>
      <c r="E242" s="39"/>
      <c r="F242" s="45"/>
      <c r="G242" s="45"/>
      <c r="H242" s="46"/>
      <c r="I242" s="38"/>
      <c r="J242" s="39"/>
      <c r="K242" s="39"/>
      <c r="L242" s="47" t="str">
        <f>IF(OR(tblProductos[[#This Row],[SKU]]="",tblProductos[[#This Row],[Producto]]=""),"",tblProductos[[#This Row],[SKU]]&amp;" · "&amp;tblProductos[[#This Row],[Producto]]&amp;IF(tblProductos[[#This Row],[Activo]]="NO","  (inactivo)",""))</f>
        <v/>
      </c>
      <c r="M242" s="40" t="str">
        <f>IF(tblProductos[[#This Row],[SKU]]="","",COUNTIF(tblEntradas[SKU],tblProductos[[#This Row],[SKU]])+COUNTIF(tblSalidas[SKU],tblProductos[[#This Row],[SKU]]))</f>
        <v/>
      </c>
      <c r="N24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3" spans="2:14" x14ac:dyDescent="0.25">
      <c r="B243" s="38"/>
      <c r="C243" s="38"/>
      <c r="D243" s="38"/>
      <c r="E243" s="39"/>
      <c r="F243" s="45"/>
      <c r="G243" s="45"/>
      <c r="H243" s="46"/>
      <c r="I243" s="38"/>
      <c r="J243" s="39"/>
      <c r="K243" s="39"/>
      <c r="L243" s="47" t="str">
        <f>IF(OR(tblProductos[[#This Row],[SKU]]="",tblProductos[[#This Row],[Producto]]=""),"",tblProductos[[#This Row],[SKU]]&amp;" · "&amp;tblProductos[[#This Row],[Producto]]&amp;IF(tblProductos[[#This Row],[Activo]]="NO","  (inactivo)",""))</f>
        <v/>
      </c>
      <c r="M243" s="40" t="str">
        <f>IF(tblProductos[[#This Row],[SKU]]="","",COUNTIF(tblEntradas[SKU],tblProductos[[#This Row],[SKU]])+COUNTIF(tblSalidas[SKU],tblProductos[[#This Row],[SKU]]))</f>
        <v/>
      </c>
      <c r="N24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4" spans="2:14" x14ac:dyDescent="0.25">
      <c r="B244" s="38"/>
      <c r="C244" s="38"/>
      <c r="D244" s="38"/>
      <c r="E244" s="39"/>
      <c r="F244" s="45"/>
      <c r="G244" s="45"/>
      <c r="H244" s="46"/>
      <c r="I244" s="38"/>
      <c r="J244" s="39"/>
      <c r="K244" s="39"/>
      <c r="L244" s="47" t="str">
        <f>IF(OR(tblProductos[[#This Row],[SKU]]="",tblProductos[[#This Row],[Producto]]=""),"",tblProductos[[#This Row],[SKU]]&amp;" · "&amp;tblProductos[[#This Row],[Producto]]&amp;IF(tblProductos[[#This Row],[Activo]]="NO","  (inactivo)",""))</f>
        <v/>
      </c>
      <c r="M244" s="40" t="str">
        <f>IF(tblProductos[[#This Row],[SKU]]="","",COUNTIF(tblEntradas[SKU],tblProductos[[#This Row],[SKU]])+COUNTIF(tblSalidas[SKU],tblProductos[[#This Row],[SKU]]))</f>
        <v/>
      </c>
      <c r="N24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5" spans="2:14" x14ac:dyDescent="0.25">
      <c r="B245" s="38"/>
      <c r="C245" s="38"/>
      <c r="D245" s="38"/>
      <c r="E245" s="39"/>
      <c r="F245" s="45"/>
      <c r="G245" s="45"/>
      <c r="H245" s="46"/>
      <c r="I245" s="38"/>
      <c r="J245" s="39"/>
      <c r="K245" s="39"/>
      <c r="L245" s="47" t="str">
        <f>IF(OR(tblProductos[[#This Row],[SKU]]="",tblProductos[[#This Row],[Producto]]=""),"",tblProductos[[#This Row],[SKU]]&amp;" · "&amp;tblProductos[[#This Row],[Producto]]&amp;IF(tblProductos[[#This Row],[Activo]]="NO","  (inactivo)",""))</f>
        <v/>
      </c>
      <c r="M245" s="40" t="str">
        <f>IF(tblProductos[[#This Row],[SKU]]="","",COUNTIF(tblEntradas[SKU],tblProductos[[#This Row],[SKU]])+COUNTIF(tblSalidas[SKU],tblProductos[[#This Row],[SKU]]))</f>
        <v/>
      </c>
      <c r="N24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6" spans="2:14" x14ac:dyDescent="0.25">
      <c r="B246" s="38"/>
      <c r="C246" s="38"/>
      <c r="D246" s="38"/>
      <c r="E246" s="39"/>
      <c r="F246" s="45"/>
      <c r="G246" s="45"/>
      <c r="H246" s="46"/>
      <c r="I246" s="38"/>
      <c r="J246" s="39"/>
      <c r="K246" s="39"/>
      <c r="L246" s="47" t="str">
        <f>IF(OR(tblProductos[[#This Row],[SKU]]="",tblProductos[[#This Row],[Producto]]=""),"",tblProductos[[#This Row],[SKU]]&amp;" · "&amp;tblProductos[[#This Row],[Producto]]&amp;IF(tblProductos[[#This Row],[Activo]]="NO","  (inactivo)",""))</f>
        <v/>
      </c>
      <c r="M246" s="40" t="str">
        <f>IF(tblProductos[[#This Row],[SKU]]="","",COUNTIF(tblEntradas[SKU],tblProductos[[#This Row],[SKU]])+COUNTIF(tblSalidas[SKU],tblProductos[[#This Row],[SKU]]))</f>
        <v/>
      </c>
      <c r="N24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7" spans="2:14" x14ac:dyDescent="0.25">
      <c r="B247" s="38"/>
      <c r="C247" s="38"/>
      <c r="D247" s="38"/>
      <c r="E247" s="39"/>
      <c r="F247" s="45"/>
      <c r="G247" s="45"/>
      <c r="H247" s="46"/>
      <c r="I247" s="38"/>
      <c r="J247" s="39"/>
      <c r="K247" s="39"/>
      <c r="L247" s="47" t="str">
        <f>IF(OR(tblProductos[[#This Row],[SKU]]="",tblProductos[[#This Row],[Producto]]=""),"",tblProductos[[#This Row],[SKU]]&amp;" · "&amp;tblProductos[[#This Row],[Producto]]&amp;IF(tblProductos[[#This Row],[Activo]]="NO","  (inactivo)",""))</f>
        <v/>
      </c>
      <c r="M247" s="40" t="str">
        <f>IF(tblProductos[[#This Row],[SKU]]="","",COUNTIF(tblEntradas[SKU],tblProductos[[#This Row],[SKU]])+COUNTIF(tblSalidas[SKU],tblProductos[[#This Row],[SKU]]))</f>
        <v/>
      </c>
      <c r="N24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8" spans="2:14" x14ac:dyDescent="0.25">
      <c r="B248" s="38"/>
      <c r="C248" s="38"/>
      <c r="D248" s="38"/>
      <c r="E248" s="39"/>
      <c r="F248" s="45"/>
      <c r="G248" s="45"/>
      <c r="H248" s="46"/>
      <c r="I248" s="38"/>
      <c r="J248" s="39"/>
      <c r="K248" s="39"/>
      <c r="L248" s="47" t="str">
        <f>IF(OR(tblProductos[[#This Row],[SKU]]="",tblProductos[[#This Row],[Producto]]=""),"",tblProductos[[#This Row],[SKU]]&amp;" · "&amp;tblProductos[[#This Row],[Producto]]&amp;IF(tblProductos[[#This Row],[Activo]]="NO","  (inactivo)",""))</f>
        <v/>
      </c>
      <c r="M248" s="40" t="str">
        <f>IF(tblProductos[[#This Row],[SKU]]="","",COUNTIF(tblEntradas[SKU],tblProductos[[#This Row],[SKU]])+COUNTIF(tblSalidas[SKU],tblProductos[[#This Row],[SKU]]))</f>
        <v/>
      </c>
      <c r="N24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9" spans="2:14" x14ac:dyDescent="0.25">
      <c r="B249" s="38"/>
      <c r="C249" s="38"/>
      <c r="D249" s="38"/>
      <c r="E249" s="39"/>
      <c r="F249" s="45"/>
      <c r="G249" s="45"/>
      <c r="H249" s="46"/>
      <c r="I249" s="38"/>
      <c r="J249" s="39"/>
      <c r="K249" s="39"/>
      <c r="L249" s="47" t="str">
        <f>IF(OR(tblProductos[[#This Row],[SKU]]="",tblProductos[[#This Row],[Producto]]=""),"",tblProductos[[#This Row],[SKU]]&amp;" · "&amp;tblProductos[[#This Row],[Producto]]&amp;IF(tblProductos[[#This Row],[Activo]]="NO","  (inactivo)",""))</f>
        <v/>
      </c>
      <c r="M249" s="40" t="str">
        <f>IF(tblProductos[[#This Row],[SKU]]="","",COUNTIF(tblEntradas[SKU],tblProductos[[#This Row],[SKU]])+COUNTIF(tblSalidas[SKU],tblProductos[[#This Row],[SKU]]))</f>
        <v/>
      </c>
      <c r="N24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0" spans="2:14" x14ac:dyDescent="0.25">
      <c r="B250" s="38"/>
      <c r="C250" s="38"/>
      <c r="D250" s="38"/>
      <c r="E250" s="39"/>
      <c r="F250" s="45"/>
      <c r="G250" s="45"/>
      <c r="H250" s="46"/>
      <c r="I250" s="38"/>
      <c r="J250" s="39"/>
      <c r="K250" s="39"/>
      <c r="L250" s="47" t="str">
        <f>IF(OR(tblProductos[[#This Row],[SKU]]="",tblProductos[[#This Row],[Producto]]=""),"",tblProductos[[#This Row],[SKU]]&amp;" · "&amp;tblProductos[[#This Row],[Producto]]&amp;IF(tblProductos[[#This Row],[Activo]]="NO","  (inactivo)",""))</f>
        <v/>
      </c>
      <c r="M250" s="40" t="str">
        <f>IF(tblProductos[[#This Row],[SKU]]="","",COUNTIF(tblEntradas[SKU],tblProductos[[#This Row],[SKU]])+COUNTIF(tblSalidas[SKU],tblProductos[[#This Row],[SKU]]))</f>
        <v/>
      </c>
      <c r="N25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1" spans="2:14" x14ac:dyDescent="0.25">
      <c r="B251" s="38"/>
      <c r="C251" s="38"/>
      <c r="D251" s="38"/>
      <c r="E251" s="39"/>
      <c r="F251" s="45"/>
      <c r="G251" s="45"/>
      <c r="H251" s="46"/>
      <c r="I251" s="38"/>
      <c r="J251" s="39"/>
      <c r="K251" s="39"/>
      <c r="L251" s="47" t="str">
        <f>IF(OR(tblProductos[[#This Row],[SKU]]="",tblProductos[[#This Row],[Producto]]=""),"",tblProductos[[#This Row],[SKU]]&amp;" · "&amp;tblProductos[[#This Row],[Producto]]&amp;IF(tblProductos[[#This Row],[Activo]]="NO","  (inactivo)",""))</f>
        <v/>
      </c>
      <c r="M251" s="40" t="str">
        <f>IF(tblProductos[[#This Row],[SKU]]="","",COUNTIF(tblEntradas[SKU],tblProductos[[#This Row],[SKU]])+COUNTIF(tblSalidas[SKU],tblProductos[[#This Row],[SKU]]))</f>
        <v/>
      </c>
      <c r="N25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2" spans="2:14" x14ac:dyDescent="0.25">
      <c r="B252" s="38"/>
      <c r="C252" s="38"/>
      <c r="D252" s="38"/>
      <c r="E252" s="39"/>
      <c r="F252" s="45"/>
      <c r="G252" s="45"/>
      <c r="H252" s="46"/>
      <c r="I252" s="38"/>
      <c r="J252" s="39"/>
      <c r="K252" s="39"/>
      <c r="L252" s="47" t="str">
        <f>IF(OR(tblProductos[[#This Row],[SKU]]="",tblProductos[[#This Row],[Producto]]=""),"",tblProductos[[#This Row],[SKU]]&amp;" · "&amp;tblProductos[[#This Row],[Producto]]&amp;IF(tblProductos[[#This Row],[Activo]]="NO","  (inactivo)",""))</f>
        <v/>
      </c>
      <c r="M252" s="40" t="str">
        <f>IF(tblProductos[[#This Row],[SKU]]="","",COUNTIF(tblEntradas[SKU],tblProductos[[#This Row],[SKU]])+COUNTIF(tblSalidas[SKU],tblProductos[[#This Row],[SKU]]))</f>
        <v/>
      </c>
      <c r="N25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3" spans="2:14" x14ac:dyDescent="0.25">
      <c r="B253" s="38"/>
      <c r="C253" s="38"/>
      <c r="D253" s="38"/>
      <c r="E253" s="39"/>
      <c r="F253" s="45"/>
      <c r="G253" s="45"/>
      <c r="H253" s="46"/>
      <c r="I253" s="38"/>
      <c r="J253" s="39"/>
      <c r="K253" s="39"/>
      <c r="L253" s="47" t="str">
        <f>IF(OR(tblProductos[[#This Row],[SKU]]="",tblProductos[[#This Row],[Producto]]=""),"",tblProductos[[#This Row],[SKU]]&amp;" · "&amp;tblProductos[[#This Row],[Producto]]&amp;IF(tblProductos[[#This Row],[Activo]]="NO","  (inactivo)",""))</f>
        <v/>
      </c>
      <c r="M253" s="40" t="str">
        <f>IF(tblProductos[[#This Row],[SKU]]="","",COUNTIF(tblEntradas[SKU],tblProductos[[#This Row],[SKU]])+COUNTIF(tblSalidas[SKU],tblProductos[[#This Row],[SKU]]))</f>
        <v/>
      </c>
      <c r="N25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4" spans="2:14" x14ac:dyDescent="0.25">
      <c r="B254" s="38"/>
      <c r="C254" s="38"/>
      <c r="D254" s="38"/>
      <c r="E254" s="39"/>
      <c r="F254" s="45"/>
      <c r="G254" s="45"/>
      <c r="H254" s="46"/>
      <c r="I254" s="38"/>
      <c r="J254" s="39"/>
      <c r="K254" s="39"/>
      <c r="L254" s="47" t="str">
        <f>IF(OR(tblProductos[[#This Row],[SKU]]="",tblProductos[[#This Row],[Producto]]=""),"",tblProductos[[#This Row],[SKU]]&amp;" · "&amp;tblProductos[[#This Row],[Producto]]&amp;IF(tblProductos[[#This Row],[Activo]]="NO","  (inactivo)",""))</f>
        <v/>
      </c>
      <c r="M254" s="40" t="str">
        <f>IF(tblProductos[[#This Row],[SKU]]="","",COUNTIF(tblEntradas[SKU],tblProductos[[#This Row],[SKU]])+COUNTIF(tblSalidas[SKU],tblProductos[[#This Row],[SKU]]))</f>
        <v/>
      </c>
      <c r="N25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5" spans="2:14" x14ac:dyDescent="0.25">
      <c r="B255" s="38"/>
      <c r="C255" s="38"/>
      <c r="D255" s="38"/>
      <c r="E255" s="39"/>
      <c r="F255" s="45"/>
      <c r="G255" s="45"/>
      <c r="H255" s="46"/>
      <c r="I255" s="38"/>
      <c r="J255" s="39"/>
      <c r="K255" s="39"/>
      <c r="L255" s="47" t="str">
        <f>IF(OR(tblProductos[[#This Row],[SKU]]="",tblProductos[[#This Row],[Producto]]=""),"",tblProductos[[#This Row],[SKU]]&amp;" · "&amp;tblProductos[[#This Row],[Producto]]&amp;IF(tblProductos[[#This Row],[Activo]]="NO","  (inactivo)",""))</f>
        <v/>
      </c>
      <c r="M255" s="40" t="str">
        <f>IF(tblProductos[[#This Row],[SKU]]="","",COUNTIF(tblEntradas[SKU],tblProductos[[#This Row],[SKU]])+COUNTIF(tblSalidas[SKU],tblProductos[[#This Row],[SKU]]))</f>
        <v/>
      </c>
      <c r="N25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6" spans="2:14" x14ac:dyDescent="0.25">
      <c r="B256" s="38"/>
      <c r="C256" s="38"/>
      <c r="D256" s="38"/>
      <c r="E256" s="39"/>
      <c r="F256" s="45"/>
      <c r="G256" s="45"/>
      <c r="H256" s="46"/>
      <c r="I256" s="38"/>
      <c r="J256" s="39"/>
      <c r="K256" s="39"/>
      <c r="L256" s="47" t="str">
        <f>IF(OR(tblProductos[[#This Row],[SKU]]="",tblProductos[[#This Row],[Producto]]=""),"",tblProductos[[#This Row],[SKU]]&amp;" · "&amp;tblProductos[[#This Row],[Producto]]&amp;IF(tblProductos[[#This Row],[Activo]]="NO","  (inactivo)",""))</f>
        <v/>
      </c>
      <c r="M256" s="40" t="str">
        <f>IF(tblProductos[[#This Row],[SKU]]="","",COUNTIF(tblEntradas[SKU],tblProductos[[#This Row],[SKU]])+COUNTIF(tblSalidas[SKU],tblProductos[[#This Row],[SKU]]))</f>
        <v/>
      </c>
      <c r="N25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7" spans="2:14" x14ac:dyDescent="0.25">
      <c r="B257" s="38"/>
      <c r="C257" s="38"/>
      <c r="D257" s="38"/>
      <c r="E257" s="39"/>
      <c r="F257" s="45"/>
      <c r="G257" s="45"/>
      <c r="H257" s="46"/>
      <c r="I257" s="38"/>
      <c r="J257" s="39"/>
      <c r="K257" s="39"/>
      <c r="L257" s="47" t="str">
        <f>IF(OR(tblProductos[[#This Row],[SKU]]="",tblProductos[[#This Row],[Producto]]=""),"",tblProductos[[#This Row],[SKU]]&amp;" · "&amp;tblProductos[[#This Row],[Producto]]&amp;IF(tblProductos[[#This Row],[Activo]]="NO","  (inactivo)",""))</f>
        <v/>
      </c>
      <c r="M257" s="40" t="str">
        <f>IF(tblProductos[[#This Row],[SKU]]="","",COUNTIF(tblEntradas[SKU],tblProductos[[#This Row],[SKU]])+COUNTIF(tblSalidas[SKU],tblProductos[[#This Row],[SKU]]))</f>
        <v/>
      </c>
      <c r="N25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8" spans="2:14" x14ac:dyDescent="0.25">
      <c r="B258" s="38"/>
      <c r="C258" s="38"/>
      <c r="D258" s="38"/>
      <c r="E258" s="39"/>
      <c r="F258" s="45"/>
      <c r="G258" s="45"/>
      <c r="H258" s="46"/>
      <c r="I258" s="38"/>
      <c r="J258" s="39"/>
      <c r="K258" s="39"/>
      <c r="L258" s="47" t="str">
        <f>IF(OR(tblProductos[[#This Row],[SKU]]="",tblProductos[[#This Row],[Producto]]=""),"",tblProductos[[#This Row],[SKU]]&amp;" · "&amp;tblProductos[[#This Row],[Producto]]&amp;IF(tblProductos[[#This Row],[Activo]]="NO","  (inactivo)",""))</f>
        <v/>
      </c>
      <c r="M258" s="40" t="str">
        <f>IF(tblProductos[[#This Row],[SKU]]="","",COUNTIF(tblEntradas[SKU],tblProductos[[#This Row],[SKU]])+COUNTIF(tblSalidas[SKU],tblProductos[[#This Row],[SKU]]))</f>
        <v/>
      </c>
      <c r="N25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9" spans="2:14" x14ac:dyDescent="0.25">
      <c r="B259" s="38"/>
      <c r="C259" s="38"/>
      <c r="D259" s="38"/>
      <c r="E259" s="39"/>
      <c r="F259" s="45"/>
      <c r="G259" s="45"/>
      <c r="H259" s="46"/>
      <c r="I259" s="38"/>
      <c r="J259" s="39"/>
      <c r="K259" s="39"/>
      <c r="L259" s="47" t="str">
        <f>IF(OR(tblProductos[[#This Row],[SKU]]="",tblProductos[[#This Row],[Producto]]=""),"",tblProductos[[#This Row],[SKU]]&amp;" · "&amp;tblProductos[[#This Row],[Producto]]&amp;IF(tblProductos[[#This Row],[Activo]]="NO","  (inactivo)",""))</f>
        <v/>
      </c>
      <c r="M259" s="40" t="str">
        <f>IF(tblProductos[[#This Row],[SKU]]="","",COUNTIF(tblEntradas[SKU],tblProductos[[#This Row],[SKU]])+COUNTIF(tblSalidas[SKU],tblProductos[[#This Row],[SKU]]))</f>
        <v/>
      </c>
      <c r="N25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0" spans="2:14" x14ac:dyDescent="0.25">
      <c r="B260" s="38"/>
      <c r="C260" s="38"/>
      <c r="D260" s="38"/>
      <c r="E260" s="39"/>
      <c r="F260" s="45"/>
      <c r="G260" s="45"/>
      <c r="H260" s="46"/>
      <c r="I260" s="38"/>
      <c r="J260" s="39"/>
      <c r="K260" s="39"/>
      <c r="L260" s="47" t="str">
        <f>IF(OR(tblProductos[[#This Row],[SKU]]="",tblProductos[[#This Row],[Producto]]=""),"",tblProductos[[#This Row],[SKU]]&amp;" · "&amp;tblProductos[[#This Row],[Producto]]&amp;IF(tblProductos[[#This Row],[Activo]]="NO","  (inactivo)",""))</f>
        <v/>
      </c>
      <c r="M260" s="40" t="str">
        <f>IF(tblProductos[[#This Row],[SKU]]="","",COUNTIF(tblEntradas[SKU],tblProductos[[#This Row],[SKU]])+COUNTIF(tblSalidas[SKU],tblProductos[[#This Row],[SKU]]))</f>
        <v/>
      </c>
      <c r="N26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1" spans="2:14" x14ac:dyDescent="0.25">
      <c r="B261" s="38"/>
      <c r="C261" s="38"/>
      <c r="D261" s="38"/>
      <c r="E261" s="39"/>
      <c r="F261" s="45"/>
      <c r="G261" s="45"/>
      <c r="H261" s="46"/>
      <c r="I261" s="38"/>
      <c r="J261" s="39"/>
      <c r="K261" s="39"/>
      <c r="L261" s="47" t="str">
        <f>IF(OR(tblProductos[[#This Row],[SKU]]="",tblProductos[[#This Row],[Producto]]=""),"",tblProductos[[#This Row],[SKU]]&amp;" · "&amp;tblProductos[[#This Row],[Producto]]&amp;IF(tblProductos[[#This Row],[Activo]]="NO","  (inactivo)",""))</f>
        <v/>
      </c>
      <c r="M261" s="40" t="str">
        <f>IF(tblProductos[[#This Row],[SKU]]="","",COUNTIF(tblEntradas[SKU],tblProductos[[#This Row],[SKU]])+COUNTIF(tblSalidas[SKU],tblProductos[[#This Row],[SKU]]))</f>
        <v/>
      </c>
      <c r="N26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2" spans="2:14" x14ac:dyDescent="0.25">
      <c r="B262" s="38"/>
      <c r="C262" s="38"/>
      <c r="D262" s="38"/>
      <c r="E262" s="39"/>
      <c r="F262" s="45"/>
      <c r="G262" s="45"/>
      <c r="H262" s="46"/>
      <c r="I262" s="38"/>
      <c r="J262" s="39"/>
      <c r="K262" s="39"/>
      <c r="L262" s="47" t="str">
        <f>IF(OR(tblProductos[[#This Row],[SKU]]="",tblProductos[[#This Row],[Producto]]=""),"",tblProductos[[#This Row],[SKU]]&amp;" · "&amp;tblProductos[[#This Row],[Producto]]&amp;IF(tblProductos[[#This Row],[Activo]]="NO","  (inactivo)",""))</f>
        <v/>
      </c>
      <c r="M262" s="40" t="str">
        <f>IF(tblProductos[[#This Row],[SKU]]="","",COUNTIF(tblEntradas[SKU],tblProductos[[#This Row],[SKU]])+COUNTIF(tblSalidas[SKU],tblProductos[[#This Row],[SKU]]))</f>
        <v/>
      </c>
      <c r="N26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3" spans="2:14" x14ac:dyDescent="0.25">
      <c r="B263" s="38"/>
      <c r="C263" s="38"/>
      <c r="D263" s="38"/>
      <c r="E263" s="39"/>
      <c r="F263" s="45"/>
      <c r="G263" s="45"/>
      <c r="H263" s="46"/>
      <c r="I263" s="38"/>
      <c r="J263" s="39"/>
      <c r="K263" s="39"/>
      <c r="L263" s="47" t="str">
        <f>IF(OR(tblProductos[[#This Row],[SKU]]="",tblProductos[[#This Row],[Producto]]=""),"",tblProductos[[#This Row],[SKU]]&amp;" · "&amp;tblProductos[[#This Row],[Producto]]&amp;IF(tblProductos[[#This Row],[Activo]]="NO","  (inactivo)",""))</f>
        <v/>
      </c>
      <c r="M263" s="40" t="str">
        <f>IF(tblProductos[[#This Row],[SKU]]="","",COUNTIF(tblEntradas[SKU],tblProductos[[#This Row],[SKU]])+COUNTIF(tblSalidas[SKU],tblProductos[[#This Row],[SKU]]))</f>
        <v/>
      </c>
      <c r="N26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4" spans="2:14" x14ac:dyDescent="0.25">
      <c r="B264" s="38"/>
      <c r="C264" s="38"/>
      <c r="D264" s="38"/>
      <c r="E264" s="39"/>
      <c r="F264" s="45"/>
      <c r="G264" s="45"/>
      <c r="H264" s="46"/>
      <c r="I264" s="38"/>
      <c r="J264" s="39"/>
      <c r="K264" s="39"/>
      <c r="L264" s="47" t="str">
        <f>IF(OR(tblProductos[[#This Row],[SKU]]="",tblProductos[[#This Row],[Producto]]=""),"",tblProductos[[#This Row],[SKU]]&amp;" · "&amp;tblProductos[[#This Row],[Producto]]&amp;IF(tblProductos[[#This Row],[Activo]]="NO","  (inactivo)",""))</f>
        <v/>
      </c>
      <c r="M264" s="40" t="str">
        <f>IF(tblProductos[[#This Row],[SKU]]="","",COUNTIF(tblEntradas[SKU],tblProductos[[#This Row],[SKU]])+COUNTIF(tblSalidas[SKU],tblProductos[[#This Row],[SKU]]))</f>
        <v/>
      </c>
      <c r="N26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5" spans="2:14" x14ac:dyDescent="0.25">
      <c r="B265" s="38"/>
      <c r="C265" s="38"/>
      <c r="D265" s="38"/>
      <c r="E265" s="39"/>
      <c r="F265" s="45"/>
      <c r="G265" s="45"/>
      <c r="H265" s="46"/>
      <c r="I265" s="38"/>
      <c r="J265" s="39"/>
      <c r="K265" s="39"/>
      <c r="L265" s="47" t="str">
        <f>IF(OR(tblProductos[[#This Row],[SKU]]="",tblProductos[[#This Row],[Producto]]=""),"",tblProductos[[#This Row],[SKU]]&amp;" · "&amp;tblProductos[[#This Row],[Producto]]&amp;IF(tblProductos[[#This Row],[Activo]]="NO","  (inactivo)",""))</f>
        <v/>
      </c>
      <c r="M265" s="40" t="str">
        <f>IF(tblProductos[[#This Row],[SKU]]="","",COUNTIF(tblEntradas[SKU],tblProductos[[#This Row],[SKU]])+COUNTIF(tblSalidas[SKU],tblProductos[[#This Row],[SKU]]))</f>
        <v/>
      </c>
      <c r="N26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6" spans="2:14" x14ac:dyDescent="0.25">
      <c r="B266" s="38"/>
      <c r="C266" s="38"/>
      <c r="D266" s="38"/>
      <c r="E266" s="39"/>
      <c r="F266" s="45"/>
      <c r="G266" s="45"/>
      <c r="H266" s="46"/>
      <c r="I266" s="38"/>
      <c r="J266" s="39"/>
      <c r="K266" s="39"/>
      <c r="L266" s="47" t="str">
        <f>IF(OR(tblProductos[[#This Row],[SKU]]="",tblProductos[[#This Row],[Producto]]=""),"",tblProductos[[#This Row],[SKU]]&amp;" · "&amp;tblProductos[[#This Row],[Producto]]&amp;IF(tblProductos[[#This Row],[Activo]]="NO","  (inactivo)",""))</f>
        <v/>
      </c>
      <c r="M266" s="40" t="str">
        <f>IF(tblProductos[[#This Row],[SKU]]="","",COUNTIF(tblEntradas[SKU],tblProductos[[#This Row],[SKU]])+COUNTIF(tblSalidas[SKU],tblProductos[[#This Row],[SKU]]))</f>
        <v/>
      </c>
      <c r="N26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7" spans="2:14" x14ac:dyDescent="0.25">
      <c r="B267" s="38"/>
      <c r="C267" s="38"/>
      <c r="D267" s="38"/>
      <c r="E267" s="39"/>
      <c r="F267" s="45"/>
      <c r="G267" s="45"/>
      <c r="H267" s="46"/>
      <c r="I267" s="38"/>
      <c r="J267" s="39"/>
      <c r="K267" s="39"/>
      <c r="L267" s="47" t="str">
        <f>IF(OR(tblProductos[[#This Row],[SKU]]="",tblProductos[[#This Row],[Producto]]=""),"",tblProductos[[#This Row],[SKU]]&amp;" · "&amp;tblProductos[[#This Row],[Producto]]&amp;IF(tblProductos[[#This Row],[Activo]]="NO","  (inactivo)",""))</f>
        <v/>
      </c>
      <c r="M267" s="40" t="str">
        <f>IF(tblProductos[[#This Row],[SKU]]="","",COUNTIF(tblEntradas[SKU],tblProductos[[#This Row],[SKU]])+COUNTIF(tblSalidas[SKU],tblProductos[[#This Row],[SKU]]))</f>
        <v/>
      </c>
      <c r="N26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8" spans="2:14" x14ac:dyDescent="0.25">
      <c r="B268" s="38"/>
      <c r="C268" s="38"/>
      <c r="D268" s="38"/>
      <c r="E268" s="39"/>
      <c r="F268" s="45"/>
      <c r="G268" s="45"/>
      <c r="H268" s="46"/>
      <c r="I268" s="38"/>
      <c r="J268" s="39"/>
      <c r="K268" s="39"/>
      <c r="L268" s="47" t="str">
        <f>IF(OR(tblProductos[[#This Row],[SKU]]="",tblProductos[[#This Row],[Producto]]=""),"",tblProductos[[#This Row],[SKU]]&amp;" · "&amp;tblProductos[[#This Row],[Producto]]&amp;IF(tblProductos[[#This Row],[Activo]]="NO","  (inactivo)",""))</f>
        <v/>
      </c>
      <c r="M268" s="40" t="str">
        <f>IF(tblProductos[[#This Row],[SKU]]="","",COUNTIF(tblEntradas[SKU],tblProductos[[#This Row],[SKU]])+COUNTIF(tblSalidas[SKU],tblProductos[[#This Row],[SKU]]))</f>
        <v/>
      </c>
      <c r="N26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9" spans="2:14" x14ac:dyDescent="0.25">
      <c r="B269" s="38"/>
      <c r="C269" s="38"/>
      <c r="D269" s="38"/>
      <c r="E269" s="39"/>
      <c r="F269" s="45"/>
      <c r="G269" s="45"/>
      <c r="H269" s="46"/>
      <c r="I269" s="38"/>
      <c r="J269" s="39"/>
      <c r="K269" s="39"/>
      <c r="L269" s="47" t="str">
        <f>IF(OR(tblProductos[[#This Row],[SKU]]="",tblProductos[[#This Row],[Producto]]=""),"",tblProductos[[#This Row],[SKU]]&amp;" · "&amp;tblProductos[[#This Row],[Producto]]&amp;IF(tblProductos[[#This Row],[Activo]]="NO","  (inactivo)",""))</f>
        <v/>
      </c>
      <c r="M269" s="40" t="str">
        <f>IF(tblProductos[[#This Row],[SKU]]="","",COUNTIF(tblEntradas[SKU],tblProductos[[#This Row],[SKU]])+COUNTIF(tblSalidas[SKU],tblProductos[[#This Row],[SKU]]))</f>
        <v/>
      </c>
      <c r="N26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0" spans="2:14" x14ac:dyDescent="0.25">
      <c r="B270" s="38"/>
      <c r="C270" s="38"/>
      <c r="D270" s="38"/>
      <c r="E270" s="39"/>
      <c r="F270" s="45"/>
      <c r="G270" s="45"/>
      <c r="H270" s="46"/>
      <c r="I270" s="38"/>
      <c r="J270" s="39"/>
      <c r="K270" s="39"/>
      <c r="L270" s="47" t="str">
        <f>IF(OR(tblProductos[[#This Row],[SKU]]="",tblProductos[[#This Row],[Producto]]=""),"",tblProductos[[#This Row],[SKU]]&amp;" · "&amp;tblProductos[[#This Row],[Producto]]&amp;IF(tblProductos[[#This Row],[Activo]]="NO","  (inactivo)",""))</f>
        <v/>
      </c>
      <c r="M270" s="40" t="str">
        <f>IF(tblProductos[[#This Row],[SKU]]="","",COUNTIF(tblEntradas[SKU],tblProductos[[#This Row],[SKU]])+COUNTIF(tblSalidas[SKU],tblProductos[[#This Row],[SKU]]))</f>
        <v/>
      </c>
      <c r="N27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1" spans="2:14" x14ac:dyDescent="0.25">
      <c r="B271" s="38"/>
      <c r="C271" s="38"/>
      <c r="D271" s="38"/>
      <c r="E271" s="39"/>
      <c r="F271" s="45"/>
      <c r="G271" s="45"/>
      <c r="H271" s="46"/>
      <c r="I271" s="38"/>
      <c r="J271" s="39"/>
      <c r="K271" s="39"/>
      <c r="L271" s="47" t="str">
        <f>IF(OR(tblProductos[[#This Row],[SKU]]="",tblProductos[[#This Row],[Producto]]=""),"",tblProductos[[#This Row],[SKU]]&amp;" · "&amp;tblProductos[[#This Row],[Producto]]&amp;IF(tblProductos[[#This Row],[Activo]]="NO","  (inactivo)",""))</f>
        <v/>
      </c>
      <c r="M271" s="40" t="str">
        <f>IF(tblProductos[[#This Row],[SKU]]="","",COUNTIF(tblEntradas[SKU],tblProductos[[#This Row],[SKU]])+COUNTIF(tblSalidas[SKU],tblProductos[[#This Row],[SKU]]))</f>
        <v/>
      </c>
      <c r="N27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2" spans="2:14" x14ac:dyDescent="0.25">
      <c r="B272" s="38"/>
      <c r="C272" s="38"/>
      <c r="D272" s="38"/>
      <c r="E272" s="39"/>
      <c r="F272" s="45"/>
      <c r="G272" s="45"/>
      <c r="H272" s="46"/>
      <c r="I272" s="38"/>
      <c r="J272" s="39"/>
      <c r="K272" s="39"/>
      <c r="L272" s="47" t="str">
        <f>IF(OR(tblProductos[[#This Row],[SKU]]="",tblProductos[[#This Row],[Producto]]=""),"",tblProductos[[#This Row],[SKU]]&amp;" · "&amp;tblProductos[[#This Row],[Producto]]&amp;IF(tblProductos[[#This Row],[Activo]]="NO","  (inactivo)",""))</f>
        <v/>
      </c>
      <c r="M272" s="40" t="str">
        <f>IF(tblProductos[[#This Row],[SKU]]="","",COUNTIF(tblEntradas[SKU],tblProductos[[#This Row],[SKU]])+COUNTIF(tblSalidas[SKU],tblProductos[[#This Row],[SKU]]))</f>
        <v/>
      </c>
      <c r="N27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3" spans="2:14" x14ac:dyDescent="0.25">
      <c r="B273" s="38"/>
      <c r="C273" s="38"/>
      <c r="D273" s="38"/>
      <c r="E273" s="39"/>
      <c r="F273" s="45"/>
      <c r="G273" s="45"/>
      <c r="H273" s="46"/>
      <c r="I273" s="38"/>
      <c r="J273" s="39"/>
      <c r="K273" s="39"/>
      <c r="L273" s="47" t="str">
        <f>IF(OR(tblProductos[[#This Row],[SKU]]="",tblProductos[[#This Row],[Producto]]=""),"",tblProductos[[#This Row],[SKU]]&amp;" · "&amp;tblProductos[[#This Row],[Producto]]&amp;IF(tblProductos[[#This Row],[Activo]]="NO","  (inactivo)",""))</f>
        <v/>
      </c>
      <c r="M273" s="40" t="str">
        <f>IF(tblProductos[[#This Row],[SKU]]="","",COUNTIF(tblEntradas[SKU],tblProductos[[#This Row],[SKU]])+COUNTIF(tblSalidas[SKU],tblProductos[[#This Row],[SKU]]))</f>
        <v/>
      </c>
      <c r="N27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4" spans="2:14" x14ac:dyDescent="0.25">
      <c r="B274" s="38"/>
      <c r="C274" s="38"/>
      <c r="D274" s="38"/>
      <c r="E274" s="39"/>
      <c r="F274" s="45"/>
      <c r="G274" s="45"/>
      <c r="H274" s="46"/>
      <c r="I274" s="38"/>
      <c r="J274" s="39"/>
      <c r="K274" s="39"/>
      <c r="L274" s="47" t="str">
        <f>IF(OR(tblProductos[[#This Row],[SKU]]="",tblProductos[[#This Row],[Producto]]=""),"",tblProductos[[#This Row],[SKU]]&amp;" · "&amp;tblProductos[[#This Row],[Producto]]&amp;IF(tblProductos[[#This Row],[Activo]]="NO","  (inactivo)",""))</f>
        <v/>
      </c>
      <c r="M274" s="40" t="str">
        <f>IF(tblProductos[[#This Row],[SKU]]="","",COUNTIF(tblEntradas[SKU],tblProductos[[#This Row],[SKU]])+COUNTIF(tblSalidas[SKU],tblProductos[[#This Row],[SKU]]))</f>
        <v/>
      </c>
      <c r="N27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5" spans="2:14" x14ac:dyDescent="0.25">
      <c r="B275" s="38"/>
      <c r="C275" s="38"/>
      <c r="D275" s="38"/>
      <c r="E275" s="39"/>
      <c r="F275" s="45"/>
      <c r="G275" s="45"/>
      <c r="H275" s="46"/>
      <c r="I275" s="38"/>
      <c r="J275" s="39"/>
      <c r="K275" s="39"/>
      <c r="L275" s="47" t="str">
        <f>IF(OR(tblProductos[[#This Row],[SKU]]="",tblProductos[[#This Row],[Producto]]=""),"",tblProductos[[#This Row],[SKU]]&amp;" · "&amp;tblProductos[[#This Row],[Producto]]&amp;IF(tblProductos[[#This Row],[Activo]]="NO","  (inactivo)",""))</f>
        <v/>
      </c>
      <c r="M275" s="40" t="str">
        <f>IF(tblProductos[[#This Row],[SKU]]="","",COUNTIF(tblEntradas[SKU],tblProductos[[#This Row],[SKU]])+COUNTIF(tblSalidas[SKU],tblProductos[[#This Row],[SKU]]))</f>
        <v/>
      </c>
      <c r="N27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6" spans="2:14" x14ac:dyDescent="0.25">
      <c r="B276" s="38"/>
      <c r="C276" s="38"/>
      <c r="D276" s="38"/>
      <c r="E276" s="39"/>
      <c r="F276" s="45"/>
      <c r="G276" s="45"/>
      <c r="H276" s="46"/>
      <c r="I276" s="38"/>
      <c r="J276" s="39"/>
      <c r="K276" s="39"/>
      <c r="L276" s="47" t="str">
        <f>IF(OR(tblProductos[[#This Row],[SKU]]="",tblProductos[[#This Row],[Producto]]=""),"",tblProductos[[#This Row],[SKU]]&amp;" · "&amp;tblProductos[[#This Row],[Producto]]&amp;IF(tblProductos[[#This Row],[Activo]]="NO","  (inactivo)",""))</f>
        <v/>
      </c>
      <c r="M276" s="40" t="str">
        <f>IF(tblProductos[[#This Row],[SKU]]="","",COUNTIF(tblEntradas[SKU],tblProductos[[#This Row],[SKU]])+COUNTIF(tblSalidas[SKU],tblProductos[[#This Row],[SKU]]))</f>
        <v/>
      </c>
      <c r="N27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7" spans="2:14" x14ac:dyDescent="0.25">
      <c r="B277" s="38"/>
      <c r="C277" s="38"/>
      <c r="D277" s="38"/>
      <c r="E277" s="39"/>
      <c r="F277" s="45"/>
      <c r="G277" s="45"/>
      <c r="H277" s="46"/>
      <c r="I277" s="38"/>
      <c r="J277" s="39"/>
      <c r="K277" s="39"/>
      <c r="L277" s="47" t="str">
        <f>IF(OR(tblProductos[[#This Row],[SKU]]="",tblProductos[[#This Row],[Producto]]=""),"",tblProductos[[#This Row],[SKU]]&amp;" · "&amp;tblProductos[[#This Row],[Producto]]&amp;IF(tblProductos[[#This Row],[Activo]]="NO","  (inactivo)",""))</f>
        <v/>
      </c>
      <c r="M277" s="40" t="str">
        <f>IF(tblProductos[[#This Row],[SKU]]="","",COUNTIF(tblEntradas[SKU],tblProductos[[#This Row],[SKU]])+COUNTIF(tblSalidas[SKU],tblProductos[[#This Row],[SKU]]))</f>
        <v/>
      </c>
      <c r="N27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8" spans="2:14" x14ac:dyDescent="0.25">
      <c r="B278" s="38"/>
      <c r="C278" s="38"/>
      <c r="D278" s="38"/>
      <c r="E278" s="39"/>
      <c r="F278" s="45"/>
      <c r="G278" s="45"/>
      <c r="H278" s="46"/>
      <c r="I278" s="38"/>
      <c r="J278" s="39"/>
      <c r="K278" s="39"/>
      <c r="L278" s="47" t="str">
        <f>IF(OR(tblProductos[[#This Row],[SKU]]="",tblProductos[[#This Row],[Producto]]=""),"",tblProductos[[#This Row],[SKU]]&amp;" · "&amp;tblProductos[[#This Row],[Producto]]&amp;IF(tblProductos[[#This Row],[Activo]]="NO","  (inactivo)",""))</f>
        <v/>
      </c>
      <c r="M278" s="40" t="str">
        <f>IF(tblProductos[[#This Row],[SKU]]="","",COUNTIF(tblEntradas[SKU],tblProductos[[#This Row],[SKU]])+COUNTIF(tblSalidas[SKU],tblProductos[[#This Row],[SKU]]))</f>
        <v/>
      </c>
      <c r="N27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9" spans="2:14" x14ac:dyDescent="0.25">
      <c r="B279" s="38"/>
      <c r="C279" s="38"/>
      <c r="D279" s="38"/>
      <c r="E279" s="39"/>
      <c r="F279" s="45"/>
      <c r="G279" s="45"/>
      <c r="H279" s="46"/>
      <c r="I279" s="38"/>
      <c r="J279" s="39"/>
      <c r="K279" s="39"/>
      <c r="L279" s="47" t="str">
        <f>IF(OR(tblProductos[[#This Row],[SKU]]="",tblProductos[[#This Row],[Producto]]=""),"",tblProductos[[#This Row],[SKU]]&amp;" · "&amp;tblProductos[[#This Row],[Producto]]&amp;IF(tblProductos[[#This Row],[Activo]]="NO","  (inactivo)",""))</f>
        <v/>
      </c>
      <c r="M279" s="40" t="str">
        <f>IF(tblProductos[[#This Row],[SKU]]="","",COUNTIF(tblEntradas[SKU],tblProductos[[#This Row],[SKU]])+COUNTIF(tblSalidas[SKU],tblProductos[[#This Row],[SKU]]))</f>
        <v/>
      </c>
      <c r="N27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0" spans="2:14" x14ac:dyDescent="0.25">
      <c r="B280" s="38"/>
      <c r="C280" s="38"/>
      <c r="D280" s="38"/>
      <c r="E280" s="39"/>
      <c r="F280" s="45"/>
      <c r="G280" s="45"/>
      <c r="H280" s="46"/>
      <c r="I280" s="38"/>
      <c r="J280" s="39"/>
      <c r="K280" s="39"/>
      <c r="L280" s="47" t="str">
        <f>IF(OR(tblProductos[[#This Row],[SKU]]="",tblProductos[[#This Row],[Producto]]=""),"",tblProductos[[#This Row],[SKU]]&amp;" · "&amp;tblProductos[[#This Row],[Producto]]&amp;IF(tblProductos[[#This Row],[Activo]]="NO","  (inactivo)",""))</f>
        <v/>
      </c>
      <c r="M280" s="40" t="str">
        <f>IF(tblProductos[[#This Row],[SKU]]="","",COUNTIF(tblEntradas[SKU],tblProductos[[#This Row],[SKU]])+COUNTIF(tblSalidas[SKU],tblProductos[[#This Row],[SKU]]))</f>
        <v/>
      </c>
      <c r="N28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1" spans="2:14" x14ac:dyDescent="0.25">
      <c r="B281" s="38"/>
      <c r="C281" s="38"/>
      <c r="D281" s="38"/>
      <c r="E281" s="39"/>
      <c r="F281" s="45"/>
      <c r="G281" s="45"/>
      <c r="H281" s="46"/>
      <c r="I281" s="38"/>
      <c r="J281" s="39"/>
      <c r="K281" s="39"/>
      <c r="L281" s="47" t="str">
        <f>IF(OR(tblProductos[[#This Row],[SKU]]="",tblProductos[[#This Row],[Producto]]=""),"",tblProductos[[#This Row],[SKU]]&amp;" · "&amp;tblProductos[[#This Row],[Producto]]&amp;IF(tblProductos[[#This Row],[Activo]]="NO","  (inactivo)",""))</f>
        <v/>
      </c>
      <c r="M281" s="40" t="str">
        <f>IF(tblProductos[[#This Row],[SKU]]="","",COUNTIF(tblEntradas[SKU],tblProductos[[#This Row],[SKU]])+COUNTIF(tblSalidas[SKU],tblProductos[[#This Row],[SKU]]))</f>
        <v/>
      </c>
      <c r="N28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2" spans="2:14" x14ac:dyDescent="0.25">
      <c r="B282" s="38"/>
      <c r="C282" s="38"/>
      <c r="D282" s="38"/>
      <c r="E282" s="39"/>
      <c r="F282" s="45"/>
      <c r="G282" s="45"/>
      <c r="H282" s="46"/>
      <c r="I282" s="38"/>
      <c r="J282" s="39"/>
      <c r="K282" s="39"/>
      <c r="L282" s="47" t="str">
        <f>IF(OR(tblProductos[[#This Row],[SKU]]="",tblProductos[[#This Row],[Producto]]=""),"",tblProductos[[#This Row],[SKU]]&amp;" · "&amp;tblProductos[[#This Row],[Producto]]&amp;IF(tblProductos[[#This Row],[Activo]]="NO","  (inactivo)",""))</f>
        <v/>
      </c>
      <c r="M282" s="40" t="str">
        <f>IF(tblProductos[[#This Row],[SKU]]="","",COUNTIF(tblEntradas[SKU],tblProductos[[#This Row],[SKU]])+COUNTIF(tblSalidas[SKU],tblProductos[[#This Row],[SKU]]))</f>
        <v/>
      </c>
      <c r="N28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3" spans="2:14" x14ac:dyDescent="0.25">
      <c r="B283" s="38"/>
      <c r="C283" s="38"/>
      <c r="D283" s="38"/>
      <c r="E283" s="39"/>
      <c r="F283" s="45"/>
      <c r="G283" s="45"/>
      <c r="H283" s="46"/>
      <c r="I283" s="38"/>
      <c r="J283" s="39"/>
      <c r="K283" s="39"/>
      <c r="L283" s="47" t="str">
        <f>IF(OR(tblProductos[[#This Row],[SKU]]="",tblProductos[[#This Row],[Producto]]=""),"",tblProductos[[#This Row],[SKU]]&amp;" · "&amp;tblProductos[[#This Row],[Producto]]&amp;IF(tblProductos[[#This Row],[Activo]]="NO","  (inactivo)",""))</f>
        <v/>
      </c>
      <c r="M283" s="40" t="str">
        <f>IF(tblProductos[[#This Row],[SKU]]="","",COUNTIF(tblEntradas[SKU],tblProductos[[#This Row],[SKU]])+COUNTIF(tblSalidas[SKU],tblProductos[[#This Row],[SKU]]))</f>
        <v/>
      </c>
      <c r="N28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4" spans="2:14" x14ac:dyDescent="0.25">
      <c r="B284" s="38"/>
      <c r="C284" s="38"/>
      <c r="D284" s="38"/>
      <c r="E284" s="39"/>
      <c r="F284" s="45"/>
      <c r="G284" s="45"/>
      <c r="H284" s="46"/>
      <c r="I284" s="38"/>
      <c r="J284" s="39"/>
      <c r="K284" s="39"/>
      <c r="L284" s="47" t="str">
        <f>IF(OR(tblProductos[[#This Row],[SKU]]="",tblProductos[[#This Row],[Producto]]=""),"",tblProductos[[#This Row],[SKU]]&amp;" · "&amp;tblProductos[[#This Row],[Producto]]&amp;IF(tblProductos[[#This Row],[Activo]]="NO","  (inactivo)",""))</f>
        <v/>
      </c>
      <c r="M284" s="40" t="str">
        <f>IF(tblProductos[[#This Row],[SKU]]="","",COUNTIF(tblEntradas[SKU],tblProductos[[#This Row],[SKU]])+COUNTIF(tblSalidas[SKU],tblProductos[[#This Row],[SKU]]))</f>
        <v/>
      </c>
      <c r="N28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5" spans="2:14" x14ac:dyDescent="0.25">
      <c r="B285" s="38"/>
      <c r="C285" s="38"/>
      <c r="D285" s="38"/>
      <c r="E285" s="39"/>
      <c r="F285" s="45"/>
      <c r="G285" s="45"/>
      <c r="H285" s="46"/>
      <c r="I285" s="38"/>
      <c r="J285" s="39"/>
      <c r="K285" s="39"/>
      <c r="L285" s="47" t="str">
        <f>IF(OR(tblProductos[[#This Row],[SKU]]="",tblProductos[[#This Row],[Producto]]=""),"",tblProductos[[#This Row],[SKU]]&amp;" · "&amp;tblProductos[[#This Row],[Producto]]&amp;IF(tblProductos[[#This Row],[Activo]]="NO","  (inactivo)",""))</f>
        <v/>
      </c>
      <c r="M285" s="40" t="str">
        <f>IF(tblProductos[[#This Row],[SKU]]="","",COUNTIF(tblEntradas[SKU],tblProductos[[#This Row],[SKU]])+COUNTIF(tblSalidas[SKU],tblProductos[[#This Row],[SKU]]))</f>
        <v/>
      </c>
      <c r="N28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6" spans="2:14" x14ac:dyDescent="0.25">
      <c r="B286" s="38"/>
      <c r="C286" s="38"/>
      <c r="D286" s="38"/>
      <c r="E286" s="39"/>
      <c r="F286" s="45"/>
      <c r="G286" s="45"/>
      <c r="H286" s="46"/>
      <c r="I286" s="38"/>
      <c r="J286" s="39"/>
      <c r="K286" s="39"/>
      <c r="L286" s="47" t="str">
        <f>IF(OR(tblProductos[[#This Row],[SKU]]="",tblProductos[[#This Row],[Producto]]=""),"",tblProductos[[#This Row],[SKU]]&amp;" · "&amp;tblProductos[[#This Row],[Producto]]&amp;IF(tblProductos[[#This Row],[Activo]]="NO","  (inactivo)",""))</f>
        <v/>
      </c>
      <c r="M286" s="40" t="str">
        <f>IF(tblProductos[[#This Row],[SKU]]="","",COUNTIF(tblEntradas[SKU],tblProductos[[#This Row],[SKU]])+COUNTIF(tblSalidas[SKU],tblProductos[[#This Row],[SKU]]))</f>
        <v/>
      </c>
      <c r="N28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7" spans="2:14" x14ac:dyDescent="0.25">
      <c r="B287" s="38"/>
      <c r="C287" s="38"/>
      <c r="D287" s="38"/>
      <c r="E287" s="39"/>
      <c r="F287" s="45"/>
      <c r="G287" s="45"/>
      <c r="H287" s="46"/>
      <c r="I287" s="38"/>
      <c r="J287" s="39"/>
      <c r="K287" s="39"/>
      <c r="L287" s="47" t="str">
        <f>IF(OR(tblProductos[[#This Row],[SKU]]="",tblProductos[[#This Row],[Producto]]=""),"",tblProductos[[#This Row],[SKU]]&amp;" · "&amp;tblProductos[[#This Row],[Producto]]&amp;IF(tblProductos[[#This Row],[Activo]]="NO","  (inactivo)",""))</f>
        <v/>
      </c>
      <c r="M287" s="40" t="str">
        <f>IF(tblProductos[[#This Row],[SKU]]="","",COUNTIF(tblEntradas[SKU],tblProductos[[#This Row],[SKU]])+COUNTIF(tblSalidas[SKU],tblProductos[[#This Row],[SKU]]))</f>
        <v/>
      </c>
      <c r="N28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8" spans="2:14" x14ac:dyDescent="0.25">
      <c r="B288" s="38"/>
      <c r="C288" s="38"/>
      <c r="D288" s="38"/>
      <c r="E288" s="39"/>
      <c r="F288" s="45"/>
      <c r="G288" s="45"/>
      <c r="H288" s="46"/>
      <c r="I288" s="38"/>
      <c r="J288" s="39"/>
      <c r="K288" s="39"/>
      <c r="L288" s="47" t="str">
        <f>IF(OR(tblProductos[[#This Row],[SKU]]="",tblProductos[[#This Row],[Producto]]=""),"",tblProductos[[#This Row],[SKU]]&amp;" · "&amp;tblProductos[[#This Row],[Producto]]&amp;IF(tblProductos[[#This Row],[Activo]]="NO","  (inactivo)",""))</f>
        <v/>
      </c>
      <c r="M288" s="40" t="str">
        <f>IF(tblProductos[[#This Row],[SKU]]="","",COUNTIF(tblEntradas[SKU],tblProductos[[#This Row],[SKU]])+COUNTIF(tblSalidas[SKU],tblProductos[[#This Row],[SKU]]))</f>
        <v/>
      </c>
      <c r="N28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9" spans="2:14" x14ac:dyDescent="0.25">
      <c r="B289" s="38"/>
      <c r="C289" s="38"/>
      <c r="D289" s="38"/>
      <c r="E289" s="39"/>
      <c r="F289" s="45"/>
      <c r="G289" s="45"/>
      <c r="H289" s="46"/>
      <c r="I289" s="38"/>
      <c r="J289" s="39"/>
      <c r="K289" s="39"/>
      <c r="L289" s="47" t="str">
        <f>IF(OR(tblProductos[[#This Row],[SKU]]="",tblProductos[[#This Row],[Producto]]=""),"",tblProductos[[#This Row],[SKU]]&amp;" · "&amp;tblProductos[[#This Row],[Producto]]&amp;IF(tblProductos[[#This Row],[Activo]]="NO","  (inactivo)",""))</f>
        <v/>
      </c>
      <c r="M289" s="40" t="str">
        <f>IF(tblProductos[[#This Row],[SKU]]="","",COUNTIF(tblEntradas[SKU],tblProductos[[#This Row],[SKU]])+COUNTIF(tblSalidas[SKU],tblProductos[[#This Row],[SKU]]))</f>
        <v/>
      </c>
      <c r="N28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0" spans="2:14" x14ac:dyDescent="0.25">
      <c r="B290" s="38"/>
      <c r="C290" s="38"/>
      <c r="D290" s="38"/>
      <c r="E290" s="39"/>
      <c r="F290" s="45"/>
      <c r="G290" s="45"/>
      <c r="H290" s="46"/>
      <c r="I290" s="38"/>
      <c r="J290" s="39"/>
      <c r="K290" s="39"/>
      <c r="L290" s="47" t="str">
        <f>IF(OR(tblProductos[[#This Row],[SKU]]="",tblProductos[[#This Row],[Producto]]=""),"",tblProductos[[#This Row],[SKU]]&amp;" · "&amp;tblProductos[[#This Row],[Producto]]&amp;IF(tblProductos[[#This Row],[Activo]]="NO","  (inactivo)",""))</f>
        <v/>
      </c>
      <c r="M290" s="40" t="str">
        <f>IF(tblProductos[[#This Row],[SKU]]="","",COUNTIF(tblEntradas[SKU],tblProductos[[#This Row],[SKU]])+COUNTIF(tblSalidas[SKU],tblProductos[[#This Row],[SKU]]))</f>
        <v/>
      </c>
      <c r="N29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1" spans="2:14" x14ac:dyDescent="0.25">
      <c r="B291" s="38"/>
      <c r="C291" s="38"/>
      <c r="D291" s="38"/>
      <c r="E291" s="39"/>
      <c r="F291" s="45"/>
      <c r="G291" s="45"/>
      <c r="H291" s="46"/>
      <c r="I291" s="38"/>
      <c r="J291" s="39"/>
      <c r="K291" s="39"/>
      <c r="L291" s="47" t="str">
        <f>IF(OR(tblProductos[[#This Row],[SKU]]="",tblProductos[[#This Row],[Producto]]=""),"",tblProductos[[#This Row],[SKU]]&amp;" · "&amp;tblProductos[[#This Row],[Producto]]&amp;IF(tblProductos[[#This Row],[Activo]]="NO","  (inactivo)",""))</f>
        <v/>
      </c>
      <c r="M291" s="40" t="str">
        <f>IF(tblProductos[[#This Row],[SKU]]="","",COUNTIF(tblEntradas[SKU],tblProductos[[#This Row],[SKU]])+COUNTIF(tblSalidas[SKU],tblProductos[[#This Row],[SKU]]))</f>
        <v/>
      </c>
      <c r="N29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2" spans="2:14" x14ac:dyDescent="0.25">
      <c r="B292" s="38"/>
      <c r="C292" s="38"/>
      <c r="D292" s="38"/>
      <c r="E292" s="39"/>
      <c r="F292" s="45"/>
      <c r="G292" s="45"/>
      <c r="H292" s="46"/>
      <c r="I292" s="38"/>
      <c r="J292" s="39"/>
      <c r="K292" s="39"/>
      <c r="L292" s="47" t="str">
        <f>IF(OR(tblProductos[[#This Row],[SKU]]="",tblProductos[[#This Row],[Producto]]=""),"",tblProductos[[#This Row],[SKU]]&amp;" · "&amp;tblProductos[[#This Row],[Producto]]&amp;IF(tblProductos[[#This Row],[Activo]]="NO","  (inactivo)",""))</f>
        <v/>
      </c>
      <c r="M292" s="40" t="str">
        <f>IF(tblProductos[[#This Row],[SKU]]="","",COUNTIF(tblEntradas[SKU],tblProductos[[#This Row],[SKU]])+COUNTIF(tblSalidas[SKU],tblProductos[[#This Row],[SKU]]))</f>
        <v/>
      </c>
      <c r="N29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3" spans="2:14" x14ac:dyDescent="0.25">
      <c r="B293" s="38"/>
      <c r="C293" s="38"/>
      <c r="D293" s="38"/>
      <c r="E293" s="39"/>
      <c r="F293" s="45"/>
      <c r="G293" s="45"/>
      <c r="H293" s="46"/>
      <c r="I293" s="38"/>
      <c r="J293" s="39"/>
      <c r="K293" s="39"/>
      <c r="L293" s="47" t="str">
        <f>IF(OR(tblProductos[[#This Row],[SKU]]="",tblProductos[[#This Row],[Producto]]=""),"",tblProductos[[#This Row],[SKU]]&amp;" · "&amp;tblProductos[[#This Row],[Producto]]&amp;IF(tblProductos[[#This Row],[Activo]]="NO","  (inactivo)",""))</f>
        <v/>
      </c>
      <c r="M293" s="40" t="str">
        <f>IF(tblProductos[[#This Row],[SKU]]="","",COUNTIF(tblEntradas[SKU],tblProductos[[#This Row],[SKU]])+COUNTIF(tblSalidas[SKU],tblProductos[[#This Row],[SKU]]))</f>
        <v/>
      </c>
      <c r="N29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4" spans="2:14" x14ac:dyDescent="0.25">
      <c r="B294" s="38"/>
      <c r="C294" s="38"/>
      <c r="D294" s="38"/>
      <c r="E294" s="39"/>
      <c r="F294" s="45"/>
      <c r="G294" s="45"/>
      <c r="H294" s="46"/>
      <c r="I294" s="38"/>
      <c r="J294" s="39"/>
      <c r="K294" s="39"/>
      <c r="L294" s="47" t="str">
        <f>IF(OR(tblProductos[[#This Row],[SKU]]="",tblProductos[[#This Row],[Producto]]=""),"",tblProductos[[#This Row],[SKU]]&amp;" · "&amp;tblProductos[[#This Row],[Producto]]&amp;IF(tblProductos[[#This Row],[Activo]]="NO","  (inactivo)",""))</f>
        <v/>
      </c>
      <c r="M294" s="40" t="str">
        <f>IF(tblProductos[[#This Row],[SKU]]="","",COUNTIF(tblEntradas[SKU],tblProductos[[#This Row],[SKU]])+COUNTIF(tblSalidas[SKU],tblProductos[[#This Row],[SKU]]))</f>
        <v/>
      </c>
      <c r="N29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5" spans="2:14" x14ac:dyDescent="0.25">
      <c r="B295" s="38"/>
      <c r="C295" s="38"/>
      <c r="D295" s="38"/>
      <c r="E295" s="39"/>
      <c r="F295" s="45"/>
      <c r="G295" s="45"/>
      <c r="H295" s="46"/>
      <c r="I295" s="38"/>
      <c r="J295" s="39"/>
      <c r="K295" s="39"/>
      <c r="L295" s="47" t="str">
        <f>IF(OR(tblProductos[[#This Row],[SKU]]="",tblProductos[[#This Row],[Producto]]=""),"",tblProductos[[#This Row],[SKU]]&amp;" · "&amp;tblProductos[[#This Row],[Producto]]&amp;IF(tblProductos[[#This Row],[Activo]]="NO","  (inactivo)",""))</f>
        <v/>
      </c>
      <c r="M295" s="40" t="str">
        <f>IF(tblProductos[[#This Row],[SKU]]="","",COUNTIF(tblEntradas[SKU],tblProductos[[#This Row],[SKU]])+COUNTIF(tblSalidas[SKU],tblProductos[[#This Row],[SKU]]))</f>
        <v/>
      </c>
      <c r="N29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6" spans="2:14" x14ac:dyDescent="0.25">
      <c r="B296" s="38"/>
      <c r="C296" s="38"/>
      <c r="D296" s="38"/>
      <c r="E296" s="39"/>
      <c r="F296" s="45"/>
      <c r="G296" s="45"/>
      <c r="H296" s="46"/>
      <c r="I296" s="38"/>
      <c r="J296" s="39"/>
      <c r="K296" s="39"/>
      <c r="L296" s="47" t="str">
        <f>IF(OR(tblProductos[[#This Row],[SKU]]="",tblProductos[[#This Row],[Producto]]=""),"",tblProductos[[#This Row],[SKU]]&amp;" · "&amp;tblProductos[[#This Row],[Producto]]&amp;IF(tblProductos[[#This Row],[Activo]]="NO","  (inactivo)",""))</f>
        <v/>
      </c>
      <c r="M296" s="40" t="str">
        <f>IF(tblProductos[[#This Row],[SKU]]="","",COUNTIF(tblEntradas[SKU],tblProductos[[#This Row],[SKU]])+COUNTIF(tblSalidas[SKU],tblProductos[[#This Row],[SKU]]))</f>
        <v/>
      </c>
      <c r="N29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7" spans="2:14" x14ac:dyDescent="0.25">
      <c r="B297" s="38"/>
      <c r="C297" s="38"/>
      <c r="D297" s="38"/>
      <c r="E297" s="39"/>
      <c r="F297" s="45"/>
      <c r="G297" s="45"/>
      <c r="H297" s="46"/>
      <c r="I297" s="38"/>
      <c r="J297" s="39"/>
      <c r="K297" s="39"/>
      <c r="L297" s="47" t="str">
        <f>IF(OR(tblProductos[[#This Row],[SKU]]="",tblProductos[[#This Row],[Producto]]=""),"",tblProductos[[#This Row],[SKU]]&amp;" · "&amp;tblProductos[[#This Row],[Producto]]&amp;IF(tblProductos[[#This Row],[Activo]]="NO","  (inactivo)",""))</f>
        <v/>
      </c>
      <c r="M297" s="40" t="str">
        <f>IF(tblProductos[[#This Row],[SKU]]="","",COUNTIF(tblEntradas[SKU],tblProductos[[#This Row],[SKU]])+COUNTIF(tblSalidas[SKU],tblProductos[[#This Row],[SKU]]))</f>
        <v/>
      </c>
      <c r="N29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8" spans="2:14" x14ac:dyDescent="0.25">
      <c r="B298" s="38"/>
      <c r="C298" s="38"/>
      <c r="D298" s="38"/>
      <c r="E298" s="39"/>
      <c r="F298" s="45"/>
      <c r="G298" s="45"/>
      <c r="H298" s="46"/>
      <c r="I298" s="38"/>
      <c r="J298" s="39"/>
      <c r="K298" s="39"/>
      <c r="L298" s="47" t="str">
        <f>IF(OR(tblProductos[[#This Row],[SKU]]="",tblProductos[[#This Row],[Producto]]=""),"",tblProductos[[#This Row],[SKU]]&amp;" · "&amp;tblProductos[[#This Row],[Producto]]&amp;IF(tblProductos[[#This Row],[Activo]]="NO","  (inactivo)",""))</f>
        <v/>
      </c>
      <c r="M298" s="40" t="str">
        <f>IF(tblProductos[[#This Row],[SKU]]="","",COUNTIF(tblEntradas[SKU],tblProductos[[#This Row],[SKU]])+COUNTIF(tblSalidas[SKU],tblProductos[[#This Row],[SKU]]))</f>
        <v/>
      </c>
      <c r="N29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9" spans="2:14" x14ac:dyDescent="0.25">
      <c r="B299" s="38"/>
      <c r="C299" s="38"/>
      <c r="D299" s="38"/>
      <c r="E299" s="39"/>
      <c r="F299" s="45"/>
      <c r="G299" s="45"/>
      <c r="H299" s="46"/>
      <c r="I299" s="38"/>
      <c r="J299" s="39"/>
      <c r="K299" s="39"/>
      <c r="L299" s="47" t="str">
        <f>IF(OR(tblProductos[[#This Row],[SKU]]="",tblProductos[[#This Row],[Producto]]=""),"",tblProductos[[#This Row],[SKU]]&amp;" · "&amp;tblProductos[[#This Row],[Producto]]&amp;IF(tblProductos[[#This Row],[Activo]]="NO","  (inactivo)",""))</f>
        <v/>
      </c>
      <c r="M299" s="40" t="str">
        <f>IF(tblProductos[[#This Row],[SKU]]="","",COUNTIF(tblEntradas[SKU],tblProductos[[#This Row],[SKU]])+COUNTIF(tblSalidas[SKU],tblProductos[[#This Row],[SKU]]))</f>
        <v/>
      </c>
      <c r="N29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0" spans="2:14" x14ac:dyDescent="0.25">
      <c r="B300" s="38"/>
      <c r="C300" s="38"/>
      <c r="D300" s="38"/>
      <c r="E300" s="39"/>
      <c r="F300" s="45"/>
      <c r="G300" s="45"/>
      <c r="H300" s="46"/>
      <c r="I300" s="38"/>
      <c r="J300" s="39"/>
      <c r="K300" s="39"/>
      <c r="L300" s="47" t="str">
        <f>IF(OR(tblProductos[[#This Row],[SKU]]="",tblProductos[[#This Row],[Producto]]=""),"",tblProductos[[#This Row],[SKU]]&amp;" · "&amp;tblProductos[[#This Row],[Producto]]&amp;IF(tblProductos[[#This Row],[Activo]]="NO","  (inactivo)",""))</f>
        <v/>
      </c>
      <c r="M300" s="40" t="str">
        <f>IF(tblProductos[[#This Row],[SKU]]="","",COUNTIF(tblEntradas[SKU],tblProductos[[#This Row],[SKU]])+COUNTIF(tblSalidas[SKU],tblProductos[[#This Row],[SKU]]))</f>
        <v/>
      </c>
      <c r="N30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1" spans="2:14" x14ac:dyDescent="0.25">
      <c r="B301" s="38"/>
      <c r="C301" s="38"/>
      <c r="D301" s="38"/>
      <c r="E301" s="39"/>
      <c r="F301" s="45"/>
      <c r="G301" s="45"/>
      <c r="H301" s="46"/>
      <c r="I301" s="38"/>
      <c r="J301" s="39"/>
      <c r="K301" s="39"/>
      <c r="L301" s="47" t="str">
        <f>IF(OR(tblProductos[[#This Row],[SKU]]="",tblProductos[[#This Row],[Producto]]=""),"",tblProductos[[#This Row],[SKU]]&amp;" · "&amp;tblProductos[[#This Row],[Producto]]&amp;IF(tblProductos[[#This Row],[Activo]]="NO","  (inactivo)",""))</f>
        <v/>
      </c>
      <c r="M301" s="40" t="str">
        <f>IF(tblProductos[[#This Row],[SKU]]="","",COUNTIF(tblEntradas[SKU],tblProductos[[#This Row],[SKU]])+COUNTIF(tblSalidas[SKU],tblProductos[[#This Row],[SKU]]))</f>
        <v/>
      </c>
      <c r="N30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2" spans="2:14" x14ac:dyDescent="0.25">
      <c r="B302" s="38"/>
      <c r="C302" s="38"/>
      <c r="D302" s="38"/>
      <c r="E302" s="39"/>
      <c r="F302" s="45"/>
      <c r="G302" s="45"/>
      <c r="H302" s="46"/>
      <c r="I302" s="38"/>
      <c r="J302" s="39"/>
      <c r="K302" s="39"/>
      <c r="L302" s="47" t="str">
        <f>IF(OR(tblProductos[[#This Row],[SKU]]="",tblProductos[[#This Row],[Producto]]=""),"",tblProductos[[#This Row],[SKU]]&amp;" · "&amp;tblProductos[[#This Row],[Producto]]&amp;IF(tblProductos[[#This Row],[Activo]]="NO","  (inactivo)",""))</f>
        <v/>
      </c>
      <c r="M302" s="40" t="str">
        <f>IF(tblProductos[[#This Row],[SKU]]="","",COUNTIF(tblEntradas[SKU],tblProductos[[#This Row],[SKU]])+COUNTIF(tblSalidas[SKU],tblProductos[[#This Row],[SKU]]))</f>
        <v/>
      </c>
      <c r="N30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3" spans="2:14" x14ac:dyDescent="0.25">
      <c r="B303" s="38"/>
      <c r="C303" s="38"/>
      <c r="D303" s="38"/>
      <c r="E303" s="39"/>
      <c r="F303" s="45"/>
      <c r="G303" s="45"/>
      <c r="H303" s="46"/>
      <c r="I303" s="38"/>
      <c r="J303" s="39"/>
      <c r="K303" s="39"/>
      <c r="L303" s="47" t="str">
        <f>IF(OR(tblProductos[[#This Row],[SKU]]="",tblProductos[[#This Row],[Producto]]=""),"",tblProductos[[#This Row],[SKU]]&amp;" · "&amp;tblProductos[[#This Row],[Producto]]&amp;IF(tblProductos[[#This Row],[Activo]]="NO","  (inactivo)",""))</f>
        <v/>
      </c>
      <c r="M303" s="40" t="str">
        <f>IF(tblProductos[[#This Row],[SKU]]="","",COUNTIF(tblEntradas[SKU],tblProductos[[#This Row],[SKU]])+COUNTIF(tblSalidas[SKU],tblProductos[[#This Row],[SKU]]))</f>
        <v/>
      </c>
      <c r="N30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4" spans="2:14" x14ac:dyDescent="0.25">
      <c r="B304" s="38"/>
      <c r="C304" s="38"/>
      <c r="D304" s="38"/>
      <c r="E304" s="39"/>
      <c r="F304" s="45"/>
      <c r="G304" s="45"/>
      <c r="H304" s="46"/>
      <c r="I304" s="38"/>
      <c r="J304" s="39"/>
      <c r="K304" s="39"/>
      <c r="L304" s="47" t="str">
        <f>IF(OR(tblProductos[[#This Row],[SKU]]="",tblProductos[[#This Row],[Producto]]=""),"",tblProductos[[#This Row],[SKU]]&amp;" · "&amp;tblProductos[[#This Row],[Producto]]&amp;IF(tblProductos[[#This Row],[Activo]]="NO","  (inactivo)",""))</f>
        <v/>
      </c>
      <c r="M304" s="40" t="str">
        <f>IF(tblProductos[[#This Row],[SKU]]="","",COUNTIF(tblEntradas[SKU],tblProductos[[#This Row],[SKU]])+COUNTIF(tblSalidas[SKU],tblProductos[[#This Row],[SKU]]))</f>
        <v/>
      </c>
      <c r="N30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5" spans="2:14" x14ac:dyDescent="0.25">
      <c r="B305" s="38"/>
      <c r="C305" s="38"/>
      <c r="D305" s="38"/>
      <c r="E305" s="39"/>
      <c r="F305" s="45"/>
      <c r="G305" s="45"/>
      <c r="H305" s="46"/>
      <c r="I305" s="38"/>
      <c r="J305" s="39"/>
      <c r="K305" s="39"/>
      <c r="L305" s="47" t="str">
        <f>IF(OR(tblProductos[[#This Row],[SKU]]="",tblProductos[[#This Row],[Producto]]=""),"",tblProductos[[#This Row],[SKU]]&amp;" · "&amp;tblProductos[[#This Row],[Producto]]&amp;IF(tblProductos[[#This Row],[Activo]]="NO","  (inactivo)",""))</f>
        <v/>
      </c>
      <c r="M305" s="40" t="str">
        <f>IF(tblProductos[[#This Row],[SKU]]="","",COUNTIF(tblEntradas[SKU],tblProductos[[#This Row],[SKU]])+COUNTIF(tblSalidas[SKU],tblProductos[[#This Row],[SKU]]))</f>
        <v/>
      </c>
      <c r="N30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6" spans="2:14" x14ac:dyDescent="0.25">
      <c r="B306" s="38"/>
      <c r="C306" s="38"/>
      <c r="D306" s="38"/>
      <c r="E306" s="39"/>
      <c r="F306" s="45"/>
      <c r="G306" s="45"/>
      <c r="H306" s="46"/>
      <c r="I306" s="38"/>
      <c r="J306" s="39"/>
      <c r="K306" s="39"/>
      <c r="L306" s="47" t="str">
        <f>IF(OR(tblProductos[[#This Row],[SKU]]="",tblProductos[[#This Row],[Producto]]=""),"",tblProductos[[#This Row],[SKU]]&amp;" · "&amp;tblProductos[[#This Row],[Producto]]&amp;IF(tblProductos[[#This Row],[Activo]]="NO","  (inactivo)",""))</f>
        <v/>
      </c>
      <c r="M306" s="40" t="str">
        <f>IF(tblProductos[[#This Row],[SKU]]="","",COUNTIF(tblEntradas[SKU],tblProductos[[#This Row],[SKU]])+COUNTIF(tblSalidas[SKU],tblProductos[[#This Row],[SKU]]))</f>
        <v/>
      </c>
      <c r="N30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7" spans="2:14" x14ac:dyDescent="0.25">
      <c r="B307" s="38"/>
      <c r="C307" s="38"/>
      <c r="D307" s="38"/>
      <c r="E307" s="39"/>
      <c r="F307" s="45"/>
      <c r="G307" s="45"/>
      <c r="H307" s="46"/>
      <c r="I307" s="38"/>
      <c r="J307" s="39"/>
      <c r="K307" s="39"/>
      <c r="L307" s="47" t="str">
        <f>IF(OR(tblProductos[[#This Row],[SKU]]="",tblProductos[[#This Row],[Producto]]=""),"",tblProductos[[#This Row],[SKU]]&amp;" · "&amp;tblProductos[[#This Row],[Producto]]&amp;IF(tblProductos[[#This Row],[Activo]]="NO","  (inactivo)",""))</f>
        <v/>
      </c>
      <c r="M307" s="40" t="str">
        <f>IF(tblProductos[[#This Row],[SKU]]="","",COUNTIF(tblEntradas[SKU],tblProductos[[#This Row],[SKU]])+COUNTIF(tblSalidas[SKU],tblProductos[[#This Row],[SKU]]))</f>
        <v/>
      </c>
      <c r="N30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8" spans="2:14" x14ac:dyDescent="0.25">
      <c r="B308" s="38"/>
      <c r="C308" s="38"/>
      <c r="D308" s="38"/>
      <c r="E308" s="39"/>
      <c r="F308" s="45"/>
      <c r="G308" s="45"/>
      <c r="H308" s="46"/>
      <c r="I308" s="38"/>
      <c r="J308" s="39"/>
      <c r="K308" s="39"/>
      <c r="L308" s="47" t="str">
        <f>IF(OR(tblProductos[[#This Row],[SKU]]="",tblProductos[[#This Row],[Producto]]=""),"",tblProductos[[#This Row],[SKU]]&amp;" · "&amp;tblProductos[[#This Row],[Producto]]&amp;IF(tblProductos[[#This Row],[Activo]]="NO","  (inactivo)",""))</f>
        <v/>
      </c>
      <c r="M308" s="40" t="str">
        <f>IF(tblProductos[[#This Row],[SKU]]="","",COUNTIF(tblEntradas[SKU],tblProductos[[#This Row],[SKU]])+COUNTIF(tblSalidas[SKU],tblProductos[[#This Row],[SKU]]))</f>
        <v/>
      </c>
      <c r="N30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9" spans="2:14" x14ac:dyDescent="0.25">
      <c r="B309" s="38"/>
      <c r="C309" s="38"/>
      <c r="D309" s="38"/>
      <c r="E309" s="39"/>
      <c r="F309" s="45"/>
      <c r="G309" s="45"/>
      <c r="H309" s="46"/>
      <c r="I309" s="38"/>
      <c r="J309" s="39"/>
      <c r="K309" s="39"/>
      <c r="L309" s="47" t="str">
        <f>IF(OR(tblProductos[[#This Row],[SKU]]="",tblProductos[[#This Row],[Producto]]=""),"",tblProductos[[#This Row],[SKU]]&amp;" · "&amp;tblProductos[[#This Row],[Producto]]&amp;IF(tblProductos[[#This Row],[Activo]]="NO","  (inactivo)",""))</f>
        <v/>
      </c>
      <c r="M309" s="40" t="str">
        <f>IF(tblProductos[[#This Row],[SKU]]="","",COUNTIF(tblEntradas[SKU],tblProductos[[#This Row],[SKU]])+COUNTIF(tblSalidas[SKU],tblProductos[[#This Row],[SKU]]))</f>
        <v/>
      </c>
      <c r="N30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0" spans="2:14" x14ac:dyDescent="0.25">
      <c r="B310" s="38"/>
      <c r="C310" s="38"/>
      <c r="D310" s="38"/>
      <c r="E310" s="39"/>
      <c r="F310" s="45"/>
      <c r="G310" s="45"/>
      <c r="H310" s="46"/>
      <c r="I310" s="38"/>
      <c r="J310" s="39"/>
      <c r="K310" s="39"/>
      <c r="L310" s="47" t="str">
        <f>IF(OR(tblProductos[[#This Row],[SKU]]="",tblProductos[[#This Row],[Producto]]=""),"",tblProductos[[#This Row],[SKU]]&amp;" · "&amp;tblProductos[[#This Row],[Producto]]&amp;IF(tblProductos[[#This Row],[Activo]]="NO","  (inactivo)",""))</f>
        <v/>
      </c>
      <c r="M310" s="40" t="str">
        <f>IF(tblProductos[[#This Row],[SKU]]="","",COUNTIF(tblEntradas[SKU],tblProductos[[#This Row],[SKU]])+COUNTIF(tblSalidas[SKU],tblProductos[[#This Row],[SKU]]))</f>
        <v/>
      </c>
      <c r="N31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1" spans="2:14" x14ac:dyDescent="0.25">
      <c r="B311" s="38"/>
      <c r="C311" s="38"/>
      <c r="D311" s="38"/>
      <c r="E311" s="39"/>
      <c r="F311" s="45"/>
      <c r="G311" s="45"/>
      <c r="H311" s="46"/>
      <c r="I311" s="38"/>
      <c r="J311" s="39"/>
      <c r="K311" s="39"/>
      <c r="L311" s="47" t="str">
        <f>IF(OR(tblProductos[[#This Row],[SKU]]="",tblProductos[[#This Row],[Producto]]=""),"",tblProductos[[#This Row],[SKU]]&amp;" · "&amp;tblProductos[[#This Row],[Producto]]&amp;IF(tblProductos[[#This Row],[Activo]]="NO","  (inactivo)",""))</f>
        <v/>
      </c>
      <c r="M311" s="40" t="str">
        <f>IF(tblProductos[[#This Row],[SKU]]="","",COUNTIF(tblEntradas[SKU],tblProductos[[#This Row],[SKU]])+COUNTIF(tblSalidas[SKU],tblProductos[[#This Row],[SKU]]))</f>
        <v/>
      </c>
      <c r="N31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2" spans="2:14" x14ac:dyDescent="0.25">
      <c r="B312" s="38"/>
      <c r="C312" s="38"/>
      <c r="D312" s="38"/>
      <c r="E312" s="39"/>
      <c r="F312" s="45"/>
      <c r="G312" s="45"/>
      <c r="H312" s="46"/>
      <c r="I312" s="38"/>
      <c r="J312" s="39"/>
      <c r="K312" s="39"/>
      <c r="L312" s="47" t="str">
        <f>IF(OR(tblProductos[[#This Row],[SKU]]="",tblProductos[[#This Row],[Producto]]=""),"",tblProductos[[#This Row],[SKU]]&amp;" · "&amp;tblProductos[[#This Row],[Producto]]&amp;IF(tblProductos[[#This Row],[Activo]]="NO","  (inactivo)",""))</f>
        <v/>
      </c>
      <c r="M312" s="40" t="str">
        <f>IF(tblProductos[[#This Row],[SKU]]="","",COUNTIF(tblEntradas[SKU],tblProductos[[#This Row],[SKU]])+COUNTIF(tblSalidas[SKU],tblProductos[[#This Row],[SKU]]))</f>
        <v/>
      </c>
      <c r="N31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3" spans="2:14" x14ac:dyDescent="0.25">
      <c r="B313" s="38"/>
      <c r="C313" s="38"/>
      <c r="D313" s="38"/>
      <c r="E313" s="39"/>
      <c r="F313" s="45"/>
      <c r="G313" s="45"/>
      <c r="H313" s="46"/>
      <c r="I313" s="38"/>
      <c r="J313" s="39"/>
      <c r="K313" s="39"/>
      <c r="L313" s="47" t="str">
        <f>IF(OR(tblProductos[[#This Row],[SKU]]="",tblProductos[[#This Row],[Producto]]=""),"",tblProductos[[#This Row],[SKU]]&amp;" · "&amp;tblProductos[[#This Row],[Producto]]&amp;IF(tblProductos[[#This Row],[Activo]]="NO","  (inactivo)",""))</f>
        <v/>
      </c>
      <c r="M313" s="40" t="str">
        <f>IF(tblProductos[[#This Row],[SKU]]="","",COUNTIF(tblEntradas[SKU],tblProductos[[#This Row],[SKU]])+COUNTIF(tblSalidas[SKU],tblProductos[[#This Row],[SKU]]))</f>
        <v/>
      </c>
      <c r="N31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4" spans="2:14" x14ac:dyDescent="0.25">
      <c r="B314" s="38"/>
      <c r="C314" s="38"/>
      <c r="D314" s="38"/>
      <c r="E314" s="39"/>
      <c r="F314" s="45"/>
      <c r="G314" s="45"/>
      <c r="H314" s="46"/>
      <c r="I314" s="38"/>
      <c r="J314" s="39"/>
      <c r="K314" s="39"/>
      <c r="L314" s="47" t="str">
        <f>IF(OR(tblProductos[[#This Row],[SKU]]="",tblProductos[[#This Row],[Producto]]=""),"",tblProductos[[#This Row],[SKU]]&amp;" · "&amp;tblProductos[[#This Row],[Producto]]&amp;IF(tblProductos[[#This Row],[Activo]]="NO","  (inactivo)",""))</f>
        <v/>
      </c>
      <c r="M314" s="40" t="str">
        <f>IF(tblProductos[[#This Row],[SKU]]="","",COUNTIF(tblEntradas[SKU],tblProductos[[#This Row],[SKU]])+COUNTIF(tblSalidas[SKU],tblProductos[[#This Row],[SKU]]))</f>
        <v/>
      </c>
      <c r="N31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5" spans="2:14" x14ac:dyDescent="0.25">
      <c r="B315" s="38"/>
      <c r="C315" s="38"/>
      <c r="D315" s="38"/>
      <c r="E315" s="39"/>
      <c r="F315" s="45"/>
      <c r="G315" s="45"/>
      <c r="H315" s="46"/>
      <c r="I315" s="38"/>
      <c r="J315" s="39"/>
      <c r="K315" s="39"/>
      <c r="L315" s="47" t="str">
        <f>IF(OR(tblProductos[[#This Row],[SKU]]="",tblProductos[[#This Row],[Producto]]=""),"",tblProductos[[#This Row],[SKU]]&amp;" · "&amp;tblProductos[[#This Row],[Producto]]&amp;IF(tblProductos[[#This Row],[Activo]]="NO","  (inactivo)",""))</f>
        <v/>
      </c>
      <c r="M315" s="40" t="str">
        <f>IF(tblProductos[[#This Row],[SKU]]="","",COUNTIF(tblEntradas[SKU],tblProductos[[#This Row],[SKU]])+COUNTIF(tblSalidas[SKU],tblProductos[[#This Row],[SKU]]))</f>
        <v/>
      </c>
      <c r="N31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6" spans="2:14" x14ac:dyDescent="0.25">
      <c r="B316" s="38"/>
      <c r="C316" s="38"/>
      <c r="D316" s="38"/>
      <c r="E316" s="39"/>
      <c r="F316" s="45"/>
      <c r="G316" s="45"/>
      <c r="H316" s="46"/>
      <c r="I316" s="38"/>
      <c r="J316" s="39"/>
      <c r="K316" s="39"/>
      <c r="L316" s="47" t="str">
        <f>IF(OR(tblProductos[[#This Row],[SKU]]="",tblProductos[[#This Row],[Producto]]=""),"",tblProductos[[#This Row],[SKU]]&amp;" · "&amp;tblProductos[[#This Row],[Producto]]&amp;IF(tblProductos[[#This Row],[Activo]]="NO","  (inactivo)",""))</f>
        <v/>
      </c>
      <c r="M316" s="40" t="str">
        <f>IF(tblProductos[[#This Row],[SKU]]="","",COUNTIF(tblEntradas[SKU],tblProductos[[#This Row],[SKU]])+COUNTIF(tblSalidas[SKU],tblProductos[[#This Row],[SKU]]))</f>
        <v/>
      </c>
      <c r="N31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7" spans="2:14" x14ac:dyDescent="0.25">
      <c r="B317" s="38"/>
      <c r="C317" s="38"/>
      <c r="D317" s="38"/>
      <c r="E317" s="39"/>
      <c r="F317" s="45"/>
      <c r="G317" s="45"/>
      <c r="H317" s="46"/>
      <c r="I317" s="38"/>
      <c r="J317" s="39"/>
      <c r="K317" s="39"/>
      <c r="L317" s="47" t="str">
        <f>IF(OR(tblProductos[[#This Row],[SKU]]="",tblProductos[[#This Row],[Producto]]=""),"",tblProductos[[#This Row],[SKU]]&amp;" · "&amp;tblProductos[[#This Row],[Producto]]&amp;IF(tblProductos[[#This Row],[Activo]]="NO","  (inactivo)",""))</f>
        <v/>
      </c>
      <c r="M317" s="40" t="str">
        <f>IF(tblProductos[[#This Row],[SKU]]="","",COUNTIF(tblEntradas[SKU],tblProductos[[#This Row],[SKU]])+COUNTIF(tblSalidas[SKU],tblProductos[[#This Row],[SKU]]))</f>
        <v/>
      </c>
      <c r="N31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8" spans="2:14" x14ac:dyDescent="0.25">
      <c r="B318" s="38"/>
      <c r="C318" s="38"/>
      <c r="D318" s="38"/>
      <c r="E318" s="39"/>
      <c r="F318" s="45"/>
      <c r="G318" s="45"/>
      <c r="H318" s="46"/>
      <c r="I318" s="38"/>
      <c r="J318" s="39"/>
      <c r="K318" s="39"/>
      <c r="L318" s="47" t="str">
        <f>IF(OR(tblProductos[[#This Row],[SKU]]="",tblProductos[[#This Row],[Producto]]=""),"",tblProductos[[#This Row],[SKU]]&amp;" · "&amp;tblProductos[[#This Row],[Producto]]&amp;IF(tblProductos[[#This Row],[Activo]]="NO","  (inactivo)",""))</f>
        <v/>
      </c>
      <c r="M318" s="40" t="str">
        <f>IF(tblProductos[[#This Row],[SKU]]="","",COUNTIF(tblEntradas[SKU],tblProductos[[#This Row],[SKU]])+COUNTIF(tblSalidas[SKU],tblProductos[[#This Row],[SKU]]))</f>
        <v/>
      </c>
      <c r="N31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9" spans="2:14" x14ac:dyDescent="0.25">
      <c r="B319" s="38"/>
      <c r="C319" s="38"/>
      <c r="D319" s="38"/>
      <c r="E319" s="39"/>
      <c r="F319" s="45"/>
      <c r="G319" s="45"/>
      <c r="H319" s="46"/>
      <c r="I319" s="38"/>
      <c r="J319" s="39"/>
      <c r="K319" s="39"/>
      <c r="L319" s="47" t="str">
        <f>IF(OR(tblProductos[[#This Row],[SKU]]="",tblProductos[[#This Row],[Producto]]=""),"",tblProductos[[#This Row],[SKU]]&amp;" · "&amp;tblProductos[[#This Row],[Producto]]&amp;IF(tblProductos[[#This Row],[Activo]]="NO","  (inactivo)",""))</f>
        <v/>
      </c>
      <c r="M319" s="40" t="str">
        <f>IF(tblProductos[[#This Row],[SKU]]="","",COUNTIF(tblEntradas[SKU],tblProductos[[#This Row],[SKU]])+COUNTIF(tblSalidas[SKU],tblProductos[[#This Row],[SKU]]))</f>
        <v/>
      </c>
      <c r="N31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0" spans="2:14" x14ac:dyDescent="0.25">
      <c r="B320" s="38"/>
      <c r="C320" s="38"/>
      <c r="D320" s="38"/>
      <c r="E320" s="39"/>
      <c r="F320" s="45"/>
      <c r="G320" s="45"/>
      <c r="H320" s="46"/>
      <c r="I320" s="38"/>
      <c r="J320" s="39"/>
      <c r="K320" s="39"/>
      <c r="L320" s="47" t="str">
        <f>IF(OR(tblProductos[[#This Row],[SKU]]="",tblProductos[[#This Row],[Producto]]=""),"",tblProductos[[#This Row],[SKU]]&amp;" · "&amp;tblProductos[[#This Row],[Producto]]&amp;IF(tblProductos[[#This Row],[Activo]]="NO","  (inactivo)",""))</f>
        <v/>
      </c>
      <c r="M320" s="40" t="str">
        <f>IF(tblProductos[[#This Row],[SKU]]="","",COUNTIF(tblEntradas[SKU],tblProductos[[#This Row],[SKU]])+COUNTIF(tblSalidas[SKU],tblProductos[[#This Row],[SKU]]))</f>
        <v/>
      </c>
      <c r="N32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1" spans="2:14" x14ac:dyDescent="0.25">
      <c r="B321" s="38"/>
      <c r="C321" s="38"/>
      <c r="D321" s="38"/>
      <c r="E321" s="39"/>
      <c r="F321" s="45"/>
      <c r="G321" s="45"/>
      <c r="H321" s="46"/>
      <c r="I321" s="38"/>
      <c r="J321" s="39"/>
      <c r="K321" s="39"/>
      <c r="L321" s="47" t="str">
        <f>IF(OR(tblProductos[[#This Row],[SKU]]="",tblProductos[[#This Row],[Producto]]=""),"",tblProductos[[#This Row],[SKU]]&amp;" · "&amp;tblProductos[[#This Row],[Producto]]&amp;IF(tblProductos[[#This Row],[Activo]]="NO","  (inactivo)",""))</f>
        <v/>
      </c>
      <c r="M321" s="40" t="str">
        <f>IF(tblProductos[[#This Row],[SKU]]="","",COUNTIF(tblEntradas[SKU],tblProductos[[#This Row],[SKU]])+COUNTIF(tblSalidas[SKU],tblProductos[[#This Row],[SKU]]))</f>
        <v/>
      </c>
      <c r="N32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2" spans="2:14" x14ac:dyDescent="0.25">
      <c r="B322" s="38"/>
      <c r="C322" s="38"/>
      <c r="D322" s="38"/>
      <c r="E322" s="39"/>
      <c r="F322" s="45"/>
      <c r="G322" s="45"/>
      <c r="H322" s="46"/>
      <c r="I322" s="38"/>
      <c r="J322" s="39"/>
      <c r="K322" s="39"/>
      <c r="L322" s="47" t="str">
        <f>IF(OR(tblProductos[[#This Row],[SKU]]="",tblProductos[[#This Row],[Producto]]=""),"",tblProductos[[#This Row],[SKU]]&amp;" · "&amp;tblProductos[[#This Row],[Producto]]&amp;IF(tblProductos[[#This Row],[Activo]]="NO","  (inactivo)",""))</f>
        <v/>
      </c>
      <c r="M322" s="40" t="str">
        <f>IF(tblProductos[[#This Row],[SKU]]="","",COUNTIF(tblEntradas[SKU],tblProductos[[#This Row],[SKU]])+COUNTIF(tblSalidas[SKU],tblProductos[[#This Row],[SKU]]))</f>
        <v/>
      </c>
      <c r="N32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3" spans="2:14" x14ac:dyDescent="0.25">
      <c r="B323" s="38"/>
      <c r="C323" s="38"/>
      <c r="D323" s="38"/>
      <c r="E323" s="39"/>
      <c r="F323" s="45"/>
      <c r="G323" s="45"/>
      <c r="H323" s="46"/>
      <c r="I323" s="38"/>
      <c r="J323" s="39"/>
      <c r="K323" s="39"/>
      <c r="L323" s="47" t="str">
        <f>IF(OR(tblProductos[[#This Row],[SKU]]="",tblProductos[[#This Row],[Producto]]=""),"",tblProductos[[#This Row],[SKU]]&amp;" · "&amp;tblProductos[[#This Row],[Producto]]&amp;IF(tblProductos[[#This Row],[Activo]]="NO","  (inactivo)",""))</f>
        <v/>
      </c>
      <c r="M323" s="40" t="str">
        <f>IF(tblProductos[[#This Row],[SKU]]="","",COUNTIF(tblEntradas[SKU],tblProductos[[#This Row],[SKU]])+COUNTIF(tblSalidas[SKU],tblProductos[[#This Row],[SKU]]))</f>
        <v/>
      </c>
      <c r="N32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4" spans="2:14" x14ac:dyDescent="0.25">
      <c r="B324" s="38"/>
      <c r="C324" s="38"/>
      <c r="D324" s="38"/>
      <c r="E324" s="39"/>
      <c r="F324" s="45"/>
      <c r="G324" s="45"/>
      <c r="H324" s="46"/>
      <c r="I324" s="38"/>
      <c r="J324" s="39"/>
      <c r="K324" s="39"/>
      <c r="L324" s="47" t="str">
        <f>IF(OR(tblProductos[[#This Row],[SKU]]="",tblProductos[[#This Row],[Producto]]=""),"",tblProductos[[#This Row],[SKU]]&amp;" · "&amp;tblProductos[[#This Row],[Producto]]&amp;IF(tblProductos[[#This Row],[Activo]]="NO","  (inactivo)",""))</f>
        <v/>
      </c>
      <c r="M324" s="40" t="str">
        <f>IF(tblProductos[[#This Row],[SKU]]="","",COUNTIF(tblEntradas[SKU],tblProductos[[#This Row],[SKU]])+COUNTIF(tblSalidas[SKU],tblProductos[[#This Row],[SKU]]))</f>
        <v/>
      </c>
      <c r="N32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5" spans="2:14" x14ac:dyDescent="0.25">
      <c r="B325" s="38"/>
      <c r="C325" s="38"/>
      <c r="D325" s="38"/>
      <c r="E325" s="39"/>
      <c r="F325" s="45"/>
      <c r="G325" s="45"/>
      <c r="H325" s="46"/>
      <c r="I325" s="38"/>
      <c r="J325" s="39"/>
      <c r="K325" s="39"/>
      <c r="L325" s="47" t="str">
        <f>IF(OR(tblProductos[[#This Row],[SKU]]="",tblProductos[[#This Row],[Producto]]=""),"",tblProductos[[#This Row],[SKU]]&amp;" · "&amp;tblProductos[[#This Row],[Producto]]&amp;IF(tblProductos[[#This Row],[Activo]]="NO","  (inactivo)",""))</f>
        <v/>
      </c>
      <c r="M325" s="40" t="str">
        <f>IF(tblProductos[[#This Row],[SKU]]="","",COUNTIF(tblEntradas[SKU],tblProductos[[#This Row],[SKU]])+COUNTIF(tblSalidas[SKU],tblProductos[[#This Row],[SKU]]))</f>
        <v/>
      </c>
      <c r="N32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6" spans="2:14" x14ac:dyDescent="0.25">
      <c r="B326" s="38"/>
      <c r="C326" s="38"/>
      <c r="D326" s="38"/>
      <c r="E326" s="39"/>
      <c r="F326" s="45"/>
      <c r="G326" s="45"/>
      <c r="H326" s="46"/>
      <c r="I326" s="38"/>
      <c r="J326" s="39"/>
      <c r="K326" s="39"/>
      <c r="L326" s="47" t="str">
        <f>IF(OR(tblProductos[[#This Row],[SKU]]="",tblProductos[[#This Row],[Producto]]=""),"",tblProductos[[#This Row],[SKU]]&amp;" · "&amp;tblProductos[[#This Row],[Producto]]&amp;IF(tblProductos[[#This Row],[Activo]]="NO","  (inactivo)",""))</f>
        <v/>
      </c>
      <c r="M326" s="40" t="str">
        <f>IF(tblProductos[[#This Row],[SKU]]="","",COUNTIF(tblEntradas[SKU],tblProductos[[#This Row],[SKU]])+COUNTIF(tblSalidas[SKU],tblProductos[[#This Row],[SKU]]))</f>
        <v/>
      </c>
      <c r="N32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7" spans="2:14" x14ac:dyDescent="0.25">
      <c r="B327" s="38"/>
      <c r="C327" s="38"/>
      <c r="D327" s="38"/>
      <c r="E327" s="39"/>
      <c r="F327" s="45"/>
      <c r="G327" s="45"/>
      <c r="H327" s="46"/>
      <c r="I327" s="38"/>
      <c r="J327" s="39"/>
      <c r="K327" s="39"/>
      <c r="L327" s="47" t="str">
        <f>IF(OR(tblProductos[[#This Row],[SKU]]="",tblProductos[[#This Row],[Producto]]=""),"",tblProductos[[#This Row],[SKU]]&amp;" · "&amp;tblProductos[[#This Row],[Producto]]&amp;IF(tblProductos[[#This Row],[Activo]]="NO","  (inactivo)",""))</f>
        <v/>
      </c>
      <c r="M327" s="40" t="str">
        <f>IF(tblProductos[[#This Row],[SKU]]="","",COUNTIF(tblEntradas[SKU],tblProductos[[#This Row],[SKU]])+COUNTIF(tblSalidas[SKU],tblProductos[[#This Row],[SKU]]))</f>
        <v/>
      </c>
      <c r="N32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8" spans="2:14" x14ac:dyDescent="0.25">
      <c r="B328" s="38"/>
      <c r="C328" s="38"/>
      <c r="D328" s="38"/>
      <c r="E328" s="39"/>
      <c r="F328" s="45"/>
      <c r="G328" s="45"/>
      <c r="H328" s="46"/>
      <c r="I328" s="38"/>
      <c r="J328" s="39"/>
      <c r="K328" s="39"/>
      <c r="L328" s="47" t="str">
        <f>IF(OR(tblProductos[[#This Row],[SKU]]="",tblProductos[[#This Row],[Producto]]=""),"",tblProductos[[#This Row],[SKU]]&amp;" · "&amp;tblProductos[[#This Row],[Producto]]&amp;IF(tblProductos[[#This Row],[Activo]]="NO","  (inactivo)",""))</f>
        <v/>
      </c>
      <c r="M328" s="40" t="str">
        <f>IF(tblProductos[[#This Row],[SKU]]="","",COUNTIF(tblEntradas[SKU],tblProductos[[#This Row],[SKU]])+COUNTIF(tblSalidas[SKU],tblProductos[[#This Row],[SKU]]))</f>
        <v/>
      </c>
      <c r="N32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9" spans="2:14" x14ac:dyDescent="0.25">
      <c r="B329" s="38"/>
      <c r="C329" s="38"/>
      <c r="D329" s="38"/>
      <c r="E329" s="39"/>
      <c r="F329" s="45"/>
      <c r="G329" s="45"/>
      <c r="H329" s="46"/>
      <c r="I329" s="38"/>
      <c r="J329" s="39"/>
      <c r="K329" s="39"/>
      <c r="L329" s="47" t="str">
        <f>IF(OR(tblProductos[[#This Row],[SKU]]="",tblProductos[[#This Row],[Producto]]=""),"",tblProductos[[#This Row],[SKU]]&amp;" · "&amp;tblProductos[[#This Row],[Producto]]&amp;IF(tblProductos[[#This Row],[Activo]]="NO","  (inactivo)",""))</f>
        <v/>
      </c>
      <c r="M329" s="40" t="str">
        <f>IF(tblProductos[[#This Row],[SKU]]="","",COUNTIF(tblEntradas[SKU],tblProductos[[#This Row],[SKU]])+COUNTIF(tblSalidas[SKU],tblProductos[[#This Row],[SKU]]))</f>
        <v/>
      </c>
      <c r="N32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0" spans="2:14" x14ac:dyDescent="0.25">
      <c r="B330" s="38"/>
      <c r="C330" s="38"/>
      <c r="D330" s="38"/>
      <c r="E330" s="39"/>
      <c r="F330" s="45"/>
      <c r="G330" s="45"/>
      <c r="H330" s="46"/>
      <c r="I330" s="38"/>
      <c r="J330" s="39"/>
      <c r="K330" s="39"/>
      <c r="L330" s="47" t="str">
        <f>IF(OR(tblProductos[[#This Row],[SKU]]="",tblProductos[[#This Row],[Producto]]=""),"",tblProductos[[#This Row],[SKU]]&amp;" · "&amp;tblProductos[[#This Row],[Producto]]&amp;IF(tblProductos[[#This Row],[Activo]]="NO","  (inactivo)",""))</f>
        <v/>
      </c>
      <c r="M330" s="40" t="str">
        <f>IF(tblProductos[[#This Row],[SKU]]="","",COUNTIF(tblEntradas[SKU],tblProductos[[#This Row],[SKU]])+COUNTIF(tblSalidas[SKU],tblProductos[[#This Row],[SKU]]))</f>
        <v/>
      </c>
      <c r="N33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1" spans="2:14" x14ac:dyDescent="0.25">
      <c r="B331" s="38"/>
      <c r="C331" s="38"/>
      <c r="D331" s="38"/>
      <c r="E331" s="39"/>
      <c r="F331" s="45"/>
      <c r="G331" s="45"/>
      <c r="H331" s="46"/>
      <c r="I331" s="38"/>
      <c r="J331" s="39"/>
      <c r="K331" s="39"/>
      <c r="L331" s="47" t="str">
        <f>IF(OR(tblProductos[[#This Row],[SKU]]="",tblProductos[[#This Row],[Producto]]=""),"",tblProductos[[#This Row],[SKU]]&amp;" · "&amp;tblProductos[[#This Row],[Producto]]&amp;IF(tblProductos[[#This Row],[Activo]]="NO","  (inactivo)",""))</f>
        <v/>
      </c>
      <c r="M331" s="40" t="str">
        <f>IF(tblProductos[[#This Row],[SKU]]="","",COUNTIF(tblEntradas[SKU],tblProductos[[#This Row],[SKU]])+COUNTIF(tblSalidas[SKU],tblProductos[[#This Row],[SKU]]))</f>
        <v/>
      </c>
      <c r="N33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2" spans="2:14" x14ac:dyDescent="0.25">
      <c r="B332" s="38"/>
      <c r="C332" s="38"/>
      <c r="D332" s="38"/>
      <c r="E332" s="39"/>
      <c r="F332" s="45"/>
      <c r="G332" s="45"/>
      <c r="H332" s="46"/>
      <c r="I332" s="38"/>
      <c r="J332" s="39"/>
      <c r="K332" s="39"/>
      <c r="L332" s="47" t="str">
        <f>IF(OR(tblProductos[[#This Row],[SKU]]="",tblProductos[[#This Row],[Producto]]=""),"",tblProductos[[#This Row],[SKU]]&amp;" · "&amp;tblProductos[[#This Row],[Producto]]&amp;IF(tblProductos[[#This Row],[Activo]]="NO","  (inactivo)",""))</f>
        <v/>
      </c>
      <c r="M332" s="40" t="str">
        <f>IF(tblProductos[[#This Row],[SKU]]="","",COUNTIF(tblEntradas[SKU],tblProductos[[#This Row],[SKU]])+COUNTIF(tblSalidas[SKU],tblProductos[[#This Row],[SKU]]))</f>
        <v/>
      </c>
      <c r="N33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3" spans="2:14" x14ac:dyDescent="0.25">
      <c r="B333" s="38"/>
      <c r="C333" s="38"/>
      <c r="D333" s="38"/>
      <c r="E333" s="39"/>
      <c r="F333" s="45"/>
      <c r="G333" s="45"/>
      <c r="H333" s="46"/>
      <c r="I333" s="38"/>
      <c r="J333" s="39"/>
      <c r="K333" s="39"/>
      <c r="L333" s="47" t="str">
        <f>IF(OR(tblProductos[[#This Row],[SKU]]="",tblProductos[[#This Row],[Producto]]=""),"",tblProductos[[#This Row],[SKU]]&amp;" · "&amp;tblProductos[[#This Row],[Producto]]&amp;IF(tblProductos[[#This Row],[Activo]]="NO","  (inactivo)",""))</f>
        <v/>
      </c>
      <c r="M333" s="40" t="str">
        <f>IF(tblProductos[[#This Row],[SKU]]="","",COUNTIF(tblEntradas[SKU],tblProductos[[#This Row],[SKU]])+COUNTIF(tblSalidas[SKU],tblProductos[[#This Row],[SKU]]))</f>
        <v/>
      </c>
      <c r="N33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4" spans="2:14" x14ac:dyDescent="0.25">
      <c r="B334" s="38"/>
      <c r="C334" s="38"/>
      <c r="D334" s="38"/>
      <c r="E334" s="39"/>
      <c r="F334" s="45"/>
      <c r="G334" s="45"/>
      <c r="H334" s="46"/>
      <c r="I334" s="38"/>
      <c r="J334" s="39"/>
      <c r="K334" s="39"/>
      <c r="L334" s="47" t="str">
        <f>IF(OR(tblProductos[[#This Row],[SKU]]="",tblProductos[[#This Row],[Producto]]=""),"",tblProductos[[#This Row],[SKU]]&amp;" · "&amp;tblProductos[[#This Row],[Producto]]&amp;IF(tblProductos[[#This Row],[Activo]]="NO","  (inactivo)",""))</f>
        <v/>
      </c>
      <c r="M334" s="40" t="str">
        <f>IF(tblProductos[[#This Row],[SKU]]="","",COUNTIF(tblEntradas[SKU],tblProductos[[#This Row],[SKU]])+COUNTIF(tblSalidas[SKU],tblProductos[[#This Row],[SKU]]))</f>
        <v/>
      </c>
      <c r="N33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5" spans="2:14" x14ac:dyDescent="0.25">
      <c r="B335" s="38"/>
      <c r="C335" s="38"/>
      <c r="D335" s="38"/>
      <c r="E335" s="39"/>
      <c r="F335" s="45"/>
      <c r="G335" s="45"/>
      <c r="H335" s="46"/>
      <c r="I335" s="38"/>
      <c r="J335" s="39"/>
      <c r="K335" s="39"/>
      <c r="L335" s="47" t="str">
        <f>IF(OR(tblProductos[[#This Row],[SKU]]="",tblProductos[[#This Row],[Producto]]=""),"",tblProductos[[#This Row],[SKU]]&amp;" · "&amp;tblProductos[[#This Row],[Producto]]&amp;IF(tblProductos[[#This Row],[Activo]]="NO","  (inactivo)",""))</f>
        <v/>
      </c>
      <c r="M335" s="40" t="str">
        <f>IF(tblProductos[[#This Row],[SKU]]="","",COUNTIF(tblEntradas[SKU],tblProductos[[#This Row],[SKU]])+COUNTIF(tblSalidas[SKU],tblProductos[[#This Row],[SKU]]))</f>
        <v/>
      </c>
      <c r="N33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6" spans="2:14" x14ac:dyDescent="0.25">
      <c r="B336" s="38"/>
      <c r="C336" s="38"/>
      <c r="D336" s="38"/>
      <c r="E336" s="39"/>
      <c r="F336" s="45"/>
      <c r="G336" s="45"/>
      <c r="H336" s="46"/>
      <c r="I336" s="38"/>
      <c r="J336" s="39"/>
      <c r="K336" s="39"/>
      <c r="L336" s="47" t="str">
        <f>IF(OR(tblProductos[[#This Row],[SKU]]="",tblProductos[[#This Row],[Producto]]=""),"",tblProductos[[#This Row],[SKU]]&amp;" · "&amp;tblProductos[[#This Row],[Producto]]&amp;IF(tblProductos[[#This Row],[Activo]]="NO","  (inactivo)",""))</f>
        <v/>
      </c>
      <c r="M336" s="40" t="str">
        <f>IF(tblProductos[[#This Row],[SKU]]="","",COUNTIF(tblEntradas[SKU],tblProductos[[#This Row],[SKU]])+COUNTIF(tblSalidas[SKU],tblProductos[[#This Row],[SKU]]))</f>
        <v/>
      </c>
      <c r="N33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7" spans="2:14" x14ac:dyDescent="0.25">
      <c r="B337" s="38"/>
      <c r="C337" s="38"/>
      <c r="D337" s="38"/>
      <c r="E337" s="39"/>
      <c r="F337" s="45"/>
      <c r="G337" s="45"/>
      <c r="H337" s="46"/>
      <c r="I337" s="38"/>
      <c r="J337" s="39"/>
      <c r="K337" s="39"/>
      <c r="L337" s="47" t="str">
        <f>IF(OR(tblProductos[[#This Row],[SKU]]="",tblProductos[[#This Row],[Producto]]=""),"",tblProductos[[#This Row],[SKU]]&amp;" · "&amp;tblProductos[[#This Row],[Producto]]&amp;IF(tblProductos[[#This Row],[Activo]]="NO","  (inactivo)",""))</f>
        <v/>
      </c>
      <c r="M337" s="40" t="str">
        <f>IF(tblProductos[[#This Row],[SKU]]="","",COUNTIF(tblEntradas[SKU],tblProductos[[#This Row],[SKU]])+COUNTIF(tblSalidas[SKU],tblProductos[[#This Row],[SKU]]))</f>
        <v/>
      </c>
      <c r="N33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8" spans="2:14" x14ac:dyDescent="0.25">
      <c r="B338" s="38"/>
      <c r="C338" s="38"/>
      <c r="D338" s="38"/>
      <c r="E338" s="39"/>
      <c r="F338" s="45"/>
      <c r="G338" s="45"/>
      <c r="H338" s="46"/>
      <c r="I338" s="38"/>
      <c r="J338" s="39"/>
      <c r="K338" s="39"/>
      <c r="L338" s="47" t="str">
        <f>IF(OR(tblProductos[[#This Row],[SKU]]="",tblProductos[[#This Row],[Producto]]=""),"",tblProductos[[#This Row],[SKU]]&amp;" · "&amp;tblProductos[[#This Row],[Producto]]&amp;IF(tblProductos[[#This Row],[Activo]]="NO","  (inactivo)",""))</f>
        <v/>
      </c>
      <c r="M338" s="40" t="str">
        <f>IF(tblProductos[[#This Row],[SKU]]="","",COUNTIF(tblEntradas[SKU],tblProductos[[#This Row],[SKU]])+COUNTIF(tblSalidas[SKU],tblProductos[[#This Row],[SKU]]))</f>
        <v/>
      </c>
      <c r="N33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9" spans="2:14" x14ac:dyDescent="0.25">
      <c r="B339" s="38"/>
      <c r="C339" s="38"/>
      <c r="D339" s="38"/>
      <c r="E339" s="39"/>
      <c r="F339" s="45"/>
      <c r="G339" s="45"/>
      <c r="H339" s="46"/>
      <c r="I339" s="38"/>
      <c r="J339" s="39"/>
      <c r="K339" s="39"/>
      <c r="L339" s="47" t="str">
        <f>IF(OR(tblProductos[[#This Row],[SKU]]="",tblProductos[[#This Row],[Producto]]=""),"",tblProductos[[#This Row],[SKU]]&amp;" · "&amp;tblProductos[[#This Row],[Producto]]&amp;IF(tblProductos[[#This Row],[Activo]]="NO","  (inactivo)",""))</f>
        <v/>
      </c>
      <c r="M339" s="40" t="str">
        <f>IF(tblProductos[[#This Row],[SKU]]="","",COUNTIF(tblEntradas[SKU],tblProductos[[#This Row],[SKU]])+COUNTIF(tblSalidas[SKU],tblProductos[[#This Row],[SKU]]))</f>
        <v/>
      </c>
      <c r="N33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0" spans="2:14" x14ac:dyDescent="0.25">
      <c r="B340" s="38"/>
      <c r="C340" s="38"/>
      <c r="D340" s="38"/>
      <c r="E340" s="39"/>
      <c r="F340" s="45"/>
      <c r="G340" s="45"/>
      <c r="H340" s="46"/>
      <c r="I340" s="38"/>
      <c r="J340" s="39"/>
      <c r="K340" s="39"/>
      <c r="L340" s="47" t="str">
        <f>IF(OR(tblProductos[[#This Row],[SKU]]="",tblProductos[[#This Row],[Producto]]=""),"",tblProductos[[#This Row],[SKU]]&amp;" · "&amp;tblProductos[[#This Row],[Producto]]&amp;IF(tblProductos[[#This Row],[Activo]]="NO","  (inactivo)",""))</f>
        <v/>
      </c>
      <c r="M340" s="40" t="str">
        <f>IF(tblProductos[[#This Row],[SKU]]="","",COUNTIF(tblEntradas[SKU],tblProductos[[#This Row],[SKU]])+COUNTIF(tblSalidas[SKU],tblProductos[[#This Row],[SKU]]))</f>
        <v/>
      </c>
      <c r="N34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1" spans="2:14" x14ac:dyDescent="0.25">
      <c r="B341" s="38"/>
      <c r="C341" s="38"/>
      <c r="D341" s="38"/>
      <c r="E341" s="39"/>
      <c r="F341" s="45"/>
      <c r="G341" s="45"/>
      <c r="H341" s="46"/>
      <c r="I341" s="38"/>
      <c r="J341" s="39"/>
      <c r="K341" s="39"/>
      <c r="L341" s="47" t="str">
        <f>IF(OR(tblProductos[[#This Row],[SKU]]="",tblProductos[[#This Row],[Producto]]=""),"",tblProductos[[#This Row],[SKU]]&amp;" · "&amp;tblProductos[[#This Row],[Producto]]&amp;IF(tblProductos[[#This Row],[Activo]]="NO","  (inactivo)",""))</f>
        <v/>
      </c>
      <c r="M341" s="40" t="str">
        <f>IF(tblProductos[[#This Row],[SKU]]="","",COUNTIF(tblEntradas[SKU],tblProductos[[#This Row],[SKU]])+COUNTIF(tblSalidas[SKU],tblProductos[[#This Row],[SKU]]))</f>
        <v/>
      </c>
      <c r="N34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2" spans="2:14" x14ac:dyDescent="0.25">
      <c r="B342" s="38"/>
      <c r="C342" s="38"/>
      <c r="D342" s="38"/>
      <c r="E342" s="39"/>
      <c r="F342" s="45"/>
      <c r="G342" s="45"/>
      <c r="H342" s="46"/>
      <c r="I342" s="38"/>
      <c r="J342" s="39"/>
      <c r="K342" s="39"/>
      <c r="L342" s="47" t="str">
        <f>IF(OR(tblProductos[[#This Row],[SKU]]="",tblProductos[[#This Row],[Producto]]=""),"",tblProductos[[#This Row],[SKU]]&amp;" · "&amp;tblProductos[[#This Row],[Producto]]&amp;IF(tblProductos[[#This Row],[Activo]]="NO","  (inactivo)",""))</f>
        <v/>
      </c>
      <c r="M342" s="40" t="str">
        <f>IF(tblProductos[[#This Row],[SKU]]="","",COUNTIF(tblEntradas[SKU],tblProductos[[#This Row],[SKU]])+COUNTIF(tblSalidas[SKU],tblProductos[[#This Row],[SKU]]))</f>
        <v/>
      </c>
      <c r="N34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3" spans="2:14" x14ac:dyDescent="0.25">
      <c r="B343" s="38"/>
      <c r="C343" s="38"/>
      <c r="D343" s="38"/>
      <c r="E343" s="39"/>
      <c r="F343" s="45"/>
      <c r="G343" s="45"/>
      <c r="H343" s="46"/>
      <c r="I343" s="38"/>
      <c r="J343" s="39"/>
      <c r="K343" s="39"/>
      <c r="L343" s="47" t="str">
        <f>IF(OR(tblProductos[[#This Row],[SKU]]="",tblProductos[[#This Row],[Producto]]=""),"",tblProductos[[#This Row],[SKU]]&amp;" · "&amp;tblProductos[[#This Row],[Producto]]&amp;IF(tblProductos[[#This Row],[Activo]]="NO","  (inactivo)",""))</f>
        <v/>
      </c>
      <c r="M343" s="40" t="str">
        <f>IF(tblProductos[[#This Row],[SKU]]="","",COUNTIF(tblEntradas[SKU],tblProductos[[#This Row],[SKU]])+COUNTIF(tblSalidas[SKU],tblProductos[[#This Row],[SKU]]))</f>
        <v/>
      </c>
      <c r="N34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4" spans="2:14" x14ac:dyDescent="0.25">
      <c r="B344" s="38"/>
      <c r="C344" s="38"/>
      <c r="D344" s="38"/>
      <c r="E344" s="39"/>
      <c r="F344" s="45"/>
      <c r="G344" s="45"/>
      <c r="H344" s="46"/>
      <c r="I344" s="38"/>
      <c r="J344" s="39"/>
      <c r="K344" s="39"/>
      <c r="L344" s="47" t="str">
        <f>IF(OR(tblProductos[[#This Row],[SKU]]="",tblProductos[[#This Row],[Producto]]=""),"",tblProductos[[#This Row],[SKU]]&amp;" · "&amp;tblProductos[[#This Row],[Producto]]&amp;IF(tblProductos[[#This Row],[Activo]]="NO","  (inactivo)",""))</f>
        <v/>
      </c>
      <c r="M344" s="40" t="str">
        <f>IF(tblProductos[[#This Row],[SKU]]="","",COUNTIF(tblEntradas[SKU],tblProductos[[#This Row],[SKU]])+COUNTIF(tblSalidas[SKU],tblProductos[[#This Row],[SKU]]))</f>
        <v/>
      </c>
      <c r="N34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5" spans="2:14" x14ac:dyDescent="0.25">
      <c r="B345" s="38"/>
      <c r="C345" s="38"/>
      <c r="D345" s="38"/>
      <c r="E345" s="39"/>
      <c r="F345" s="45"/>
      <c r="G345" s="45"/>
      <c r="H345" s="46"/>
      <c r="I345" s="38"/>
      <c r="J345" s="39"/>
      <c r="K345" s="39"/>
      <c r="L345" s="47" t="str">
        <f>IF(OR(tblProductos[[#This Row],[SKU]]="",tblProductos[[#This Row],[Producto]]=""),"",tblProductos[[#This Row],[SKU]]&amp;" · "&amp;tblProductos[[#This Row],[Producto]]&amp;IF(tblProductos[[#This Row],[Activo]]="NO","  (inactivo)",""))</f>
        <v/>
      </c>
      <c r="M345" s="40" t="str">
        <f>IF(tblProductos[[#This Row],[SKU]]="","",COUNTIF(tblEntradas[SKU],tblProductos[[#This Row],[SKU]])+COUNTIF(tblSalidas[SKU],tblProductos[[#This Row],[SKU]]))</f>
        <v/>
      </c>
      <c r="N34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6" spans="2:14" x14ac:dyDescent="0.25">
      <c r="B346" s="38"/>
      <c r="C346" s="38"/>
      <c r="D346" s="38"/>
      <c r="E346" s="39"/>
      <c r="F346" s="45"/>
      <c r="G346" s="45"/>
      <c r="H346" s="46"/>
      <c r="I346" s="38"/>
      <c r="J346" s="39"/>
      <c r="K346" s="39"/>
      <c r="L346" s="47" t="str">
        <f>IF(OR(tblProductos[[#This Row],[SKU]]="",tblProductos[[#This Row],[Producto]]=""),"",tblProductos[[#This Row],[SKU]]&amp;" · "&amp;tblProductos[[#This Row],[Producto]]&amp;IF(tblProductos[[#This Row],[Activo]]="NO","  (inactivo)",""))</f>
        <v/>
      </c>
      <c r="M346" s="40" t="str">
        <f>IF(tblProductos[[#This Row],[SKU]]="","",COUNTIF(tblEntradas[SKU],tblProductos[[#This Row],[SKU]])+COUNTIF(tblSalidas[SKU],tblProductos[[#This Row],[SKU]]))</f>
        <v/>
      </c>
      <c r="N34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7" spans="2:14" x14ac:dyDescent="0.25">
      <c r="B347" s="38"/>
      <c r="C347" s="38"/>
      <c r="D347" s="38"/>
      <c r="E347" s="39"/>
      <c r="F347" s="45"/>
      <c r="G347" s="45"/>
      <c r="H347" s="46"/>
      <c r="I347" s="38"/>
      <c r="J347" s="39"/>
      <c r="K347" s="39"/>
      <c r="L347" s="47" t="str">
        <f>IF(OR(tblProductos[[#This Row],[SKU]]="",tblProductos[[#This Row],[Producto]]=""),"",tblProductos[[#This Row],[SKU]]&amp;" · "&amp;tblProductos[[#This Row],[Producto]]&amp;IF(tblProductos[[#This Row],[Activo]]="NO","  (inactivo)",""))</f>
        <v/>
      </c>
      <c r="M347" s="40" t="str">
        <f>IF(tblProductos[[#This Row],[SKU]]="","",COUNTIF(tblEntradas[SKU],tblProductos[[#This Row],[SKU]])+COUNTIF(tblSalidas[SKU],tblProductos[[#This Row],[SKU]]))</f>
        <v/>
      </c>
      <c r="N34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8" spans="2:14" x14ac:dyDescent="0.25">
      <c r="B348" s="38"/>
      <c r="C348" s="38"/>
      <c r="D348" s="38"/>
      <c r="E348" s="39"/>
      <c r="F348" s="45"/>
      <c r="G348" s="45"/>
      <c r="H348" s="46"/>
      <c r="I348" s="38"/>
      <c r="J348" s="39"/>
      <c r="K348" s="39"/>
      <c r="L348" s="47" t="str">
        <f>IF(OR(tblProductos[[#This Row],[SKU]]="",tblProductos[[#This Row],[Producto]]=""),"",tblProductos[[#This Row],[SKU]]&amp;" · "&amp;tblProductos[[#This Row],[Producto]]&amp;IF(tblProductos[[#This Row],[Activo]]="NO","  (inactivo)",""))</f>
        <v/>
      </c>
      <c r="M348" s="40" t="str">
        <f>IF(tblProductos[[#This Row],[SKU]]="","",COUNTIF(tblEntradas[SKU],tblProductos[[#This Row],[SKU]])+COUNTIF(tblSalidas[SKU],tblProductos[[#This Row],[SKU]]))</f>
        <v/>
      </c>
      <c r="N34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9" spans="2:14" x14ac:dyDescent="0.25">
      <c r="B349" s="38"/>
      <c r="C349" s="38"/>
      <c r="D349" s="38"/>
      <c r="E349" s="39"/>
      <c r="F349" s="45"/>
      <c r="G349" s="45"/>
      <c r="H349" s="46"/>
      <c r="I349" s="38"/>
      <c r="J349" s="39"/>
      <c r="K349" s="39"/>
      <c r="L349" s="47" t="str">
        <f>IF(OR(tblProductos[[#This Row],[SKU]]="",tblProductos[[#This Row],[Producto]]=""),"",tblProductos[[#This Row],[SKU]]&amp;" · "&amp;tblProductos[[#This Row],[Producto]]&amp;IF(tblProductos[[#This Row],[Activo]]="NO","  (inactivo)",""))</f>
        <v/>
      </c>
      <c r="M349" s="40" t="str">
        <f>IF(tblProductos[[#This Row],[SKU]]="","",COUNTIF(tblEntradas[SKU],tblProductos[[#This Row],[SKU]])+COUNTIF(tblSalidas[SKU],tblProductos[[#This Row],[SKU]]))</f>
        <v/>
      </c>
      <c r="N34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0" spans="2:14" x14ac:dyDescent="0.25">
      <c r="B350" s="38"/>
      <c r="C350" s="38"/>
      <c r="D350" s="38"/>
      <c r="E350" s="39"/>
      <c r="F350" s="45"/>
      <c r="G350" s="45"/>
      <c r="H350" s="46"/>
      <c r="I350" s="38"/>
      <c r="J350" s="39"/>
      <c r="K350" s="39"/>
      <c r="L350" s="47" t="str">
        <f>IF(OR(tblProductos[[#This Row],[SKU]]="",tblProductos[[#This Row],[Producto]]=""),"",tblProductos[[#This Row],[SKU]]&amp;" · "&amp;tblProductos[[#This Row],[Producto]]&amp;IF(tblProductos[[#This Row],[Activo]]="NO","  (inactivo)",""))</f>
        <v/>
      </c>
      <c r="M350" s="40" t="str">
        <f>IF(tblProductos[[#This Row],[SKU]]="","",COUNTIF(tblEntradas[SKU],tblProductos[[#This Row],[SKU]])+COUNTIF(tblSalidas[SKU],tblProductos[[#This Row],[SKU]]))</f>
        <v/>
      </c>
      <c r="N35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1" spans="2:14" x14ac:dyDescent="0.25">
      <c r="B351" s="38"/>
      <c r="C351" s="38"/>
      <c r="D351" s="38"/>
      <c r="E351" s="39"/>
      <c r="F351" s="45"/>
      <c r="G351" s="45"/>
      <c r="H351" s="46"/>
      <c r="I351" s="38"/>
      <c r="J351" s="39"/>
      <c r="K351" s="39"/>
      <c r="L351" s="47" t="str">
        <f>IF(OR(tblProductos[[#This Row],[SKU]]="",tblProductos[[#This Row],[Producto]]=""),"",tblProductos[[#This Row],[SKU]]&amp;" · "&amp;tblProductos[[#This Row],[Producto]]&amp;IF(tblProductos[[#This Row],[Activo]]="NO","  (inactivo)",""))</f>
        <v/>
      </c>
      <c r="M351" s="40" t="str">
        <f>IF(tblProductos[[#This Row],[SKU]]="","",COUNTIF(tblEntradas[SKU],tblProductos[[#This Row],[SKU]])+COUNTIF(tblSalidas[SKU],tblProductos[[#This Row],[SKU]]))</f>
        <v/>
      </c>
      <c r="N35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2" spans="2:14" x14ac:dyDescent="0.25">
      <c r="B352" s="38"/>
      <c r="C352" s="38"/>
      <c r="D352" s="38"/>
      <c r="E352" s="39"/>
      <c r="F352" s="45"/>
      <c r="G352" s="45"/>
      <c r="H352" s="46"/>
      <c r="I352" s="38"/>
      <c r="J352" s="39"/>
      <c r="K352" s="39"/>
      <c r="L352" s="47" t="str">
        <f>IF(OR(tblProductos[[#This Row],[SKU]]="",tblProductos[[#This Row],[Producto]]=""),"",tblProductos[[#This Row],[SKU]]&amp;" · "&amp;tblProductos[[#This Row],[Producto]]&amp;IF(tblProductos[[#This Row],[Activo]]="NO","  (inactivo)",""))</f>
        <v/>
      </c>
      <c r="M352" s="40" t="str">
        <f>IF(tblProductos[[#This Row],[SKU]]="","",COUNTIF(tblEntradas[SKU],tblProductos[[#This Row],[SKU]])+COUNTIF(tblSalidas[SKU],tblProductos[[#This Row],[SKU]]))</f>
        <v/>
      </c>
      <c r="N35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3" spans="2:14" x14ac:dyDescent="0.25">
      <c r="B353" s="38"/>
      <c r="C353" s="38"/>
      <c r="D353" s="38"/>
      <c r="E353" s="39"/>
      <c r="F353" s="45"/>
      <c r="G353" s="45"/>
      <c r="H353" s="46"/>
      <c r="I353" s="38"/>
      <c r="J353" s="39"/>
      <c r="K353" s="39"/>
      <c r="L353" s="47" t="str">
        <f>IF(OR(tblProductos[[#This Row],[SKU]]="",tblProductos[[#This Row],[Producto]]=""),"",tblProductos[[#This Row],[SKU]]&amp;" · "&amp;tblProductos[[#This Row],[Producto]]&amp;IF(tblProductos[[#This Row],[Activo]]="NO","  (inactivo)",""))</f>
        <v/>
      </c>
      <c r="M353" s="40" t="str">
        <f>IF(tblProductos[[#This Row],[SKU]]="","",COUNTIF(tblEntradas[SKU],tblProductos[[#This Row],[SKU]])+COUNTIF(tblSalidas[SKU],tblProductos[[#This Row],[SKU]]))</f>
        <v/>
      </c>
      <c r="N35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4" spans="2:14" x14ac:dyDescent="0.25">
      <c r="B354" s="38"/>
      <c r="C354" s="38"/>
      <c r="D354" s="38"/>
      <c r="E354" s="39"/>
      <c r="F354" s="45"/>
      <c r="G354" s="45"/>
      <c r="H354" s="46"/>
      <c r="I354" s="38"/>
      <c r="J354" s="39"/>
      <c r="K354" s="39"/>
      <c r="L354" s="47" t="str">
        <f>IF(OR(tblProductos[[#This Row],[SKU]]="",tblProductos[[#This Row],[Producto]]=""),"",tblProductos[[#This Row],[SKU]]&amp;" · "&amp;tblProductos[[#This Row],[Producto]]&amp;IF(tblProductos[[#This Row],[Activo]]="NO","  (inactivo)",""))</f>
        <v/>
      </c>
      <c r="M354" s="40" t="str">
        <f>IF(tblProductos[[#This Row],[SKU]]="","",COUNTIF(tblEntradas[SKU],tblProductos[[#This Row],[SKU]])+COUNTIF(tblSalidas[SKU],tblProductos[[#This Row],[SKU]]))</f>
        <v/>
      </c>
      <c r="N35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5" spans="2:14" x14ac:dyDescent="0.25">
      <c r="B355" s="38"/>
      <c r="C355" s="38"/>
      <c r="D355" s="38"/>
      <c r="E355" s="39"/>
      <c r="F355" s="45"/>
      <c r="G355" s="45"/>
      <c r="H355" s="46"/>
      <c r="I355" s="38"/>
      <c r="J355" s="39"/>
      <c r="K355" s="39"/>
      <c r="L355" s="47" t="str">
        <f>IF(OR(tblProductos[[#This Row],[SKU]]="",tblProductos[[#This Row],[Producto]]=""),"",tblProductos[[#This Row],[SKU]]&amp;" · "&amp;tblProductos[[#This Row],[Producto]]&amp;IF(tblProductos[[#This Row],[Activo]]="NO","  (inactivo)",""))</f>
        <v/>
      </c>
      <c r="M355" s="40" t="str">
        <f>IF(tblProductos[[#This Row],[SKU]]="","",COUNTIF(tblEntradas[SKU],tblProductos[[#This Row],[SKU]])+COUNTIF(tblSalidas[SKU],tblProductos[[#This Row],[SKU]]))</f>
        <v/>
      </c>
      <c r="N35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6" spans="2:14" x14ac:dyDescent="0.25">
      <c r="B356" s="38"/>
      <c r="C356" s="38"/>
      <c r="D356" s="38"/>
      <c r="E356" s="39"/>
      <c r="F356" s="45"/>
      <c r="G356" s="45"/>
      <c r="H356" s="46"/>
      <c r="I356" s="38"/>
      <c r="J356" s="39"/>
      <c r="K356" s="39"/>
      <c r="L356" s="47" t="str">
        <f>IF(OR(tblProductos[[#This Row],[SKU]]="",tblProductos[[#This Row],[Producto]]=""),"",tblProductos[[#This Row],[SKU]]&amp;" · "&amp;tblProductos[[#This Row],[Producto]]&amp;IF(tblProductos[[#This Row],[Activo]]="NO","  (inactivo)",""))</f>
        <v/>
      </c>
      <c r="M356" s="40" t="str">
        <f>IF(tblProductos[[#This Row],[SKU]]="","",COUNTIF(tblEntradas[SKU],tblProductos[[#This Row],[SKU]])+COUNTIF(tblSalidas[SKU],tblProductos[[#This Row],[SKU]]))</f>
        <v/>
      </c>
      <c r="N35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7" spans="2:14" x14ac:dyDescent="0.25">
      <c r="B357" s="38"/>
      <c r="C357" s="38"/>
      <c r="D357" s="38"/>
      <c r="E357" s="39"/>
      <c r="F357" s="45"/>
      <c r="G357" s="45"/>
      <c r="H357" s="46"/>
      <c r="I357" s="38"/>
      <c r="J357" s="39"/>
      <c r="K357" s="39"/>
      <c r="L357" s="47" t="str">
        <f>IF(OR(tblProductos[[#This Row],[SKU]]="",tblProductos[[#This Row],[Producto]]=""),"",tblProductos[[#This Row],[SKU]]&amp;" · "&amp;tblProductos[[#This Row],[Producto]]&amp;IF(tblProductos[[#This Row],[Activo]]="NO","  (inactivo)",""))</f>
        <v/>
      </c>
      <c r="M357" s="40" t="str">
        <f>IF(tblProductos[[#This Row],[SKU]]="","",COUNTIF(tblEntradas[SKU],tblProductos[[#This Row],[SKU]])+COUNTIF(tblSalidas[SKU],tblProductos[[#This Row],[SKU]]))</f>
        <v/>
      </c>
      <c r="N35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8" spans="2:14" x14ac:dyDescent="0.25">
      <c r="B358" s="38"/>
      <c r="C358" s="38"/>
      <c r="D358" s="38"/>
      <c r="E358" s="39"/>
      <c r="F358" s="45"/>
      <c r="G358" s="45"/>
      <c r="H358" s="46"/>
      <c r="I358" s="38"/>
      <c r="J358" s="39"/>
      <c r="K358" s="39"/>
      <c r="L358" s="47" t="str">
        <f>IF(OR(tblProductos[[#This Row],[SKU]]="",tblProductos[[#This Row],[Producto]]=""),"",tblProductos[[#This Row],[SKU]]&amp;" · "&amp;tblProductos[[#This Row],[Producto]]&amp;IF(tblProductos[[#This Row],[Activo]]="NO","  (inactivo)",""))</f>
        <v/>
      </c>
      <c r="M358" s="40" t="str">
        <f>IF(tblProductos[[#This Row],[SKU]]="","",COUNTIF(tblEntradas[SKU],tblProductos[[#This Row],[SKU]])+COUNTIF(tblSalidas[SKU],tblProductos[[#This Row],[SKU]]))</f>
        <v/>
      </c>
      <c r="N35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9" spans="2:14" x14ac:dyDescent="0.25">
      <c r="B359" s="38"/>
      <c r="C359" s="38"/>
      <c r="D359" s="38"/>
      <c r="E359" s="39"/>
      <c r="F359" s="45"/>
      <c r="G359" s="45"/>
      <c r="H359" s="46"/>
      <c r="I359" s="38"/>
      <c r="J359" s="39"/>
      <c r="K359" s="39"/>
      <c r="L359" s="47" t="str">
        <f>IF(OR(tblProductos[[#This Row],[SKU]]="",tblProductos[[#This Row],[Producto]]=""),"",tblProductos[[#This Row],[SKU]]&amp;" · "&amp;tblProductos[[#This Row],[Producto]]&amp;IF(tblProductos[[#This Row],[Activo]]="NO","  (inactivo)",""))</f>
        <v/>
      </c>
      <c r="M359" s="40" t="str">
        <f>IF(tblProductos[[#This Row],[SKU]]="","",COUNTIF(tblEntradas[SKU],tblProductos[[#This Row],[SKU]])+COUNTIF(tblSalidas[SKU],tblProductos[[#This Row],[SKU]]))</f>
        <v/>
      </c>
      <c r="N35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0" spans="2:14" x14ac:dyDescent="0.25">
      <c r="B360" s="38"/>
      <c r="C360" s="38"/>
      <c r="D360" s="38"/>
      <c r="E360" s="39"/>
      <c r="F360" s="45"/>
      <c r="G360" s="45"/>
      <c r="H360" s="46"/>
      <c r="I360" s="38"/>
      <c r="J360" s="39"/>
      <c r="K360" s="39"/>
      <c r="L360" s="47" t="str">
        <f>IF(OR(tblProductos[[#This Row],[SKU]]="",tblProductos[[#This Row],[Producto]]=""),"",tblProductos[[#This Row],[SKU]]&amp;" · "&amp;tblProductos[[#This Row],[Producto]]&amp;IF(tblProductos[[#This Row],[Activo]]="NO","  (inactivo)",""))</f>
        <v/>
      </c>
      <c r="M360" s="40" t="str">
        <f>IF(tblProductos[[#This Row],[SKU]]="","",COUNTIF(tblEntradas[SKU],tblProductos[[#This Row],[SKU]])+COUNTIF(tblSalidas[SKU],tblProductos[[#This Row],[SKU]]))</f>
        <v/>
      </c>
      <c r="N36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1" spans="2:14" x14ac:dyDescent="0.25">
      <c r="B361" s="38"/>
      <c r="C361" s="38"/>
      <c r="D361" s="38"/>
      <c r="E361" s="39"/>
      <c r="F361" s="45"/>
      <c r="G361" s="45"/>
      <c r="H361" s="46"/>
      <c r="I361" s="38"/>
      <c r="J361" s="39"/>
      <c r="K361" s="39"/>
      <c r="L361" s="47" t="str">
        <f>IF(OR(tblProductos[[#This Row],[SKU]]="",tblProductos[[#This Row],[Producto]]=""),"",tblProductos[[#This Row],[SKU]]&amp;" · "&amp;tblProductos[[#This Row],[Producto]]&amp;IF(tblProductos[[#This Row],[Activo]]="NO","  (inactivo)",""))</f>
        <v/>
      </c>
      <c r="M361" s="40" t="str">
        <f>IF(tblProductos[[#This Row],[SKU]]="","",COUNTIF(tblEntradas[SKU],tblProductos[[#This Row],[SKU]])+COUNTIF(tblSalidas[SKU],tblProductos[[#This Row],[SKU]]))</f>
        <v/>
      </c>
      <c r="N36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2" spans="2:14" x14ac:dyDescent="0.25">
      <c r="B362" s="38"/>
      <c r="C362" s="38"/>
      <c r="D362" s="38"/>
      <c r="E362" s="39"/>
      <c r="F362" s="45"/>
      <c r="G362" s="45"/>
      <c r="H362" s="46"/>
      <c r="I362" s="38"/>
      <c r="J362" s="39"/>
      <c r="K362" s="39"/>
      <c r="L362" s="47" t="str">
        <f>IF(OR(tblProductos[[#This Row],[SKU]]="",tblProductos[[#This Row],[Producto]]=""),"",tblProductos[[#This Row],[SKU]]&amp;" · "&amp;tblProductos[[#This Row],[Producto]]&amp;IF(tblProductos[[#This Row],[Activo]]="NO","  (inactivo)",""))</f>
        <v/>
      </c>
      <c r="M362" s="40" t="str">
        <f>IF(tblProductos[[#This Row],[SKU]]="","",COUNTIF(tblEntradas[SKU],tblProductos[[#This Row],[SKU]])+COUNTIF(tblSalidas[SKU],tblProductos[[#This Row],[SKU]]))</f>
        <v/>
      </c>
      <c r="N36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3" spans="2:14" x14ac:dyDescent="0.25">
      <c r="B363" s="38"/>
      <c r="C363" s="38"/>
      <c r="D363" s="38"/>
      <c r="E363" s="39"/>
      <c r="F363" s="45"/>
      <c r="G363" s="45"/>
      <c r="H363" s="46"/>
      <c r="I363" s="38"/>
      <c r="J363" s="39"/>
      <c r="K363" s="39"/>
      <c r="L363" s="47" t="str">
        <f>IF(OR(tblProductos[[#This Row],[SKU]]="",tblProductos[[#This Row],[Producto]]=""),"",tblProductos[[#This Row],[SKU]]&amp;" · "&amp;tblProductos[[#This Row],[Producto]]&amp;IF(tblProductos[[#This Row],[Activo]]="NO","  (inactivo)",""))</f>
        <v/>
      </c>
      <c r="M363" s="40" t="str">
        <f>IF(tblProductos[[#This Row],[SKU]]="","",COUNTIF(tblEntradas[SKU],tblProductos[[#This Row],[SKU]])+COUNTIF(tblSalidas[SKU],tblProductos[[#This Row],[SKU]]))</f>
        <v/>
      </c>
      <c r="N36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4" spans="2:14" x14ac:dyDescent="0.25">
      <c r="B364" s="38"/>
      <c r="C364" s="38"/>
      <c r="D364" s="38"/>
      <c r="E364" s="39"/>
      <c r="F364" s="45"/>
      <c r="G364" s="45"/>
      <c r="H364" s="46"/>
      <c r="I364" s="38"/>
      <c r="J364" s="39"/>
      <c r="K364" s="39"/>
      <c r="L364" s="47" t="str">
        <f>IF(OR(tblProductos[[#This Row],[SKU]]="",tblProductos[[#This Row],[Producto]]=""),"",tblProductos[[#This Row],[SKU]]&amp;" · "&amp;tblProductos[[#This Row],[Producto]]&amp;IF(tblProductos[[#This Row],[Activo]]="NO","  (inactivo)",""))</f>
        <v/>
      </c>
      <c r="M364" s="40" t="str">
        <f>IF(tblProductos[[#This Row],[SKU]]="","",COUNTIF(tblEntradas[SKU],tblProductos[[#This Row],[SKU]])+COUNTIF(tblSalidas[SKU],tblProductos[[#This Row],[SKU]]))</f>
        <v/>
      </c>
      <c r="N36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5" spans="2:14" x14ac:dyDescent="0.25">
      <c r="B365" s="38"/>
      <c r="C365" s="38"/>
      <c r="D365" s="38"/>
      <c r="E365" s="39"/>
      <c r="F365" s="45"/>
      <c r="G365" s="45"/>
      <c r="H365" s="46"/>
      <c r="I365" s="38"/>
      <c r="J365" s="39"/>
      <c r="K365" s="39"/>
      <c r="L365" s="47" t="str">
        <f>IF(OR(tblProductos[[#This Row],[SKU]]="",tblProductos[[#This Row],[Producto]]=""),"",tblProductos[[#This Row],[SKU]]&amp;" · "&amp;tblProductos[[#This Row],[Producto]]&amp;IF(tblProductos[[#This Row],[Activo]]="NO","  (inactivo)",""))</f>
        <v/>
      </c>
      <c r="M365" s="40" t="str">
        <f>IF(tblProductos[[#This Row],[SKU]]="","",COUNTIF(tblEntradas[SKU],tblProductos[[#This Row],[SKU]])+COUNTIF(tblSalidas[SKU],tblProductos[[#This Row],[SKU]]))</f>
        <v/>
      </c>
      <c r="N36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6" spans="2:14" x14ac:dyDescent="0.25">
      <c r="B366" s="38"/>
      <c r="C366" s="38"/>
      <c r="D366" s="38"/>
      <c r="E366" s="39"/>
      <c r="F366" s="45"/>
      <c r="G366" s="45"/>
      <c r="H366" s="46"/>
      <c r="I366" s="38"/>
      <c r="J366" s="39"/>
      <c r="K366" s="39"/>
      <c r="L366" s="47" t="str">
        <f>IF(OR(tblProductos[[#This Row],[SKU]]="",tblProductos[[#This Row],[Producto]]=""),"",tblProductos[[#This Row],[SKU]]&amp;" · "&amp;tblProductos[[#This Row],[Producto]]&amp;IF(tblProductos[[#This Row],[Activo]]="NO","  (inactivo)",""))</f>
        <v/>
      </c>
      <c r="M366" s="40" t="str">
        <f>IF(tblProductos[[#This Row],[SKU]]="","",COUNTIF(tblEntradas[SKU],tblProductos[[#This Row],[SKU]])+COUNTIF(tblSalidas[SKU],tblProductos[[#This Row],[SKU]]))</f>
        <v/>
      </c>
      <c r="N36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7" spans="2:14" x14ac:dyDescent="0.25">
      <c r="B367" s="38"/>
      <c r="C367" s="38"/>
      <c r="D367" s="38"/>
      <c r="E367" s="39"/>
      <c r="F367" s="45"/>
      <c r="G367" s="45"/>
      <c r="H367" s="46"/>
      <c r="I367" s="38"/>
      <c r="J367" s="39"/>
      <c r="K367" s="39"/>
      <c r="L367" s="47" t="str">
        <f>IF(OR(tblProductos[[#This Row],[SKU]]="",tblProductos[[#This Row],[Producto]]=""),"",tblProductos[[#This Row],[SKU]]&amp;" · "&amp;tblProductos[[#This Row],[Producto]]&amp;IF(tblProductos[[#This Row],[Activo]]="NO","  (inactivo)",""))</f>
        <v/>
      </c>
      <c r="M367" s="40" t="str">
        <f>IF(tblProductos[[#This Row],[SKU]]="","",COUNTIF(tblEntradas[SKU],tblProductos[[#This Row],[SKU]])+COUNTIF(tblSalidas[SKU],tblProductos[[#This Row],[SKU]]))</f>
        <v/>
      </c>
      <c r="N36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8" spans="2:14" x14ac:dyDescent="0.25">
      <c r="B368" s="38"/>
      <c r="C368" s="38"/>
      <c r="D368" s="38"/>
      <c r="E368" s="39"/>
      <c r="F368" s="45"/>
      <c r="G368" s="45"/>
      <c r="H368" s="46"/>
      <c r="I368" s="38"/>
      <c r="J368" s="39"/>
      <c r="K368" s="39"/>
      <c r="L368" s="47" t="str">
        <f>IF(OR(tblProductos[[#This Row],[SKU]]="",tblProductos[[#This Row],[Producto]]=""),"",tblProductos[[#This Row],[SKU]]&amp;" · "&amp;tblProductos[[#This Row],[Producto]]&amp;IF(tblProductos[[#This Row],[Activo]]="NO","  (inactivo)",""))</f>
        <v/>
      </c>
      <c r="M368" s="40" t="str">
        <f>IF(tblProductos[[#This Row],[SKU]]="","",COUNTIF(tblEntradas[SKU],tblProductos[[#This Row],[SKU]])+COUNTIF(tblSalidas[SKU],tblProductos[[#This Row],[SKU]]))</f>
        <v/>
      </c>
      <c r="N36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9" spans="2:14" x14ac:dyDescent="0.25">
      <c r="B369" s="38"/>
      <c r="C369" s="38"/>
      <c r="D369" s="38"/>
      <c r="E369" s="39"/>
      <c r="F369" s="45"/>
      <c r="G369" s="45"/>
      <c r="H369" s="46"/>
      <c r="I369" s="38"/>
      <c r="J369" s="39"/>
      <c r="K369" s="39"/>
      <c r="L369" s="47" t="str">
        <f>IF(OR(tblProductos[[#This Row],[SKU]]="",tblProductos[[#This Row],[Producto]]=""),"",tblProductos[[#This Row],[SKU]]&amp;" · "&amp;tblProductos[[#This Row],[Producto]]&amp;IF(tblProductos[[#This Row],[Activo]]="NO","  (inactivo)",""))</f>
        <v/>
      </c>
      <c r="M369" s="40" t="str">
        <f>IF(tblProductos[[#This Row],[SKU]]="","",COUNTIF(tblEntradas[SKU],tblProductos[[#This Row],[SKU]])+COUNTIF(tblSalidas[SKU],tblProductos[[#This Row],[SKU]]))</f>
        <v/>
      </c>
      <c r="N36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0" spans="2:14" x14ac:dyDescent="0.25">
      <c r="B370" s="38"/>
      <c r="C370" s="38"/>
      <c r="D370" s="38"/>
      <c r="E370" s="39"/>
      <c r="F370" s="45"/>
      <c r="G370" s="45"/>
      <c r="H370" s="46"/>
      <c r="I370" s="38"/>
      <c r="J370" s="39"/>
      <c r="K370" s="39"/>
      <c r="L370" s="47" t="str">
        <f>IF(OR(tblProductos[[#This Row],[SKU]]="",tblProductos[[#This Row],[Producto]]=""),"",tblProductos[[#This Row],[SKU]]&amp;" · "&amp;tblProductos[[#This Row],[Producto]]&amp;IF(tblProductos[[#This Row],[Activo]]="NO","  (inactivo)",""))</f>
        <v/>
      </c>
      <c r="M370" s="40" t="str">
        <f>IF(tblProductos[[#This Row],[SKU]]="","",COUNTIF(tblEntradas[SKU],tblProductos[[#This Row],[SKU]])+COUNTIF(tblSalidas[SKU],tblProductos[[#This Row],[SKU]]))</f>
        <v/>
      </c>
      <c r="N37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1" spans="2:14" x14ac:dyDescent="0.25">
      <c r="B371" s="38"/>
      <c r="C371" s="38"/>
      <c r="D371" s="38"/>
      <c r="E371" s="39"/>
      <c r="F371" s="45"/>
      <c r="G371" s="45"/>
      <c r="H371" s="46"/>
      <c r="I371" s="38"/>
      <c r="J371" s="39"/>
      <c r="K371" s="39"/>
      <c r="L371" s="47" t="str">
        <f>IF(OR(tblProductos[[#This Row],[SKU]]="",tblProductos[[#This Row],[Producto]]=""),"",tblProductos[[#This Row],[SKU]]&amp;" · "&amp;tblProductos[[#This Row],[Producto]]&amp;IF(tblProductos[[#This Row],[Activo]]="NO","  (inactivo)",""))</f>
        <v/>
      </c>
      <c r="M371" s="40" t="str">
        <f>IF(tblProductos[[#This Row],[SKU]]="","",COUNTIF(tblEntradas[SKU],tblProductos[[#This Row],[SKU]])+COUNTIF(tblSalidas[SKU],tblProductos[[#This Row],[SKU]]))</f>
        <v/>
      </c>
      <c r="N37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2" spans="2:14" x14ac:dyDescent="0.25">
      <c r="B372" s="38"/>
      <c r="C372" s="38"/>
      <c r="D372" s="38"/>
      <c r="E372" s="39"/>
      <c r="F372" s="45"/>
      <c r="G372" s="45"/>
      <c r="H372" s="46"/>
      <c r="I372" s="38"/>
      <c r="J372" s="39"/>
      <c r="K372" s="39"/>
      <c r="L372" s="47" t="str">
        <f>IF(OR(tblProductos[[#This Row],[SKU]]="",tblProductos[[#This Row],[Producto]]=""),"",tblProductos[[#This Row],[SKU]]&amp;" · "&amp;tblProductos[[#This Row],[Producto]]&amp;IF(tblProductos[[#This Row],[Activo]]="NO","  (inactivo)",""))</f>
        <v/>
      </c>
      <c r="M372" s="40" t="str">
        <f>IF(tblProductos[[#This Row],[SKU]]="","",COUNTIF(tblEntradas[SKU],tblProductos[[#This Row],[SKU]])+COUNTIF(tblSalidas[SKU],tblProductos[[#This Row],[SKU]]))</f>
        <v/>
      </c>
      <c r="N37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3" spans="2:14" x14ac:dyDescent="0.25">
      <c r="B373" s="38"/>
      <c r="C373" s="38"/>
      <c r="D373" s="38"/>
      <c r="E373" s="39"/>
      <c r="F373" s="45"/>
      <c r="G373" s="45"/>
      <c r="H373" s="46"/>
      <c r="I373" s="38"/>
      <c r="J373" s="39"/>
      <c r="K373" s="39"/>
      <c r="L373" s="47" t="str">
        <f>IF(OR(tblProductos[[#This Row],[SKU]]="",tblProductos[[#This Row],[Producto]]=""),"",tblProductos[[#This Row],[SKU]]&amp;" · "&amp;tblProductos[[#This Row],[Producto]]&amp;IF(tblProductos[[#This Row],[Activo]]="NO","  (inactivo)",""))</f>
        <v/>
      </c>
      <c r="M373" s="40" t="str">
        <f>IF(tblProductos[[#This Row],[SKU]]="","",COUNTIF(tblEntradas[SKU],tblProductos[[#This Row],[SKU]])+COUNTIF(tblSalidas[SKU],tblProductos[[#This Row],[SKU]]))</f>
        <v/>
      </c>
      <c r="N37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4" spans="2:14" x14ac:dyDescent="0.25">
      <c r="B374" s="38"/>
      <c r="C374" s="38"/>
      <c r="D374" s="38"/>
      <c r="E374" s="39"/>
      <c r="F374" s="45"/>
      <c r="G374" s="45"/>
      <c r="H374" s="46"/>
      <c r="I374" s="38"/>
      <c r="J374" s="39"/>
      <c r="K374" s="39"/>
      <c r="L374" s="47" t="str">
        <f>IF(OR(tblProductos[[#This Row],[SKU]]="",tblProductos[[#This Row],[Producto]]=""),"",tblProductos[[#This Row],[SKU]]&amp;" · "&amp;tblProductos[[#This Row],[Producto]]&amp;IF(tblProductos[[#This Row],[Activo]]="NO","  (inactivo)",""))</f>
        <v/>
      </c>
      <c r="M374" s="40" t="str">
        <f>IF(tblProductos[[#This Row],[SKU]]="","",COUNTIF(tblEntradas[SKU],tblProductos[[#This Row],[SKU]])+COUNTIF(tblSalidas[SKU],tblProductos[[#This Row],[SKU]]))</f>
        <v/>
      </c>
      <c r="N37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5" spans="2:14" x14ac:dyDescent="0.25">
      <c r="B375" s="38"/>
      <c r="C375" s="38"/>
      <c r="D375" s="38"/>
      <c r="E375" s="39"/>
      <c r="F375" s="45"/>
      <c r="G375" s="45"/>
      <c r="H375" s="46"/>
      <c r="I375" s="38"/>
      <c r="J375" s="39"/>
      <c r="K375" s="39"/>
      <c r="L375" s="47" t="str">
        <f>IF(OR(tblProductos[[#This Row],[SKU]]="",tblProductos[[#This Row],[Producto]]=""),"",tblProductos[[#This Row],[SKU]]&amp;" · "&amp;tblProductos[[#This Row],[Producto]]&amp;IF(tblProductos[[#This Row],[Activo]]="NO","  (inactivo)",""))</f>
        <v/>
      </c>
      <c r="M375" s="40" t="str">
        <f>IF(tblProductos[[#This Row],[SKU]]="","",COUNTIF(tblEntradas[SKU],tblProductos[[#This Row],[SKU]])+COUNTIF(tblSalidas[SKU],tblProductos[[#This Row],[SKU]]))</f>
        <v/>
      </c>
      <c r="N37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6" spans="2:14" x14ac:dyDescent="0.25">
      <c r="B376" s="38"/>
      <c r="C376" s="38"/>
      <c r="D376" s="38"/>
      <c r="E376" s="39"/>
      <c r="F376" s="45"/>
      <c r="G376" s="45"/>
      <c r="H376" s="46"/>
      <c r="I376" s="38"/>
      <c r="J376" s="39"/>
      <c r="K376" s="39"/>
      <c r="L376" s="47" t="str">
        <f>IF(OR(tblProductos[[#This Row],[SKU]]="",tblProductos[[#This Row],[Producto]]=""),"",tblProductos[[#This Row],[SKU]]&amp;" · "&amp;tblProductos[[#This Row],[Producto]]&amp;IF(tblProductos[[#This Row],[Activo]]="NO","  (inactivo)",""))</f>
        <v/>
      </c>
      <c r="M376" s="40" t="str">
        <f>IF(tblProductos[[#This Row],[SKU]]="","",COUNTIF(tblEntradas[SKU],tblProductos[[#This Row],[SKU]])+COUNTIF(tblSalidas[SKU],tblProductos[[#This Row],[SKU]]))</f>
        <v/>
      </c>
      <c r="N37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7" spans="2:14" x14ac:dyDescent="0.25">
      <c r="B377" s="38"/>
      <c r="C377" s="38"/>
      <c r="D377" s="38"/>
      <c r="E377" s="39"/>
      <c r="F377" s="45"/>
      <c r="G377" s="45"/>
      <c r="H377" s="46"/>
      <c r="I377" s="38"/>
      <c r="J377" s="39"/>
      <c r="K377" s="39"/>
      <c r="L377" s="47" t="str">
        <f>IF(OR(tblProductos[[#This Row],[SKU]]="",tblProductos[[#This Row],[Producto]]=""),"",tblProductos[[#This Row],[SKU]]&amp;" · "&amp;tblProductos[[#This Row],[Producto]]&amp;IF(tblProductos[[#This Row],[Activo]]="NO","  (inactivo)",""))</f>
        <v/>
      </c>
      <c r="M377" s="40" t="str">
        <f>IF(tblProductos[[#This Row],[SKU]]="","",COUNTIF(tblEntradas[SKU],tblProductos[[#This Row],[SKU]])+COUNTIF(tblSalidas[SKU],tblProductos[[#This Row],[SKU]]))</f>
        <v/>
      </c>
      <c r="N37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8" spans="2:14" x14ac:dyDescent="0.25">
      <c r="B378" s="38"/>
      <c r="C378" s="38"/>
      <c r="D378" s="38"/>
      <c r="E378" s="39"/>
      <c r="F378" s="45"/>
      <c r="G378" s="45"/>
      <c r="H378" s="46"/>
      <c r="I378" s="38"/>
      <c r="J378" s="39"/>
      <c r="K378" s="39"/>
      <c r="L378" s="47" t="str">
        <f>IF(OR(tblProductos[[#This Row],[SKU]]="",tblProductos[[#This Row],[Producto]]=""),"",tblProductos[[#This Row],[SKU]]&amp;" · "&amp;tblProductos[[#This Row],[Producto]]&amp;IF(tblProductos[[#This Row],[Activo]]="NO","  (inactivo)",""))</f>
        <v/>
      </c>
      <c r="M378" s="40" t="str">
        <f>IF(tblProductos[[#This Row],[SKU]]="","",COUNTIF(tblEntradas[SKU],tblProductos[[#This Row],[SKU]])+COUNTIF(tblSalidas[SKU],tblProductos[[#This Row],[SKU]]))</f>
        <v/>
      </c>
      <c r="N37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9" spans="2:14" x14ac:dyDescent="0.25">
      <c r="B379" s="38"/>
      <c r="C379" s="38"/>
      <c r="D379" s="38"/>
      <c r="E379" s="39"/>
      <c r="F379" s="45"/>
      <c r="G379" s="45"/>
      <c r="H379" s="46"/>
      <c r="I379" s="38"/>
      <c r="J379" s="39"/>
      <c r="K379" s="39"/>
      <c r="L379" s="47" t="str">
        <f>IF(OR(tblProductos[[#This Row],[SKU]]="",tblProductos[[#This Row],[Producto]]=""),"",tblProductos[[#This Row],[SKU]]&amp;" · "&amp;tblProductos[[#This Row],[Producto]]&amp;IF(tblProductos[[#This Row],[Activo]]="NO","  (inactivo)",""))</f>
        <v/>
      </c>
      <c r="M379" s="40" t="str">
        <f>IF(tblProductos[[#This Row],[SKU]]="","",COUNTIF(tblEntradas[SKU],tblProductos[[#This Row],[SKU]])+COUNTIF(tblSalidas[SKU],tblProductos[[#This Row],[SKU]]))</f>
        <v/>
      </c>
      <c r="N37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0" spans="2:14" x14ac:dyDescent="0.25">
      <c r="B380" s="38"/>
      <c r="C380" s="38"/>
      <c r="D380" s="38"/>
      <c r="E380" s="39"/>
      <c r="F380" s="45"/>
      <c r="G380" s="45"/>
      <c r="H380" s="46"/>
      <c r="I380" s="38"/>
      <c r="J380" s="39"/>
      <c r="K380" s="39"/>
      <c r="L380" s="47" t="str">
        <f>IF(OR(tblProductos[[#This Row],[SKU]]="",tblProductos[[#This Row],[Producto]]=""),"",tblProductos[[#This Row],[SKU]]&amp;" · "&amp;tblProductos[[#This Row],[Producto]]&amp;IF(tblProductos[[#This Row],[Activo]]="NO","  (inactivo)",""))</f>
        <v/>
      </c>
      <c r="M380" s="40" t="str">
        <f>IF(tblProductos[[#This Row],[SKU]]="","",COUNTIF(tblEntradas[SKU],tblProductos[[#This Row],[SKU]])+COUNTIF(tblSalidas[SKU],tblProductos[[#This Row],[SKU]]))</f>
        <v/>
      </c>
      <c r="N38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1" spans="2:14" x14ac:dyDescent="0.25">
      <c r="B381" s="38"/>
      <c r="C381" s="38"/>
      <c r="D381" s="38"/>
      <c r="E381" s="39"/>
      <c r="F381" s="45"/>
      <c r="G381" s="45"/>
      <c r="H381" s="46"/>
      <c r="I381" s="38"/>
      <c r="J381" s="39"/>
      <c r="K381" s="39"/>
      <c r="L381" s="47" t="str">
        <f>IF(OR(tblProductos[[#This Row],[SKU]]="",tblProductos[[#This Row],[Producto]]=""),"",tblProductos[[#This Row],[SKU]]&amp;" · "&amp;tblProductos[[#This Row],[Producto]]&amp;IF(tblProductos[[#This Row],[Activo]]="NO","  (inactivo)",""))</f>
        <v/>
      </c>
      <c r="M381" s="40" t="str">
        <f>IF(tblProductos[[#This Row],[SKU]]="","",COUNTIF(tblEntradas[SKU],tblProductos[[#This Row],[SKU]])+COUNTIF(tblSalidas[SKU],tblProductos[[#This Row],[SKU]]))</f>
        <v/>
      </c>
      <c r="N38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2" spans="2:14" x14ac:dyDescent="0.25">
      <c r="B382" s="38"/>
      <c r="C382" s="38"/>
      <c r="D382" s="38"/>
      <c r="E382" s="39"/>
      <c r="F382" s="45"/>
      <c r="G382" s="45"/>
      <c r="H382" s="46"/>
      <c r="I382" s="38"/>
      <c r="J382" s="39"/>
      <c r="K382" s="39"/>
      <c r="L382" s="47" t="str">
        <f>IF(OR(tblProductos[[#This Row],[SKU]]="",tblProductos[[#This Row],[Producto]]=""),"",tblProductos[[#This Row],[SKU]]&amp;" · "&amp;tblProductos[[#This Row],[Producto]]&amp;IF(tblProductos[[#This Row],[Activo]]="NO","  (inactivo)",""))</f>
        <v/>
      </c>
      <c r="M382" s="40" t="str">
        <f>IF(tblProductos[[#This Row],[SKU]]="","",COUNTIF(tblEntradas[SKU],tblProductos[[#This Row],[SKU]])+COUNTIF(tblSalidas[SKU],tblProductos[[#This Row],[SKU]]))</f>
        <v/>
      </c>
      <c r="N38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3" spans="2:14" x14ac:dyDescent="0.25">
      <c r="B383" s="38"/>
      <c r="C383" s="38"/>
      <c r="D383" s="38"/>
      <c r="E383" s="39"/>
      <c r="F383" s="45"/>
      <c r="G383" s="45"/>
      <c r="H383" s="46"/>
      <c r="I383" s="38"/>
      <c r="J383" s="39"/>
      <c r="K383" s="39"/>
      <c r="L383" s="47" t="str">
        <f>IF(OR(tblProductos[[#This Row],[SKU]]="",tblProductos[[#This Row],[Producto]]=""),"",tblProductos[[#This Row],[SKU]]&amp;" · "&amp;tblProductos[[#This Row],[Producto]]&amp;IF(tblProductos[[#This Row],[Activo]]="NO","  (inactivo)",""))</f>
        <v/>
      </c>
      <c r="M383" s="40" t="str">
        <f>IF(tblProductos[[#This Row],[SKU]]="","",COUNTIF(tblEntradas[SKU],tblProductos[[#This Row],[SKU]])+COUNTIF(tblSalidas[SKU],tblProductos[[#This Row],[SKU]]))</f>
        <v/>
      </c>
      <c r="N38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4" spans="2:14" x14ac:dyDescent="0.25">
      <c r="B384" s="38"/>
      <c r="C384" s="38"/>
      <c r="D384" s="38"/>
      <c r="E384" s="39"/>
      <c r="F384" s="45"/>
      <c r="G384" s="45"/>
      <c r="H384" s="46"/>
      <c r="I384" s="38"/>
      <c r="J384" s="39"/>
      <c r="K384" s="39"/>
      <c r="L384" s="47" t="str">
        <f>IF(OR(tblProductos[[#This Row],[SKU]]="",tblProductos[[#This Row],[Producto]]=""),"",tblProductos[[#This Row],[SKU]]&amp;" · "&amp;tblProductos[[#This Row],[Producto]]&amp;IF(tblProductos[[#This Row],[Activo]]="NO","  (inactivo)",""))</f>
        <v/>
      </c>
      <c r="M384" s="40" t="str">
        <f>IF(tblProductos[[#This Row],[SKU]]="","",COUNTIF(tblEntradas[SKU],tblProductos[[#This Row],[SKU]])+COUNTIF(tblSalidas[SKU],tblProductos[[#This Row],[SKU]]))</f>
        <v/>
      </c>
      <c r="N38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5" spans="2:14" x14ac:dyDescent="0.25">
      <c r="B385" s="38"/>
      <c r="C385" s="38"/>
      <c r="D385" s="38"/>
      <c r="E385" s="39"/>
      <c r="F385" s="45"/>
      <c r="G385" s="45"/>
      <c r="H385" s="46"/>
      <c r="I385" s="38"/>
      <c r="J385" s="39"/>
      <c r="K385" s="39"/>
      <c r="L385" s="47" t="str">
        <f>IF(OR(tblProductos[[#This Row],[SKU]]="",tblProductos[[#This Row],[Producto]]=""),"",tblProductos[[#This Row],[SKU]]&amp;" · "&amp;tblProductos[[#This Row],[Producto]]&amp;IF(tblProductos[[#This Row],[Activo]]="NO","  (inactivo)",""))</f>
        <v/>
      </c>
      <c r="M385" s="40" t="str">
        <f>IF(tblProductos[[#This Row],[SKU]]="","",COUNTIF(tblEntradas[SKU],tblProductos[[#This Row],[SKU]])+COUNTIF(tblSalidas[SKU],tblProductos[[#This Row],[SKU]]))</f>
        <v/>
      </c>
      <c r="N38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6" spans="2:14" x14ac:dyDescent="0.25">
      <c r="B386" s="38"/>
      <c r="C386" s="38"/>
      <c r="D386" s="38"/>
      <c r="E386" s="39"/>
      <c r="F386" s="45"/>
      <c r="G386" s="45"/>
      <c r="H386" s="46"/>
      <c r="I386" s="38"/>
      <c r="J386" s="39"/>
      <c r="K386" s="39"/>
      <c r="L386" s="47" t="str">
        <f>IF(OR(tblProductos[[#This Row],[SKU]]="",tblProductos[[#This Row],[Producto]]=""),"",tblProductos[[#This Row],[SKU]]&amp;" · "&amp;tblProductos[[#This Row],[Producto]]&amp;IF(tblProductos[[#This Row],[Activo]]="NO","  (inactivo)",""))</f>
        <v/>
      </c>
      <c r="M386" s="40" t="str">
        <f>IF(tblProductos[[#This Row],[SKU]]="","",COUNTIF(tblEntradas[SKU],tblProductos[[#This Row],[SKU]])+COUNTIF(tblSalidas[SKU],tblProductos[[#This Row],[SKU]]))</f>
        <v/>
      </c>
      <c r="N38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7" spans="2:14" x14ac:dyDescent="0.25">
      <c r="B387" s="38"/>
      <c r="C387" s="38"/>
      <c r="D387" s="38"/>
      <c r="E387" s="39"/>
      <c r="F387" s="45"/>
      <c r="G387" s="45"/>
      <c r="H387" s="46"/>
      <c r="I387" s="38"/>
      <c r="J387" s="39"/>
      <c r="K387" s="39"/>
      <c r="L387" s="47" t="str">
        <f>IF(OR(tblProductos[[#This Row],[SKU]]="",tblProductos[[#This Row],[Producto]]=""),"",tblProductos[[#This Row],[SKU]]&amp;" · "&amp;tblProductos[[#This Row],[Producto]]&amp;IF(tblProductos[[#This Row],[Activo]]="NO","  (inactivo)",""))</f>
        <v/>
      </c>
      <c r="M387" s="40" t="str">
        <f>IF(tblProductos[[#This Row],[SKU]]="","",COUNTIF(tblEntradas[SKU],tblProductos[[#This Row],[SKU]])+COUNTIF(tblSalidas[SKU],tblProductos[[#This Row],[SKU]]))</f>
        <v/>
      </c>
      <c r="N38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8" spans="2:14" x14ac:dyDescent="0.25">
      <c r="B388" s="38"/>
      <c r="C388" s="38"/>
      <c r="D388" s="38"/>
      <c r="E388" s="39"/>
      <c r="F388" s="45"/>
      <c r="G388" s="45"/>
      <c r="H388" s="46"/>
      <c r="I388" s="38"/>
      <c r="J388" s="39"/>
      <c r="K388" s="39"/>
      <c r="L388" s="47" t="str">
        <f>IF(OR(tblProductos[[#This Row],[SKU]]="",tblProductos[[#This Row],[Producto]]=""),"",tblProductos[[#This Row],[SKU]]&amp;" · "&amp;tblProductos[[#This Row],[Producto]]&amp;IF(tblProductos[[#This Row],[Activo]]="NO","  (inactivo)",""))</f>
        <v/>
      </c>
      <c r="M388" s="40" t="str">
        <f>IF(tblProductos[[#This Row],[SKU]]="","",COUNTIF(tblEntradas[SKU],tblProductos[[#This Row],[SKU]])+COUNTIF(tblSalidas[SKU],tblProductos[[#This Row],[SKU]]))</f>
        <v/>
      </c>
      <c r="N38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9" spans="2:14" x14ac:dyDescent="0.25">
      <c r="B389" s="38"/>
      <c r="C389" s="38"/>
      <c r="D389" s="38"/>
      <c r="E389" s="39"/>
      <c r="F389" s="45"/>
      <c r="G389" s="45"/>
      <c r="H389" s="46"/>
      <c r="I389" s="38"/>
      <c r="J389" s="39"/>
      <c r="K389" s="39"/>
      <c r="L389" s="47" t="str">
        <f>IF(OR(tblProductos[[#This Row],[SKU]]="",tblProductos[[#This Row],[Producto]]=""),"",tblProductos[[#This Row],[SKU]]&amp;" · "&amp;tblProductos[[#This Row],[Producto]]&amp;IF(tblProductos[[#This Row],[Activo]]="NO","  (inactivo)",""))</f>
        <v/>
      </c>
      <c r="M389" s="40" t="str">
        <f>IF(tblProductos[[#This Row],[SKU]]="","",COUNTIF(tblEntradas[SKU],tblProductos[[#This Row],[SKU]])+COUNTIF(tblSalidas[SKU],tblProductos[[#This Row],[SKU]]))</f>
        <v/>
      </c>
      <c r="N38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0" spans="2:14" x14ac:dyDescent="0.25">
      <c r="B390" s="38"/>
      <c r="C390" s="38"/>
      <c r="D390" s="38"/>
      <c r="E390" s="39"/>
      <c r="F390" s="45"/>
      <c r="G390" s="45"/>
      <c r="H390" s="46"/>
      <c r="I390" s="38"/>
      <c r="J390" s="39"/>
      <c r="K390" s="39"/>
      <c r="L390" s="47" t="str">
        <f>IF(OR(tblProductos[[#This Row],[SKU]]="",tblProductos[[#This Row],[Producto]]=""),"",tblProductos[[#This Row],[SKU]]&amp;" · "&amp;tblProductos[[#This Row],[Producto]]&amp;IF(tblProductos[[#This Row],[Activo]]="NO","  (inactivo)",""))</f>
        <v/>
      </c>
      <c r="M390" s="40" t="str">
        <f>IF(tblProductos[[#This Row],[SKU]]="","",COUNTIF(tblEntradas[SKU],tblProductos[[#This Row],[SKU]])+COUNTIF(tblSalidas[SKU],tblProductos[[#This Row],[SKU]]))</f>
        <v/>
      </c>
      <c r="N39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1" spans="2:14" x14ac:dyDescent="0.25">
      <c r="B391" s="38"/>
      <c r="C391" s="38"/>
      <c r="D391" s="38"/>
      <c r="E391" s="39"/>
      <c r="F391" s="45"/>
      <c r="G391" s="45"/>
      <c r="H391" s="46"/>
      <c r="I391" s="38"/>
      <c r="J391" s="39"/>
      <c r="K391" s="39"/>
      <c r="L391" s="47" t="str">
        <f>IF(OR(tblProductos[[#This Row],[SKU]]="",tblProductos[[#This Row],[Producto]]=""),"",tblProductos[[#This Row],[SKU]]&amp;" · "&amp;tblProductos[[#This Row],[Producto]]&amp;IF(tblProductos[[#This Row],[Activo]]="NO","  (inactivo)",""))</f>
        <v/>
      </c>
      <c r="M391" s="40" t="str">
        <f>IF(tblProductos[[#This Row],[SKU]]="","",COUNTIF(tblEntradas[SKU],tblProductos[[#This Row],[SKU]])+COUNTIF(tblSalidas[SKU],tblProductos[[#This Row],[SKU]]))</f>
        <v/>
      </c>
      <c r="N39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2" spans="2:14" x14ac:dyDescent="0.25">
      <c r="B392" s="38"/>
      <c r="C392" s="38"/>
      <c r="D392" s="38"/>
      <c r="E392" s="39"/>
      <c r="F392" s="45"/>
      <c r="G392" s="45"/>
      <c r="H392" s="46"/>
      <c r="I392" s="38"/>
      <c r="J392" s="39"/>
      <c r="K392" s="39"/>
      <c r="L392" s="47" t="str">
        <f>IF(OR(tblProductos[[#This Row],[SKU]]="",tblProductos[[#This Row],[Producto]]=""),"",tblProductos[[#This Row],[SKU]]&amp;" · "&amp;tblProductos[[#This Row],[Producto]]&amp;IF(tblProductos[[#This Row],[Activo]]="NO","  (inactivo)",""))</f>
        <v/>
      </c>
      <c r="M392" s="40" t="str">
        <f>IF(tblProductos[[#This Row],[SKU]]="","",COUNTIF(tblEntradas[SKU],tblProductos[[#This Row],[SKU]])+COUNTIF(tblSalidas[SKU],tblProductos[[#This Row],[SKU]]))</f>
        <v/>
      </c>
      <c r="N39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3" spans="2:14" x14ac:dyDescent="0.25">
      <c r="B393" s="38"/>
      <c r="C393" s="38"/>
      <c r="D393" s="38"/>
      <c r="E393" s="39"/>
      <c r="F393" s="45"/>
      <c r="G393" s="45"/>
      <c r="H393" s="46"/>
      <c r="I393" s="38"/>
      <c r="J393" s="39"/>
      <c r="K393" s="39"/>
      <c r="L393" s="47" t="str">
        <f>IF(OR(tblProductos[[#This Row],[SKU]]="",tblProductos[[#This Row],[Producto]]=""),"",tblProductos[[#This Row],[SKU]]&amp;" · "&amp;tblProductos[[#This Row],[Producto]]&amp;IF(tblProductos[[#This Row],[Activo]]="NO","  (inactivo)",""))</f>
        <v/>
      </c>
      <c r="M393" s="40" t="str">
        <f>IF(tblProductos[[#This Row],[SKU]]="","",COUNTIF(tblEntradas[SKU],tblProductos[[#This Row],[SKU]])+COUNTIF(tblSalidas[SKU],tblProductos[[#This Row],[SKU]]))</f>
        <v/>
      </c>
      <c r="N39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4" spans="2:14" x14ac:dyDescent="0.25">
      <c r="B394" s="38"/>
      <c r="C394" s="38"/>
      <c r="D394" s="38"/>
      <c r="E394" s="39"/>
      <c r="F394" s="45"/>
      <c r="G394" s="45"/>
      <c r="H394" s="46"/>
      <c r="I394" s="38"/>
      <c r="J394" s="39"/>
      <c r="K394" s="39"/>
      <c r="L394" s="47" t="str">
        <f>IF(OR(tblProductos[[#This Row],[SKU]]="",tblProductos[[#This Row],[Producto]]=""),"",tblProductos[[#This Row],[SKU]]&amp;" · "&amp;tblProductos[[#This Row],[Producto]]&amp;IF(tblProductos[[#This Row],[Activo]]="NO","  (inactivo)",""))</f>
        <v/>
      </c>
      <c r="M394" s="40" t="str">
        <f>IF(tblProductos[[#This Row],[SKU]]="","",COUNTIF(tblEntradas[SKU],tblProductos[[#This Row],[SKU]])+COUNTIF(tblSalidas[SKU],tblProductos[[#This Row],[SKU]]))</f>
        <v/>
      </c>
      <c r="N39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5" spans="2:14" x14ac:dyDescent="0.25">
      <c r="B395" s="38"/>
      <c r="C395" s="38"/>
      <c r="D395" s="38"/>
      <c r="E395" s="39"/>
      <c r="F395" s="45"/>
      <c r="G395" s="45"/>
      <c r="H395" s="46"/>
      <c r="I395" s="38"/>
      <c r="J395" s="39"/>
      <c r="K395" s="39"/>
      <c r="L395" s="47" t="str">
        <f>IF(OR(tblProductos[[#This Row],[SKU]]="",tblProductos[[#This Row],[Producto]]=""),"",tblProductos[[#This Row],[SKU]]&amp;" · "&amp;tblProductos[[#This Row],[Producto]]&amp;IF(tblProductos[[#This Row],[Activo]]="NO","  (inactivo)",""))</f>
        <v/>
      </c>
      <c r="M395" s="40" t="str">
        <f>IF(tblProductos[[#This Row],[SKU]]="","",COUNTIF(tblEntradas[SKU],tblProductos[[#This Row],[SKU]])+COUNTIF(tblSalidas[SKU],tblProductos[[#This Row],[SKU]]))</f>
        <v/>
      </c>
      <c r="N39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6" spans="2:14" x14ac:dyDescent="0.25">
      <c r="B396" s="38"/>
      <c r="C396" s="38"/>
      <c r="D396" s="38"/>
      <c r="E396" s="39"/>
      <c r="F396" s="45"/>
      <c r="G396" s="45"/>
      <c r="H396" s="46"/>
      <c r="I396" s="38"/>
      <c r="J396" s="39"/>
      <c r="K396" s="39"/>
      <c r="L396" s="47" t="str">
        <f>IF(OR(tblProductos[[#This Row],[SKU]]="",tblProductos[[#This Row],[Producto]]=""),"",tblProductos[[#This Row],[SKU]]&amp;" · "&amp;tblProductos[[#This Row],[Producto]]&amp;IF(tblProductos[[#This Row],[Activo]]="NO","  (inactivo)",""))</f>
        <v/>
      </c>
      <c r="M396" s="40" t="str">
        <f>IF(tblProductos[[#This Row],[SKU]]="","",COUNTIF(tblEntradas[SKU],tblProductos[[#This Row],[SKU]])+COUNTIF(tblSalidas[SKU],tblProductos[[#This Row],[SKU]]))</f>
        <v/>
      </c>
      <c r="N39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7" spans="2:14" x14ac:dyDescent="0.25">
      <c r="B397" s="38"/>
      <c r="C397" s="38"/>
      <c r="D397" s="38"/>
      <c r="E397" s="39"/>
      <c r="F397" s="45"/>
      <c r="G397" s="45"/>
      <c r="H397" s="46"/>
      <c r="I397" s="38"/>
      <c r="J397" s="39"/>
      <c r="K397" s="39"/>
      <c r="L397" s="47" t="str">
        <f>IF(OR(tblProductos[[#This Row],[SKU]]="",tblProductos[[#This Row],[Producto]]=""),"",tblProductos[[#This Row],[SKU]]&amp;" · "&amp;tblProductos[[#This Row],[Producto]]&amp;IF(tblProductos[[#This Row],[Activo]]="NO","  (inactivo)",""))</f>
        <v/>
      </c>
      <c r="M397" s="40" t="str">
        <f>IF(tblProductos[[#This Row],[SKU]]="","",COUNTIF(tblEntradas[SKU],tblProductos[[#This Row],[SKU]])+COUNTIF(tblSalidas[SKU],tblProductos[[#This Row],[SKU]]))</f>
        <v/>
      </c>
      <c r="N39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8" spans="2:14" x14ac:dyDescent="0.25">
      <c r="B398" s="38"/>
      <c r="C398" s="38"/>
      <c r="D398" s="38"/>
      <c r="E398" s="39"/>
      <c r="F398" s="45"/>
      <c r="G398" s="45"/>
      <c r="H398" s="46"/>
      <c r="I398" s="38"/>
      <c r="J398" s="39"/>
      <c r="K398" s="39"/>
      <c r="L398" s="47" t="str">
        <f>IF(OR(tblProductos[[#This Row],[SKU]]="",tblProductos[[#This Row],[Producto]]=""),"",tblProductos[[#This Row],[SKU]]&amp;" · "&amp;tblProductos[[#This Row],[Producto]]&amp;IF(tblProductos[[#This Row],[Activo]]="NO","  (inactivo)",""))</f>
        <v/>
      </c>
      <c r="M398" s="40" t="str">
        <f>IF(tblProductos[[#This Row],[SKU]]="","",COUNTIF(tblEntradas[SKU],tblProductos[[#This Row],[SKU]])+COUNTIF(tblSalidas[SKU],tblProductos[[#This Row],[SKU]]))</f>
        <v/>
      </c>
      <c r="N39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9" spans="2:14" x14ac:dyDescent="0.25">
      <c r="B399" s="38"/>
      <c r="C399" s="38"/>
      <c r="D399" s="38"/>
      <c r="E399" s="39"/>
      <c r="F399" s="45"/>
      <c r="G399" s="45"/>
      <c r="H399" s="46"/>
      <c r="I399" s="38"/>
      <c r="J399" s="39"/>
      <c r="K399" s="39"/>
      <c r="L399" s="47" t="str">
        <f>IF(OR(tblProductos[[#This Row],[SKU]]="",tblProductos[[#This Row],[Producto]]=""),"",tblProductos[[#This Row],[SKU]]&amp;" · "&amp;tblProductos[[#This Row],[Producto]]&amp;IF(tblProductos[[#This Row],[Activo]]="NO","  (inactivo)",""))</f>
        <v/>
      </c>
      <c r="M399" s="40" t="str">
        <f>IF(tblProductos[[#This Row],[SKU]]="","",COUNTIF(tblEntradas[SKU],tblProductos[[#This Row],[SKU]])+COUNTIF(tblSalidas[SKU],tblProductos[[#This Row],[SKU]]))</f>
        <v/>
      </c>
      <c r="N39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0" spans="2:14" x14ac:dyDescent="0.25">
      <c r="B400" s="38"/>
      <c r="C400" s="38"/>
      <c r="D400" s="38"/>
      <c r="E400" s="39"/>
      <c r="F400" s="45"/>
      <c r="G400" s="45"/>
      <c r="H400" s="46"/>
      <c r="I400" s="38"/>
      <c r="J400" s="39"/>
      <c r="K400" s="39"/>
      <c r="L400" s="47" t="str">
        <f>IF(OR(tblProductos[[#This Row],[SKU]]="",tblProductos[[#This Row],[Producto]]=""),"",tblProductos[[#This Row],[SKU]]&amp;" · "&amp;tblProductos[[#This Row],[Producto]]&amp;IF(tblProductos[[#This Row],[Activo]]="NO","  (inactivo)",""))</f>
        <v/>
      </c>
      <c r="M400" s="40" t="str">
        <f>IF(tblProductos[[#This Row],[SKU]]="","",COUNTIF(tblEntradas[SKU],tblProductos[[#This Row],[SKU]])+COUNTIF(tblSalidas[SKU],tblProductos[[#This Row],[SKU]]))</f>
        <v/>
      </c>
      <c r="N40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1" spans="2:14" x14ac:dyDescent="0.25">
      <c r="B401" s="38"/>
      <c r="C401" s="38"/>
      <c r="D401" s="38"/>
      <c r="E401" s="39"/>
      <c r="F401" s="45"/>
      <c r="G401" s="45"/>
      <c r="H401" s="46"/>
      <c r="I401" s="38"/>
      <c r="J401" s="39"/>
      <c r="K401" s="39"/>
      <c r="L401" s="47" t="str">
        <f>IF(OR(tblProductos[[#This Row],[SKU]]="",tblProductos[[#This Row],[Producto]]=""),"",tblProductos[[#This Row],[SKU]]&amp;" · "&amp;tblProductos[[#This Row],[Producto]]&amp;IF(tblProductos[[#This Row],[Activo]]="NO","  (inactivo)",""))</f>
        <v/>
      </c>
      <c r="M401" s="40" t="str">
        <f>IF(tblProductos[[#This Row],[SKU]]="","",COUNTIF(tblEntradas[SKU],tblProductos[[#This Row],[SKU]])+COUNTIF(tblSalidas[SKU],tblProductos[[#This Row],[SKU]]))</f>
        <v/>
      </c>
      <c r="N40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2" spans="2:14" x14ac:dyDescent="0.25">
      <c r="B402" s="38"/>
      <c r="C402" s="38"/>
      <c r="D402" s="38"/>
      <c r="E402" s="39"/>
      <c r="F402" s="45"/>
      <c r="G402" s="45"/>
      <c r="H402" s="46"/>
      <c r="I402" s="38"/>
      <c r="J402" s="39"/>
      <c r="K402" s="39"/>
      <c r="L402" s="47" t="str">
        <f>IF(OR(tblProductos[[#This Row],[SKU]]="",tblProductos[[#This Row],[Producto]]=""),"",tblProductos[[#This Row],[SKU]]&amp;" · "&amp;tblProductos[[#This Row],[Producto]]&amp;IF(tblProductos[[#This Row],[Activo]]="NO","  (inactivo)",""))</f>
        <v/>
      </c>
      <c r="M402" s="40" t="str">
        <f>IF(tblProductos[[#This Row],[SKU]]="","",COUNTIF(tblEntradas[SKU],tblProductos[[#This Row],[SKU]])+COUNTIF(tblSalidas[SKU],tblProductos[[#This Row],[SKU]]))</f>
        <v/>
      </c>
      <c r="N40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3" spans="2:14" x14ac:dyDescent="0.25">
      <c r="B403" s="38"/>
      <c r="C403" s="38"/>
      <c r="D403" s="38"/>
      <c r="E403" s="39"/>
      <c r="F403" s="45"/>
      <c r="G403" s="45"/>
      <c r="H403" s="46"/>
      <c r="I403" s="38"/>
      <c r="J403" s="39"/>
      <c r="K403" s="39"/>
      <c r="L403" s="47" t="str">
        <f>IF(OR(tblProductos[[#This Row],[SKU]]="",tblProductos[[#This Row],[Producto]]=""),"",tblProductos[[#This Row],[SKU]]&amp;" · "&amp;tblProductos[[#This Row],[Producto]]&amp;IF(tblProductos[[#This Row],[Activo]]="NO","  (inactivo)",""))</f>
        <v/>
      </c>
      <c r="M403" s="40" t="str">
        <f>IF(tblProductos[[#This Row],[SKU]]="","",COUNTIF(tblEntradas[SKU],tblProductos[[#This Row],[SKU]])+COUNTIF(tblSalidas[SKU],tblProductos[[#This Row],[SKU]]))</f>
        <v/>
      </c>
      <c r="N40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4" spans="2:14" x14ac:dyDescent="0.25">
      <c r="B404" s="38"/>
      <c r="C404" s="38"/>
      <c r="D404" s="38"/>
      <c r="E404" s="39"/>
      <c r="F404" s="45"/>
      <c r="G404" s="45"/>
      <c r="H404" s="46"/>
      <c r="I404" s="38"/>
      <c r="J404" s="39"/>
      <c r="K404" s="39"/>
      <c r="L404" s="47" t="str">
        <f>IF(OR(tblProductos[[#This Row],[SKU]]="",tblProductos[[#This Row],[Producto]]=""),"",tblProductos[[#This Row],[SKU]]&amp;" · "&amp;tblProductos[[#This Row],[Producto]]&amp;IF(tblProductos[[#This Row],[Activo]]="NO","  (inactivo)",""))</f>
        <v/>
      </c>
      <c r="M404" s="40" t="str">
        <f>IF(tblProductos[[#This Row],[SKU]]="","",COUNTIF(tblEntradas[SKU],tblProductos[[#This Row],[SKU]])+COUNTIF(tblSalidas[SKU],tblProductos[[#This Row],[SKU]]))</f>
        <v/>
      </c>
      <c r="N40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5" spans="2:14" x14ac:dyDescent="0.25">
      <c r="B405" s="38"/>
      <c r="C405" s="38"/>
      <c r="D405" s="38"/>
      <c r="E405" s="39"/>
      <c r="F405" s="45"/>
      <c r="G405" s="45"/>
      <c r="H405" s="46"/>
      <c r="I405" s="38"/>
      <c r="J405" s="39"/>
      <c r="K405" s="39"/>
      <c r="L405" s="47" t="str">
        <f>IF(OR(tblProductos[[#This Row],[SKU]]="",tblProductos[[#This Row],[Producto]]=""),"",tblProductos[[#This Row],[SKU]]&amp;" · "&amp;tblProductos[[#This Row],[Producto]]&amp;IF(tblProductos[[#This Row],[Activo]]="NO","  (inactivo)",""))</f>
        <v/>
      </c>
      <c r="M405" s="40" t="str">
        <f>IF(tblProductos[[#This Row],[SKU]]="","",COUNTIF(tblEntradas[SKU],tblProductos[[#This Row],[SKU]])+COUNTIF(tblSalidas[SKU],tblProductos[[#This Row],[SKU]]))</f>
        <v/>
      </c>
      <c r="N40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6" spans="2:14" x14ac:dyDescent="0.25">
      <c r="B406" s="38"/>
      <c r="C406" s="38"/>
      <c r="D406" s="38"/>
      <c r="E406" s="39"/>
      <c r="F406" s="45"/>
      <c r="G406" s="45"/>
      <c r="H406" s="46"/>
      <c r="I406" s="38"/>
      <c r="J406" s="39"/>
      <c r="K406" s="39"/>
      <c r="L406" s="47" t="str">
        <f>IF(OR(tblProductos[[#This Row],[SKU]]="",tblProductos[[#This Row],[Producto]]=""),"",tblProductos[[#This Row],[SKU]]&amp;" · "&amp;tblProductos[[#This Row],[Producto]]&amp;IF(tblProductos[[#This Row],[Activo]]="NO","  (inactivo)",""))</f>
        <v/>
      </c>
      <c r="M406" s="40" t="str">
        <f>IF(tblProductos[[#This Row],[SKU]]="","",COUNTIF(tblEntradas[SKU],tblProductos[[#This Row],[SKU]])+COUNTIF(tblSalidas[SKU],tblProductos[[#This Row],[SKU]]))</f>
        <v/>
      </c>
      <c r="N40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7" spans="2:14" x14ac:dyDescent="0.25">
      <c r="B407" s="38"/>
      <c r="C407" s="38"/>
      <c r="D407" s="38"/>
      <c r="E407" s="39"/>
      <c r="F407" s="45"/>
      <c r="G407" s="45"/>
      <c r="H407" s="46"/>
      <c r="I407" s="38"/>
      <c r="J407" s="39"/>
      <c r="K407" s="39"/>
      <c r="L407" s="47" t="str">
        <f>IF(OR(tblProductos[[#This Row],[SKU]]="",tblProductos[[#This Row],[Producto]]=""),"",tblProductos[[#This Row],[SKU]]&amp;" · "&amp;tblProductos[[#This Row],[Producto]]&amp;IF(tblProductos[[#This Row],[Activo]]="NO","  (inactivo)",""))</f>
        <v/>
      </c>
      <c r="M407" s="40" t="str">
        <f>IF(tblProductos[[#This Row],[SKU]]="","",COUNTIF(tblEntradas[SKU],tblProductos[[#This Row],[SKU]])+COUNTIF(tblSalidas[SKU],tblProductos[[#This Row],[SKU]]))</f>
        <v/>
      </c>
      <c r="N40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8" spans="2:14" x14ac:dyDescent="0.25">
      <c r="B408" s="38"/>
      <c r="C408" s="38"/>
      <c r="D408" s="38"/>
      <c r="E408" s="39"/>
      <c r="F408" s="45"/>
      <c r="G408" s="45"/>
      <c r="H408" s="46"/>
      <c r="I408" s="38"/>
      <c r="J408" s="39"/>
      <c r="K408" s="39"/>
      <c r="L408" s="47" t="str">
        <f>IF(OR(tblProductos[[#This Row],[SKU]]="",tblProductos[[#This Row],[Producto]]=""),"",tblProductos[[#This Row],[SKU]]&amp;" · "&amp;tblProductos[[#This Row],[Producto]]&amp;IF(tblProductos[[#This Row],[Activo]]="NO","  (inactivo)",""))</f>
        <v/>
      </c>
      <c r="M408" s="40" t="str">
        <f>IF(tblProductos[[#This Row],[SKU]]="","",COUNTIF(tblEntradas[SKU],tblProductos[[#This Row],[SKU]])+COUNTIF(tblSalidas[SKU],tblProductos[[#This Row],[SKU]]))</f>
        <v/>
      </c>
      <c r="N40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9" spans="2:14" x14ac:dyDescent="0.25">
      <c r="B409" s="38"/>
      <c r="C409" s="38"/>
      <c r="D409" s="38"/>
      <c r="E409" s="39"/>
      <c r="F409" s="45"/>
      <c r="G409" s="45"/>
      <c r="H409" s="46"/>
      <c r="I409" s="38"/>
      <c r="J409" s="39"/>
      <c r="K409" s="39"/>
      <c r="L409" s="47" t="str">
        <f>IF(OR(tblProductos[[#This Row],[SKU]]="",tblProductos[[#This Row],[Producto]]=""),"",tblProductos[[#This Row],[SKU]]&amp;" · "&amp;tblProductos[[#This Row],[Producto]]&amp;IF(tblProductos[[#This Row],[Activo]]="NO","  (inactivo)",""))</f>
        <v/>
      </c>
      <c r="M409" s="40" t="str">
        <f>IF(tblProductos[[#This Row],[SKU]]="","",COUNTIF(tblEntradas[SKU],tblProductos[[#This Row],[SKU]])+COUNTIF(tblSalidas[SKU],tblProductos[[#This Row],[SKU]]))</f>
        <v/>
      </c>
      <c r="N40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0" spans="2:14" x14ac:dyDescent="0.25">
      <c r="B410" s="38"/>
      <c r="C410" s="38"/>
      <c r="D410" s="38"/>
      <c r="E410" s="39"/>
      <c r="F410" s="45"/>
      <c r="G410" s="45"/>
      <c r="H410" s="46"/>
      <c r="I410" s="38"/>
      <c r="J410" s="39"/>
      <c r="K410" s="39"/>
      <c r="L410" s="47" t="str">
        <f>IF(OR(tblProductos[[#This Row],[SKU]]="",tblProductos[[#This Row],[Producto]]=""),"",tblProductos[[#This Row],[SKU]]&amp;" · "&amp;tblProductos[[#This Row],[Producto]]&amp;IF(tblProductos[[#This Row],[Activo]]="NO","  (inactivo)",""))</f>
        <v/>
      </c>
      <c r="M410" s="40" t="str">
        <f>IF(tblProductos[[#This Row],[SKU]]="","",COUNTIF(tblEntradas[SKU],tblProductos[[#This Row],[SKU]])+COUNTIF(tblSalidas[SKU],tblProductos[[#This Row],[SKU]]))</f>
        <v/>
      </c>
      <c r="N41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1" spans="2:14" x14ac:dyDescent="0.25">
      <c r="B411" s="38"/>
      <c r="C411" s="38"/>
      <c r="D411" s="38"/>
      <c r="E411" s="39"/>
      <c r="F411" s="45"/>
      <c r="G411" s="45"/>
      <c r="H411" s="46"/>
      <c r="I411" s="38"/>
      <c r="J411" s="39"/>
      <c r="K411" s="39"/>
      <c r="L411" s="47" t="str">
        <f>IF(OR(tblProductos[[#This Row],[SKU]]="",tblProductos[[#This Row],[Producto]]=""),"",tblProductos[[#This Row],[SKU]]&amp;" · "&amp;tblProductos[[#This Row],[Producto]]&amp;IF(tblProductos[[#This Row],[Activo]]="NO","  (inactivo)",""))</f>
        <v/>
      </c>
      <c r="M411" s="40" t="str">
        <f>IF(tblProductos[[#This Row],[SKU]]="","",COUNTIF(tblEntradas[SKU],tblProductos[[#This Row],[SKU]])+COUNTIF(tblSalidas[SKU],tblProductos[[#This Row],[SKU]]))</f>
        <v/>
      </c>
      <c r="N41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2" spans="2:14" x14ac:dyDescent="0.25">
      <c r="B412" s="38"/>
      <c r="C412" s="38"/>
      <c r="D412" s="38"/>
      <c r="E412" s="39"/>
      <c r="F412" s="45"/>
      <c r="G412" s="45"/>
      <c r="H412" s="46"/>
      <c r="I412" s="38"/>
      <c r="J412" s="39"/>
      <c r="K412" s="39"/>
      <c r="L412" s="47" t="str">
        <f>IF(OR(tblProductos[[#This Row],[SKU]]="",tblProductos[[#This Row],[Producto]]=""),"",tblProductos[[#This Row],[SKU]]&amp;" · "&amp;tblProductos[[#This Row],[Producto]]&amp;IF(tblProductos[[#This Row],[Activo]]="NO","  (inactivo)",""))</f>
        <v/>
      </c>
      <c r="M412" s="40" t="str">
        <f>IF(tblProductos[[#This Row],[SKU]]="","",COUNTIF(tblEntradas[SKU],tblProductos[[#This Row],[SKU]])+COUNTIF(tblSalidas[SKU],tblProductos[[#This Row],[SKU]]))</f>
        <v/>
      </c>
      <c r="N41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3" spans="2:14" x14ac:dyDescent="0.25">
      <c r="B413" s="38"/>
      <c r="C413" s="38"/>
      <c r="D413" s="38"/>
      <c r="E413" s="39"/>
      <c r="F413" s="45"/>
      <c r="G413" s="45"/>
      <c r="H413" s="46"/>
      <c r="I413" s="38"/>
      <c r="J413" s="39"/>
      <c r="K413" s="39"/>
      <c r="L413" s="47" t="str">
        <f>IF(OR(tblProductos[[#This Row],[SKU]]="",tblProductos[[#This Row],[Producto]]=""),"",tblProductos[[#This Row],[SKU]]&amp;" · "&amp;tblProductos[[#This Row],[Producto]]&amp;IF(tblProductos[[#This Row],[Activo]]="NO","  (inactivo)",""))</f>
        <v/>
      </c>
      <c r="M413" s="40" t="str">
        <f>IF(tblProductos[[#This Row],[SKU]]="","",COUNTIF(tblEntradas[SKU],tblProductos[[#This Row],[SKU]])+COUNTIF(tblSalidas[SKU],tblProductos[[#This Row],[SKU]]))</f>
        <v/>
      </c>
      <c r="N41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4" spans="2:14" x14ac:dyDescent="0.25">
      <c r="B414" s="38"/>
      <c r="C414" s="38"/>
      <c r="D414" s="38"/>
      <c r="E414" s="39"/>
      <c r="F414" s="45"/>
      <c r="G414" s="45"/>
      <c r="H414" s="46"/>
      <c r="I414" s="38"/>
      <c r="J414" s="39"/>
      <c r="K414" s="39"/>
      <c r="L414" s="47" t="str">
        <f>IF(OR(tblProductos[[#This Row],[SKU]]="",tblProductos[[#This Row],[Producto]]=""),"",tblProductos[[#This Row],[SKU]]&amp;" · "&amp;tblProductos[[#This Row],[Producto]]&amp;IF(tblProductos[[#This Row],[Activo]]="NO","  (inactivo)",""))</f>
        <v/>
      </c>
      <c r="M414" s="40" t="str">
        <f>IF(tblProductos[[#This Row],[SKU]]="","",COUNTIF(tblEntradas[SKU],tblProductos[[#This Row],[SKU]])+COUNTIF(tblSalidas[SKU],tblProductos[[#This Row],[SKU]]))</f>
        <v/>
      </c>
      <c r="N41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5" spans="2:14" x14ac:dyDescent="0.25">
      <c r="B415" s="38"/>
      <c r="C415" s="38"/>
      <c r="D415" s="38"/>
      <c r="E415" s="39"/>
      <c r="F415" s="45"/>
      <c r="G415" s="45"/>
      <c r="H415" s="46"/>
      <c r="I415" s="38"/>
      <c r="J415" s="39"/>
      <c r="K415" s="39"/>
      <c r="L415" s="47" t="str">
        <f>IF(OR(tblProductos[[#This Row],[SKU]]="",tblProductos[[#This Row],[Producto]]=""),"",tblProductos[[#This Row],[SKU]]&amp;" · "&amp;tblProductos[[#This Row],[Producto]]&amp;IF(tblProductos[[#This Row],[Activo]]="NO","  (inactivo)",""))</f>
        <v/>
      </c>
      <c r="M415" s="40" t="str">
        <f>IF(tblProductos[[#This Row],[SKU]]="","",COUNTIF(tblEntradas[SKU],tblProductos[[#This Row],[SKU]])+COUNTIF(tblSalidas[SKU],tblProductos[[#This Row],[SKU]]))</f>
        <v/>
      </c>
      <c r="N41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6" spans="2:14" x14ac:dyDescent="0.25">
      <c r="B416" s="38"/>
      <c r="C416" s="38"/>
      <c r="D416" s="38"/>
      <c r="E416" s="39"/>
      <c r="F416" s="45"/>
      <c r="G416" s="45"/>
      <c r="H416" s="46"/>
      <c r="I416" s="38"/>
      <c r="J416" s="39"/>
      <c r="K416" s="39"/>
      <c r="L416" s="47" t="str">
        <f>IF(OR(tblProductos[[#This Row],[SKU]]="",tblProductos[[#This Row],[Producto]]=""),"",tblProductos[[#This Row],[SKU]]&amp;" · "&amp;tblProductos[[#This Row],[Producto]]&amp;IF(tblProductos[[#This Row],[Activo]]="NO","  (inactivo)",""))</f>
        <v/>
      </c>
      <c r="M416" s="40" t="str">
        <f>IF(tblProductos[[#This Row],[SKU]]="","",COUNTIF(tblEntradas[SKU],tblProductos[[#This Row],[SKU]])+COUNTIF(tblSalidas[SKU],tblProductos[[#This Row],[SKU]]))</f>
        <v/>
      </c>
      <c r="N41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7" spans="2:14" x14ac:dyDescent="0.25">
      <c r="B417" s="38"/>
      <c r="C417" s="38"/>
      <c r="D417" s="38"/>
      <c r="E417" s="39"/>
      <c r="F417" s="45"/>
      <c r="G417" s="45"/>
      <c r="H417" s="46"/>
      <c r="I417" s="38"/>
      <c r="J417" s="39"/>
      <c r="K417" s="39"/>
      <c r="L417" s="47" t="str">
        <f>IF(OR(tblProductos[[#This Row],[SKU]]="",tblProductos[[#This Row],[Producto]]=""),"",tblProductos[[#This Row],[SKU]]&amp;" · "&amp;tblProductos[[#This Row],[Producto]]&amp;IF(tblProductos[[#This Row],[Activo]]="NO","  (inactivo)",""))</f>
        <v/>
      </c>
      <c r="M417" s="40" t="str">
        <f>IF(tblProductos[[#This Row],[SKU]]="","",COUNTIF(tblEntradas[SKU],tblProductos[[#This Row],[SKU]])+COUNTIF(tblSalidas[SKU],tblProductos[[#This Row],[SKU]]))</f>
        <v/>
      </c>
      <c r="N41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8" spans="2:14" x14ac:dyDescent="0.25">
      <c r="B418" s="38"/>
      <c r="C418" s="38"/>
      <c r="D418" s="38"/>
      <c r="E418" s="39"/>
      <c r="F418" s="45"/>
      <c r="G418" s="45"/>
      <c r="H418" s="46"/>
      <c r="I418" s="38"/>
      <c r="J418" s="39"/>
      <c r="K418" s="39"/>
      <c r="L418" s="47" t="str">
        <f>IF(OR(tblProductos[[#This Row],[SKU]]="",tblProductos[[#This Row],[Producto]]=""),"",tblProductos[[#This Row],[SKU]]&amp;" · "&amp;tblProductos[[#This Row],[Producto]]&amp;IF(tblProductos[[#This Row],[Activo]]="NO","  (inactivo)",""))</f>
        <v/>
      </c>
      <c r="M418" s="40" t="str">
        <f>IF(tblProductos[[#This Row],[SKU]]="","",COUNTIF(tblEntradas[SKU],tblProductos[[#This Row],[SKU]])+COUNTIF(tblSalidas[SKU],tblProductos[[#This Row],[SKU]]))</f>
        <v/>
      </c>
      <c r="N41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9" spans="2:14" x14ac:dyDescent="0.25">
      <c r="B419" s="38"/>
      <c r="C419" s="38"/>
      <c r="D419" s="38"/>
      <c r="E419" s="39"/>
      <c r="F419" s="45"/>
      <c r="G419" s="45"/>
      <c r="H419" s="46"/>
      <c r="I419" s="38"/>
      <c r="J419" s="39"/>
      <c r="K419" s="39"/>
      <c r="L419" s="47" t="str">
        <f>IF(OR(tblProductos[[#This Row],[SKU]]="",tblProductos[[#This Row],[Producto]]=""),"",tblProductos[[#This Row],[SKU]]&amp;" · "&amp;tblProductos[[#This Row],[Producto]]&amp;IF(tblProductos[[#This Row],[Activo]]="NO","  (inactivo)",""))</f>
        <v/>
      </c>
      <c r="M419" s="40" t="str">
        <f>IF(tblProductos[[#This Row],[SKU]]="","",COUNTIF(tblEntradas[SKU],tblProductos[[#This Row],[SKU]])+COUNTIF(tblSalidas[SKU],tblProductos[[#This Row],[SKU]]))</f>
        <v/>
      </c>
      <c r="N41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0" spans="2:14" x14ac:dyDescent="0.25">
      <c r="B420" s="38"/>
      <c r="C420" s="38"/>
      <c r="D420" s="38"/>
      <c r="E420" s="39"/>
      <c r="F420" s="45"/>
      <c r="G420" s="45"/>
      <c r="H420" s="46"/>
      <c r="I420" s="38"/>
      <c r="J420" s="39"/>
      <c r="K420" s="39"/>
      <c r="L420" s="47" t="str">
        <f>IF(OR(tblProductos[[#This Row],[SKU]]="",tblProductos[[#This Row],[Producto]]=""),"",tblProductos[[#This Row],[SKU]]&amp;" · "&amp;tblProductos[[#This Row],[Producto]]&amp;IF(tblProductos[[#This Row],[Activo]]="NO","  (inactivo)",""))</f>
        <v/>
      </c>
      <c r="M420" s="40" t="str">
        <f>IF(tblProductos[[#This Row],[SKU]]="","",COUNTIF(tblEntradas[SKU],tblProductos[[#This Row],[SKU]])+COUNTIF(tblSalidas[SKU],tblProductos[[#This Row],[SKU]]))</f>
        <v/>
      </c>
      <c r="N42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1" spans="2:14" x14ac:dyDescent="0.25">
      <c r="B421" s="38"/>
      <c r="C421" s="38"/>
      <c r="D421" s="38"/>
      <c r="E421" s="39"/>
      <c r="F421" s="45"/>
      <c r="G421" s="45"/>
      <c r="H421" s="46"/>
      <c r="I421" s="38"/>
      <c r="J421" s="39"/>
      <c r="K421" s="39"/>
      <c r="L421" s="47" t="str">
        <f>IF(OR(tblProductos[[#This Row],[SKU]]="",tblProductos[[#This Row],[Producto]]=""),"",tblProductos[[#This Row],[SKU]]&amp;" · "&amp;tblProductos[[#This Row],[Producto]]&amp;IF(tblProductos[[#This Row],[Activo]]="NO","  (inactivo)",""))</f>
        <v/>
      </c>
      <c r="M421" s="40" t="str">
        <f>IF(tblProductos[[#This Row],[SKU]]="","",COUNTIF(tblEntradas[SKU],tblProductos[[#This Row],[SKU]])+COUNTIF(tblSalidas[SKU],tblProductos[[#This Row],[SKU]]))</f>
        <v/>
      </c>
      <c r="N42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2" spans="2:14" x14ac:dyDescent="0.25">
      <c r="B422" s="38"/>
      <c r="C422" s="38"/>
      <c r="D422" s="38"/>
      <c r="E422" s="39"/>
      <c r="F422" s="45"/>
      <c r="G422" s="45"/>
      <c r="H422" s="46"/>
      <c r="I422" s="38"/>
      <c r="J422" s="39"/>
      <c r="K422" s="39"/>
      <c r="L422" s="47" t="str">
        <f>IF(OR(tblProductos[[#This Row],[SKU]]="",tblProductos[[#This Row],[Producto]]=""),"",tblProductos[[#This Row],[SKU]]&amp;" · "&amp;tblProductos[[#This Row],[Producto]]&amp;IF(tblProductos[[#This Row],[Activo]]="NO","  (inactivo)",""))</f>
        <v/>
      </c>
      <c r="M422" s="40" t="str">
        <f>IF(tblProductos[[#This Row],[SKU]]="","",COUNTIF(tblEntradas[SKU],tblProductos[[#This Row],[SKU]])+COUNTIF(tblSalidas[SKU],tblProductos[[#This Row],[SKU]]))</f>
        <v/>
      </c>
      <c r="N42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3" spans="2:14" x14ac:dyDescent="0.25">
      <c r="B423" s="38"/>
      <c r="C423" s="38"/>
      <c r="D423" s="38"/>
      <c r="E423" s="39"/>
      <c r="F423" s="45"/>
      <c r="G423" s="45"/>
      <c r="H423" s="46"/>
      <c r="I423" s="38"/>
      <c r="J423" s="39"/>
      <c r="K423" s="39"/>
      <c r="L423" s="47" t="str">
        <f>IF(OR(tblProductos[[#This Row],[SKU]]="",tblProductos[[#This Row],[Producto]]=""),"",tblProductos[[#This Row],[SKU]]&amp;" · "&amp;tblProductos[[#This Row],[Producto]]&amp;IF(tblProductos[[#This Row],[Activo]]="NO","  (inactivo)",""))</f>
        <v/>
      </c>
      <c r="M423" s="40" t="str">
        <f>IF(tblProductos[[#This Row],[SKU]]="","",COUNTIF(tblEntradas[SKU],tblProductos[[#This Row],[SKU]])+COUNTIF(tblSalidas[SKU],tblProductos[[#This Row],[SKU]]))</f>
        <v/>
      </c>
      <c r="N42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4" spans="2:14" x14ac:dyDescent="0.25">
      <c r="B424" s="38"/>
      <c r="C424" s="38"/>
      <c r="D424" s="38"/>
      <c r="E424" s="39"/>
      <c r="F424" s="45"/>
      <c r="G424" s="45"/>
      <c r="H424" s="46"/>
      <c r="I424" s="38"/>
      <c r="J424" s="39"/>
      <c r="K424" s="39"/>
      <c r="L424" s="47" t="str">
        <f>IF(OR(tblProductos[[#This Row],[SKU]]="",tblProductos[[#This Row],[Producto]]=""),"",tblProductos[[#This Row],[SKU]]&amp;" · "&amp;tblProductos[[#This Row],[Producto]]&amp;IF(tblProductos[[#This Row],[Activo]]="NO","  (inactivo)",""))</f>
        <v/>
      </c>
      <c r="M424" s="40" t="str">
        <f>IF(tblProductos[[#This Row],[SKU]]="","",COUNTIF(tblEntradas[SKU],tblProductos[[#This Row],[SKU]])+COUNTIF(tblSalidas[SKU],tblProductos[[#This Row],[SKU]]))</f>
        <v/>
      </c>
      <c r="N42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5" spans="2:14" x14ac:dyDescent="0.25">
      <c r="B425" s="38"/>
      <c r="C425" s="38"/>
      <c r="D425" s="38"/>
      <c r="E425" s="39"/>
      <c r="F425" s="45"/>
      <c r="G425" s="45"/>
      <c r="H425" s="46"/>
      <c r="I425" s="38"/>
      <c r="J425" s="39"/>
      <c r="K425" s="39"/>
      <c r="L425" s="47" t="str">
        <f>IF(OR(tblProductos[[#This Row],[SKU]]="",tblProductos[[#This Row],[Producto]]=""),"",tblProductos[[#This Row],[SKU]]&amp;" · "&amp;tblProductos[[#This Row],[Producto]]&amp;IF(tblProductos[[#This Row],[Activo]]="NO","  (inactivo)",""))</f>
        <v/>
      </c>
      <c r="M425" s="40" t="str">
        <f>IF(tblProductos[[#This Row],[SKU]]="","",COUNTIF(tblEntradas[SKU],tblProductos[[#This Row],[SKU]])+COUNTIF(tblSalidas[SKU],tblProductos[[#This Row],[SKU]]))</f>
        <v/>
      </c>
      <c r="N42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6" spans="2:14" x14ac:dyDescent="0.25">
      <c r="B426" s="38"/>
      <c r="C426" s="38"/>
      <c r="D426" s="38"/>
      <c r="E426" s="39"/>
      <c r="F426" s="45"/>
      <c r="G426" s="45"/>
      <c r="H426" s="46"/>
      <c r="I426" s="38"/>
      <c r="J426" s="39"/>
      <c r="K426" s="39"/>
      <c r="L426" s="47" t="str">
        <f>IF(OR(tblProductos[[#This Row],[SKU]]="",tblProductos[[#This Row],[Producto]]=""),"",tblProductos[[#This Row],[SKU]]&amp;" · "&amp;tblProductos[[#This Row],[Producto]]&amp;IF(tblProductos[[#This Row],[Activo]]="NO","  (inactivo)",""))</f>
        <v/>
      </c>
      <c r="M426" s="40" t="str">
        <f>IF(tblProductos[[#This Row],[SKU]]="","",COUNTIF(tblEntradas[SKU],tblProductos[[#This Row],[SKU]])+COUNTIF(tblSalidas[SKU],tblProductos[[#This Row],[SKU]]))</f>
        <v/>
      </c>
      <c r="N42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7" spans="2:14" x14ac:dyDescent="0.25">
      <c r="B427" s="38"/>
      <c r="C427" s="38"/>
      <c r="D427" s="38"/>
      <c r="E427" s="39"/>
      <c r="F427" s="45"/>
      <c r="G427" s="45"/>
      <c r="H427" s="46"/>
      <c r="I427" s="38"/>
      <c r="J427" s="39"/>
      <c r="K427" s="39"/>
      <c r="L427" s="47" t="str">
        <f>IF(OR(tblProductos[[#This Row],[SKU]]="",tblProductos[[#This Row],[Producto]]=""),"",tblProductos[[#This Row],[SKU]]&amp;" · "&amp;tblProductos[[#This Row],[Producto]]&amp;IF(tblProductos[[#This Row],[Activo]]="NO","  (inactivo)",""))</f>
        <v/>
      </c>
      <c r="M427" s="40" t="str">
        <f>IF(tblProductos[[#This Row],[SKU]]="","",COUNTIF(tblEntradas[SKU],tblProductos[[#This Row],[SKU]])+COUNTIF(tblSalidas[SKU],tblProductos[[#This Row],[SKU]]))</f>
        <v/>
      </c>
      <c r="N42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8" spans="2:14" x14ac:dyDescent="0.25">
      <c r="B428" s="38"/>
      <c r="C428" s="38"/>
      <c r="D428" s="38"/>
      <c r="E428" s="39"/>
      <c r="F428" s="45"/>
      <c r="G428" s="45"/>
      <c r="H428" s="46"/>
      <c r="I428" s="38"/>
      <c r="J428" s="39"/>
      <c r="K428" s="39"/>
      <c r="L428" s="47" t="str">
        <f>IF(OR(tblProductos[[#This Row],[SKU]]="",tblProductos[[#This Row],[Producto]]=""),"",tblProductos[[#This Row],[SKU]]&amp;" · "&amp;tblProductos[[#This Row],[Producto]]&amp;IF(tblProductos[[#This Row],[Activo]]="NO","  (inactivo)",""))</f>
        <v/>
      </c>
      <c r="M428" s="40" t="str">
        <f>IF(tblProductos[[#This Row],[SKU]]="","",COUNTIF(tblEntradas[SKU],tblProductos[[#This Row],[SKU]])+COUNTIF(tblSalidas[SKU],tblProductos[[#This Row],[SKU]]))</f>
        <v/>
      </c>
      <c r="N42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9" spans="2:14" x14ac:dyDescent="0.25">
      <c r="B429" s="38"/>
      <c r="C429" s="38"/>
      <c r="D429" s="38"/>
      <c r="E429" s="39"/>
      <c r="F429" s="45"/>
      <c r="G429" s="45"/>
      <c r="H429" s="46"/>
      <c r="I429" s="38"/>
      <c r="J429" s="39"/>
      <c r="K429" s="39"/>
      <c r="L429" s="47" t="str">
        <f>IF(OR(tblProductos[[#This Row],[SKU]]="",tblProductos[[#This Row],[Producto]]=""),"",tblProductos[[#This Row],[SKU]]&amp;" · "&amp;tblProductos[[#This Row],[Producto]]&amp;IF(tblProductos[[#This Row],[Activo]]="NO","  (inactivo)",""))</f>
        <v/>
      </c>
      <c r="M429" s="40" t="str">
        <f>IF(tblProductos[[#This Row],[SKU]]="","",COUNTIF(tblEntradas[SKU],tblProductos[[#This Row],[SKU]])+COUNTIF(tblSalidas[SKU],tblProductos[[#This Row],[SKU]]))</f>
        <v/>
      </c>
      <c r="N42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0" spans="2:14" x14ac:dyDescent="0.25">
      <c r="B430" s="38"/>
      <c r="C430" s="38"/>
      <c r="D430" s="38"/>
      <c r="E430" s="39"/>
      <c r="F430" s="45"/>
      <c r="G430" s="45"/>
      <c r="H430" s="46"/>
      <c r="I430" s="38"/>
      <c r="J430" s="39"/>
      <c r="K430" s="39"/>
      <c r="L430" s="47" t="str">
        <f>IF(OR(tblProductos[[#This Row],[SKU]]="",tblProductos[[#This Row],[Producto]]=""),"",tblProductos[[#This Row],[SKU]]&amp;" · "&amp;tblProductos[[#This Row],[Producto]]&amp;IF(tblProductos[[#This Row],[Activo]]="NO","  (inactivo)",""))</f>
        <v/>
      </c>
      <c r="M430" s="40" t="str">
        <f>IF(tblProductos[[#This Row],[SKU]]="","",COUNTIF(tblEntradas[SKU],tblProductos[[#This Row],[SKU]])+COUNTIF(tblSalidas[SKU],tblProductos[[#This Row],[SKU]]))</f>
        <v/>
      </c>
      <c r="N43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1" spans="2:14" x14ac:dyDescent="0.25">
      <c r="B431" s="38"/>
      <c r="C431" s="38"/>
      <c r="D431" s="38"/>
      <c r="E431" s="39"/>
      <c r="F431" s="45"/>
      <c r="G431" s="45"/>
      <c r="H431" s="46"/>
      <c r="I431" s="38"/>
      <c r="J431" s="39"/>
      <c r="K431" s="39"/>
      <c r="L431" s="47" t="str">
        <f>IF(OR(tblProductos[[#This Row],[SKU]]="",tblProductos[[#This Row],[Producto]]=""),"",tblProductos[[#This Row],[SKU]]&amp;" · "&amp;tblProductos[[#This Row],[Producto]]&amp;IF(tblProductos[[#This Row],[Activo]]="NO","  (inactivo)",""))</f>
        <v/>
      </c>
      <c r="M431" s="40" t="str">
        <f>IF(tblProductos[[#This Row],[SKU]]="","",COUNTIF(tblEntradas[SKU],tblProductos[[#This Row],[SKU]])+COUNTIF(tblSalidas[SKU],tblProductos[[#This Row],[SKU]]))</f>
        <v/>
      </c>
      <c r="N43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2" spans="2:14" x14ac:dyDescent="0.25">
      <c r="B432" s="38"/>
      <c r="C432" s="38"/>
      <c r="D432" s="38"/>
      <c r="E432" s="39"/>
      <c r="F432" s="45"/>
      <c r="G432" s="45"/>
      <c r="H432" s="46"/>
      <c r="I432" s="38"/>
      <c r="J432" s="39"/>
      <c r="K432" s="39"/>
      <c r="L432" s="47" t="str">
        <f>IF(OR(tblProductos[[#This Row],[SKU]]="",tblProductos[[#This Row],[Producto]]=""),"",tblProductos[[#This Row],[SKU]]&amp;" · "&amp;tblProductos[[#This Row],[Producto]]&amp;IF(tblProductos[[#This Row],[Activo]]="NO","  (inactivo)",""))</f>
        <v/>
      </c>
      <c r="M432" s="40" t="str">
        <f>IF(tblProductos[[#This Row],[SKU]]="","",COUNTIF(tblEntradas[SKU],tblProductos[[#This Row],[SKU]])+COUNTIF(tblSalidas[SKU],tblProductos[[#This Row],[SKU]]))</f>
        <v/>
      </c>
      <c r="N43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3" spans="2:14" x14ac:dyDescent="0.25">
      <c r="B433" s="38"/>
      <c r="C433" s="38"/>
      <c r="D433" s="38"/>
      <c r="E433" s="39"/>
      <c r="F433" s="45"/>
      <c r="G433" s="45"/>
      <c r="H433" s="46"/>
      <c r="I433" s="38"/>
      <c r="J433" s="39"/>
      <c r="K433" s="39"/>
      <c r="L433" s="47" t="str">
        <f>IF(OR(tblProductos[[#This Row],[SKU]]="",tblProductos[[#This Row],[Producto]]=""),"",tblProductos[[#This Row],[SKU]]&amp;" · "&amp;tblProductos[[#This Row],[Producto]]&amp;IF(tblProductos[[#This Row],[Activo]]="NO","  (inactivo)",""))</f>
        <v/>
      </c>
      <c r="M433" s="40" t="str">
        <f>IF(tblProductos[[#This Row],[SKU]]="","",COUNTIF(tblEntradas[SKU],tblProductos[[#This Row],[SKU]])+COUNTIF(tblSalidas[SKU],tblProductos[[#This Row],[SKU]]))</f>
        <v/>
      </c>
      <c r="N43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4" spans="2:14" x14ac:dyDescent="0.25">
      <c r="B434" s="38"/>
      <c r="C434" s="38"/>
      <c r="D434" s="38"/>
      <c r="E434" s="39"/>
      <c r="F434" s="45"/>
      <c r="G434" s="45"/>
      <c r="H434" s="46"/>
      <c r="I434" s="38"/>
      <c r="J434" s="39"/>
      <c r="K434" s="39"/>
      <c r="L434" s="47" t="str">
        <f>IF(OR(tblProductos[[#This Row],[SKU]]="",tblProductos[[#This Row],[Producto]]=""),"",tblProductos[[#This Row],[SKU]]&amp;" · "&amp;tblProductos[[#This Row],[Producto]]&amp;IF(tblProductos[[#This Row],[Activo]]="NO","  (inactivo)",""))</f>
        <v/>
      </c>
      <c r="M434" s="40" t="str">
        <f>IF(tblProductos[[#This Row],[SKU]]="","",COUNTIF(tblEntradas[SKU],tblProductos[[#This Row],[SKU]])+COUNTIF(tblSalidas[SKU],tblProductos[[#This Row],[SKU]]))</f>
        <v/>
      </c>
      <c r="N43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5" spans="2:14" x14ac:dyDescent="0.25">
      <c r="B435" s="38"/>
      <c r="C435" s="38"/>
      <c r="D435" s="38"/>
      <c r="E435" s="39"/>
      <c r="F435" s="45"/>
      <c r="G435" s="45"/>
      <c r="H435" s="46"/>
      <c r="I435" s="38"/>
      <c r="J435" s="39"/>
      <c r="K435" s="39"/>
      <c r="L435" s="47" t="str">
        <f>IF(OR(tblProductos[[#This Row],[SKU]]="",tblProductos[[#This Row],[Producto]]=""),"",tblProductos[[#This Row],[SKU]]&amp;" · "&amp;tblProductos[[#This Row],[Producto]]&amp;IF(tblProductos[[#This Row],[Activo]]="NO","  (inactivo)",""))</f>
        <v/>
      </c>
      <c r="M435" s="40" t="str">
        <f>IF(tblProductos[[#This Row],[SKU]]="","",COUNTIF(tblEntradas[SKU],tblProductos[[#This Row],[SKU]])+COUNTIF(tblSalidas[SKU],tblProductos[[#This Row],[SKU]]))</f>
        <v/>
      </c>
      <c r="N43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6" spans="2:14" x14ac:dyDescent="0.25">
      <c r="B436" s="38"/>
      <c r="C436" s="38"/>
      <c r="D436" s="38"/>
      <c r="E436" s="39"/>
      <c r="F436" s="45"/>
      <c r="G436" s="45"/>
      <c r="H436" s="46"/>
      <c r="I436" s="38"/>
      <c r="J436" s="39"/>
      <c r="K436" s="39"/>
      <c r="L436" s="47" t="str">
        <f>IF(OR(tblProductos[[#This Row],[SKU]]="",tblProductos[[#This Row],[Producto]]=""),"",tblProductos[[#This Row],[SKU]]&amp;" · "&amp;tblProductos[[#This Row],[Producto]]&amp;IF(tblProductos[[#This Row],[Activo]]="NO","  (inactivo)",""))</f>
        <v/>
      </c>
      <c r="M436" s="40" t="str">
        <f>IF(tblProductos[[#This Row],[SKU]]="","",COUNTIF(tblEntradas[SKU],tblProductos[[#This Row],[SKU]])+COUNTIF(tblSalidas[SKU],tblProductos[[#This Row],[SKU]]))</f>
        <v/>
      </c>
      <c r="N43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7" spans="2:14" x14ac:dyDescent="0.25">
      <c r="B437" s="38"/>
      <c r="C437" s="38"/>
      <c r="D437" s="38"/>
      <c r="E437" s="39"/>
      <c r="F437" s="45"/>
      <c r="G437" s="45"/>
      <c r="H437" s="46"/>
      <c r="I437" s="38"/>
      <c r="J437" s="39"/>
      <c r="K437" s="39"/>
      <c r="L437" s="47" t="str">
        <f>IF(OR(tblProductos[[#This Row],[SKU]]="",tblProductos[[#This Row],[Producto]]=""),"",tblProductos[[#This Row],[SKU]]&amp;" · "&amp;tblProductos[[#This Row],[Producto]]&amp;IF(tblProductos[[#This Row],[Activo]]="NO","  (inactivo)",""))</f>
        <v/>
      </c>
      <c r="M437" s="40" t="str">
        <f>IF(tblProductos[[#This Row],[SKU]]="","",COUNTIF(tblEntradas[SKU],tblProductos[[#This Row],[SKU]])+COUNTIF(tblSalidas[SKU],tblProductos[[#This Row],[SKU]]))</f>
        <v/>
      </c>
      <c r="N43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8" spans="2:14" x14ac:dyDescent="0.25">
      <c r="B438" s="38"/>
      <c r="C438" s="38"/>
      <c r="D438" s="38"/>
      <c r="E438" s="39"/>
      <c r="F438" s="45"/>
      <c r="G438" s="45"/>
      <c r="H438" s="46"/>
      <c r="I438" s="38"/>
      <c r="J438" s="39"/>
      <c r="K438" s="39"/>
      <c r="L438" s="47" t="str">
        <f>IF(OR(tblProductos[[#This Row],[SKU]]="",tblProductos[[#This Row],[Producto]]=""),"",tblProductos[[#This Row],[SKU]]&amp;" · "&amp;tblProductos[[#This Row],[Producto]]&amp;IF(tblProductos[[#This Row],[Activo]]="NO","  (inactivo)",""))</f>
        <v/>
      </c>
      <c r="M438" s="40" t="str">
        <f>IF(tblProductos[[#This Row],[SKU]]="","",COUNTIF(tblEntradas[SKU],tblProductos[[#This Row],[SKU]])+COUNTIF(tblSalidas[SKU],tblProductos[[#This Row],[SKU]]))</f>
        <v/>
      </c>
      <c r="N43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9" spans="2:14" x14ac:dyDescent="0.25">
      <c r="B439" s="38"/>
      <c r="C439" s="38"/>
      <c r="D439" s="38"/>
      <c r="E439" s="39"/>
      <c r="F439" s="45"/>
      <c r="G439" s="45"/>
      <c r="H439" s="46"/>
      <c r="I439" s="38"/>
      <c r="J439" s="39"/>
      <c r="K439" s="39"/>
      <c r="L439" s="47" t="str">
        <f>IF(OR(tblProductos[[#This Row],[SKU]]="",tblProductos[[#This Row],[Producto]]=""),"",tblProductos[[#This Row],[SKU]]&amp;" · "&amp;tblProductos[[#This Row],[Producto]]&amp;IF(tblProductos[[#This Row],[Activo]]="NO","  (inactivo)",""))</f>
        <v/>
      </c>
      <c r="M439" s="40" t="str">
        <f>IF(tblProductos[[#This Row],[SKU]]="","",COUNTIF(tblEntradas[SKU],tblProductos[[#This Row],[SKU]])+COUNTIF(tblSalidas[SKU],tblProductos[[#This Row],[SKU]]))</f>
        <v/>
      </c>
      <c r="N43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0" spans="2:14" x14ac:dyDescent="0.25">
      <c r="B440" s="38"/>
      <c r="C440" s="38"/>
      <c r="D440" s="38"/>
      <c r="E440" s="39"/>
      <c r="F440" s="45"/>
      <c r="G440" s="45"/>
      <c r="H440" s="46"/>
      <c r="I440" s="38"/>
      <c r="J440" s="39"/>
      <c r="K440" s="39"/>
      <c r="L440" s="47" t="str">
        <f>IF(OR(tblProductos[[#This Row],[SKU]]="",tblProductos[[#This Row],[Producto]]=""),"",tblProductos[[#This Row],[SKU]]&amp;" · "&amp;tblProductos[[#This Row],[Producto]]&amp;IF(tblProductos[[#This Row],[Activo]]="NO","  (inactivo)",""))</f>
        <v/>
      </c>
      <c r="M440" s="40" t="str">
        <f>IF(tblProductos[[#This Row],[SKU]]="","",COUNTIF(tblEntradas[SKU],tblProductos[[#This Row],[SKU]])+COUNTIF(tblSalidas[SKU],tblProductos[[#This Row],[SKU]]))</f>
        <v/>
      </c>
      <c r="N44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1" spans="2:14" x14ac:dyDescent="0.25">
      <c r="B441" s="38"/>
      <c r="C441" s="38"/>
      <c r="D441" s="38"/>
      <c r="E441" s="39"/>
      <c r="F441" s="45"/>
      <c r="G441" s="45"/>
      <c r="H441" s="46"/>
      <c r="I441" s="38"/>
      <c r="J441" s="39"/>
      <c r="K441" s="39"/>
      <c r="L441" s="47" t="str">
        <f>IF(OR(tblProductos[[#This Row],[SKU]]="",tblProductos[[#This Row],[Producto]]=""),"",tblProductos[[#This Row],[SKU]]&amp;" · "&amp;tblProductos[[#This Row],[Producto]]&amp;IF(tblProductos[[#This Row],[Activo]]="NO","  (inactivo)",""))</f>
        <v/>
      </c>
      <c r="M441" s="40" t="str">
        <f>IF(tblProductos[[#This Row],[SKU]]="","",COUNTIF(tblEntradas[SKU],tblProductos[[#This Row],[SKU]])+COUNTIF(tblSalidas[SKU],tblProductos[[#This Row],[SKU]]))</f>
        <v/>
      </c>
      <c r="N44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2" spans="2:14" x14ac:dyDescent="0.25">
      <c r="B442" s="38"/>
      <c r="C442" s="38"/>
      <c r="D442" s="38"/>
      <c r="E442" s="39"/>
      <c r="F442" s="45"/>
      <c r="G442" s="45"/>
      <c r="H442" s="46"/>
      <c r="I442" s="38"/>
      <c r="J442" s="39"/>
      <c r="K442" s="39"/>
      <c r="L442" s="47" t="str">
        <f>IF(OR(tblProductos[[#This Row],[SKU]]="",tblProductos[[#This Row],[Producto]]=""),"",tblProductos[[#This Row],[SKU]]&amp;" · "&amp;tblProductos[[#This Row],[Producto]]&amp;IF(tblProductos[[#This Row],[Activo]]="NO","  (inactivo)",""))</f>
        <v/>
      </c>
      <c r="M442" s="40" t="str">
        <f>IF(tblProductos[[#This Row],[SKU]]="","",COUNTIF(tblEntradas[SKU],tblProductos[[#This Row],[SKU]])+COUNTIF(tblSalidas[SKU],tblProductos[[#This Row],[SKU]]))</f>
        <v/>
      </c>
      <c r="N44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3" spans="2:14" x14ac:dyDescent="0.25">
      <c r="B443" s="38"/>
      <c r="C443" s="38"/>
      <c r="D443" s="38"/>
      <c r="E443" s="39"/>
      <c r="F443" s="45"/>
      <c r="G443" s="45"/>
      <c r="H443" s="46"/>
      <c r="I443" s="38"/>
      <c r="J443" s="39"/>
      <c r="K443" s="39"/>
      <c r="L443" s="47" t="str">
        <f>IF(OR(tblProductos[[#This Row],[SKU]]="",tblProductos[[#This Row],[Producto]]=""),"",tblProductos[[#This Row],[SKU]]&amp;" · "&amp;tblProductos[[#This Row],[Producto]]&amp;IF(tblProductos[[#This Row],[Activo]]="NO","  (inactivo)",""))</f>
        <v/>
      </c>
      <c r="M443" s="40" t="str">
        <f>IF(tblProductos[[#This Row],[SKU]]="","",COUNTIF(tblEntradas[SKU],tblProductos[[#This Row],[SKU]])+COUNTIF(tblSalidas[SKU],tblProductos[[#This Row],[SKU]]))</f>
        <v/>
      </c>
      <c r="N44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4" spans="2:14" x14ac:dyDescent="0.25">
      <c r="B444" s="38"/>
      <c r="C444" s="38"/>
      <c r="D444" s="38"/>
      <c r="E444" s="39"/>
      <c r="F444" s="45"/>
      <c r="G444" s="45"/>
      <c r="H444" s="46"/>
      <c r="I444" s="38"/>
      <c r="J444" s="39"/>
      <c r="K444" s="39"/>
      <c r="L444" s="47" t="str">
        <f>IF(OR(tblProductos[[#This Row],[SKU]]="",tblProductos[[#This Row],[Producto]]=""),"",tblProductos[[#This Row],[SKU]]&amp;" · "&amp;tblProductos[[#This Row],[Producto]]&amp;IF(tblProductos[[#This Row],[Activo]]="NO","  (inactivo)",""))</f>
        <v/>
      </c>
      <c r="M444" s="40" t="str">
        <f>IF(tblProductos[[#This Row],[SKU]]="","",COUNTIF(tblEntradas[SKU],tblProductos[[#This Row],[SKU]])+COUNTIF(tblSalidas[SKU],tblProductos[[#This Row],[SKU]]))</f>
        <v/>
      </c>
      <c r="N44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5" spans="2:14" x14ac:dyDescent="0.25">
      <c r="B445" s="38"/>
      <c r="C445" s="38"/>
      <c r="D445" s="38"/>
      <c r="E445" s="39"/>
      <c r="F445" s="45"/>
      <c r="G445" s="45"/>
      <c r="H445" s="46"/>
      <c r="I445" s="38"/>
      <c r="J445" s="39"/>
      <c r="K445" s="39"/>
      <c r="L445" s="47" t="str">
        <f>IF(OR(tblProductos[[#This Row],[SKU]]="",tblProductos[[#This Row],[Producto]]=""),"",tblProductos[[#This Row],[SKU]]&amp;" · "&amp;tblProductos[[#This Row],[Producto]]&amp;IF(tblProductos[[#This Row],[Activo]]="NO","  (inactivo)",""))</f>
        <v/>
      </c>
      <c r="M445" s="40" t="str">
        <f>IF(tblProductos[[#This Row],[SKU]]="","",COUNTIF(tblEntradas[SKU],tblProductos[[#This Row],[SKU]])+COUNTIF(tblSalidas[SKU],tblProductos[[#This Row],[SKU]]))</f>
        <v/>
      </c>
      <c r="N44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6" spans="2:14" x14ac:dyDescent="0.25">
      <c r="B446" s="38"/>
      <c r="C446" s="38"/>
      <c r="D446" s="38"/>
      <c r="E446" s="39"/>
      <c r="F446" s="45"/>
      <c r="G446" s="45"/>
      <c r="H446" s="46"/>
      <c r="I446" s="38"/>
      <c r="J446" s="39"/>
      <c r="K446" s="39"/>
      <c r="L446" s="47" t="str">
        <f>IF(OR(tblProductos[[#This Row],[SKU]]="",tblProductos[[#This Row],[Producto]]=""),"",tblProductos[[#This Row],[SKU]]&amp;" · "&amp;tblProductos[[#This Row],[Producto]]&amp;IF(tblProductos[[#This Row],[Activo]]="NO","  (inactivo)",""))</f>
        <v/>
      </c>
      <c r="M446" s="40" t="str">
        <f>IF(tblProductos[[#This Row],[SKU]]="","",COUNTIF(tblEntradas[SKU],tblProductos[[#This Row],[SKU]])+COUNTIF(tblSalidas[SKU],tblProductos[[#This Row],[SKU]]))</f>
        <v/>
      </c>
      <c r="N44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7" spans="2:14" x14ac:dyDescent="0.25">
      <c r="B447" s="38"/>
      <c r="C447" s="38"/>
      <c r="D447" s="38"/>
      <c r="E447" s="39"/>
      <c r="F447" s="45"/>
      <c r="G447" s="45"/>
      <c r="H447" s="46"/>
      <c r="I447" s="38"/>
      <c r="J447" s="39"/>
      <c r="K447" s="39"/>
      <c r="L447" s="47" t="str">
        <f>IF(OR(tblProductos[[#This Row],[SKU]]="",tblProductos[[#This Row],[Producto]]=""),"",tblProductos[[#This Row],[SKU]]&amp;" · "&amp;tblProductos[[#This Row],[Producto]]&amp;IF(tblProductos[[#This Row],[Activo]]="NO","  (inactivo)",""))</f>
        <v/>
      </c>
      <c r="M447" s="40" t="str">
        <f>IF(tblProductos[[#This Row],[SKU]]="","",COUNTIF(tblEntradas[SKU],tblProductos[[#This Row],[SKU]])+COUNTIF(tblSalidas[SKU],tblProductos[[#This Row],[SKU]]))</f>
        <v/>
      </c>
      <c r="N44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8" spans="2:14" x14ac:dyDescent="0.25">
      <c r="B448" s="38"/>
      <c r="C448" s="38"/>
      <c r="D448" s="38"/>
      <c r="E448" s="39"/>
      <c r="F448" s="45"/>
      <c r="G448" s="45"/>
      <c r="H448" s="46"/>
      <c r="I448" s="38"/>
      <c r="J448" s="39"/>
      <c r="K448" s="39"/>
      <c r="L448" s="47" t="str">
        <f>IF(OR(tblProductos[[#This Row],[SKU]]="",tblProductos[[#This Row],[Producto]]=""),"",tblProductos[[#This Row],[SKU]]&amp;" · "&amp;tblProductos[[#This Row],[Producto]]&amp;IF(tblProductos[[#This Row],[Activo]]="NO","  (inactivo)",""))</f>
        <v/>
      </c>
      <c r="M448" s="40" t="str">
        <f>IF(tblProductos[[#This Row],[SKU]]="","",COUNTIF(tblEntradas[SKU],tblProductos[[#This Row],[SKU]])+COUNTIF(tblSalidas[SKU],tblProductos[[#This Row],[SKU]]))</f>
        <v/>
      </c>
      <c r="N44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9" spans="2:14" x14ac:dyDescent="0.25">
      <c r="B449" s="38"/>
      <c r="C449" s="38"/>
      <c r="D449" s="38"/>
      <c r="E449" s="39"/>
      <c r="F449" s="45"/>
      <c r="G449" s="45"/>
      <c r="H449" s="46"/>
      <c r="I449" s="38"/>
      <c r="J449" s="39"/>
      <c r="K449" s="39"/>
      <c r="L449" s="47" t="str">
        <f>IF(OR(tblProductos[[#This Row],[SKU]]="",tblProductos[[#This Row],[Producto]]=""),"",tblProductos[[#This Row],[SKU]]&amp;" · "&amp;tblProductos[[#This Row],[Producto]]&amp;IF(tblProductos[[#This Row],[Activo]]="NO","  (inactivo)",""))</f>
        <v/>
      </c>
      <c r="M449" s="40" t="str">
        <f>IF(tblProductos[[#This Row],[SKU]]="","",COUNTIF(tblEntradas[SKU],tblProductos[[#This Row],[SKU]])+COUNTIF(tblSalidas[SKU],tblProductos[[#This Row],[SKU]]))</f>
        <v/>
      </c>
      <c r="N44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0" spans="2:14" x14ac:dyDescent="0.25">
      <c r="B450" s="38"/>
      <c r="C450" s="38"/>
      <c r="D450" s="38"/>
      <c r="E450" s="39"/>
      <c r="F450" s="45"/>
      <c r="G450" s="45"/>
      <c r="H450" s="46"/>
      <c r="I450" s="38"/>
      <c r="J450" s="39"/>
      <c r="K450" s="39"/>
      <c r="L450" s="47" t="str">
        <f>IF(OR(tblProductos[[#This Row],[SKU]]="",tblProductos[[#This Row],[Producto]]=""),"",tblProductos[[#This Row],[SKU]]&amp;" · "&amp;tblProductos[[#This Row],[Producto]]&amp;IF(tblProductos[[#This Row],[Activo]]="NO","  (inactivo)",""))</f>
        <v/>
      </c>
      <c r="M450" s="40" t="str">
        <f>IF(tblProductos[[#This Row],[SKU]]="","",COUNTIF(tblEntradas[SKU],tblProductos[[#This Row],[SKU]])+COUNTIF(tblSalidas[SKU],tblProductos[[#This Row],[SKU]]))</f>
        <v/>
      </c>
      <c r="N45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1" spans="2:14" x14ac:dyDescent="0.25">
      <c r="B451" s="38"/>
      <c r="C451" s="38"/>
      <c r="D451" s="38"/>
      <c r="E451" s="39"/>
      <c r="F451" s="45"/>
      <c r="G451" s="45"/>
      <c r="H451" s="46"/>
      <c r="I451" s="38"/>
      <c r="J451" s="39"/>
      <c r="K451" s="39"/>
      <c r="L451" s="47" t="str">
        <f>IF(OR(tblProductos[[#This Row],[SKU]]="",tblProductos[[#This Row],[Producto]]=""),"",tblProductos[[#This Row],[SKU]]&amp;" · "&amp;tblProductos[[#This Row],[Producto]]&amp;IF(tblProductos[[#This Row],[Activo]]="NO","  (inactivo)",""))</f>
        <v/>
      </c>
      <c r="M451" s="40" t="str">
        <f>IF(tblProductos[[#This Row],[SKU]]="","",COUNTIF(tblEntradas[SKU],tblProductos[[#This Row],[SKU]])+COUNTIF(tblSalidas[SKU],tblProductos[[#This Row],[SKU]]))</f>
        <v/>
      </c>
      <c r="N45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2" spans="2:14" x14ac:dyDescent="0.25">
      <c r="B452" s="38"/>
      <c r="C452" s="38"/>
      <c r="D452" s="38"/>
      <c r="E452" s="39"/>
      <c r="F452" s="45"/>
      <c r="G452" s="45"/>
      <c r="H452" s="46"/>
      <c r="I452" s="38"/>
      <c r="J452" s="39"/>
      <c r="K452" s="39"/>
      <c r="L452" s="47" t="str">
        <f>IF(OR(tblProductos[[#This Row],[SKU]]="",tblProductos[[#This Row],[Producto]]=""),"",tblProductos[[#This Row],[SKU]]&amp;" · "&amp;tblProductos[[#This Row],[Producto]]&amp;IF(tblProductos[[#This Row],[Activo]]="NO","  (inactivo)",""))</f>
        <v/>
      </c>
      <c r="M452" s="40" t="str">
        <f>IF(tblProductos[[#This Row],[SKU]]="","",COUNTIF(tblEntradas[SKU],tblProductos[[#This Row],[SKU]])+COUNTIF(tblSalidas[SKU],tblProductos[[#This Row],[SKU]]))</f>
        <v/>
      </c>
      <c r="N45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3" spans="2:14" x14ac:dyDescent="0.25">
      <c r="B453" s="38"/>
      <c r="C453" s="38"/>
      <c r="D453" s="38"/>
      <c r="E453" s="39"/>
      <c r="F453" s="45"/>
      <c r="G453" s="45"/>
      <c r="H453" s="46"/>
      <c r="I453" s="38"/>
      <c r="J453" s="39"/>
      <c r="K453" s="39"/>
      <c r="L453" s="47" t="str">
        <f>IF(OR(tblProductos[[#This Row],[SKU]]="",tblProductos[[#This Row],[Producto]]=""),"",tblProductos[[#This Row],[SKU]]&amp;" · "&amp;tblProductos[[#This Row],[Producto]]&amp;IF(tblProductos[[#This Row],[Activo]]="NO","  (inactivo)",""))</f>
        <v/>
      </c>
      <c r="M453" s="40" t="str">
        <f>IF(tblProductos[[#This Row],[SKU]]="","",COUNTIF(tblEntradas[SKU],tblProductos[[#This Row],[SKU]])+COUNTIF(tblSalidas[SKU],tblProductos[[#This Row],[SKU]]))</f>
        <v/>
      </c>
      <c r="N45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4" spans="2:14" x14ac:dyDescent="0.25">
      <c r="B454" s="38"/>
      <c r="C454" s="38"/>
      <c r="D454" s="38"/>
      <c r="E454" s="39"/>
      <c r="F454" s="45"/>
      <c r="G454" s="45"/>
      <c r="H454" s="46"/>
      <c r="I454" s="38"/>
      <c r="J454" s="39"/>
      <c r="K454" s="39"/>
      <c r="L454" s="47" t="str">
        <f>IF(OR(tblProductos[[#This Row],[SKU]]="",tblProductos[[#This Row],[Producto]]=""),"",tblProductos[[#This Row],[SKU]]&amp;" · "&amp;tblProductos[[#This Row],[Producto]]&amp;IF(tblProductos[[#This Row],[Activo]]="NO","  (inactivo)",""))</f>
        <v/>
      </c>
      <c r="M454" s="40" t="str">
        <f>IF(tblProductos[[#This Row],[SKU]]="","",COUNTIF(tblEntradas[SKU],tblProductos[[#This Row],[SKU]])+COUNTIF(tblSalidas[SKU],tblProductos[[#This Row],[SKU]]))</f>
        <v/>
      </c>
      <c r="N45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5" spans="2:14" x14ac:dyDescent="0.25">
      <c r="B455" s="38"/>
      <c r="C455" s="38"/>
      <c r="D455" s="38"/>
      <c r="E455" s="39"/>
      <c r="F455" s="45"/>
      <c r="G455" s="45"/>
      <c r="H455" s="46"/>
      <c r="I455" s="38"/>
      <c r="J455" s="39"/>
      <c r="K455" s="39"/>
      <c r="L455" s="47" t="str">
        <f>IF(OR(tblProductos[[#This Row],[SKU]]="",tblProductos[[#This Row],[Producto]]=""),"",tblProductos[[#This Row],[SKU]]&amp;" · "&amp;tblProductos[[#This Row],[Producto]]&amp;IF(tblProductos[[#This Row],[Activo]]="NO","  (inactivo)",""))</f>
        <v/>
      </c>
      <c r="M455" s="40" t="str">
        <f>IF(tblProductos[[#This Row],[SKU]]="","",COUNTIF(tblEntradas[SKU],tblProductos[[#This Row],[SKU]])+COUNTIF(tblSalidas[SKU],tblProductos[[#This Row],[SKU]]))</f>
        <v/>
      </c>
      <c r="N45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6" spans="2:14" x14ac:dyDescent="0.25">
      <c r="B456" s="38"/>
      <c r="C456" s="38"/>
      <c r="D456" s="38"/>
      <c r="E456" s="39"/>
      <c r="F456" s="45"/>
      <c r="G456" s="45"/>
      <c r="H456" s="46"/>
      <c r="I456" s="38"/>
      <c r="J456" s="39"/>
      <c r="K456" s="39"/>
      <c r="L456" s="47" t="str">
        <f>IF(OR(tblProductos[[#This Row],[SKU]]="",tblProductos[[#This Row],[Producto]]=""),"",tblProductos[[#This Row],[SKU]]&amp;" · "&amp;tblProductos[[#This Row],[Producto]]&amp;IF(tblProductos[[#This Row],[Activo]]="NO","  (inactivo)",""))</f>
        <v/>
      </c>
      <c r="M456" s="40" t="str">
        <f>IF(tblProductos[[#This Row],[SKU]]="","",COUNTIF(tblEntradas[SKU],tblProductos[[#This Row],[SKU]])+COUNTIF(tblSalidas[SKU],tblProductos[[#This Row],[SKU]]))</f>
        <v/>
      </c>
      <c r="N45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7" spans="2:14" x14ac:dyDescent="0.25">
      <c r="B457" s="38"/>
      <c r="C457" s="38"/>
      <c r="D457" s="38"/>
      <c r="E457" s="39"/>
      <c r="F457" s="45"/>
      <c r="G457" s="45"/>
      <c r="H457" s="46"/>
      <c r="I457" s="38"/>
      <c r="J457" s="39"/>
      <c r="K457" s="39"/>
      <c r="L457" s="47" t="str">
        <f>IF(OR(tblProductos[[#This Row],[SKU]]="",tblProductos[[#This Row],[Producto]]=""),"",tblProductos[[#This Row],[SKU]]&amp;" · "&amp;tblProductos[[#This Row],[Producto]]&amp;IF(tblProductos[[#This Row],[Activo]]="NO","  (inactivo)",""))</f>
        <v/>
      </c>
      <c r="M457" s="40" t="str">
        <f>IF(tblProductos[[#This Row],[SKU]]="","",COUNTIF(tblEntradas[SKU],tblProductos[[#This Row],[SKU]])+COUNTIF(tblSalidas[SKU],tblProductos[[#This Row],[SKU]]))</f>
        <v/>
      </c>
      <c r="N45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8" spans="2:14" x14ac:dyDescent="0.25">
      <c r="B458" s="38"/>
      <c r="C458" s="38"/>
      <c r="D458" s="38"/>
      <c r="E458" s="39"/>
      <c r="F458" s="45"/>
      <c r="G458" s="45"/>
      <c r="H458" s="46"/>
      <c r="I458" s="38"/>
      <c r="J458" s="39"/>
      <c r="K458" s="39"/>
      <c r="L458" s="47" t="str">
        <f>IF(OR(tblProductos[[#This Row],[SKU]]="",tblProductos[[#This Row],[Producto]]=""),"",tblProductos[[#This Row],[SKU]]&amp;" · "&amp;tblProductos[[#This Row],[Producto]]&amp;IF(tblProductos[[#This Row],[Activo]]="NO","  (inactivo)",""))</f>
        <v/>
      </c>
      <c r="M458" s="40" t="str">
        <f>IF(tblProductos[[#This Row],[SKU]]="","",COUNTIF(tblEntradas[SKU],tblProductos[[#This Row],[SKU]])+COUNTIF(tblSalidas[SKU],tblProductos[[#This Row],[SKU]]))</f>
        <v/>
      </c>
      <c r="N45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9" spans="2:14" x14ac:dyDescent="0.25">
      <c r="B459" s="38"/>
      <c r="C459" s="38"/>
      <c r="D459" s="38"/>
      <c r="E459" s="39"/>
      <c r="F459" s="45"/>
      <c r="G459" s="45"/>
      <c r="H459" s="46"/>
      <c r="I459" s="38"/>
      <c r="J459" s="39"/>
      <c r="K459" s="39"/>
      <c r="L459" s="47" t="str">
        <f>IF(OR(tblProductos[[#This Row],[SKU]]="",tblProductos[[#This Row],[Producto]]=""),"",tblProductos[[#This Row],[SKU]]&amp;" · "&amp;tblProductos[[#This Row],[Producto]]&amp;IF(tblProductos[[#This Row],[Activo]]="NO","  (inactivo)",""))</f>
        <v/>
      </c>
      <c r="M459" s="40" t="str">
        <f>IF(tblProductos[[#This Row],[SKU]]="","",COUNTIF(tblEntradas[SKU],tblProductos[[#This Row],[SKU]])+COUNTIF(tblSalidas[SKU],tblProductos[[#This Row],[SKU]]))</f>
        <v/>
      </c>
      <c r="N45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0" spans="2:14" x14ac:dyDescent="0.25">
      <c r="B460" s="38"/>
      <c r="C460" s="38"/>
      <c r="D460" s="38"/>
      <c r="E460" s="39"/>
      <c r="F460" s="45"/>
      <c r="G460" s="45"/>
      <c r="H460" s="46"/>
      <c r="I460" s="38"/>
      <c r="J460" s="39"/>
      <c r="K460" s="39"/>
      <c r="L460" s="47" t="str">
        <f>IF(OR(tblProductos[[#This Row],[SKU]]="",tblProductos[[#This Row],[Producto]]=""),"",tblProductos[[#This Row],[SKU]]&amp;" · "&amp;tblProductos[[#This Row],[Producto]]&amp;IF(tblProductos[[#This Row],[Activo]]="NO","  (inactivo)",""))</f>
        <v/>
      </c>
      <c r="M460" s="40" t="str">
        <f>IF(tblProductos[[#This Row],[SKU]]="","",COUNTIF(tblEntradas[SKU],tblProductos[[#This Row],[SKU]])+COUNTIF(tblSalidas[SKU],tblProductos[[#This Row],[SKU]]))</f>
        <v/>
      </c>
      <c r="N46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1" spans="2:14" x14ac:dyDescent="0.25">
      <c r="B461" s="38"/>
      <c r="C461" s="38"/>
      <c r="D461" s="38"/>
      <c r="E461" s="39"/>
      <c r="F461" s="45"/>
      <c r="G461" s="45"/>
      <c r="H461" s="46"/>
      <c r="I461" s="38"/>
      <c r="J461" s="39"/>
      <c r="K461" s="39"/>
      <c r="L461" s="47" t="str">
        <f>IF(OR(tblProductos[[#This Row],[SKU]]="",tblProductos[[#This Row],[Producto]]=""),"",tblProductos[[#This Row],[SKU]]&amp;" · "&amp;tblProductos[[#This Row],[Producto]]&amp;IF(tblProductos[[#This Row],[Activo]]="NO","  (inactivo)",""))</f>
        <v/>
      </c>
      <c r="M461" s="40" t="str">
        <f>IF(tblProductos[[#This Row],[SKU]]="","",COUNTIF(tblEntradas[SKU],tblProductos[[#This Row],[SKU]])+COUNTIF(tblSalidas[SKU],tblProductos[[#This Row],[SKU]]))</f>
        <v/>
      </c>
      <c r="N46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2" spans="2:14" x14ac:dyDescent="0.25">
      <c r="B462" s="38"/>
      <c r="C462" s="38"/>
      <c r="D462" s="38"/>
      <c r="E462" s="39"/>
      <c r="F462" s="45"/>
      <c r="G462" s="45"/>
      <c r="H462" s="46"/>
      <c r="I462" s="38"/>
      <c r="J462" s="39"/>
      <c r="K462" s="39"/>
      <c r="L462" s="47" t="str">
        <f>IF(OR(tblProductos[[#This Row],[SKU]]="",tblProductos[[#This Row],[Producto]]=""),"",tblProductos[[#This Row],[SKU]]&amp;" · "&amp;tblProductos[[#This Row],[Producto]]&amp;IF(tblProductos[[#This Row],[Activo]]="NO","  (inactivo)",""))</f>
        <v/>
      </c>
      <c r="M462" s="40" t="str">
        <f>IF(tblProductos[[#This Row],[SKU]]="","",COUNTIF(tblEntradas[SKU],tblProductos[[#This Row],[SKU]])+COUNTIF(tblSalidas[SKU],tblProductos[[#This Row],[SKU]]))</f>
        <v/>
      </c>
      <c r="N46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3" spans="2:14" x14ac:dyDescent="0.25">
      <c r="B463" s="38"/>
      <c r="C463" s="38"/>
      <c r="D463" s="38"/>
      <c r="E463" s="39"/>
      <c r="F463" s="45"/>
      <c r="G463" s="45"/>
      <c r="H463" s="46"/>
      <c r="I463" s="38"/>
      <c r="J463" s="39"/>
      <c r="K463" s="39"/>
      <c r="L463" s="47" t="str">
        <f>IF(OR(tblProductos[[#This Row],[SKU]]="",tblProductos[[#This Row],[Producto]]=""),"",tblProductos[[#This Row],[SKU]]&amp;" · "&amp;tblProductos[[#This Row],[Producto]]&amp;IF(tblProductos[[#This Row],[Activo]]="NO","  (inactivo)",""))</f>
        <v/>
      </c>
      <c r="M463" s="40" t="str">
        <f>IF(tblProductos[[#This Row],[SKU]]="","",COUNTIF(tblEntradas[SKU],tblProductos[[#This Row],[SKU]])+COUNTIF(tblSalidas[SKU],tblProductos[[#This Row],[SKU]]))</f>
        <v/>
      </c>
      <c r="N46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4" spans="2:14" x14ac:dyDescent="0.25">
      <c r="B464" s="38"/>
      <c r="C464" s="38"/>
      <c r="D464" s="38"/>
      <c r="E464" s="39"/>
      <c r="F464" s="45"/>
      <c r="G464" s="45"/>
      <c r="H464" s="46"/>
      <c r="I464" s="38"/>
      <c r="J464" s="39"/>
      <c r="K464" s="39"/>
      <c r="L464" s="47" t="str">
        <f>IF(OR(tblProductos[[#This Row],[SKU]]="",tblProductos[[#This Row],[Producto]]=""),"",tblProductos[[#This Row],[SKU]]&amp;" · "&amp;tblProductos[[#This Row],[Producto]]&amp;IF(tblProductos[[#This Row],[Activo]]="NO","  (inactivo)",""))</f>
        <v/>
      </c>
      <c r="M464" s="40" t="str">
        <f>IF(tblProductos[[#This Row],[SKU]]="","",COUNTIF(tblEntradas[SKU],tblProductos[[#This Row],[SKU]])+COUNTIF(tblSalidas[SKU],tblProductos[[#This Row],[SKU]]))</f>
        <v/>
      </c>
      <c r="N46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5" spans="2:14" x14ac:dyDescent="0.25">
      <c r="B465" s="38"/>
      <c r="C465" s="38"/>
      <c r="D465" s="38"/>
      <c r="E465" s="39"/>
      <c r="F465" s="45"/>
      <c r="G465" s="45"/>
      <c r="H465" s="46"/>
      <c r="I465" s="38"/>
      <c r="J465" s="39"/>
      <c r="K465" s="39"/>
      <c r="L465" s="47" t="str">
        <f>IF(OR(tblProductos[[#This Row],[SKU]]="",tblProductos[[#This Row],[Producto]]=""),"",tblProductos[[#This Row],[SKU]]&amp;" · "&amp;tblProductos[[#This Row],[Producto]]&amp;IF(tblProductos[[#This Row],[Activo]]="NO","  (inactivo)",""))</f>
        <v/>
      </c>
      <c r="M465" s="40" t="str">
        <f>IF(tblProductos[[#This Row],[SKU]]="","",COUNTIF(tblEntradas[SKU],tblProductos[[#This Row],[SKU]])+COUNTIF(tblSalidas[SKU],tblProductos[[#This Row],[SKU]]))</f>
        <v/>
      </c>
      <c r="N46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6" spans="2:14" x14ac:dyDescent="0.25">
      <c r="B466" s="38"/>
      <c r="C466" s="38"/>
      <c r="D466" s="38"/>
      <c r="E466" s="39"/>
      <c r="F466" s="45"/>
      <c r="G466" s="45"/>
      <c r="H466" s="46"/>
      <c r="I466" s="38"/>
      <c r="J466" s="39"/>
      <c r="K466" s="39"/>
      <c r="L466" s="47" t="str">
        <f>IF(OR(tblProductos[[#This Row],[SKU]]="",tblProductos[[#This Row],[Producto]]=""),"",tblProductos[[#This Row],[SKU]]&amp;" · "&amp;tblProductos[[#This Row],[Producto]]&amp;IF(tblProductos[[#This Row],[Activo]]="NO","  (inactivo)",""))</f>
        <v/>
      </c>
      <c r="M466" s="40" t="str">
        <f>IF(tblProductos[[#This Row],[SKU]]="","",COUNTIF(tblEntradas[SKU],tblProductos[[#This Row],[SKU]])+COUNTIF(tblSalidas[SKU],tblProductos[[#This Row],[SKU]]))</f>
        <v/>
      </c>
      <c r="N46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7" spans="2:14" x14ac:dyDescent="0.25">
      <c r="B467" s="38"/>
      <c r="C467" s="38"/>
      <c r="D467" s="38"/>
      <c r="E467" s="39"/>
      <c r="F467" s="45"/>
      <c r="G467" s="45"/>
      <c r="H467" s="46"/>
      <c r="I467" s="38"/>
      <c r="J467" s="39"/>
      <c r="K467" s="39"/>
      <c r="L467" s="47" t="str">
        <f>IF(OR(tblProductos[[#This Row],[SKU]]="",tblProductos[[#This Row],[Producto]]=""),"",tblProductos[[#This Row],[SKU]]&amp;" · "&amp;tblProductos[[#This Row],[Producto]]&amp;IF(tblProductos[[#This Row],[Activo]]="NO","  (inactivo)",""))</f>
        <v/>
      </c>
      <c r="M467" s="40" t="str">
        <f>IF(tblProductos[[#This Row],[SKU]]="","",COUNTIF(tblEntradas[SKU],tblProductos[[#This Row],[SKU]])+COUNTIF(tblSalidas[SKU],tblProductos[[#This Row],[SKU]]))</f>
        <v/>
      </c>
      <c r="N46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8" spans="2:14" x14ac:dyDescent="0.25">
      <c r="B468" s="38"/>
      <c r="C468" s="38"/>
      <c r="D468" s="38"/>
      <c r="E468" s="39"/>
      <c r="F468" s="45"/>
      <c r="G468" s="45"/>
      <c r="H468" s="46"/>
      <c r="I468" s="38"/>
      <c r="J468" s="39"/>
      <c r="K468" s="39"/>
      <c r="L468" s="47" t="str">
        <f>IF(OR(tblProductos[[#This Row],[SKU]]="",tblProductos[[#This Row],[Producto]]=""),"",tblProductos[[#This Row],[SKU]]&amp;" · "&amp;tblProductos[[#This Row],[Producto]]&amp;IF(tblProductos[[#This Row],[Activo]]="NO","  (inactivo)",""))</f>
        <v/>
      </c>
      <c r="M468" s="40" t="str">
        <f>IF(tblProductos[[#This Row],[SKU]]="","",COUNTIF(tblEntradas[SKU],tblProductos[[#This Row],[SKU]])+COUNTIF(tblSalidas[SKU],tblProductos[[#This Row],[SKU]]))</f>
        <v/>
      </c>
      <c r="N46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9" spans="2:14" x14ac:dyDescent="0.25">
      <c r="B469" s="38"/>
      <c r="C469" s="38"/>
      <c r="D469" s="38"/>
      <c r="E469" s="39"/>
      <c r="F469" s="45"/>
      <c r="G469" s="45"/>
      <c r="H469" s="46"/>
      <c r="I469" s="38"/>
      <c r="J469" s="39"/>
      <c r="K469" s="39"/>
      <c r="L469" s="47" t="str">
        <f>IF(OR(tblProductos[[#This Row],[SKU]]="",tblProductos[[#This Row],[Producto]]=""),"",tblProductos[[#This Row],[SKU]]&amp;" · "&amp;tblProductos[[#This Row],[Producto]]&amp;IF(tblProductos[[#This Row],[Activo]]="NO","  (inactivo)",""))</f>
        <v/>
      </c>
      <c r="M469" s="40" t="str">
        <f>IF(tblProductos[[#This Row],[SKU]]="","",COUNTIF(tblEntradas[SKU],tblProductos[[#This Row],[SKU]])+COUNTIF(tblSalidas[SKU],tblProductos[[#This Row],[SKU]]))</f>
        <v/>
      </c>
      <c r="N46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0" spans="2:14" x14ac:dyDescent="0.25">
      <c r="B470" s="38"/>
      <c r="C470" s="38"/>
      <c r="D470" s="38"/>
      <c r="E470" s="39"/>
      <c r="F470" s="45"/>
      <c r="G470" s="45"/>
      <c r="H470" s="46"/>
      <c r="I470" s="38"/>
      <c r="J470" s="39"/>
      <c r="K470" s="39"/>
      <c r="L470" s="47" t="str">
        <f>IF(OR(tblProductos[[#This Row],[SKU]]="",tblProductos[[#This Row],[Producto]]=""),"",tblProductos[[#This Row],[SKU]]&amp;" · "&amp;tblProductos[[#This Row],[Producto]]&amp;IF(tblProductos[[#This Row],[Activo]]="NO","  (inactivo)",""))</f>
        <v/>
      </c>
      <c r="M470" s="40" t="str">
        <f>IF(tblProductos[[#This Row],[SKU]]="","",COUNTIF(tblEntradas[SKU],tblProductos[[#This Row],[SKU]])+COUNTIF(tblSalidas[SKU],tblProductos[[#This Row],[SKU]]))</f>
        <v/>
      </c>
      <c r="N47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1" spans="2:14" x14ac:dyDescent="0.25">
      <c r="B471" s="38"/>
      <c r="C471" s="38"/>
      <c r="D471" s="38"/>
      <c r="E471" s="39"/>
      <c r="F471" s="45"/>
      <c r="G471" s="45"/>
      <c r="H471" s="46"/>
      <c r="I471" s="38"/>
      <c r="J471" s="39"/>
      <c r="K471" s="39"/>
      <c r="L471" s="47" t="str">
        <f>IF(OR(tblProductos[[#This Row],[SKU]]="",tblProductos[[#This Row],[Producto]]=""),"",tblProductos[[#This Row],[SKU]]&amp;" · "&amp;tblProductos[[#This Row],[Producto]]&amp;IF(tblProductos[[#This Row],[Activo]]="NO","  (inactivo)",""))</f>
        <v/>
      </c>
      <c r="M471" s="40" t="str">
        <f>IF(tblProductos[[#This Row],[SKU]]="","",COUNTIF(tblEntradas[SKU],tblProductos[[#This Row],[SKU]])+COUNTIF(tblSalidas[SKU],tblProductos[[#This Row],[SKU]]))</f>
        <v/>
      </c>
      <c r="N47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2" spans="2:14" x14ac:dyDescent="0.25">
      <c r="B472" s="38"/>
      <c r="C472" s="38"/>
      <c r="D472" s="38"/>
      <c r="E472" s="39"/>
      <c r="F472" s="45"/>
      <c r="G472" s="45"/>
      <c r="H472" s="46"/>
      <c r="I472" s="38"/>
      <c r="J472" s="39"/>
      <c r="K472" s="39"/>
      <c r="L472" s="47" t="str">
        <f>IF(OR(tblProductos[[#This Row],[SKU]]="",tblProductos[[#This Row],[Producto]]=""),"",tblProductos[[#This Row],[SKU]]&amp;" · "&amp;tblProductos[[#This Row],[Producto]]&amp;IF(tblProductos[[#This Row],[Activo]]="NO","  (inactivo)",""))</f>
        <v/>
      </c>
      <c r="M472" s="40" t="str">
        <f>IF(tblProductos[[#This Row],[SKU]]="","",COUNTIF(tblEntradas[SKU],tblProductos[[#This Row],[SKU]])+COUNTIF(tblSalidas[SKU],tblProductos[[#This Row],[SKU]]))</f>
        <v/>
      </c>
      <c r="N47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3" spans="2:14" x14ac:dyDescent="0.25">
      <c r="B473" s="38"/>
      <c r="C473" s="38"/>
      <c r="D473" s="38"/>
      <c r="E473" s="39"/>
      <c r="F473" s="45"/>
      <c r="G473" s="45"/>
      <c r="H473" s="46"/>
      <c r="I473" s="38"/>
      <c r="J473" s="39"/>
      <c r="K473" s="39"/>
      <c r="L473" s="47" t="str">
        <f>IF(OR(tblProductos[[#This Row],[SKU]]="",tblProductos[[#This Row],[Producto]]=""),"",tblProductos[[#This Row],[SKU]]&amp;" · "&amp;tblProductos[[#This Row],[Producto]]&amp;IF(tblProductos[[#This Row],[Activo]]="NO","  (inactivo)",""))</f>
        <v/>
      </c>
      <c r="M473" s="40" t="str">
        <f>IF(tblProductos[[#This Row],[SKU]]="","",COUNTIF(tblEntradas[SKU],tblProductos[[#This Row],[SKU]])+COUNTIF(tblSalidas[SKU],tblProductos[[#This Row],[SKU]]))</f>
        <v/>
      </c>
      <c r="N47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4" spans="2:14" x14ac:dyDescent="0.25">
      <c r="B474" s="38"/>
      <c r="C474" s="38"/>
      <c r="D474" s="38"/>
      <c r="E474" s="39"/>
      <c r="F474" s="45"/>
      <c r="G474" s="45"/>
      <c r="H474" s="46"/>
      <c r="I474" s="38"/>
      <c r="J474" s="39"/>
      <c r="K474" s="39"/>
      <c r="L474" s="47" t="str">
        <f>IF(OR(tblProductos[[#This Row],[SKU]]="",tblProductos[[#This Row],[Producto]]=""),"",tblProductos[[#This Row],[SKU]]&amp;" · "&amp;tblProductos[[#This Row],[Producto]]&amp;IF(tblProductos[[#This Row],[Activo]]="NO","  (inactivo)",""))</f>
        <v/>
      </c>
      <c r="M474" s="40" t="str">
        <f>IF(tblProductos[[#This Row],[SKU]]="","",COUNTIF(tblEntradas[SKU],tblProductos[[#This Row],[SKU]])+COUNTIF(tblSalidas[SKU],tblProductos[[#This Row],[SKU]]))</f>
        <v/>
      </c>
      <c r="N47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5" spans="2:14" x14ac:dyDescent="0.25">
      <c r="B475" s="38"/>
      <c r="C475" s="38"/>
      <c r="D475" s="38"/>
      <c r="E475" s="39"/>
      <c r="F475" s="45"/>
      <c r="G475" s="45"/>
      <c r="H475" s="46"/>
      <c r="I475" s="38"/>
      <c r="J475" s="39"/>
      <c r="K475" s="39"/>
      <c r="L475" s="47" t="str">
        <f>IF(OR(tblProductos[[#This Row],[SKU]]="",tblProductos[[#This Row],[Producto]]=""),"",tblProductos[[#This Row],[SKU]]&amp;" · "&amp;tblProductos[[#This Row],[Producto]]&amp;IF(tblProductos[[#This Row],[Activo]]="NO","  (inactivo)",""))</f>
        <v/>
      </c>
      <c r="M475" s="40" t="str">
        <f>IF(tblProductos[[#This Row],[SKU]]="","",COUNTIF(tblEntradas[SKU],tblProductos[[#This Row],[SKU]])+COUNTIF(tblSalidas[SKU],tblProductos[[#This Row],[SKU]]))</f>
        <v/>
      </c>
      <c r="N47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6" spans="2:14" x14ac:dyDescent="0.25">
      <c r="B476" s="38"/>
      <c r="C476" s="38"/>
      <c r="D476" s="38"/>
      <c r="E476" s="39"/>
      <c r="F476" s="45"/>
      <c r="G476" s="45"/>
      <c r="H476" s="46"/>
      <c r="I476" s="38"/>
      <c r="J476" s="39"/>
      <c r="K476" s="39"/>
      <c r="L476" s="47" t="str">
        <f>IF(OR(tblProductos[[#This Row],[SKU]]="",tblProductos[[#This Row],[Producto]]=""),"",tblProductos[[#This Row],[SKU]]&amp;" · "&amp;tblProductos[[#This Row],[Producto]]&amp;IF(tblProductos[[#This Row],[Activo]]="NO","  (inactivo)",""))</f>
        <v/>
      </c>
      <c r="M476" s="40" t="str">
        <f>IF(tblProductos[[#This Row],[SKU]]="","",COUNTIF(tblEntradas[SKU],tblProductos[[#This Row],[SKU]])+COUNTIF(tblSalidas[SKU],tblProductos[[#This Row],[SKU]]))</f>
        <v/>
      </c>
      <c r="N47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7" spans="2:14" x14ac:dyDescent="0.25">
      <c r="B477" s="38"/>
      <c r="C477" s="38"/>
      <c r="D477" s="38"/>
      <c r="E477" s="39"/>
      <c r="F477" s="45"/>
      <c r="G477" s="45"/>
      <c r="H477" s="46"/>
      <c r="I477" s="38"/>
      <c r="J477" s="39"/>
      <c r="K477" s="39"/>
      <c r="L477" s="47" t="str">
        <f>IF(OR(tblProductos[[#This Row],[SKU]]="",tblProductos[[#This Row],[Producto]]=""),"",tblProductos[[#This Row],[SKU]]&amp;" · "&amp;tblProductos[[#This Row],[Producto]]&amp;IF(tblProductos[[#This Row],[Activo]]="NO","  (inactivo)",""))</f>
        <v/>
      </c>
      <c r="M477" s="40" t="str">
        <f>IF(tblProductos[[#This Row],[SKU]]="","",COUNTIF(tblEntradas[SKU],tblProductos[[#This Row],[SKU]])+COUNTIF(tblSalidas[SKU],tblProductos[[#This Row],[SKU]]))</f>
        <v/>
      </c>
      <c r="N47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8" spans="2:14" x14ac:dyDescent="0.25">
      <c r="B478" s="38"/>
      <c r="C478" s="38"/>
      <c r="D478" s="38"/>
      <c r="E478" s="39"/>
      <c r="F478" s="45"/>
      <c r="G478" s="45"/>
      <c r="H478" s="46"/>
      <c r="I478" s="38"/>
      <c r="J478" s="39"/>
      <c r="K478" s="39"/>
      <c r="L478" s="47" t="str">
        <f>IF(OR(tblProductos[[#This Row],[SKU]]="",tblProductos[[#This Row],[Producto]]=""),"",tblProductos[[#This Row],[SKU]]&amp;" · "&amp;tblProductos[[#This Row],[Producto]]&amp;IF(tblProductos[[#This Row],[Activo]]="NO","  (inactivo)",""))</f>
        <v/>
      </c>
      <c r="M478" s="40" t="str">
        <f>IF(tblProductos[[#This Row],[SKU]]="","",COUNTIF(tblEntradas[SKU],tblProductos[[#This Row],[SKU]])+COUNTIF(tblSalidas[SKU],tblProductos[[#This Row],[SKU]]))</f>
        <v/>
      </c>
      <c r="N47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9" spans="2:14" x14ac:dyDescent="0.25">
      <c r="B479" s="38"/>
      <c r="C479" s="38"/>
      <c r="D479" s="38"/>
      <c r="E479" s="39"/>
      <c r="F479" s="45"/>
      <c r="G479" s="45"/>
      <c r="H479" s="46"/>
      <c r="I479" s="38"/>
      <c r="J479" s="39"/>
      <c r="K479" s="39"/>
      <c r="L479" s="47" t="str">
        <f>IF(OR(tblProductos[[#This Row],[SKU]]="",tblProductos[[#This Row],[Producto]]=""),"",tblProductos[[#This Row],[SKU]]&amp;" · "&amp;tblProductos[[#This Row],[Producto]]&amp;IF(tblProductos[[#This Row],[Activo]]="NO","  (inactivo)",""))</f>
        <v/>
      </c>
      <c r="M479" s="40" t="str">
        <f>IF(tblProductos[[#This Row],[SKU]]="","",COUNTIF(tblEntradas[SKU],tblProductos[[#This Row],[SKU]])+COUNTIF(tblSalidas[SKU],tblProductos[[#This Row],[SKU]]))</f>
        <v/>
      </c>
      <c r="N47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0" spans="2:14" x14ac:dyDescent="0.25">
      <c r="B480" s="38"/>
      <c r="C480" s="38"/>
      <c r="D480" s="38"/>
      <c r="E480" s="39"/>
      <c r="F480" s="45"/>
      <c r="G480" s="45"/>
      <c r="H480" s="46"/>
      <c r="I480" s="38"/>
      <c r="J480" s="39"/>
      <c r="K480" s="39"/>
      <c r="L480" s="47" t="str">
        <f>IF(OR(tblProductos[[#This Row],[SKU]]="",tblProductos[[#This Row],[Producto]]=""),"",tblProductos[[#This Row],[SKU]]&amp;" · "&amp;tblProductos[[#This Row],[Producto]]&amp;IF(tblProductos[[#This Row],[Activo]]="NO","  (inactivo)",""))</f>
        <v/>
      </c>
      <c r="M480" s="40" t="str">
        <f>IF(tblProductos[[#This Row],[SKU]]="","",COUNTIF(tblEntradas[SKU],tblProductos[[#This Row],[SKU]])+COUNTIF(tblSalidas[SKU],tblProductos[[#This Row],[SKU]]))</f>
        <v/>
      </c>
      <c r="N48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1" spans="2:14" x14ac:dyDescent="0.25">
      <c r="B481" s="38"/>
      <c r="C481" s="38"/>
      <c r="D481" s="38"/>
      <c r="E481" s="39"/>
      <c r="F481" s="45"/>
      <c r="G481" s="45"/>
      <c r="H481" s="46"/>
      <c r="I481" s="38"/>
      <c r="J481" s="39"/>
      <c r="K481" s="39"/>
      <c r="L481" s="47" t="str">
        <f>IF(OR(tblProductos[[#This Row],[SKU]]="",tblProductos[[#This Row],[Producto]]=""),"",tblProductos[[#This Row],[SKU]]&amp;" · "&amp;tblProductos[[#This Row],[Producto]]&amp;IF(tblProductos[[#This Row],[Activo]]="NO","  (inactivo)",""))</f>
        <v/>
      </c>
      <c r="M481" s="40" t="str">
        <f>IF(tblProductos[[#This Row],[SKU]]="","",COUNTIF(tblEntradas[SKU],tblProductos[[#This Row],[SKU]])+COUNTIF(tblSalidas[SKU],tblProductos[[#This Row],[SKU]]))</f>
        <v/>
      </c>
      <c r="N48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2" spans="2:14" x14ac:dyDescent="0.25">
      <c r="B482" s="38"/>
      <c r="C482" s="38"/>
      <c r="D482" s="38"/>
      <c r="E482" s="39"/>
      <c r="F482" s="45"/>
      <c r="G482" s="45"/>
      <c r="H482" s="46"/>
      <c r="I482" s="38"/>
      <c r="J482" s="39"/>
      <c r="K482" s="39"/>
      <c r="L482" s="47" t="str">
        <f>IF(OR(tblProductos[[#This Row],[SKU]]="",tblProductos[[#This Row],[Producto]]=""),"",tblProductos[[#This Row],[SKU]]&amp;" · "&amp;tblProductos[[#This Row],[Producto]]&amp;IF(tblProductos[[#This Row],[Activo]]="NO","  (inactivo)",""))</f>
        <v/>
      </c>
      <c r="M482" s="40" t="str">
        <f>IF(tblProductos[[#This Row],[SKU]]="","",COUNTIF(tblEntradas[SKU],tblProductos[[#This Row],[SKU]])+COUNTIF(tblSalidas[SKU],tblProductos[[#This Row],[SKU]]))</f>
        <v/>
      </c>
      <c r="N48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3" spans="2:14" x14ac:dyDescent="0.25">
      <c r="B483" s="38"/>
      <c r="C483" s="38"/>
      <c r="D483" s="38"/>
      <c r="E483" s="39"/>
      <c r="F483" s="45"/>
      <c r="G483" s="45"/>
      <c r="H483" s="46"/>
      <c r="I483" s="38"/>
      <c r="J483" s="39"/>
      <c r="K483" s="39"/>
      <c r="L483" s="47" t="str">
        <f>IF(OR(tblProductos[[#This Row],[SKU]]="",tblProductos[[#This Row],[Producto]]=""),"",tblProductos[[#This Row],[SKU]]&amp;" · "&amp;tblProductos[[#This Row],[Producto]]&amp;IF(tblProductos[[#This Row],[Activo]]="NO","  (inactivo)",""))</f>
        <v/>
      </c>
      <c r="M483" s="40" t="str">
        <f>IF(tblProductos[[#This Row],[SKU]]="","",COUNTIF(tblEntradas[SKU],tblProductos[[#This Row],[SKU]])+COUNTIF(tblSalidas[SKU],tblProductos[[#This Row],[SKU]]))</f>
        <v/>
      </c>
      <c r="N48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4" spans="2:14" x14ac:dyDescent="0.25">
      <c r="B484" s="38"/>
      <c r="C484" s="38"/>
      <c r="D484" s="38"/>
      <c r="E484" s="39"/>
      <c r="F484" s="45"/>
      <c r="G484" s="45"/>
      <c r="H484" s="46"/>
      <c r="I484" s="38"/>
      <c r="J484" s="39"/>
      <c r="K484" s="39"/>
      <c r="L484" s="47" t="str">
        <f>IF(OR(tblProductos[[#This Row],[SKU]]="",tblProductos[[#This Row],[Producto]]=""),"",tblProductos[[#This Row],[SKU]]&amp;" · "&amp;tblProductos[[#This Row],[Producto]]&amp;IF(tblProductos[[#This Row],[Activo]]="NO","  (inactivo)",""))</f>
        <v/>
      </c>
      <c r="M484" s="40" t="str">
        <f>IF(tblProductos[[#This Row],[SKU]]="","",COUNTIF(tblEntradas[SKU],tblProductos[[#This Row],[SKU]])+COUNTIF(tblSalidas[SKU],tblProductos[[#This Row],[SKU]]))</f>
        <v/>
      </c>
      <c r="N48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5" spans="2:14" x14ac:dyDescent="0.25">
      <c r="B485" s="38"/>
      <c r="C485" s="38"/>
      <c r="D485" s="38"/>
      <c r="E485" s="39"/>
      <c r="F485" s="45"/>
      <c r="G485" s="45"/>
      <c r="H485" s="46"/>
      <c r="I485" s="38"/>
      <c r="J485" s="39"/>
      <c r="K485" s="39"/>
      <c r="L485" s="47" t="str">
        <f>IF(OR(tblProductos[[#This Row],[SKU]]="",tblProductos[[#This Row],[Producto]]=""),"",tblProductos[[#This Row],[SKU]]&amp;" · "&amp;tblProductos[[#This Row],[Producto]]&amp;IF(tblProductos[[#This Row],[Activo]]="NO","  (inactivo)",""))</f>
        <v/>
      </c>
      <c r="M485" s="40" t="str">
        <f>IF(tblProductos[[#This Row],[SKU]]="","",COUNTIF(tblEntradas[SKU],tblProductos[[#This Row],[SKU]])+COUNTIF(tblSalidas[SKU],tblProductos[[#This Row],[SKU]]))</f>
        <v/>
      </c>
      <c r="N48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6" spans="2:14" x14ac:dyDescent="0.25">
      <c r="B486" s="38"/>
      <c r="C486" s="38"/>
      <c r="D486" s="38"/>
      <c r="E486" s="39"/>
      <c r="F486" s="45"/>
      <c r="G486" s="45"/>
      <c r="H486" s="46"/>
      <c r="I486" s="38"/>
      <c r="J486" s="39"/>
      <c r="K486" s="39"/>
      <c r="L486" s="47" t="str">
        <f>IF(OR(tblProductos[[#This Row],[SKU]]="",tblProductos[[#This Row],[Producto]]=""),"",tblProductos[[#This Row],[SKU]]&amp;" · "&amp;tblProductos[[#This Row],[Producto]]&amp;IF(tblProductos[[#This Row],[Activo]]="NO","  (inactivo)",""))</f>
        <v/>
      </c>
      <c r="M486" s="40" t="str">
        <f>IF(tblProductos[[#This Row],[SKU]]="","",COUNTIF(tblEntradas[SKU],tblProductos[[#This Row],[SKU]])+COUNTIF(tblSalidas[SKU],tblProductos[[#This Row],[SKU]]))</f>
        <v/>
      </c>
      <c r="N48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7" spans="2:14" x14ac:dyDescent="0.25">
      <c r="B487" s="38"/>
      <c r="C487" s="38"/>
      <c r="D487" s="38"/>
      <c r="E487" s="39"/>
      <c r="F487" s="45"/>
      <c r="G487" s="45"/>
      <c r="H487" s="46"/>
      <c r="I487" s="38"/>
      <c r="J487" s="39"/>
      <c r="K487" s="39"/>
      <c r="L487" s="47" t="str">
        <f>IF(OR(tblProductos[[#This Row],[SKU]]="",tblProductos[[#This Row],[Producto]]=""),"",tblProductos[[#This Row],[SKU]]&amp;" · "&amp;tblProductos[[#This Row],[Producto]]&amp;IF(tblProductos[[#This Row],[Activo]]="NO","  (inactivo)",""))</f>
        <v/>
      </c>
      <c r="M487" s="40" t="str">
        <f>IF(tblProductos[[#This Row],[SKU]]="","",COUNTIF(tblEntradas[SKU],tblProductos[[#This Row],[SKU]])+COUNTIF(tblSalidas[SKU],tblProductos[[#This Row],[SKU]]))</f>
        <v/>
      </c>
      <c r="N48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8" spans="2:14" x14ac:dyDescent="0.25">
      <c r="B488" s="38"/>
      <c r="C488" s="38"/>
      <c r="D488" s="38"/>
      <c r="E488" s="39"/>
      <c r="F488" s="45"/>
      <c r="G488" s="45"/>
      <c r="H488" s="46"/>
      <c r="I488" s="38"/>
      <c r="J488" s="39"/>
      <c r="K488" s="39"/>
      <c r="L488" s="47" t="str">
        <f>IF(OR(tblProductos[[#This Row],[SKU]]="",tblProductos[[#This Row],[Producto]]=""),"",tblProductos[[#This Row],[SKU]]&amp;" · "&amp;tblProductos[[#This Row],[Producto]]&amp;IF(tblProductos[[#This Row],[Activo]]="NO","  (inactivo)",""))</f>
        <v/>
      </c>
      <c r="M488" s="40" t="str">
        <f>IF(tblProductos[[#This Row],[SKU]]="","",COUNTIF(tblEntradas[SKU],tblProductos[[#This Row],[SKU]])+COUNTIF(tblSalidas[SKU],tblProductos[[#This Row],[SKU]]))</f>
        <v/>
      </c>
      <c r="N48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9" spans="2:14" x14ac:dyDescent="0.25">
      <c r="B489" s="38"/>
      <c r="C489" s="38"/>
      <c r="D489" s="38"/>
      <c r="E489" s="39"/>
      <c r="F489" s="45"/>
      <c r="G489" s="45"/>
      <c r="H489" s="46"/>
      <c r="I489" s="38"/>
      <c r="J489" s="39"/>
      <c r="K489" s="39"/>
      <c r="L489" s="47" t="str">
        <f>IF(OR(tblProductos[[#This Row],[SKU]]="",tblProductos[[#This Row],[Producto]]=""),"",tblProductos[[#This Row],[SKU]]&amp;" · "&amp;tblProductos[[#This Row],[Producto]]&amp;IF(tblProductos[[#This Row],[Activo]]="NO","  (inactivo)",""))</f>
        <v/>
      </c>
      <c r="M489" s="40" t="str">
        <f>IF(tblProductos[[#This Row],[SKU]]="","",COUNTIF(tblEntradas[SKU],tblProductos[[#This Row],[SKU]])+COUNTIF(tblSalidas[SKU],tblProductos[[#This Row],[SKU]]))</f>
        <v/>
      </c>
      <c r="N48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0" spans="2:14" x14ac:dyDescent="0.25">
      <c r="B490" s="38"/>
      <c r="C490" s="38"/>
      <c r="D490" s="38"/>
      <c r="E490" s="39"/>
      <c r="F490" s="45"/>
      <c r="G490" s="45"/>
      <c r="H490" s="46"/>
      <c r="I490" s="38"/>
      <c r="J490" s="39"/>
      <c r="K490" s="39"/>
      <c r="L490" s="47" t="str">
        <f>IF(OR(tblProductos[[#This Row],[SKU]]="",tblProductos[[#This Row],[Producto]]=""),"",tblProductos[[#This Row],[SKU]]&amp;" · "&amp;tblProductos[[#This Row],[Producto]]&amp;IF(tblProductos[[#This Row],[Activo]]="NO","  (inactivo)",""))</f>
        <v/>
      </c>
      <c r="M490" s="40" t="str">
        <f>IF(tblProductos[[#This Row],[SKU]]="","",COUNTIF(tblEntradas[SKU],tblProductos[[#This Row],[SKU]])+COUNTIF(tblSalidas[SKU],tblProductos[[#This Row],[SKU]]))</f>
        <v/>
      </c>
      <c r="N49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1" spans="2:14" x14ac:dyDescent="0.25">
      <c r="B491" s="38"/>
      <c r="C491" s="38"/>
      <c r="D491" s="38"/>
      <c r="E491" s="39"/>
      <c r="F491" s="45"/>
      <c r="G491" s="45"/>
      <c r="H491" s="46"/>
      <c r="I491" s="38"/>
      <c r="J491" s="39"/>
      <c r="K491" s="39"/>
      <c r="L491" s="47" t="str">
        <f>IF(OR(tblProductos[[#This Row],[SKU]]="",tblProductos[[#This Row],[Producto]]=""),"",tblProductos[[#This Row],[SKU]]&amp;" · "&amp;tblProductos[[#This Row],[Producto]]&amp;IF(tblProductos[[#This Row],[Activo]]="NO","  (inactivo)",""))</f>
        <v/>
      </c>
      <c r="M491" s="40" t="str">
        <f>IF(tblProductos[[#This Row],[SKU]]="","",COUNTIF(tblEntradas[SKU],tblProductos[[#This Row],[SKU]])+COUNTIF(tblSalidas[SKU],tblProductos[[#This Row],[SKU]]))</f>
        <v/>
      </c>
      <c r="N49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2" spans="2:14" x14ac:dyDescent="0.25">
      <c r="B492" s="38"/>
      <c r="C492" s="38"/>
      <c r="D492" s="38"/>
      <c r="E492" s="39"/>
      <c r="F492" s="45"/>
      <c r="G492" s="45"/>
      <c r="H492" s="46"/>
      <c r="I492" s="38"/>
      <c r="J492" s="39"/>
      <c r="K492" s="39"/>
      <c r="L492" s="47" t="str">
        <f>IF(OR(tblProductos[[#This Row],[SKU]]="",tblProductos[[#This Row],[Producto]]=""),"",tblProductos[[#This Row],[SKU]]&amp;" · "&amp;tblProductos[[#This Row],[Producto]]&amp;IF(tblProductos[[#This Row],[Activo]]="NO","  (inactivo)",""))</f>
        <v/>
      </c>
      <c r="M492" s="40" t="str">
        <f>IF(tblProductos[[#This Row],[SKU]]="","",COUNTIF(tblEntradas[SKU],tblProductos[[#This Row],[SKU]])+COUNTIF(tblSalidas[SKU],tblProductos[[#This Row],[SKU]]))</f>
        <v/>
      </c>
      <c r="N49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3" spans="2:14" x14ac:dyDescent="0.25">
      <c r="B493" s="38"/>
      <c r="C493" s="38"/>
      <c r="D493" s="38"/>
      <c r="E493" s="39"/>
      <c r="F493" s="45"/>
      <c r="G493" s="45"/>
      <c r="H493" s="46"/>
      <c r="I493" s="38"/>
      <c r="J493" s="39"/>
      <c r="K493" s="39"/>
      <c r="L493" s="47" t="str">
        <f>IF(OR(tblProductos[[#This Row],[SKU]]="",tblProductos[[#This Row],[Producto]]=""),"",tblProductos[[#This Row],[SKU]]&amp;" · "&amp;tblProductos[[#This Row],[Producto]]&amp;IF(tblProductos[[#This Row],[Activo]]="NO","  (inactivo)",""))</f>
        <v/>
      </c>
      <c r="M493" s="40" t="str">
        <f>IF(tblProductos[[#This Row],[SKU]]="","",COUNTIF(tblEntradas[SKU],tblProductos[[#This Row],[SKU]])+COUNTIF(tblSalidas[SKU],tblProductos[[#This Row],[SKU]]))</f>
        <v/>
      </c>
      <c r="N49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4" spans="2:14" x14ac:dyDescent="0.25">
      <c r="B494" s="38"/>
      <c r="C494" s="38"/>
      <c r="D494" s="38"/>
      <c r="E494" s="39"/>
      <c r="F494" s="45"/>
      <c r="G494" s="45"/>
      <c r="H494" s="46"/>
      <c r="I494" s="38"/>
      <c r="J494" s="39"/>
      <c r="K494" s="39"/>
      <c r="L494" s="47" t="str">
        <f>IF(OR(tblProductos[[#This Row],[SKU]]="",tblProductos[[#This Row],[Producto]]=""),"",tblProductos[[#This Row],[SKU]]&amp;" · "&amp;tblProductos[[#This Row],[Producto]]&amp;IF(tblProductos[[#This Row],[Activo]]="NO","  (inactivo)",""))</f>
        <v/>
      </c>
      <c r="M494" s="40" t="str">
        <f>IF(tblProductos[[#This Row],[SKU]]="","",COUNTIF(tblEntradas[SKU],tblProductos[[#This Row],[SKU]])+COUNTIF(tblSalidas[SKU],tblProductos[[#This Row],[SKU]]))</f>
        <v/>
      </c>
      <c r="N49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5" spans="2:14" x14ac:dyDescent="0.25">
      <c r="B495" s="38"/>
      <c r="C495" s="38"/>
      <c r="D495" s="38"/>
      <c r="E495" s="39"/>
      <c r="F495" s="45"/>
      <c r="G495" s="45"/>
      <c r="H495" s="46"/>
      <c r="I495" s="38"/>
      <c r="J495" s="39"/>
      <c r="K495" s="39"/>
      <c r="L495" s="47" t="str">
        <f>IF(OR(tblProductos[[#This Row],[SKU]]="",tblProductos[[#This Row],[Producto]]=""),"",tblProductos[[#This Row],[SKU]]&amp;" · "&amp;tblProductos[[#This Row],[Producto]]&amp;IF(tblProductos[[#This Row],[Activo]]="NO","  (inactivo)",""))</f>
        <v/>
      </c>
      <c r="M495" s="40" t="str">
        <f>IF(tblProductos[[#This Row],[SKU]]="","",COUNTIF(tblEntradas[SKU],tblProductos[[#This Row],[SKU]])+COUNTIF(tblSalidas[SKU],tblProductos[[#This Row],[SKU]]))</f>
        <v/>
      </c>
      <c r="N49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6" spans="2:14" x14ac:dyDescent="0.25">
      <c r="B496" s="38"/>
      <c r="C496" s="38"/>
      <c r="D496" s="38"/>
      <c r="E496" s="39"/>
      <c r="F496" s="45"/>
      <c r="G496" s="45"/>
      <c r="H496" s="46"/>
      <c r="I496" s="38"/>
      <c r="J496" s="39"/>
      <c r="K496" s="39"/>
      <c r="L496" s="47" t="str">
        <f>IF(OR(tblProductos[[#This Row],[SKU]]="",tblProductos[[#This Row],[Producto]]=""),"",tblProductos[[#This Row],[SKU]]&amp;" · "&amp;tblProductos[[#This Row],[Producto]]&amp;IF(tblProductos[[#This Row],[Activo]]="NO","  (inactivo)",""))</f>
        <v/>
      </c>
      <c r="M496" s="40" t="str">
        <f>IF(tblProductos[[#This Row],[SKU]]="","",COUNTIF(tblEntradas[SKU],tblProductos[[#This Row],[SKU]])+COUNTIF(tblSalidas[SKU],tblProductos[[#This Row],[SKU]]))</f>
        <v/>
      </c>
      <c r="N49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7" spans="2:14" x14ac:dyDescent="0.25">
      <c r="B497" s="38"/>
      <c r="C497" s="38"/>
      <c r="D497" s="38"/>
      <c r="E497" s="39"/>
      <c r="F497" s="45"/>
      <c r="G497" s="45"/>
      <c r="H497" s="46"/>
      <c r="I497" s="38"/>
      <c r="J497" s="39"/>
      <c r="K497" s="39"/>
      <c r="L497" s="47" t="str">
        <f>IF(OR(tblProductos[[#This Row],[SKU]]="",tblProductos[[#This Row],[Producto]]=""),"",tblProductos[[#This Row],[SKU]]&amp;" · "&amp;tblProductos[[#This Row],[Producto]]&amp;IF(tblProductos[[#This Row],[Activo]]="NO","  (inactivo)",""))</f>
        <v/>
      </c>
      <c r="M497" s="40" t="str">
        <f>IF(tblProductos[[#This Row],[SKU]]="","",COUNTIF(tblEntradas[SKU],tblProductos[[#This Row],[SKU]])+COUNTIF(tblSalidas[SKU],tblProductos[[#This Row],[SKU]]))</f>
        <v/>
      </c>
      <c r="N49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8" spans="2:14" x14ac:dyDescent="0.25">
      <c r="B498" s="38"/>
      <c r="C498" s="38"/>
      <c r="D498" s="38"/>
      <c r="E498" s="39"/>
      <c r="F498" s="45"/>
      <c r="G498" s="45"/>
      <c r="H498" s="46"/>
      <c r="I498" s="38"/>
      <c r="J498" s="39"/>
      <c r="K498" s="39"/>
      <c r="L498" s="47" t="str">
        <f>IF(OR(tblProductos[[#This Row],[SKU]]="",tblProductos[[#This Row],[Producto]]=""),"",tblProductos[[#This Row],[SKU]]&amp;" · "&amp;tblProductos[[#This Row],[Producto]]&amp;IF(tblProductos[[#This Row],[Activo]]="NO","  (inactivo)",""))</f>
        <v/>
      </c>
      <c r="M498" s="40" t="str">
        <f>IF(tblProductos[[#This Row],[SKU]]="","",COUNTIF(tblEntradas[SKU],tblProductos[[#This Row],[SKU]])+COUNTIF(tblSalidas[SKU],tblProductos[[#This Row],[SKU]]))</f>
        <v/>
      </c>
      <c r="N498"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9" spans="2:14" x14ac:dyDescent="0.25">
      <c r="B499" s="38"/>
      <c r="C499" s="38"/>
      <c r="D499" s="38"/>
      <c r="E499" s="39"/>
      <c r="F499" s="45"/>
      <c r="G499" s="45"/>
      <c r="H499" s="46"/>
      <c r="I499" s="38"/>
      <c r="J499" s="39"/>
      <c r="K499" s="39"/>
      <c r="L499" s="47" t="str">
        <f>IF(OR(tblProductos[[#This Row],[SKU]]="",tblProductos[[#This Row],[Producto]]=""),"",tblProductos[[#This Row],[SKU]]&amp;" · "&amp;tblProductos[[#This Row],[Producto]]&amp;IF(tblProductos[[#This Row],[Activo]]="NO","  (inactivo)",""))</f>
        <v/>
      </c>
      <c r="M499" s="40" t="str">
        <f>IF(tblProductos[[#This Row],[SKU]]="","",COUNTIF(tblEntradas[SKU],tblProductos[[#This Row],[SKU]])+COUNTIF(tblSalidas[SKU],tblProductos[[#This Row],[SKU]]))</f>
        <v/>
      </c>
      <c r="N499"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0" spans="2:14" x14ac:dyDescent="0.25">
      <c r="B500" s="38"/>
      <c r="C500" s="38"/>
      <c r="D500" s="38"/>
      <c r="E500" s="39"/>
      <c r="F500" s="45"/>
      <c r="G500" s="45"/>
      <c r="H500" s="46"/>
      <c r="I500" s="38"/>
      <c r="J500" s="39"/>
      <c r="K500" s="39"/>
      <c r="L500" s="47" t="str">
        <f>IF(OR(tblProductos[[#This Row],[SKU]]="",tblProductos[[#This Row],[Producto]]=""),"",tblProductos[[#This Row],[SKU]]&amp;" · "&amp;tblProductos[[#This Row],[Producto]]&amp;IF(tblProductos[[#This Row],[Activo]]="NO","  (inactivo)",""))</f>
        <v/>
      </c>
      <c r="M500" s="40" t="str">
        <f>IF(tblProductos[[#This Row],[SKU]]="","",COUNTIF(tblEntradas[SKU],tblProductos[[#This Row],[SKU]])+COUNTIF(tblSalidas[SKU],tblProductos[[#This Row],[SKU]]))</f>
        <v/>
      </c>
      <c r="N500"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1" spans="2:14" x14ac:dyDescent="0.25">
      <c r="B501" s="38"/>
      <c r="C501" s="38"/>
      <c r="D501" s="38"/>
      <c r="E501" s="39"/>
      <c r="F501" s="45"/>
      <c r="G501" s="45"/>
      <c r="H501" s="46"/>
      <c r="I501" s="38"/>
      <c r="J501" s="39"/>
      <c r="K501" s="39"/>
      <c r="L501" s="47" t="str">
        <f>IF(OR(tblProductos[[#This Row],[SKU]]="",tblProductos[[#This Row],[Producto]]=""),"",tblProductos[[#This Row],[SKU]]&amp;" · "&amp;tblProductos[[#This Row],[Producto]]&amp;IF(tblProductos[[#This Row],[Activo]]="NO","  (inactivo)",""))</f>
        <v/>
      </c>
      <c r="M501" s="40" t="str">
        <f>IF(tblProductos[[#This Row],[SKU]]="","",COUNTIF(tblEntradas[SKU],tblProductos[[#This Row],[SKU]])+COUNTIF(tblSalidas[SKU],tblProductos[[#This Row],[SKU]]))</f>
        <v/>
      </c>
      <c r="N501"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2" spans="2:14" x14ac:dyDescent="0.25">
      <c r="B502" s="38"/>
      <c r="C502" s="38"/>
      <c r="D502" s="38"/>
      <c r="E502" s="39"/>
      <c r="F502" s="45"/>
      <c r="G502" s="45"/>
      <c r="H502" s="46"/>
      <c r="I502" s="38"/>
      <c r="J502" s="39"/>
      <c r="K502" s="39"/>
      <c r="L502" s="47" t="str">
        <f>IF(OR(tblProductos[[#This Row],[SKU]]="",tblProductos[[#This Row],[Producto]]=""),"",tblProductos[[#This Row],[SKU]]&amp;" · "&amp;tblProductos[[#This Row],[Producto]]&amp;IF(tblProductos[[#This Row],[Activo]]="NO","  (inactivo)",""))</f>
        <v/>
      </c>
      <c r="M502" s="40" t="str">
        <f>IF(tblProductos[[#This Row],[SKU]]="","",COUNTIF(tblEntradas[SKU],tblProductos[[#This Row],[SKU]])+COUNTIF(tblSalidas[SKU],tblProductos[[#This Row],[SKU]]))</f>
        <v/>
      </c>
      <c r="N502"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3" spans="2:14" x14ac:dyDescent="0.25">
      <c r="B503" s="38"/>
      <c r="C503" s="38"/>
      <c r="D503" s="38"/>
      <c r="E503" s="39"/>
      <c r="F503" s="45"/>
      <c r="G503" s="45"/>
      <c r="H503" s="46"/>
      <c r="I503" s="38"/>
      <c r="J503" s="39"/>
      <c r="K503" s="39"/>
      <c r="L503" s="47" t="str">
        <f>IF(OR(tblProductos[[#This Row],[SKU]]="",tblProductos[[#This Row],[Producto]]=""),"",tblProductos[[#This Row],[SKU]]&amp;" · "&amp;tblProductos[[#This Row],[Producto]]&amp;IF(tblProductos[[#This Row],[Activo]]="NO","  (inactivo)",""))</f>
        <v/>
      </c>
      <c r="M503" s="40" t="str">
        <f>IF(tblProductos[[#This Row],[SKU]]="","",COUNTIF(tblEntradas[SKU],tblProductos[[#This Row],[SKU]])+COUNTIF(tblSalidas[SKU],tblProductos[[#This Row],[SKU]]))</f>
        <v/>
      </c>
      <c r="N503"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4" spans="2:14" x14ac:dyDescent="0.25">
      <c r="B504" s="38"/>
      <c r="C504" s="38"/>
      <c r="D504" s="38"/>
      <c r="E504" s="39"/>
      <c r="F504" s="45"/>
      <c r="G504" s="45"/>
      <c r="H504" s="46"/>
      <c r="I504" s="38"/>
      <c r="J504" s="39"/>
      <c r="K504" s="39"/>
      <c r="L504" s="47" t="str">
        <f>IF(OR(tblProductos[[#This Row],[SKU]]="",tblProductos[[#This Row],[Producto]]=""),"",tblProductos[[#This Row],[SKU]]&amp;" · "&amp;tblProductos[[#This Row],[Producto]]&amp;IF(tblProductos[[#This Row],[Activo]]="NO","  (inactivo)",""))</f>
        <v/>
      </c>
      <c r="M504" s="40" t="str">
        <f>IF(tblProductos[[#This Row],[SKU]]="","",COUNTIF(tblEntradas[SKU],tblProductos[[#This Row],[SKU]])+COUNTIF(tblSalidas[SKU],tblProductos[[#This Row],[SKU]]))</f>
        <v/>
      </c>
      <c r="N504"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5" spans="2:14" x14ac:dyDescent="0.25">
      <c r="B505" s="38"/>
      <c r="C505" s="38"/>
      <c r="D505" s="38"/>
      <c r="E505" s="39"/>
      <c r="F505" s="45"/>
      <c r="G505" s="45"/>
      <c r="H505" s="46"/>
      <c r="I505" s="38"/>
      <c r="J505" s="39"/>
      <c r="K505" s="39"/>
      <c r="L505" s="47" t="str">
        <f>IF(OR(tblProductos[[#This Row],[SKU]]="",tblProductos[[#This Row],[Producto]]=""),"",tblProductos[[#This Row],[SKU]]&amp;" · "&amp;tblProductos[[#This Row],[Producto]]&amp;IF(tblProductos[[#This Row],[Activo]]="NO","  (inactivo)",""))</f>
        <v/>
      </c>
      <c r="M505" s="40" t="str">
        <f>IF(tblProductos[[#This Row],[SKU]]="","",COUNTIF(tblEntradas[SKU],tblProductos[[#This Row],[SKU]])+COUNTIF(tblSalidas[SKU],tblProductos[[#This Row],[SKU]]))</f>
        <v/>
      </c>
      <c r="N505"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6" spans="2:14" x14ac:dyDescent="0.25">
      <c r="B506" s="38"/>
      <c r="C506" s="38"/>
      <c r="D506" s="38"/>
      <c r="E506" s="39"/>
      <c r="F506" s="45"/>
      <c r="G506" s="45"/>
      <c r="H506" s="46"/>
      <c r="I506" s="38"/>
      <c r="J506" s="39"/>
      <c r="K506" s="39"/>
      <c r="L506" s="47" t="str">
        <f>IF(OR(tblProductos[[#This Row],[SKU]]="",tblProductos[[#This Row],[Producto]]=""),"",tblProductos[[#This Row],[SKU]]&amp;" · "&amp;tblProductos[[#This Row],[Producto]]&amp;IF(tblProductos[[#This Row],[Activo]]="NO","  (inactivo)",""))</f>
        <v/>
      </c>
      <c r="M506" s="40" t="str">
        <f>IF(tblProductos[[#This Row],[SKU]]="","",COUNTIF(tblEntradas[SKU],tblProductos[[#This Row],[SKU]])+COUNTIF(tblSalidas[SKU],tblProductos[[#This Row],[SKU]]))</f>
        <v/>
      </c>
      <c r="N506"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7" spans="2:14" x14ac:dyDescent="0.25">
      <c r="B507" s="38"/>
      <c r="C507" s="38"/>
      <c r="D507" s="38"/>
      <c r="E507" s="39"/>
      <c r="F507" s="45"/>
      <c r="G507" s="45"/>
      <c r="H507" s="46"/>
      <c r="I507" s="38"/>
      <c r="J507" s="39"/>
      <c r="K507" s="39"/>
      <c r="L507" s="47" t="str">
        <f>IF(OR(tblProductos[[#This Row],[SKU]]="",tblProductos[[#This Row],[Producto]]=""),"",tblProductos[[#This Row],[SKU]]&amp;" · "&amp;tblProductos[[#This Row],[Producto]]&amp;IF(tblProductos[[#This Row],[Activo]]="NO","  (inactivo)",""))</f>
        <v/>
      </c>
      <c r="M507" s="40" t="str">
        <f>IF(tblProductos[[#This Row],[SKU]]="","",COUNTIF(tblEntradas[SKU],tblProductos[[#This Row],[SKU]])+COUNTIF(tblSalidas[SKU],tblProductos[[#This Row],[SKU]]))</f>
        <v/>
      </c>
      <c r="N507" s="41"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sheetData>
  <sheetProtection password="930D" sheet="1" objects="1" scenarios="1" formatColumns="0" autoFilter="0"/>
  <conditionalFormatting sqref="B8:K507">
    <cfRule type="expression" dxfId="114" priority="1">
      <formula>AND($B8="",$C8="",$B7&lt;&gt;"")</formula>
    </cfRule>
  </conditionalFormatting>
  <conditionalFormatting sqref="B8:L507">
    <cfRule type="expression" dxfId="113" priority="2">
      <formula>$K8="NO"</formula>
    </cfRule>
  </conditionalFormatting>
  <conditionalFormatting sqref="F8:F507">
    <cfRule type="expression" dxfId="112" priority="8">
      <formula>AND(ISNUMBER(F8),F8&lt;&gt;INT(F8))</formula>
    </cfRule>
  </conditionalFormatting>
  <conditionalFormatting sqref="G8:G507">
    <cfRule type="expression" dxfId="111" priority="9">
      <formula>AND(ISNUMBER(G8),G8&lt;&gt;INT(G8))</formula>
    </cfRule>
  </conditionalFormatting>
  <conditionalFormatting sqref="N8:N507">
    <cfRule type="expression" dxfId="110" priority="3">
      <formula>LEFT($N8,1)="✖"</formula>
    </cfRule>
    <cfRule type="expression" dxfId="109" priority="4">
      <formula>LEFT($N8,1)="⚠"</formula>
    </cfRule>
    <cfRule type="expression" dxfId="108" priority="5">
      <formula>LEFT($N8,1)="✔"</formula>
    </cfRule>
    <cfRule type="expression" dxfId="107" priority="6">
      <formula>LEFT($N8,1)="●"</formula>
    </cfRule>
    <cfRule type="expression" dxfId="106" priority="7">
      <formula>LEFT($N8,1)="○"</formula>
    </cfRule>
  </conditionalFormatting>
  <dataValidations count="23">
    <dataValidation allowBlank="1" showInputMessage="1" showErrorMessage="1" promptTitle="✎ SKU" prompt="Código único del producto, sin espacios (ej: FER-001). No lo cambie si ya tiene movimientos: cree uno nuevo y desactive el anterior." sqref="B7" xr:uid="{00000000-0002-0000-0600-000000000000}"/>
    <dataValidation allowBlank="1" showInputMessage="1" showErrorMessage="1" promptTitle="✎ Producto" prompt="Nombre descriptivo (3 a 60 caracteres). Es lo que el operador verá en la lista junto al SKU." sqref="C7" xr:uid="{00000000-0002-0000-0600-000001000000}"/>
    <dataValidation allowBlank="1" showInputMessage="1" showErrorMessage="1" promptTitle="✎ Categoría" prompt="Seleccione la categoría (Alt + ↓). Las categorías se administran en 03_CATEGORIAS." sqref="D7" xr:uid="{00000000-0002-0000-0600-000002000000}"/>
    <dataValidation allowBlank="1" showInputMessage="1" showErrorMessage="1" promptTitle="✎ Unidad" prompt="Unidad de medida (UND, CAJA, KG...). Define si se admiten decimales." sqref="E7" xr:uid="{00000000-0002-0000-0600-000003000000}"/>
    <dataValidation allowBlank="1" showInputMessage="1" showErrorMessage="1" promptTitle="✎ StockMin" prompt="Punto de reorden. En o por debajo de este valor el producto queda CRÍTICO." sqref="F7" xr:uid="{00000000-0002-0000-0600-000004000000}"/>
    <dataValidation allowBlank="1" showInputMessage="1" showErrorMessage="1" promptTitle="✎ StockMax" prompt="Nivel máximo deseado. Por encima: SOBRESTOCK. 0 = sin máximo." sqref="G7" xr:uid="{00000000-0002-0000-0600-000005000000}"/>
    <dataValidation allowBlank="1" showInputMessage="1" showErrorMessage="1" promptTitle="✎ CostoUnitario" prompt="Costo por unidad (moneda local). Se usa para valorizar el inventario." sqref="H7" xr:uid="{00000000-0002-0000-0600-000006000000}"/>
    <dataValidation allowBlank="1" showInputMessage="1" showErrorMessage="1" promptTitle="✎ Proveedor" prompt="Proveedor habitual (lista de 04_PROVEEDORES). Agrupa las alertas por proveedor." sqref="I7" xr:uid="{00000000-0002-0000-0600-000007000000}"/>
    <dataValidation allowBlank="1" showInputMessage="1" showErrorMessage="1" promptTitle="✎ Ubicación" prompt="Ubicación física en bodega (opcional). Ej: A-01-03." sqref="J7" xr:uid="{00000000-0002-0000-0600-000008000000}"/>
    <dataValidation allowBlank="1" showInputMessage="1" showErrorMessage="1" promptTitle="✎ Activo" prompt="Escriba NO para descontinuar: desaparece de las listas pero conserva su historial. Vacío = SI." sqref="K7" xr:uid="{00000000-0002-0000-0600-000009000000}"/>
    <dataValidation allowBlank="1" showInputMessage="1" showErrorMessage="1" promptTitle="ƒx Etiqueta" prompt="Texto de la lista de productos de la captura: SKU · Producto (marca los inactivos)." sqref="L7" xr:uid="{00000000-0002-0000-0600-00000A000000}"/>
    <dataValidation allowBlank="1" showInputMessage="1" showErrorMessage="1" promptTitle="ƒx Movimientos" prompt="Registros de este SKU en las dos bitácoras oficiales (10A y 10B)." sqref="M7" xr:uid="{00000000-0002-0000-0600-00000B000000}"/>
    <dataValidation allowBlank="1" showInputMessage="1" showErrorMessage="1" promptTitle="ƒx Validación" prompt="Control de calidad del registro maestro." sqref="N7" xr:uid="{00000000-0002-0000-0600-00000C000000}"/>
    <dataValidation type="custom" allowBlank="1" showInputMessage="1" showErrorMessage="1" errorTitle="SKU no válido" error="El SKU debe tener 2 a 20 caracteres, no llevar espacios y no existir ya en el catálogo." promptTitle="SKU (código único)" prompt="2 a 20 caracteres, sin espacios, sin repetir. Ej: FER-001." sqref="B8:B507" xr:uid="{00000000-0002-0000-0600-00000D000000}">
      <formula1>AND(LEN(B8)&gt;=2,LEN(B8)&lt;=20,ISERROR(FIND(" ",B8)),COUNTIF($B$8:$B$507,B8)=1)</formula1>
    </dataValidation>
    <dataValidation type="textLength" allowBlank="1" showInputMessage="1" showErrorMessage="1" errorTitle="Nombre no válido" error="El nombre debe tener entre 3 y 60 caracteres." promptTitle="Nombre del producto" prompt="Descripción clara, de 3 a 60 caracteres." sqref="C8:C507" xr:uid="{00000000-0002-0000-0600-00000E000000}">
      <formula1>3</formula1>
      <formula2>60</formula2>
    </dataValidation>
    <dataValidation type="list" allowBlank="1" showInputMessage="1" showErrorMessage="1" errorTitle="Categoría no válida" error="Elija una categoría de la lista. Para crear una nueva contacte al administrador." promptTitle="Categoría" prompt="Seleccione de la lista (Alt + ↓)." sqref="D8:D507" xr:uid="{00000000-0002-0000-0600-00000F000000}">
      <formula1>lstCategorias</formula1>
    </dataValidation>
    <dataValidation type="list" allowBlank="1" showInputMessage="1" showErrorMessage="1" errorTitle="Unidad no válida" error="Elija una unidad de la lista." promptTitle="Unidad de medida" prompt="Seleccione de la lista (Alt + ↓)." sqref="E8:E507" xr:uid="{00000000-0002-0000-0600-000010000000}">
      <formula1>lstUniCod</formula1>
    </dataValidation>
    <dataValidation type="decimal" operator="greaterThanOrEqual" allowBlank="1" showInputMessage="1" showErrorMessage="1" errorTitle="Valor no válido" error="Escriba un número mayor o igual a 0." promptTitle="StockMin" prompt="Número mayor o igual a 0." sqref="F8:F507" xr:uid="{00000000-0002-0000-0600-000011000000}">
      <formula1>0</formula1>
    </dataValidation>
    <dataValidation type="decimal" operator="greaterThanOrEqual" allowBlank="1" showInputMessage="1" showErrorMessage="1" errorTitle="Valor no válido" error="Escriba un número mayor o igual a 0." promptTitle="StockMax" prompt="Número mayor o igual a 0." sqref="G8:G507" xr:uid="{00000000-0002-0000-0600-000012000000}">
      <formula1>0</formula1>
    </dataValidation>
    <dataValidation type="decimal" operator="greaterThanOrEqual" allowBlank="1" showInputMessage="1" showErrorMessage="1" errorTitle="Valor no válido" error="Escriba un número mayor o igual a 0." promptTitle="CostoUnitario" prompt="Número mayor o igual a 0." sqref="H8:H507" xr:uid="{00000000-0002-0000-0600-000013000000}">
      <formula1>0</formula1>
    </dataValidation>
    <dataValidation type="list" allowBlank="1" showInputMessage="1" showErrorMessage="1" errorTitle="Proveedor no válido" error="Elija un proveedor de la lista o regístrelo primero en 04_PROVEEDORES." promptTitle="Proveedor" prompt="Seleccione de la lista (Alt + ↓). Se administran en 04_PROVEEDORES." sqref="I8:I507" xr:uid="{00000000-0002-0000-0600-000014000000}">
      <formula1>lstProveedores</formula1>
    </dataValidation>
    <dataValidation type="textLength" operator="lessThanOrEqual" allowBlank="1" showInputMessage="1" showErrorMessage="1" errorTitle="Texto muy largo" error="Máximo 20 caracteres." promptTitle="Ubicación (opcional)" prompt="Pasillo-estante-nivel. Máximo 20 caracteres." sqref="J8:J507" xr:uid="{00000000-0002-0000-0600-000015000000}">
      <formula1>20</formula1>
    </dataValidation>
    <dataValidation type="list" allowBlank="1" showInputMessage="1" showErrorMessage="1" errorTitle="Valor no válido" error="Escriba SI o NO." promptTitle="¿Producto activo?" prompt="NO = descontinuado (sale de las listas). Vacío = SI." sqref="K8:K507" xr:uid="{00000000-0002-0000-0600-000016000000}">
      <formula1>"SI,NO"</formula1>
    </dataValidation>
  </dataValidations>
  <hyperlinks>
    <hyperlink ref="B5" location="'00_PORTADA_BODEGA'!A1" tooltip="Portada de Bodega" display="⌂ Bodega" xr:uid="{00000000-0004-0000-0600-000000000000}"/>
    <hyperlink ref="C5" location="'00_PORTADA_VENTAS'!A1" tooltip="Portada de Ventas" display="⌂ Ventas" xr:uid="{00000000-0004-0000-0600-000001000000}"/>
    <hyperlink ref="D5" location="'10A_ENTRADAS'!C9" tooltip="Registrar entradas y ajustes (Bodega)" display="⇩ Entradas" xr:uid="{00000000-0004-0000-0600-000002000000}"/>
    <hyperlink ref="E5" location="'10B_SALIDAS'!E9" tooltip="Registrar salidas (Ventas)" display="⇧ Salidas" xr:uid="{00000000-0004-0000-0600-000003000000}"/>
    <hyperlink ref="F5" location="'15_STOCK'!A1" tooltip="Stock (instantánea recalculada a demanda)" display="▦ Stock" xr:uid="{00000000-0004-0000-0600-000004000000}"/>
    <hyperlink ref="G5" location="'16_ALERTAS'!A1" tooltip="Productos que requieren acción" display="⚠ Alertas" xr:uid="{00000000-0004-0000-0600-000005000000}"/>
    <hyperlink ref="H5" location="'05_PRODUCTOS'!A1" tooltip="Catálogo de productos" display="☰ Catálogo" xr:uid="{00000000-0004-0000-0600-000006000000}"/>
    <hyperlink ref="I5" location="'99_AYUDA'!A1" tooltip="Guía de uso y de instalación" display="? Guía" xr:uid="{00000000-0004-0000-0600-000007000000}"/>
  </hyperlinks>
  <pageMargins left="0.4" right="0.4" top="0.7" bottom="0.6" header="0.3" footer="0.3"/>
  <pageSetup fitToHeight="0" orientation="landscape"/>
  <headerFooter>
    <oddHeader>&amp;L&amp;"Segoe UI,Bold"&amp;9M-INV · Catálogo de productos&amp;R&amp;"Segoe UI,Regular"&amp;8&amp;D</oddHeader>
    <oddFooter>&amp;L&amp;"Segoe UI,Regular"&amp;8Z&amp;&amp;P Software Fast Solutions&amp;R&amp;"Segoe UI,Regular"&amp;8Página &amp;P de &amp;N</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4A3B8"/>
  </sheetPr>
  <dimension ref="B1:E16"/>
  <sheetViews>
    <sheetView showGridLines="0" workbookViewId="0"/>
  </sheetViews>
  <sheetFormatPr baseColWidth="10" defaultColWidth="9.140625" defaultRowHeight="15" x14ac:dyDescent="0.25"/>
  <cols>
    <col min="1" max="1" width="3.42578125" customWidth="1"/>
    <col min="2" max="2" width="12.85546875" customWidth="1"/>
    <col min="3" max="3" width="22.85546875" customWidth="1"/>
    <col min="4" max="4" width="15.7109375" customWidth="1"/>
    <col min="5" max="5" width="45.7109375" customWidth="1"/>
    <col min="6" max="6" width="3.42578125" customWidth="1"/>
  </cols>
  <sheetData>
    <row r="1" spans="2:5" s="1" customFormat="1" ht="6" customHeight="1" x14ac:dyDescent="0.25"/>
    <row r="2" spans="2:5" s="1" customFormat="1" ht="24" customHeight="1" x14ac:dyDescent="0.25">
      <c r="B2" s="2" t="s">
        <v>142</v>
      </c>
    </row>
    <row r="3" spans="2:5" s="1" customFormat="1" ht="14.25" x14ac:dyDescent="0.25">
      <c r="B3" s="13" t="s">
        <v>143</v>
      </c>
    </row>
    <row r="4" spans="2:5" s="1" customFormat="1" ht="7.5" customHeight="1" x14ac:dyDescent="0.25"/>
    <row r="5" spans="2:5" s="7" customFormat="1" ht="18" customHeight="1" x14ac:dyDescent="0.25"/>
    <row r="6" spans="2:5" s="7" customFormat="1" ht="12" customHeight="1" x14ac:dyDescent="0.25"/>
    <row r="7" spans="2:5" ht="22.5" customHeight="1" x14ac:dyDescent="0.25">
      <c r="B7" s="15" t="s">
        <v>123</v>
      </c>
      <c r="C7" s="15" t="s">
        <v>114</v>
      </c>
      <c r="D7" s="15" t="s">
        <v>144</v>
      </c>
      <c r="E7" s="15" t="s">
        <v>5</v>
      </c>
    </row>
    <row r="8" spans="2:5" x14ac:dyDescent="0.25">
      <c r="B8" s="29" t="s">
        <v>145</v>
      </c>
      <c r="C8" s="42" t="s">
        <v>114</v>
      </c>
      <c r="D8" s="26" t="s">
        <v>146</v>
      </c>
      <c r="E8" s="42" t="s">
        <v>147</v>
      </c>
    </row>
    <row r="9" spans="2:5" x14ac:dyDescent="0.25">
      <c r="B9" s="29" t="s">
        <v>148</v>
      </c>
      <c r="C9" s="42" t="s">
        <v>149</v>
      </c>
      <c r="D9" s="26" t="s">
        <v>146</v>
      </c>
      <c r="E9" s="42" t="s">
        <v>150</v>
      </c>
    </row>
    <row r="10" spans="2:5" x14ac:dyDescent="0.25">
      <c r="B10" s="29" t="s">
        <v>151</v>
      </c>
      <c r="C10" s="42" t="s">
        <v>152</v>
      </c>
      <c r="D10" s="26" t="s">
        <v>146</v>
      </c>
      <c r="E10" s="42" t="s">
        <v>153</v>
      </c>
    </row>
    <row r="11" spans="2:5" x14ac:dyDescent="0.25">
      <c r="B11" s="29" t="s">
        <v>154</v>
      </c>
      <c r="C11" s="42" t="s">
        <v>155</v>
      </c>
      <c r="D11" s="26" t="s">
        <v>146</v>
      </c>
      <c r="E11" s="42" t="s">
        <v>156</v>
      </c>
    </row>
    <row r="12" spans="2:5" x14ac:dyDescent="0.25">
      <c r="B12" s="29" t="s">
        <v>157</v>
      </c>
      <c r="C12" s="42" t="s">
        <v>158</v>
      </c>
      <c r="D12" s="26" t="s">
        <v>146</v>
      </c>
      <c r="E12" s="42" t="s">
        <v>159</v>
      </c>
    </row>
    <row r="13" spans="2:5" x14ac:dyDescent="0.25">
      <c r="B13" s="29" t="s">
        <v>160</v>
      </c>
      <c r="C13" s="42" t="s">
        <v>161</v>
      </c>
      <c r="D13" s="26" t="s">
        <v>162</v>
      </c>
      <c r="E13" s="42" t="s">
        <v>163</v>
      </c>
    </row>
    <row r="14" spans="2:5" x14ac:dyDescent="0.25">
      <c r="B14" s="29" t="s">
        <v>164</v>
      </c>
      <c r="C14" s="42" t="s">
        <v>165</v>
      </c>
      <c r="D14" s="26" t="s">
        <v>162</v>
      </c>
      <c r="E14" s="42" t="s">
        <v>166</v>
      </c>
    </row>
    <row r="15" spans="2:5" x14ac:dyDescent="0.25">
      <c r="B15" s="29" t="s">
        <v>167</v>
      </c>
      <c r="C15" s="42" t="s">
        <v>168</v>
      </c>
      <c r="D15" s="26" t="s">
        <v>162</v>
      </c>
      <c r="E15" s="42" t="s">
        <v>169</v>
      </c>
    </row>
    <row r="16" spans="2:5" x14ac:dyDescent="0.25">
      <c r="B16" s="29" t="s">
        <v>170</v>
      </c>
      <c r="C16" s="42" t="s">
        <v>171</v>
      </c>
      <c r="D16" s="26" t="s">
        <v>162</v>
      </c>
      <c r="E16" s="42" t="s">
        <v>172</v>
      </c>
    </row>
  </sheetData>
  <sheetProtection password="930D" sheet="1" objects="1" scenarios="1"/>
  <dataValidations count="4">
    <dataValidation allowBlank="1" showInputMessage="1" showErrorMessage="1" promptTitle="Código" prompt="Abreviatura que ve el operador (UND, KG...)." sqref="B7" xr:uid="{00000000-0002-0000-0700-000000000000}"/>
    <dataValidation allowBlank="1" showInputMessage="1" showErrorMessage="1" promptTitle="Unidad" prompt="Nombre completo de la unidad." sqref="C7" xr:uid="{00000000-0002-0000-0700-000001000000}"/>
    <dataValidation allowBlank="1" showInputMessage="1" showErrorMessage="1" promptTitle="Decimales" prompt="SI = admite fracciones (KG, LT...). NO = solo enteros." sqref="D7" xr:uid="{00000000-0002-0000-0700-000002000000}"/>
    <dataValidation allowBlank="1" showInputMessage="1" showErrorMessage="1" promptTitle="Descripción" prompt="Texto de apoyo." sqref="E7" xr:uid="{00000000-0002-0000-0700-000003000000}"/>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D32"/>
    <pageSetUpPr fitToPage="1"/>
  </sheetPr>
  <dimension ref="B1:P28"/>
  <sheetViews>
    <sheetView showGridLines="0" showRowColHeaders="0" zoomScale="85" zoomScaleNormal="85" workbookViewId="0">
      <pane ySplit="6" topLeftCell="A7" activePane="bottomLeft" state="frozen"/>
      <selection pane="bottomLeft" activeCell="C9" sqref="C9"/>
    </sheetView>
  </sheetViews>
  <sheetFormatPr baseColWidth="10" defaultColWidth="0" defaultRowHeight="15" zeroHeight="1" x14ac:dyDescent="0.25"/>
  <cols>
    <col min="1" max="1" width="2.28515625" customWidth="1"/>
    <col min="2" max="2" width="24" customWidth="1"/>
    <col min="3" max="3" width="16" customWidth="1"/>
    <col min="4" max="4" width="13.140625" customWidth="1"/>
    <col min="5" max="5" width="38.5703125" customWidth="1"/>
    <col min="6" max="6" width="13.7109375" customWidth="1"/>
    <col min="7" max="7" width="16.85546875" customWidth="1"/>
    <col min="8" max="8" width="25.7109375" customWidth="1"/>
    <col min="9" max="9" width="17.140625" customWidth="1"/>
    <col min="10" max="11" width="34.28515625" customWidth="1"/>
    <col min="12" max="12" width="10.5703125" customWidth="1"/>
    <col min="13" max="13" width="15.140625" customWidth="1"/>
    <col min="14" max="14" width="32.85546875" hidden="1" customWidth="1"/>
    <col min="15" max="15" width="12.85546875" hidden="1" customWidth="1"/>
    <col min="16" max="16" width="20" hidden="1" customWidth="1"/>
    <col min="17" max="17" width="2.28515625" customWidth="1"/>
    <col min="18" max="18" width="0" hidden="1" customWidth="1"/>
  </cols>
  <sheetData>
    <row r="1" spans="2:16" s="1" customFormat="1" ht="4.5" customHeight="1" x14ac:dyDescent="0.25"/>
    <row r="2" spans="2:16" s="1" customFormat="1" ht="22.5" customHeight="1" x14ac:dyDescent="0.25">
      <c r="B2" s="2" t="s">
        <v>173</v>
      </c>
    </row>
    <row r="3" spans="2:16" s="1" customFormat="1" ht="14.25" x14ac:dyDescent="0.25">
      <c r="B3" s="13" t="s">
        <v>174</v>
      </c>
    </row>
    <row r="4" spans="2:16" s="1" customFormat="1" ht="4.5" customHeight="1" x14ac:dyDescent="0.25"/>
    <row r="5" spans="2:16" s="4" customFormat="1" ht="21" customHeight="1" x14ac:dyDescent="0.25">
      <c r="B5" s="6" t="s">
        <v>82</v>
      </c>
      <c r="C5" s="6" t="s">
        <v>83</v>
      </c>
      <c r="D5" s="5" t="s">
        <v>84</v>
      </c>
      <c r="E5" s="6" t="s">
        <v>85</v>
      </c>
      <c r="F5" s="6" t="s">
        <v>86</v>
      </c>
      <c r="G5" s="6" t="s">
        <v>87</v>
      </c>
      <c r="H5" s="6" t="s">
        <v>88</v>
      </c>
      <c r="I5" s="6" t="s">
        <v>89</v>
      </c>
    </row>
    <row r="6" spans="2:16" s="7" customFormat="1" ht="22.5" customHeight="1" x14ac:dyDescent="0.25">
      <c r="B6" s="36" t="str">
        <f>"Registros: "&amp;FIXED(kpiRegEnt,0)</f>
        <v>Registros: 0</v>
      </c>
      <c r="C6" s="108" t="str">
        <f>IF(kpiRechEnt=0,"✔ Sin rechazos","✖ Rechazados: "&amp;kpiRechEnt)</f>
        <v>✔ Sin rechazos</v>
      </c>
      <c r="D6" s="108"/>
      <c r="E6" s="36" t="str">
        <f ca="1">"Pendientes en captura: "&amp;kpiPendEnt</f>
        <v>Pendientes en captura: 0</v>
      </c>
      <c r="F6" s="109" t="s">
        <v>193</v>
      </c>
      <c r="G6" s="109"/>
      <c r="H6" s="109"/>
      <c r="I6" s="109"/>
      <c r="J6" s="83" t="s">
        <v>192</v>
      </c>
      <c r="K6" s="83"/>
    </row>
    <row r="7" spans="2:16" s="7" customFormat="1" ht="16.5" customHeight="1" x14ac:dyDescent="0.25">
      <c r="B7" s="7" t="s">
        <v>175</v>
      </c>
    </row>
    <row r="8" spans="2:16" ht="25.5" customHeight="1" x14ac:dyDescent="0.25">
      <c r="B8" s="15" t="s">
        <v>176</v>
      </c>
      <c r="C8" s="16" t="s">
        <v>40</v>
      </c>
      <c r="D8" s="16" t="s">
        <v>177</v>
      </c>
      <c r="E8" s="16" t="s">
        <v>112</v>
      </c>
      <c r="F8" s="16" t="s">
        <v>178</v>
      </c>
      <c r="G8" s="16" t="s">
        <v>179</v>
      </c>
      <c r="H8" s="16" t="s">
        <v>180</v>
      </c>
      <c r="I8" s="15" t="s">
        <v>181</v>
      </c>
      <c r="J8" s="15" t="s">
        <v>96</v>
      </c>
      <c r="K8" s="15" t="s">
        <v>182</v>
      </c>
      <c r="L8" s="15" t="s">
        <v>114</v>
      </c>
      <c r="M8" s="15" t="s">
        <v>183</v>
      </c>
      <c r="N8" s="15" t="s">
        <v>90</v>
      </c>
      <c r="O8" s="15" t="s">
        <v>111</v>
      </c>
      <c r="P8" s="15" t="s">
        <v>184</v>
      </c>
    </row>
    <row r="9" spans="2:16" ht="18" customHeight="1" x14ac:dyDescent="0.25">
      <c r="B9" s="47" t="str">
        <f>IFERROR(INDEX(tblUsuarios[Nombre],MATCH(ROW()-ROW(tblCapturaEntradas[#Headers]),tblUsuarios[OrdenBodega],0)),"")</f>
        <v/>
      </c>
      <c r="C9" s="48"/>
      <c r="D9" s="49"/>
      <c r="E9" s="48"/>
      <c r="F9" s="50"/>
      <c r="G9" s="48"/>
      <c r="H9" s="48"/>
      <c r="I9" s="51" t="str">
        <f>IF(OR(tblCapturaEntradas[[#This Row],[SKU]]="",tblCapturaEntradas[[#This Row],[Unidad]]="?"),"",SUMIFS(tblEntradas[CantidadNeta],tblEntradas[SKU],tblCapturaEntradas[[#This Row],[SKU]],tblEntradas[Estado],"✔*")+SUMIFS(tblSalidas[CantidadNeta],tblSalidas[SKU],tblCapturaEntradas[[#This Row],[SKU]],tblSalidas[Estado],"✔*"))</f>
        <v/>
      </c>
      <c r="J9"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9" s="52"/>
      <c r="L9" s="40" t="str">
        <f>IF(tblCapturaEntradas[[#This Row],[SKU]]="","",IFERROR(INDEX(tblProductos[Unidad],MATCH(tblCapturaEntradas[[#This Row],[SKU]],tblProductos[SKU],0)),"?"))</f>
        <v/>
      </c>
      <c r="M9" s="53" t="str">
        <f>IF(tblCapturaEntradas[[#This Row],[Tipo]]="","",IFERROR(INDEX(tblTiposMov[FactorStock],MATCH(tblCapturaEntradas[[#This Row],[Tipo]],tblTiposMov[Tipo],0))*(INDEX(tblTiposMov[Dominio],MATCH(tblCapturaEntradas[[#This Row],[Tipo]],tblTiposMov[Tipo],0))="BODEGA"),0))</f>
        <v/>
      </c>
      <c r="N9" s="47" t="str">
        <f>IFERROR(INDEX(tblUsuarios[Correo],MATCH(ROW()-ROW(tblCapturaEntradas[#Headers]),tblUsuarios[OrdenBodega],0)),"")</f>
        <v/>
      </c>
      <c r="O9" s="40" t="str">
        <f>IF(tblCapturaEntradas[[#This Row],[Producto]]="","",TRIM(LEFT(tblCapturaEntradas[[#This Row],[Producto]],FIND(" · ",tblCapturaEntradas[[#This Row],[Producto]]&amp;" · ")-1)))</f>
        <v/>
      </c>
      <c r="P9" s="54" t="str">
        <f>IF(OR(tblCapturaEntradas[[#This Row],[Disponible]]="",NOT(ISNUMBER(tblCapturaEntradas[[#This Row],[Cantidad]])),N(tblCapturaEntradas[[#This Row],[Factor]])=0),"",tblCapturaEntradas[[#This Row],[Disponible]]+tblCapturaEntradas[[#This Row],[Cantidad]]*tblCapturaEntradas[[#This Row],[Factor]])</f>
        <v/>
      </c>
    </row>
    <row r="10" spans="2:16" ht="18" customHeight="1" x14ac:dyDescent="0.25">
      <c r="B10" s="47" t="str">
        <f>IFERROR(INDEX(tblUsuarios[Nombre],MATCH(ROW()-ROW(tblCapturaEntradas[#Headers]),tblUsuarios[OrdenBodega],0)),"")</f>
        <v/>
      </c>
      <c r="C10" s="48"/>
      <c r="D10" s="49"/>
      <c r="E10" s="48"/>
      <c r="F10" s="50"/>
      <c r="G10" s="48"/>
      <c r="H10" s="48"/>
      <c r="I10" s="51" t="str">
        <f>IF(OR(tblCapturaEntradas[[#This Row],[SKU]]="",tblCapturaEntradas[[#This Row],[Unidad]]="?"),"",SUMIFS(tblEntradas[CantidadNeta],tblEntradas[SKU],tblCapturaEntradas[[#This Row],[SKU]],tblEntradas[Estado],"✔*")+SUMIFS(tblSalidas[CantidadNeta],tblSalidas[SKU],tblCapturaEntradas[[#This Row],[SKU]],tblSalidas[Estado],"✔*"))</f>
        <v/>
      </c>
      <c r="J10"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0" s="52"/>
      <c r="L10" s="40" t="str">
        <f>IF(tblCapturaEntradas[[#This Row],[SKU]]="","",IFERROR(INDEX(tblProductos[Unidad],MATCH(tblCapturaEntradas[[#This Row],[SKU]],tblProductos[SKU],0)),"?"))</f>
        <v/>
      </c>
      <c r="M10" s="53" t="str">
        <f>IF(tblCapturaEntradas[[#This Row],[Tipo]]="","",IFERROR(INDEX(tblTiposMov[FactorStock],MATCH(tblCapturaEntradas[[#This Row],[Tipo]],tblTiposMov[Tipo],0))*(INDEX(tblTiposMov[Dominio],MATCH(tblCapturaEntradas[[#This Row],[Tipo]],tblTiposMov[Tipo],0))="BODEGA"),0))</f>
        <v/>
      </c>
      <c r="N10" s="47" t="str">
        <f>IFERROR(INDEX(tblUsuarios[Correo],MATCH(ROW()-ROW(tblCapturaEntradas[#Headers]),tblUsuarios[OrdenBodega],0)),"")</f>
        <v/>
      </c>
      <c r="O10" s="40" t="str">
        <f>IF(tblCapturaEntradas[[#This Row],[Producto]]="","",TRIM(LEFT(tblCapturaEntradas[[#This Row],[Producto]],FIND(" · ",tblCapturaEntradas[[#This Row],[Producto]]&amp;" · ")-1)))</f>
        <v/>
      </c>
      <c r="P10" s="54" t="str">
        <f>IF(OR(tblCapturaEntradas[[#This Row],[Disponible]]="",NOT(ISNUMBER(tblCapturaEntradas[[#This Row],[Cantidad]])),N(tblCapturaEntradas[[#This Row],[Factor]])=0),"",tblCapturaEntradas[[#This Row],[Disponible]]+tblCapturaEntradas[[#This Row],[Cantidad]]*tblCapturaEntradas[[#This Row],[Factor]])</f>
        <v/>
      </c>
    </row>
    <row r="11" spans="2:16" ht="18" customHeight="1" x14ac:dyDescent="0.25">
      <c r="B11" s="47" t="str">
        <f>IFERROR(INDEX(tblUsuarios[Nombre],MATCH(ROW()-ROW(tblCapturaEntradas[#Headers]),tblUsuarios[OrdenBodega],0)),"")</f>
        <v/>
      </c>
      <c r="C11" s="48"/>
      <c r="D11" s="49"/>
      <c r="E11" s="48"/>
      <c r="F11" s="50"/>
      <c r="G11" s="48"/>
      <c r="H11" s="48"/>
      <c r="I11" s="51" t="str">
        <f>IF(OR(tblCapturaEntradas[[#This Row],[SKU]]="",tblCapturaEntradas[[#This Row],[Unidad]]="?"),"",SUMIFS(tblEntradas[CantidadNeta],tblEntradas[SKU],tblCapturaEntradas[[#This Row],[SKU]],tblEntradas[Estado],"✔*")+SUMIFS(tblSalidas[CantidadNeta],tblSalidas[SKU],tblCapturaEntradas[[#This Row],[SKU]],tblSalidas[Estado],"✔*"))</f>
        <v/>
      </c>
      <c r="J11"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1" s="52"/>
      <c r="L11" s="40" t="str">
        <f>IF(tblCapturaEntradas[[#This Row],[SKU]]="","",IFERROR(INDEX(tblProductos[Unidad],MATCH(tblCapturaEntradas[[#This Row],[SKU]],tblProductos[SKU],0)),"?"))</f>
        <v/>
      </c>
      <c r="M11" s="53" t="str">
        <f>IF(tblCapturaEntradas[[#This Row],[Tipo]]="","",IFERROR(INDEX(tblTiposMov[FactorStock],MATCH(tblCapturaEntradas[[#This Row],[Tipo]],tblTiposMov[Tipo],0))*(INDEX(tblTiposMov[Dominio],MATCH(tblCapturaEntradas[[#This Row],[Tipo]],tblTiposMov[Tipo],0))="BODEGA"),0))</f>
        <v/>
      </c>
      <c r="N11" s="47" t="str">
        <f>IFERROR(INDEX(tblUsuarios[Correo],MATCH(ROW()-ROW(tblCapturaEntradas[#Headers]),tblUsuarios[OrdenBodega],0)),"")</f>
        <v/>
      </c>
      <c r="O11" s="40" t="str">
        <f>IF(tblCapturaEntradas[[#This Row],[Producto]]="","",TRIM(LEFT(tblCapturaEntradas[[#This Row],[Producto]],FIND(" · ",tblCapturaEntradas[[#This Row],[Producto]]&amp;" · ")-1)))</f>
        <v/>
      </c>
      <c r="P11" s="54" t="str">
        <f>IF(OR(tblCapturaEntradas[[#This Row],[Disponible]]="",NOT(ISNUMBER(tblCapturaEntradas[[#This Row],[Cantidad]])),N(tblCapturaEntradas[[#This Row],[Factor]])=0),"",tblCapturaEntradas[[#This Row],[Disponible]]+tblCapturaEntradas[[#This Row],[Cantidad]]*tblCapturaEntradas[[#This Row],[Factor]])</f>
        <v/>
      </c>
    </row>
    <row r="12" spans="2:16" ht="18" customHeight="1" x14ac:dyDescent="0.25">
      <c r="B12" s="47" t="str">
        <f>IFERROR(INDEX(tblUsuarios[Nombre],MATCH(ROW()-ROW(tblCapturaEntradas[#Headers]),tblUsuarios[OrdenBodega],0)),"")</f>
        <v/>
      </c>
      <c r="C12" s="48"/>
      <c r="D12" s="49"/>
      <c r="E12" s="48"/>
      <c r="F12" s="50"/>
      <c r="G12" s="48"/>
      <c r="H12" s="48"/>
      <c r="I12" s="51" t="str">
        <f>IF(OR(tblCapturaEntradas[[#This Row],[SKU]]="",tblCapturaEntradas[[#This Row],[Unidad]]="?"),"",SUMIFS(tblEntradas[CantidadNeta],tblEntradas[SKU],tblCapturaEntradas[[#This Row],[SKU]],tblEntradas[Estado],"✔*")+SUMIFS(tblSalidas[CantidadNeta],tblSalidas[SKU],tblCapturaEntradas[[#This Row],[SKU]],tblSalidas[Estado],"✔*"))</f>
        <v/>
      </c>
      <c r="J12"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2" s="52"/>
      <c r="L12" s="40" t="str">
        <f>IF(tblCapturaEntradas[[#This Row],[SKU]]="","",IFERROR(INDEX(tblProductos[Unidad],MATCH(tblCapturaEntradas[[#This Row],[SKU]],tblProductos[SKU],0)),"?"))</f>
        <v/>
      </c>
      <c r="M12" s="53" t="str">
        <f>IF(tblCapturaEntradas[[#This Row],[Tipo]]="","",IFERROR(INDEX(tblTiposMov[FactorStock],MATCH(tblCapturaEntradas[[#This Row],[Tipo]],tblTiposMov[Tipo],0))*(INDEX(tblTiposMov[Dominio],MATCH(tblCapturaEntradas[[#This Row],[Tipo]],tblTiposMov[Tipo],0))="BODEGA"),0))</f>
        <v/>
      </c>
      <c r="N12" s="47" t="str">
        <f>IFERROR(INDEX(tblUsuarios[Correo],MATCH(ROW()-ROW(tblCapturaEntradas[#Headers]),tblUsuarios[OrdenBodega],0)),"")</f>
        <v/>
      </c>
      <c r="O12" s="40" t="str">
        <f>IF(tblCapturaEntradas[[#This Row],[Producto]]="","",TRIM(LEFT(tblCapturaEntradas[[#This Row],[Producto]],FIND(" · ",tblCapturaEntradas[[#This Row],[Producto]]&amp;" · ")-1)))</f>
        <v/>
      </c>
      <c r="P12" s="54" t="str">
        <f>IF(OR(tblCapturaEntradas[[#This Row],[Disponible]]="",NOT(ISNUMBER(tblCapturaEntradas[[#This Row],[Cantidad]])),N(tblCapturaEntradas[[#This Row],[Factor]])=0),"",tblCapturaEntradas[[#This Row],[Disponible]]+tblCapturaEntradas[[#This Row],[Cantidad]]*tblCapturaEntradas[[#This Row],[Factor]])</f>
        <v/>
      </c>
    </row>
    <row r="13" spans="2:16" ht="18" customHeight="1" x14ac:dyDescent="0.25">
      <c r="B13" s="47" t="str">
        <f>IFERROR(INDEX(tblUsuarios[Nombre],MATCH(ROW()-ROW(tblCapturaEntradas[#Headers]),tblUsuarios[OrdenBodega],0)),"")</f>
        <v/>
      </c>
      <c r="C13" s="48"/>
      <c r="D13" s="49"/>
      <c r="E13" s="48"/>
      <c r="F13" s="50"/>
      <c r="G13" s="48"/>
      <c r="H13" s="48"/>
      <c r="I13" s="51" t="str">
        <f>IF(OR(tblCapturaEntradas[[#This Row],[SKU]]="",tblCapturaEntradas[[#This Row],[Unidad]]="?"),"",SUMIFS(tblEntradas[CantidadNeta],tblEntradas[SKU],tblCapturaEntradas[[#This Row],[SKU]],tblEntradas[Estado],"✔*")+SUMIFS(tblSalidas[CantidadNeta],tblSalidas[SKU],tblCapturaEntradas[[#This Row],[SKU]],tblSalidas[Estado],"✔*"))</f>
        <v/>
      </c>
      <c r="J13"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3" s="52"/>
      <c r="L13" s="40" t="str">
        <f>IF(tblCapturaEntradas[[#This Row],[SKU]]="","",IFERROR(INDEX(tblProductos[Unidad],MATCH(tblCapturaEntradas[[#This Row],[SKU]],tblProductos[SKU],0)),"?"))</f>
        <v/>
      </c>
      <c r="M13" s="53" t="str">
        <f>IF(tblCapturaEntradas[[#This Row],[Tipo]]="","",IFERROR(INDEX(tblTiposMov[FactorStock],MATCH(tblCapturaEntradas[[#This Row],[Tipo]],tblTiposMov[Tipo],0))*(INDEX(tblTiposMov[Dominio],MATCH(tblCapturaEntradas[[#This Row],[Tipo]],tblTiposMov[Tipo],0))="BODEGA"),0))</f>
        <v/>
      </c>
      <c r="N13" s="47" t="str">
        <f>IFERROR(INDEX(tblUsuarios[Correo],MATCH(ROW()-ROW(tblCapturaEntradas[#Headers]),tblUsuarios[OrdenBodega],0)),"")</f>
        <v/>
      </c>
      <c r="O13" s="40" t="str">
        <f>IF(tblCapturaEntradas[[#This Row],[Producto]]="","",TRIM(LEFT(tblCapturaEntradas[[#This Row],[Producto]],FIND(" · ",tblCapturaEntradas[[#This Row],[Producto]]&amp;" · ")-1)))</f>
        <v/>
      </c>
      <c r="P13" s="54" t="str">
        <f>IF(OR(tblCapturaEntradas[[#This Row],[Disponible]]="",NOT(ISNUMBER(tblCapturaEntradas[[#This Row],[Cantidad]])),N(tblCapturaEntradas[[#This Row],[Factor]])=0),"",tblCapturaEntradas[[#This Row],[Disponible]]+tblCapturaEntradas[[#This Row],[Cantidad]]*tblCapturaEntradas[[#This Row],[Factor]])</f>
        <v/>
      </c>
    </row>
    <row r="14" spans="2:16" ht="18" customHeight="1" x14ac:dyDescent="0.25">
      <c r="B14" s="47" t="str">
        <f>IFERROR(INDEX(tblUsuarios[Nombre],MATCH(ROW()-ROW(tblCapturaEntradas[#Headers]),tblUsuarios[OrdenBodega],0)),"")</f>
        <v/>
      </c>
      <c r="C14" s="48"/>
      <c r="D14" s="49"/>
      <c r="E14" s="48"/>
      <c r="F14" s="50"/>
      <c r="G14" s="48"/>
      <c r="H14" s="48"/>
      <c r="I14" s="51" t="str">
        <f>IF(OR(tblCapturaEntradas[[#This Row],[SKU]]="",tblCapturaEntradas[[#This Row],[Unidad]]="?"),"",SUMIFS(tblEntradas[CantidadNeta],tblEntradas[SKU],tblCapturaEntradas[[#This Row],[SKU]],tblEntradas[Estado],"✔*")+SUMIFS(tblSalidas[CantidadNeta],tblSalidas[SKU],tblCapturaEntradas[[#This Row],[SKU]],tblSalidas[Estado],"✔*"))</f>
        <v/>
      </c>
      <c r="J14"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4" s="52"/>
      <c r="L14" s="40" t="str">
        <f>IF(tblCapturaEntradas[[#This Row],[SKU]]="","",IFERROR(INDEX(tblProductos[Unidad],MATCH(tblCapturaEntradas[[#This Row],[SKU]],tblProductos[SKU],0)),"?"))</f>
        <v/>
      </c>
      <c r="M14" s="53" t="str">
        <f>IF(tblCapturaEntradas[[#This Row],[Tipo]]="","",IFERROR(INDEX(tblTiposMov[FactorStock],MATCH(tblCapturaEntradas[[#This Row],[Tipo]],tblTiposMov[Tipo],0))*(INDEX(tblTiposMov[Dominio],MATCH(tblCapturaEntradas[[#This Row],[Tipo]],tblTiposMov[Tipo],0))="BODEGA"),0))</f>
        <v/>
      </c>
      <c r="N14" s="47" t="str">
        <f>IFERROR(INDEX(tblUsuarios[Correo],MATCH(ROW()-ROW(tblCapturaEntradas[#Headers]),tblUsuarios[OrdenBodega],0)),"")</f>
        <v/>
      </c>
      <c r="O14" s="40" t="str">
        <f>IF(tblCapturaEntradas[[#This Row],[Producto]]="","",TRIM(LEFT(tblCapturaEntradas[[#This Row],[Producto]],FIND(" · ",tblCapturaEntradas[[#This Row],[Producto]]&amp;" · ")-1)))</f>
        <v/>
      </c>
      <c r="P14" s="54" t="str">
        <f>IF(OR(tblCapturaEntradas[[#This Row],[Disponible]]="",NOT(ISNUMBER(tblCapturaEntradas[[#This Row],[Cantidad]])),N(tblCapturaEntradas[[#This Row],[Factor]])=0),"",tblCapturaEntradas[[#This Row],[Disponible]]+tblCapturaEntradas[[#This Row],[Cantidad]]*tblCapturaEntradas[[#This Row],[Factor]])</f>
        <v/>
      </c>
    </row>
    <row r="15" spans="2:16" ht="18" customHeight="1" x14ac:dyDescent="0.25">
      <c r="B15" s="47" t="str">
        <f>IFERROR(INDEX(tblUsuarios[Nombre],MATCH(ROW()-ROW(tblCapturaEntradas[#Headers]),tblUsuarios[OrdenBodega],0)),"")</f>
        <v/>
      </c>
      <c r="C15" s="48"/>
      <c r="D15" s="49"/>
      <c r="E15" s="48"/>
      <c r="F15" s="50"/>
      <c r="G15" s="48"/>
      <c r="H15" s="48"/>
      <c r="I15" s="51" t="str">
        <f>IF(OR(tblCapturaEntradas[[#This Row],[SKU]]="",tblCapturaEntradas[[#This Row],[Unidad]]="?"),"",SUMIFS(tblEntradas[CantidadNeta],tblEntradas[SKU],tblCapturaEntradas[[#This Row],[SKU]],tblEntradas[Estado],"✔*")+SUMIFS(tblSalidas[CantidadNeta],tblSalidas[SKU],tblCapturaEntradas[[#This Row],[SKU]],tblSalidas[Estado],"✔*"))</f>
        <v/>
      </c>
      <c r="J15"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5" s="52"/>
      <c r="L15" s="40" t="str">
        <f>IF(tblCapturaEntradas[[#This Row],[SKU]]="","",IFERROR(INDEX(tblProductos[Unidad],MATCH(tblCapturaEntradas[[#This Row],[SKU]],tblProductos[SKU],0)),"?"))</f>
        <v/>
      </c>
      <c r="M15" s="53" t="str">
        <f>IF(tblCapturaEntradas[[#This Row],[Tipo]]="","",IFERROR(INDEX(tblTiposMov[FactorStock],MATCH(tblCapturaEntradas[[#This Row],[Tipo]],tblTiposMov[Tipo],0))*(INDEX(tblTiposMov[Dominio],MATCH(tblCapturaEntradas[[#This Row],[Tipo]],tblTiposMov[Tipo],0))="BODEGA"),0))</f>
        <v/>
      </c>
      <c r="N15" s="47" t="str">
        <f>IFERROR(INDEX(tblUsuarios[Correo],MATCH(ROW()-ROW(tblCapturaEntradas[#Headers]),tblUsuarios[OrdenBodega],0)),"")</f>
        <v/>
      </c>
      <c r="O15" s="40" t="str">
        <f>IF(tblCapturaEntradas[[#This Row],[Producto]]="","",TRIM(LEFT(tblCapturaEntradas[[#This Row],[Producto]],FIND(" · ",tblCapturaEntradas[[#This Row],[Producto]]&amp;" · ")-1)))</f>
        <v/>
      </c>
      <c r="P15" s="54" t="str">
        <f>IF(OR(tblCapturaEntradas[[#This Row],[Disponible]]="",NOT(ISNUMBER(tblCapturaEntradas[[#This Row],[Cantidad]])),N(tblCapturaEntradas[[#This Row],[Factor]])=0),"",tblCapturaEntradas[[#This Row],[Disponible]]+tblCapturaEntradas[[#This Row],[Cantidad]]*tblCapturaEntradas[[#This Row],[Factor]])</f>
        <v/>
      </c>
    </row>
    <row r="16" spans="2:16" ht="18" customHeight="1" x14ac:dyDescent="0.25">
      <c r="B16" s="47" t="str">
        <f>IFERROR(INDEX(tblUsuarios[Nombre],MATCH(ROW()-ROW(tblCapturaEntradas[#Headers]),tblUsuarios[OrdenBodega],0)),"")</f>
        <v/>
      </c>
      <c r="C16" s="48"/>
      <c r="D16" s="49"/>
      <c r="E16" s="48"/>
      <c r="F16" s="50"/>
      <c r="G16" s="48"/>
      <c r="H16" s="48"/>
      <c r="I16" s="51" t="str">
        <f>IF(OR(tblCapturaEntradas[[#This Row],[SKU]]="",tblCapturaEntradas[[#This Row],[Unidad]]="?"),"",SUMIFS(tblEntradas[CantidadNeta],tblEntradas[SKU],tblCapturaEntradas[[#This Row],[SKU]],tblEntradas[Estado],"✔*")+SUMIFS(tblSalidas[CantidadNeta],tblSalidas[SKU],tblCapturaEntradas[[#This Row],[SKU]],tblSalidas[Estado],"✔*"))</f>
        <v/>
      </c>
      <c r="J16"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6" s="52"/>
      <c r="L16" s="40" t="str">
        <f>IF(tblCapturaEntradas[[#This Row],[SKU]]="","",IFERROR(INDEX(tblProductos[Unidad],MATCH(tblCapturaEntradas[[#This Row],[SKU]],tblProductos[SKU],0)),"?"))</f>
        <v/>
      </c>
      <c r="M16" s="53" t="str">
        <f>IF(tblCapturaEntradas[[#This Row],[Tipo]]="","",IFERROR(INDEX(tblTiposMov[FactorStock],MATCH(tblCapturaEntradas[[#This Row],[Tipo]],tblTiposMov[Tipo],0))*(INDEX(tblTiposMov[Dominio],MATCH(tblCapturaEntradas[[#This Row],[Tipo]],tblTiposMov[Tipo],0))="BODEGA"),0))</f>
        <v/>
      </c>
      <c r="N16" s="47" t="str">
        <f>IFERROR(INDEX(tblUsuarios[Correo],MATCH(ROW()-ROW(tblCapturaEntradas[#Headers]),tblUsuarios[OrdenBodega],0)),"")</f>
        <v/>
      </c>
      <c r="O16" s="40" t="str">
        <f>IF(tblCapturaEntradas[[#This Row],[Producto]]="","",TRIM(LEFT(tblCapturaEntradas[[#This Row],[Producto]],FIND(" · ",tblCapturaEntradas[[#This Row],[Producto]]&amp;" · ")-1)))</f>
        <v/>
      </c>
      <c r="P16" s="54" t="str">
        <f>IF(OR(tblCapturaEntradas[[#This Row],[Disponible]]="",NOT(ISNUMBER(tblCapturaEntradas[[#This Row],[Cantidad]])),N(tblCapturaEntradas[[#This Row],[Factor]])=0),"",tblCapturaEntradas[[#This Row],[Disponible]]+tblCapturaEntradas[[#This Row],[Cantidad]]*tblCapturaEntradas[[#This Row],[Factor]])</f>
        <v/>
      </c>
    </row>
    <row r="17" spans="2:16" ht="18" customHeight="1" x14ac:dyDescent="0.25">
      <c r="B17" s="47" t="str">
        <f>IFERROR(INDEX(tblUsuarios[Nombre],MATCH(ROW()-ROW(tblCapturaEntradas[#Headers]),tblUsuarios[OrdenBodega],0)),"")</f>
        <v/>
      </c>
      <c r="C17" s="48"/>
      <c r="D17" s="49"/>
      <c r="E17" s="48"/>
      <c r="F17" s="50"/>
      <c r="G17" s="48"/>
      <c r="H17" s="48"/>
      <c r="I17" s="51" t="str">
        <f>IF(OR(tblCapturaEntradas[[#This Row],[SKU]]="",tblCapturaEntradas[[#This Row],[Unidad]]="?"),"",SUMIFS(tblEntradas[CantidadNeta],tblEntradas[SKU],tblCapturaEntradas[[#This Row],[SKU]],tblEntradas[Estado],"✔*")+SUMIFS(tblSalidas[CantidadNeta],tblSalidas[SKU],tblCapturaEntradas[[#This Row],[SKU]],tblSalidas[Estado],"✔*"))</f>
        <v/>
      </c>
      <c r="J17"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7" s="52"/>
      <c r="L17" s="40" t="str">
        <f>IF(tblCapturaEntradas[[#This Row],[SKU]]="","",IFERROR(INDEX(tblProductos[Unidad],MATCH(tblCapturaEntradas[[#This Row],[SKU]],tblProductos[SKU],0)),"?"))</f>
        <v/>
      </c>
      <c r="M17" s="53" t="str">
        <f>IF(tblCapturaEntradas[[#This Row],[Tipo]]="","",IFERROR(INDEX(tblTiposMov[FactorStock],MATCH(tblCapturaEntradas[[#This Row],[Tipo]],tblTiposMov[Tipo],0))*(INDEX(tblTiposMov[Dominio],MATCH(tblCapturaEntradas[[#This Row],[Tipo]],tblTiposMov[Tipo],0))="BODEGA"),0))</f>
        <v/>
      </c>
      <c r="N17" s="47" t="str">
        <f>IFERROR(INDEX(tblUsuarios[Correo],MATCH(ROW()-ROW(tblCapturaEntradas[#Headers]),tblUsuarios[OrdenBodega],0)),"")</f>
        <v/>
      </c>
      <c r="O17" s="40" t="str">
        <f>IF(tblCapturaEntradas[[#This Row],[Producto]]="","",TRIM(LEFT(tblCapturaEntradas[[#This Row],[Producto]],FIND(" · ",tblCapturaEntradas[[#This Row],[Producto]]&amp;" · ")-1)))</f>
        <v/>
      </c>
      <c r="P17" s="54" t="str">
        <f>IF(OR(tblCapturaEntradas[[#This Row],[Disponible]]="",NOT(ISNUMBER(tblCapturaEntradas[[#This Row],[Cantidad]])),N(tblCapturaEntradas[[#This Row],[Factor]])=0),"",tblCapturaEntradas[[#This Row],[Disponible]]+tblCapturaEntradas[[#This Row],[Cantidad]]*tblCapturaEntradas[[#This Row],[Factor]])</f>
        <v/>
      </c>
    </row>
    <row r="18" spans="2:16" ht="18" customHeight="1" x14ac:dyDescent="0.25">
      <c r="B18" s="47" t="str">
        <f>IFERROR(INDEX(tblUsuarios[Nombre],MATCH(ROW()-ROW(tblCapturaEntradas[#Headers]),tblUsuarios[OrdenBodega],0)),"")</f>
        <v/>
      </c>
      <c r="C18" s="48"/>
      <c r="D18" s="49"/>
      <c r="E18" s="48"/>
      <c r="F18" s="50"/>
      <c r="G18" s="48"/>
      <c r="H18" s="48"/>
      <c r="I18" s="51" t="str">
        <f>IF(OR(tblCapturaEntradas[[#This Row],[SKU]]="",tblCapturaEntradas[[#This Row],[Unidad]]="?"),"",SUMIFS(tblEntradas[CantidadNeta],tblEntradas[SKU],tblCapturaEntradas[[#This Row],[SKU]],tblEntradas[Estado],"✔*")+SUMIFS(tblSalidas[CantidadNeta],tblSalidas[SKU],tblCapturaEntradas[[#This Row],[SKU]],tblSalidas[Estado],"✔*"))</f>
        <v/>
      </c>
      <c r="J18"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8" s="52"/>
      <c r="L18" s="40" t="str">
        <f>IF(tblCapturaEntradas[[#This Row],[SKU]]="","",IFERROR(INDEX(tblProductos[Unidad],MATCH(tblCapturaEntradas[[#This Row],[SKU]],tblProductos[SKU],0)),"?"))</f>
        <v/>
      </c>
      <c r="M18" s="53" t="str">
        <f>IF(tblCapturaEntradas[[#This Row],[Tipo]]="","",IFERROR(INDEX(tblTiposMov[FactorStock],MATCH(tblCapturaEntradas[[#This Row],[Tipo]],tblTiposMov[Tipo],0))*(INDEX(tblTiposMov[Dominio],MATCH(tblCapturaEntradas[[#This Row],[Tipo]],tblTiposMov[Tipo],0))="BODEGA"),0))</f>
        <v/>
      </c>
      <c r="N18" s="47" t="str">
        <f>IFERROR(INDEX(tblUsuarios[Correo],MATCH(ROW()-ROW(tblCapturaEntradas[#Headers]),tblUsuarios[OrdenBodega],0)),"")</f>
        <v/>
      </c>
      <c r="O18" s="40" t="str">
        <f>IF(tblCapturaEntradas[[#This Row],[Producto]]="","",TRIM(LEFT(tblCapturaEntradas[[#This Row],[Producto]],FIND(" · ",tblCapturaEntradas[[#This Row],[Producto]]&amp;" · ")-1)))</f>
        <v/>
      </c>
      <c r="P18" s="54" t="str">
        <f>IF(OR(tblCapturaEntradas[[#This Row],[Disponible]]="",NOT(ISNUMBER(tblCapturaEntradas[[#This Row],[Cantidad]])),N(tblCapturaEntradas[[#This Row],[Factor]])=0),"",tblCapturaEntradas[[#This Row],[Disponible]]+tblCapturaEntradas[[#This Row],[Cantidad]]*tblCapturaEntradas[[#This Row],[Factor]])</f>
        <v/>
      </c>
    </row>
    <row r="19" spans="2:16" ht="18" customHeight="1" x14ac:dyDescent="0.25">
      <c r="B19" s="47" t="str">
        <f>IFERROR(INDEX(tblUsuarios[Nombre],MATCH(ROW()-ROW(tblCapturaEntradas[#Headers]),tblUsuarios[OrdenBodega],0)),"")</f>
        <v/>
      </c>
      <c r="C19" s="48"/>
      <c r="D19" s="49"/>
      <c r="E19" s="48"/>
      <c r="F19" s="50"/>
      <c r="G19" s="48"/>
      <c r="H19" s="48"/>
      <c r="I19" s="51" t="str">
        <f>IF(OR(tblCapturaEntradas[[#This Row],[SKU]]="",tblCapturaEntradas[[#This Row],[Unidad]]="?"),"",SUMIFS(tblEntradas[CantidadNeta],tblEntradas[SKU],tblCapturaEntradas[[#This Row],[SKU]],tblEntradas[Estado],"✔*")+SUMIFS(tblSalidas[CantidadNeta],tblSalidas[SKU],tblCapturaEntradas[[#This Row],[SKU]],tblSalidas[Estado],"✔*"))</f>
        <v/>
      </c>
      <c r="J19"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9" s="52"/>
      <c r="L19" s="40" t="str">
        <f>IF(tblCapturaEntradas[[#This Row],[SKU]]="","",IFERROR(INDEX(tblProductos[Unidad],MATCH(tblCapturaEntradas[[#This Row],[SKU]],tblProductos[SKU],0)),"?"))</f>
        <v/>
      </c>
      <c r="M19" s="53" t="str">
        <f>IF(tblCapturaEntradas[[#This Row],[Tipo]]="","",IFERROR(INDEX(tblTiposMov[FactorStock],MATCH(tblCapturaEntradas[[#This Row],[Tipo]],tblTiposMov[Tipo],0))*(INDEX(tblTiposMov[Dominio],MATCH(tblCapturaEntradas[[#This Row],[Tipo]],tblTiposMov[Tipo],0))="BODEGA"),0))</f>
        <v/>
      </c>
      <c r="N19" s="47" t="str">
        <f>IFERROR(INDEX(tblUsuarios[Correo],MATCH(ROW()-ROW(tblCapturaEntradas[#Headers]),tblUsuarios[OrdenBodega],0)),"")</f>
        <v/>
      </c>
      <c r="O19" s="40" t="str">
        <f>IF(tblCapturaEntradas[[#This Row],[Producto]]="","",TRIM(LEFT(tblCapturaEntradas[[#This Row],[Producto]],FIND(" · ",tblCapturaEntradas[[#This Row],[Producto]]&amp;" · ")-1)))</f>
        <v/>
      </c>
      <c r="P19" s="54" t="str">
        <f>IF(OR(tblCapturaEntradas[[#This Row],[Disponible]]="",NOT(ISNUMBER(tblCapturaEntradas[[#This Row],[Cantidad]])),N(tblCapturaEntradas[[#This Row],[Factor]])=0),"",tblCapturaEntradas[[#This Row],[Disponible]]+tblCapturaEntradas[[#This Row],[Cantidad]]*tblCapturaEntradas[[#This Row],[Factor]])</f>
        <v/>
      </c>
    </row>
    <row r="20" spans="2:16" ht="18" customHeight="1" x14ac:dyDescent="0.25">
      <c r="B20" s="47" t="str">
        <f>IFERROR(INDEX(tblUsuarios[Nombre],MATCH(ROW()-ROW(tblCapturaEntradas[#Headers]),tblUsuarios[OrdenBodega],0)),"")</f>
        <v/>
      </c>
      <c r="C20" s="48"/>
      <c r="D20" s="49"/>
      <c r="E20" s="48"/>
      <c r="F20" s="50"/>
      <c r="G20" s="48"/>
      <c r="H20" s="48"/>
      <c r="I20" s="51" t="str">
        <f>IF(OR(tblCapturaEntradas[[#This Row],[SKU]]="",tblCapturaEntradas[[#This Row],[Unidad]]="?"),"",SUMIFS(tblEntradas[CantidadNeta],tblEntradas[SKU],tblCapturaEntradas[[#This Row],[SKU]],tblEntradas[Estado],"✔*")+SUMIFS(tblSalidas[CantidadNeta],tblSalidas[SKU],tblCapturaEntradas[[#This Row],[SKU]],tblSalidas[Estado],"✔*"))</f>
        <v/>
      </c>
      <c r="J20"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0" s="52"/>
      <c r="L20" s="40" t="str">
        <f>IF(tblCapturaEntradas[[#This Row],[SKU]]="","",IFERROR(INDEX(tblProductos[Unidad],MATCH(tblCapturaEntradas[[#This Row],[SKU]],tblProductos[SKU],0)),"?"))</f>
        <v/>
      </c>
      <c r="M20" s="53" t="str">
        <f>IF(tblCapturaEntradas[[#This Row],[Tipo]]="","",IFERROR(INDEX(tblTiposMov[FactorStock],MATCH(tblCapturaEntradas[[#This Row],[Tipo]],tblTiposMov[Tipo],0))*(INDEX(tblTiposMov[Dominio],MATCH(tblCapturaEntradas[[#This Row],[Tipo]],tblTiposMov[Tipo],0))="BODEGA"),0))</f>
        <v/>
      </c>
      <c r="N20" s="47" t="str">
        <f>IFERROR(INDEX(tblUsuarios[Correo],MATCH(ROW()-ROW(tblCapturaEntradas[#Headers]),tblUsuarios[OrdenBodega],0)),"")</f>
        <v/>
      </c>
      <c r="O20" s="40" t="str">
        <f>IF(tblCapturaEntradas[[#This Row],[Producto]]="","",TRIM(LEFT(tblCapturaEntradas[[#This Row],[Producto]],FIND(" · ",tblCapturaEntradas[[#This Row],[Producto]]&amp;" · ")-1)))</f>
        <v/>
      </c>
      <c r="P20" s="54" t="str">
        <f>IF(OR(tblCapturaEntradas[[#This Row],[Disponible]]="",NOT(ISNUMBER(tblCapturaEntradas[[#This Row],[Cantidad]])),N(tblCapturaEntradas[[#This Row],[Factor]])=0),"",tblCapturaEntradas[[#This Row],[Disponible]]+tblCapturaEntradas[[#This Row],[Cantidad]]*tblCapturaEntradas[[#This Row],[Factor]])</f>
        <v/>
      </c>
    </row>
    <row r="21" spans="2:16" ht="18" customHeight="1" x14ac:dyDescent="0.25">
      <c r="B21" s="47" t="str">
        <f>IFERROR(INDEX(tblUsuarios[Nombre],MATCH(ROW()-ROW(tblCapturaEntradas[#Headers]),tblUsuarios[OrdenBodega],0)),"")</f>
        <v/>
      </c>
      <c r="C21" s="48"/>
      <c r="D21" s="49"/>
      <c r="E21" s="48"/>
      <c r="F21" s="50"/>
      <c r="G21" s="48"/>
      <c r="H21" s="48"/>
      <c r="I21" s="51" t="str">
        <f>IF(OR(tblCapturaEntradas[[#This Row],[SKU]]="",tblCapturaEntradas[[#This Row],[Unidad]]="?"),"",SUMIFS(tblEntradas[CantidadNeta],tblEntradas[SKU],tblCapturaEntradas[[#This Row],[SKU]],tblEntradas[Estado],"✔*")+SUMIFS(tblSalidas[CantidadNeta],tblSalidas[SKU],tblCapturaEntradas[[#This Row],[SKU]],tblSalidas[Estado],"✔*"))</f>
        <v/>
      </c>
      <c r="J21"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1" s="52"/>
      <c r="L21" s="40" t="str">
        <f>IF(tblCapturaEntradas[[#This Row],[SKU]]="","",IFERROR(INDEX(tblProductos[Unidad],MATCH(tblCapturaEntradas[[#This Row],[SKU]],tblProductos[SKU],0)),"?"))</f>
        <v/>
      </c>
      <c r="M21" s="53" t="str">
        <f>IF(tblCapturaEntradas[[#This Row],[Tipo]]="","",IFERROR(INDEX(tblTiposMov[FactorStock],MATCH(tblCapturaEntradas[[#This Row],[Tipo]],tblTiposMov[Tipo],0))*(INDEX(tblTiposMov[Dominio],MATCH(tblCapturaEntradas[[#This Row],[Tipo]],tblTiposMov[Tipo],0))="BODEGA"),0))</f>
        <v/>
      </c>
      <c r="N21" s="47" t="str">
        <f>IFERROR(INDEX(tblUsuarios[Correo],MATCH(ROW()-ROW(tblCapturaEntradas[#Headers]),tblUsuarios[OrdenBodega],0)),"")</f>
        <v/>
      </c>
      <c r="O21" s="40" t="str">
        <f>IF(tblCapturaEntradas[[#This Row],[Producto]]="","",TRIM(LEFT(tblCapturaEntradas[[#This Row],[Producto]],FIND(" · ",tblCapturaEntradas[[#This Row],[Producto]]&amp;" · ")-1)))</f>
        <v/>
      </c>
      <c r="P21" s="54" t="str">
        <f>IF(OR(tblCapturaEntradas[[#This Row],[Disponible]]="",NOT(ISNUMBER(tblCapturaEntradas[[#This Row],[Cantidad]])),N(tblCapturaEntradas[[#This Row],[Factor]])=0),"",tblCapturaEntradas[[#This Row],[Disponible]]+tblCapturaEntradas[[#This Row],[Cantidad]]*tblCapturaEntradas[[#This Row],[Factor]])</f>
        <v/>
      </c>
    </row>
    <row r="22" spans="2:16" ht="18" customHeight="1" x14ac:dyDescent="0.25">
      <c r="B22" s="47" t="str">
        <f>IFERROR(INDEX(tblUsuarios[Nombre],MATCH(ROW()-ROW(tblCapturaEntradas[#Headers]),tblUsuarios[OrdenBodega],0)),"")</f>
        <v/>
      </c>
      <c r="C22" s="48"/>
      <c r="D22" s="49"/>
      <c r="E22" s="48"/>
      <c r="F22" s="50"/>
      <c r="G22" s="48"/>
      <c r="H22" s="48"/>
      <c r="I22" s="51" t="str">
        <f>IF(OR(tblCapturaEntradas[[#This Row],[SKU]]="",tblCapturaEntradas[[#This Row],[Unidad]]="?"),"",SUMIFS(tblEntradas[CantidadNeta],tblEntradas[SKU],tblCapturaEntradas[[#This Row],[SKU]],tblEntradas[Estado],"✔*")+SUMIFS(tblSalidas[CantidadNeta],tblSalidas[SKU],tblCapturaEntradas[[#This Row],[SKU]],tblSalidas[Estado],"✔*"))</f>
        <v/>
      </c>
      <c r="J22"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2" s="52"/>
      <c r="L22" s="40" t="str">
        <f>IF(tblCapturaEntradas[[#This Row],[SKU]]="","",IFERROR(INDEX(tblProductos[Unidad],MATCH(tblCapturaEntradas[[#This Row],[SKU]],tblProductos[SKU],0)),"?"))</f>
        <v/>
      </c>
      <c r="M22" s="53" t="str">
        <f>IF(tblCapturaEntradas[[#This Row],[Tipo]]="","",IFERROR(INDEX(tblTiposMov[FactorStock],MATCH(tblCapturaEntradas[[#This Row],[Tipo]],tblTiposMov[Tipo],0))*(INDEX(tblTiposMov[Dominio],MATCH(tblCapturaEntradas[[#This Row],[Tipo]],tblTiposMov[Tipo],0))="BODEGA"),0))</f>
        <v/>
      </c>
      <c r="N22" s="47" t="str">
        <f>IFERROR(INDEX(tblUsuarios[Correo],MATCH(ROW()-ROW(tblCapturaEntradas[#Headers]),tblUsuarios[OrdenBodega],0)),"")</f>
        <v/>
      </c>
      <c r="O22" s="40" t="str">
        <f>IF(tblCapturaEntradas[[#This Row],[Producto]]="","",TRIM(LEFT(tblCapturaEntradas[[#This Row],[Producto]],FIND(" · ",tblCapturaEntradas[[#This Row],[Producto]]&amp;" · ")-1)))</f>
        <v/>
      </c>
      <c r="P22" s="54" t="str">
        <f>IF(OR(tblCapturaEntradas[[#This Row],[Disponible]]="",NOT(ISNUMBER(tblCapturaEntradas[[#This Row],[Cantidad]])),N(tblCapturaEntradas[[#This Row],[Factor]])=0),"",tblCapturaEntradas[[#This Row],[Disponible]]+tblCapturaEntradas[[#This Row],[Cantidad]]*tblCapturaEntradas[[#This Row],[Factor]])</f>
        <v/>
      </c>
    </row>
    <row r="23" spans="2:16" ht="18" customHeight="1" x14ac:dyDescent="0.25">
      <c r="B23" s="47" t="str">
        <f>IFERROR(INDEX(tblUsuarios[Nombre],MATCH(ROW()-ROW(tblCapturaEntradas[#Headers]),tblUsuarios[OrdenBodega],0)),"")</f>
        <v/>
      </c>
      <c r="C23" s="48"/>
      <c r="D23" s="49"/>
      <c r="E23" s="48"/>
      <c r="F23" s="50"/>
      <c r="G23" s="48"/>
      <c r="H23" s="48"/>
      <c r="I23" s="51" t="str">
        <f>IF(OR(tblCapturaEntradas[[#This Row],[SKU]]="",tblCapturaEntradas[[#This Row],[Unidad]]="?"),"",SUMIFS(tblEntradas[CantidadNeta],tblEntradas[SKU],tblCapturaEntradas[[#This Row],[SKU]],tblEntradas[Estado],"✔*")+SUMIFS(tblSalidas[CantidadNeta],tblSalidas[SKU],tblCapturaEntradas[[#This Row],[SKU]],tblSalidas[Estado],"✔*"))</f>
        <v/>
      </c>
      <c r="J23" s="41"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3" s="52"/>
      <c r="L23" s="40" t="str">
        <f>IF(tblCapturaEntradas[[#This Row],[SKU]]="","",IFERROR(INDEX(tblProductos[Unidad],MATCH(tblCapturaEntradas[[#This Row],[SKU]],tblProductos[SKU],0)),"?"))</f>
        <v/>
      </c>
      <c r="M23" s="53" t="str">
        <f>IF(tblCapturaEntradas[[#This Row],[Tipo]]="","",IFERROR(INDEX(tblTiposMov[FactorStock],MATCH(tblCapturaEntradas[[#This Row],[Tipo]],tblTiposMov[Tipo],0))*(INDEX(tblTiposMov[Dominio],MATCH(tblCapturaEntradas[[#This Row],[Tipo]],tblTiposMov[Tipo],0))="BODEGA"),0))</f>
        <v/>
      </c>
      <c r="N23" s="47" t="str">
        <f>IFERROR(INDEX(tblUsuarios[Correo],MATCH(ROW()-ROW(tblCapturaEntradas[#Headers]),tblUsuarios[OrdenBodega],0)),"")</f>
        <v/>
      </c>
      <c r="O23" s="40" t="str">
        <f>IF(tblCapturaEntradas[[#This Row],[Producto]]="","",TRIM(LEFT(tblCapturaEntradas[[#This Row],[Producto]],FIND(" · ",tblCapturaEntradas[[#This Row],[Producto]]&amp;" · ")-1)))</f>
        <v/>
      </c>
      <c r="P23" s="54" t="str">
        <f>IF(OR(tblCapturaEntradas[[#This Row],[Disponible]]="",NOT(ISNUMBER(tblCapturaEntradas[[#This Row],[Cantidad]])),N(tblCapturaEntradas[[#This Row],[Factor]])=0),"",tblCapturaEntradas[[#This Row],[Disponible]]+tblCapturaEntradas[[#This Row],[Cantidad]]*tblCapturaEntradas[[#This Row],[Factor]])</f>
        <v/>
      </c>
    </row>
    <row r="24" spans="2:16" s="7" customFormat="1" ht="9" customHeight="1" x14ac:dyDescent="0.25"/>
    <row r="25" spans="2:16" s="7" customFormat="1" ht="16.5" customHeight="1" x14ac:dyDescent="0.25">
      <c r="B25" s="7" t="s">
        <v>185</v>
      </c>
    </row>
    <row r="26" spans="2:16" s="7" customFormat="1" ht="14.25" x14ac:dyDescent="0.25">
      <c r="B26" s="37" t="s">
        <v>186</v>
      </c>
    </row>
    <row r="27" spans="2:16" ht="24" customHeight="1" x14ac:dyDescent="0.25">
      <c r="B27" s="15" t="s">
        <v>187</v>
      </c>
      <c r="C27" s="15" t="s">
        <v>40</v>
      </c>
      <c r="D27" s="15" t="s">
        <v>177</v>
      </c>
      <c r="E27" s="15" t="s">
        <v>112</v>
      </c>
      <c r="F27" s="15" t="s">
        <v>178</v>
      </c>
      <c r="G27" s="15" t="s">
        <v>179</v>
      </c>
      <c r="H27" s="15" t="s">
        <v>180</v>
      </c>
      <c r="I27" s="15" t="s">
        <v>188</v>
      </c>
      <c r="J27" s="15" t="s">
        <v>56</v>
      </c>
      <c r="K27" s="15" t="s">
        <v>189</v>
      </c>
      <c r="L27" s="15" t="s">
        <v>114</v>
      </c>
      <c r="M27" s="15" t="s">
        <v>41</v>
      </c>
      <c r="N27" s="15" t="s">
        <v>190</v>
      </c>
      <c r="O27" s="15" t="s">
        <v>111</v>
      </c>
      <c r="P27" s="15" t="s">
        <v>191</v>
      </c>
    </row>
    <row r="28" spans="2:16" x14ac:dyDescent="0.25">
      <c r="B28" s="55"/>
      <c r="C28" s="47"/>
      <c r="D28" s="56"/>
      <c r="E28" s="47"/>
      <c r="F28" s="54"/>
      <c r="G28" s="40"/>
      <c r="H28" s="47"/>
      <c r="I28" s="57"/>
      <c r="J28" s="41"/>
      <c r="K28" s="47"/>
      <c r="L28" s="40"/>
      <c r="M28" s="53"/>
      <c r="N28" s="47"/>
      <c r="O28" s="40"/>
      <c r="P28" s="58"/>
    </row>
  </sheetData>
  <sheetProtection password="930D" sheet="1" objects="1" scenarios="1" formatColumns="0" autoFilter="0"/>
  <protectedRanges>
    <protectedRange sqref="C9:H23" name="Captura Bodega"/>
  </protectedRanges>
  <mergeCells count="3">
    <mergeCell ref="C6:D6"/>
    <mergeCell ref="J6:K6"/>
    <mergeCell ref="F6:I6"/>
  </mergeCells>
  <conditionalFormatting sqref="B9:B23">
    <cfRule type="expression" dxfId="105" priority="17">
      <formula>$N9=""</formula>
    </cfRule>
    <cfRule type="expression" dxfId="104" priority="14">
      <formula>$N9&lt;&gt;""</formula>
    </cfRule>
  </conditionalFormatting>
  <conditionalFormatting sqref="B9:P23">
    <cfRule type="expression" dxfId="103" priority="3">
      <formula>$N9=""</formula>
    </cfRule>
  </conditionalFormatting>
  <conditionalFormatting sqref="B28:P20028">
    <cfRule type="expression" dxfId="102" priority="34">
      <formula>AND($B28&lt;&gt;"",MOD(ROW(),2)=0)</formula>
    </cfRule>
  </conditionalFormatting>
  <conditionalFormatting sqref="C28:C20028">
    <cfRule type="expression" dxfId="101" priority="26">
      <formula>$M28=1</formula>
    </cfRule>
    <cfRule type="expression" dxfId="100" priority="27">
      <formula>$M28=-1</formula>
    </cfRule>
  </conditionalFormatting>
  <conditionalFormatting sqref="F9:F23">
    <cfRule type="expression" dxfId="99" priority="15">
      <formula>AND(ISNUMBER(F9),F9&lt;&gt;INT(F9))</formula>
    </cfRule>
    <cfRule type="expression" dxfId="98" priority="1" stopIfTrue="1">
      <formula>AND(ISNUMBER($P9),$P9&lt;0)</formula>
    </cfRule>
  </conditionalFormatting>
  <conditionalFormatting sqref="F28:F20028">
    <cfRule type="expression" dxfId="97" priority="32">
      <formula>AND(ISNUMBER(F28),F28&lt;&gt;INT(F28))</formula>
    </cfRule>
    <cfRule type="expression" dxfId="96" priority="18" stopIfTrue="1">
      <formula>LEFT($J28,1)="✖"</formula>
    </cfRule>
  </conditionalFormatting>
  <conditionalFormatting sqref="I9:I23">
    <cfRule type="expression" dxfId="95" priority="2" stopIfTrue="1">
      <formula>AND(ISNUMBER($P9),$P9&lt;0)</formula>
    </cfRule>
    <cfRule type="expression" dxfId="94" priority="16">
      <formula>AND(ISNUMBER(I9),I9&lt;&gt;INT(I9))</formula>
    </cfRule>
  </conditionalFormatting>
  <conditionalFormatting sqref="I28:I20028">
    <cfRule type="expression" dxfId="93" priority="28">
      <formula>$M28=1</formula>
    </cfRule>
    <cfRule type="expression" dxfId="92" priority="29">
      <formula>$M28=-1</formula>
    </cfRule>
    <cfRule type="expression" dxfId="91" priority="33">
      <formula>AND(ISNUMBER(I28),I28&lt;&gt;INT(I28))</formula>
    </cfRule>
  </conditionalFormatting>
  <conditionalFormatting sqref="I28:J20028">
    <cfRule type="expression" dxfId="90" priority="19" stopIfTrue="1">
      <formula>LEFT($J28,1)="✖"</formula>
    </cfRule>
  </conditionalFormatting>
  <conditionalFormatting sqref="J9:J23">
    <cfRule type="expression" dxfId="89" priority="4">
      <formula>LEFT($J9,1)="✖"</formula>
    </cfRule>
    <cfRule type="expression" dxfId="88" priority="5">
      <formula>LEFT($J9,1)="⚠"</formula>
    </cfRule>
    <cfRule type="expression" dxfId="87" priority="6">
      <formula>LEFT($J9,1)="✔"</formula>
    </cfRule>
    <cfRule type="expression" dxfId="86" priority="7">
      <formula>LEFT($J9,1)="●"</formula>
    </cfRule>
    <cfRule type="expression" dxfId="85" priority="8">
      <formula>LEFT($J9,1)="○"</formula>
    </cfRule>
  </conditionalFormatting>
  <conditionalFormatting sqref="J28:J20028">
    <cfRule type="expression" dxfId="84" priority="21">
      <formula>LEFT($J28,1)="✖"</formula>
    </cfRule>
    <cfRule type="expression" dxfId="83" priority="22">
      <formula>LEFT($J28,1)="⚠"</formula>
    </cfRule>
    <cfRule type="expression" dxfId="82" priority="23">
      <formula>LEFT($J28,1)="✔"</formula>
    </cfRule>
    <cfRule type="expression" dxfId="81" priority="24">
      <formula>LEFT($J28,1)="●"</formula>
    </cfRule>
    <cfRule type="expression" dxfId="80" priority="25">
      <formula>LEFT($J28,1)="○"</formula>
    </cfRule>
  </conditionalFormatting>
  <conditionalFormatting sqref="K9:K23">
    <cfRule type="expression" dxfId="79" priority="9">
      <formula>LEFT($K9,1)="✖"</formula>
    </cfRule>
    <cfRule type="expression" dxfId="78" priority="10">
      <formula>LEFT($K9,1)="⚠"</formula>
    </cfRule>
    <cfRule type="expression" dxfId="77" priority="11">
      <formula>LEFT($K9,1)="✔"</formula>
    </cfRule>
    <cfRule type="expression" dxfId="76" priority="12">
      <formula>LEFT($K9,1)="●"</formula>
    </cfRule>
    <cfRule type="expression" dxfId="75" priority="13">
      <formula>LEFT($K9,1)="○"</formula>
    </cfRule>
  </conditionalFormatting>
  <conditionalFormatting sqref="M28:M20028">
    <cfRule type="expression" dxfId="74" priority="30">
      <formula>$M28=1</formula>
    </cfRule>
    <cfRule type="expression" dxfId="73" priority="31">
      <formula>$M28=-1</formula>
    </cfRule>
  </conditionalFormatting>
  <dataValidations count="36">
    <dataValidation allowBlank="1" showInputMessage="1" showErrorMessage="1" promptTitle="ƒx Usuario" prompt="Persona dueña de esta fila (según 02_USUARIOS). Escriba solo en SU fila." sqref="B8" xr:uid="{00000000-0002-0000-0800-000000000000}"/>
    <dataValidation allowBlank="1" showInputMessage="1" showErrorMessage="1" promptTitle="✎ Tipo" prompt="ENTRADA, SALDO INICIAL, AJUSTE (+) o AJUSTE (-). Alt + ↓ abre la lista." sqref="C8" xr:uid="{00000000-0002-0000-0800-000001000000}"/>
    <dataValidation allowBlank="1" showInputMessage="1" showErrorMessage="1" promptTitle="✎ Fecha" prompt="Opcional. Vacía = hoy. Para registrar un movimiento de otro día: dd/mm/aaaa." sqref="D8" xr:uid="{00000000-0002-0000-0800-000002000000}"/>
    <dataValidation allowBlank="1" showInputMessage="1" showErrorMessage="1" promptTitle="✎ Producto" prompt="Elija de la lista. Escriba parte del nombre o del SKU para filtrarla." sqref="E8" xr:uid="{00000000-0002-0000-0800-000003000000}"/>
    <dataValidation allowBlank="1" showInputMessage="1" showErrorMessage="1" promptTitle="✎ Cantidad" prompt="Siempre positiva, en la unidad del producto. El signo lo pone el tipo." sqref="F8" xr:uid="{00000000-0002-0000-0800-000004000000}"/>
    <dataValidation allowBlank="1" showInputMessage="1" showErrorMessage="1" promptTitle="✎ Documento" prompt="Opcional: factura, remisión, orden o cliente. Máximo 30 caracteres." sqref="G8" xr:uid="{00000000-0002-0000-0800-000005000000}"/>
    <dataValidation allowBlank="1" showInputMessage="1" showErrorMessage="1" promptTitle="✎ Observaciones" prompt="Obligatoria en los AJUSTES (motivo). Máximo 250 caracteres." sqref="H8" xr:uid="{00000000-0002-0000-0800-000006000000}"/>
    <dataValidation allowBlank="1" showInputMessage="1" showErrorMessage="1" promptTitle="ƒx Disponible" prompt="Stock exacto en este instante: suma de las dos bitácoras oficiales." sqref="I8" xr:uid="{00000000-0002-0000-0800-000007000000}"/>
    <dataValidation allowBlank="1" showInputMessage="1" showErrorMessage="1" promptTitle="ƒx Validación" prompt="✔ lista para registrar · ○ falta un dato · ✖ error que impide registrar." sqref="J8" xr:uid="{00000000-0002-0000-0800-000008000000}"/>
    <dataValidation allowBlank="1" showInputMessage="1" showErrorMessage="1" promptTitle="ƒx Resultado" prompt="Lo escribe el script al pulsar el botón: ✔ registrado (con ID) o ✖ bloqueado." sqref="K8" xr:uid="{00000000-0002-0000-0800-000009000000}"/>
    <dataValidation allowBlank="1" showInputMessage="1" showErrorMessage="1" promptTitle="ƒx Unidad" prompt="Unidad de medida del producto." sqref="L8" xr:uid="{00000000-0002-0000-0800-00000A000000}"/>
    <dataValidation allowBlank="1" showInputMessage="1" showErrorMessage="1" promptTitle="ƒx Factor" prompt="+1 suma al inventario, −1 resta." sqref="M8" xr:uid="{00000000-0002-0000-0800-00000B000000}"/>
    <dataValidation allowBlank="1" showInputMessage="1" showErrorMessage="1" promptTitle="ƒx Correo" prompt="Técnica (oculta): correo de Microsoft 365 del dueño de la fila." sqref="N8" xr:uid="{00000000-0002-0000-0800-00000C000000}"/>
    <dataValidation allowBlank="1" showInputMessage="1" showErrorMessage="1" promptTitle="ƒx SKU" prompt="Técnica (oculta): código extraído del producto." sqref="O8" xr:uid="{00000000-0002-0000-0800-00000D000000}"/>
    <dataValidation allowBlank="1" showInputMessage="1" showErrorMessage="1" promptTitle="ƒx Queda" prompt="Técnica (oculta): stock resultante si se registra." sqref="P8" xr:uid="{00000000-0002-0000-0800-00000E000000}"/>
    <dataValidation type="list" allowBlank="1" showInputMessage="1" showErrorMessage="1" errorTitle="Tipo no válido" error="Elija un tipo de la lista. Las salidas se registran en 10B_SALIDAS." promptTitle="Tipo de movimiento" prompt="ENTRADA, SALDO INICIAL, AJUSTE (+) o AJUSTE (-). Alt + ↓ abre la lista." sqref="C9:C23" xr:uid="{00000000-0002-0000-0800-00000F000000}">
      <formula1>lstTiposBodega</formula1>
    </dataValidation>
    <dataValidation type="date" allowBlank="1" showInputMessage="1" showErrorMessage="1" errorTitle="Fecha no válida" error="Use dd/mm/aaaa, sin fechas futuras ni anteriores a la mínima." promptTitle="Fecha (opcional)" prompt="Vacía = hoy. Otro día: dd/mm/aaaa. No se admiten fechas futuras." sqref="D9:D23" xr:uid="{00000000-0002-0000-0800-000010000000}">
      <formula1>cfgFechaMin</formula1>
      <formula2>TODAY()</formula2>
    </dataValidation>
    <dataValidation type="list" allowBlank="1" showInputMessage="1" showErrorMessage="1" errorTitle="Producto no válido" error="Elija un producto de la lista del catálogo." promptTitle="Producto" prompt="Elija de la lista. Escriba parte del nombre o del SKU para filtrarla. Nunca lo escriba completo a mano." sqref="E9:E23" xr:uid="{00000000-0002-0000-0800-000011000000}">
      <formula1>lstProductos</formula1>
    </dataValidation>
    <dataValidation type="custom" allowBlank="1" showInputMessage="1" showErrorMessage="1" errorTitle="Cantidad no válida" error="Debe ser mayor que 0. Si la unidad no admite decimales, use un entero." promptTitle="Cantidad" prompt="Mayor que 0, en la unidad del producto. UND, CAJA, PAQ, PAR y ROLLO: solo enteros." sqref="F9:F23" xr:uid="{00000000-0002-0000-0800-000012000000}">
      <formula1>AND(ISNUMBER(F9),F9&gt;0,IFERROR(OR(INDEX(lstUniDec,MATCH($L9,lstUniCod,0))="SI",F9=INT(F9)),TRUE))</formula1>
    </dataValidation>
    <dataValidation type="textLength" operator="lessThanOrEqual" allowBlank="1" showInputMessage="1" showErrorMessage="1" errorTitle="Texto muy largo" error="Máximo 30 caracteres." promptTitle="Documento (opcional)" prompt="Factura, remisión, orden o cliente." sqref="G9:G23" xr:uid="{00000000-0002-0000-0800-000013000000}">
      <formula1>30</formula1>
    </dataValidation>
    <dataValidation type="textLength" operator="lessThanOrEqual" allowBlank="1" showInputMessage="1" showErrorMessage="1" errorTitle="Texto muy largo" error="Máximo 250 caracteres." promptTitle="Observaciones" prompt="Obligatoria en los AJUSTES: explique el motivo." sqref="H9:H23" xr:uid="{00000000-0002-0000-0800-000014000000}">
      <formula1>250</formula1>
    </dataValidation>
    <dataValidation allowBlank="1" showInputMessage="1" showErrorMessage="1" promptTitle="ƒx ID" prompt="Identificador único generado por el script (fragmento-fecha-hora-aleatorio): no requiere coordinación." sqref="B27" xr:uid="{00000000-0002-0000-0800-000015000000}"/>
    <dataValidation allowBlank="1" showInputMessage="1" showErrorMessage="1" promptTitle="ƒx Tipo" prompt="Tipo de movimiento." sqref="C27" xr:uid="{00000000-0002-0000-0800-000016000000}"/>
    <dataValidation allowBlank="1" showInputMessage="1" showErrorMessage="1" promptTitle="ƒx Fecha" prompt="Fecha del movimiento (negocio)." sqref="D27" xr:uid="{00000000-0002-0000-0800-000017000000}"/>
    <dataValidation allowBlank="1" showInputMessage="1" showErrorMessage="1" promptTitle="ƒx Producto" prompt="Etiqueta SKU · Nombre al momento del registro." sqref="E27" xr:uid="{00000000-0002-0000-0800-000018000000}"/>
    <dataValidation allowBlank="1" showInputMessage="1" showErrorMessage="1" promptTitle="ƒx Cantidad" prompt="Cantidad positiva." sqref="F27" xr:uid="{00000000-0002-0000-0800-000019000000}"/>
    <dataValidation allowBlank="1" showInputMessage="1" showErrorMessage="1" promptTitle="ƒx Documento" prompt="Soporte del movimiento." sqref="G27" xr:uid="{00000000-0002-0000-0800-00001A000000}"/>
    <dataValidation allowBlank="1" showInputMessage="1" showErrorMessage="1" promptTitle="ƒx Observaciones" prompt="Detalle o motivo." sqref="H27" xr:uid="{00000000-0002-0000-0800-00001B000000}"/>
    <dataValidation allowBlank="1" showInputMessage="1" showErrorMessage="1" promptTitle="ƒx CantidadNeta" prompt="Cantidad × FactorStock: lo único que suma el stock." sqref="I27" xr:uid="{00000000-0002-0000-0800-00001C000000}"/>
    <dataValidation allowBlank="1" showInputMessage="1" showErrorMessage="1" promptTitle="ƒx Estado" prompt="✔ Consolidado o ✖ Rechazado (con motivo). Los rechazados no suman." sqref="J27" xr:uid="{00000000-0002-0000-0800-00001D000000}"/>
    <dataValidation allowBlank="1" showInputMessage="1" showErrorMessage="1" promptTitle="ƒx Registró" prompt="Nombre de quien ejecutó el script." sqref="K27" xr:uid="{00000000-0002-0000-0800-00001E000000}"/>
    <dataValidation allowBlank="1" showInputMessage="1" showErrorMessage="1" promptTitle="ƒx Unidad" prompt="Unidad de medida." sqref="L27" xr:uid="{00000000-0002-0000-0800-00001F000000}"/>
    <dataValidation allowBlank="1" showInputMessage="1" showErrorMessage="1" promptTitle="ƒx FactorStock" prompt="+1 o −1 según el tipo." sqref="M27" xr:uid="{00000000-0002-0000-0800-000020000000}"/>
    <dataValidation allowBlank="1" showInputMessage="1" showErrorMessage="1" promptTitle="ƒx Usuario_O365" prompt="Auditoría (oculta): correo de Microsoft 365 que ejecutó el script." sqref="N27" xr:uid="{00000000-0002-0000-0800-000021000000}"/>
    <dataValidation allowBlank="1" showInputMessage="1" showErrorMessage="1" promptTitle="ƒx SKU" prompt="Técnica (oculta): clave del producto." sqref="O27" xr:uid="{00000000-0002-0000-0800-000022000000}"/>
    <dataValidation allowBlank="1" showInputMessage="1" showErrorMessage="1" promptTitle="ƒx Timestamp" prompt="Auditoría (oculta): fecha y hora exactas del registro." sqref="P27" xr:uid="{00000000-0002-0000-0800-000023000000}"/>
  </dataValidations>
  <hyperlinks>
    <hyperlink ref="B5" location="'00_PORTADA_BODEGA'!A1" tooltip="Portada de Bodega" display="⌂ Bodega" xr:uid="{00000000-0004-0000-0800-000000000000}"/>
    <hyperlink ref="C5" location="'00_PORTADA_VENTAS'!A1" tooltip="Portada de Ventas" display="⌂ Ventas" xr:uid="{00000000-0004-0000-0800-000001000000}"/>
    <hyperlink ref="D5" location="'10A_ENTRADAS'!C9" tooltip="Registrar entradas y ajustes (Bodega)" display="⇩ Entradas" xr:uid="{00000000-0004-0000-0800-000002000000}"/>
    <hyperlink ref="E5" location="'10B_SALIDAS'!E9" tooltip="Registrar salidas (Ventas)" display="⇧ Salidas" xr:uid="{00000000-0004-0000-0800-000003000000}"/>
    <hyperlink ref="F5" location="'15_STOCK'!A1" tooltip="Stock (instantánea recalculada a demanda)" display="▦ Stock" xr:uid="{00000000-0004-0000-0800-000004000000}"/>
    <hyperlink ref="G5" location="'16_ALERTAS'!A1" tooltip="Productos que requieren acción" display="⚠ Alertas" xr:uid="{00000000-0004-0000-0800-000005000000}"/>
    <hyperlink ref="H5" location="'05_PRODUCTOS'!A1" tooltip="Catálogo de productos" display="☰ Catálogo" xr:uid="{00000000-0004-0000-0800-000006000000}"/>
    <hyperlink ref="I5" location="'99_AYUDA'!A1" tooltip="Guía de uso y de instalación" display="? Guía" xr:uid="{00000000-0004-0000-0800-000007000000}"/>
  </hyperlinks>
  <pageMargins left="0.7" right="0.7" top="0.75" bottom="0.75" header="0.3" footer="0.3"/>
  <pageSetup fitToHeight="0" orientation="landscape"/>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D47A1"/>
    <pageSetUpPr fitToPage="1"/>
  </sheetPr>
  <dimension ref="B1:P28"/>
  <sheetViews>
    <sheetView showGridLines="0" showRowColHeaders="0" zoomScale="85" zoomScaleNormal="85" workbookViewId="0">
      <pane ySplit="6" topLeftCell="A7" activePane="bottomLeft" state="frozen"/>
      <selection pane="bottomLeft" activeCell="D9" sqref="D9"/>
    </sheetView>
  </sheetViews>
  <sheetFormatPr baseColWidth="10" defaultColWidth="0" defaultRowHeight="15" zeroHeight="1" x14ac:dyDescent="0.25"/>
  <cols>
    <col min="1" max="1" width="2.28515625" customWidth="1"/>
    <col min="2" max="2" width="24" customWidth="1"/>
    <col min="3" max="3" width="16" customWidth="1"/>
    <col min="4" max="4" width="13.140625" customWidth="1"/>
    <col min="5" max="5" width="38.5703125" customWidth="1"/>
    <col min="6" max="6" width="13.7109375" customWidth="1"/>
    <col min="7" max="7" width="16.85546875" customWidth="1"/>
    <col min="8" max="8" width="25.7109375" customWidth="1"/>
    <col min="9" max="9" width="17.140625" customWidth="1"/>
    <col min="10" max="11" width="34.28515625" customWidth="1"/>
    <col min="12" max="12" width="10.5703125" customWidth="1"/>
    <col min="13" max="13" width="15.140625" customWidth="1"/>
    <col min="14" max="14" width="32.85546875" hidden="1" customWidth="1"/>
    <col min="15" max="15" width="12.85546875" hidden="1" customWidth="1"/>
    <col min="16" max="16" width="20" hidden="1" customWidth="1"/>
    <col min="17" max="17" width="2.28515625" customWidth="1"/>
    <col min="18" max="18" width="0" hidden="1" customWidth="1"/>
  </cols>
  <sheetData>
    <row r="1" spans="2:16" s="1" customFormat="1" ht="4.5" customHeight="1" x14ac:dyDescent="0.25"/>
    <row r="2" spans="2:16" s="1" customFormat="1" ht="22.5" customHeight="1" x14ac:dyDescent="0.25">
      <c r="B2" s="2" t="s">
        <v>194</v>
      </c>
    </row>
    <row r="3" spans="2:16" s="1" customFormat="1" ht="14.25" x14ac:dyDescent="0.25">
      <c r="B3" s="13" t="s">
        <v>195</v>
      </c>
    </row>
    <row r="4" spans="2:16" s="1" customFormat="1" ht="4.5" customHeight="1" x14ac:dyDescent="0.25"/>
    <row r="5" spans="2:16" s="4" customFormat="1" ht="21" customHeight="1" x14ac:dyDescent="0.25">
      <c r="B5" s="6" t="s">
        <v>82</v>
      </c>
      <c r="C5" s="6" t="s">
        <v>83</v>
      </c>
      <c r="D5" s="6" t="s">
        <v>84</v>
      </c>
      <c r="E5" s="5" t="s">
        <v>85</v>
      </c>
      <c r="F5" s="6" t="s">
        <v>86</v>
      </c>
      <c r="G5" s="6" t="s">
        <v>87</v>
      </c>
      <c r="H5" s="6" t="s">
        <v>88</v>
      </c>
      <c r="I5" s="6" t="s">
        <v>89</v>
      </c>
    </row>
    <row r="6" spans="2:16" s="7" customFormat="1" ht="22.5" customHeight="1" x14ac:dyDescent="0.25">
      <c r="B6" s="36" t="str">
        <f>"Registros: "&amp;FIXED(kpiRegSal,0)</f>
        <v>Registros: 0</v>
      </c>
      <c r="C6" s="108" t="str">
        <f>IF(kpiRechSal=0,"✔ Sin rechazos","✖ Rechazados: "&amp;kpiRechSal)</f>
        <v>✔ Sin rechazos</v>
      </c>
      <c r="D6" s="108"/>
      <c r="E6" s="36" t="str">
        <f ca="1">"Pendientes en captura: "&amp;kpiPendSal</f>
        <v>Pendientes en captura: 0</v>
      </c>
      <c r="F6" s="109" t="s">
        <v>193</v>
      </c>
      <c r="G6" s="109"/>
      <c r="H6" s="109"/>
      <c r="I6" s="109"/>
      <c r="J6" s="83" t="s">
        <v>196</v>
      </c>
      <c r="K6" s="83"/>
    </row>
    <row r="7" spans="2:16" s="7" customFormat="1" ht="16.5" customHeight="1" x14ac:dyDescent="0.25">
      <c r="B7" s="7" t="s">
        <v>175</v>
      </c>
    </row>
    <row r="8" spans="2:16" ht="25.5" customHeight="1" x14ac:dyDescent="0.25">
      <c r="B8" s="15" t="s">
        <v>176</v>
      </c>
      <c r="C8" s="15" t="s">
        <v>40</v>
      </c>
      <c r="D8" s="16" t="s">
        <v>177</v>
      </c>
      <c r="E8" s="16" t="s">
        <v>112</v>
      </c>
      <c r="F8" s="16" t="s">
        <v>178</v>
      </c>
      <c r="G8" s="16" t="s">
        <v>179</v>
      </c>
      <c r="H8" s="16" t="s">
        <v>180</v>
      </c>
      <c r="I8" s="15" t="s">
        <v>181</v>
      </c>
      <c r="J8" s="15" t="s">
        <v>96</v>
      </c>
      <c r="K8" s="15" t="s">
        <v>182</v>
      </c>
      <c r="L8" s="15" t="s">
        <v>114</v>
      </c>
      <c r="M8" s="15" t="s">
        <v>183</v>
      </c>
      <c r="N8" s="15" t="s">
        <v>90</v>
      </c>
      <c r="O8" s="15" t="s">
        <v>111</v>
      </c>
      <c r="P8" s="15" t="s">
        <v>184</v>
      </c>
    </row>
    <row r="9" spans="2:16" ht="18" customHeight="1" x14ac:dyDescent="0.25">
      <c r="B9" s="47" t="str">
        <f>IFERROR(INDEX(tblUsuarios[Nombre],MATCH(ROW()-ROW(tblCapturaSalidas[#Headers]),tblUsuarios[OrdenVentas],0)),"")</f>
        <v/>
      </c>
      <c r="C9" s="47" t="str">
        <f>IF(tblCapturaSalidas[[#This Row],[Correo]]="","","SALIDA")</f>
        <v/>
      </c>
      <c r="D9" s="49"/>
      <c r="E9" s="48"/>
      <c r="F9" s="50"/>
      <c r="G9" s="48"/>
      <c r="H9" s="48"/>
      <c r="I9" s="51" t="str">
        <f>IF(OR(tblCapturaSalidas[[#This Row],[SKU]]="",tblCapturaSalidas[[#This Row],[Unidad]]="?"),"",SUMIFS(tblEntradas[CantidadNeta],tblEntradas[SKU],tblCapturaSalidas[[#This Row],[SKU]],tblEntradas[Estado],"✔*")+SUMIFS(tblSalidas[CantidadNeta],tblSalidas[SKU],tblCapturaSalidas[[#This Row],[SKU]],tblSalidas[Estado],"✔*"))</f>
        <v/>
      </c>
      <c r="J9"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9" s="52"/>
      <c r="L9" s="40" t="str">
        <f>IF(tblCapturaSalidas[[#This Row],[SKU]]="","",IFERROR(INDEX(tblProductos[Unidad],MATCH(tblCapturaSalidas[[#This Row],[SKU]],tblProductos[SKU],0)),"?"))</f>
        <v/>
      </c>
      <c r="M9" s="53" t="str">
        <f>IF(tblCapturaSalidas[[#This Row],[Correo]]="","",-1)</f>
        <v/>
      </c>
      <c r="N9" s="47" t="str">
        <f>IFERROR(INDEX(tblUsuarios[Correo],MATCH(ROW()-ROW(tblCapturaSalidas[#Headers]),tblUsuarios[OrdenVentas],0)),"")</f>
        <v/>
      </c>
      <c r="O9" s="40" t="str">
        <f>IF(tblCapturaSalidas[[#This Row],[Producto]]="","",TRIM(LEFT(tblCapturaSalidas[[#This Row],[Producto]],FIND(" · ",tblCapturaSalidas[[#This Row],[Producto]]&amp;" · ")-1)))</f>
        <v/>
      </c>
      <c r="P9" s="54" t="str">
        <f>IF(OR(tblCapturaSalidas[[#This Row],[Disponible]]="",NOT(ISNUMBER(tblCapturaSalidas[[#This Row],[Cantidad]])),N(tblCapturaSalidas[[#This Row],[Factor]])=0),"",tblCapturaSalidas[[#This Row],[Disponible]]+tblCapturaSalidas[[#This Row],[Cantidad]]*tblCapturaSalidas[[#This Row],[Factor]])</f>
        <v/>
      </c>
    </row>
    <row r="10" spans="2:16" ht="18" customHeight="1" x14ac:dyDescent="0.25">
      <c r="B10" s="47" t="str">
        <f>IFERROR(INDEX(tblUsuarios[Nombre],MATCH(ROW()-ROW(tblCapturaSalidas[#Headers]),tblUsuarios[OrdenVentas],0)),"")</f>
        <v/>
      </c>
      <c r="C10" s="47" t="str">
        <f>IF(tblCapturaSalidas[[#This Row],[Correo]]="","","SALIDA")</f>
        <v/>
      </c>
      <c r="D10" s="49"/>
      <c r="E10" s="48"/>
      <c r="F10" s="50"/>
      <c r="G10" s="48"/>
      <c r="H10" s="48"/>
      <c r="I10" s="51" t="str">
        <f>IF(OR(tblCapturaSalidas[[#This Row],[SKU]]="",tblCapturaSalidas[[#This Row],[Unidad]]="?"),"",SUMIFS(tblEntradas[CantidadNeta],tblEntradas[SKU],tblCapturaSalidas[[#This Row],[SKU]],tblEntradas[Estado],"✔*")+SUMIFS(tblSalidas[CantidadNeta],tblSalidas[SKU],tblCapturaSalidas[[#This Row],[SKU]],tblSalidas[Estado],"✔*"))</f>
        <v/>
      </c>
      <c r="J10"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0" s="52"/>
      <c r="L10" s="40" t="str">
        <f>IF(tblCapturaSalidas[[#This Row],[SKU]]="","",IFERROR(INDEX(tblProductos[Unidad],MATCH(tblCapturaSalidas[[#This Row],[SKU]],tblProductos[SKU],0)),"?"))</f>
        <v/>
      </c>
      <c r="M10" s="53" t="str">
        <f>IF(tblCapturaSalidas[[#This Row],[Correo]]="","",-1)</f>
        <v/>
      </c>
      <c r="N10" s="47" t="str">
        <f>IFERROR(INDEX(tblUsuarios[Correo],MATCH(ROW()-ROW(tblCapturaSalidas[#Headers]),tblUsuarios[OrdenVentas],0)),"")</f>
        <v/>
      </c>
      <c r="O10" s="40" t="str">
        <f>IF(tblCapturaSalidas[[#This Row],[Producto]]="","",TRIM(LEFT(tblCapturaSalidas[[#This Row],[Producto]],FIND(" · ",tblCapturaSalidas[[#This Row],[Producto]]&amp;" · ")-1)))</f>
        <v/>
      </c>
      <c r="P10" s="54" t="str">
        <f>IF(OR(tblCapturaSalidas[[#This Row],[Disponible]]="",NOT(ISNUMBER(tblCapturaSalidas[[#This Row],[Cantidad]])),N(tblCapturaSalidas[[#This Row],[Factor]])=0),"",tblCapturaSalidas[[#This Row],[Disponible]]+tblCapturaSalidas[[#This Row],[Cantidad]]*tblCapturaSalidas[[#This Row],[Factor]])</f>
        <v/>
      </c>
    </row>
    <row r="11" spans="2:16" ht="18" customHeight="1" x14ac:dyDescent="0.25">
      <c r="B11" s="47" t="str">
        <f>IFERROR(INDEX(tblUsuarios[Nombre],MATCH(ROW()-ROW(tblCapturaSalidas[#Headers]),tblUsuarios[OrdenVentas],0)),"")</f>
        <v/>
      </c>
      <c r="C11" s="47" t="str">
        <f>IF(tblCapturaSalidas[[#This Row],[Correo]]="","","SALIDA")</f>
        <v/>
      </c>
      <c r="D11" s="49"/>
      <c r="E11" s="48"/>
      <c r="F11" s="50"/>
      <c r="G11" s="48"/>
      <c r="H11" s="48"/>
      <c r="I11" s="51" t="str">
        <f>IF(OR(tblCapturaSalidas[[#This Row],[SKU]]="",tblCapturaSalidas[[#This Row],[Unidad]]="?"),"",SUMIFS(tblEntradas[CantidadNeta],tblEntradas[SKU],tblCapturaSalidas[[#This Row],[SKU]],tblEntradas[Estado],"✔*")+SUMIFS(tblSalidas[CantidadNeta],tblSalidas[SKU],tblCapturaSalidas[[#This Row],[SKU]],tblSalidas[Estado],"✔*"))</f>
        <v/>
      </c>
      <c r="J11"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1" s="52"/>
      <c r="L11" s="40" t="str">
        <f>IF(tblCapturaSalidas[[#This Row],[SKU]]="","",IFERROR(INDEX(tblProductos[Unidad],MATCH(tblCapturaSalidas[[#This Row],[SKU]],tblProductos[SKU],0)),"?"))</f>
        <v/>
      </c>
      <c r="M11" s="53" t="str">
        <f>IF(tblCapturaSalidas[[#This Row],[Correo]]="","",-1)</f>
        <v/>
      </c>
      <c r="N11" s="47" t="str">
        <f>IFERROR(INDEX(tblUsuarios[Correo],MATCH(ROW()-ROW(tblCapturaSalidas[#Headers]),tblUsuarios[OrdenVentas],0)),"")</f>
        <v/>
      </c>
      <c r="O11" s="40" t="str">
        <f>IF(tblCapturaSalidas[[#This Row],[Producto]]="","",TRIM(LEFT(tblCapturaSalidas[[#This Row],[Producto]],FIND(" · ",tblCapturaSalidas[[#This Row],[Producto]]&amp;" · ")-1)))</f>
        <v/>
      </c>
      <c r="P11" s="54" t="str">
        <f>IF(OR(tblCapturaSalidas[[#This Row],[Disponible]]="",NOT(ISNUMBER(tblCapturaSalidas[[#This Row],[Cantidad]])),N(tblCapturaSalidas[[#This Row],[Factor]])=0),"",tblCapturaSalidas[[#This Row],[Disponible]]+tblCapturaSalidas[[#This Row],[Cantidad]]*tblCapturaSalidas[[#This Row],[Factor]])</f>
        <v/>
      </c>
    </row>
    <row r="12" spans="2:16" ht="18" customHeight="1" x14ac:dyDescent="0.25">
      <c r="B12" s="47" t="str">
        <f>IFERROR(INDEX(tblUsuarios[Nombre],MATCH(ROW()-ROW(tblCapturaSalidas[#Headers]),tblUsuarios[OrdenVentas],0)),"")</f>
        <v/>
      </c>
      <c r="C12" s="47" t="str">
        <f>IF(tblCapturaSalidas[[#This Row],[Correo]]="","","SALIDA")</f>
        <v/>
      </c>
      <c r="D12" s="49"/>
      <c r="E12" s="48"/>
      <c r="F12" s="50"/>
      <c r="G12" s="48"/>
      <c r="H12" s="48"/>
      <c r="I12" s="51" t="str">
        <f>IF(OR(tblCapturaSalidas[[#This Row],[SKU]]="",tblCapturaSalidas[[#This Row],[Unidad]]="?"),"",SUMIFS(tblEntradas[CantidadNeta],tblEntradas[SKU],tblCapturaSalidas[[#This Row],[SKU]],tblEntradas[Estado],"✔*")+SUMIFS(tblSalidas[CantidadNeta],tblSalidas[SKU],tblCapturaSalidas[[#This Row],[SKU]],tblSalidas[Estado],"✔*"))</f>
        <v/>
      </c>
      <c r="J12"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2" s="52"/>
      <c r="L12" s="40" t="str">
        <f>IF(tblCapturaSalidas[[#This Row],[SKU]]="","",IFERROR(INDEX(tblProductos[Unidad],MATCH(tblCapturaSalidas[[#This Row],[SKU]],tblProductos[SKU],0)),"?"))</f>
        <v/>
      </c>
      <c r="M12" s="53" t="str">
        <f>IF(tblCapturaSalidas[[#This Row],[Correo]]="","",-1)</f>
        <v/>
      </c>
      <c r="N12" s="47" t="str">
        <f>IFERROR(INDEX(tblUsuarios[Correo],MATCH(ROW()-ROW(tblCapturaSalidas[#Headers]),tblUsuarios[OrdenVentas],0)),"")</f>
        <v/>
      </c>
      <c r="O12" s="40" t="str">
        <f>IF(tblCapturaSalidas[[#This Row],[Producto]]="","",TRIM(LEFT(tblCapturaSalidas[[#This Row],[Producto]],FIND(" · ",tblCapturaSalidas[[#This Row],[Producto]]&amp;" · ")-1)))</f>
        <v/>
      </c>
      <c r="P12" s="54" t="str">
        <f>IF(OR(tblCapturaSalidas[[#This Row],[Disponible]]="",NOT(ISNUMBER(tblCapturaSalidas[[#This Row],[Cantidad]])),N(tblCapturaSalidas[[#This Row],[Factor]])=0),"",tblCapturaSalidas[[#This Row],[Disponible]]+tblCapturaSalidas[[#This Row],[Cantidad]]*tblCapturaSalidas[[#This Row],[Factor]])</f>
        <v/>
      </c>
    </row>
    <row r="13" spans="2:16" ht="18" customHeight="1" x14ac:dyDescent="0.25">
      <c r="B13" s="47" t="str">
        <f>IFERROR(INDEX(tblUsuarios[Nombre],MATCH(ROW()-ROW(tblCapturaSalidas[#Headers]),tblUsuarios[OrdenVentas],0)),"")</f>
        <v/>
      </c>
      <c r="C13" s="47" t="str">
        <f>IF(tblCapturaSalidas[[#This Row],[Correo]]="","","SALIDA")</f>
        <v/>
      </c>
      <c r="D13" s="49"/>
      <c r="E13" s="48"/>
      <c r="F13" s="50"/>
      <c r="G13" s="48"/>
      <c r="H13" s="48"/>
      <c r="I13" s="51" t="str">
        <f>IF(OR(tblCapturaSalidas[[#This Row],[SKU]]="",tblCapturaSalidas[[#This Row],[Unidad]]="?"),"",SUMIFS(tblEntradas[CantidadNeta],tblEntradas[SKU],tblCapturaSalidas[[#This Row],[SKU]],tblEntradas[Estado],"✔*")+SUMIFS(tblSalidas[CantidadNeta],tblSalidas[SKU],tblCapturaSalidas[[#This Row],[SKU]],tblSalidas[Estado],"✔*"))</f>
        <v/>
      </c>
      <c r="J13"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3" s="52"/>
      <c r="L13" s="40" t="str">
        <f>IF(tblCapturaSalidas[[#This Row],[SKU]]="","",IFERROR(INDEX(tblProductos[Unidad],MATCH(tblCapturaSalidas[[#This Row],[SKU]],tblProductos[SKU],0)),"?"))</f>
        <v/>
      </c>
      <c r="M13" s="53" t="str">
        <f>IF(tblCapturaSalidas[[#This Row],[Correo]]="","",-1)</f>
        <v/>
      </c>
      <c r="N13" s="47" t="str">
        <f>IFERROR(INDEX(tblUsuarios[Correo],MATCH(ROW()-ROW(tblCapturaSalidas[#Headers]),tblUsuarios[OrdenVentas],0)),"")</f>
        <v/>
      </c>
      <c r="O13" s="40" t="str">
        <f>IF(tblCapturaSalidas[[#This Row],[Producto]]="","",TRIM(LEFT(tblCapturaSalidas[[#This Row],[Producto]],FIND(" · ",tblCapturaSalidas[[#This Row],[Producto]]&amp;" · ")-1)))</f>
        <v/>
      </c>
      <c r="P13" s="54" t="str">
        <f>IF(OR(tblCapturaSalidas[[#This Row],[Disponible]]="",NOT(ISNUMBER(tblCapturaSalidas[[#This Row],[Cantidad]])),N(tblCapturaSalidas[[#This Row],[Factor]])=0),"",tblCapturaSalidas[[#This Row],[Disponible]]+tblCapturaSalidas[[#This Row],[Cantidad]]*tblCapturaSalidas[[#This Row],[Factor]])</f>
        <v/>
      </c>
    </row>
    <row r="14" spans="2:16" ht="18" customHeight="1" x14ac:dyDescent="0.25">
      <c r="B14" s="47" t="str">
        <f>IFERROR(INDEX(tblUsuarios[Nombre],MATCH(ROW()-ROW(tblCapturaSalidas[#Headers]),tblUsuarios[OrdenVentas],0)),"")</f>
        <v/>
      </c>
      <c r="C14" s="47" t="str">
        <f>IF(tblCapturaSalidas[[#This Row],[Correo]]="","","SALIDA")</f>
        <v/>
      </c>
      <c r="D14" s="49"/>
      <c r="E14" s="48"/>
      <c r="F14" s="50"/>
      <c r="G14" s="48"/>
      <c r="H14" s="48"/>
      <c r="I14" s="51" t="str">
        <f>IF(OR(tblCapturaSalidas[[#This Row],[SKU]]="",tblCapturaSalidas[[#This Row],[Unidad]]="?"),"",SUMIFS(tblEntradas[CantidadNeta],tblEntradas[SKU],tblCapturaSalidas[[#This Row],[SKU]],tblEntradas[Estado],"✔*")+SUMIFS(tblSalidas[CantidadNeta],tblSalidas[SKU],tblCapturaSalidas[[#This Row],[SKU]],tblSalidas[Estado],"✔*"))</f>
        <v/>
      </c>
      <c r="J14"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4" s="52"/>
      <c r="L14" s="40" t="str">
        <f>IF(tblCapturaSalidas[[#This Row],[SKU]]="","",IFERROR(INDEX(tblProductos[Unidad],MATCH(tblCapturaSalidas[[#This Row],[SKU]],tblProductos[SKU],0)),"?"))</f>
        <v/>
      </c>
      <c r="M14" s="53" t="str">
        <f>IF(tblCapturaSalidas[[#This Row],[Correo]]="","",-1)</f>
        <v/>
      </c>
      <c r="N14" s="47" t="str">
        <f>IFERROR(INDEX(tblUsuarios[Correo],MATCH(ROW()-ROW(tblCapturaSalidas[#Headers]),tblUsuarios[OrdenVentas],0)),"")</f>
        <v/>
      </c>
      <c r="O14" s="40" t="str">
        <f>IF(tblCapturaSalidas[[#This Row],[Producto]]="","",TRIM(LEFT(tblCapturaSalidas[[#This Row],[Producto]],FIND(" · ",tblCapturaSalidas[[#This Row],[Producto]]&amp;" · ")-1)))</f>
        <v/>
      </c>
      <c r="P14" s="54" t="str">
        <f>IF(OR(tblCapturaSalidas[[#This Row],[Disponible]]="",NOT(ISNUMBER(tblCapturaSalidas[[#This Row],[Cantidad]])),N(tblCapturaSalidas[[#This Row],[Factor]])=0),"",tblCapturaSalidas[[#This Row],[Disponible]]+tblCapturaSalidas[[#This Row],[Cantidad]]*tblCapturaSalidas[[#This Row],[Factor]])</f>
        <v/>
      </c>
    </row>
    <row r="15" spans="2:16" ht="18" customHeight="1" x14ac:dyDescent="0.25">
      <c r="B15" s="47" t="str">
        <f>IFERROR(INDEX(tblUsuarios[Nombre],MATCH(ROW()-ROW(tblCapturaSalidas[#Headers]),tblUsuarios[OrdenVentas],0)),"")</f>
        <v/>
      </c>
      <c r="C15" s="47" t="str">
        <f>IF(tblCapturaSalidas[[#This Row],[Correo]]="","","SALIDA")</f>
        <v/>
      </c>
      <c r="D15" s="49"/>
      <c r="E15" s="48"/>
      <c r="F15" s="50"/>
      <c r="G15" s="48"/>
      <c r="H15" s="48"/>
      <c r="I15" s="51" t="str">
        <f>IF(OR(tblCapturaSalidas[[#This Row],[SKU]]="",tblCapturaSalidas[[#This Row],[Unidad]]="?"),"",SUMIFS(tblEntradas[CantidadNeta],tblEntradas[SKU],tblCapturaSalidas[[#This Row],[SKU]],tblEntradas[Estado],"✔*")+SUMIFS(tblSalidas[CantidadNeta],tblSalidas[SKU],tblCapturaSalidas[[#This Row],[SKU]],tblSalidas[Estado],"✔*"))</f>
        <v/>
      </c>
      <c r="J15"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5" s="52"/>
      <c r="L15" s="40" t="str">
        <f>IF(tblCapturaSalidas[[#This Row],[SKU]]="","",IFERROR(INDEX(tblProductos[Unidad],MATCH(tblCapturaSalidas[[#This Row],[SKU]],tblProductos[SKU],0)),"?"))</f>
        <v/>
      </c>
      <c r="M15" s="53" t="str">
        <f>IF(tblCapturaSalidas[[#This Row],[Correo]]="","",-1)</f>
        <v/>
      </c>
      <c r="N15" s="47" t="str">
        <f>IFERROR(INDEX(tblUsuarios[Correo],MATCH(ROW()-ROW(tblCapturaSalidas[#Headers]),tblUsuarios[OrdenVentas],0)),"")</f>
        <v/>
      </c>
      <c r="O15" s="40" t="str">
        <f>IF(tblCapturaSalidas[[#This Row],[Producto]]="","",TRIM(LEFT(tblCapturaSalidas[[#This Row],[Producto]],FIND(" · ",tblCapturaSalidas[[#This Row],[Producto]]&amp;" · ")-1)))</f>
        <v/>
      </c>
      <c r="P15" s="54" t="str">
        <f>IF(OR(tblCapturaSalidas[[#This Row],[Disponible]]="",NOT(ISNUMBER(tblCapturaSalidas[[#This Row],[Cantidad]])),N(tblCapturaSalidas[[#This Row],[Factor]])=0),"",tblCapturaSalidas[[#This Row],[Disponible]]+tblCapturaSalidas[[#This Row],[Cantidad]]*tblCapturaSalidas[[#This Row],[Factor]])</f>
        <v/>
      </c>
    </row>
    <row r="16" spans="2:16" ht="18" customHeight="1" x14ac:dyDescent="0.25">
      <c r="B16" s="47" t="str">
        <f>IFERROR(INDEX(tblUsuarios[Nombre],MATCH(ROW()-ROW(tblCapturaSalidas[#Headers]),tblUsuarios[OrdenVentas],0)),"")</f>
        <v/>
      </c>
      <c r="C16" s="47" t="str">
        <f>IF(tblCapturaSalidas[[#This Row],[Correo]]="","","SALIDA")</f>
        <v/>
      </c>
      <c r="D16" s="49"/>
      <c r="E16" s="48"/>
      <c r="F16" s="50"/>
      <c r="G16" s="48"/>
      <c r="H16" s="48"/>
      <c r="I16" s="51" t="str">
        <f>IF(OR(tblCapturaSalidas[[#This Row],[SKU]]="",tblCapturaSalidas[[#This Row],[Unidad]]="?"),"",SUMIFS(tblEntradas[CantidadNeta],tblEntradas[SKU],tblCapturaSalidas[[#This Row],[SKU]],tblEntradas[Estado],"✔*")+SUMIFS(tblSalidas[CantidadNeta],tblSalidas[SKU],tblCapturaSalidas[[#This Row],[SKU]],tblSalidas[Estado],"✔*"))</f>
        <v/>
      </c>
      <c r="J16"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6" s="52"/>
      <c r="L16" s="40" t="str">
        <f>IF(tblCapturaSalidas[[#This Row],[SKU]]="","",IFERROR(INDEX(tblProductos[Unidad],MATCH(tblCapturaSalidas[[#This Row],[SKU]],tblProductos[SKU],0)),"?"))</f>
        <v/>
      </c>
      <c r="M16" s="53" t="str">
        <f>IF(tblCapturaSalidas[[#This Row],[Correo]]="","",-1)</f>
        <v/>
      </c>
      <c r="N16" s="47" t="str">
        <f>IFERROR(INDEX(tblUsuarios[Correo],MATCH(ROW()-ROW(tblCapturaSalidas[#Headers]),tblUsuarios[OrdenVentas],0)),"")</f>
        <v/>
      </c>
      <c r="O16" s="40" t="str">
        <f>IF(tblCapturaSalidas[[#This Row],[Producto]]="","",TRIM(LEFT(tblCapturaSalidas[[#This Row],[Producto]],FIND(" · ",tblCapturaSalidas[[#This Row],[Producto]]&amp;" · ")-1)))</f>
        <v/>
      </c>
      <c r="P16" s="54" t="str">
        <f>IF(OR(tblCapturaSalidas[[#This Row],[Disponible]]="",NOT(ISNUMBER(tblCapturaSalidas[[#This Row],[Cantidad]])),N(tblCapturaSalidas[[#This Row],[Factor]])=0),"",tblCapturaSalidas[[#This Row],[Disponible]]+tblCapturaSalidas[[#This Row],[Cantidad]]*tblCapturaSalidas[[#This Row],[Factor]])</f>
        <v/>
      </c>
    </row>
    <row r="17" spans="2:16" ht="18" customHeight="1" x14ac:dyDescent="0.25">
      <c r="B17" s="47" t="str">
        <f>IFERROR(INDEX(tblUsuarios[Nombre],MATCH(ROW()-ROW(tblCapturaSalidas[#Headers]),tblUsuarios[OrdenVentas],0)),"")</f>
        <v/>
      </c>
      <c r="C17" s="47" t="str">
        <f>IF(tblCapturaSalidas[[#This Row],[Correo]]="","","SALIDA")</f>
        <v/>
      </c>
      <c r="D17" s="49"/>
      <c r="E17" s="48"/>
      <c r="F17" s="50"/>
      <c r="G17" s="48"/>
      <c r="H17" s="48"/>
      <c r="I17" s="51" t="str">
        <f>IF(OR(tblCapturaSalidas[[#This Row],[SKU]]="",tblCapturaSalidas[[#This Row],[Unidad]]="?"),"",SUMIFS(tblEntradas[CantidadNeta],tblEntradas[SKU],tblCapturaSalidas[[#This Row],[SKU]],tblEntradas[Estado],"✔*")+SUMIFS(tblSalidas[CantidadNeta],tblSalidas[SKU],tblCapturaSalidas[[#This Row],[SKU]],tblSalidas[Estado],"✔*"))</f>
        <v/>
      </c>
      <c r="J17"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7" s="52"/>
      <c r="L17" s="40" t="str">
        <f>IF(tblCapturaSalidas[[#This Row],[SKU]]="","",IFERROR(INDEX(tblProductos[Unidad],MATCH(tblCapturaSalidas[[#This Row],[SKU]],tblProductos[SKU],0)),"?"))</f>
        <v/>
      </c>
      <c r="M17" s="53" t="str">
        <f>IF(tblCapturaSalidas[[#This Row],[Correo]]="","",-1)</f>
        <v/>
      </c>
      <c r="N17" s="47" t="str">
        <f>IFERROR(INDEX(tblUsuarios[Correo],MATCH(ROW()-ROW(tblCapturaSalidas[#Headers]),tblUsuarios[OrdenVentas],0)),"")</f>
        <v/>
      </c>
      <c r="O17" s="40" t="str">
        <f>IF(tblCapturaSalidas[[#This Row],[Producto]]="","",TRIM(LEFT(tblCapturaSalidas[[#This Row],[Producto]],FIND(" · ",tblCapturaSalidas[[#This Row],[Producto]]&amp;" · ")-1)))</f>
        <v/>
      </c>
      <c r="P17" s="54" t="str">
        <f>IF(OR(tblCapturaSalidas[[#This Row],[Disponible]]="",NOT(ISNUMBER(tblCapturaSalidas[[#This Row],[Cantidad]])),N(tblCapturaSalidas[[#This Row],[Factor]])=0),"",tblCapturaSalidas[[#This Row],[Disponible]]+tblCapturaSalidas[[#This Row],[Cantidad]]*tblCapturaSalidas[[#This Row],[Factor]])</f>
        <v/>
      </c>
    </row>
    <row r="18" spans="2:16" ht="18" customHeight="1" x14ac:dyDescent="0.25">
      <c r="B18" s="47" t="str">
        <f>IFERROR(INDEX(tblUsuarios[Nombre],MATCH(ROW()-ROW(tblCapturaSalidas[#Headers]),tblUsuarios[OrdenVentas],0)),"")</f>
        <v/>
      </c>
      <c r="C18" s="47" t="str">
        <f>IF(tblCapturaSalidas[[#This Row],[Correo]]="","","SALIDA")</f>
        <v/>
      </c>
      <c r="D18" s="49"/>
      <c r="E18" s="48"/>
      <c r="F18" s="50"/>
      <c r="G18" s="48"/>
      <c r="H18" s="48"/>
      <c r="I18" s="51" t="str">
        <f>IF(OR(tblCapturaSalidas[[#This Row],[SKU]]="",tblCapturaSalidas[[#This Row],[Unidad]]="?"),"",SUMIFS(tblEntradas[CantidadNeta],tblEntradas[SKU],tblCapturaSalidas[[#This Row],[SKU]],tblEntradas[Estado],"✔*")+SUMIFS(tblSalidas[CantidadNeta],tblSalidas[SKU],tblCapturaSalidas[[#This Row],[SKU]],tblSalidas[Estado],"✔*"))</f>
        <v/>
      </c>
      <c r="J18"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8" s="52"/>
      <c r="L18" s="40" t="str">
        <f>IF(tblCapturaSalidas[[#This Row],[SKU]]="","",IFERROR(INDEX(tblProductos[Unidad],MATCH(tblCapturaSalidas[[#This Row],[SKU]],tblProductos[SKU],0)),"?"))</f>
        <v/>
      </c>
      <c r="M18" s="53" t="str">
        <f>IF(tblCapturaSalidas[[#This Row],[Correo]]="","",-1)</f>
        <v/>
      </c>
      <c r="N18" s="47" t="str">
        <f>IFERROR(INDEX(tblUsuarios[Correo],MATCH(ROW()-ROW(tblCapturaSalidas[#Headers]),tblUsuarios[OrdenVentas],0)),"")</f>
        <v/>
      </c>
      <c r="O18" s="40" t="str">
        <f>IF(tblCapturaSalidas[[#This Row],[Producto]]="","",TRIM(LEFT(tblCapturaSalidas[[#This Row],[Producto]],FIND(" · ",tblCapturaSalidas[[#This Row],[Producto]]&amp;" · ")-1)))</f>
        <v/>
      </c>
      <c r="P18" s="54" t="str">
        <f>IF(OR(tblCapturaSalidas[[#This Row],[Disponible]]="",NOT(ISNUMBER(tblCapturaSalidas[[#This Row],[Cantidad]])),N(tblCapturaSalidas[[#This Row],[Factor]])=0),"",tblCapturaSalidas[[#This Row],[Disponible]]+tblCapturaSalidas[[#This Row],[Cantidad]]*tblCapturaSalidas[[#This Row],[Factor]])</f>
        <v/>
      </c>
    </row>
    <row r="19" spans="2:16" ht="18" customHeight="1" x14ac:dyDescent="0.25">
      <c r="B19" s="47" t="str">
        <f>IFERROR(INDEX(tblUsuarios[Nombre],MATCH(ROW()-ROW(tblCapturaSalidas[#Headers]),tblUsuarios[OrdenVentas],0)),"")</f>
        <v/>
      </c>
      <c r="C19" s="47" t="str">
        <f>IF(tblCapturaSalidas[[#This Row],[Correo]]="","","SALIDA")</f>
        <v/>
      </c>
      <c r="D19" s="49"/>
      <c r="E19" s="48"/>
      <c r="F19" s="50"/>
      <c r="G19" s="48"/>
      <c r="H19" s="48"/>
      <c r="I19" s="51" t="str">
        <f>IF(OR(tblCapturaSalidas[[#This Row],[SKU]]="",tblCapturaSalidas[[#This Row],[Unidad]]="?"),"",SUMIFS(tblEntradas[CantidadNeta],tblEntradas[SKU],tblCapturaSalidas[[#This Row],[SKU]],tblEntradas[Estado],"✔*")+SUMIFS(tblSalidas[CantidadNeta],tblSalidas[SKU],tblCapturaSalidas[[#This Row],[SKU]],tblSalidas[Estado],"✔*"))</f>
        <v/>
      </c>
      <c r="J19"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9" s="52"/>
      <c r="L19" s="40" t="str">
        <f>IF(tblCapturaSalidas[[#This Row],[SKU]]="","",IFERROR(INDEX(tblProductos[Unidad],MATCH(tblCapturaSalidas[[#This Row],[SKU]],tblProductos[SKU],0)),"?"))</f>
        <v/>
      </c>
      <c r="M19" s="53" t="str">
        <f>IF(tblCapturaSalidas[[#This Row],[Correo]]="","",-1)</f>
        <v/>
      </c>
      <c r="N19" s="47" t="str">
        <f>IFERROR(INDEX(tblUsuarios[Correo],MATCH(ROW()-ROW(tblCapturaSalidas[#Headers]),tblUsuarios[OrdenVentas],0)),"")</f>
        <v/>
      </c>
      <c r="O19" s="40" t="str">
        <f>IF(tblCapturaSalidas[[#This Row],[Producto]]="","",TRIM(LEFT(tblCapturaSalidas[[#This Row],[Producto]],FIND(" · ",tblCapturaSalidas[[#This Row],[Producto]]&amp;" · ")-1)))</f>
        <v/>
      </c>
      <c r="P19" s="54" t="str">
        <f>IF(OR(tblCapturaSalidas[[#This Row],[Disponible]]="",NOT(ISNUMBER(tblCapturaSalidas[[#This Row],[Cantidad]])),N(tblCapturaSalidas[[#This Row],[Factor]])=0),"",tblCapturaSalidas[[#This Row],[Disponible]]+tblCapturaSalidas[[#This Row],[Cantidad]]*tblCapturaSalidas[[#This Row],[Factor]])</f>
        <v/>
      </c>
    </row>
    <row r="20" spans="2:16" ht="18" customHeight="1" x14ac:dyDescent="0.25">
      <c r="B20" s="47" t="str">
        <f>IFERROR(INDEX(tblUsuarios[Nombre],MATCH(ROW()-ROW(tblCapturaSalidas[#Headers]),tblUsuarios[OrdenVentas],0)),"")</f>
        <v/>
      </c>
      <c r="C20" s="47" t="str">
        <f>IF(tblCapturaSalidas[[#This Row],[Correo]]="","","SALIDA")</f>
        <v/>
      </c>
      <c r="D20" s="49"/>
      <c r="E20" s="48"/>
      <c r="F20" s="50"/>
      <c r="G20" s="48"/>
      <c r="H20" s="48"/>
      <c r="I20" s="51" t="str">
        <f>IF(OR(tblCapturaSalidas[[#This Row],[SKU]]="",tblCapturaSalidas[[#This Row],[Unidad]]="?"),"",SUMIFS(tblEntradas[CantidadNeta],tblEntradas[SKU],tblCapturaSalidas[[#This Row],[SKU]],tblEntradas[Estado],"✔*")+SUMIFS(tblSalidas[CantidadNeta],tblSalidas[SKU],tblCapturaSalidas[[#This Row],[SKU]],tblSalidas[Estado],"✔*"))</f>
        <v/>
      </c>
      <c r="J20"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0" s="52"/>
      <c r="L20" s="40" t="str">
        <f>IF(tblCapturaSalidas[[#This Row],[SKU]]="","",IFERROR(INDEX(tblProductos[Unidad],MATCH(tblCapturaSalidas[[#This Row],[SKU]],tblProductos[SKU],0)),"?"))</f>
        <v/>
      </c>
      <c r="M20" s="53" t="str">
        <f>IF(tblCapturaSalidas[[#This Row],[Correo]]="","",-1)</f>
        <v/>
      </c>
      <c r="N20" s="47" t="str">
        <f>IFERROR(INDEX(tblUsuarios[Correo],MATCH(ROW()-ROW(tblCapturaSalidas[#Headers]),tblUsuarios[OrdenVentas],0)),"")</f>
        <v/>
      </c>
      <c r="O20" s="40" t="str">
        <f>IF(tblCapturaSalidas[[#This Row],[Producto]]="","",TRIM(LEFT(tblCapturaSalidas[[#This Row],[Producto]],FIND(" · ",tblCapturaSalidas[[#This Row],[Producto]]&amp;" · ")-1)))</f>
        <v/>
      </c>
      <c r="P20" s="54" t="str">
        <f>IF(OR(tblCapturaSalidas[[#This Row],[Disponible]]="",NOT(ISNUMBER(tblCapturaSalidas[[#This Row],[Cantidad]])),N(tblCapturaSalidas[[#This Row],[Factor]])=0),"",tblCapturaSalidas[[#This Row],[Disponible]]+tblCapturaSalidas[[#This Row],[Cantidad]]*tblCapturaSalidas[[#This Row],[Factor]])</f>
        <v/>
      </c>
    </row>
    <row r="21" spans="2:16" ht="18" customHeight="1" x14ac:dyDescent="0.25">
      <c r="B21" s="47" t="str">
        <f>IFERROR(INDEX(tblUsuarios[Nombre],MATCH(ROW()-ROW(tblCapturaSalidas[#Headers]),tblUsuarios[OrdenVentas],0)),"")</f>
        <v/>
      </c>
      <c r="C21" s="47" t="str">
        <f>IF(tblCapturaSalidas[[#This Row],[Correo]]="","","SALIDA")</f>
        <v/>
      </c>
      <c r="D21" s="49"/>
      <c r="E21" s="48"/>
      <c r="F21" s="50"/>
      <c r="G21" s="48"/>
      <c r="H21" s="48"/>
      <c r="I21" s="51" t="str">
        <f>IF(OR(tblCapturaSalidas[[#This Row],[SKU]]="",tblCapturaSalidas[[#This Row],[Unidad]]="?"),"",SUMIFS(tblEntradas[CantidadNeta],tblEntradas[SKU],tblCapturaSalidas[[#This Row],[SKU]],tblEntradas[Estado],"✔*")+SUMIFS(tblSalidas[CantidadNeta],tblSalidas[SKU],tblCapturaSalidas[[#This Row],[SKU]],tblSalidas[Estado],"✔*"))</f>
        <v/>
      </c>
      <c r="J21"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1" s="52"/>
      <c r="L21" s="40" t="str">
        <f>IF(tblCapturaSalidas[[#This Row],[SKU]]="","",IFERROR(INDEX(tblProductos[Unidad],MATCH(tblCapturaSalidas[[#This Row],[SKU]],tblProductos[SKU],0)),"?"))</f>
        <v/>
      </c>
      <c r="M21" s="53" t="str">
        <f>IF(tblCapturaSalidas[[#This Row],[Correo]]="","",-1)</f>
        <v/>
      </c>
      <c r="N21" s="47" t="str">
        <f>IFERROR(INDEX(tblUsuarios[Correo],MATCH(ROW()-ROW(tblCapturaSalidas[#Headers]),tblUsuarios[OrdenVentas],0)),"")</f>
        <v/>
      </c>
      <c r="O21" s="40" t="str">
        <f>IF(tblCapturaSalidas[[#This Row],[Producto]]="","",TRIM(LEFT(tblCapturaSalidas[[#This Row],[Producto]],FIND(" · ",tblCapturaSalidas[[#This Row],[Producto]]&amp;" · ")-1)))</f>
        <v/>
      </c>
      <c r="P21" s="54" t="str">
        <f>IF(OR(tblCapturaSalidas[[#This Row],[Disponible]]="",NOT(ISNUMBER(tblCapturaSalidas[[#This Row],[Cantidad]])),N(tblCapturaSalidas[[#This Row],[Factor]])=0),"",tblCapturaSalidas[[#This Row],[Disponible]]+tblCapturaSalidas[[#This Row],[Cantidad]]*tblCapturaSalidas[[#This Row],[Factor]])</f>
        <v/>
      </c>
    </row>
    <row r="22" spans="2:16" ht="18" customHeight="1" x14ac:dyDescent="0.25">
      <c r="B22" s="47" t="str">
        <f>IFERROR(INDEX(tblUsuarios[Nombre],MATCH(ROW()-ROW(tblCapturaSalidas[#Headers]),tblUsuarios[OrdenVentas],0)),"")</f>
        <v/>
      </c>
      <c r="C22" s="47" t="str">
        <f>IF(tblCapturaSalidas[[#This Row],[Correo]]="","","SALIDA")</f>
        <v/>
      </c>
      <c r="D22" s="49"/>
      <c r="E22" s="48"/>
      <c r="F22" s="50"/>
      <c r="G22" s="48"/>
      <c r="H22" s="48"/>
      <c r="I22" s="51" t="str">
        <f>IF(OR(tblCapturaSalidas[[#This Row],[SKU]]="",tblCapturaSalidas[[#This Row],[Unidad]]="?"),"",SUMIFS(tblEntradas[CantidadNeta],tblEntradas[SKU],tblCapturaSalidas[[#This Row],[SKU]],tblEntradas[Estado],"✔*")+SUMIFS(tblSalidas[CantidadNeta],tblSalidas[SKU],tblCapturaSalidas[[#This Row],[SKU]],tblSalidas[Estado],"✔*"))</f>
        <v/>
      </c>
      <c r="J22"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2" s="52"/>
      <c r="L22" s="40" t="str">
        <f>IF(tblCapturaSalidas[[#This Row],[SKU]]="","",IFERROR(INDEX(tblProductos[Unidad],MATCH(tblCapturaSalidas[[#This Row],[SKU]],tblProductos[SKU],0)),"?"))</f>
        <v/>
      </c>
      <c r="M22" s="53" t="str">
        <f>IF(tblCapturaSalidas[[#This Row],[Correo]]="","",-1)</f>
        <v/>
      </c>
      <c r="N22" s="47" t="str">
        <f>IFERROR(INDEX(tblUsuarios[Correo],MATCH(ROW()-ROW(tblCapturaSalidas[#Headers]),tblUsuarios[OrdenVentas],0)),"")</f>
        <v/>
      </c>
      <c r="O22" s="40" t="str">
        <f>IF(tblCapturaSalidas[[#This Row],[Producto]]="","",TRIM(LEFT(tblCapturaSalidas[[#This Row],[Producto]],FIND(" · ",tblCapturaSalidas[[#This Row],[Producto]]&amp;" · ")-1)))</f>
        <v/>
      </c>
      <c r="P22" s="54" t="str">
        <f>IF(OR(tblCapturaSalidas[[#This Row],[Disponible]]="",NOT(ISNUMBER(tblCapturaSalidas[[#This Row],[Cantidad]])),N(tblCapturaSalidas[[#This Row],[Factor]])=0),"",tblCapturaSalidas[[#This Row],[Disponible]]+tblCapturaSalidas[[#This Row],[Cantidad]]*tblCapturaSalidas[[#This Row],[Factor]])</f>
        <v/>
      </c>
    </row>
    <row r="23" spans="2:16" ht="18" customHeight="1" x14ac:dyDescent="0.25">
      <c r="B23" s="47" t="str">
        <f>IFERROR(INDEX(tblUsuarios[Nombre],MATCH(ROW()-ROW(tblCapturaSalidas[#Headers]),tblUsuarios[OrdenVentas],0)),"")</f>
        <v/>
      </c>
      <c r="C23" s="47" t="str">
        <f>IF(tblCapturaSalidas[[#This Row],[Correo]]="","","SALIDA")</f>
        <v/>
      </c>
      <c r="D23" s="49"/>
      <c r="E23" s="48"/>
      <c r="F23" s="50"/>
      <c r="G23" s="48"/>
      <c r="H23" s="48"/>
      <c r="I23" s="51" t="str">
        <f>IF(OR(tblCapturaSalidas[[#This Row],[SKU]]="",tblCapturaSalidas[[#This Row],[Unidad]]="?"),"",SUMIFS(tblEntradas[CantidadNeta],tblEntradas[SKU],tblCapturaSalidas[[#This Row],[SKU]],tblEntradas[Estado],"✔*")+SUMIFS(tblSalidas[CantidadNeta],tblSalidas[SKU],tblCapturaSalidas[[#This Row],[SKU]],tblSalidas[Estado],"✔*"))</f>
        <v/>
      </c>
      <c r="J23" s="41"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3" s="52"/>
      <c r="L23" s="40" t="str">
        <f>IF(tblCapturaSalidas[[#This Row],[SKU]]="","",IFERROR(INDEX(tblProductos[Unidad],MATCH(tblCapturaSalidas[[#This Row],[SKU]],tblProductos[SKU],0)),"?"))</f>
        <v/>
      </c>
      <c r="M23" s="53" t="str">
        <f>IF(tblCapturaSalidas[[#This Row],[Correo]]="","",-1)</f>
        <v/>
      </c>
      <c r="N23" s="47" t="str">
        <f>IFERROR(INDEX(tblUsuarios[Correo],MATCH(ROW()-ROW(tblCapturaSalidas[#Headers]),tblUsuarios[OrdenVentas],0)),"")</f>
        <v/>
      </c>
      <c r="O23" s="40" t="str">
        <f>IF(tblCapturaSalidas[[#This Row],[Producto]]="","",TRIM(LEFT(tblCapturaSalidas[[#This Row],[Producto]],FIND(" · ",tblCapturaSalidas[[#This Row],[Producto]]&amp;" · ")-1)))</f>
        <v/>
      </c>
      <c r="P23" s="54" t="str">
        <f>IF(OR(tblCapturaSalidas[[#This Row],[Disponible]]="",NOT(ISNUMBER(tblCapturaSalidas[[#This Row],[Cantidad]])),N(tblCapturaSalidas[[#This Row],[Factor]])=0),"",tblCapturaSalidas[[#This Row],[Disponible]]+tblCapturaSalidas[[#This Row],[Cantidad]]*tblCapturaSalidas[[#This Row],[Factor]])</f>
        <v/>
      </c>
    </row>
    <row r="24" spans="2:16" s="7" customFormat="1" ht="9" customHeight="1" x14ac:dyDescent="0.25"/>
    <row r="25" spans="2:16" s="7" customFormat="1" ht="16.5" customHeight="1" x14ac:dyDescent="0.25">
      <c r="B25" s="7" t="s">
        <v>185</v>
      </c>
    </row>
    <row r="26" spans="2:16" s="7" customFormat="1" ht="14.25" x14ac:dyDescent="0.25">
      <c r="B26" s="37" t="s">
        <v>186</v>
      </c>
    </row>
    <row r="27" spans="2:16" ht="24" customHeight="1" x14ac:dyDescent="0.25">
      <c r="B27" s="15" t="s">
        <v>187</v>
      </c>
      <c r="C27" s="15" t="s">
        <v>40</v>
      </c>
      <c r="D27" s="15" t="s">
        <v>177</v>
      </c>
      <c r="E27" s="15" t="s">
        <v>112</v>
      </c>
      <c r="F27" s="15" t="s">
        <v>178</v>
      </c>
      <c r="G27" s="15" t="s">
        <v>179</v>
      </c>
      <c r="H27" s="15" t="s">
        <v>180</v>
      </c>
      <c r="I27" s="15" t="s">
        <v>188</v>
      </c>
      <c r="J27" s="15" t="s">
        <v>56</v>
      </c>
      <c r="K27" s="15" t="s">
        <v>189</v>
      </c>
      <c r="L27" s="15" t="s">
        <v>114</v>
      </c>
      <c r="M27" s="15" t="s">
        <v>41</v>
      </c>
      <c r="N27" s="15" t="s">
        <v>190</v>
      </c>
      <c r="O27" s="15" t="s">
        <v>111</v>
      </c>
      <c r="P27" s="15" t="s">
        <v>191</v>
      </c>
    </row>
    <row r="28" spans="2:16" x14ac:dyDescent="0.25">
      <c r="B28" s="55"/>
      <c r="C28" s="47"/>
      <c r="D28" s="56"/>
      <c r="E28" s="47"/>
      <c r="F28" s="54"/>
      <c r="G28" s="40"/>
      <c r="H28" s="47"/>
      <c r="I28" s="57"/>
      <c r="J28" s="41"/>
      <c r="K28" s="47"/>
      <c r="L28" s="40"/>
      <c r="M28" s="53"/>
      <c r="N28" s="47"/>
      <c r="O28" s="40"/>
      <c r="P28" s="58"/>
    </row>
  </sheetData>
  <sheetProtection password="930D" sheet="1" objects="1" scenarios="1" formatColumns="0" autoFilter="0"/>
  <protectedRanges>
    <protectedRange sqref="D9:H23" name="Captura Ventas"/>
  </protectedRanges>
  <mergeCells count="3">
    <mergeCell ref="C6:D6"/>
    <mergeCell ref="J6:K6"/>
    <mergeCell ref="F6:I6"/>
  </mergeCells>
  <conditionalFormatting sqref="B9:B23">
    <cfRule type="expression" dxfId="72" priority="17">
      <formula>$N9=""</formula>
    </cfRule>
    <cfRule type="expression" dxfId="71" priority="14">
      <formula>$N9&lt;&gt;""</formula>
    </cfRule>
  </conditionalFormatting>
  <conditionalFormatting sqref="B9:P23">
    <cfRule type="expression" dxfId="70" priority="3">
      <formula>$N9=""</formula>
    </cfRule>
  </conditionalFormatting>
  <conditionalFormatting sqref="B28:P20028">
    <cfRule type="expression" dxfId="69" priority="34">
      <formula>AND($B28&lt;&gt;"",MOD(ROW(),2)=0)</formula>
    </cfRule>
  </conditionalFormatting>
  <conditionalFormatting sqref="C28:C20028">
    <cfRule type="expression" dxfId="68" priority="26">
      <formula>$M28=1</formula>
    </cfRule>
    <cfRule type="expression" dxfId="67" priority="27">
      <formula>$M28=-1</formula>
    </cfRule>
  </conditionalFormatting>
  <conditionalFormatting sqref="F9:F23">
    <cfRule type="expression" dxfId="66" priority="15">
      <formula>AND(ISNUMBER(F9),F9&lt;&gt;INT(F9))</formula>
    </cfRule>
    <cfRule type="expression" dxfId="65" priority="1" stopIfTrue="1">
      <formula>AND(ISNUMBER($P9),$P9&lt;0)</formula>
    </cfRule>
  </conditionalFormatting>
  <conditionalFormatting sqref="F28:F20028">
    <cfRule type="expression" dxfId="64" priority="32">
      <formula>AND(ISNUMBER(F28),F28&lt;&gt;INT(F28))</formula>
    </cfRule>
    <cfRule type="expression" dxfId="63" priority="18" stopIfTrue="1">
      <formula>LEFT($J28,1)="✖"</formula>
    </cfRule>
  </conditionalFormatting>
  <conditionalFormatting sqref="I9:I23">
    <cfRule type="expression" dxfId="62" priority="2" stopIfTrue="1">
      <formula>AND(ISNUMBER($P9),$P9&lt;0)</formula>
    </cfRule>
    <cfRule type="expression" dxfId="61" priority="16">
      <formula>AND(ISNUMBER(I9),I9&lt;&gt;INT(I9))</formula>
    </cfRule>
  </conditionalFormatting>
  <conditionalFormatting sqref="I28:I20028">
    <cfRule type="expression" dxfId="60" priority="28">
      <formula>$M28=1</formula>
    </cfRule>
    <cfRule type="expression" dxfId="59" priority="29">
      <formula>$M28=-1</formula>
    </cfRule>
    <cfRule type="expression" dxfId="58" priority="33">
      <formula>AND(ISNUMBER(I28),I28&lt;&gt;INT(I28))</formula>
    </cfRule>
  </conditionalFormatting>
  <conditionalFormatting sqref="I28:J20028">
    <cfRule type="expression" dxfId="57" priority="19" stopIfTrue="1">
      <formula>LEFT($J28,1)="✖"</formula>
    </cfRule>
  </conditionalFormatting>
  <conditionalFormatting sqref="J9:J23">
    <cfRule type="expression" dxfId="56" priority="4">
      <formula>LEFT($J9,1)="✖"</formula>
    </cfRule>
    <cfRule type="expression" dxfId="55" priority="5">
      <formula>LEFT($J9,1)="⚠"</formula>
    </cfRule>
    <cfRule type="expression" dxfId="54" priority="6">
      <formula>LEFT($J9,1)="✔"</formula>
    </cfRule>
    <cfRule type="expression" dxfId="53" priority="7">
      <formula>LEFT($J9,1)="●"</formula>
    </cfRule>
    <cfRule type="expression" dxfId="52" priority="8">
      <formula>LEFT($J9,1)="○"</formula>
    </cfRule>
  </conditionalFormatting>
  <conditionalFormatting sqref="J28:J20028">
    <cfRule type="expression" dxfId="51" priority="21">
      <formula>LEFT($J28,1)="✖"</formula>
    </cfRule>
    <cfRule type="expression" dxfId="50" priority="22">
      <formula>LEFT($J28,1)="⚠"</formula>
    </cfRule>
    <cfRule type="expression" dxfId="49" priority="23">
      <formula>LEFT($J28,1)="✔"</formula>
    </cfRule>
    <cfRule type="expression" dxfId="48" priority="24">
      <formula>LEFT($J28,1)="●"</formula>
    </cfRule>
    <cfRule type="expression" dxfId="47" priority="25">
      <formula>LEFT($J28,1)="○"</formula>
    </cfRule>
  </conditionalFormatting>
  <conditionalFormatting sqref="K9:K23">
    <cfRule type="expression" dxfId="46" priority="9">
      <formula>LEFT($K9,1)="✖"</formula>
    </cfRule>
    <cfRule type="expression" dxfId="45" priority="10">
      <formula>LEFT($K9,1)="⚠"</formula>
    </cfRule>
    <cfRule type="expression" dxfId="44" priority="11">
      <formula>LEFT($K9,1)="✔"</formula>
    </cfRule>
    <cfRule type="expression" dxfId="43" priority="12">
      <formula>LEFT($K9,1)="●"</formula>
    </cfRule>
    <cfRule type="expression" dxfId="42" priority="13">
      <formula>LEFT($K9,1)="○"</formula>
    </cfRule>
  </conditionalFormatting>
  <conditionalFormatting sqref="M28:M20028">
    <cfRule type="expression" dxfId="41" priority="30">
      <formula>$M28=1</formula>
    </cfRule>
    <cfRule type="expression" dxfId="40" priority="31">
      <formula>$M28=-1</formula>
    </cfRule>
  </conditionalFormatting>
  <dataValidations count="35">
    <dataValidation allowBlank="1" showInputMessage="1" showErrorMessage="1" promptTitle="ƒx Usuario" prompt="Persona dueña de esta fila (según 02_USUARIOS). Escriba solo en SU fila." sqref="B8" xr:uid="{00000000-0002-0000-0900-000000000000}"/>
    <dataValidation allowBlank="1" showInputMessage="1" showErrorMessage="1" promptTitle="ƒx Tipo" prompt="Siempre SALIDA en este fragmento." sqref="C8" xr:uid="{00000000-0002-0000-0900-000001000000}"/>
    <dataValidation allowBlank="1" showInputMessage="1" showErrorMessage="1" promptTitle="✎ Fecha" prompt="Opcional. Vacía = hoy. Para registrar un movimiento de otro día: dd/mm/aaaa." sqref="D8" xr:uid="{00000000-0002-0000-0900-000002000000}"/>
    <dataValidation allowBlank="1" showInputMessage="1" showErrorMessage="1" promptTitle="✎ Producto" prompt="Elija de la lista. Escriba parte del nombre o del SKU para filtrarla." sqref="E8" xr:uid="{00000000-0002-0000-0900-000003000000}"/>
    <dataValidation allowBlank="1" showInputMessage="1" showErrorMessage="1" promptTitle="✎ Cantidad" prompt="Siempre positiva, en la unidad del producto. El signo lo pone el tipo." sqref="F8" xr:uid="{00000000-0002-0000-0900-000004000000}"/>
    <dataValidation allowBlank="1" showInputMessage="1" showErrorMessage="1" promptTitle="✎ Documento" prompt="Opcional: factura, remisión, orden o cliente. Máximo 30 caracteres." sqref="G8" xr:uid="{00000000-0002-0000-0900-000005000000}"/>
    <dataValidation allowBlank="1" showInputMessage="1" showErrorMessage="1" promptTitle="✎ Observaciones" prompt="Obligatoria en los AJUSTES (motivo). Máximo 250 caracteres." sqref="H8" xr:uid="{00000000-0002-0000-0900-000006000000}"/>
    <dataValidation allowBlank="1" showInputMessage="1" showErrorMessage="1" promptTitle="ƒx Disponible" prompt="Stock exacto en este instante: suma de las dos bitácoras oficiales." sqref="I8" xr:uid="{00000000-0002-0000-0900-000007000000}"/>
    <dataValidation allowBlank="1" showInputMessage="1" showErrorMessage="1" promptTitle="ƒx Validación" prompt="✔ lista para registrar · ○ falta un dato · ✖ error que impide registrar." sqref="J8" xr:uid="{00000000-0002-0000-0900-000008000000}"/>
    <dataValidation allowBlank="1" showInputMessage="1" showErrorMessage="1" promptTitle="ƒx Resultado" prompt="Lo escribe el script al pulsar el botón: ✔ registrado (con ID) o ✖ bloqueado." sqref="K8" xr:uid="{00000000-0002-0000-0900-000009000000}"/>
    <dataValidation allowBlank="1" showInputMessage="1" showErrorMessage="1" promptTitle="ƒx Unidad" prompt="Unidad de medida del producto." sqref="L8" xr:uid="{00000000-0002-0000-0900-00000A000000}"/>
    <dataValidation allowBlank="1" showInputMessage="1" showErrorMessage="1" promptTitle="ƒx Factor" prompt="+1 suma al inventario, −1 resta." sqref="M8" xr:uid="{00000000-0002-0000-0900-00000B000000}"/>
    <dataValidation allowBlank="1" showInputMessage="1" showErrorMessage="1" promptTitle="ƒx Correo" prompt="Técnica (oculta): correo de Microsoft 365 del dueño de la fila." sqref="N8" xr:uid="{00000000-0002-0000-0900-00000C000000}"/>
    <dataValidation allowBlank="1" showInputMessage="1" showErrorMessage="1" promptTitle="ƒx SKU" prompt="Técnica (oculta): código extraído del producto." sqref="O8" xr:uid="{00000000-0002-0000-0900-00000D000000}"/>
    <dataValidation allowBlank="1" showInputMessage="1" showErrorMessage="1" promptTitle="ƒx Queda" prompt="Técnica (oculta): stock resultante si se registra." sqref="P8" xr:uid="{00000000-0002-0000-0900-00000E000000}"/>
    <dataValidation type="date" allowBlank="1" showInputMessage="1" showErrorMessage="1" errorTitle="Fecha no válida" error="Use dd/mm/aaaa, sin fechas futuras ni anteriores a la mínima." promptTitle="Fecha (opcional)" prompt="Vacía = hoy. Otro día: dd/mm/aaaa. No se admiten fechas futuras." sqref="D9:D23" xr:uid="{00000000-0002-0000-0900-00000F000000}">
      <formula1>cfgFechaMin</formula1>
      <formula2>TODAY()</formula2>
    </dataValidation>
    <dataValidation type="list" allowBlank="1" showInputMessage="1" showErrorMessage="1" errorTitle="Producto no válido" error="Elija un producto de la lista del catálogo." promptTitle="Producto" prompt="Elija de la lista. Escriba parte del nombre o del SKU para filtrarla. Nunca lo escriba completo a mano." sqref="E9:E23" xr:uid="{00000000-0002-0000-0900-000010000000}">
      <formula1>lstProductos</formula1>
    </dataValidation>
    <dataValidation type="custom" allowBlank="1" showInputMessage="1" showErrorMessage="1" errorTitle="Cantidad no válida" error="Debe ser mayor que 0. Si la unidad no admite decimales, use un entero." promptTitle="Cantidad" prompt="Mayor que 0, en la unidad del producto. UND, CAJA, PAQ, PAR y ROLLO: solo enteros." sqref="F9:F23" xr:uid="{00000000-0002-0000-0900-000011000000}">
      <formula1>AND(ISNUMBER(F9),F9&gt;0,IFERROR(OR(INDEX(lstUniDec,MATCH($L9,lstUniCod,0))="SI",F9=INT(F9)),TRUE))</formula1>
    </dataValidation>
    <dataValidation type="textLength" operator="lessThanOrEqual" allowBlank="1" showInputMessage="1" showErrorMessage="1" errorTitle="Texto muy largo" error="Máximo 30 caracteres." promptTitle="Documento (opcional)" prompt="Factura, remisión, orden o cliente." sqref="G9:G23" xr:uid="{00000000-0002-0000-0900-000012000000}">
      <formula1>30</formula1>
    </dataValidation>
    <dataValidation type="textLength" operator="lessThanOrEqual" allowBlank="1" showInputMessage="1" showErrorMessage="1" errorTitle="Texto muy largo" error="Máximo 250 caracteres." promptTitle="Observaciones" prompt="Obligatoria en los AJUSTES: explique el motivo." sqref="H9:H23" xr:uid="{00000000-0002-0000-0900-000013000000}">
      <formula1>250</formula1>
    </dataValidation>
    <dataValidation allowBlank="1" showInputMessage="1" showErrorMessage="1" promptTitle="ƒx ID" prompt="Identificador único generado por el script (fragmento-fecha-hora-aleatorio): no requiere coordinación." sqref="B27" xr:uid="{00000000-0002-0000-0900-000014000000}"/>
    <dataValidation allowBlank="1" showInputMessage="1" showErrorMessage="1" promptTitle="ƒx Tipo" prompt="Tipo de movimiento." sqref="C27" xr:uid="{00000000-0002-0000-0900-000015000000}"/>
    <dataValidation allowBlank="1" showInputMessage="1" showErrorMessage="1" promptTitle="ƒx Fecha" prompt="Fecha del movimiento (negocio)." sqref="D27" xr:uid="{00000000-0002-0000-0900-000016000000}"/>
    <dataValidation allowBlank="1" showInputMessage="1" showErrorMessage="1" promptTitle="ƒx Producto" prompt="Etiqueta SKU · Nombre al momento del registro." sqref="E27" xr:uid="{00000000-0002-0000-0900-000017000000}"/>
    <dataValidation allowBlank="1" showInputMessage="1" showErrorMessage="1" promptTitle="ƒx Cantidad" prompt="Cantidad positiva." sqref="F27" xr:uid="{00000000-0002-0000-0900-000018000000}"/>
    <dataValidation allowBlank="1" showInputMessage="1" showErrorMessage="1" promptTitle="ƒx Documento" prompt="Soporte del movimiento." sqref="G27" xr:uid="{00000000-0002-0000-0900-000019000000}"/>
    <dataValidation allowBlank="1" showInputMessage="1" showErrorMessage="1" promptTitle="ƒx Observaciones" prompt="Detalle o motivo." sqref="H27" xr:uid="{00000000-0002-0000-0900-00001A000000}"/>
    <dataValidation allowBlank="1" showInputMessage="1" showErrorMessage="1" promptTitle="ƒx CantidadNeta" prompt="Cantidad × FactorStock: lo único que suma el stock." sqref="I27" xr:uid="{00000000-0002-0000-0900-00001B000000}"/>
    <dataValidation allowBlank="1" showInputMessage="1" showErrorMessage="1" promptTitle="ƒx Estado" prompt="✔ Consolidado o ✖ Rechazado (con motivo). Los rechazados no suman." sqref="J27" xr:uid="{00000000-0002-0000-0900-00001C000000}"/>
    <dataValidation allowBlank="1" showInputMessage="1" showErrorMessage="1" promptTitle="ƒx Registró" prompt="Nombre de quien ejecutó el script." sqref="K27" xr:uid="{00000000-0002-0000-0900-00001D000000}"/>
    <dataValidation allowBlank="1" showInputMessage="1" showErrorMessage="1" promptTitle="ƒx Unidad" prompt="Unidad de medida." sqref="L27" xr:uid="{00000000-0002-0000-0900-00001E000000}"/>
    <dataValidation allowBlank="1" showInputMessage="1" showErrorMessage="1" promptTitle="ƒx FactorStock" prompt="+1 o −1 según el tipo." sqref="M27" xr:uid="{00000000-0002-0000-0900-00001F000000}"/>
    <dataValidation allowBlank="1" showInputMessage="1" showErrorMessage="1" promptTitle="ƒx Usuario_O365" prompt="Auditoría (oculta): correo de Microsoft 365 que ejecutó el script." sqref="N27" xr:uid="{00000000-0002-0000-0900-000020000000}"/>
    <dataValidation allowBlank="1" showInputMessage="1" showErrorMessage="1" promptTitle="ƒx SKU" prompt="Técnica (oculta): clave del producto." sqref="O27" xr:uid="{00000000-0002-0000-0900-000021000000}"/>
    <dataValidation allowBlank="1" showInputMessage="1" showErrorMessage="1" promptTitle="ƒx Timestamp" prompt="Auditoría (oculta): fecha y hora exactas del registro." sqref="P27" xr:uid="{00000000-0002-0000-0900-000022000000}"/>
  </dataValidations>
  <hyperlinks>
    <hyperlink ref="B5" location="'00_PORTADA_BODEGA'!A1" tooltip="Portada de Bodega" display="⌂ Bodega" xr:uid="{00000000-0004-0000-0900-000000000000}"/>
    <hyperlink ref="C5" location="'00_PORTADA_VENTAS'!A1" tooltip="Portada de Ventas" display="⌂ Ventas" xr:uid="{00000000-0004-0000-0900-000001000000}"/>
    <hyperlink ref="D5" location="'10A_ENTRADAS'!C9" tooltip="Registrar entradas y ajustes (Bodega)" display="⇩ Entradas" xr:uid="{00000000-0004-0000-0900-000002000000}"/>
    <hyperlink ref="E5" location="'10B_SALIDAS'!E9" tooltip="Registrar salidas (Ventas)" display="⇧ Salidas" xr:uid="{00000000-0004-0000-0900-000003000000}"/>
    <hyperlink ref="F5" location="'15_STOCK'!A1" tooltip="Stock (instantánea recalculada a demanda)" display="▦ Stock" xr:uid="{00000000-0004-0000-0900-000004000000}"/>
    <hyperlink ref="G5" location="'16_ALERTAS'!A1" tooltip="Productos que requieren acción" display="⚠ Alertas" xr:uid="{00000000-0004-0000-0900-000005000000}"/>
    <hyperlink ref="H5" location="'05_PRODUCTOS'!A1" tooltip="Catálogo de productos" display="☰ Catálogo" xr:uid="{00000000-0004-0000-0900-000006000000}"/>
    <hyperlink ref="I5" location="'99_AYUDA'!A1" tooltip="Guía de uso y de instalación" display="? Guía" xr:uid="{00000000-0004-0000-0900-000007000000}"/>
  </hyperlinks>
  <pageMargins left="0.7" right="0.7" top="0.75" bottom="0.75" header="0.3" footer="0.3"/>
  <pageSetup fitToHeight="0" orientation="landscape"/>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96B"/>
    <pageSetUpPr fitToPage="1"/>
  </sheetPr>
  <dimension ref="B1:R507"/>
  <sheetViews>
    <sheetView showGridLines="0" showRowColHeaders="0" zoomScale="90" zoomScaleNormal="90" workbookViewId="0">
      <pane xSplit="2" ySplit="7" topLeftCell="C8" activePane="bottomRight" state="frozen"/>
      <selection pane="topRight" activeCell="C1" sqref="C1"/>
      <selection pane="bottomLeft" activeCell="A8" sqref="A8"/>
      <selection pane="bottomRight" activeCell="B8" sqref="B8"/>
    </sheetView>
  </sheetViews>
  <sheetFormatPr baseColWidth="10" defaultColWidth="0" defaultRowHeight="15" zeroHeight="1" x14ac:dyDescent="0.25"/>
  <cols>
    <col min="1" max="1" width="2.28515625" customWidth="1"/>
    <col min="2" max="2" width="12" customWidth="1"/>
    <col min="3" max="3" width="38.5703125" customWidth="1"/>
    <col min="4" max="4" width="22.85546875" customWidth="1"/>
    <col min="5" max="5" width="28.5703125" customWidth="1"/>
    <col min="6" max="6" width="10" customWidth="1"/>
    <col min="7" max="7" width="9.140625" customWidth="1"/>
    <col min="8" max="9" width="12.85546875" customWidth="1"/>
    <col min="10" max="10" width="14.85546875" customWidth="1"/>
    <col min="11" max="12" width="12.85546875" customWidth="1"/>
    <col min="13" max="13" width="14.85546875" customWidth="1"/>
    <col min="14" max="14" width="18.5703125" customWidth="1"/>
    <col min="15" max="15" width="16" customWidth="1"/>
    <col min="16" max="16" width="18.28515625" customWidth="1"/>
    <col min="17" max="18" width="14.85546875" customWidth="1"/>
    <col min="19" max="19" width="2.28515625" customWidth="1"/>
    <col min="20" max="20" width="0" hidden="1" customWidth="1"/>
  </cols>
  <sheetData>
    <row r="1" spans="2:18" s="1" customFormat="1" ht="4.5" customHeight="1" x14ac:dyDescent="0.25"/>
    <row r="2" spans="2:18" s="1" customFormat="1" ht="22.5" customHeight="1" x14ac:dyDescent="0.25">
      <c r="B2" s="2" t="s">
        <v>197</v>
      </c>
    </row>
    <row r="3" spans="2:18" s="1" customFormat="1" ht="14.25" x14ac:dyDescent="0.25">
      <c r="B3" s="13" t="s">
        <v>198</v>
      </c>
    </row>
    <row r="4" spans="2:18" s="1" customFormat="1" ht="4.5" customHeight="1" x14ac:dyDescent="0.25"/>
    <row r="5" spans="2:18" s="4" customFormat="1" ht="21" customHeight="1" x14ac:dyDescent="0.25">
      <c r="H5" s="6" t="s">
        <v>82</v>
      </c>
      <c r="I5" s="6" t="s">
        <v>83</v>
      </c>
      <c r="J5" s="6" t="s">
        <v>84</v>
      </c>
      <c r="K5" s="6" t="s">
        <v>85</v>
      </c>
      <c r="L5" s="5" t="s">
        <v>86</v>
      </c>
      <c r="M5" s="6" t="s">
        <v>87</v>
      </c>
      <c r="N5" s="6" t="s">
        <v>88</v>
      </c>
      <c r="O5" s="6" t="s">
        <v>89</v>
      </c>
    </row>
    <row r="6" spans="2:18" s="7" customFormat="1" ht="27" customHeight="1" x14ac:dyDescent="0.25">
      <c r="B6" s="108" t="str">
        <f>txtStockActualizado</f>
        <v>Stock aún no calculado</v>
      </c>
      <c r="C6" s="108"/>
      <c r="D6" s="108" t="str">
        <f>txtFrescuraCorta</f>
        <v>⚠ Sin calcular</v>
      </c>
      <c r="E6" s="108"/>
      <c r="F6" s="108"/>
      <c r="G6" s="83" t="s">
        <v>206</v>
      </c>
      <c r="H6" s="83"/>
      <c r="I6" s="83"/>
      <c r="J6" s="83"/>
      <c r="K6" s="83"/>
    </row>
    <row r="7" spans="2:18" ht="24" customHeight="1" x14ac:dyDescent="0.25">
      <c r="B7" s="15" t="s">
        <v>111</v>
      </c>
      <c r="C7" s="15" t="s">
        <v>112</v>
      </c>
      <c r="D7" s="15" t="s">
        <v>113</v>
      </c>
      <c r="E7" s="15" t="s">
        <v>100</v>
      </c>
      <c r="F7" s="15" t="s">
        <v>114</v>
      </c>
      <c r="G7" s="15" t="s">
        <v>93</v>
      </c>
      <c r="H7" s="15" t="s">
        <v>199</v>
      </c>
      <c r="I7" s="15" t="s">
        <v>200</v>
      </c>
      <c r="J7" s="15" t="s">
        <v>201</v>
      </c>
      <c r="K7" s="15" t="s">
        <v>115</v>
      </c>
      <c r="L7" s="15" t="s">
        <v>116</v>
      </c>
      <c r="M7" s="15" t="s">
        <v>202</v>
      </c>
      <c r="N7" s="15" t="s">
        <v>56</v>
      </c>
      <c r="O7" s="15" t="s">
        <v>117</v>
      </c>
      <c r="P7" s="15" t="s">
        <v>203</v>
      </c>
      <c r="Q7" s="15" t="s">
        <v>204</v>
      </c>
      <c r="R7" s="15" t="s">
        <v>205</v>
      </c>
    </row>
    <row r="8" spans="2:18" x14ac:dyDescent="0.25">
      <c r="B8" s="59"/>
      <c r="C8" s="60"/>
      <c r="D8" s="60"/>
      <c r="E8" s="60"/>
      <c r="F8" s="59"/>
      <c r="G8" s="59"/>
      <c r="H8" s="61"/>
      <c r="I8" s="61"/>
      <c r="J8" s="62"/>
      <c r="K8" s="61"/>
      <c r="L8" s="61"/>
      <c r="M8" s="63"/>
      <c r="N8" s="64"/>
      <c r="O8" s="65"/>
      <c r="P8" s="65"/>
      <c r="Q8" s="66"/>
      <c r="R8" s="67"/>
    </row>
    <row r="9" spans="2:18" x14ac:dyDescent="0.25">
      <c r="B9" s="59"/>
      <c r="C9" s="60"/>
      <c r="D9" s="60"/>
      <c r="E9" s="60"/>
      <c r="F9" s="59"/>
      <c r="G9" s="59"/>
      <c r="H9" s="61"/>
      <c r="I9" s="61"/>
      <c r="J9" s="62"/>
      <c r="K9" s="61"/>
      <c r="L9" s="61"/>
      <c r="M9" s="63"/>
      <c r="N9" s="64"/>
      <c r="O9" s="65"/>
      <c r="P9" s="65"/>
      <c r="Q9" s="66"/>
      <c r="R9" s="67"/>
    </row>
    <row r="10" spans="2:18" x14ac:dyDescent="0.25">
      <c r="B10" s="59"/>
      <c r="C10" s="60"/>
      <c r="D10" s="60"/>
      <c r="E10" s="60"/>
      <c r="F10" s="59"/>
      <c r="G10" s="59"/>
      <c r="H10" s="61"/>
      <c r="I10" s="61"/>
      <c r="J10" s="62"/>
      <c r="K10" s="61"/>
      <c r="L10" s="61"/>
      <c r="M10" s="63"/>
      <c r="N10" s="64"/>
      <c r="O10" s="65"/>
      <c r="P10" s="65"/>
      <c r="Q10" s="66"/>
      <c r="R10" s="67"/>
    </row>
    <row r="11" spans="2:18" x14ac:dyDescent="0.25">
      <c r="B11" s="59"/>
      <c r="C11" s="60"/>
      <c r="D11" s="60"/>
      <c r="E11" s="60"/>
      <c r="F11" s="59"/>
      <c r="G11" s="59"/>
      <c r="H11" s="61"/>
      <c r="I11" s="61"/>
      <c r="J11" s="62"/>
      <c r="K11" s="61"/>
      <c r="L11" s="61"/>
      <c r="M11" s="63"/>
      <c r="N11" s="64"/>
      <c r="O11" s="65"/>
      <c r="P11" s="65"/>
      <c r="Q11" s="66"/>
      <c r="R11" s="67"/>
    </row>
    <row r="12" spans="2:18" x14ac:dyDescent="0.25">
      <c r="B12" s="59"/>
      <c r="C12" s="60"/>
      <c r="D12" s="60"/>
      <c r="E12" s="60"/>
      <c r="F12" s="59"/>
      <c r="G12" s="59"/>
      <c r="H12" s="61"/>
      <c r="I12" s="61"/>
      <c r="J12" s="62"/>
      <c r="K12" s="61"/>
      <c r="L12" s="61"/>
      <c r="M12" s="63"/>
      <c r="N12" s="64"/>
      <c r="O12" s="65"/>
      <c r="P12" s="65"/>
      <c r="Q12" s="66"/>
      <c r="R12" s="67"/>
    </row>
    <row r="13" spans="2:18" x14ac:dyDescent="0.25">
      <c r="B13" s="59"/>
      <c r="C13" s="60"/>
      <c r="D13" s="60"/>
      <c r="E13" s="60"/>
      <c r="F13" s="59"/>
      <c r="G13" s="59"/>
      <c r="H13" s="61"/>
      <c r="I13" s="61"/>
      <c r="J13" s="62"/>
      <c r="K13" s="61"/>
      <c r="L13" s="61"/>
      <c r="M13" s="63"/>
      <c r="N13" s="64"/>
      <c r="O13" s="65"/>
      <c r="P13" s="65"/>
      <c r="Q13" s="66"/>
      <c r="R13" s="67"/>
    </row>
    <row r="14" spans="2:18" x14ac:dyDescent="0.25">
      <c r="B14" s="59"/>
      <c r="C14" s="60"/>
      <c r="D14" s="60"/>
      <c r="E14" s="60"/>
      <c r="F14" s="59"/>
      <c r="G14" s="59"/>
      <c r="H14" s="61"/>
      <c r="I14" s="61"/>
      <c r="J14" s="62"/>
      <c r="K14" s="61"/>
      <c r="L14" s="61"/>
      <c r="M14" s="63"/>
      <c r="N14" s="64"/>
      <c r="O14" s="65"/>
      <c r="P14" s="65"/>
      <c r="Q14" s="66"/>
      <c r="R14" s="67"/>
    </row>
    <row r="15" spans="2:18" x14ac:dyDescent="0.25">
      <c r="B15" s="59"/>
      <c r="C15" s="60"/>
      <c r="D15" s="60"/>
      <c r="E15" s="60"/>
      <c r="F15" s="59"/>
      <c r="G15" s="59"/>
      <c r="H15" s="61"/>
      <c r="I15" s="61"/>
      <c r="J15" s="62"/>
      <c r="K15" s="61"/>
      <c r="L15" s="61"/>
      <c r="M15" s="63"/>
      <c r="N15" s="64"/>
      <c r="O15" s="65"/>
      <c r="P15" s="65"/>
      <c r="Q15" s="66"/>
      <c r="R15" s="67"/>
    </row>
    <row r="16" spans="2:18" x14ac:dyDescent="0.25">
      <c r="B16" s="59"/>
      <c r="C16" s="60"/>
      <c r="D16" s="60"/>
      <c r="E16" s="60"/>
      <c r="F16" s="59"/>
      <c r="G16" s="59"/>
      <c r="H16" s="61"/>
      <c r="I16" s="61"/>
      <c r="J16" s="62"/>
      <c r="K16" s="61"/>
      <c r="L16" s="61"/>
      <c r="M16" s="63"/>
      <c r="N16" s="64"/>
      <c r="O16" s="65"/>
      <c r="P16" s="65"/>
      <c r="Q16" s="66"/>
      <c r="R16" s="67"/>
    </row>
    <row r="17" spans="2:18" x14ac:dyDescent="0.25">
      <c r="B17" s="59"/>
      <c r="C17" s="60"/>
      <c r="D17" s="60"/>
      <c r="E17" s="60"/>
      <c r="F17" s="59"/>
      <c r="G17" s="59"/>
      <c r="H17" s="61"/>
      <c r="I17" s="61"/>
      <c r="J17" s="62"/>
      <c r="K17" s="61"/>
      <c r="L17" s="61"/>
      <c r="M17" s="63"/>
      <c r="N17" s="64"/>
      <c r="O17" s="65"/>
      <c r="P17" s="65"/>
      <c r="Q17" s="66"/>
      <c r="R17" s="67"/>
    </row>
    <row r="18" spans="2:18" x14ac:dyDescent="0.25">
      <c r="B18" s="59"/>
      <c r="C18" s="60"/>
      <c r="D18" s="60"/>
      <c r="E18" s="60"/>
      <c r="F18" s="59"/>
      <c r="G18" s="59"/>
      <c r="H18" s="61"/>
      <c r="I18" s="61"/>
      <c r="J18" s="62"/>
      <c r="K18" s="61"/>
      <c r="L18" s="61"/>
      <c r="M18" s="63"/>
      <c r="N18" s="64"/>
      <c r="O18" s="65"/>
      <c r="P18" s="65"/>
      <c r="Q18" s="66"/>
      <c r="R18" s="67"/>
    </row>
    <row r="19" spans="2:18" x14ac:dyDescent="0.25">
      <c r="B19" s="59"/>
      <c r="C19" s="60"/>
      <c r="D19" s="60"/>
      <c r="E19" s="60"/>
      <c r="F19" s="59"/>
      <c r="G19" s="59"/>
      <c r="H19" s="61"/>
      <c r="I19" s="61"/>
      <c r="J19" s="62"/>
      <c r="K19" s="61"/>
      <c r="L19" s="61"/>
      <c r="M19" s="63"/>
      <c r="N19" s="64"/>
      <c r="O19" s="65"/>
      <c r="P19" s="65"/>
      <c r="Q19" s="66"/>
      <c r="R19" s="67"/>
    </row>
    <row r="20" spans="2:18" x14ac:dyDescent="0.25">
      <c r="B20" s="59"/>
      <c r="C20" s="60"/>
      <c r="D20" s="60"/>
      <c r="E20" s="60"/>
      <c r="F20" s="59"/>
      <c r="G20" s="59"/>
      <c r="H20" s="61"/>
      <c r="I20" s="61"/>
      <c r="J20" s="62"/>
      <c r="K20" s="61"/>
      <c r="L20" s="61"/>
      <c r="M20" s="63"/>
      <c r="N20" s="64"/>
      <c r="O20" s="65"/>
      <c r="P20" s="65"/>
      <c r="Q20" s="66"/>
      <c r="R20" s="67"/>
    </row>
    <row r="21" spans="2:18" x14ac:dyDescent="0.25">
      <c r="B21" s="59"/>
      <c r="C21" s="60"/>
      <c r="D21" s="60"/>
      <c r="E21" s="60"/>
      <c r="F21" s="59"/>
      <c r="G21" s="59"/>
      <c r="H21" s="61"/>
      <c r="I21" s="61"/>
      <c r="J21" s="62"/>
      <c r="K21" s="61"/>
      <c r="L21" s="61"/>
      <c r="M21" s="63"/>
      <c r="N21" s="64"/>
      <c r="O21" s="65"/>
      <c r="P21" s="65"/>
      <c r="Q21" s="66"/>
      <c r="R21" s="67"/>
    </row>
    <row r="22" spans="2:18" x14ac:dyDescent="0.25">
      <c r="B22" s="59"/>
      <c r="C22" s="60"/>
      <c r="D22" s="60"/>
      <c r="E22" s="60"/>
      <c r="F22" s="59"/>
      <c r="G22" s="59"/>
      <c r="H22" s="61"/>
      <c r="I22" s="61"/>
      <c r="J22" s="62"/>
      <c r="K22" s="61"/>
      <c r="L22" s="61"/>
      <c r="M22" s="63"/>
      <c r="N22" s="64"/>
      <c r="O22" s="65"/>
      <c r="P22" s="65"/>
      <c r="Q22" s="66"/>
      <c r="R22" s="67"/>
    </row>
    <row r="23" spans="2:18" x14ac:dyDescent="0.25">
      <c r="B23" s="59"/>
      <c r="C23" s="60"/>
      <c r="D23" s="60"/>
      <c r="E23" s="60"/>
      <c r="F23" s="59"/>
      <c r="G23" s="59"/>
      <c r="H23" s="61"/>
      <c r="I23" s="61"/>
      <c r="J23" s="62"/>
      <c r="K23" s="61"/>
      <c r="L23" s="61"/>
      <c r="M23" s="63"/>
      <c r="N23" s="64"/>
      <c r="O23" s="65"/>
      <c r="P23" s="65"/>
      <c r="Q23" s="66"/>
      <c r="R23" s="67"/>
    </row>
    <row r="24" spans="2:18" x14ac:dyDescent="0.25">
      <c r="B24" s="59"/>
      <c r="C24" s="60"/>
      <c r="D24" s="60"/>
      <c r="E24" s="60"/>
      <c r="F24" s="59"/>
      <c r="G24" s="59"/>
      <c r="H24" s="61"/>
      <c r="I24" s="61"/>
      <c r="J24" s="62"/>
      <c r="K24" s="61"/>
      <c r="L24" s="61"/>
      <c r="M24" s="63"/>
      <c r="N24" s="64"/>
      <c r="O24" s="65"/>
      <c r="P24" s="65"/>
      <c r="Q24" s="66"/>
      <c r="R24" s="67"/>
    </row>
    <row r="25" spans="2:18" x14ac:dyDescent="0.25">
      <c r="B25" s="59"/>
      <c r="C25" s="60"/>
      <c r="D25" s="60"/>
      <c r="E25" s="60"/>
      <c r="F25" s="59"/>
      <c r="G25" s="59"/>
      <c r="H25" s="61"/>
      <c r="I25" s="61"/>
      <c r="J25" s="62"/>
      <c r="K25" s="61"/>
      <c r="L25" s="61"/>
      <c r="M25" s="63"/>
      <c r="N25" s="64"/>
      <c r="O25" s="65"/>
      <c r="P25" s="65"/>
      <c r="Q25" s="66"/>
      <c r="R25" s="67"/>
    </row>
    <row r="26" spans="2:18" x14ac:dyDescent="0.25">
      <c r="B26" s="59"/>
      <c r="C26" s="60"/>
      <c r="D26" s="60"/>
      <c r="E26" s="60"/>
      <c r="F26" s="59"/>
      <c r="G26" s="59"/>
      <c r="H26" s="61"/>
      <c r="I26" s="61"/>
      <c r="J26" s="62"/>
      <c r="K26" s="61"/>
      <c r="L26" s="61"/>
      <c r="M26" s="63"/>
      <c r="N26" s="64"/>
      <c r="O26" s="65"/>
      <c r="P26" s="65"/>
      <c r="Q26" s="66"/>
      <c r="R26" s="67"/>
    </row>
    <row r="27" spans="2:18" x14ac:dyDescent="0.25">
      <c r="B27" s="59"/>
      <c r="C27" s="60"/>
      <c r="D27" s="60"/>
      <c r="E27" s="60"/>
      <c r="F27" s="59"/>
      <c r="G27" s="59"/>
      <c r="H27" s="61"/>
      <c r="I27" s="61"/>
      <c r="J27" s="62"/>
      <c r="K27" s="61"/>
      <c r="L27" s="61"/>
      <c r="M27" s="63"/>
      <c r="N27" s="64"/>
      <c r="O27" s="65"/>
      <c r="P27" s="65"/>
      <c r="Q27" s="66"/>
      <c r="R27" s="67"/>
    </row>
    <row r="28" spans="2:18" x14ac:dyDescent="0.25">
      <c r="B28" s="59"/>
      <c r="C28" s="60"/>
      <c r="D28" s="60"/>
      <c r="E28" s="60"/>
      <c r="F28" s="59"/>
      <c r="G28" s="59"/>
      <c r="H28" s="61"/>
      <c r="I28" s="61"/>
      <c r="J28" s="62"/>
      <c r="K28" s="61"/>
      <c r="L28" s="61"/>
      <c r="M28" s="63"/>
      <c r="N28" s="64"/>
      <c r="O28" s="65"/>
      <c r="P28" s="65"/>
      <c r="Q28" s="66"/>
      <c r="R28" s="67"/>
    </row>
    <row r="29" spans="2:18" x14ac:dyDescent="0.25">
      <c r="B29" s="59"/>
      <c r="C29" s="60"/>
      <c r="D29" s="60"/>
      <c r="E29" s="60"/>
      <c r="F29" s="59"/>
      <c r="G29" s="59"/>
      <c r="H29" s="61"/>
      <c r="I29" s="61"/>
      <c r="J29" s="62"/>
      <c r="K29" s="61"/>
      <c r="L29" s="61"/>
      <c r="M29" s="63"/>
      <c r="N29" s="64"/>
      <c r="O29" s="65"/>
      <c r="P29" s="65"/>
      <c r="Q29" s="66"/>
      <c r="R29" s="67"/>
    </row>
    <row r="30" spans="2:18" x14ac:dyDescent="0.25">
      <c r="B30" s="59"/>
      <c r="C30" s="60"/>
      <c r="D30" s="60"/>
      <c r="E30" s="60"/>
      <c r="F30" s="59"/>
      <c r="G30" s="59"/>
      <c r="H30" s="61"/>
      <c r="I30" s="61"/>
      <c r="J30" s="62"/>
      <c r="K30" s="61"/>
      <c r="L30" s="61"/>
      <c r="M30" s="63"/>
      <c r="N30" s="64"/>
      <c r="O30" s="65"/>
      <c r="P30" s="65"/>
      <c r="Q30" s="66"/>
      <c r="R30" s="67"/>
    </row>
    <row r="31" spans="2:18" x14ac:dyDescent="0.25">
      <c r="B31" s="59"/>
      <c r="C31" s="60"/>
      <c r="D31" s="60"/>
      <c r="E31" s="60"/>
      <c r="F31" s="59"/>
      <c r="G31" s="59"/>
      <c r="H31" s="61"/>
      <c r="I31" s="61"/>
      <c r="J31" s="62"/>
      <c r="K31" s="61"/>
      <c r="L31" s="61"/>
      <c r="M31" s="63"/>
      <c r="N31" s="64"/>
      <c r="O31" s="65"/>
      <c r="P31" s="65"/>
      <c r="Q31" s="66"/>
      <c r="R31" s="67"/>
    </row>
    <row r="32" spans="2:18" x14ac:dyDescent="0.25">
      <c r="B32" s="59"/>
      <c r="C32" s="60"/>
      <c r="D32" s="60"/>
      <c r="E32" s="60"/>
      <c r="F32" s="59"/>
      <c r="G32" s="59"/>
      <c r="H32" s="61"/>
      <c r="I32" s="61"/>
      <c r="J32" s="62"/>
      <c r="K32" s="61"/>
      <c r="L32" s="61"/>
      <c r="M32" s="63"/>
      <c r="N32" s="64"/>
      <c r="O32" s="65"/>
      <c r="P32" s="65"/>
      <c r="Q32" s="66"/>
      <c r="R32" s="67"/>
    </row>
    <row r="33" spans="2:18" x14ac:dyDescent="0.25">
      <c r="B33" s="59"/>
      <c r="C33" s="60"/>
      <c r="D33" s="60"/>
      <c r="E33" s="60"/>
      <c r="F33" s="59"/>
      <c r="G33" s="59"/>
      <c r="H33" s="61"/>
      <c r="I33" s="61"/>
      <c r="J33" s="62"/>
      <c r="K33" s="61"/>
      <c r="L33" s="61"/>
      <c r="M33" s="63"/>
      <c r="N33" s="64"/>
      <c r="O33" s="65"/>
      <c r="P33" s="65"/>
      <c r="Q33" s="66"/>
      <c r="R33" s="67"/>
    </row>
    <row r="34" spans="2:18" x14ac:dyDescent="0.25">
      <c r="B34" s="59"/>
      <c r="C34" s="60"/>
      <c r="D34" s="60"/>
      <c r="E34" s="60"/>
      <c r="F34" s="59"/>
      <c r="G34" s="59"/>
      <c r="H34" s="61"/>
      <c r="I34" s="61"/>
      <c r="J34" s="62"/>
      <c r="K34" s="61"/>
      <c r="L34" s="61"/>
      <c r="M34" s="63"/>
      <c r="N34" s="64"/>
      <c r="O34" s="65"/>
      <c r="P34" s="65"/>
      <c r="Q34" s="66"/>
      <c r="R34" s="67"/>
    </row>
    <row r="35" spans="2:18" x14ac:dyDescent="0.25">
      <c r="B35" s="59"/>
      <c r="C35" s="60"/>
      <c r="D35" s="60"/>
      <c r="E35" s="60"/>
      <c r="F35" s="59"/>
      <c r="G35" s="59"/>
      <c r="H35" s="61"/>
      <c r="I35" s="61"/>
      <c r="J35" s="62"/>
      <c r="K35" s="61"/>
      <c r="L35" s="61"/>
      <c r="M35" s="63"/>
      <c r="N35" s="64"/>
      <c r="O35" s="65"/>
      <c r="P35" s="65"/>
      <c r="Q35" s="66"/>
      <c r="R35" s="67"/>
    </row>
    <row r="36" spans="2:18" x14ac:dyDescent="0.25">
      <c r="B36" s="59"/>
      <c r="C36" s="60"/>
      <c r="D36" s="60"/>
      <c r="E36" s="60"/>
      <c r="F36" s="59"/>
      <c r="G36" s="59"/>
      <c r="H36" s="61"/>
      <c r="I36" s="61"/>
      <c r="J36" s="62"/>
      <c r="K36" s="61"/>
      <c r="L36" s="61"/>
      <c r="M36" s="63"/>
      <c r="N36" s="64"/>
      <c r="O36" s="65"/>
      <c r="P36" s="65"/>
      <c r="Q36" s="66"/>
      <c r="R36" s="67"/>
    </row>
    <row r="37" spans="2:18" x14ac:dyDescent="0.25">
      <c r="B37" s="59"/>
      <c r="C37" s="60"/>
      <c r="D37" s="60"/>
      <c r="E37" s="60"/>
      <c r="F37" s="59"/>
      <c r="G37" s="59"/>
      <c r="H37" s="61"/>
      <c r="I37" s="61"/>
      <c r="J37" s="62"/>
      <c r="K37" s="61"/>
      <c r="L37" s="61"/>
      <c r="M37" s="63"/>
      <c r="N37" s="64"/>
      <c r="O37" s="65"/>
      <c r="P37" s="65"/>
      <c r="Q37" s="66"/>
      <c r="R37" s="67"/>
    </row>
    <row r="38" spans="2:18" x14ac:dyDescent="0.25">
      <c r="B38" s="59"/>
      <c r="C38" s="60"/>
      <c r="D38" s="60"/>
      <c r="E38" s="60"/>
      <c r="F38" s="59"/>
      <c r="G38" s="59"/>
      <c r="H38" s="61"/>
      <c r="I38" s="61"/>
      <c r="J38" s="62"/>
      <c r="K38" s="61"/>
      <c r="L38" s="61"/>
      <c r="M38" s="63"/>
      <c r="N38" s="64"/>
      <c r="O38" s="65"/>
      <c r="P38" s="65"/>
      <c r="Q38" s="66"/>
      <c r="R38" s="67"/>
    </row>
    <row r="39" spans="2:18" x14ac:dyDescent="0.25">
      <c r="B39" s="59"/>
      <c r="C39" s="60"/>
      <c r="D39" s="60"/>
      <c r="E39" s="60"/>
      <c r="F39" s="59"/>
      <c r="G39" s="59"/>
      <c r="H39" s="61"/>
      <c r="I39" s="61"/>
      <c r="J39" s="62"/>
      <c r="K39" s="61"/>
      <c r="L39" s="61"/>
      <c r="M39" s="63"/>
      <c r="N39" s="64"/>
      <c r="O39" s="65"/>
      <c r="P39" s="65"/>
      <c r="Q39" s="66"/>
      <c r="R39" s="67"/>
    </row>
    <row r="40" spans="2:18" x14ac:dyDescent="0.25">
      <c r="B40" s="59"/>
      <c r="C40" s="60"/>
      <c r="D40" s="60"/>
      <c r="E40" s="60"/>
      <c r="F40" s="59"/>
      <c r="G40" s="59"/>
      <c r="H40" s="61"/>
      <c r="I40" s="61"/>
      <c r="J40" s="62"/>
      <c r="K40" s="61"/>
      <c r="L40" s="61"/>
      <c r="M40" s="63"/>
      <c r="N40" s="64"/>
      <c r="O40" s="65"/>
      <c r="P40" s="65"/>
      <c r="Q40" s="66"/>
      <c r="R40" s="67"/>
    </row>
    <row r="41" spans="2:18" x14ac:dyDescent="0.25">
      <c r="B41" s="59"/>
      <c r="C41" s="60"/>
      <c r="D41" s="60"/>
      <c r="E41" s="60"/>
      <c r="F41" s="59"/>
      <c r="G41" s="59"/>
      <c r="H41" s="61"/>
      <c r="I41" s="61"/>
      <c r="J41" s="62"/>
      <c r="K41" s="61"/>
      <c r="L41" s="61"/>
      <c r="M41" s="63"/>
      <c r="N41" s="64"/>
      <c r="O41" s="65"/>
      <c r="P41" s="65"/>
      <c r="Q41" s="66"/>
      <c r="R41" s="67"/>
    </row>
    <row r="42" spans="2:18" x14ac:dyDescent="0.25">
      <c r="B42" s="59"/>
      <c r="C42" s="60"/>
      <c r="D42" s="60"/>
      <c r="E42" s="60"/>
      <c r="F42" s="59"/>
      <c r="G42" s="59"/>
      <c r="H42" s="61"/>
      <c r="I42" s="61"/>
      <c r="J42" s="62"/>
      <c r="K42" s="61"/>
      <c r="L42" s="61"/>
      <c r="M42" s="63"/>
      <c r="N42" s="64"/>
      <c r="O42" s="65"/>
      <c r="P42" s="65"/>
      <c r="Q42" s="66"/>
      <c r="R42" s="67"/>
    </row>
    <row r="43" spans="2:18" x14ac:dyDescent="0.25">
      <c r="B43" s="59"/>
      <c r="C43" s="60"/>
      <c r="D43" s="60"/>
      <c r="E43" s="60"/>
      <c r="F43" s="59"/>
      <c r="G43" s="59"/>
      <c r="H43" s="61"/>
      <c r="I43" s="61"/>
      <c r="J43" s="62"/>
      <c r="K43" s="61"/>
      <c r="L43" s="61"/>
      <c r="M43" s="63"/>
      <c r="N43" s="64"/>
      <c r="O43" s="65"/>
      <c r="P43" s="65"/>
      <c r="Q43" s="66"/>
      <c r="R43" s="67"/>
    </row>
    <row r="44" spans="2:18" x14ac:dyDescent="0.25">
      <c r="B44" s="59"/>
      <c r="C44" s="60"/>
      <c r="D44" s="60"/>
      <c r="E44" s="60"/>
      <c r="F44" s="59"/>
      <c r="G44" s="59"/>
      <c r="H44" s="61"/>
      <c r="I44" s="61"/>
      <c r="J44" s="62"/>
      <c r="K44" s="61"/>
      <c r="L44" s="61"/>
      <c r="M44" s="63"/>
      <c r="N44" s="64"/>
      <c r="O44" s="65"/>
      <c r="P44" s="65"/>
      <c r="Q44" s="66"/>
      <c r="R44" s="67"/>
    </row>
    <row r="45" spans="2:18" x14ac:dyDescent="0.25">
      <c r="B45" s="59"/>
      <c r="C45" s="60"/>
      <c r="D45" s="60"/>
      <c r="E45" s="60"/>
      <c r="F45" s="59"/>
      <c r="G45" s="59"/>
      <c r="H45" s="61"/>
      <c r="I45" s="61"/>
      <c r="J45" s="62"/>
      <c r="K45" s="61"/>
      <c r="L45" s="61"/>
      <c r="M45" s="63"/>
      <c r="N45" s="64"/>
      <c r="O45" s="65"/>
      <c r="P45" s="65"/>
      <c r="Q45" s="66"/>
      <c r="R45" s="67"/>
    </row>
    <row r="46" spans="2:18" x14ac:dyDescent="0.25">
      <c r="B46" s="59"/>
      <c r="C46" s="60"/>
      <c r="D46" s="60"/>
      <c r="E46" s="60"/>
      <c r="F46" s="59"/>
      <c r="G46" s="59"/>
      <c r="H46" s="61"/>
      <c r="I46" s="61"/>
      <c r="J46" s="62"/>
      <c r="K46" s="61"/>
      <c r="L46" s="61"/>
      <c r="M46" s="63"/>
      <c r="N46" s="64"/>
      <c r="O46" s="65"/>
      <c r="P46" s="65"/>
      <c r="Q46" s="66"/>
      <c r="R46" s="67"/>
    </row>
    <row r="47" spans="2:18" x14ac:dyDescent="0.25">
      <c r="B47" s="59"/>
      <c r="C47" s="60"/>
      <c r="D47" s="60"/>
      <c r="E47" s="60"/>
      <c r="F47" s="59"/>
      <c r="G47" s="59"/>
      <c r="H47" s="61"/>
      <c r="I47" s="61"/>
      <c r="J47" s="62"/>
      <c r="K47" s="61"/>
      <c r="L47" s="61"/>
      <c r="M47" s="63"/>
      <c r="N47" s="64"/>
      <c r="O47" s="65"/>
      <c r="P47" s="65"/>
      <c r="Q47" s="66"/>
      <c r="R47" s="67"/>
    </row>
    <row r="48" spans="2:18" x14ac:dyDescent="0.25">
      <c r="B48" s="59"/>
      <c r="C48" s="60"/>
      <c r="D48" s="60"/>
      <c r="E48" s="60"/>
      <c r="F48" s="59"/>
      <c r="G48" s="59"/>
      <c r="H48" s="61"/>
      <c r="I48" s="61"/>
      <c r="J48" s="62"/>
      <c r="K48" s="61"/>
      <c r="L48" s="61"/>
      <c r="M48" s="63"/>
      <c r="N48" s="64"/>
      <c r="O48" s="65"/>
      <c r="P48" s="65"/>
      <c r="Q48" s="66"/>
      <c r="R48" s="67"/>
    </row>
    <row r="49" spans="2:18" x14ac:dyDescent="0.25">
      <c r="B49" s="59"/>
      <c r="C49" s="60"/>
      <c r="D49" s="60"/>
      <c r="E49" s="60"/>
      <c r="F49" s="59"/>
      <c r="G49" s="59"/>
      <c r="H49" s="61"/>
      <c r="I49" s="61"/>
      <c r="J49" s="62"/>
      <c r="K49" s="61"/>
      <c r="L49" s="61"/>
      <c r="M49" s="63"/>
      <c r="N49" s="64"/>
      <c r="O49" s="65"/>
      <c r="P49" s="65"/>
      <c r="Q49" s="66"/>
      <c r="R49" s="67"/>
    </row>
    <row r="50" spans="2:18" x14ac:dyDescent="0.25">
      <c r="B50" s="59"/>
      <c r="C50" s="60"/>
      <c r="D50" s="60"/>
      <c r="E50" s="60"/>
      <c r="F50" s="59"/>
      <c r="G50" s="59"/>
      <c r="H50" s="61"/>
      <c r="I50" s="61"/>
      <c r="J50" s="62"/>
      <c r="K50" s="61"/>
      <c r="L50" s="61"/>
      <c r="M50" s="63"/>
      <c r="N50" s="64"/>
      <c r="O50" s="65"/>
      <c r="P50" s="65"/>
      <c r="Q50" s="66"/>
      <c r="R50" s="67"/>
    </row>
    <row r="51" spans="2:18" x14ac:dyDescent="0.25">
      <c r="B51" s="59"/>
      <c r="C51" s="60"/>
      <c r="D51" s="60"/>
      <c r="E51" s="60"/>
      <c r="F51" s="59"/>
      <c r="G51" s="59"/>
      <c r="H51" s="61"/>
      <c r="I51" s="61"/>
      <c r="J51" s="62"/>
      <c r="K51" s="61"/>
      <c r="L51" s="61"/>
      <c r="M51" s="63"/>
      <c r="N51" s="64"/>
      <c r="O51" s="65"/>
      <c r="P51" s="65"/>
      <c r="Q51" s="66"/>
      <c r="R51" s="67"/>
    </row>
    <row r="52" spans="2:18" x14ac:dyDescent="0.25">
      <c r="B52" s="59"/>
      <c r="C52" s="60"/>
      <c r="D52" s="60"/>
      <c r="E52" s="60"/>
      <c r="F52" s="59"/>
      <c r="G52" s="59"/>
      <c r="H52" s="61"/>
      <c r="I52" s="61"/>
      <c r="J52" s="62"/>
      <c r="K52" s="61"/>
      <c r="L52" s="61"/>
      <c r="M52" s="63"/>
      <c r="N52" s="64"/>
      <c r="O52" s="65"/>
      <c r="P52" s="65"/>
      <c r="Q52" s="66"/>
      <c r="R52" s="67"/>
    </row>
    <row r="53" spans="2:18" x14ac:dyDescent="0.25">
      <c r="B53" s="59"/>
      <c r="C53" s="60"/>
      <c r="D53" s="60"/>
      <c r="E53" s="60"/>
      <c r="F53" s="59"/>
      <c r="G53" s="59"/>
      <c r="H53" s="61"/>
      <c r="I53" s="61"/>
      <c r="J53" s="62"/>
      <c r="K53" s="61"/>
      <c r="L53" s="61"/>
      <c r="M53" s="63"/>
      <c r="N53" s="64"/>
      <c r="O53" s="65"/>
      <c r="P53" s="65"/>
      <c r="Q53" s="66"/>
      <c r="R53" s="67"/>
    </row>
    <row r="54" spans="2:18" x14ac:dyDescent="0.25">
      <c r="B54" s="59"/>
      <c r="C54" s="60"/>
      <c r="D54" s="60"/>
      <c r="E54" s="60"/>
      <c r="F54" s="59"/>
      <c r="G54" s="59"/>
      <c r="H54" s="61"/>
      <c r="I54" s="61"/>
      <c r="J54" s="62"/>
      <c r="K54" s="61"/>
      <c r="L54" s="61"/>
      <c r="M54" s="63"/>
      <c r="N54" s="64"/>
      <c r="O54" s="65"/>
      <c r="P54" s="65"/>
      <c r="Q54" s="66"/>
      <c r="R54" s="67"/>
    </row>
    <row r="55" spans="2:18" x14ac:dyDescent="0.25">
      <c r="B55" s="59"/>
      <c r="C55" s="60"/>
      <c r="D55" s="60"/>
      <c r="E55" s="60"/>
      <c r="F55" s="59"/>
      <c r="G55" s="59"/>
      <c r="H55" s="61"/>
      <c r="I55" s="61"/>
      <c r="J55" s="62"/>
      <c r="K55" s="61"/>
      <c r="L55" s="61"/>
      <c r="M55" s="63"/>
      <c r="N55" s="64"/>
      <c r="O55" s="65"/>
      <c r="P55" s="65"/>
      <c r="Q55" s="66"/>
      <c r="R55" s="67"/>
    </row>
    <row r="56" spans="2:18" x14ac:dyDescent="0.25">
      <c r="B56" s="59"/>
      <c r="C56" s="60"/>
      <c r="D56" s="60"/>
      <c r="E56" s="60"/>
      <c r="F56" s="59"/>
      <c r="G56" s="59"/>
      <c r="H56" s="61"/>
      <c r="I56" s="61"/>
      <c r="J56" s="62"/>
      <c r="K56" s="61"/>
      <c r="L56" s="61"/>
      <c r="M56" s="63"/>
      <c r="N56" s="64"/>
      <c r="O56" s="65"/>
      <c r="P56" s="65"/>
      <c r="Q56" s="66"/>
      <c r="R56" s="67"/>
    </row>
    <row r="57" spans="2:18" x14ac:dyDescent="0.25">
      <c r="B57" s="59"/>
      <c r="C57" s="60"/>
      <c r="D57" s="60"/>
      <c r="E57" s="60"/>
      <c r="F57" s="59"/>
      <c r="G57" s="59"/>
      <c r="H57" s="61"/>
      <c r="I57" s="61"/>
      <c r="J57" s="62"/>
      <c r="K57" s="61"/>
      <c r="L57" s="61"/>
      <c r="M57" s="63"/>
      <c r="N57" s="64"/>
      <c r="O57" s="65"/>
      <c r="P57" s="65"/>
      <c r="Q57" s="66"/>
      <c r="R57" s="67"/>
    </row>
    <row r="58" spans="2:18" x14ac:dyDescent="0.25">
      <c r="B58" s="59"/>
      <c r="C58" s="60"/>
      <c r="D58" s="60"/>
      <c r="E58" s="60"/>
      <c r="F58" s="59"/>
      <c r="G58" s="59"/>
      <c r="H58" s="61"/>
      <c r="I58" s="61"/>
      <c r="J58" s="62"/>
      <c r="K58" s="61"/>
      <c r="L58" s="61"/>
      <c r="M58" s="63"/>
      <c r="N58" s="64"/>
      <c r="O58" s="65"/>
      <c r="P58" s="65"/>
      <c r="Q58" s="66"/>
      <c r="R58" s="67"/>
    </row>
    <row r="59" spans="2:18" x14ac:dyDescent="0.25">
      <c r="B59" s="59"/>
      <c r="C59" s="60"/>
      <c r="D59" s="60"/>
      <c r="E59" s="60"/>
      <c r="F59" s="59"/>
      <c r="G59" s="59"/>
      <c r="H59" s="61"/>
      <c r="I59" s="61"/>
      <c r="J59" s="62"/>
      <c r="K59" s="61"/>
      <c r="L59" s="61"/>
      <c r="M59" s="63"/>
      <c r="N59" s="64"/>
      <c r="O59" s="65"/>
      <c r="P59" s="65"/>
      <c r="Q59" s="66"/>
      <c r="R59" s="67"/>
    </row>
    <row r="60" spans="2:18" x14ac:dyDescent="0.25">
      <c r="B60" s="59"/>
      <c r="C60" s="60"/>
      <c r="D60" s="60"/>
      <c r="E60" s="60"/>
      <c r="F60" s="59"/>
      <c r="G60" s="59"/>
      <c r="H60" s="61"/>
      <c r="I60" s="61"/>
      <c r="J60" s="62"/>
      <c r="K60" s="61"/>
      <c r="L60" s="61"/>
      <c r="M60" s="63"/>
      <c r="N60" s="64"/>
      <c r="O60" s="65"/>
      <c r="P60" s="65"/>
      <c r="Q60" s="66"/>
      <c r="R60" s="67"/>
    </row>
    <row r="61" spans="2:18" x14ac:dyDescent="0.25">
      <c r="B61" s="59"/>
      <c r="C61" s="60"/>
      <c r="D61" s="60"/>
      <c r="E61" s="60"/>
      <c r="F61" s="59"/>
      <c r="G61" s="59"/>
      <c r="H61" s="61"/>
      <c r="I61" s="61"/>
      <c r="J61" s="62"/>
      <c r="K61" s="61"/>
      <c r="L61" s="61"/>
      <c r="M61" s="63"/>
      <c r="N61" s="64"/>
      <c r="O61" s="65"/>
      <c r="P61" s="65"/>
      <c r="Q61" s="66"/>
      <c r="R61" s="67"/>
    </row>
    <row r="62" spans="2:18" x14ac:dyDescent="0.25">
      <c r="B62" s="59"/>
      <c r="C62" s="60"/>
      <c r="D62" s="60"/>
      <c r="E62" s="60"/>
      <c r="F62" s="59"/>
      <c r="G62" s="59"/>
      <c r="H62" s="61"/>
      <c r="I62" s="61"/>
      <c r="J62" s="62"/>
      <c r="K62" s="61"/>
      <c r="L62" s="61"/>
      <c r="M62" s="63"/>
      <c r="N62" s="64"/>
      <c r="O62" s="65"/>
      <c r="P62" s="65"/>
      <c r="Q62" s="66"/>
      <c r="R62" s="67"/>
    </row>
    <row r="63" spans="2:18" x14ac:dyDescent="0.25">
      <c r="B63" s="59"/>
      <c r="C63" s="60"/>
      <c r="D63" s="60"/>
      <c r="E63" s="60"/>
      <c r="F63" s="59"/>
      <c r="G63" s="59"/>
      <c r="H63" s="61"/>
      <c r="I63" s="61"/>
      <c r="J63" s="62"/>
      <c r="K63" s="61"/>
      <c r="L63" s="61"/>
      <c r="M63" s="63"/>
      <c r="N63" s="64"/>
      <c r="O63" s="65"/>
      <c r="P63" s="65"/>
      <c r="Q63" s="66"/>
      <c r="R63" s="67"/>
    </row>
    <row r="64" spans="2:18" x14ac:dyDescent="0.25">
      <c r="B64" s="59"/>
      <c r="C64" s="60"/>
      <c r="D64" s="60"/>
      <c r="E64" s="60"/>
      <c r="F64" s="59"/>
      <c r="G64" s="59"/>
      <c r="H64" s="61"/>
      <c r="I64" s="61"/>
      <c r="J64" s="62"/>
      <c r="K64" s="61"/>
      <c r="L64" s="61"/>
      <c r="M64" s="63"/>
      <c r="N64" s="64"/>
      <c r="O64" s="65"/>
      <c r="P64" s="65"/>
      <c r="Q64" s="66"/>
      <c r="R64" s="67"/>
    </row>
    <row r="65" spans="2:18" x14ac:dyDescent="0.25">
      <c r="B65" s="59"/>
      <c r="C65" s="60"/>
      <c r="D65" s="60"/>
      <c r="E65" s="60"/>
      <c r="F65" s="59"/>
      <c r="G65" s="59"/>
      <c r="H65" s="61"/>
      <c r="I65" s="61"/>
      <c r="J65" s="62"/>
      <c r="K65" s="61"/>
      <c r="L65" s="61"/>
      <c r="M65" s="63"/>
      <c r="N65" s="64"/>
      <c r="O65" s="65"/>
      <c r="P65" s="65"/>
      <c r="Q65" s="66"/>
      <c r="R65" s="67"/>
    </row>
    <row r="66" spans="2:18" x14ac:dyDescent="0.25">
      <c r="B66" s="59"/>
      <c r="C66" s="60"/>
      <c r="D66" s="60"/>
      <c r="E66" s="60"/>
      <c r="F66" s="59"/>
      <c r="G66" s="59"/>
      <c r="H66" s="61"/>
      <c r="I66" s="61"/>
      <c r="J66" s="62"/>
      <c r="K66" s="61"/>
      <c r="L66" s="61"/>
      <c r="M66" s="63"/>
      <c r="N66" s="64"/>
      <c r="O66" s="65"/>
      <c r="P66" s="65"/>
      <c r="Q66" s="66"/>
      <c r="R66" s="67"/>
    </row>
    <row r="67" spans="2:18" x14ac:dyDescent="0.25">
      <c r="B67" s="59"/>
      <c r="C67" s="60"/>
      <c r="D67" s="60"/>
      <c r="E67" s="60"/>
      <c r="F67" s="59"/>
      <c r="G67" s="59"/>
      <c r="H67" s="61"/>
      <c r="I67" s="61"/>
      <c r="J67" s="62"/>
      <c r="K67" s="61"/>
      <c r="L67" s="61"/>
      <c r="M67" s="63"/>
      <c r="N67" s="64"/>
      <c r="O67" s="65"/>
      <c r="P67" s="65"/>
      <c r="Q67" s="66"/>
      <c r="R67" s="67"/>
    </row>
    <row r="68" spans="2:18" x14ac:dyDescent="0.25">
      <c r="B68" s="59"/>
      <c r="C68" s="60"/>
      <c r="D68" s="60"/>
      <c r="E68" s="60"/>
      <c r="F68" s="59"/>
      <c r="G68" s="59"/>
      <c r="H68" s="61"/>
      <c r="I68" s="61"/>
      <c r="J68" s="62"/>
      <c r="K68" s="61"/>
      <c r="L68" s="61"/>
      <c r="M68" s="63"/>
      <c r="N68" s="64"/>
      <c r="O68" s="65"/>
      <c r="P68" s="65"/>
      <c r="Q68" s="66"/>
      <c r="R68" s="67"/>
    </row>
    <row r="69" spans="2:18" x14ac:dyDescent="0.25">
      <c r="B69" s="59"/>
      <c r="C69" s="60"/>
      <c r="D69" s="60"/>
      <c r="E69" s="60"/>
      <c r="F69" s="59"/>
      <c r="G69" s="59"/>
      <c r="H69" s="61"/>
      <c r="I69" s="61"/>
      <c r="J69" s="62"/>
      <c r="K69" s="61"/>
      <c r="L69" s="61"/>
      <c r="M69" s="63"/>
      <c r="N69" s="64"/>
      <c r="O69" s="65"/>
      <c r="P69" s="65"/>
      <c r="Q69" s="66"/>
      <c r="R69" s="67"/>
    </row>
    <row r="70" spans="2:18" x14ac:dyDescent="0.25">
      <c r="B70" s="59"/>
      <c r="C70" s="60"/>
      <c r="D70" s="60"/>
      <c r="E70" s="60"/>
      <c r="F70" s="59"/>
      <c r="G70" s="59"/>
      <c r="H70" s="61"/>
      <c r="I70" s="61"/>
      <c r="J70" s="62"/>
      <c r="K70" s="61"/>
      <c r="L70" s="61"/>
      <c r="M70" s="63"/>
      <c r="N70" s="64"/>
      <c r="O70" s="65"/>
      <c r="P70" s="65"/>
      <c r="Q70" s="66"/>
      <c r="R70" s="67"/>
    </row>
    <row r="71" spans="2:18" x14ac:dyDescent="0.25">
      <c r="B71" s="59"/>
      <c r="C71" s="60"/>
      <c r="D71" s="60"/>
      <c r="E71" s="60"/>
      <c r="F71" s="59"/>
      <c r="G71" s="59"/>
      <c r="H71" s="61"/>
      <c r="I71" s="61"/>
      <c r="J71" s="62"/>
      <c r="K71" s="61"/>
      <c r="L71" s="61"/>
      <c r="M71" s="63"/>
      <c r="N71" s="64"/>
      <c r="O71" s="65"/>
      <c r="P71" s="65"/>
      <c r="Q71" s="66"/>
      <c r="R71" s="67"/>
    </row>
    <row r="72" spans="2:18" x14ac:dyDescent="0.25">
      <c r="B72" s="59"/>
      <c r="C72" s="60"/>
      <c r="D72" s="60"/>
      <c r="E72" s="60"/>
      <c r="F72" s="59"/>
      <c r="G72" s="59"/>
      <c r="H72" s="61"/>
      <c r="I72" s="61"/>
      <c r="J72" s="62"/>
      <c r="K72" s="61"/>
      <c r="L72" s="61"/>
      <c r="M72" s="63"/>
      <c r="N72" s="64"/>
      <c r="O72" s="65"/>
      <c r="P72" s="65"/>
      <c r="Q72" s="66"/>
      <c r="R72" s="67"/>
    </row>
    <row r="73" spans="2:18" x14ac:dyDescent="0.25">
      <c r="B73" s="59"/>
      <c r="C73" s="60"/>
      <c r="D73" s="60"/>
      <c r="E73" s="60"/>
      <c r="F73" s="59"/>
      <c r="G73" s="59"/>
      <c r="H73" s="61"/>
      <c r="I73" s="61"/>
      <c r="J73" s="62"/>
      <c r="K73" s="61"/>
      <c r="L73" s="61"/>
      <c r="M73" s="63"/>
      <c r="N73" s="64"/>
      <c r="O73" s="65"/>
      <c r="P73" s="65"/>
      <c r="Q73" s="66"/>
      <c r="R73" s="67"/>
    </row>
    <row r="74" spans="2:18" x14ac:dyDescent="0.25">
      <c r="B74" s="59"/>
      <c r="C74" s="60"/>
      <c r="D74" s="60"/>
      <c r="E74" s="60"/>
      <c r="F74" s="59"/>
      <c r="G74" s="59"/>
      <c r="H74" s="61"/>
      <c r="I74" s="61"/>
      <c r="J74" s="62"/>
      <c r="K74" s="61"/>
      <c r="L74" s="61"/>
      <c r="M74" s="63"/>
      <c r="N74" s="64"/>
      <c r="O74" s="65"/>
      <c r="P74" s="65"/>
      <c r="Q74" s="66"/>
      <c r="R74" s="67"/>
    </row>
    <row r="75" spans="2:18" x14ac:dyDescent="0.25">
      <c r="B75" s="59"/>
      <c r="C75" s="60"/>
      <c r="D75" s="60"/>
      <c r="E75" s="60"/>
      <c r="F75" s="59"/>
      <c r="G75" s="59"/>
      <c r="H75" s="61"/>
      <c r="I75" s="61"/>
      <c r="J75" s="62"/>
      <c r="K75" s="61"/>
      <c r="L75" s="61"/>
      <c r="M75" s="63"/>
      <c r="N75" s="64"/>
      <c r="O75" s="65"/>
      <c r="P75" s="65"/>
      <c r="Q75" s="66"/>
      <c r="R75" s="67"/>
    </row>
    <row r="76" spans="2:18" x14ac:dyDescent="0.25">
      <c r="B76" s="59"/>
      <c r="C76" s="60"/>
      <c r="D76" s="60"/>
      <c r="E76" s="60"/>
      <c r="F76" s="59"/>
      <c r="G76" s="59"/>
      <c r="H76" s="61"/>
      <c r="I76" s="61"/>
      <c r="J76" s="62"/>
      <c r="K76" s="61"/>
      <c r="L76" s="61"/>
      <c r="M76" s="63"/>
      <c r="N76" s="64"/>
      <c r="O76" s="65"/>
      <c r="P76" s="65"/>
      <c r="Q76" s="66"/>
      <c r="R76" s="67"/>
    </row>
    <row r="77" spans="2:18" x14ac:dyDescent="0.25">
      <c r="B77" s="59"/>
      <c r="C77" s="60"/>
      <c r="D77" s="60"/>
      <c r="E77" s="60"/>
      <c r="F77" s="59"/>
      <c r="G77" s="59"/>
      <c r="H77" s="61"/>
      <c r="I77" s="61"/>
      <c r="J77" s="62"/>
      <c r="K77" s="61"/>
      <c r="L77" s="61"/>
      <c r="M77" s="63"/>
      <c r="N77" s="64"/>
      <c r="O77" s="65"/>
      <c r="P77" s="65"/>
      <c r="Q77" s="66"/>
      <c r="R77" s="67"/>
    </row>
    <row r="78" spans="2:18" x14ac:dyDescent="0.25">
      <c r="B78" s="59"/>
      <c r="C78" s="60"/>
      <c r="D78" s="60"/>
      <c r="E78" s="60"/>
      <c r="F78" s="59"/>
      <c r="G78" s="59"/>
      <c r="H78" s="61"/>
      <c r="I78" s="61"/>
      <c r="J78" s="62"/>
      <c r="K78" s="61"/>
      <c r="L78" s="61"/>
      <c r="M78" s="63"/>
      <c r="N78" s="64"/>
      <c r="O78" s="65"/>
      <c r="P78" s="65"/>
      <c r="Q78" s="66"/>
      <c r="R78" s="67"/>
    </row>
    <row r="79" spans="2:18" x14ac:dyDescent="0.25">
      <c r="B79" s="59"/>
      <c r="C79" s="60"/>
      <c r="D79" s="60"/>
      <c r="E79" s="60"/>
      <c r="F79" s="59"/>
      <c r="G79" s="59"/>
      <c r="H79" s="61"/>
      <c r="I79" s="61"/>
      <c r="J79" s="62"/>
      <c r="K79" s="61"/>
      <c r="L79" s="61"/>
      <c r="M79" s="63"/>
      <c r="N79" s="64"/>
      <c r="O79" s="65"/>
      <c r="P79" s="65"/>
      <c r="Q79" s="66"/>
      <c r="R79" s="67"/>
    </row>
    <row r="80" spans="2:18" x14ac:dyDescent="0.25">
      <c r="B80" s="59"/>
      <c r="C80" s="60"/>
      <c r="D80" s="60"/>
      <c r="E80" s="60"/>
      <c r="F80" s="59"/>
      <c r="G80" s="59"/>
      <c r="H80" s="61"/>
      <c r="I80" s="61"/>
      <c r="J80" s="62"/>
      <c r="K80" s="61"/>
      <c r="L80" s="61"/>
      <c r="M80" s="63"/>
      <c r="N80" s="64"/>
      <c r="O80" s="65"/>
      <c r="P80" s="65"/>
      <c r="Q80" s="66"/>
      <c r="R80" s="67"/>
    </row>
    <row r="81" spans="2:18" x14ac:dyDescent="0.25">
      <c r="B81" s="59"/>
      <c r="C81" s="60"/>
      <c r="D81" s="60"/>
      <c r="E81" s="60"/>
      <c r="F81" s="59"/>
      <c r="G81" s="59"/>
      <c r="H81" s="61"/>
      <c r="I81" s="61"/>
      <c r="J81" s="62"/>
      <c r="K81" s="61"/>
      <c r="L81" s="61"/>
      <c r="M81" s="63"/>
      <c r="N81" s="64"/>
      <c r="O81" s="65"/>
      <c r="P81" s="65"/>
      <c r="Q81" s="66"/>
      <c r="R81" s="67"/>
    </row>
    <row r="82" spans="2:18" x14ac:dyDescent="0.25">
      <c r="B82" s="59"/>
      <c r="C82" s="60"/>
      <c r="D82" s="60"/>
      <c r="E82" s="60"/>
      <c r="F82" s="59"/>
      <c r="G82" s="59"/>
      <c r="H82" s="61"/>
      <c r="I82" s="61"/>
      <c r="J82" s="62"/>
      <c r="K82" s="61"/>
      <c r="L82" s="61"/>
      <c r="M82" s="63"/>
      <c r="N82" s="64"/>
      <c r="O82" s="65"/>
      <c r="P82" s="65"/>
      <c r="Q82" s="66"/>
      <c r="R82" s="67"/>
    </row>
    <row r="83" spans="2:18" x14ac:dyDescent="0.25">
      <c r="B83" s="59"/>
      <c r="C83" s="60"/>
      <c r="D83" s="60"/>
      <c r="E83" s="60"/>
      <c r="F83" s="59"/>
      <c r="G83" s="59"/>
      <c r="H83" s="61"/>
      <c r="I83" s="61"/>
      <c r="J83" s="62"/>
      <c r="K83" s="61"/>
      <c r="L83" s="61"/>
      <c r="M83" s="63"/>
      <c r="N83" s="64"/>
      <c r="O83" s="65"/>
      <c r="P83" s="65"/>
      <c r="Q83" s="66"/>
      <c r="R83" s="67"/>
    </row>
    <row r="84" spans="2:18" x14ac:dyDescent="0.25">
      <c r="B84" s="59"/>
      <c r="C84" s="60"/>
      <c r="D84" s="60"/>
      <c r="E84" s="60"/>
      <c r="F84" s="59"/>
      <c r="G84" s="59"/>
      <c r="H84" s="61"/>
      <c r="I84" s="61"/>
      <c r="J84" s="62"/>
      <c r="K84" s="61"/>
      <c r="L84" s="61"/>
      <c r="M84" s="63"/>
      <c r="N84" s="64"/>
      <c r="O84" s="65"/>
      <c r="P84" s="65"/>
      <c r="Q84" s="66"/>
      <c r="R84" s="67"/>
    </row>
    <row r="85" spans="2:18" x14ac:dyDescent="0.25">
      <c r="B85" s="59"/>
      <c r="C85" s="60"/>
      <c r="D85" s="60"/>
      <c r="E85" s="60"/>
      <c r="F85" s="59"/>
      <c r="G85" s="59"/>
      <c r="H85" s="61"/>
      <c r="I85" s="61"/>
      <c r="J85" s="62"/>
      <c r="K85" s="61"/>
      <c r="L85" s="61"/>
      <c r="M85" s="63"/>
      <c r="N85" s="64"/>
      <c r="O85" s="65"/>
      <c r="P85" s="65"/>
      <c r="Q85" s="66"/>
      <c r="R85" s="67"/>
    </row>
    <row r="86" spans="2:18" x14ac:dyDescent="0.25">
      <c r="B86" s="59"/>
      <c r="C86" s="60"/>
      <c r="D86" s="60"/>
      <c r="E86" s="60"/>
      <c r="F86" s="59"/>
      <c r="G86" s="59"/>
      <c r="H86" s="61"/>
      <c r="I86" s="61"/>
      <c r="J86" s="62"/>
      <c r="K86" s="61"/>
      <c r="L86" s="61"/>
      <c r="M86" s="63"/>
      <c r="N86" s="64"/>
      <c r="O86" s="65"/>
      <c r="P86" s="65"/>
      <c r="Q86" s="66"/>
      <c r="R86" s="67"/>
    </row>
    <row r="87" spans="2:18" x14ac:dyDescent="0.25">
      <c r="B87" s="59"/>
      <c r="C87" s="60"/>
      <c r="D87" s="60"/>
      <c r="E87" s="60"/>
      <c r="F87" s="59"/>
      <c r="G87" s="59"/>
      <c r="H87" s="61"/>
      <c r="I87" s="61"/>
      <c r="J87" s="62"/>
      <c r="K87" s="61"/>
      <c r="L87" s="61"/>
      <c r="M87" s="63"/>
      <c r="N87" s="64"/>
      <c r="O87" s="65"/>
      <c r="P87" s="65"/>
      <c r="Q87" s="66"/>
      <c r="R87" s="67"/>
    </row>
    <row r="88" spans="2:18" x14ac:dyDescent="0.25">
      <c r="B88" s="59"/>
      <c r="C88" s="60"/>
      <c r="D88" s="60"/>
      <c r="E88" s="60"/>
      <c r="F88" s="59"/>
      <c r="G88" s="59"/>
      <c r="H88" s="61"/>
      <c r="I88" s="61"/>
      <c r="J88" s="62"/>
      <c r="K88" s="61"/>
      <c r="L88" s="61"/>
      <c r="M88" s="63"/>
      <c r="N88" s="64"/>
      <c r="O88" s="65"/>
      <c r="P88" s="65"/>
      <c r="Q88" s="66"/>
      <c r="R88" s="67"/>
    </row>
    <row r="89" spans="2:18" x14ac:dyDescent="0.25">
      <c r="B89" s="59"/>
      <c r="C89" s="60"/>
      <c r="D89" s="60"/>
      <c r="E89" s="60"/>
      <c r="F89" s="59"/>
      <c r="G89" s="59"/>
      <c r="H89" s="61"/>
      <c r="I89" s="61"/>
      <c r="J89" s="62"/>
      <c r="K89" s="61"/>
      <c r="L89" s="61"/>
      <c r="M89" s="63"/>
      <c r="N89" s="64"/>
      <c r="O89" s="65"/>
      <c r="P89" s="65"/>
      <c r="Q89" s="66"/>
      <c r="R89" s="67"/>
    </row>
    <row r="90" spans="2:18" x14ac:dyDescent="0.25">
      <c r="B90" s="59"/>
      <c r="C90" s="60"/>
      <c r="D90" s="60"/>
      <c r="E90" s="60"/>
      <c r="F90" s="59"/>
      <c r="G90" s="59"/>
      <c r="H90" s="61"/>
      <c r="I90" s="61"/>
      <c r="J90" s="62"/>
      <c r="K90" s="61"/>
      <c r="L90" s="61"/>
      <c r="M90" s="63"/>
      <c r="N90" s="64"/>
      <c r="O90" s="65"/>
      <c r="P90" s="65"/>
      <c r="Q90" s="66"/>
      <c r="R90" s="67"/>
    </row>
    <row r="91" spans="2:18" x14ac:dyDescent="0.25">
      <c r="B91" s="59"/>
      <c r="C91" s="60"/>
      <c r="D91" s="60"/>
      <c r="E91" s="60"/>
      <c r="F91" s="59"/>
      <c r="G91" s="59"/>
      <c r="H91" s="61"/>
      <c r="I91" s="61"/>
      <c r="J91" s="62"/>
      <c r="K91" s="61"/>
      <c r="L91" s="61"/>
      <c r="M91" s="63"/>
      <c r="N91" s="64"/>
      <c r="O91" s="65"/>
      <c r="P91" s="65"/>
      <c r="Q91" s="66"/>
      <c r="R91" s="67"/>
    </row>
    <row r="92" spans="2:18" x14ac:dyDescent="0.25">
      <c r="B92" s="59"/>
      <c r="C92" s="60"/>
      <c r="D92" s="60"/>
      <c r="E92" s="60"/>
      <c r="F92" s="59"/>
      <c r="G92" s="59"/>
      <c r="H92" s="61"/>
      <c r="I92" s="61"/>
      <c r="J92" s="62"/>
      <c r="K92" s="61"/>
      <c r="L92" s="61"/>
      <c r="M92" s="63"/>
      <c r="N92" s="64"/>
      <c r="O92" s="65"/>
      <c r="P92" s="65"/>
      <c r="Q92" s="66"/>
      <c r="R92" s="67"/>
    </row>
    <row r="93" spans="2:18" x14ac:dyDescent="0.25">
      <c r="B93" s="59"/>
      <c r="C93" s="60"/>
      <c r="D93" s="60"/>
      <c r="E93" s="60"/>
      <c r="F93" s="59"/>
      <c r="G93" s="59"/>
      <c r="H93" s="61"/>
      <c r="I93" s="61"/>
      <c r="J93" s="62"/>
      <c r="K93" s="61"/>
      <c r="L93" s="61"/>
      <c r="M93" s="63"/>
      <c r="N93" s="64"/>
      <c r="O93" s="65"/>
      <c r="P93" s="65"/>
      <c r="Q93" s="66"/>
      <c r="R93" s="67"/>
    </row>
    <row r="94" spans="2:18" x14ac:dyDescent="0.25">
      <c r="B94" s="59"/>
      <c r="C94" s="60"/>
      <c r="D94" s="60"/>
      <c r="E94" s="60"/>
      <c r="F94" s="59"/>
      <c r="G94" s="59"/>
      <c r="H94" s="61"/>
      <c r="I94" s="61"/>
      <c r="J94" s="62"/>
      <c r="K94" s="61"/>
      <c r="L94" s="61"/>
      <c r="M94" s="63"/>
      <c r="N94" s="64"/>
      <c r="O94" s="65"/>
      <c r="P94" s="65"/>
      <c r="Q94" s="66"/>
      <c r="R94" s="67"/>
    </row>
    <row r="95" spans="2:18" x14ac:dyDescent="0.25">
      <c r="B95" s="59"/>
      <c r="C95" s="60"/>
      <c r="D95" s="60"/>
      <c r="E95" s="60"/>
      <c r="F95" s="59"/>
      <c r="G95" s="59"/>
      <c r="H95" s="61"/>
      <c r="I95" s="61"/>
      <c r="J95" s="62"/>
      <c r="K95" s="61"/>
      <c r="L95" s="61"/>
      <c r="M95" s="63"/>
      <c r="N95" s="64"/>
      <c r="O95" s="65"/>
      <c r="P95" s="65"/>
      <c r="Q95" s="66"/>
      <c r="R95" s="67"/>
    </row>
    <row r="96" spans="2:18" x14ac:dyDescent="0.25">
      <c r="B96" s="59"/>
      <c r="C96" s="60"/>
      <c r="D96" s="60"/>
      <c r="E96" s="60"/>
      <c r="F96" s="59"/>
      <c r="G96" s="59"/>
      <c r="H96" s="61"/>
      <c r="I96" s="61"/>
      <c r="J96" s="62"/>
      <c r="K96" s="61"/>
      <c r="L96" s="61"/>
      <c r="M96" s="63"/>
      <c r="N96" s="64"/>
      <c r="O96" s="65"/>
      <c r="P96" s="65"/>
      <c r="Q96" s="66"/>
      <c r="R96" s="67"/>
    </row>
    <row r="97" spans="2:18" x14ac:dyDescent="0.25">
      <c r="B97" s="59"/>
      <c r="C97" s="60"/>
      <c r="D97" s="60"/>
      <c r="E97" s="60"/>
      <c r="F97" s="59"/>
      <c r="G97" s="59"/>
      <c r="H97" s="61"/>
      <c r="I97" s="61"/>
      <c r="J97" s="62"/>
      <c r="K97" s="61"/>
      <c r="L97" s="61"/>
      <c r="M97" s="63"/>
      <c r="N97" s="64"/>
      <c r="O97" s="65"/>
      <c r="P97" s="65"/>
      <c r="Q97" s="66"/>
      <c r="R97" s="67"/>
    </row>
    <row r="98" spans="2:18" x14ac:dyDescent="0.25">
      <c r="B98" s="59"/>
      <c r="C98" s="60"/>
      <c r="D98" s="60"/>
      <c r="E98" s="60"/>
      <c r="F98" s="59"/>
      <c r="G98" s="59"/>
      <c r="H98" s="61"/>
      <c r="I98" s="61"/>
      <c r="J98" s="62"/>
      <c r="K98" s="61"/>
      <c r="L98" s="61"/>
      <c r="M98" s="63"/>
      <c r="N98" s="64"/>
      <c r="O98" s="65"/>
      <c r="P98" s="65"/>
      <c r="Q98" s="66"/>
      <c r="R98" s="67"/>
    </row>
    <row r="99" spans="2:18" x14ac:dyDescent="0.25">
      <c r="B99" s="59"/>
      <c r="C99" s="60"/>
      <c r="D99" s="60"/>
      <c r="E99" s="60"/>
      <c r="F99" s="59"/>
      <c r="G99" s="59"/>
      <c r="H99" s="61"/>
      <c r="I99" s="61"/>
      <c r="J99" s="62"/>
      <c r="K99" s="61"/>
      <c r="L99" s="61"/>
      <c r="M99" s="63"/>
      <c r="N99" s="64"/>
      <c r="O99" s="65"/>
      <c r="P99" s="65"/>
      <c r="Q99" s="66"/>
      <c r="R99" s="67"/>
    </row>
    <row r="100" spans="2:18" x14ac:dyDescent="0.25">
      <c r="B100" s="59"/>
      <c r="C100" s="60"/>
      <c r="D100" s="60"/>
      <c r="E100" s="60"/>
      <c r="F100" s="59"/>
      <c r="G100" s="59"/>
      <c r="H100" s="61"/>
      <c r="I100" s="61"/>
      <c r="J100" s="62"/>
      <c r="K100" s="61"/>
      <c r="L100" s="61"/>
      <c r="M100" s="63"/>
      <c r="N100" s="64"/>
      <c r="O100" s="65"/>
      <c r="P100" s="65"/>
      <c r="Q100" s="66"/>
      <c r="R100" s="67"/>
    </row>
    <row r="101" spans="2:18" x14ac:dyDescent="0.25">
      <c r="B101" s="59"/>
      <c r="C101" s="60"/>
      <c r="D101" s="60"/>
      <c r="E101" s="60"/>
      <c r="F101" s="59"/>
      <c r="G101" s="59"/>
      <c r="H101" s="61"/>
      <c r="I101" s="61"/>
      <c r="J101" s="62"/>
      <c r="K101" s="61"/>
      <c r="L101" s="61"/>
      <c r="M101" s="63"/>
      <c r="N101" s="64"/>
      <c r="O101" s="65"/>
      <c r="P101" s="65"/>
      <c r="Q101" s="66"/>
      <c r="R101" s="67"/>
    </row>
    <row r="102" spans="2:18" x14ac:dyDescent="0.25">
      <c r="B102" s="59"/>
      <c r="C102" s="60"/>
      <c r="D102" s="60"/>
      <c r="E102" s="60"/>
      <c r="F102" s="59"/>
      <c r="G102" s="59"/>
      <c r="H102" s="61"/>
      <c r="I102" s="61"/>
      <c r="J102" s="62"/>
      <c r="K102" s="61"/>
      <c r="L102" s="61"/>
      <c r="M102" s="63"/>
      <c r="N102" s="64"/>
      <c r="O102" s="65"/>
      <c r="P102" s="65"/>
      <c r="Q102" s="66"/>
      <c r="R102" s="67"/>
    </row>
    <row r="103" spans="2:18" x14ac:dyDescent="0.25">
      <c r="B103" s="59"/>
      <c r="C103" s="60"/>
      <c r="D103" s="60"/>
      <c r="E103" s="60"/>
      <c r="F103" s="59"/>
      <c r="G103" s="59"/>
      <c r="H103" s="61"/>
      <c r="I103" s="61"/>
      <c r="J103" s="62"/>
      <c r="K103" s="61"/>
      <c r="L103" s="61"/>
      <c r="M103" s="63"/>
      <c r="N103" s="64"/>
      <c r="O103" s="65"/>
      <c r="P103" s="65"/>
      <c r="Q103" s="66"/>
      <c r="R103" s="67"/>
    </row>
    <row r="104" spans="2:18" x14ac:dyDescent="0.25">
      <c r="B104" s="59"/>
      <c r="C104" s="60"/>
      <c r="D104" s="60"/>
      <c r="E104" s="60"/>
      <c r="F104" s="59"/>
      <c r="G104" s="59"/>
      <c r="H104" s="61"/>
      <c r="I104" s="61"/>
      <c r="J104" s="62"/>
      <c r="K104" s="61"/>
      <c r="L104" s="61"/>
      <c r="M104" s="63"/>
      <c r="N104" s="64"/>
      <c r="O104" s="65"/>
      <c r="P104" s="65"/>
      <c r="Q104" s="66"/>
      <c r="R104" s="67"/>
    </row>
    <row r="105" spans="2:18" x14ac:dyDescent="0.25">
      <c r="B105" s="59"/>
      <c r="C105" s="60"/>
      <c r="D105" s="60"/>
      <c r="E105" s="60"/>
      <c r="F105" s="59"/>
      <c r="G105" s="59"/>
      <c r="H105" s="61"/>
      <c r="I105" s="61"/>
      <c r="J105" s="62"/>
      <c r="K105" s="61"/>
      <c r="L105" s="61"/>
      <c r="M105" s="63"/>
      <c r="N105" s="64"/>
      <c r="O105" s="65"/>
      <c r="P105" s="65"/>
      <c r="Q105" s="66"/>
      <c r="R105" s="67"/>
    </row>
    <row r="106" spans="2:18" x14ac:dyDescent="0.25">
      <c r="B106" s="59"/>
      <c r="C106" s="60"/>
      <c r="D106" s="60"/>
      <c r="E106" s="60"/>
      <c r="F106" s="59"/>
      <c r="G106" s="59"/>
      <c r="H106" s="61"/>
      <c r="I106" s="61"/>
      <c r="J106" s="62"/>
      <c r="K106" s="61"/>
      <c r="L106" s="61"/>
      <c r="M106" s="63"/>
      <c r="N106" s="64"/>
      <c r="O106" s="65"/>
      <c r="P106" s="65"/>
      <c r="Q106" s="66"/>
      <c r="R106" s="67"/>
    </row>
    <row r="107" spans="2:18" x14ac:dyDescent="0.25">
      <c r="B107" s="59"/>
      <c r="C107" s="60"/>
      <c r="D107" s="60"/>
      <c r="E107" s="60"/>
      <c r="F107" s="59"/>
      <c r="G107" s="59"/>
      <c r="H107" s="61"/>
      <c r="I107" s="61"/>
      <c r="J107" s="62"/>
      <c r="K107" s="61"/>
      <c r="L107" s="61"/>
      <c r="M107" s="63"/>
      <c r="N107" s="64"/>
      <c r="O107" s="65"/>
      <c r="P107" s="65"/>
      <c r="Q107" s="66"/>
      <c r="R107" s="67"/>
    </row>
    <row r="108" spans="2:18" x14ac:dyDescent="0.25">
      <c r="B108" s="59"/>
      <c r="C108" s="60"/>
      <c r="D108" s="60"/>
      <c r="E108" s="60"/>
      <c r="F108" s="59"/>
      <c r="G108" s="59"/>
      <c r="H108" s="61"/>
      <c r="I108" s="61"/>
      <c r="J108" s="62"/>
      <c r="K108" s="61"/>
      <c r="L108" s="61"/>
      <c r="M108" s="63"/>
      <c r="N108" s="64"/>
      <c r="O108" s="65"/>
      <c r="P108" s="65"/>
      <c r="Q108" s="66"/>
      <c r="R108" s="67"/>
    </row>
    <row r="109" spans="2:18" x14ac:dyDescent="0.25">
      <c r="B109" s="59"/>
      <c r="C109" s="60"/>
      <c r="D109" s="60"/>
      <c r="E109" s="60"/>
      <c r="F109" s="59"/>
      <c r="G109" s="59"/>
      <c r="H109" s="61"/>
      <c r="I109" s="61"/>
      <c r="J109" s="62"/>
      <c r="K109" s="61"/>
      <c r="L109" s="61"/>
      <c r="M109" s="63"/>
      <c r="N109" s="64"/>
      <c r="O109" s="65"/>
      <c r="P109" s="65"/>
      <c r="Q109" s="66"/>
      <c r="R109" s="67"/>
    </row>
    <row r="110" spans="2:18" x14ac:dyDescent="0.25">
      <c r="B110" s="59"/>
      <c r="C110" s="60"/>
      <c r="D110" s="60"/>
      <c r="E110" s="60"/>
      <c r="F110" s="59"/>
      <c r="G110" s="59"/>
      <c r="H110" s="61"/>
      <c r="I110" s="61"/>
      <c r="J110" s="62"/>
      <c r="K110" s="61"/>
      <c r="L110" s="61"/>
      <c r="M110" s="63"/>
      <c r="N110" s="64"/>
      <c r="O110" s="65"/>
      <c r="P110" s="65"/>
      <c r="Q110" s="66"/>
      <c r="R110" s="67"/>
    </row>
    <row r="111" spans="2:18" x14ac:dyDescent="0.25">
      <c r="B111" s="59"/>
      <c r="C111" s="60"/>
      <c r="D111" s="60"/>
      <c r="E111" s="60"/>
      <c r="F111" s="59"/>
      <c r="G111" s="59"/>
      <c r="H111" s="61"/>
      <c r="I111" s="61"/>
      <c r="J111" s="62"/>
      <c r="K111" s="61"/>
      <c r="L111" s="61"/>
      <c r="M111" s="63"/>
      <c r="N111" s="64"/>
      <c r="O111" s="65"/>
      <c r="P111" s="65"/>
      <c r="Q111" s="66"/>
      <c r="R111" s="67"/>
    </row>
    <row r="112" spans="2:18" x14ac:dyDescent="0.25">
      <c r="B112" s="59"/>
      <c r="C112" s="60"/>
      <c r="D112" s="60"/>
      <c r="E112" s="60"/>
      <c r="F112" s="59"/>
      <c r="G112" s="59"/>
      <c r="H112" s="61"/>
      <c r="I112" s="61"/>
      <c r="J112" s="62"/>
      <c r="K112" s="61"/>
      <c r="L112" s="61"/>
      <c r="M112" s="63"/>
      <c r="N112" s="64"/>
      <c r="O112" s="65"/>
      <c r="P112" s="65"/>
      <c r="Q112" s="66"/>
      <c r="R112" s="67"/>
    </row>
    <row r="113" spans="2:18" x14ac:dyDescent="0.25">
      <c r="B113" s="59"/>
      <c r="C113" s="60"/>
      <c r="D113" s="60"/>
      <c r="E113" s="60"/>
      <c r="F113" s="59"/>
      <c r="G113" s="59"/>
      <c r="H113" s="61"/>
      <c r="I113" s="61"/>
      <c r="J113" s="62"/>
      <c r="K113" s="61"/>
      <c r="L113" s="61"/>
      <c r="M113" s="63"/>
      <c r="N113" s="64"/>
      <c r="O113" s="65"/>
      <c r="P113" s="65"/>
      <c r="Q113" s="66"/>
      <c r="R113" s="67"/>
    </row>
    <row r="114" spans="2:18" x14ac:dyDescent="0.25">
      <c r="B114" s="59"/>
      <c r="C114" s="60"/>
      <c r="D114" s="60"/>
      <c r="E114" s="60"/>
      <c r="F114" s="59"/>
      <c r="G114" s="59"/>
      <c r="H114" s="61"/>
      <c r="I114" s="61"/>
      <c r="J114" s="62"/>
      <c r="K114" s="61"/>
      <c r="L114" s="61"/>
      <c r="M114" s="63"/>
      <c r="N114" s="64"/>
      <c r="O114" s="65"/>
      <c r="P114" s="65"/>
      <c r="Q114" s="66"/>
      <c r="R114" s="67"/>
    </row>
    <row r="115" spans="2:18" x14ac:dyDescent="0.25">
      <c r="B115" s="59"/>
      <c r="C115" s="60"/>
      <c r="D115" s="60"/>
      <c r="E115" s="60"/>
      <c r="F115" s="59"/>
      <c r="G115" s="59"/>
      <c r="H115" s="61"/>
      <c r="I115" s="61"/>
      <c r="J115" s="62"/>
      <c r="K115" s="61"/>
      <c r="L115" s="61"/>
      <c r="M115" s="63"/>
      <c r="N115" s="64"/>
      <c r="O115" s="65"/>
      <c r="P115" s="65"/>
      <c r="Q115" s="66"/>
      <c r="R115" s="67"/>
    </row>
    <row r="116" spans="2:18" x14ac:dyDescent="0.25">
      <c r="B116" s="59"/>
      <c r="C116" s="60"/>
      <c r="D116" s="60"/>
      <c r="E116" s="60"/>
      <c r="F116" s="59"/>
      <c r="G116" s="59"/>
      <c r="H116" s="61"/>
      <c r="I116" s="61"/>
      <c r="J116" s="62"/>
      <c r="K116" s="61"/>
      <c r="L116" s="61"/>
      <c r="M116" s="63"/>
      <c r="N116" s="64"/>
      <c r="O116" s="65"/>
      <c r="P116" s="65"/>
      <c r="Q116" s="66"/>
      <c r="R116" s="67"/>
    </row>
    <row r="117" spans="2:18" x14ac:dyDescent="0.25">
      <c r="B117" s="59"/>
      <c r="C117" s="60"/>
      <c r="D117" s="60"/>
      <c r="E117" s="60"/>
      <c r="F117" s="59"/>
      <c r="G117" s="59"/>
      <c r="H117" s="61"/>
      <c r="I117" s="61"/>
      <c r="J117" s="62"/>
      <c r="K117" s="61"/>
      <c r="L117" s="61"/>
      <c r="M117" s="63"/>
      <c r="N117" s="64"/>
      <c r="O117" s="65"/>
      <c r="P117" s="65"/>
      <c r="Q117" s="66"/>
      <c r="R117" s="67"/>
    </row>
    <row r="118" spans="2:18" x14ac:dyDescent="0.25">
      <c r="B118" s="59"/>
      <c r="C118" s="60"/>
      <c r="D118" s="60"/>
      <c r="E118" s="60"/>
      <c r="F118" s="59"/>
      <c r="G118" s="59"/>
      <c r="H118" s="61"/>
      <c r="I118" s="61"/>
      <c r="J118" s="62"/>
      <c r="K118" s="61"/>
      <c r="L118" s="61"/>
      <c r="M118" s="63"/>
      <c r="N118" s="64"/>
      <c r="O118" s="65"/>
      <c r="P118" s="65"/>
      <c r="Q118" s="66"/>
      <c r="R118" s="67"/>
    </row>
    <row r="119" spans="2:18" x14ac:dyDescent="0.25">
      <c r="B119" s="59"/>
      <c r="C119" s="60"/>
      <c r="D119" s="60"/>
      <c r="E119" s="60"/>
      <c r="F119" s="59"/>
      <c r="G119" s="59"/>
      <c r="H119" s="61"/>
      <c r="I119" s="61"/>
      <c r="J119" s="62"/>
      <c r="K119" s="61"/>
      <c r="L119" s="61"/>
      <c r="M119" s="63"/>
      <c r="N119" s="64"/>
      <c r="O119" s="65"/>
      <c r="P119" s="65"/>
      <c r="Q119" s="66"/>
      <c r="R119" s="67"/>
    </row>
    <row r="120" spans="2:18" x14ac:dyDescent="0.25">
      <c r="B120" s="59"/>
      <c r="C120" s="60"/>
      <c r="D120" s="60"/>
      <c r="E120" s="60"/>
      <c r="F120" s="59"/>
      <c r="G120" s="59"/>
      <c r="H120" s="61"/>
      <c r="I120" s="61"/>
      <c r="J120" s="62"/>
      <c r="K120" s="61"/>
      <c r="L120" s="61"/>
      <c r="M120" s="63"/>
      <c r="N120" s="64"/>
      <c r="O120" s="65"/>
      <c r="P120" s="65"/>
      <c r="Q120" s="66"/>
      <c r="R120" s="67"/>
    </row>
    <row r="121" spans="2:18" x14ac:dyDescent="0.25">
      <c r="B121" s="59"/>
      <c r="C121" s="60"/>
      <c r="D121" s="60"/>
      <c r="E121" s="60"/>
      <c r="F121" s="59"/>
      <c r="G121" s="59"/>
      <c r="H121" s="61"/>
      <c r="I121" s="61"/>
      <c r="J121" s="62"/>
      <c r="K121" s="61"/>
      <c r="L121" s="61"/>
      <c r="M121" s="63"/>
      <c r="N121" s="64"/>
      <c r="O121" s="65"/>
      <c r="P121" s="65"/>
      <c r="Q121" s="66"/>
      <c r="R121" s="67"/>
    </row>
    <row r="122" spans="2:18" x14ac:dyDescent="0.25">
      <c r="B122" s="59"/>
      <c r="C122" s="60"/>
      <c r="D122" s="60"/>
      <c r="E122" s="60"/>
      <c r="F122" s="59"/>
      <c r="G122" s="59"/>
      <c r="H122" s="61"/>
      <c r="I122" s="61"/>
      <c r="J122" s="62"/>
      <c r="K122" s="61"/>
      <c r="L122" s="61"/>
      <c r="M122" s="63"/>
      <c r="N122" s="64"/>
      <c r="O122" s="65"/>
      <c r="P122" s="65"/>
      <c r="Q122" s="66"/>
      <c r="R122" s="67"/>
    </row>
    <row r="123" spans="2:18" x14ac:dyDescent="0.25">
      <c r="B123" s="59"/>
      <c r="C123" s="60"/>
      <c r="D123" s="60"/>
      <c r="E123" s="60"/>
      <c r="F123" s="59"/>
      <c r="G123" s="59"/>
      <c r="H123" s="61"/>
      <c r="I123" s="61"/>
      <c r="J123" s="62"/>
      <c r="K123" s="61"/>
      <c r="L123" s="61"/>
      <c r="M123" s="63"/>
      <c r="N123" s="64"/>
      <c r="O123" s="65"/>
      <c r="P123" s="65"/>
      <c r="Q123" s="66"/>
      <c r="R123" s="67"/>
    </row>
    <row r="124" spans="2:18" x14ac:dyDescent="0.25">
      <c r="B124" s="59"/>
      <c r="C124" s="60"/>
      <c r="D124" s="60"/>
      <c r="E124" s="60"/>
      <c r="F124" s="59"/>
      <c r="G124" s="59"/>
      <c r="H124" s="61"/>
      <c r="I124" s="61"/>
      <c r="J124" s="62"/>
      <c r="K124" s="61"/>
      <c r="L124" s="61"/>
      <c r="M124" s="63"/>
      <c r="N124" s="64"/>
      <c r="O124" s="65"/>
      <c r="P124" s="65"/>
      <c r="Q124" s="66"/>
      <c r="R124" s="67"/>
    </row>
    <row r="125" spans="2:18" x14ac:dyDescent="0.25">
      <c r="B125" s="59"/>
      <c r="C125" s="60"/>
      <c r="D125" s="60"/>
      <c r="E125" s="60"/>
      <c r="F125" s="59"/>
      <c r="G125" s="59"/>
      <c r="H125" s="61"/>
      <c r="I125" s="61"/>
      <c r="J125" s="62"/>
      <c r="K125" s="61"/>
      <c r="L125" s="61"/>
      <c r="M125" s="63"/>
      <c r="N125" s="64"/>
      <c r="O125" s="65"/>
      <c r="P125" s="65"/>
      <c r="Q125" s="66"/>
      <c r="R125" s="67"/>
    </row>
    <row r="126" spans="2:18" x14ac:dyDescent="0.25">
      <c r="B126" s="59"/>
      <c r="C126" s="60"/>
      <c r="D126" s="60"/>
      <c r="E126" s="60"/>
      <c r="F126" s="59"/>
      <c r="G126" s="59"/>
      <c r="H126" s="61"/>
      <c r="I126" s="61"/>
      <c r="J126" s="62"/>
      <c r="K126" s="61"/>
      <c r="L126" s="61"/>
      <c r="M126" s="63"/>
      <c r="N126" s="64"/>
      <c r="O126" s="65"/>
      <c r="P126" s="65"/>
      <c r="Q126" s="66"/>
      <c r="R126" s="67"/>
    </row>
    <row r="127" spans="2:18" x14ac:dyDescent="0.25">
      <c r="B127" s="59"/>
      <c r="C127" s="60"/>
      <c r="D127" s="60"/>
      <c r="E127" s="60"/>
      <c r="F127" s="59"/>
      <c r="G127" s="59"/>
      <c r="H127" s="61"/>
      <c r="I127" s="61"/>
      <c r="J127" s="62"/>
      <c r="K127" s="61"/>
      <c r="L127" s="61"/>
      <c r="M127" s="63"/>
      <c r="N127" s="64"/>
      <c r="O127" s="65"/>
      <c r="P127" s="65"/>
      <c r="Q127" s="66"/>
      <c r="R127" s="67"/>
    </row>
    <row r="128" spans="2:18" x14ac:dyDescent="0.25">
      <c r="B128" s="59"/>
      <c r="C128" s="60"/>
      <c r="D128" s="60"/>
      <c r="E128" s="60"/>
      <c r="F128" s="59"/>
      <c r="G128" s="59"/>
      <c r="H128" s="61"/>
      <c r="I128" s="61"/>
      <c r="J128" s="62"/>
      <c r="K128" s="61"/>
      <c r="L128" s="61"/>
      <c r="M128" s="63"/>
      <c r="N128" s="64"/>
      <c r="O128" s="65"/>
      <c r="P128" s="65"/>
      <c r="Q128" s="66"/>
      <c r="R128" s="67"/>
    </row>
    <row r="129" spans="2:18" x14ac:dyDescent="0.25">
      <c r="B129" s="59"/>
      <c r="C129" s="60"/>
      <c r="D129" s="60"/>
      <c r="E129" s="60"/>
      <c r="F129" s="59"/>
      <c r="G129" s="59"/>
      <c r="H129" s="61"/>
      <c r="I129" s="61"/>
      <c r="J129" s="62"/>
      <c r="K129" s="61"/>
      <c r="L129" s="61"/>
      <c r="M129" s="63"/>
      <c r="N129" s="64"/>
      <c r="O129" s="65"/>
      <c r="P129" s="65"/>
      <c r="Q129" s="66"/>
      <c r="R129" s="67"/>
    </row>
    <row r="130" spans="2:18" x14ac:dyDescent="0.25">
      <c r="B130" s="59"/>
      <c r="C130" s="60"/>
      <c r="D130" s="60"/>
      <c r="E130" s="60"/>
      <c r="F130" s="59"/>
      <c r="G130" s="59"/>
      <c r="H130" s="61"/>
      <c r="I130" s="61"/>
      <c r="J130" s="62"/>
      <c r="K130" s="61"/>
      <c r="L130" s="61"/>
      <c r="M130" s="63"/>
      <c r="N130" s="64"/>
      <c r="O130" s="65"/>
      <c r="P130" s="65"/>
      <c r="Q130" s="66"/>
      <c r="R130" s="67"/>
    </row>
    <row r="131" spans="2:18" x14ac:dyDescent="0.25">
      <c r="B131" s="59"/>
      <c r="C131" s="60"/>
      <c r="D131" s="60"/>
      <c r="E131" s="60"/>
      <c r="F131" s="59"/>
      <c r="G131" s="59"/>
      <c r="H131" s="61"/>
      <c r="I131" s="61"/>
      <c r="J131" s="62"/>
      <c r="K131" s="61"/>
      <c r="L131" s="61"/>
      <c r="M131" s="63"/>
      <c r="N131" s="64"/>
      <c r="O131" s="65"/>
      <c r="P131" s="65"/>
      <c r="Q131" s="66"/>
      <c r="R131" s="67"/>
    </row>
    <row r="132" spans="2:18" x14ac:dyDescent="0.25">
      <c r="B132" s="59"/>
      <c r="C132" s="60"/>
      <c r="D132" s="60"/>
      <c r="E132" s="60"/>
      <c r="F132" s="59"/>
      <c r="G132" s="59"/>
      <c r="H132" s="61"/>
      <c r="I132" s="61"/>
      <c r="J132" s="62"/>
      <c r="K132" s="61"/>
      <c r="L132" s="61"/>
      <c r="M132" s="63"/>
      <c r="N132" s="64"/>
      <c r="O132" s="65"/>
      <c r="P132" s="65"/>
      <c r="Q132" s="66"/>
      <c r="R132" s="67"/>
    </row>
    <row r="133" spans="2:18" x14ac:dyDescent="0.25">
      <c r="B133" s="59"/>
      <c r="C133" s="60"/>
      <c r="D133" s="60"/>
      <c r="E133" s="60"/>
      <c r="F133" s="59"/>
      <c r="G133" s="59"/>
      <c r="H133" s="61"/>
      <c r="I133" s="61"/>
      <c r="J133" s="62"/>
      <c r="K133" s="61"/>
      <c r="L133" s="61"/>
      <c r="M133" s="63"/>
      <c r="N133" s="64"/>
      <c r="O133" s="65"/>
      <c r="P133" s="65"/>
      <c r="Q133" s="66"/>
      <c r="R133" s="67"/>
    </row>
    <row r="134" spans="2:18" x14ac:dyDescent="0.25">
      <c r="B134" s="59"/>
      <c r="C134" s="60"/>
      <c r="D134" s="60"/>
      <c r="E134" s="60"/>
      <c r="F134" s="59"/>
      <c r="G134" s="59"/>
      <c r="H134" s="61"/>
      <c r="I134" s="61"/>
      <c r="J134" s="62"/>
      <c r="K134" s="61"/>
      <c r="L134" s="61"/>
      <c r="M134" s="63"/>
      <c r="N134" s="64"/>
      <c r="O134" s="65"/>
      <c r="P134" s="65"/>
      <c r="Q134" s="66"/>
      <c r="R134" s="67"/>
    </row>
    <row r="135" spans="2:18" x14ac:dyDescent="0.25">
      <c r="B135" s="59"/>
      <c r="C135" s="60"/>
      <c r="D135" s="60"/>
      <c r="E135" s="60"/>
      <c r="F135" s="59"/>
      <c r="G135" s="59"/>
      <c r="H135" s="61"/>
      <c r="I135" s="61"/>
      <c r="J135" s="62"/>
      <c r="K135" s="61"/>
      <c r="L135" s="61"/>
      <c r="M135" s="63"/>
      <c r="N135" s="64"/>
      <c r="O135" s="65"/>
      <c r="P135" s="65"/>
      <c r="Q135" s="66"/>
      <c r="R135" s="67"/>
    </row>
    <row r="136" spans="2:18" x14ac:dyDescent="0.25">
      <c r="B136" s="59"/>
      <c r="C136" s="60"/>
      <c r="D136" s="60"/>
      <c r="E136" s="60"/>
      <c r="F136" s="59"/>
      <c r="G136" s="59"/>
      <c r="H136" s="61"/>
      <c r="I136" s="61"/>
      <c r="J136" s="62"/>
      <c r="K136" s="61"/>
      <c r="L136" s="61"/>
      <c r="M136" s="63"/>
      <c r="N136" s="64"/>
      <c r="O136" s="65"/>
      <c r="P136" s="65"/>
      <c r="Q136" s="66"/>
      <c r="R136" s="67"/>
    </row>
    <row r="137" spans="2:18" x14ac:dyDescent="0.25">
      <c r="B137" s="59"/>
      <c r="C137" s="60"/>
      <c r="D137" s="60"/>
      <c r="E137" s="60"/>
      <c r="F137" s="59"/>
      <c r="G137" s="59"/>
      <c r="H137" s="61"/>
      <c r="I137" s="61"/>
      <c r="J137" s="62"/>
      <c r="K137" s="61"/>
      <c r="L137" s="61"/>
      <c r="M137" s="63"/>
      <c r="N137" s="64"/>
      <c r="O137" s="65"/>
      <c r="P137" s="65"/>
      <c r="Q137" s="66"/>
      <c r="R137" s="67"/>
    </row>
    <row r="138" spans="2:18" x14ac:dyDescent="0.25">
      <c r="B138" s="59"/>
      <c r="C138" s="60"/>
      <c r="D138" s="60"/>
      <c r="E138" s="60"/>
      <c r="F138" s="59"/>
      <c r="G138" s="59"/>
      <c r="H138" s="61"/>
      <c r="I138" s="61"/>
      <c r="J138" s="62"/>
      <c r="K138" s="61"/>
      <c r="L138" s="61"/>
      <c r="M138" s="63"/>
      <c r="N138" s="64"/>
      <c r="O138" s="65"/>
      <c r="P138" s="65"/>
      <c r="Q138" s="66"/>
      <c r="R138" s="67"/>
    </row>
    <row r="139" spans="2:18" x14ac:dyDescent="0.25">
      <c r="B139" s="59"/>
      <c r="C139" s="60"/>
      <c r="D139" s="60"/>
      <c r="E139" s="60"/>
      <c r="F139" s="59"/>
      <c r="G139" s="59"/>
      <c r="H139" s="61"/>
      <c r="I139" s="61"/>
      <c r="J139" s="62"/>
      <c r="K139" s="61"/>
      <c r="L139" s="61"/>
      <c r="M139" s="63"/>
      <c r="N139" s="64"/>
      <c r="O139" s="65"/>
      <c r="P139" s="65"/>
      <c r="Q139" s="66"/>
      <c r="R139" s="67"/>
    </row>
    <row r="140" spans="2:18" x14ac:dyDescent="0.25">
      <c r="B140" s="59"/>
      <c r="C140" s="60"/>
      <c r="D140" s="60"/>
      <c r="E140" s="60"/>
      <c r="F140" s="59"/>
      <c r="G140" s="59"/>
      <c r="H140" s="61"/>
      <c r="I140" s="61"/>
      <c r="J140" s="62"/>
      <c r="K140" s="61"/>
      <c r="L140" s="61"/>
      <c r="M140" s="63"/>
      <c r="N140" s="64"/>
      <c r="O140" s="65"/>
      <c r="P140" s="65"/>
      <c r="Q140" s="66"/>
      <c r="R140" s="67"/>
    </row>
    <row r="141" spans="2:18" x14ac:dyDescent="0.25">
      <c r="B141" s="59"/>
      <c r="C141" s="60"/>
      <c r="D141" s="60"/>
      <c r="E141" s="60"/>
      <c r="F141" s="59"/>
      <c r="G141" s="59"/>
      <c r="H141" s="61"/>
      <c r="I141" s="61"/>
      <c r="J141" s="62"/>
      <c r="K141" s="61"/>
      <c r="L141" s="61"/>
      <c r="M141" s="63"/>
      <c r="N141" s="64"/>
      <c r="O141" s="65"/>
      <c r="P141" s="65"/>
      <c r="Q141" s="66"/>
      <c r="R141" s="67"/>
    </row>
    <row r="142" spans="2:18" x14ac:dyDescent="0.25">
      <c r="B142" s="59"/>
      <c r="C142" s="60"/>
      <c r="D142" s="60"/>
      <c r="E142" s="60"/>
      <c r="F142" s="59"/>
      <c r="G142" s="59"/>
      <c r="H142" s="61"/>
      <c r="I142" s="61"/>
      <c r="J142" s="62"/>
      <c r="K142" s="61"/>
      <c r="L142" s="61"/>
      <c r="M142" s="63"/>
      <c r="N142" s="64"/>
      <c r="O142" s="65"/>
      <c r="P142" s="65"/>
      <c r="Q142" s="66"/>
      <c r="R142" s="67"/>
    </row>
    <row r="143" spans="2:18" x14ac:dyDescent="0.25">
      <c r="B143" s="59"/>
      <c r="C143" s="60"/>
      <c r="D143" s="60"/>
      <c r="E143" s="60"/>
      <c r="F143" s="59"/>
      <c r="G143" s="59"/>
      <c r="H143" s="61"/>
      <c r="I143" s="61"/>
      <c r="J143" s="62"/>
      <c r="K143" s="61"/>
      <c r="L143" s="61"/>
      <c r="M143" s="63"/>
      <c r="N143" s="64"/>
      <c r="O143" s="65"/>
      <c r="P143" s="65"/>
      <c r="Q143" s="66"/>
      <c r="R143" s="67"/>
    </row>
    <row r="144" spans="2:18" x14ac:dyDescent="0.25">
      <c r="B144" s="59"/>
      <c r="C144" s="60"/>
      <c r="D144" s="60"/>
      <c r="E144" s="60"/>
      <c r="F144" s="59"/>
      <c r="G144" s="59"/>
      <c r="H144" s="61"/>
      <c r="I144" s="61"/>
      <c r="J144" s="62"/>
      <c r="K144" s="61"/>
      <c r="L144" s="61"/>
      <c r="M144" s="63"/>
      <c r="N144" s="64"/>
      <c r="O144" s="65"/>
      <c r="P144" s="65"/>
      <c r="Q144" s="66"/>
      <c r="R144" s="67"/>
    </row>
    <row r="145" spans="2:18" x14ac:dyDescent="0.25">
      <c r="B145" s="59"/>
      <c r="C145" s="60"/>
      <c r="D145" s="60"/>
      <c r="E145" s="60"/>
      <c r="F145" s="59"/>
      <c r="G145" s="59"/>
      <c r="H145" s="61"/>
      <c r="I145" s="61"/>
      <c r="J145" s="62"/>
      <c r="K145" s="61"/>
      <c r="L145" s="61"/>
      <c r="M145" s="63"/>
      <c r="N145" s="64"/>
      <c r="O145" s="65"/>
      <c r="P145" s="65"/>
      <c r="Q145" s="66"/>
      <c r="R145" s="67"/>
    </row>
    <row r="146" spans="2:18" x14ac:dyDescent="0.25">
      <c r="B146" s="59"/>
      <c r="C146" s="60"/>
      <c r="D146" s="60"/>
      <c r="E146" s="60"/>
      <c r="F146" s="59"/>
      <c r="G146" s="59"/>
      <c r="H146" s="61"/>
      <c r="I146" s="61"/>
      <c r="J146" s="62"/>
      <c r="K146" s="61"/>
      <c r="L146" s="61"/>
      <c r="M146" s="63"/>
      <c r="N146" s="64"/>
      <c r="O146" s="65"/>
      <c r="P146" s="65"/>
      <c r="Q146" s="66"/>
      <c r="R146" s="67"/>
    </row>
    <row r="147" spans="2:18" x14ac:dyDescent="0.25">
      <c r="B147" s="59"/>
      <c r="C147" s="60"/>
      <c r="D147" s="60"/>
      <c r="E147" s="60"/>
      <c r="F147" s="59"/>
      <c r="G147" s="59"/>
      <c r="H147" s="61"/>
      <c r="I147" s="61"/>
      <c r="J147" s="62"/>
      <c r="K147" s="61"/>
      <c r="L147" s="61"/>
      <c r="M147" s="63"/>
      <c r="N147" s="64"/>
      <c r="O147" s="65"/>
      <c r="P147" s="65"/>
      <c r="Q147" s="66"/>
      <c r="R147" s="67"/>
    </row>
    <row r="148" spans="2:18" x14ac:dyDescent="0.25">
      <c r="B148" s="59"/>
      <c r="C148" s="60"/>
      <c r="D148" s="60"/>
      <c r="E148" s="60"/>
      <c r="F148" s="59"/>
      <c r="G148" s="59"/>
      <c r="H148" s="61"/>
      <c r="I148" s="61"/>
      <c r="J148" s="62"/>
      <c r="K148" s="61"/>
      <c r="L148" s="61"/>
      <c r="M148" s="63"/>
      <c r="N148" s="64"/>
      <c r="O148" s="65"/>
      <c r="P148" s="65"/>
      <c r="Q148" s="66"/>
      <c r="R148" s="67"/>
    </row>
    <row r="149" spans="2:18" x14ac:dyDescent="0.25">
      <c r="B149" s="59"/>
      <c r="C149" s="60"/>
      <c r="D149" s="60"/>
      <c r="E149" s="60"/>
      <c r="F149" s="59"/>
      <c r="G149" s="59"/>
      <c r="H149" s="61"/>
      <c r="I149" s="61"/>
      <c r="J149" s="62"/>
      <c r="K149" s="61"/>
      <c r="L149" s="61"/>
      <c r="M149" s="63"/>
      <c r="N149" s="64"/>
      <c r="O149" s="65"/>
      <c r="P149" s="65"/>
      <c r="Q149" s="66"/>
      <c r="R149" s="67"/>
    </row>
    <row r="150" spans="2:18" x14ac:dyDescent="0.25">
      <c r="B150" s="59"/>
      <c r="C150" s="60"/>
      <c r="D150" s="60"/>
      <c r="E150" s="60"/>
      <c r="F150" s="59"/>
      <c r="G150" s="59"/>
      <c r="H150" s="61"/>
      <c r="I150" s="61"/>
      <c r="J150" s="62"/>
      <c r="K150" s="61"/>
      <c r="L150" s="61"/>
      <c r="M150" s="63"/>
      <c r="N150" s="64"/>
      <c r="O150" s="65"/>
      <c r="P150" s="65"/>
      <c r="Q150" s="66"/>
      <c r="R150" s="67"/>
    </row>
    <row r="151" spans="2:18" x14ac:dyDescent="0.25">
      <c r="B151" s="59"/>
      <c r="C151" s="60"/>
      <c r="D151" s="60"/>
      <c r="E151" s="60"/>
      <c r="F151" s="59"/>
      <c r="G151" s="59"/>
      <c r="H151" s="61"/>
      <c r="I151" s="61"/>
      <c r="J151" s="62"/>
      <c r="K151" s="61"/>
      <c r="L151" s="61"/>
      <c r="M151" s="63"/>
      <c r="N151" s="64"/>
      <c r="O151" s="65"/>
      <c r="P151" s="65"/>
      <c r="Q151" s="66"/>
      <c r="R151" s="67"/>
    </row>
    <row r="152" spans="2:18" x14ac:dyDescent="0.25">
      <c r="B152" s="59"/>
      <c r="C152" s="60"/>
      <c r="D152" s="60"/>
      <c r="E152" s="60"/>
      <c r="F152" s="59"/>
      <c r="G152" s="59"/>
      <c r="H152" s="61"/>
      <c r="I152" s="61"/>
      <c r="J152" s="62"/>
      <c r="K152" s="61"/>
      <c r="L152" s="61"/>
      <c r="M152" s="63"/>
      <c r="N152" s="64"/>
      <c r="O152" s="65"/>
      <c r="P152" s="65"/>
      <c r="Q152" s="66"/>
      <c r="R152" s="67"/>
    </row>
    <row r="153" spans="2:18" x14ac:dyDescent="0.25">
      <c r="B153" s="59"/>
      <c r="C153" s="60"/>
      <c r="D153" s="60"/>
      <c r="E153" s="60"/>
      <c r="F153" s="59"/>
      <c r="G153" s="59"/>
      <c r="H153" s="61"/>
      <c r="I153" s="61"/>
      <c r="J153" s="62"/>
      <c r="K153" s="61"/>
      <c r="L153" s="61"/>
      <c r="M153" s="63"/>
      <c r="N153" s="64"/>
      <c r="O153" s="65"/>
      <c r="P153" s="65"/>
      <c r="Q153" s="66"/>
      <c r="R153" s="67"/>
    </row>
    <row r="154" spans="2:18" x14ac:dyDescent="0.25">
      <c r="B154" s="59"/>
      <c r="C154" s="60"/>
      <c r="D154" s="60"/>
      <c r="E154" s="60"/>
      <c r="F154" s="59"/>
      <c r="G154" s="59"/>
      <c r="H154" s="61"/>
      <c r="I154" s="61"/>
      <c r="J154" s="62"/>
      <c r="K154" s="61"/>
      <c r="L154" s="61"/>
      <c r="M154" s="63"/>
      <c r="N154" s="64"/>
      <c r="O154" s="65"/>
      <c r="P154" s="65"/>
      <c r="Q154" s="66"/>
      <c r="R154" s="67"/>
    </row>
    <row r="155" spans="2:18" x14ac:dyDescent="0.25">
      <c r="B155" s="59"/>
      <c r="C155" s="60"/>
      <c r="D155" s="60"/>
      <c r="E155" s="60"/>
      <c r="F155" s="59"/>
      <c r="G155" s="59"/>
      <c r="H155" s="61"/>
      <c r="I155" s="61"/>
      <c r="J155" s="62"/>
      <c r="K155" s="61"/>
      <c r="L155" s="61"/>
      <c r="M155" s="63"/>
      <c r="N155" s="64"/>
      <c r="O155" s="65"/>
      <c r="P155" s="65"/>
      <c r="Q155" s="66"/>
      <c r="R155" s="67"/>
    </row>
    <row r="156" spans="2:18" x14ac:dyDescent="0.25">
      <c r="B156" s="59"/>
      <c r="C156" s="60"/>
      <c r="D156" s="60"/>
      <c r="E156" s="60"/>
      <c r="F156" s="59"/>
      <c r="G156" s="59"/>
      <c r="H156" s="61"/>
      <c r="I156" s="61"/>
      <c r="J156" s="62"/>
      <c r="K156" s="61"/>
      <c r="L156" s="61"/>
      <c r="M156" s="63"/>
      <c r="N156" s="64"/>
      <c r="O156" s="65"/>
      <c r="P156" s="65"/>
      <c r="Q156" s="66"/>
      <c r="R156" s="67"/>
    </row>
    <row r="157" spans="2:18" x14ac:dyDescent="0.25">
      <c r="B157" s="59"/>
      <c r="C157" s="60"/>
      <c r="D157" s="60"/>
      <c r="E157" s="60"/>
      <c r="F157" s="59"/>
      <c r="G157" s="59"/>
      <c r="H157" s="61"/>
      <c r="I157" s="61"/>
      <c r="J157" s="62"/>
      <c r="K157" s="61"/>
      <c r="L157" s="61"/>
      <c r="M157" s="63"/>
      <c r="N157" s="64"/>
      <c r="O157" s="65"/>
      <c r="P157" s="65"/>
      <c r="Q157" s="66"/>
      <c r="R157" s="67"/>
    </row>
    <row r="158" spans="2:18" x14ac:dyDescent="0.25">
      <c r="B158" s="59"/>
      <c r="C158" s="60"/>
      <c r="D158" s="60"/>
      <c r="E158" s="60"/>
      <c r="F158" s="59"/>
      <c r="G158" s="59"/>
      <c r="H158" s="61"/>
      <c r="I158" s="61"/>
      <c r="J158" s="62"/>
      <c r="K158" s="61"/>
      <c r="L158" s="61"/>
      <c r="M158" s="63"/>
      <c r="N158" s="64"/>
      <c r="O158" s="65"/>
      <c r="P158" s="65"/>
      <c r="Q158" s="66"/>
      <c r="R158" s="67"/>
    </row>
    <row r="159" spans="2:18" x14ac:dyDescent="0.25">
      <c r="B159" s="59"/>
      <c r="C159" s="60"/>
      <c r="D159" s="60"/>
      <c r="E159" s="60"/>
      <c r="F159" s="59"/>
      <c r="G159" s="59"/>
      <c r="H159" s="61"/>
      <c r="I159" s="61"/>
      <c r="J159" s="62"/>
      <c r="K159" s="61"/>
      <c r="L159" s="61"/>
      <c r="M159" s="63"/>
      <c r="N159" s="64"/>
      <c r="O159" s="65"/>
      <c r="P159" s="65"/>
      <c r="Q159" s="66"/>
      <c r="R159" s="67"/>
    </row>
    <row r="160" spans="2:18" x14ac:dyDescent="0.25">
      <c r="B160" s="59"/>
      <c r="C160" s="60"/>
      <c r="D160" s="60"/>
      <c r="E160" s="60"/>
      <c r="F160" s="59"/>
      <c r="G160" s="59"/>
      <c r="H160" s="61"/>
      <c r="I160" s="61"/>
      <c r="J160" s="62"/>
      <c r="K160" s="61"/>
      <c r="L160" s="61"/>
      <c r="M160" s="63"/>
      <c r="N160" s="64"/>
      <c r="O160" s="65"/>
      <c r="P160" s="65"/>
      <c r="Q160" s="66"/>
      <c r="R160" s="67"/>
    </row>
    <row r="161" spans="2:18" x14ac:dyDescent="0.25">
      <c r="B161" s="59"/>
      <c r="C161" s="60"/>
      <c r="D161" s="60"/>
      <c r="E161" s="60"/>
      <c r="F161" s="59"/>
      <c r="G161" s="59"/>
      <c r="H161" s="61"/>
      <c r="I161" s="61"/>
      <c r="J161" s="62"/>
      <c r="K161" s="61"/>
      <c r="L161" s="61"/>
      <c r="M161" s="63"/>
      <c r="N161" s="64"/>
      <c r="O161" s="65"/>
      <c r="P161" s="65"/>
      <c r="Q161" s="66"/>
      <c r="R161" s="67"/>
    </row>
    <row r="162" spans="2:18" x14ac:dyDescent="0.25">
      <c r="B162" s="59"/>
      <c r="C162" s="60"/>
      <c r="D162" s="60"/>
      <c r="E162" s="60"/>
      <c r="F162" s="59"/>
      <c r="G162" s="59"/>
      <c r="H162" s="61"/>
      <c r="I162" s="61"/>
      <c r="J162" s="62"/>
      <c r="K162" s="61"/>
      <c r="L162" s="61"/>
      <c r="M162" s="63"/>
      <c r="N162" s="64"/>
      <c r="O162" s="65"/>
      <c r="P162" s="65"/>
      <c r="Q162" s="66"/>
      <c r="R162" s="67"/>
    </row>
    <row r="163" spans="2:18" x14ac:dyDescent="0.25">
      <c r="B163" s="59"/>
      <c r="C163" s="60"/>
      <c r="D163" s="60"/>
      <c r="E163" s="60"/>
      <c r="F163" s="59"/>
      <c r="G163" s="59"/>
      <c r="H163" s="61"/>
      <c r="I163" s="61"/>
      <c r="J163" s="62"/>
      <c r="K163" s="61"/>
      <c r="L163" s="61"/>
      <c r="M163" s="63"/>
      <c r="N163" s="64"/>
      <c r="O163" s="65"/>
      <c r="P163" s="65"/>
      <c r="Q163" s="66"/>
      <c r="R163" s="67"/>
    </row>
    <row r="164" spans="2:18" x14ac:dyDescent="0.25">
      <c r="B164" s="59"/>
      <c r="C164" s="60"/>
      <c r="D164" s="60"/>
      <c r="E164" s="60"/>
      <c r="F164" s="59"/>
      <c r="G164" s="59"/>
      <c r="H164" s="61"/>
      <c r="I164" s="61"/>
      <c r="J164" s="62"/>
      <c r="K164" s="61"/>
      <c r="L164" s="61"/>
      <c r="M164" s="63"/>
      <c r="N164" s="64"/>
      <c r="O164" s="65"/>
      <c r="P164" s="65"/>
      <c r="Q164" s="66"/>
      <c r="R164" s="67"/>
    </row>
    <row r="165" spans="2:18" x14ac:dyDescent="0.25">
      <c r="B165" s="59"/>
      <c r="C165" s="60"/>
      <c r="D165" s="60"/>
      <c r="E165" s="60"/>
      <c r="F165" s="59"/>
      <c r="G165" s="59"/>
      <c r="H165" s="61"/>
      <c r="I165" s="61"/>
      <c r="J165" s="62"/>
      <c r="K165" s="61"/>
      <c r="L165" s="61"/>
      <c r="M165" s="63"/>
      <c r="N165" s="64"/>
      <c r="O165" s="65"/>
      <c r="P165" s="65"/>
      <c r="Q165" s="66"/>
      <c r="R165" s="67"/>
    </row>
    <row r="166" spans="2:18" x14ac:dyDescent="0.25">
      <c r="B166" s="59"/>
      <c r="C166" s="60"/>
      <c r="D166" s="60"/>
      <c r="E166" s="60"/>
      <c r="F166" s="59"/>
      <c r="G166" s="59"/>
      <c r="H166" s="61"/>
      <c r="I166" s="61"/>
      <c r="J166" s="62"/>
      <c r="K166" s="61"/>
      <c r="L166" s="61"/>
      <c r="M166" s="63"/>
      <c r="N166" s="64"/>
      <c r="O166" s="65"/>
      <c r="P166" s="65"/>
      <c r="Q166" s="66"/>
      <c r="R166" s="67"/>
    </row>
    <row r="167" spans="2:18" x14ac:dyDescent="0.25">
      <c r="B167" s="59"/>
      <c r="C167" s="60"/>
      <c r="D167" s="60"/>
      <c r="E167" s="60"/>
      <c r="F167" s="59"/>
      <c r="G167" s="59"/>
      <c r="H167" s="61"/>
      <c r="I167" s="61"/>
      <c r="J167" s="62"/>
      <c r="K167" s="61"/>
      <c r="L167" s="61"/>
      <c r="M167" s="63"/>
      <c r="N167" s="64"/>
      <c r="O167" s="65"/>
      <c r="P167" s="65"/>
      <c r="Q167" s="66"/>
      <c r="R167" s="67"/>
    </row>
    <row r="168" spans="2:18" x14ac:dyDescent="0.25">
      <c r="B168" s="59"/>
      <c r="C168" s="60"/>
      <c r="D168" s="60"/>
      <c r="E168" s="60"/>
      <c r="F168" s="59"/>
      <c r="G168" s="59"/>
      <c r="H168" s="61"/>
      <c r="I168" s="61"/>
      <c r="J168" s="62"/>
      <c r="K168" s="61"/>
      <c r="L168" s="61"/>
      <c r="M168" s="63"/>
      <c r="N168" s="64"/>
      <c r="O168" s="65"/>
      <c r="P168" s="65"/>
      <c r="Q168" s="66"/>
      <c r="R168" s="67"/>
    </row>
    <row r="169" spans="2:18" x14ac:dyDescent="0.25">
      <c r="B169" s="59"/>
      <c r="C169" s="60"/>
      <c r="D169" s="60"/>
      <c r="E169" s="60"/>
      <c r="F169" s="59"/>
      <c r="G169" s="59"/>
      <c r="H169" s="61"/>
      <c r="I169" s="61"/>
      <c r="J169" s="62"/>
      <c r="K169" s="61"/>
      <c r="L169" s="61"/>
      <c r="M169" s="63"/>
      <c r="N169" s="64"/>
      <c r="O169" s="65"/>
      <c r="P169" s="65"/>
      <c r="Q169" s="66"/>
      <c r="R169" s="67"/>
    </row>
    <row r="170" spans="2:18" x14ac:dyDescent="0.25">
      <c r="B170" s="59"/>
      <c r="C170" s="60"/>
      <c r="D170" s="60"/>
      <c r="E170" s="60"/>
      <c r="F170" s="59"/>
      <c r="G170" s="59"/>
      <c r="H170" s="61"/>
      <c r="I170" s="61"/>
      <c r="J170" s="62"/>
      <c r="K170" s="61"/>
      <c r="L170" s="61"/>
      <c r="M170" s="63"/>
      <c r="N170" s="64"/>
      <c r="O170" s="65"/>
      <c r="P170" s="65"/>
      <c r="Q170" s="66"/>
      <c r="R170" s="67"/>
    </row>
    <row r="171" spans="2:18" x14ac:dyDescent="0.25">
      <c r="B171" s="59"/>
      <c r="C171" s="60"/>
      <c r="D171" s="60"/>
      <c r="E171" s="60"/>
      <c r="F171" s="59"/>
      <c r="G171" s="59"/>
      <c r="H171" s="61"/>
      <c r="I171" s="61"/>
      <c r="J171" s="62"/>
      <c r="K171" s="61"/>
      <c r="L171" s="61"/>
      <c r="M171" s="63"/>
      <c r="N171" s="64"/>
      <c r="O171" s="65"/>
      <c r="P171" s="65"/>
      <c r="Q171" s="66"/>
      <c r="R171" s="67"/>
    </row>
    <row r="172" spans="2:18" x14ac:dyDescent="0.25">
      <c r="B172" s="59"/>
      <c r="C172" s="60"/>
      <c r="D172" s="60"/>
      <c r="E172" s="60"/>
      <c r="F172" s="59"/>
      <c r="G172" s="59"/>
      <c r="H172" s="61"/>
      <c r="I172" s="61"/>
      <c r="J172" s="62"/>
      <c r="K172" s="61"/>
      <c r="L172" s="61"/>
      <c r="M172" s="63"/>
      <c r="N172" s="64"/>
      <c r="O172" s="65"/>
      <c r="P172" s="65"/>
      <c r="Q172" s="66"/>
      <c r="R172" s="67"/>
    </row>
    <row r="173" spans="2:18" x14ac:dyDescent="0.25">
      <c r="B173" s="59"/>
      <c r="C173" s="60"/>
      <c r="D173" s="60"/>
      <c r="E173" s="60"/>
      <c r="F173" s="59"/>
      <c r="G173" s="59"/>
      <c r="H173" s="61"/>
      <c r="I173" s="61"/>
      <c r="J173" s="62"/>
      <c r="K173" s="61"/>
      <c r="L173" s="61"/>
      <c r="M173" s="63"/>
      <c r="N173" s="64"/>
      <c r="O173" s="65"/>
      <c r="P173" s="65"/>
      <c r="Q173" s="66"/>
      <c r="R173" s="67"/>
    </row>
    <row r="174" spans="2:18" x14ac:dyDescent="0.25">
      <c r="B174" s="59"/>
      <c r="C174" s="60"/>
      <c r="D174" s="60"/>
      <c r="E174" s="60"/>
      <c r="F174" s="59"/>
      <c r="G174" s="59"/>
      <c r="H174" s="61"/>
      <c r="I174" s="61"/>
      <c r="J174" s="62"/>
      <c r="K174" s="61"/>
      <c r="L174" s="61"/>
      <c r="M174" s="63"/>
      <c r="N174" s="64"/>
      <c r="O174" s="65"/>
      <c r="P174" s="65"/>
      <c r="Q174" s="66"/>
      <c r="R174" s="67"/>
    </row>
    <row r="175" spans="2:18" x14ac:dyDescent="0.25">
      <c r="B175" s="59"/>
      <c r="C175" s="60"/>
      <c r="D175" s="60"/>
      <c r="E175" s="60"/>
      <c r="F175" s="59"/>
      <c r="G175" s="59"/>
      <c r="H175" s="61"/>
      <c r="I175" s="61"/>
      <c r="J175" s="62"/>
      <c r="K175" s="61"/>
      <c r="L175" s="61"/>
      <c r="M175" s="63"/>
      <c r="N175" s="64"/>
      <c r="O175" s="65"/>
      <c r="P175" s="65"/>
      <c r="Q175" s="66"/>
      <c r="R175" s="67"/>
    </row>
    <row r="176" spans="2:18" x14ac:dyDescent="0.25">
      <c r="B176" s="59"/>
      <c r="C176" s="60"/>
      <c r="D176" s="60"/>
      <c r="E176" s="60"/>
      <c r="F176" s="59"/>
      <c r="G176" s="59"/>
      <c r="H176" s="61"/>
      <c r="I176" s="61"/>
      <c r="J176" s="62"/>
      <c r="K176" s="61"/>
      <c r="L176" s="61"/>
      <c r="M176" s="63"/>
      <c r="N176" s="64"/>
      <c r="O176" s="65"/>
      <c r="P176" s="65"/>
      <c r="Q176" s="66"/>
      <c r="R176" s="67"/>
    </row>
    <row r="177" spans="2:18" x14ac:dyDescent="0.25">
      <c r="B177" s="59"/>
      <c r="C177" s="60"/>
      <c r="D177" s="60"/>
      <c r="E177" s="60"/>
      <c r="F177" s="59"/>
      <c r="G177" s="59"/>
      <c r="H177" s="61"/>
      <c r="I177" s="61"/>
      <c r="J177" s="62"/>
      <c r="K177" s="61"/>
      <c r="L177" s="61"/>
      <c r="M177" s="63"/>
      <c r="N177" s="64"/>
      <c r="O177" s="65"/>
      <c r="P177" s="65"/>
      <c r="Q177" s="66"/>
      <c r="R177" s="67"/>
    </row>
    <row r="178" spans="2:18" x14ac:dyDescent="0.25">
      <c r="B178" s="59"/>
      <c r="C178" s="60"/>
      <c r="D178" s="60"/>
      <c r="E178" s="60"/>
      <c r="F178" s="59"/>
      <c r="G178" s="59"/>
      <c r="H178" s="61"/>
      <c r="I178" s="61"/>
      <c r="J178" s="62"/>
      <c r="K178" s="61"/>
      <c r="L178" s="61"/>
      <c r="M178" s="63"/>
      <c r="N178" s="64"/>
      <c r="O178" s="65"/>
      <c r="P178" s="65"/>
      <c r="Q178" s="66"/>
      <c r="R178" s="67"/>
    </row>
    <row r="179" spans="2:18" x14ac:dyDescent="0.25">
      <c r="B179" s="59"/>
      <c r="C179" s="60"/>
      <c r="D179" s="60"/>
      <c r="E179" s="60"/>
      <c r="F179" s="59"/>
      <c r="G179" s="59"/>
      <c r="H179" s="61"/>
      <c r="I179" s="61"/>
      <c r="J179" s="62"/>
      <c r="K179" s="61"/>
      <c r="L179" s="61"/>
      <c r="M179" s="63"/>
      <c r="N179" s="64"/>
      <c r="O179" s="65"/>
      <c r="P179" s="65"/>
      <c r="Q179" s="66"/>
      <c r="R179" s="67"/>
    </row>
    <row r="180" spans="2:18" x14ac:dyDescent="0.25">
      <c r="B180" s="59"/>
      <c r="C180" s="60"/>
      <c r="D180" s="60"/>
      <c r="E180" s="60"/>
      <c r="F180" s="59"/>
      <c r="G180" s="59"/>
      <c r="H180" s="61"/>
      <c r="I180" s="61"/>
      <c r="J180" s="62"/>
      <c r="K180" s="61"/>
      <c r="L180" s="61"/>
      <c r="M180" s="63"/>
      <c r="N180" s="64"/>
      <c r="O180" s="65"/>
      <c r="P180" s="65"/>
      <c r="Q180" s="66"/>
      <c r="R180" s="67"/>
    </row>
    <row r="181" spans="2:18" x14ac:dyDescent="0.25">
      <c r="B181" s="59"/>
      <c r="C181" s="60"/>
      <c r="D181" s="60"/>
      <c r="E181" s="60"/>
      <c r="F181" s="59"/>
      <c r="G181" s="59"/>
      <c r="H181" s="61"/>
      <c r="I181" s="61"/>
      <c r="J181" s="62"/>
      <c r="K181" s="61"/>
      <c r="L181" s="61"/>
      <c r="M181" s="63"/>
      <c r="N181" s="64"/>
      <c r="O181" s="65"/>
      <c r="P181" s="65"/>
      <c r="Q181" s="66"/>
      <c r="R181" s="67"/>
    </row>
    <row r="182" spans="2:18" x14ac:dyDescent="0.25">
      <c r="B182" s="59"/>
      <c r="C182" s="60"/>
      <c r="D182" s="60"/>
      <c r="E182" s="60"/>
      <c r="F182" s="59"/>
      <c r="G182" s="59"/>
      <c r="H182" s="61"/>
      <c r="I182" s="61"/>
      <c r="J182" s="62"/>
      <c r="K182" s="61"/>
      <c r="L182" s="61"/>
      <c r="M182" s="63"/>
      <c r="N182" s="64"/>
      <c r="O182" s="65"/>
      <c r="P182" s="65"/>
      <c r="Q182" s="66"/>
      <c r="R182" s="67"/>
    </row>
    <row r="183" spans="2:18" x14ac:dyDescent="0.25">
      <c r="B183" s="59"/>
      <c r="C183" s="60"/>
      <c r="D183" s="60"/>
      <c r="E183" s="60"/>
      <c r="F183" s="59"/>
      <c r="G183" s="59"/>
      <c r="H183" s="61"/>
      <c r="I183" s="61"/>
      <c r="J183" s="62"/>
      <c r="K183" s="61"/>
      <c r="L183" s="61"/>
      <c r="M183" s="63"/>
      <c r="N183" s="64"/>
      <c r="O183" s="65"/>
      <c r="P183" s="65"/>
      <c r="Q183" s="66"/>
      <c r="R183" s="67"/>
    </row>
    <row r="184" spans="2:18" x14ac:dyDescent="0.25">
      <c r="B184" s="59"/>
      <c r="C184" s="60"/>
      <c r="D184" s="60"/>
      <c r="E184" s="60"/>
      <c r="F184" s="59"/>
      <c r="G184" s="59"/>
      <c r="H184" s="61"/>
      <c r="I184" s="61"/>
      <c r="J184" s="62"/>
      <c r="K184" s="61"/>
      <c r="L184" s="61"/>
      <c r="M184" s="63"/>
      <c r="N184" s="64"/>
      <c r="O184" s="65"/>
      <c r="P184" s="65"/>
      <c r="Q184" s="66"/>
      <c r="R184" s="67"/>
    </row>
    <row r="185" spans="2:18" x14ac:dyDescent="0.25">
      <c r="B185" s="59"/>
      <c r="C185" s="60"/>
      <c r="D185" s="60"/>
      <c r="E185" s="60"/>
      <c r="F185" s="59"/>
      <c r="G185" s="59"/>
      <c r="H185" s="61"/>
      <c r="I185" s="61"/>
      <c r="J185" s="62"/>
      <c r="K185" s="61"/>
      <c r="L185" s="61"/>
      <c r="M185" s="63"/>
      <c r="N185" s="64"/>
      <c r="O185" s="65"/>
      <c r="P185" s="65"/>
      <c r="Q185" s="66"/>
      <c r="R185" s="67"/>
    </row>
    <row r="186" spans="2:18" x14ac:dyDescent="0.25">
      <c r="B186" s="59"/>
      <c r="C186" s="60"/>
      <c r="D186" s="60"/>
      <c r="E186" s="60"/>
      <c r="F186" s="59"/>
      <c r="G186" s="59"/>
      <c r="H186" s="61"/>
      <c r="I186" s="61"/>
      <c r="J186" s="62"/>
      <c r="K186" s="61"/>
      <c r="L186" s="61"/>
      <c r="M186" s="63"/>
      <c r="N186" s="64"/>
      <c r="O186" s="65"/>
      <c r="P186" s="65"/>
      <c r="Q186" s="66"/>
      <c r="R186" s="67"/>
    </row>
    <row r="187" spans="2:18" x14ac:dyDescent="0.25">
      <c r="B187" s="59"/>
      <c r="C187" s="60"/>
      <c r="D187" s="60"/>
      <c r="E187" s="60"/>
      <c r="F187" s="59"/>
      <c r="G187" s="59"/>
      <c r="H187" s="61"/>
      <c r="I187" s="61"/>
      <c r="J187" s="62"/>
      <c r="K187" s="61"/>
      <c r="L187" s="61"/>
      <c r="M187" s="63"/>
      <c r="N187" s="64"/>
      <c r="O187" s="65"/>
      <c r="P187" s="65"/>
      <c r="Q187" s="66"/>
      <c r="R187" s="67"/>
    </row>
    <row r="188" spans="2:18" x14ac:dyDescent="0.25">
      <c r="B188" s="59"/>
      <c r="C188" s="60"/>
      <c r="D188" s="60"/>
      <c r="E188" s="60"/>
      <c r="F188" s="59"/>
      <c r="G188" s="59"/>
      <c r="H188" s="61"/>
      <c r="I188" s="61"/>
      <c r="J188" s="62"/>
      <c r="K188" s="61"/>
      <c r="L188" s="61"/>
      <c r="M188" s="63"/>
      <c r="N188" s="64"/>
      <c r="O188" s="65"/>
      <c r="P188" s="65"/>
      <c r="Q188" s="66"/>
      <c r="R188" s="67"/>
    </row>
    <row r="189" spans="2:18" x14ac:dyDescent="0.25">
      <c r="B189" s="59"/>
      <c r="C189" s="60"/>
      <c r="D189" s="60"/>
      <c r="E189" s="60"/>
      <c r="F189" s="59"/>
      <c r="G189" s="59"/>
      <c r="H189" s="61"/>
      <c r="I189" s="61"/>
      <c r="J189" s="62"/>
      <c r="K189" s="61"/>
      <c r="L189" s="61"/>
      <c r="M189" s="63"/>
      <c r="N189" s="64"/>
      <c r="O189" s="65"/>
      <c r="P189" s="65"/>
      <c r="Q189" s="66"/>
      <c r="R189" s="67"/>
    </row>
    <row r="190" spans="2:18" x14ac:dyDescent="0.25">
      <c r="B190" s="59"/>
      <c r="C190" s="60"/>
      <c r="D190" s="60"/>
      <c r="E190" s="60"/>
      <c r="F190" s="59"/>
      <c r="G190" s="59"/>
      <c r="H190" s="61"/>
      <c r="I190" s="61"/>
      <c r="J190" s="62"/>
      <c r="K190" s="61"/>
      <c r="L190" s="61"/>
      <c r="M190" s="63"/>
      <c r="N190" s="64"/>
      <c r="O190" s="65"/>
      <c r="P190" s="65"/>
      <c r="Q190" s="66"/>
      <c r="R190" s="67"/>
    </row>
    <row r="191" spans="2:18" x14ac:dyDescent="0.25">
      <c r="B191" s="59"/>
      <c r="C191" s="60"/>
      <c r="D191" s="60"/>
      <c r="E191" s="60"/>
      <c r="F191" s="59"/>
      <c r="G191" s="59"/>
      <c r="H191" s="61"/>
      <c r="I191" s="61"/>
      <c r="J191" s="62"/>
      <c r="K191" s="61"/>
      <c r="L191" s="61"/>
      <c r="M191" s="63"/>
      <c r="N191" s="64"/>
      <c r="O191" s="65"/>
      <c r="P191" s="65"/>
      <c r="Q191" s="66"/>
      <c r="R191" s="67"/>
    </row>
    <row r="192" spans="2:18" x14ac:dyDescent="0.25">
      <c r="B192" s="59"/>
      <c r="C192" s="60"/>
      <c r="D192" s="60"/>
      <c r="E192" s="60"/>
      <c r="F192" s="59"/>
      <c r="G192" s="59"/>
      <c r="H192" s="61"/>
      <c r="I192" s="61"/>
      <c r="J192" s="62"/>
      <c r="K192" s="61"/>
      <c r="L192" s="61"/>
      <c r="M192" s="63"/>
      <c r="N192" s="64"/>
      <c r="O192" s="65"/>
      <c r="P192" s="65"/>
      <c r="Q192" s="66"/>
      <c r="R192" s="67"/>
    </row>
    <row r="193" spans="2:18" x14ac:dyDescent="0.25">
      <c r="B193" s="59"/>
      <c r="C193" s="60"/>
      <c r="D193" s="60"/>
      <c r="E193" s="60"/>
      <c r="F193" s="59"/>
      <c r="G193" s="59"/>
      <c r="H193" s="61"/>
      <c r="I193" s="61"/>
      <c r="J193" s="62"/>
      <c r="K193" s="61"/>
      <c r="L193" s="61"/>
      <c r="M193" s="63"/>
      <c r="N193" s="64"/>
      <c r="O193" s="65"/>
      <c r="P193" s="65"/>
      <c r="Q193" s="66"/>
      <c r="R193" s="67"/>
    </row>
    <row r="194" spans="2:18" x14ac:dyDescent="0.25">
      <c r="B194" s="59"/>
      <c r="C194" s="60"/>
      <c r="D194" s="60"/>
      <c r="E194" s="60"/>
      <c r="F194" s="59"/>
      <c r="G194" s="59"/>
      <c r="H194" s="61"/>
      <c r="I194" s="61"/>
      <c r="J194" s="62"/>
      <c r="K194" s="61"/>
      <c r="L194" s="61"/>
      <c r="M194" s="63"/>
      <c r="N194" s="64"/>
      <c r="O194" s="65"/>
      <c r="P194" s="65"/>
      <c r="Q194" s="66"/>
      <c r="R194" s="67"/>
    </row>
    <row r="195" spans="2:18" x14ac:dyDescent="0.25">
      <c r="B195" s="59"/>
      <c r="C195" s="60"/>
      <c r="D195" s="60"/>
      <c r="E195" s="60"/>
      <c r="F195" s="59"/>
      <c r="G195" s="59"/>
      <c r="H195" s="61"/>
      <c r="I195" s="61"/>
      <c r="J195" s="62"/>
      <c r="K195" s="61"/>
      <c r="L195" s="61"/>
      <c r="M195" s="63"/>
      <c r="N195" s="64"/>
      <c r="O195" s="65"/>
      <c r="P195" s="65"/>
      <c r="Q195" s="66"/>
      <c r="R195" s="67"/>
    </row>
    <row r="196" spans="2:18" x14ac:dyDescent="0.25">
      <c r="B196" s="59"/>
      <c r="C196" s="60"/>
      <c r="D196" s="60"/>
      <c r="E196" s="60"/>
      <c r="F196" s="59"/>
      <c r="G196" s="59"/>
      <c r="H196" s="61"/>
      <c r="I196" s="61"/>
      <c r="J196" s="62"/>
      <c r="K196" s="61"/>
      <c r="L196" s="61"/>
      <c r="M196" s="63"/>
      <c r="N196" s="64"/>
      <c r="O196" s="65"/>
      <c r="P196" s="65"/>
      <c r="Q196" s="66"/>
      <c r="R196" s="67"/>
    </row>
    <row r="197" spans="2:18" x14ac:dyDescent="0.25">
      <c r="B197" s="59"/>
      <c r="C197" s="60"/>
      <c r="D197" s="60"/>
      <c r="E197" s="60"/>
      <c r="F197" s="59"/>
      <c r="G197" s="59"/>
      <c r="H197" s="61"/>
      <c r="I197" s="61"/>
      <c r="J197" s="62"/>
      <c r="K197" s="61"/>
      <c r="L197" s="61"/>
      <c r="M197" s="63"/>
      <c r="N197" s="64"/>
      <c r="O197" s="65"/>
      <c r="P197" s="65"/>
      <c r="Q197" s="66"/>
      <c r="R197" s="67"/>
    </row>
    <row r="198" spans="2:18" x14ac:dyDescent="0.25">
      <c r="B198" s="59"/>
      <c r="C198" s="60"/>
      <c r="D198" s="60"/>
      <c r="E198" s="60"/>
      <c r="F198" s="59"/>
      <c r="G198" s="59"/>
      <c r="H198" s="61"/>
      <c r="I198" s="61"/>
      <c r="J198" s="62"/>
      <c r="K198" s="61"/>
      <c r="L198" s="61"/>
      <c r="M198" s="63"/>
      <c r="N198" s="64"/>
      <c r="O198" s="65"/>
      <c r="P198" s="65"/>
      <c r="Q198" s="66"/>
      <c r="R198" s="67"/>
    </row>
    <row r="199" spans="2:18" x14ac:dyDescent="0.25">
      <c r="B199" s="59"/>
      <c r="C199" s="60"/>
      <c r="D199" s="60"/>
      <c r="E199" s="60"/>
      <c r="F199" s="59"/>
      <c r="G199" s="59"/>
      <c r="H199" s="61"/>
      <c r="I199" s="61"/>
      <c r="J199" s="62"/>
      <c r="K199" s="61"/>
      <c r="L199" s="61"/>
      <c r="M199" s="63"/>
      <c r="N199" s="64"/>
      <c r="O199" s="65"/>
      <c r="P199" s="65"/>
      <c r="Q199" s="66"/>
      <c r="R199" s="67"/>
    </row>
    <row r="200" spans="2:18" x14ac:dyDescent="0.25">
      <c r="B200" s="59"/>
      <c r="C200" s="60"/>
      <c r="D200" s="60"/>
      <c r="E200" s="60"/>
      <c r="F200" s="59"/>
      <c r="G200" s="59"/>
      <c r="H200" s="61"/>
      <c r="I200" s="61"/>
      <c r="J200" s="62"/>
      <c r="K200" s="61"/>
      <c r="L200" s="61"/>
      <c r="M200" s="63"/>
      <c r="N200" s="64"/>
      <c r="O200" s="65"/>
      <c r="P200" s="65"/>
      <c r="Q200" s="66"/>
      <c r="R200" s="67"/>
    </row>
    <row r="201" spans="2:18" x14ac:dyDescent="0.25">
      <c r="B201" s="59"/>
      <c r="C201" s="60"/>
      <c r="D201" s="60"/>
      <c r="E201" s="60"/>
      <c r="F201" s="59"/>
      <c r="G201" s="59"/>
      <c r="H201" s="61"/>
      <c r="I201" s="61"/>
      <c r="J201" s="62"/>
      <c r="K201" s="61"/>
      <c r="L201" s="61"/>
      <c r="M201" s="63"/>
      <c r="N201" s="64"/>
      <c r="O201" s="65"/>
      <c r="P201" s="65"/>
      <c r="Q201" s="66"/>
      <c r="R201" s="67"/>
    </row>
    <row r="202" spans="2:18" x14ac:dyDescent="0.25">
      <c r="B202" s="59"/>
      <c r="C202" s="60"/>
      <c r="D202" s="60"/>
      <c r="E202" s="60"/>
      <c r="F202" s="59"/>
      <c r="G202" s="59"/>
      <c r="H202" s="61"/>
      <c r="I202" s="61"/>
      <c r="J202" s="62"/>
      <c r="K202" s="61"/>
      <c r="L202" s="61"/>
      <c r="M202" s="63"/>
      <c r="N202" s="64"/>
      <c r="O202" s="65"/>
      <c r="P202" s="65"/>
      <c r="Q202" s="66"/>
      <c r="R202" s="67"/>
    </row>
    <row r="203" spans="2:18" x14ac:dyDescent="0.25">
      <c r="B203" s="59"/>
      <c r="C203" s="60"/>
      <c r="D203" s="60"/>
      <c r="E203" s="60"/>
      <c r="F203" s="59"/>
      <c r="G203" s="59"/>
      <c r="H203" s="61"/>
      <c r="I203" s="61"/>
      <c r="J203" s="62"/>
      <c r="K203" s="61"/>
      <c r="L203" s="61"/>
      <c r="M203" s="63"/>
      <c r="N203" s="64"/>
      <c r="O203" s="65"/>
      <c r="P203" s="65"/>
      <c r="Q203" s="66"/>
      <c r="R203" s="67"/>
    </row>
    <row r="204" spans="2:18" x14ac:dyDescent="0.25">
      <c r="B204" s="59"/>
      <c r="C204" s="60"/>
      <c r="D204" s="60"/>
      <c r="E204" s="60"/>
      <c r="F204" s="59"/>
      <c r="G204" s="59"/>
      <c r="H204" s="61"/>
      <c r="I204" s="61"/>
      <c r="J204" s="62"/>
      <c r="K204" s="61"/>
      <c r="L204" s="61"/>
      <c r="M204" s="63"/>
      <c r="N204" s="64"/>
      <c r="O204" s="65"/>
      <c r="P204" s="65"/>
      <c r="Q204" s="66"/>
      <c r="R204" s="67"/>
    </row>
    <row r="205" spans="2:18" x14ac:dyDescent="0.25">
      <c r="B205" s="59"/>
      <c r="C205" s="60"/>
      <c r="D205" s="60"/>
      <c r="E205" s="60"/>
      <c r="F205" s="59"/>
      <c r="G205" s="59"/>
      <c r="H205" s="61"/>
      <c r="I205" s="61"/>
      <c r="J205" s="62"/>
      <c r="K205" s="61"/>
      <c r="L205" s="61"/>
      <c r="M205" s="63"/>
      <c r="N205" s="64"/>
      <c r="O205" s="65"/>
      <c r="P205" s="65"/>
      <c r="Q205" s="66"/>
      <c r="R205" s="67"/>
    </row>
    <row r="206" spans="2:18" x14ac:dyDescent="0.25">
      <c r="B206" s="59"/>
      <c r="C206" s="60"/>
      <c r="D206" s="60"/>
      <c r="E206" s="60"/>
      <c r="F206" s="59"/>
      <c r="G206" s="59"/>
      <c r="H206" s="61"/>
      <c r="I206" s="61"/>
      <c r="J206" s="62"/>
      <c r="K206" s="61"/>
      <c r="L206" s="61"/>
      <c r="M206" s="63"/>
      <c r="N206" s="64"/>
      <c r="O206" s="65"/>
      <c r="P206" s="65"/>
      <c r="Q206" s="66"/>
      <c r="R206" s="67"/>
    </row>
    <row r="207" spans="2:18" x14ac:dyDescent="0.25">
      <c r="B207" s="59"/>
      <c r="C207" s="60"/>
      <c r="D207" s="60"/>
      <c r="E207" s="60"/>
      <c r="F207" s="59"/>
      <c r="G207" s="59"/>
      <c r="H207" s="61"/>
      <c r="I207" s="61"/>
      <c r="J207" s="62"/>
      <c r="K207" s="61"/>
      <c r="L207" s="61"/>
      <c r="M207" s="63"/>
      <c r="N207" s="64"/>
      <c r="O207" s="65"/>
      <c r="P207" s="65"/>
      <c r="Q207" s="66"/>
      <c r="R207" s="67"/>
    </row>
    <row r="208" spans="2:18" x14ac:dyDescent="0.25">
      <c r="B208" s="59"/>
      <c r="C208" s="60"/>
      <c r="D208" s="60"/>
      <c r="E208" s="60"/>
      <c r="F208" s="59"/>
      <c r="G208" s="59"/>
      <c r="H208" s="61"/>
      <c r="I208" s="61"/>
      <c r="J208" s="62"/>
      <c r="K208" s="61"/>
      <c r="L208" s="61"/>
      <c r="M208" s="63"/>
      <c r="N208" s="64"/>
      <c r="O208" s="65"/>
      <c r="P208" s="65"/>
      <c r="Q208" s="66"/>
      <c r="R208" s="67"/>
    </row>
    <row r="209" spans="2:18" x14ac:dyDescent="0.25">
      <c r="B209" s="59"/>
      <c r="C209" s="60"/>
      <c r="D209" s="60"/>
      <c r="E209" s="60"/>
      <c r="F209" s="59"/>
      <c r="G209" s="59"/>
      <c r="H209" s="61"/>
      <c r="I209" s="61"/>
      <c r="J209" s="62"/>
      <c r="K209" s="61"/>
      <c r="L209" s="61"/>
      <c r="M209" s="63"/>
      <c r="N209" s="64"/>
      <c r="O209" s="65"/>
      <c r="P209" s="65"/>
      <c r="Q209" s="66"/>
      <c r="R209" s="67"/>
    </row>
    <row r="210" spans="2:18" x14ac:dyDescent="0.25">
      <c r="B210" s="59"/>
      <c r="C210" s="60"/>
      <c r="D210" s="60"/>
      <c r="E210" s="60"/>
      <c r="F210" s="59"/>
      <c r="G210" s="59"/>
      <c r="H210" s="61"/>
      <c r="I210" s="61"/>
      <c r="J210" s="62"/>
      <c r="K210" s="61"/>
      <c r="L210" s="61"/>
      <c r="M210" s="63"/>
      <c r="N210" s="64"/>
      <c r="O210" s="65"/>
      <c r="P210" s="65"/>
      <c r="Q210" s="66"/>
      <c r="R210" s="67"/>
    </row>
    <row r="211" spans="2:18" x14ac:dyDescent="0.25">
      <c r="B211" s="59"/>
      <c r="C211" s="60"/>
      <c r="D211" s="60"/>
      <c r="E211" s="60"/>
      <c r="F211" s="59"/>
      <c r="G211" s="59"/>
      <c r="H211" s="61"/>
      <c r="I211" s="61"/>
      <c r="J211" s="62"/>
      <c r="K211" s="61"/>
      <c r="L211" s="61"/>
      <c r="M211" s="63"/>
      <c r="N211" s="64"/>
      <c r="O211" s="65"/>
      <c r="P211" s="65"/>
      <c r="Q211" s="66"/>
      <c r="R211" s="67"/>
    </row>
    <row r="212" spans="2:18" x14ac:dyDescent="0.25">
      <c r="B212" s="59"/>
      <c r="C212" s="60"/>
      <c r="D212" s="60"/>
      <c r="E212" s="60"/>
      <c r="F212" s="59"/>
      <c r="G212" s="59"/>
      <c r="H212" s="61"/>
      <c r="I212" s="61"/>
      <c r="J212" s="62"/>
      <c r="K212" s="61"/>
      <c r="L212" s="61"/>
      <c r="M212" s="63"/>
      <c r="N212" s="64"/>
      <c r="O212" s="65"/>
      <c r="P212" s="65"/>
      <c r="Q212" s="66"/>
      <c r="R212" s="67"/>
    </row>
    <row r="213" spans="2:18" x14ac:dyDescent="0.25">
      <c r="B213" s="59"/>
      <c r="C213" s="60"/>
      <c r="D213" s="60"/>
      <c r="E213" s="60"/>
      <c r="F213" s="59"/>
      <c r="G213" s="59"/>
      <c r="H213" s="61"/>
      <c r="I213" s="61"/>
      <c r="J213" s="62"/>
      <c r="K213" s="61"/>
      <c r="L213" s="61"/>
      <c r="M213" s="63"/>
      <c r="N213" s="64"/>
      <c r="O213" s="65"/>
      <c r="P213" s="65"/>
      <c r="Q213" s="66"/>
      <c r="R213" s="67"/>
    </row>
    <row r="214" spans="2:18" x14ac:dyDescent="0.25">
      <c r="B214" s="59"/>
      <c r="C214" s="60"/>
      <c r="D214" s="60"/>
      <c r="E214" s="60"/>
      <c r="F214" s="59"/>
      <c r="G214" s="59"/>
      <c r="H214" s="61"/>
      <c r="I214" s="61"/>
      <c r="J214" s="62"/>
      <c r="K214" s="61"/>
      <c r="L214" s="61"/>
      <c r="M214" s="63"/>
      <c r="N214" s="64"/>
      <c r="O214" s="65"/>
      <c r="P214" s="65"/>
      <c r="Q214" s="66"/>
      <c r="R214" s="67"/>
    </row>
    <row r="215" spans="2:18" x14ac:dyDescent="0.25">
      <c r="B215" s="59"/>
      <c r="C215" s="60"/>
      <c r="D215" s="60"/>
      <c r="E215" s="60"/>
      <c r="F215" s="59"/>
      <c r="G215" s="59"/>
      <c r="H215" s="61"/>
      <c r="I215" s="61"/>
      <c r="J215" s="62"/>
      <c r="K215" s="61"/>
      <c r="L215" s="61"/>
      <c r="M215" s="63"/>
      <c r="N215" s="64"/>
      <c r="O215" s="65"/>
      <c r="P215" s="65"/>
      <c r="Q215" s="66"/>
      <c r="R215" s="67"/>
    </row>
    <row r="216" spans="2:18" x14ac:dyDescent="0.25">
      <c r="B216" s="59"/>
      <c r="C216" s="60"/>
      <c r="D216" s="60"/>
      <c r="E216" s="60"/>
      <c r="F216" s="59"/>
      <c r="G216" s="59"/>
      <c r="H216" s="61"/>
      <c r="I216" s="61"/>
      <c r="J216" s="62"/>
      <c r="K216" s="61"/>
      <c r="L216" s="61"/>
      <c r="M216" s="63"/>
      <c r="N216" s="64"/>
      <c r="O216" s="65"/>
      <c r="P216" s="65"/>
      <c r="Q216" s="66"/>
      <c r="R216" s="67"/>
    </row>
    <row r="217" spans="2:18" x14ac:dyDescent="0.25">
      <c r="B217" s="59"/>
      <c r="C217" s="60"/>
      <c r="D217" s="60"/>
      <c r="E217" s="60"/>
      <c r="F217" s="59"/>
      <c r="G217" s="59"/>
      <c r="H217" s="61"/>
      <c r="I217" s="61"/>
      <c r="J217" s="62"/>
      <c r="K217" s="61"/>
      <c r="L217" s="61"/>
      <c r="M217" s="63"/>
      <c r="N217" s="64"/>
      <c r="O217" s="65"/>
      <c r="P217" s="65"/>
      <c r="Q217" s="66"/>
      <c r="R217" s="67"/>
    </row>
    <row r="218" spans="2:18" x14ac:dyDescent="0.25">
      <c r="B218" s="59"/>
      <c r="C218" s="60"/>
      <c r="D218" s="60"/>
      <c r="E218" s="60"/>
      <c r="F218" s="59"/>
      <c r="G218" s="59"/>
      <c r="H218" s="61"/>
      <c r="I218" s="61"/>
      <c r="J218" s="62"/>
      <c r="K218" s="61"/>
      <c r="L218" s="61"/>
      <c r="M218" s="63"/>
      <c r="N218" s="64"/>
      <c r="O218" s="65"/>
      <c r="P218" s="65"/>
      <c r="Q218" s="66"/>
      <c r="R218" s="67"/>
    </row>
    <row r="219" spans="2:18" x14ac:dyDescent="0.25">
      <c r="B219" s="59"/>
      <c r="C219" s="60"/>
      <c r="D219" s="60"/>
      <c r="E219" s="60"/>
      <c r="F219" s="59"/>
      <c r="G219" s="59"/>
      <c r="H219" s="61"/>
      <c r="I219" s="61"/>
      <c r="J219" s="62"/>
      <c r="K219" s="61"/>
      <c r="L219" s="61"/>
      <c r="M219" s="63"/>
      <c r="N219" s="64"/>
      <c r="O219" s="65"/>
      <c r="P219" s="65"/>
      <c r="Q219" s="66"/>
      <c r="R219" s="67"/>
    </row>
    <row r="220" spans="2:18" x14ac:dyDescent="0.25">
      <c r="B220" s="59"/>
      <c r="C220" s="60"/>
      <c r="D220" s="60"/>
      <c r="E220" s="60"/>
      <c r="F220" s="59"/>
      <c r="G220" s="59"/>
      <c r="H220" s="61"/>
      <c r="I220" s="61"/>
      <c r="J220" s="62"/>
      <c r="K220" s="61"/>
      <c r="L220" s="61"/>
      <c r="M220" s="63"/>
      <c r="N220" s="64"/>
      <c r="O220" s="65"/>
      <c r="P220" s="65"/>
      <c r="Q220" s="66"/>
      <c r="R220" s="67"/>
    </row>
    <row r="221" spans="2:18" x14ac:dyDescent="0.25">
      <c r="B221" s="59"/>
      <c r="C221" s="60"/>
      <c r="D221" s="60"/>
      <c r="E221" s="60"/>
      <c r="F221" s="59"/>
      <c r="G221" s="59"/>
      <c r="H221" s="61"/>
      <c r="I221" s="61"/>
      <c r="J221" s="62"/>
      <c r="K221" s="61"/>
      <c r="L221" s="61"/>
      <c r="M221" s="63"/>
      <c r="N221" s="64"/>
      <c r="O221" s="65"/>
      <c r="P221" s="65"/>
      <c r="Q221" s="66"/>
      <c r="R221" s="67"/>
    </row>
    <row r="222" spans="2:18" x14ac:dyDescent="0.25">
      <c r="B222" s="59"/>
      <c r="C222" s="60"/>
      <c r="D222" s="60"/>
      <c r="E222" s="60"/>
      <c r="F222" s="59"/>
      <c r="G222" s="59"/>
      <c r="H222" s="61"/>
      <c r="I222" s="61"/>
      <c r="J222" s="62"/>
      <c r="K222" s="61"/>
      <c r="L222" s="61"/>
      <c r="M222" s="63"/>
      <c r="N222" s="64"/>
      <c r="O222" s="65"/>
      <c r="P222" s="65"/>
      <c r="Q222" s="66"/>
      <c r="R222" s="67"/>
    </row>
    <row r="223" spans="2:18" x14ac:dyDescent="0.25">
      <c r="B223" s="59"/>
      <c r="C223" s="60"/>
      <c r="D223" s="60"/>
      <c r="E223" s="60"/>
      <c r="F223" s="59"/>
      <c r="G223" s="59"/>
      <c r="H223" s="61"/>
      <c r="I223" s="61"/>
      <c r="J223" s="62"/>
      <c r="K223" s="61"/>
      <c r="L223" s="61"/>
      <c r="M223" s="63"/>
      <c r="N223" s="64"/>
      <c r="O223" s="65"/>
      <c r="P223" s="65"/>
      <c r="Q223" s="66"/>
      <c r="R223" s="67"/>
    </row>
    <row r="224" spans="2:18" x14ac:dyDescent="0.25">
      <c r="B224" s="59"/>
      <c r="C224" s="60"/>
      <c r="D224" s="60"/>
      <c r="E224" s="60"/>
      <c r="F224" s="59"/>
      <c r="G224" s="59"/>
      <c r="H224" s="61"/>
      <c r="I224" s="61"/>
      <c r="J224" s="62"/>
      <c r="K224" s="61"/>
      <c r="L224" s="61"/>
      <c r="M224" s="63"/>
      <c r="N224" s="64"/>
      <c r="O224" s="65"/>
      <c r="P224" s="65"/>
      <c r="Q224" s="66"/>
      <c r="R224" s="67"/>
    </row>
    <row r="225" spans="2:18" x14ac:dyDescent="0.25">
      <c r="B225" s="59"/>
      <c r="C225" s="60"/>
      <c r="D225" s="60"/>
      <c r="E225" s="60"/>
      <c r="F225" s="59"/>
      <c r="G225" s="59"/>
      <c r="H225" s="61"/>
      <c r="I225" s="61"/>
      <c r="J225" s="62"/>
      <c r="K225" s="61"/>
      <c r="L225" s="61"/>
      <c r="M225" s="63"/>
      <c r="N225" s="64"/>
      <c r="O225" s="65"/>
      <c r="P225" s="65"/>
      <c r="Q225" s="66"/>
      <c r="R225" s="67"/>
    </row>
    <row r="226" spans="2:18" x14ac:dyDescent="0.25">
      <c r="B226" s="59"/>
      <c r="C226" s="60"/>
      <c r="D226" s="60"/>
      <c r="E226" s="60"/>
      <c r="F226" s="59"/>
      <c r="G226" s="59"/>
      <c r="H226" s="61"/>
      <c r="I226" s="61"/>
      <c r="J226" s="62"/>
      <c r="K226" s="61"/>
      <c r="L226" s="61"/>
      <c r="M226" s="63"/>
      <c r="N226" s="64"/>
      <c r="O226" s="65"/>
      <c r="P226" s="65"/>
      <c r="Q226" s="66"/>
      <c r="R226" s="67"/>
    </row>
    <row r="227" spans="2:18" x14ac:dyDescent="0.25">
      <c r="B227" s="59"/>
      <c r="C227" s="60"/>
      <c r="D227" s="60"/>
      <c r="E227" s="60"/>
      <c r="F227" s="59"/>
      <c r="G227" s="59"/>
      <c r="H227" s="61"/>
      <c r="I227" s="61"/>
      <c r="J227" s="62"/>
      <c r="K227" s="61"/>
      <c r="L227" s="61"/>
      <c r="M227" s="63"/>
      <c r="N227" s="64"/>
      <c r="O227" s="65"/>
      <c r="P227" s="65"/>
      <c r="Q227" s="66"/>
      <c r="R227" s="67"/>
    </row>
    <row r="228" spans="2:18" x14ac:dyDescent="0.25">
      <c r="B228" s="59"/>
      <c r="C228" s="60"/>
      <c r="D228" s="60"/>
      <c r="E228" s="60"/>
      <c r="F228" s="59"/>
      <c r="G228" s="59"/>
      <c r="H228" s="61"/>
      <c r="I228" s="61"/>
      <c r="J228" s="62"/>
      <c r="K228" s="61"/>
      <c r="L228" s="61"/>
      <c r="M228" s="63"/>
      <c r="N228" s="64"/>
      <c r="O228" s="65"/>
      <c r="P228" s="65"/>
      <c r="Q228" s="66"/>
      <c r="R228" s="67"/>
    </row>
    <row r="229" spans="2:18" x14ac:dyDescent="0.25">
      <c r="B229" s="59"/>
      <c r="C229" s="60"/>
      <c r="D229" s="60"/>
      <c r="E229" s="60"/>
      <c r="F229" s="59"/>
      <c r="G229" s="59"/>
      <c r="H229" s="61"/>
      <c r="I229" s="61"/>
      <c r="J229" s="62"/>
      <c r="K229" s="61"/>
      <c r="L229" s="61"/>
      <c r="M229" s="63"/>
      <c r="N229" s="64"/>
      <c r="O229" s="65"/>
      <c r="P229" s="65"/>
      <c r="Q229" s="66"/>
      <c r="R229" s="67"/>
    </row>
    <row r="230" spans="2:18" x14ac:dyDescent="0.25">
      <c r="B230" s="59"/>
      <c r="C230" s="60"/>
      <c r="D230" s="60"/>
      <c r="E230" s="60"/>
      <c r="F230" s="59"/>
      <c r="G230" s="59"/>
      <c r="H230" s="61"/>
      <c r="I230" s="61"/>
      <c r="J230" s="62"/>
      <c r="K230" s="61"/>
      <c r="L230" s="61"/>
      <c r="M230" s="63"/>
      <c r="N230" s="64"/>
      <c r="O230" s="65"/>
      <c r="P230" s="65"/>
      <c r="Q230" s="66"/>
      <c r="R230" s="67"/>
    </row>
    <row r="231" spans="2:18" x14ac:dyDescent="0.25">
      <c r="B231" s="59"/>
      <c r="C231" s="60"/>
      <c r="D231" s="60"/>
      <c r="E231" s="60"/>
      <c r="F231" s="59"/>
      <c r="G231" s="59"/>
      <c r="H231" s="61"/>
      <c r="I231" s="61"/>
      <c r="J231" s="62"/>
      <c r="K231" s="61"/>
      <c r="L231" s="61"/>
      <c r="M231" s="63"/>
      <c r="N231" s="64"/>
      <c r="O231" s="65"/>
      <c r="P231" s="65"/>
      <c r="Q231" s="66"/>
      <c r="R231" s="67"/>
    </row>
    <row r="232" spans="2:18" x14ac:dyDescent="0.25">
      <c r="B232" s="59"/>
      <c r="C232" s="60"/>
      <c r="D232" s="60"/>
      <c r="E232" s="60"/>
      <c r="F232" s="59"/>
      <c r="G232" s="59"/>
      <c r="H232" s="61"/>
      <c r="I232" s="61"/>
      <c r="J232" s="62"/>
      <c r="K232" s="61"/>
      <c r="L232" s="61"/>
      <c r="M232" s="63"/>
      <c r="N232" s="64"/>
      <c r="O232" s="65"/>
      <c r="P232" s="65"/>
      <c r="Q232" s="66"/>
      <c r="R232" s="67"/>
    </row>
    <row r="233" spans="2:18" x14ac:dyDescent="0.25">
      <c r="B233" s="59"/>
      <c r="C233" s="60"/>
      <c r="D233" s="60"/>
      <c r="E233" s="60"/>
      <c r="F233" s="59"/>
      <c r="G233" s="59"/>
      <c r="H233" s="61"/>
      <c r="I233" s="61"/>
      <c r="J233" s="62"/>
      <c r="K233" s="61"/>
      <c r="L233" s="61"/>
      <c r="M233" s="63"/>
      <c r="N233" s="64"/>
      <c r="O233" s="65"/>
      <c r="P233" s="65"/>
      <c r="Q233" s="66"/>
      <c r="R233" s="67"/>
    </row>
    <row r="234" spans="2:18" x14ac:dyDescent="0.25">
      <c r="B234" s="59"/>
      <c r="C234" s="60"/>
      <c r="D234" s="60"/>
      <c r="E234" s="60"/>
      <c r="F234" s="59"/>
      <c r="G234" s="59"/>
      <c r="H234" s="61"/>
      <c r="I234" s="61"/>
      <c r="J234" s="62"/>
      <c r="K234" s="61"/>
      <c r="L234" s="61"/>
      <c r="M234" s="63"/>
      <c r="N234" s="64"/>
      <c r="O234" s="65"/>
      <c r="P234" s="65"/>
      <c r="Q234" s="66"/>
      <c r="R234" s="67"/>
    </row>
    <row r="235" spans="2:18" x14ac:dyDescent="0.25">
      <c r="B235" s="59"/>
      <c r="C235" s="60"/>
      <c r="D235" s="60"/>
      <c r="E235" s="60"/>
      <c r="F235" s="59"/>
      <c r="G235" s="59"/>
      <c r="H235" s="61"/>
      <c r="I235" s="61"/>
      <c r="J235" s="62"/>
      <c r="K235" s="61"/>
      <c r="L235" s="61"/>
      <c r="M235" s="63"/>
      <c r="N235" s="64"/>
      <c r="O235" s="65"/>
      <c r="P235" s="65"/>
      <c r="Q235" s="66"/>
      <c r="R235" s="67"/>
    </row>
    <row r="236" spans="2:18" x14ac:dyDescent="0.25">
      <c r="B236" s="59"/>
      <c r="C236" s="60"/>
      <c r="D236" s="60"/>
      <c r="E236" s="60"/>
      <c r="F236" s="59"/>
      <c r="G236" s="59"/>
      <c r="H236" s="61"/>
      <c r="I236" s="61"/>
      <c r="J236" s="62"/>
      <c r="K236" s="61"/>
      <c r="L236" s="61"/>
      <c r="M236" s="63"/>
      <c r="N236" s="64"/>
      <c r="O236" s="65"/>
      <c r="P236" s="65"/>
      <c r="Q236" s="66"/>
      <c r="R236" s="67"/>
    </row>
    <row r="237" spans="2:18" x14ac:dyDescent="0.25">
      <c r="B237" s="59"/>
      <c r="C237" s="60"/>
      <c r="D237" s="60"/>
      <c r="E237" s="60"/>
      <c r="F237" s="59"/>
      <c r="G237" s="59"/>
      <c r="H237" s="61"/>
      <c r="I237" s="61"/>
      <c r="J237" s="62"/>
      <c r="K237" s="61"/>
      <c r="L237" s="61"/>
      <c r="M237" s="63"/>
      <c r="N237" s="64"/>
      <c r="O237" s="65"/>
      <c r="P237" s="65"/>
      <c r="Q237" s="66"/>
      <c r="R237" s="67"/>
    </row>
    <row r="238" spans="2:18" x14ac:dyDescent="0.25">
      <c r="B238" s="59"/>
      <c r="C238" s="60"/>
      <c r="D238" s="60"/>
      <c r="E238" s="60"/>
      <c r="F238" s="59"/>
      <c r="G238" s="59"/>
      <c r="H238" s="61"/>
      <c r="I238" s="61"/>
      <c r="J238" s="62"/>
      <c r="K238" s="61"/>
      <c r="L238" s="61"/>
      <c r="M238" s="63"/>
      <c r="N238" s="64"/>
      <c r="O238" s="65"/>
      <c r="P238" s="65"/>
      <c r="Q238" s="66"/>
      <c r="R238" s="67"/>
    </row>
    <row r="239" spans="2:18" x14ac:dyDescent="0.25">
      <c r="B239" s="59"/>
      <c r="C239" s="60"/>
      <c r="D239" s="60"/>
      <c r="E239" s="60"/>
      <c r="F239" s="59"/>
      <c r="G239" s="59"/>
      <c r="H239" s="61"/>
      <c r="I239" s="61"/>
      <c r="J239" s="62"/>
      <c r="K239" s="61"/>
      <c r="L239" s="61"/>
      <c r="M239" s="63"/>
      <c r="N239" s="64"/>
      <c r="O239" s="65"/>
      <c r="P239" s="65"/>
      <c r="Q239" s="66"/>
      <c r="R239" s="67"/>
    </row>
    <row r="240" spans="2:18" x14ac:dyDescent="0.25">
      <c r="B240" s="59"/>
      <c r="C240" s="60"/>
      <c r="D240" s="60"/>
      <c r="E240" s="60"/>
      <c r="F240" s="59"/>
      <c r="G240" s="59"/>
      <c r="H240" s="61"/>
      <c r="I240" s="61"/>
      <c r="J240" s="62"/>
      <c r="K240" s="61"/>
      <c r="L240" s="61"/>
      <c r="M240" s="63"/>
      <c r="N240" s="64"/>
      <c r="O240" s="65"/>
      <c r="P240" s="65"/>
      <c r="Q240" s="66"/>
      <c r="R240" s="67"/>
    </row>
    <row r="241" spans="2:18" x14ac:dyDescent="0.25">
      <c r="B241" s="59"/>
      <c r="C241" s="60"/>
      <c r="D241" s="60"/>
      <c r="E241" s="60"/>
      <c r="F241" s="59"/>
      <c r="G241" s="59"/>
      <c r="H241" s="61"/>
      <c r="I241" s="61"/>
      <c r="J241" s="62"/>
      <c r="K241" s="61"/>
      <c r="L241" s="61"/>
      <c r="M241" s="63"/>
      <c r="N241" s="64"/>
      <c r="O241" s="65"/>
      <c r="P241" s="65"/>
      <c r="Q241" s="66"/>
      <c r="R241" s="67"/>
    </row>
    <row r="242" spans="2:18" x14ac:dyDescent="0.25">
      <c r="B242" s="59"/>
      <c r="C242" s="60"/>
      <c r="D242" s="60"/>
      <c r="E242" s="60"/>
      <c r="F242" s="59"/>
      <c r="G242" s="59"/>
      <c r="H242" s="61"/>
      <c r="I242" s="61"/>
      <c r="J242" s="62"/>
      <c r="K242" s="61"/>
      <c r="L242" s="61"/>
      <c r="M242" s="63"/>
      <c r="N242" s="64"/>
      <c r="O242" s="65"/>
      <c r="P242" s="65"/>
      <c r="Q242" s="66"/>
      <c r="R242" s="67"/>
    </row>
    <row r="243" spans="2:18" x14ac:dyDescent="0.25">
      <c r="B243" s="59"/>
      <c r="C243" s="60"/>
      <c r="D243" s="60"/>
      <c r="E243" s="60"/>
      <c r="F243" s="59"/>
      <c r="G243" s="59"/>
      <c r="H243" s="61"/>
      <c r="I243" s="61"/>
      <c r="J243" s="62"/>
      <c r="K243" s="61"/>
      <c r="L243" s="61"/>
      <c r="M243" s="63"/>
      <c r="N243" s="64"/>
      <c r="O243" s="65"/>
      <c r="P243" s="65"/>
      <c r="Q243" s="66"/>
      <c r="R243" s="67"/>
    </row>
    <row r="244" spans="2:18" x14ac:dyDescent="0.25">
      <c r="B244" s="59"/>
      <c r="C244" s="60"/>
      <c r="D244" s="60"/>
      <c r="E244" s="60"/>
      <c r="F244" s="59"/>
      <c r="G244" s="59"/>
      <c r="H244" s="61"/>
      <c r="I244" s="61"/>
      <c r="J244" s="62"/>
      <c r="K244" s="61"/>
      <c r="L244" s="61"/>
      <c r="M244" s="63"/>
      <c r="N244" s="64"/>
      <c r="O244" s="65"/>
      <c r="P244" s="65"/>
      <c r="Q244" s="66"/>
      <c r="R244" s="67"/>
    </row>
    <row r="245" spans="2:18" x14ac:dyDescent="0.25">
      <c r="B245" s="59"/>
      <c r="C245" s="60"/>
      <c r="D245" s="60"/>
      <c r="E245" s="60"/>
      <c r="F245" s="59"/>
      <c r="G245" s="59"/>
      <c r="H245" s="61"/>
      <c r="I245" s="61"/>
      <c r="J245" s="62"/>
      <c r="K245" s="61"/>
      <c r="L245" s="61"/>
      <c r="M245" s="63"/>
      <c r="N245" s="64"/>
      <c r="O245" s="65"/>
      <c r="P245" s="65"/>
      <c r="Q245" s="66"/>
      <c r="R245" s="67"/>
    </row>
    <row r="246" spans="2:18" x14ac:dyDescent="0.25">
      <c r="B246" s="59"/>
      <c r="C246" s="60"/>
      <c r="D246" s="60"/>
      <c r="E246" s="60"/>
      <c r="F246" s="59"/>
      <c r="G246" s="59"/>
      <c r="H246" s="61"/>
      <c r="I246" s="61"/>
      <c r="J246" s="62"/>
      <c r="K246" s="61"/>
      <c r="L246" s="61"/>
      <c r="M246" s="63"/>
      <c r="N246" s="64"/>
      <c r="O246" s="65"/>
      <c r="P246" s="65"/>
      <c r="Q246" s="66"/>
      <c r="R246" s="67"/>
    </row>
    <row r="247" spans="2:18" x14ac:dyDescent="0.25">
      <c r="B247" s="59"/>
      <c r="C247" s="60"/>
      <c r="D247" s="60"/>
      <c r="E247" s="60"/>
      <c r="F247" s="59"/>
      <c r="G247" s="59"/>
      <c r="H247" s="61"/>
      <c r="I247" s="61"/>
      <c r="J247" s="62"/>
      <c r="K247" s="61"/>
      <c r="L247" s="61"/>
      <c r="M247" s="63"/>
      <c r="N247" s="64"/>
      <c r="O247" s="65"/>
      <c r="P247" s="65"/>
      <c r="Q247" s="66"/>
      <c r="R247" s="67"/>
    </row>
    <row r="248" spans="2:18" x14ac:dyDescent="0.25">
      <c r="B248" s="59"/>
      <c r="C248" s="60"/>
      <c r="D248" s="60"/>
      <c r="E248" s="60"/>
      <c r="F248" s="59"/>
      <c r="G248" s="59"/>
      <c r="H248" s="61"/>
      <c r="I248" s="61"/>
      <c r="J248" s="62"/>
      <c r="K248" s="61"/>
      <c r="L248" s="61"/>
      <c r="M248" s="63"/>
      <c r="N248" s="64"/>
      <c r="O248" s="65"/>
      <c r="P248" s="65"/>
      <c r="Q248" s="66"/>
      <c r="R248" s="67"/>
    </row>
    <row r="249" spans="2:18" x14ac:dyDescent="0.25">
      <c r="B249" s="59"/>
      <c r="C249" s="60"/>
      <c r="D249" s="60"/>
      <c r="E249" s="60"/>
      <c r="F249" s="59"/>
      <c r="G249" s="59"/>
      <c r="H249" s="61"/>
      <c r="I249" s="61"/>
      <c r="J249" s="62"/>
      <c r="K249" s="61"/>
      <c r="L249" s="61"/>
      <c r="M249" s="63"/>
      <c r="N249" s="64"/>
      <c r="O249" s="65"/>
      <c r="P249" s="65"/>
      <c r="Q249" s="66"/>
      <c r="R249" s="67"/>
    </row>
    <row r="250" spans="2:18" x14ac:dyDescent="0.25">
      <c r="B250" s="59"/>
      <c r="C250" s="60"/>
      <c r="D250" s="60"/>
      <c r="E250" s="60"/>
      <c r="F250" s="59"/>
      <c r="G250" s="59"/>
      <c r="H250" s="61"/>
      <c r="I250" s="61"/>
      <c r="J250" s="62"/>
      <c r="K250" s="61"/>
      <c r="L250" s="61"/>
      <c r="M250" s="63"/>
      <c r="N250" s="64"/>
      <c r="O250" s="65"/>
      <c r="P250" s="65"/>
      <c r="Q250" s="66"/>
      <c r="R250" s="67"/>
    </row>
    <row r="251" spans="2:18" x14ac:dyDescent="0.25">
      <c r="B251" s="59"/>
      <c r="C251" s="60"/>
      <c r="D251" s="60"/>
      <c r="E251" s="60"/>
      <c r="F251" s="59"/>
      <c r="G251" s="59"/>
      <c r="H251" s="61"/>
      <c r="I251" s="61"/>
      <c r="J251" s="62"/>
      <c r="K251" s="61"/>
      <c r="L251" s="61"/>
      <c r="M251" s="63"/>
      <c r="N251" s="64"/>
      <c r="O251" s="65"/>
      <c r="P251" s="65"/>
      <c r="Q251" s="66"/>
      <c r="R251" s="67"/>
    </row>
    <row r="252" spans="2:18" x14ac:dyDescent="0.25">
      <c r="B252" s="59"/>
      <c r="C252" s="60"/>
      <c r="D252" s="60"/>
      <c r="E252" s="60"/>
      <c r="F252" s="59"/>
      <c r="G252" s="59"/>
      <c r="H252" s="61"/>
      <c r="I252" s="61"/>
      <c r="J252" s="62"/>
      <c r="K252" s="61"/>
      <c r="L252" s="61"/>
      <c r="M252" s="63"/>
      <c r="N252" s="64"/>
      <c r="O252" s="65"/>
      <c r="P252" s="65"/>
      <c r="Q252" s="66"/>
      <c r="R252" s="67"/>
    </row>
    <row r="253" spans="2:18" x14ac:dyDescent="0.25">
      <c r="B253" s="59"/>
      <c r="C253" s="60"/>
      <c r="D253" s="60"/>
      <c r="E253" s="60"/>
      <c r="F253" s="59"/>
      <c r="G253" s="59"/>
      <c r="H253" s="61"/>
      <c r="I253" s="61"/>
      <c r="J253" s="62"/>
      <c r="K253" s="61"/>
      <c r="L253" s="61"/>
      <c r="M253" s="63"/>
      <c r="N253" s="64"/>
      <c r="O253" s="65"/>
      <c r="P253" s="65"/>
      <c r="Q253" s="66"/>
      <c r="R253" s="67"/>
    </row>
    <row r="254" spans="2:18" x14ac:dyDescent="0.25">
      <c r="B254" s="59"/>
      <c r="C254" s="60"/>
      <c r="D254" s="60"/>
      <c r="E254" s="60"/>
      <c r="F254" s="59"/>
      <c r="G254" s="59"/>
      <c r="H254" s="61"/>
      <c r="I254" s="61"/>
      <c r="J254" s="62"/>
      <c r="K254" s="61"/>
      <c r="L254" s="61"/>
      <c r="M254" s="63"/>
      <c r="N254" s="64"/>
      <c r="O254" s="65"/>
      <c r="P254" s="65"/>
      <c r="Q254" s="66"/>
      <c r="R254" s="67"/>
    </row>
    <row r="255" spans="2:18" x14ac:dyDescent="0.25">
      <c r="B255" s="59"/>
      <c r="C255" s="60"/>
      <c r="D255" s="60"/>
      <c r="E255" s="60"/>
      <c r="F255" s="59"/>
      <c r="G255" s="59"/>
      <c r="H255" s="61"/>
      <c r="I255" s="61"/>
      <c r="J255" s="62"/>
      <c r="K255" s="61"/>
      <c r="L255" s="61"/>
      <c r="M255" s="63"/>
      <c r="N255" s="64"/>
      <c r="O255" s="65"/>
      <c r="P255" s="65"/>
      <c r="Q255" s="66"/>
      <c r="R255" s="67"/>
    </row>
    <row r="256" spans="2:18" x14ac:dyDescent="0.25">
      <c r="B256" s="59"/>
      <c r="C256" s="60"/>
      <c r="D256" s="60"/>
      <c r="E256" s="60"/>
      <c r="F256" s="59"/>
      <c r="G256" s="59"/>
      <c r="H256" s="61"/>
      <c r="I256" s="61"/>
      <c r="J256" s="62"/>
      <c r="K256" s="61"/>
      <c r="L256" s="61"/>
      <c r="M256" s="63"/>
      <c r="N256" s="64"/>
      <c r="O256" s="65"/>
      <c r="P256" s="65"/>
      <c r="Q256" s="66"/>
      <c r="R256" s="67"/>
    </row>
    <row r="257" spans="2:18" x14ac:dyDescent="0.25">
      <c r="B257" s="59"/>
      <c r="C257" s="60"/>
      <c r="D257" s="60"/>
      <c r="E257" s="60"/>
      <c r="F257" s="59"/>
      <c r="G257" s="59"/>
      <c r="H257" s="61"/>
      <c r="I257" s="61"/>
      <c r="J257" s="62"/>
      <c r="K257" s="61"/>
      <c r="L257" s="61"/>
      <c r="M257" s="63"/>
      <c r="N257" s="64"/>
      <c r="O257" s="65"/>
      <c r="P257" s="65"/>
      <c r="Q257" s="66"/>
      <c r="R257" s="67"/>
    </row>
    <row r="258" spans="2:18" x14ac:dyDescent="0.25">
      <c r="B258" s="59"/>
      <c r="C258" s="60"/>
      <c r="D258" s="60"/>
      <c r="E258" s="60"/>
      <c r="F258" s="59"/>
      <c r="G258" s="59"/>
      <c r="H258" s="61"/>
      <c r="I258" s="61"/>
      <c r="J258" s="62"/>
      <c r="K258" s="61"/>
      <c r="L258" s="61"/>
      <c r="M258" s="63"/>
      <c r="N258" s="64"/>
      <c r="O258" s="65"/>
      <c r="P258" s="65"/>
      <c r="Q258" s="66"/>
      <c r="R258" s="67"/>
    </row>
    <row r="259" spans="2:18" x14ac:dyDescent="0.25">
      <c r="B259" s="59"/>
      <c r="C259" s="60"/>
      <c r="D259" s="60"/>
      <c r="E259" s="60"/>
      <c r="F259" s="59"/>
      <c r="G259" s="59"/>
      <c r="H259" s="61"/>
      <c r="I259" s="61"/>
      <c r="J259" s="62"/>
      <c r="K259" s="61"/>
      <c r="L259" s="61"/>
      <c r="M259" s="63"/>
      <c r="N259" s="64"/>
      <c r="O259" s="65"/>
      <c r="P259" s="65"/>
      <c r="Q259" s="66"/>
      <c r="R259" s="67"/>
    </row>
    <row r="260" spans="2:18" x14ac:dyDescent="0.25">
      <c r="B260" s="59"/>
      <c r="C260" s="60"/>
      <c r="D260" s="60"/>
      <c r="E260" s="60"/>
      <c r="F260" s="59"/>
      <c r="G260" s="59"/>
      <c r="H260" s="61"/>
      <c r="I260" s="61"/>
      <c r="J260" s="62"/>
      <c r="K260" s="61"/>
      <c r="L260" s="61"/>
      <c r="M260" s="63"/>
      <c r="N260" s="64"/>
      <c r="O260" s="65"/>
      <c r="P260" s="65"/>
      <c r="Q260" s="66"/>
      <c r="R260" s="67"/>
    </row>
    <row r="261" spans="2:18" x14ac:dyDescent="0.25">
      <c r="B261" s="59"/>
      <c r="C261" s="60"/>
      <c r="D261" s="60"/>
      <c r="E261" s="60"/>
      <c r="F261" s="59"/>
      <c r="G261" s="59"/>
      <c r="H261" s="61"/>
      <c r="I261" s="61"/>
      <c r="J261" s="62"/>
      <c r="K261" s="61"/>
      <c r="L261" s="61"/>
      <c r="M261" s="63"/>
      <c r="N261" s="64"/>
      <c r="O261" s="65"/>
      <c r="P261" s="65"/>
      <c r="Q261" s="66"/>
      <c r="R261" s="67"/>
    </row>
    <row r="262" spans="2:18" x14ac:dyDescent="0.25">
      <c r="B262" s="59"/>
      <c r="C262" s="60"/>
      <c r="D262" s="60"/>
      <c r="E262" s="60"/>
      <c r="F262" s="59"/>
      <c r="G262" s="59"/>
      <c r="H262" s="61"/>
      <c r="I262" s="61"/>
      <c r="J262" s="62"/>
      <c r="K262" s="61"/>
      <c r="L262" s="61"/>
      <c r="M262" s="63"/>
      <c r="N262" s="64"/>
      <c r="O262" s="65"/>
      <c r="P262" s="65"/>
      <c r="Q262" s="66"/>
      <c r="R262" s="67"/>
    </row>
    <row r="263" spans="2:18" x14ac:dyDescent="0.25">
      <c r="B263" s="59"/>
      <c r="C263" s="60"/>
      <c r="D263" s="60"/>
      <c r="E263" s="60"/>
      <c r="F263" s="59"/>
      <c r="G263" s="59"/>
      <c r="H263" s="61"/>
      <c r="I263" s="61"/>
      <c r="J263" s="62"/>
      <c r="K263" s="61"/>
      <c r="L263" s="61"/>
      <c r="M263" s="63"/>
      <c r="N263" s="64"/>
      <c r="O263" s="65"/>
      <c r="P263" s="65"/>
      <c r="Q263" s="66"/>
      <c r="R263" s="67"/>
    </row>
    <row r="264" spans="2:18" x14ac:dyDescent="0.25">
      <c r="B264" s="59"/>
      <c r="C264" s="60"/>
      <c r="D264" s="60"/>
      <c r="E264" s="60"/>
      <c r="F264" s="59"/>
      <c r="G264" s="59"/>
      <c r="H264" s="61"/>
      <c r="I264" s="61"/>
      <c r="J264" s="62"/>
      <c r="K264" s="61"/>
      <c r="L264" s="61"/>
      <c r="M264" s="63"/>
      <c r="N264" s="64"/>
      <c r="O264" s="65"/>
      <c r="P264" s="65"/>
      <c r="Q264" s="66"/>
      <c r="R264" s="67"/>
    </row>
    <row r="265" spans="2:18" x14ac:dyDescent="0.25">
      <c r="B265" s="59"/>
      <c r="C265" s="60"/>
      <c r="D265" s="60"/>
      <c r="E265" s="60"/>
      <c r="F265" s="59"/>
      <c r="G265" s="59"/>
      <c r="H265" s="61"/>
      <c r="I265" s="61"/>
      <c r="J265" s="62"/>
      <c r="K265" s="61"/>
      <c r="L265" s="61"/>
      <c r="M265" s="63"/>
      <c r="N265" s="64"/>
      <c r="O265" s="65"/>
      <c r="P265" s="65"/>
      <c r="Q265" s="66"/>
      <c r="R265" s="67"/>
    </row>
    <row r="266" spans="2:18" x14ac:dyDescent="0.25">
      <c r="B266" s="59"/>
      <c r="C266" s="60"/>
      <c r="D266" s="60"/>
      <c r="E266" s="60"/>
      <c r="F266" s="59"/>
      <c r="G266" s="59"/>
      <c r="H266" s="61"/>
      <c r="I266" s="61"/>
      <c r="J266" s="62"/>
      <c r="K266" s="61"/>
      <c r="L266" s="61"/>
      <c r="M266" s="63"/>
      <c r="N266" s="64"/>
      <c r="O266" s="65"/>
      <c r="P266" s="65"/>
      <c r="Q266" s="66"/>
      <c r="R266" s="67"/>
    </row>
    <row r="267" spans="2:18" x14ac:dyDescent="0.25">
      <c r="B267" s="59"/>
      <c r="C267" s="60"/>
      <c r="D267" s="60"/>
      <c r="E267" s="60"/>
      <c r="F267" s="59"/>
      <c r="G267" s="59"/>
      <c r="H267" s="61"/>
      <c r="I267" s="61"/>
      <c r="J267" s="62"/>
      <c r="K267" s="61"/>
      <c r="L267" s="61"/>
      <c r="M267" s="63"/>
      <c r="N267" s="64"/>
      <c r="O267" s="65"/>
      <c r="P267" s="65"/>
      <c r="Q267" s="66"/>
      <c r="R267" s="67"/>
    </row>
    <row r="268" spans="2:18" x14ac:dyDescent="0.25">
      <c r="B268" s="59"/>
      <c r="C268" s="60"/>
      <c r="D268" s="60"/>
      <c r="E268" s="60"/>
      <c r="F268" s="59"/>
      <c r="G268" s="59"/>
      <c r="H268" s="61"/>
      <c r="I268" s="61"/>
      <c r="J268" s="62"/>
      <c r="K268" s="61"/>
      <c r="L268" s="61"/>
      <c r="M268" s="63"/>
      <c r="N268" s="64"/>
      <c r="O268" s="65"/>
      <c r="P268" s="65"/>
      <c r="Q268" s="66"/>
      <c r="R268" s="67"/>
    </row>
    <row r="269" spans="2:18" x14ac:dyDescent="0.25">
      <c r="B269" s="59"/>
      <c r="C269" s="60"/>
      <c r="D269" s="60"/>
      <c r="E269" s="60"/>
      <c r="F269" s="59"/>
      <c r="G269" s="59"/>
      <c r="H269" s="61"/>
      <c r="I269" s="61"/>
      <c r="J269" s="62"/>
      <c r="K269" s="61"/>
      <c r="L269" s="61"/>
      <c r="M269" s="63"/>
      <c r="N269" s="64"/>
      <c r="O269" s="65"/>
      <c r="P269" s="65"/>
      <c r="Q269" s="66"/>
      <c r="R269" s="67"/>
    </row>
    <row r="270" spans="2:18" x14ac:dyDescent="0.25">
      <c r="B270" s="59"/>
      <c r="C270" s="60"/>
      <c r="D270" s="60"/>
      <c r="E270" s="60"/>
      <c r="F270" s="59"/>
      <c r="G270" s="59"/>
      <c r="H270" s="61"/>
      <c r="I270" s="61"/>
      <c r="J270" s="62"/>
      <c r="K270" s="61"/>
      <c r="L270" s="61"/>
      <c r="M270" s="63"/>
      <c r="N270" s="64"/>
      <c r="O270" s="65"/>
      <c r="P270" s="65"/>
      <c r="Q270" s="66"/>
      <c r="R270" s="67"/>
    </row>
    <row r="271" spans="2:18" x14ac:dyDescent="0.25">
      <c r="B271" s="59"/>
      <c r="C271" s="60"/>
      <c r="D271" s="60"/>
      <c r="E271" s="60"/>
      <c r="F271" s="59"/>
      <c r="G271" s="59"/>
      <c r="H271" s="61"/>
      <c r="I271" s="61"/>
      <c r="J271" s="62"/>
      <c r="K271" s="61"/>
      <c r="L271" s="61"/>
      <c r="M271" s="63"/>
      <c r="N271" s="64"/>
      <c r="O271" s="65"/>
      <c r="P271" s="65"/>
      <c r="Q271" s="66"/>
      <c r="R271" s="67"/>
    </row>
    <row r="272" spans="2:18" x14ac:dyDescent="0.25">
      <c r="B272" s="59"/>
      <c r="C272" s="60"/>
      <c r="D272" s="60"/>
      <c r="E272" s="60"/>
      <c r="F272" s="59"/>
      <c r="G272" s="59"/>
      <c r="H272" s="61"/>
      <c r="I272" s="61"/>
      <c r="J272" s="62"/>
      <c r="K272" s="61"/>
      <c r="L272" s="61"/>
      <c r="M272" s="63"/>
      <c r="N272" s="64"/>
      <c r="O272" s="65"/>
      <c r="P272" s="65"/>
      <c r="Q272" s="66"/>
      <c r="R272" s="67"/>
    </row>
    <row r="273" spans="2:18" x14ac:dyDescent="0.25">
      <c r="B273" s="59"/>
      <c r="C273" s="60"/>
      <c r="D273" s="60"/>
      <c r="E273" s="60"/>
      <c r="F273" s="59"/>
      <c r="G273" s="59"/>
      <c r="H273" s="61"/>
      <c r="I273" s="61"/>
      <c r="J273" s="62"/>
      <c r="K273" s="61"/>
      <c r="L273" s="61"/>
      <c r="M273" s="63"/>
      <c r="N273" s="64"/>
      <c r="O273" s="65"/>
      <c r="P273" s="65"/>
      <c r="Q273" s="66"/>
      <c r="R273" s="67"/>
    </row>
    <row r="274" spans="2:18" x14ac:dyDescent="0.25">
      <c r="B274" s="59"/>
      <c r="C274" s="60"/>
      <c r="D274" s="60"/>
      <c r="E274" s="60"/>
      <c r="F274" s="59"/>
      <c r="G274" s="59"/>
      <c r="H274" s="61"/>
      <c r="I274" s="61"/>
      <c r="J274" s="62"/>
      <c r="K274" s="61"/>
      <c r="L274" s="61"/>
      <c r="M274" s="63"/>
      <c r="N274" s="64"/>
      <c r="O274" s="65"/>
      <c r="P274" s="65"/>
      <c r="Q274" s="66"/>
      <c r="R274" s="67"/>
    </row>
    <row r="275" spans="2:18" x14ac:dyDescent="0.25">
      <c r="B275" s="59"/>
      <c r="C275" s="60"/>
      <c r="D275" s="60"/>
      <c r="E275" s="60"/>
      <c r="F275" s="59"/>
      <c r="G275" s="59"/>
      <c r="H275" s="61"/>
      <c r="I275" s="61"/>
      <c r="J275" s="62"/>
      <c r="K275" s="61"/>
      <c r="L275" s="61"/>
      <c r="M275" s="63"/>
      <c r="N275" s="64"/>
      <c r="O275" s="65"/>
      <c r="P275" s="65"/>
      <c r="Q275" s="66"/>
      <c r="R275" s="67"/>
    </row>
    <row r="276" spans="2:18" x14ac:dyDescent="0.25">
      <c r="B276" s="59"/>
      <c r="C276" s="60"/>
      <c r="D276" s="60"/>
      <c r="E276" s="60"/>
      <c r="F276" s="59"/>
      <c r="G276" s="59"/>
      <c r="H276" s="61"/>
      <c r="I276" s="61"/>
      <c r="J276" s="62"/>
      <c r="K276" s="61"/>
      <c r="L276" s="61"/>
      <c r="M276" s="63"/>
      <c r="N276" s="64"/>
      <c r="O276" s="65"/>
      <c r="P276" s="65"/>
      <c r="Q276" s="66"/>
      <c r="R276" s="67"/>
    </row>
    <row r="277" spans="2:18" x14ac:dyDescent="0.25">
      <c r="B277" s="59"/>
      <c r="C277" s="60"/>
      <c r="D277" s="60"/>
      <c r="E277" s="60"/>
      <c r="F277" s="59"/>
      <c r="G277" s="59"/>
      <c r="H277" s="61"/>
      <c r="I277" s="61"/>
      <c r="J277" s="62"/>
      <c r="K277" s="61"/>
      <c r="L277" s="61"/>
      <c r="M277" s="63"/>
      <c r="N277" s="64"/>
      <c r="O277" s="65"/>
      <c r="P277" s="65"/>
      <c r="Q277" s="66"/>
      <c r="R277" s="67"/>
    </row>
    <row r="278" spans="2:18" x14ac:dyDescent="0.25">
      <c r="B278" s="59"/>
      <c r="C278" s="60"/>
      <c r="D278" s="60"/>
      <c r="E278" s="60"/>
      <c r="F278" s="59"/>
      <c r="G278" s="59"/>
      <c r="H278" s="61"/>
      <c r="I278" s="61"/>
      <c r="J278" s="62"/>
      <c r="K278" s="61"/>
      <c r="L278" s="61"/>
      <c r="M278" s="63"/>
      <c r="N278" s="64"/>
      <c r="O278" s="65"/>
      <c r="P278" s="65"/>
      <c r="Q278" s="66"/>
      <c r="R278" s="67"/>
    </row>
    <row r="279" spans="2:18" x14ac:dyDescent="0.25">
      <c r="B279" s="59"/>
      <c r="C279" s="60"/>
      <c r="D279" s="60"/>
      <c r="E279" s="60"/>
      <c r="F279" s="59"/>
      <c r="G279" s="59"/>
      <c r="H279" s="61"/>
      <c r="I279" s="61"/>
      <c r="J279" s="62"/>
      <c r="K279" s="61"/>
      <c r="L279" s="61"/>
      <c r="M279" s="63"/>
      <c r="N279" s="64"/>
      <c r="O279" s="65"/>
      <c r="P279" s="65"/>
      <c r="Q279" s="66"/>
      <c r="R279" s="67"/>
    </row>
    <row r="280" spans="2:18" x14ac:dyDescent="0.25">
      <c r="B280" s="59"/>
      <c r="C280" s="60"/>
      <c r="D280" s="60"/>
      <c r="E280" s="60"/>
      <c r="F280" s="59"/>
      <c r="G280" s="59"/>
      <c r="H280" s="61"/>
      <c r="I280" s="61"/>
      <c r="J280" s="62"/>
      <c r="K280" s="61"/>
      <c r="L280" s="61"/>
      <c r="M280" s="63"/>
      <c r="N280" s="64"/>
      <c r="O280" s="65"/>
      <c r="P280" s="65"/>
      <c r="Q280" s="66"/>
      <c r="R280" s="67"/>
    </row>
    <row r="281" spans="2:18" x14ac:dyDescent="0.25">
      <c r="B281" s="59"/>
      <c r="C281" s="60"/>
      <c r="D281" s="60"/>
      <c r="E281" s="60"/>
      <c r="F281" s="59"/>
      <c r="G281" s="59"/>
      <c r="H281" s="61"/>
      <c r="I281" s="61"/>
      <c r="J281" s="62"/>
      <c r="K281" s="61"/>
      <c r="L281" s="61"/>
      <c r="M281" s="63"/>
      <c r="N281" s="64"/>
      <c r="O281" s="65"/>
      <c r="P281" s="65"/>
      <c r="Q281" s="66"/>
      <c r="R281" s="67"/>
    </row>
    <row r="282" spans="2:18" x14ac:dyDescent="0.25">
      <c r="B282" s="59"/>
      <c r="C282" s="60"/>
      <c r="D282" s="60"/>
      <c r="E282" s="60"/>
      <c r="F282" s="59"/>
      <c r="G282" s="59"/>
      <c r="H282" s="61"/>
      <c r="I282" s="61"/>
      <c r="J282" s="62"/>
      <c r="K282" s="61"/>
      <c r="L282" s="61"/>
      <c r="M282" s="63"/>
      <c r="N282" s="64"/>
      <c r="O282" s="65"/>
      <c r="P282" s="65"/>
      <c r="Q282" s="66"/>
      <c r="R282" s="67"/>
    </row>
    <row r="283" spans="2:18" x14ac:dyDescent="0.25">
      <c r="B283" s="59"/>
      <c r="C283" s="60"/>
      <c r="D283" s="60"/>
      <c r="E283" s="60"/>
      <c r="F283" s="59"/>
      <c r="G283" s="59"/>
      <c r="H283" s="61"/>
      <c r="I283" s="61"/>
      <c r="J283" s="62"/>
      <c r="K283" s="61"/>
      <c r="L283" s="61"/>
      <c r="M283" s="63"/>
      <c r="N283" s="64"/>
      <c r="O283" s="65"/>
      <c r="P283" s="65"/>
      <c r="Q283" s="66"/>
      <c r="R283" s="67"/>
    </row>
    <row r="284" spans="2:18" x14ac:dyDescent="0.25">
      <c r="B284" s="59"/>
      <c r="C284" s="60"/>
      <c r="D284" s="60"/>
      <c r="E284" s="60"/>
      <c r="F284" s="59"/>
      <c r="G284" s="59"/>
      <c r="H284" s="61"/>
      <c r="I284" s="61"/>
      <c r="J284" s="62"/>
      <c r="K284" s="61"/>
      <c r="L284" s="61"/>
      <c r="M284" s="63"/>
      <c r="N284" s="64"/>
      <c r="O284" s="65"/>
      <c r="P284" s="65"/>
      <c r="Q284" s="66"/>
      <c r="R284" s="67"/>
    </row>
    <row r="285" spans="2:18" x14ac:dyDescent="0.25">
      <c r="B285" s="59"/>
      <c r="C285" s="60"/>
      <c r="D285" s="60"/>
      <c r="E285" s="60"/>
      <c r="F285" s="59"/>
      <c r="G285" s="59"/>
      <c r="H285" s="61"/>
      <c r="I285" s="61"/>
      <c r="J285" s="62"/>
      <c r="K285" s="61"/>
      <c r="L285" s="61"/>
      <c r="M285" s="63"/>
      <c r="N285" s="64"/>
      <c r="O285" s="65"/>
      <c r="P285" s="65"/>
      <c r="Q285" s="66"/>
      <c r="R285" s="67"/>
    </row>
    <row r="286" spans="2:18" x14ac:dyDescent="0.25">
      <c r="B286" s="59"/>
      <c r="C286" s="60"/>
      <c r="D286" s="60"/>
      <c r="E286" s="60"/>
      <c r="F286" s="59"/>
      <c r="G286" s="59"/>
      <c r="H286" s="61"/>
      <c r="I286" s="61"/>
      <c r="J286" s="62"/>
      <c r="K286" s="61"/>
      <c r="L286" s="61"/>
      <c r="M286" s="63"/>
      <c r="N286" s="64"/>
      <c r="O286" s="65"/>
      <c r="P286" s="65"/>
      <c r="Q286" s="66"/>
      <c r="R286" s="67"/>
    </row>
    <row r="287" spans="2:18" x14ac:dyDescent="0.25">
      <c r="B287" s="59"/>
      <c r="C287" s="60"/>
      <c r="D287" s="60"/>
      <c r="E287" s="60"/>
      <c r="F287" s="59"/>
      <c r="G287" s="59"/>
      <c r="H287" s="61"/>
      <c r="I287" s="61"/>
      <c r="J287" s="62"/>
      <c r="K287" s="61"/>
      <c r="L287" s="61"/>
      <c r="M287" s="63"/>
      <c r="N287" s="64"/>
      <c r="O287" s="65"/>
      <c r="P287" s="65"/>
      <c r="Q287" s="66"/>
      <c r="R287" s="67"/>
    </row>
    <row r="288" spans="2:18" x14ac:dyDescent="0.25">
      <c r="B288" s="59"/>
      <c r="C288" s="60"/>
      <c r="D288" s="60"/>
      <c r="E288" s="60"/>
      <c r="F288" s="59"/>
      <c r="G288" s="59"/>
      <c r="H288" s="61"/>
      <c r="I288" s="61"/>
      <c r="J288" s="62"/>
      <c r="K288" s="61"/>
      <c r="L288" s="61"/>
      <c r="M288" s="63"/>
      <c r="N288" s="64"/>
      <c r="O288" s="65"/>
      <c r="P288" s="65"/>
      <c r="Q288" s="66"/>
      <c r="R288" s="67"/>
    </row>
    <row r="289" spans="2:18" x14ac:dyDescent="0.25">
      <c r="B289" s="59"/>
      <c r="C289" s="60"/>
      <c r="D289" s="60"/>
      <c r="E289" s="60"/>
      <c r="F289" s="59"/>
      <c r="G289" s="59"/>
      <c r="H289" s="61"/>
      <c r="I289" s="61"/>
      <c r="J289" s="62"/>
      <c r="K289" s="61"/>
      <c r="L289" s="61"/>
      <c r="M289" s="63"/>
      <c r="N289" s="64"/>
      <c r="O289" s="65"/>
      <c r="P289" s="65"/>
      <c r="Q289" s="66"/>
      <c r="R289" s="67"/>
    </row>
    <row r="290" spans="2:18" x14ac:dyDescent="0.25">
      <c r="B290" s="59"/>
      <c r="C290" s="60"/>
      <c r="D290" s="60"/>
      <c r="E290" s="60"/>
      <c r="F290" s="59"/>
      <c r="G290" s="59"/>
      <c r="H290" s="61"/>
      <c r="I290" s="61"/>
      <c r="J290" s="62"/>
      <c r="K290" s="61"/>
      <c r="L290" s="61"/>
      <c r="M290" s="63"/>
      <c r="N290" s="64"/>
      <c r="O290" s="65"/>
      <c r="P290" s="65"/>
      <c r="Q290" s="66"/>
      <c r="R290" s="67"/>
    </row>
    <row r="291" spans="2:18" x14ac:dyDescent="0.25">
      <c r="B291" s="59"/>
      <c r="C291" s="60"/>
      <c r="D291" s="60"/>
      <c r="E291" s="60"/>
      <c r="F291" s="59"/>
      <c r="G291" s="59"/>
      <c r="H291" s="61"/>
      <c r="I291" s="61"/>
      <c r="J291" s="62"/>
      <c r="K291" s="61"/>
      <c r="L291" s="61"/>
      <c r="M291" s="63"/>
      <c r="N291" s="64"/>
      <c r="O291" s="65"/>
      <c r="P291" s="65"/>
      <c r="Q291" s="66"/>
      <c r="R291" s="67"/>
    </row>
    <row r="292" spans="2:18" x14ac:dyDescent="0.25">
      <c r="B292" s="59"/>
      <c r="C292" s="60"/>
      <c r="D292" s="60"/>
      <c r="E292" s="60"/>
      <c r="F292" s="59"/>
      <c r="G292" s="59"/>
      <c r="H292" s="61"/>
      <c r="I292" s="61"/>
      <c r="J292" s="62"/>
      <c r="K292" s="61"/>
      <c r="L292" s="61"/>
      <c r="M292" s="63"/>
      <c r="N292" s="64"/>
      <c r="O292" s="65"/>
      <c r="P292" s="65"/>
      <c r="Q292" s="66"/>
      <c r="R292" s="67"/>
    </row>
    <row r="293" spans="2:18" x14ac:dyDescent="0.25">
      <c r="B293" s="59"/>
      <c r="C293" s="60"/>
      <c r="D293" s="60"/>
      <c r="E293" s="60"/>
      <c r="F293" s="59"/>
      <c r="G293" s="59"/>
      <c r="H293" s="61"/>
      <c r="I293" s="61"/>
      <c r="J293" s="62"/>
      <c r="K293" s="61"/>
      <c r="L293" s="61"/>
      <c r="M293" s="63"/>
      <c r="N293" s="64"/>
      <c r="O293" s="65"/>
      <c r="P293" s="65"/>
      <c r="Q293" s="66"/>
      <c r="R293" s="67"/>
    </row>
    <row r="294" spans="2:18" x14ac:dyDescent="0.25">
      <c r="B294" s="59"/>
      <c r="C294" s="60"/>
      <c r="D294" s="60"/>
      <c r="E294" s="60"/>
      <c r="F294" s="59"/>
      <c r="G294" s="59"/>
      <c r="H294" s="61"/>
      <c r="I294" s="61"/>
      <c r="J294" s="62"/>
      <c r="K294" s="61"/>
      <c r="L294" s="61"/>
      <c r="M294" s="63"/>
      <c r="N294" s="64"/>
      <c r="O294" s="65"/>
      <c r="P294" s="65"/>
      <c r="Q294" s="66"/>
      <c r="R294" s="67"/>
    </row>
    <row r="295" spans="2:18" x14ac:dyDescent="0.25">
      <c r="B295" s="59"/>
      <c r="C295" s="60"/>
      <c r="D295" s="60"/>
      <c r="E295" s="60"/>
      <c r="F295" s="59"/>
      <c r="G295" s="59"/>
      <c r="H295" s="61"/>
      <c r="I295" s="61"/>
      <c r="J295" s="62"/>
      <c r="K295" s="61"/>
      <c r="L295" s="61"/>
      <c r="M295" s="63"/>
      <c r="N295" s="64"/>
      <c r="O295" s="65"/>
      <c r="P295" s="65"/>
      <c r="Q295" s="66"/>
      <c r="R295" s="67"/>
    </row>
    <row r="296" spans="2:18" x14ac:dyDescent="0.25">
      <c r="B296" s="59"/>
      <c r="C296" s="60"/>
      <c r="D296" s="60"/>
      <c r="E296" s="60"/>
      <c r="F296" s="59"/>
      <c r="G296" s="59"/>
      <c r="H296" s="61"/>
      <c r="I296" s="61"/>
      <c r="J296" s="62"/>
      <c r="K296" s="61"/>
      <c r="L296" s="61"/>
      <c r="M296" s="63"/>
      <c r="N296" s="64"/>
      <c r="O296" s="65"/>
      <c r="P296" s="65"/>
      <c r="Q296" s="66"/>
      <c r="R296" s="67"/>
    </row>
    <row r="297" spans="2:18" x14ac:dyDescent="0.25">
      <c r="B297" s="59"/>
      <c r="C297" s="60"/>
      <c r="D297" s="60"/>
      <c r="E297" s="60"/>
      <c r="F297" s="59"/>
      <c r="G297" s="59"/>
      <c r="H297" s="61"/>
      <c r="I297" s="61"/>
      <c r="J297" s="62"/>
      <c r="K297" s="61"/>
      <c r="L297" s="61"/>
      <c r="M297" s="63"/>
      <c r="N297" s="64"/>
      <c r="O297" s="65"/>
      <c r="P297" s="65"/>
      <c r="Q297" s="66"/>
      <c r="R297" s="67"/>
    </row>
    <row r="298" spans="2:18" x14ac:dyDescent="0.25">
      <c r="B298" s="59"/>
      <c r="C298" s="60"/>
      <c r="D298" s="60"/>
      <c r="E298" s="60"/>
      <c r="F298" s="59"/>
      <c r="G298" s="59"/>
      <c r="H298" s="61"/>
      <c r="I298" s="61"/>
      <c r="J298" s="62"/>
      <c r="K298" s="61"/>
      <c r="L298" s="61"/>
      <c r="M298" s="63"/>
      <c r="N298" s="64"/>
      <c r="O298" s="65"/>
      <c r="P298" s="65"/>
      <c r="Q298" s="66"/>
      <c r="R298" s="67"/>
    </row>
    <row r="299" spans="2:18" x14ac:dyDescent="0.25">
      <c r="B299" s="59"/>
      <c r="C299" s="60"/>
      <c r="D299" s="60"/>
      <c r="E299" s="60"/>
      <c r="F299" s="59"/>
      <c r="G299" s="59"/>
      <c r="H299" s="61"/>
      <c r="I299" s="61"/>
      <c r="J299" s="62"/>
      <c r="K299" s="61"/>
      <c r="L299" s="61"/>
      <c r="M299" s="63"/>
      <c r="N299" s="64"/>
      <c r="O299" s="65"/>
      <c r="P299" s="65"/>
      <c r="Q299" s="66"/>
      <c r="R299" s="67"/>
    </row>
    <row r="300" spans="2:18" x14ac:dyDescent="0.25">
      <c r="B300" s="59"/>
      <c r="C300" s="60"/>
      <c r="D300" s="60"/>
      <c r="E300" s="60"/>
      <c r="F300" s="59"/>
      <c r="G300" s="59"/>
      <c r="H300" s="61"/>
      <c r="I300" s="61"/>
      <c r="J300" s="62"/>
      <c r="K300" s="61"/>
      <c r="L300" s="61"/>
      <c r="M300" s="63"/>
      <c r="N300" s="64"/>
      <c r="O300" s="65"/>
      <c r="P300" s="65"/>
      <c r="Q300" s="66"/>
      <c r="R300" s="67"/>
    </row>
    <row r="301" spans="2:18" x14ac:dyDescent="0.25">
      <c r="B301" s="59"/>
      <c r="C301" s="60"/>
      <c r="D301" s="60"/>
      <c r="E301" s="60"/>
      <c r="F301" s="59"/>
      <c r="G301" s="59"/>
      <c r="H301" s="61"/>
      <c r="I301" s="61"/>
      <c r="J301" s="62"/>
      <c r="K301" s="61"/>
      <c r="L301" s="61"/>
      <c r="M301" s="63"/>
      <c r="N301" s="64"/>
      <c r="O301" s="65"/>
      <c r="P301" s="65"/>
      <c r="Q301" s="66"/>
      <c r="R301" s="67"/>
    </row>
    <row r="302" spans="2:18" x14ac:dyDescent="0.25">
      <c r="B302" s="59"/>
      <c r="C302" s="60"/>
      <c r="D302" s="60"/>
      <c r="E302" s="60"/>
      <c r="F302" s="59"/>
      <c r="G302" s="59"/>
      <c r="H302" s="61"/>
      <c r="I302" s="61"/>
      <c r="J302" s="62"/>
      <c r="K302" s="61"/>
      <c r="L302" s="61"/>
      <c r="M302" s="63"/>
      <c r="N302" s="64"/>
      <c r="O302" s="65"/>
      <c r="P302" s="65"/>
      <c r="Q302" s="66"/>
      <c r="R302" s="67"/>
    </row>
    <row r="303" spans="2:18" x14ac:dyDescent="0.25">
      <c r="B303" s="59"/>
      <c r="C303" s="60"/>
      <c r="D303" s="60"/>
      <c r="E303" s="60"/>
      <c r="F303" s="59"/>
      <c r="G303" s="59"/>
      <c r="H303" s="61"/>
      <c r="I303" s="61"/>
      <c r="J303" s="62"/>
      <c r="K303" s="61"/>
      <c r="L303" s="61"/>
      <c r="M303" s="63"/>
      <c r="N303" s="64"/>
      <c r="O303" s="65"/>
      <c r="P303" s="65"/>
      <c r="Q303" s="66"/>
      <c r="R303" s="67"/>
    </row>
    <row r="304" spans="2:18" x14ac:dyDescent="0.25">
      <c r="B304" s="59"/>
      <c r="C304" s="60"/>
      <c r="D304" s="60"/>
      <c r="E304" s="60"/>
      <c r="F304" s="59"/>
      <c r="G304" s="59"/>
      <c r="H304" s="61"/>
      <c r="I304" s="61"/>
      <c r="J304" s="62"/>
      <c r="K304" s="61"/>
      <c r="L304" s="61"/>
      <c r="M304" s="63"/>
      <c r="N304" s="64"/>
      <c r="O304" s="65"/>
      <c r="P304" s="65"/>
      <c r="Q304" s="66"/>
      <c r="R304" s="67"/>
    </row>
    <row r="305" spans="2:18" x14ac:dyDescent="0.25">
      <c r="B305" s="59"/>
      <c r="C305" s="60"/>
      <c r="D305" s="60"/>
      <c r="E305" s="60"/>
      <c r="F305" s="59"/>
      <c r="G305" s="59"/>
      <c r="H305" s="61"/>
      <c r="I305" s="61"/>
      <c r="J305" s="62"/>
      <c r="K305" s="61"/>
      <c r="L305" s="61"/>
      <c r="M305" s="63"/>
      <c r="N305" s="64"/>
      <c r="O305" s="65"/>
      <c r="P305" s="65"/>
      <c r="Q305" s="66"/>
      <c r="R305" s="67"/>
    </row>
    <row r="306" spans="2:18" x14ac:dyDescent="0.25">
      <c r="B306" s="59"/>
      <c r="C306" s="60"/>
      <c r="D306" s="60"/>
      <c r="E306" s="60"/>
      <c r="F306" s="59"/>
      <c r="G306" s="59"/>
      <c r="H306" s="61"/>
      <c r="I306" s="61"/>
      <c r="J306" s="62"/>
      <c r="K306" s="61"/>
      <c r="L306" s="61"/>
      <c r="M306" s="63"/>
      <c r="N306" s="64"/>
      <c r="O306" s="65"/>
      <c r="P306" s="65"/>
      <c r="Q306" s="66"/>
      <c r="R306" s="67"/>
    </row>
    <row r="307" spans="2:18" x14ac:dyDescent="0.25">
      <c r="B307" s="59"/>
      <c r="C307" s="60"/>
      <c r="D307" s="60"/>
      <c r="E307" s="60"/>
      <c r="F307" s="59"/>
      <c r="G307" s="59"/>
      <c r="H307" s="61"/>
      <c r="I307" s="61"/>
      <c r="J307" s="62"/>
      <c r="K307" s="61"/>
      <c r="L307" s="61"/>
      <c r="M307" s="63"/>
      <c r="N307" s="64"/>
      <c r="O307" s="65"/>
      <c r="P307" s="65"/>
      <c r="Q307" s="66"/>
      <c r="R307" s="67"/>
    </row>
    <row r="308" spans="2:18" x14ac:dyDescent="0.25">
      <c r="B308" s="59"/>
      <c r="C308" s="60"/>
      <c r="D308" s="60"/>
      <c r="E308" s="60"/>
      <c r="F308" s="59"/>
      <c r="G308" s="59"/>
      <c r="H308" s="61"/>
      <c r="I308" s="61"/>
      <c r="J308" s="62"/>
      <c r="K308" s="61"/>
      <c r="L308" s="61"/>
      <c r="M308" s="63"/>
      <c r="N308" s="64"/>
      <c r="O308" s="65"/>
      <c r="P308" s="65"/>
      <c r="Q308" s="66"/>
      <c r="R308" s="67"/>
    </row>
    <row r="309" spans="2:18" x14ac:dyDescent="0.25">
      <c r="B309" s="59"/>
      <c r="C309" s="60"/>
      <c r="D309" s="60"/>
      <c r="E309" s="60"/>
      <c r="F309" s="59"/>
      <c r="G309" s="59"/>
      <c r="H309" s="61"/>
      <c r="I309" s="61"/>
      <c r="J309" s="62"/>
      <c r="K309" s="61"/>
      <c r="L309" s="61"/>
      <c r="M309" s="63"/>
      <c r="N309" s="64"/>
      <c r="O309" s="65"/>
      <c r="P309" s="65"/>
      <c r="Q309" s="66"/>
      <c r="R309" s="67"/>
    </row>
    <row r="310" spans="2:18" x14ac:dyDescent="0.25">
      <c r="B310" s="59"/>
      <c r="C310" s="60"/>
      <c r="D310" s="60"/>
      <c r="E310" s="60"/>
      <c r="F310" s="59"/>
      <c r="G310" s="59"/>
      <c r="H310" s="61"/>
      <c r="I310" s="61"/>
      <c r="J310" s="62"/>
      <c r="K310" s="61"/>
      <c r="L310" s="61"/>
      <c r="M310" s="63"/>
      <c r="N310" s="64"/>
      <c r="O310" s="65"/>
      <c r="P310" s="65"/>
      <c r="Q310" s="66"/>
      <c r="R310" s="67"/>
    </row>
    <row r="311" spans="2:18" x14ac:dyDescent="0.25">
      <c r="B311" s="59"/>
      <c r="C311" s="60"/>
      <c r="D311" s="60"/>
      <c r="E311" s="60"/>
      <c r="F311" s="59"/>
      <c r="G311" s="59"/>
      <c r="H311" s="61"/>
      <c r="I311" s="61"/>
      <c r="J311" s="62"/>
      <c r="K311" s="61"/>
      <c r="L311" s="61"/>
      <c r="M311" s="63"/>
      <c r="N311" s="64"/>
      <c r="O311" s="65"/>
      <c r="P311" s="65"/>
      <c r="Q311" s="66"/>
      <c r="R311" s="67"/>
    </row>
    <row r="312" spans="2:18" x14ac:dyDescent="0.25">
      <c r="B312" s="59"/>
      <c r="C312" s="60"/>
      <c r="D312" s="60"/>
      <c r="E312" s="60"/>
      <c r="F312" s="59"/>
      <c r="G312" s="59"/>
      <c r="H312" s="61"/>
      <c r="I312" s="61"/>
      <c r="J312" s="62"/>
      <c r="K312" s="61"/>
      <c r="L312" s="61"/>
      <c r="M312" s="63"/>
      <c r="N312" s="64"/>
      <c r="O312" s="65"/>
      <c r="P312" s="65"/>
      <c r="Q312" s="66"/>
      <c r="R312" s="67"/>
    </row>
    <row r="313" spans="2:18" x14ac:dyDescent="0.25">
      <c r="B313" s="59"/>
      <c r="C313" s="60"/>
      <c r="D313" s="60"/>
      <c r="E313" s="60"/>
      <c r="F313" s="59"/>
      <c r="G313" s="59"/>
      <c r="H313" s="61"/>
      <c r="I313" s="61"/>
      <c r="J313" s="62"/>
      <c r="K313" s="61"/>
      <c r="L313" s="61"/>
      <c r="M313" s="63"/>
      <c r="N313" s="64"/>
      <c r="O313" s="65"/>
      <c r="P313" s="65"/>
      <c r="Q313" s="66"/>
      <c r="R313" s="67"/>
    </row>
    <row r="314" spans="2:18" x14ac:dyDescent="0.25">
      <c r="B314" s="59"/>
      <c r="C314" s="60"/>
      <c r="D314" s="60"/>
      <c r="E314" s="60"/>
      <c r="F314" s="59"/>
      <c r="G314" s="59"/>
      <c r="H314" s="61"/>
      <c r="I314" s="61"/>
      <c r="J314" s="62"/>
      <c r="K314" s="61"/>
      <c r="L314" s="61"/>
      <c r="M314" s="63"/>
      <c r="N314" s="64"/>
      <c r="O314" s="65"/>
      <c r="P314" s="65"/>
      <c r="Q314" s="66"/>
      <c r="R314" s="67"/>
    </row>
    <row r="315" spans="2:18" x14ac:dyDescent="0.25">
      <c r="B315" s="59"/>
      <c r="C315" s="60"/>
      <c r="D315" s="60"/>
      <c r="E315" s="60"/>
      <c r="F315" s="59"/>
      <c r="G315" s="59"/>
      <c r="H315" s="61"/>
      <c r="I315" s="61"/>
      <c r="J315" s="62"/>
      <c r="K315" s="61"/>
      <c r="L315" s="61"/>
      <c r="M315" s="63"/>
      <c r="N315" s="64"/>
      <c r="O315" s="65"/>
      <c r="P315" s="65"/>
      <c r="Q315" s="66"/>
      <c r="R315" s="67"/>
    </row>
    <row r="316" spans="2:18" x14ac:dyDescent="0.25">
      <c r="B316" s="59"/>
      <c r="C316" s="60"/>
      <c r="D316" s="60"/>
      <c r="E316" s="60"/>
      <c r="F316" s="59"/>
      <c r="G316" s="59"/>
      <c r="H316" s="61"/>
      <c r="I316" s="61"/>
      <c r="J316" s="62"/>
      <c r="K316" s="61"/>
      <c r="L316" s="61"/>
      <c r="M316" s="63"/>
      <c r="N316" s="64"/>
      <c r="O316" s="65"/>
      <c r="P316" s="65"/>
      <c r="Q316" s="66"/>
      <c r="R316" s="67"/>
    </row>
    <row r="317" spans="2:18" x14ac:dyDescent="0.25">
      <c r="B317" s="59"/>
      <c r="C317" s="60"/>
      <c r="D317" s="60"/>
      <c r="E317" s="60"/>
      <c r="F317" s="59"/>
      <c r="G317" s="59"/>
      <c r="H317" s="61"/>
      <c r="I317" s="61"/>
      <c r="J317" s="62"/>
      <c r="K317" s="61"/>
      <c r="L317" s="61"/>
      <c r="M317" s="63"/>
      <c r="N317" s="64"/>
      <c r="O317" s="65"/>
      <c r="P317" s="65"/>
      <c r="Q317" s="66"/>
      <c r="R317" s="67"/>
    </row>
    <row r="318" spans="2:18" x14ac:dyDescent="0.25">
      <c r="B318" s="59"/>
      <c r="C318" s="60"/>
      <c r="D318" s="60"/>
      <c r="E318" s="60"/>
      <c r="F318" s="59"/>
      <c r="G318" s="59"/>
      <c r="H318" s="61"/>
      <c r="I318" s="61"/>
      <c r="J318" s="62"/>
      <c r="K318" s="61"/>
      <c r="L318" s="61"/>
      <c r="M318" s="63"/>
      <c r="N318" s="64"/>
      <c r="O318" s="65"/>
      <c r="P318" s="65"/>
      <c r="Q318" s="66"/>
      <c r="R318" s="67"/>
    </row>
    <row r="319" spans="2:18" x14ac:dyDescent="0.25">
      <c r="B319" s="59"/>
      <c r="C319" s="60"/>
      <c r="D319" s="60"/>
      <c r="E319" s="60"/>
      <c r="F319" s="59"/>
      <c r="G319" s="59"/>
      <c r="H319" s="61"/>
      <c r="I319" s="61"/>
      <c r="J319" s="62"/>
      <c r="K319" s="61"/>
      <c r="L319" s="61"/>
      <c r="M319" s="63"/>
      <c r="N319" s="64"/>
      <c r="O319" s="65"/>
      <c r="P319" s="65"/>
      <c r="Q319" s="66"/>
      <c r="R319" s="67"/>
    </row>
    <row r="320" spans="2:18" x14ac:dyDescent="0.25">
      <c r="B320" s="59"/>
      <c r="C320" s="60"/>
      <c r="D320" s="60"/>
      <c r="E320" s="60"/>
      <c r="F320" s="59"/>
      <c r="G320" s="59"/>
      <c r="H320" s="61"/>
      <c r="I320" s="61"/>
      <c r="J320" s="62"/>
      <c r="K320" s="61"/>
      <c r="L320" s="61"/>
      <c r="M320" s="63"/>
      <c r="N320" s="64"/>
      <c r="O320" s="65"/>
      <c r="P320" s="65"/>
      <c r="Q320" s="66"/>
      <c r="R320" s="67"/>
    </row>
    <row r="321" spans="2:18" x14ac:dyDescent="0.25">
      <c r="B321" s="59"/>
      <c r="C321" s="60"/>
      <c r="D321" s="60"/>
      <c r="E321" s="60"/>
      <c r="F321" s="59"/>
      <c r="G321" s="59"/>
      <c r="H321" s="61"/>
      <c r="I321" s="61"/>
      <c r="J321" s="62"/>
      <c r="K321" s="61"/>
      <c r="L321" s="61"/>
      <c r="M321" s="63"/>
      <c r="N321" s="64"/>
      <c r="O321" s="65"/>
      <c r="P321" s="65"/>
      <c r="Q321" s="66"/>
      <c r="R321" s="67"/>
    </row>
    <row r="322" spans="2:18" x14ac:dyDescent="0.25">
      <c r="B322" s="59"/>
      <c r="C322" s="60"/>
      <c r="D322" s="60"/>
      <c r="E322" s="60"/>
      <c r="F322" s="59"/>
      <c r="G322" s="59"/>
      <c r="H322" s="61"/>
      <c r="I322" s="61"/>
      <c r="J322" s="62"/>
      <c r="K322" s="61"/>
      <c r="L322" s="61"/>
      <c r="M322" s="63"/>
      <c r="N322" s="64"/>
      <c r="O322" s="65"/>
      <c r="P322" s="65"/>
      <c r="Q322" s="66"/>
      <c r="R322" s="67"/>
    </row>
    <row r="323" spans="2:18" x14ac:dyDescent="0.25">
      <c r="B323" s="59"/>
      <c r="C323" s="60"/>
      <c r="D323" s="60"/>
      <c r="E323" s="60"/>
      <c r="F323" s="59"/>
      <c r="G323" s="59"/>
      <c r="H323" s="61"/>
      <c r="I323" s="61"/>
      <c r="J323" s="62"/>
      <c r="K323" s="61"/>
      <c r="L323" s="61"/>
      <c r="M323" s="63"/>
      <c r="N323" s="64"/>
      <c r="O323" s="65"/>
      <c r="P323" s="65"/>
      <c r="Q323" s="66"/>
      <c r="R323" s="67"/>
    </row>
    <row r="324" spans="2:18" x14ac:dyDescent="0.25">
      <c r="B324" s="59"/>
      <c r="C324" s="60"/>
      <c r="D324" s="60"/>
      <c r="E324" s="60"/>
      <c r="F324" s="59"/>
      <c r="G324" s="59"/>
      <c r="H324" s="61"/>
      <c r="I324" s="61"/>
      <c r="J324" s="62"/>
      <c r="K324" s="61"/>
      <c r="L324" s="61"/>
      <c r="M324" s="63"/>
      <c r="N324" s="64"/>
      <c r="O324" s="65"/>
      <c r="P324" s="65"/>
      <c r="Q324" s="66"/>
      <c r="R324" s="67"/>
    </row>
    <row r="325" spans="2:18" x14ac:dyDescent="0.25">
      <c r="B325" s="59"/>
      <c r="C325" s="60"/>
      <c r="D325" s="60"/>
      <c r="E325" s="60"/>
      <c r="F325" s="59"/>
      <c r="G325" s="59"/>
      <c r="H325" s="61"/>
      <c r="I325" s="61"/>
      <c r="J325" s="62"/>
      <c r="K325" s="61"/>
      <c r="L325" s="61"/>
      <c r="M325" s="63"/>
      <c r="N325" s="64"/>
      <c r="O325" s="65"/>
      <c r="P325" s="65"/>
      <c r="Q325" s="66"/>
      <c r="R325" s="67"/>
    </row>
    <row r="326" spans="2:18" x14ac:dyDescent="0.25">
      <c r="B326" s="59"/>
      <c r="C326" s="60"/>
      <c r="D326" s="60"/>
      <c r="E326" s="60"/>
      <c r="F326" s="59"/>
      <c r="G326" s="59"/>
      <c r="H326" s="61"/>
      <c r="I326" s="61"/>
      <c r="J326" s="62"/>
      <c r="K326" s="61"/>
      <c r="L326" s="61"/>
      <c r="M326" s="63"/>
      <c r="N326" s="64"/>
      <c r="O326" s="65"/>
      <c r="P326" s="65"/>
      <c r="Q326" s="66"/>
      <c r="R326" s="67"/>
    </row>
    <row r="327" spans="2:18" x14ac:dyDescent="0.25">
      <c r="B327" s="59"/>
      <c r="C327" s="60"/>
      <c r="D327" s="60"/>
      <c r="E327" s="60"/>
      <c r="F327" s="59"/>
      <c r="G327" s="59"/>
      <c r="H327" s="61"/>
      <c r="I327" s="61"/>
      <c r="J327" s="62"/>
      <c r="K327" s="61"/>
      <c r="L327" s="61"/>
      <c r="M327" s="63"/>
      <c r="N327" s="64"/>
      <c r="O327" s="65"/>
      <c r="P327" s="65"/>
      <c r="Q327" s="66"/>
      <c r="R327" s="67"/>
    </row>
    <row r="328" spans="2:18" x14ac:dyDescent="0.25">
      <c r="B328" s="59"/>
      <c r="C328" s="60"/>
      <c r="D328" s="60"/>
      <c r="E328" s="60"/>
      <c r="F328" s="59"/>
      <c r="G328" s="59"/>
      <c r="H328" s="61"/>
      <c r="I328" s="61"/>
      <c r="J328" s="62"/>
      <c r="K328" s="61"/>
      <c r="L328" s="61"/>
      <c r="M328" s="63"/>
      <c r="N328" s="64"/>
      <c r="O328" s="65"/>
      <c r="P328" s="65"/>
      <c r="Q328" s="66"/>
      <c r="R328" s="67"/>
    </row>
    <row r="329" spans="2:18" x14ac:dyDescent="0.25">
      <c r="B329" s="59"/>
      <c r="C329" s="60"/>
      <c r="D329" s="60"/>
      <c r="E329" s="60"/>
      <c r="F329" s="59"/>
      <c r="G329" s="59"/>
      <c r="H329" s="61"/>
      <c r="I329" s="61"/>
      <c r="J329" s="62"/>
      <c r="K329" s="61"/>
      <c r="L329" s="61"/>
      <c r="M329" s="63"/>
      <c r="N329" s="64"/>
      <c r="O329" s="65"/>
      <c r="P329" s="65"/>
      <c r="Q329" s="66"/>
      <c r="R329" s="67"/>
    </row>
    <row r="330" spans="2:18" x14ac:dyDescent="0.25">
      <c r="B330" s="59"/>
      <c r="C330" s="60"/>
      <c r="D330" s="60"/>
      <c r="E330" s="60"/>
      <c r="F330" s="59"/>
      <c r="G330" s="59"/>
      <c r="H330" s="61"/>
      <c r="I330" s="61"/>
      <c r="J330" s="62"/>
      <c r="K330" s="61"/>
      <c r="L330" s="61"/>
      <c r="M330" s="63"/>
      <c r="N330" s="64"/>
      <c r="O330" s="65"/>
      <c r="P330" s="65"/>
      <c r="Q330" s="66"/>
      <c r="R330" s="67"/>
    </row>
    <row r="331" spans="2:18" x14ac:dyDescent="0.25">
      <c r="B331" s="59"/>
      <c r="C331" s="60"/>
      <c r="D331" s="60"/>
      <c r="E331" s="60"/>
      <c r="F331" s="59"/>
      <c r="G331" s="59"/>
      <c r="H331" s="61"/>
      <c r="I331" s="61"/>
      <c r="J331" s="62"/>
      <c r="K331" s="61"/>
      <c r="L331" s="61"/>
      <c r="M331" s="63"/>
      <c r="N331" s="64"/>
      <c r="O331" s="65"/>
      <c r="P331" s="65"/>
      <c r="Q331" s="66"/>
      <c r="R331" s="67"/>
    </row>
    <row r="332" spans="2:18" x14ac:dyDescent="0.25">
      <c r="B332" s="59"/>
      <c r="C332" s="60"/>
      <c r="D332" s="60"/>
      <c r="E332" s="60"/>
      <c r="F332" s="59"/>
      <c r="G332" s="59"/>
      <c r="H332" s="61"/>
      <c r="I332" s="61"/>
      <c r="J332" s="62"/>
      <c r="K332" s="61"/>
      <c r="L332" s="61"/>
      <c r="M332" s="63"/>
      <c r="N332" s="64"/>
      <c r="O332" s="65"/>
      <c r="P332" s="65"/>
      <c r="Q332" s="66"/>
      <c r="R332" s="67"/>
    </row>
    <row r="333" spans="2:18" x14ac:dyDescent="0.25">
      <c r="B333" s="59"/>
      <c r="C333" s="60"/>
      <c r="D333" s="60"/>
      <c r="E333" s="60"/>
      <c r="F333" s="59"/>
      <c r="G333" s="59"/>
      <c r="H333" s="61"/>
      <c r="I333" s="61"/>
      <c r="J333" s="62"/>
      <c r="K333" s="61"/>
      <c r="L333" s="61"/>
      <c r="M333" s="63"/>
      <c r="N333" s="64"/>
      <c r="O333" s="65"/>
      <c r="P333" s="65"/>
      <c r="Q333" s="66"/>
      <c r="R333" s="67"/>
    </row>
    <row r="334" spans="2:18" x14ac:dyDescent="0.25">
      <c r="B334" s="59"/>
      <c r="C334" s="60"/>
      <c r="D334" s="60"/>
      <c r="E334" s="60"/>
      <c r="F334" s="59"/>
      <c r="G334" s="59"/>
      <c r="H334" s="61"/>
      <c r="I334" s="61"/>
      <c r="J334" s="62"/>
      <c r="K334" s="61"/>
      <c r="L334" s="61"/>
      <c r="M334" s="63"/>
      <c r="N334" s="64"/>
      <c r="O334" s="65"/>
      <c r="P334" s="65"/>
      <c r="Q334" s="66"/>
      <c r="R334" s="67"/>
    </row>
    <row r="335" spans="2:18" x14ac:dyDescent="0.25">
      <c r="B335" s="59"/>
      <c r="C335" s="60"/>
      <c r="D335" s="60"/>
      <c r="E335" s="60"/>
      <c r="F335" s="59"/>
      <c r="G335" s="59"/>
      <c r="H335" s="61"/>
      <c r="I335" s="61"/>
      <c r="J335" s="62"/>
      <c r="K335" s="61"/>
      <c r="L335" s="61"/>
      <c r="M335" s="63"/>
      <c r="N335" s="64"/>
      <c r="O335" s="65"/>
      <c r="P335" s="65"/>
      <c r="Q335" s="66"/>
      <c r="R335" s="67"/>
    </row>
    <row r="336" spans="2:18" x14ac:dyDescent="0.25">
      <c r="B336" s="59"/>
      <c r="C336" s="60"/>
      <c r="D336" s="60"/>
      <c r="E336" s="60"/>
      <c r="F336" s="59"/>
      <c r="G336" s="59"/>
      <c r="H336" s="61"/>
      <c r="I336" s="61"/>
      <c r="J336" s="62"/>
      <c r="K336" s="61"/>
      <c r="L336" s="61"/>
      <c r="M336" s="63"/>
      <c r="N336" s="64"/>
      <c r="O336" s="65"/>
      <c r="P336" s="65"/>
      <c r="Q336" s="66"/>
      <c r="R336" s="67"/>
    </row>
    <row r="337" spans="2:18" x14ac:dyDescent="0.25">
      <c r="B337" s="59"/>
      <c r="C337" s="60"/>
      <c r="D337" s="60"/>
      <c r="E337" s="60"/>
      <c r="F337" s="59"/>
      <c r="G337" s="59"/>
      <c r="H337" s="61"/>
      <c r="I337" s="61"/>
      <c r="J337" s="62"/>
      <c r="K337" s="61"/>
      <c r="L337" s="61"/>
      <c r="M337" s="63"/>
      <c r="N337" s="64"/>
      <c r="O337" s="65"/>
      <c r="P337" s="65"/>
      <c r="Q337" s="66"/>
      <c r="R337" s="67"/>
    </row>
    <row r="338" spans="2:18" x14ac:dyDescent="0.25">
      <c r="B338" s="59"/>
      <c r="C338" s="60"/>
      <c r="D338" s="60"/>
      <c r="E338" s="60"/>
      <c r="F338" s="59"/>
      <c r="G338" s="59"/>
      <c r="H338" s="61"/>
      <c r="I338" s="61"/>
      <c r="J338" s="62"/>
      <c r="K338" s="61"/>
      <c r="L338" s="61"/>
      <c r="M338" s="63"/>
      <c r="N338" s="64"/>
      <c r="O338" s="65"/>
      <c r="P338" s="65"/>
      <c r="Q338" s="66"/>
      <c r="R338" s="67"/>
    </row>
    <row r="339" spans="2:18" x14ac:dyDescent="0.25">
      <c r="B339" s="59"/>
      <c r="C339" s="60"/>
      <c r="D339" s="60"/>
      <c r="E339" s="60"/>
      <c r="F339" s="59"/>
      <c r="G339" s="59"/>
      <c r="H339" s="61"/>
      <c r="I339" s="61"/>
      <c r="J339" s="62"/>
      <c r="K339" s="61"/>
      <c r="L339" s="61"/>
      <c r="M339" s="63"/>
      <c r="N339" s="64"/>
      <c r="O339" s="65"/>
      <c r="P339" s="65"/>
      <c r="Q339" s="66"/>
      <c r="R339" s="67"/>
    </row>
    <row r="340" spans="2:18" x14ac:dyDescent="0.25">
      <c r="B340" s="59"/>
      <c r="C340" s="60"/>
      <c r="D340" s="60"/>
      <c r="E340" s="60"/>
      <c r="F340" s="59"/>
      <c r="G340" s="59"/>
      <c r="H340" s="61"/>
      <c r="I340" s="61"/>
      <c r="J340" s="62"/>
      <c r="K340" s="61"/>
      <c r="L340" s="61"/>
      <c r="M340" s="63"/>
      <c r="N340" s="64"/>
      <c r="O340" s="65"/>
      <c r="P340" s="65"/>
      <c r="Q340" s="66"/>
      <c r="R340" s="67"/>
    </row>
    <row r="341" spans="2:18" x14ac:dyDescent="0.25">
      <c r="B341" s="59"/>
      <c r="C341" s="60"/>
      <c r="D341" s="60"/>
      <c r="E341" s="60"/>
      <c r="F341" s="59"/>
      <c r="G341" s="59"/>
      <c r="H341" s="61"/>
      <c r="I341" s="61"/>
      <c r="J341" s="62"/>
      <c r="K341" s="61"/>
      <c r="L341" s="61"/>
      <c r="M341" s="63"/>
      <c r="N341" s="64"/>
      <c r="O341" s="65"/>
      <c r="P341" s="65"/>
      <c r="Q341" s="66"/>
      <c r="R341" s="67"/>
    </row>
    <row r="342" spans="2:18" x14ac:dyDescent="0.25">
      <c r="B342" s="59"/>
      <c r="C342" s="60"/>
      <c r="D342" s="60"/>
      <c r="E342" s="60"/>
      <c r="F342" s="59"/>
      <c r="G342" s="59"/>
      <c r="H342" s="61"/>
      <c r="I342" s="61"/>
      <c r="J342" s="62"/>
      <c r="K342" s="61"/>
      <c r="L342" s="61"/>
      <c r="M342" s="63"/>
      <c r="N342" s="64"/>
      <c r="O342" s="65"/>
      <c r="P342" s="65"/>
      <c r="Q342" s="66"/>
      <c r="R342" s="67"/>
    </row>
    <row r="343" spans="2:18" x14ac:dyDescent="0.25">
      <c r="B343" s="59"/>
      <c r="C343" s="60"/>
      <c r="D343" s="60"/>
      <c r="E343" s="60"/>
      <c r="F343" s="59"/>
      <c r="G343" s="59"/>
      <c r="H343" s="61"/>
      <c r="I343" s="61"/>
      <c r="J343" s="62"/>
      <c r="K343" s="61"/>
      <c r="L343" s="61"/>
      <c r="M343" s="63"/>
      <c r="N343" s="64"/>
      <c r="O343" s="65"/>
      <c r="P343" s="65"/>
      <c r="Q343" s="66"/>
      <c r="R343" s="67"/>
    </row>
    <row r="344" spans="2:18" x14ac:dyDescent="0.25">
      <c r="B344" s="59"/>
      <c r="C344" s="60"/>
      <c r="D344" s="60"/>
      <c r="E344" s="60"/>
      <c r="F344" s="59"/>
      <c r="G344" s="59"/>
      <c r="H344" s="61"/>
      <c r="I344" s="61"/>
      <c r="J344" s="62"/>
      <c r="K344" s="61"/>
      <c r="L344" s="61"/>
      <c r="M344" s="63"/>
      <c r="N344" s="64"/>
      <c r="O344" s="65"/>
      <c r="P344" s="65"/>
      <c r="Q344" s="66"/>
      <c r="R344" s="67"/>
    </row>
    <row r="345" spans="2:18" x14ac:dyDescent="0.25">
      <c r="B345" s="59"/>
      <c r="C345" s="60"/>
      <c r="D345" s="60"/>
      <c r="E345" s="60"/>
      <c r="F345" s="59"/>
      <c r="G345" s="59"/>
      <c r="H345" s="61"/>
      <c r="I345" s="61"/>
      <c r="J345" s="62"/>
      <c r="K345" s="61"/>
      <c r="L345" s="61"/>
      <c r="M345" s="63"/>
      <c r="N345" s="64"/>
      <c r="O345" s="65"/>
      <c r="P345" s="65"/>
      <c r="Q345" s="66"/>
      <c r="R345" s="67"/>
    </row>
    <row r="346" spans="2:18" x14ac:dyDescent="0.25">
      <c r="B346" s="59"/>
      <c r="C346" s="60"/>
      <c r="D346" s="60"/>
      <c r="E346" s="60"/>
      <c r="F346" s="59"/>
      <c r="G346" s="59"/>
      <c r="H346" s="61"/>
      <c r="I346" s="61"/>
      <c r="J346" s="62"/>
      <c r="K346" s="61"/>
      <c r="L346" s="61"/>
      <c r="M346" s="63"/>
      <c r="N346" s="64"/>
      <c r="O346" s="65"/>
      <c r="P346" s="65"/>
      <c r="Q346" s="66"/>
      <c r="R346" s="67"/>
    </row>
    <row r="347" spans="2:18" x14ac:dyDescent="0.25">
      <c r="B347" s="59"/>
      <c r="C347" s="60"/>
      <c r="D347" s="60"/>
      <c r="E347" s="60"/>
      <c r="F347" s="59"/>
      <c r="G347" s="59"/>
      <c r="H347" s="61"/>
      <c r="I347" s="61"/>
      <c r="J347" s="62"/>
      <c r="K347" s="61"/>
      <c r="L347" s="61"/>
      <c r="M347" s="63"/>
      <c r="N347" s="64"/>
      <c r="O347" s="65"/>
      <c r="P347" s="65"/>
      <c r="Q347" s="66"/>
      <c r="R347" s="67"/>
    </row>
    <row r="348" spans="2:18" x14ac:dyDescent="0.25">
      <c r="B348" s="59"/>
      <c r="C348" s="60"/>
      <c r="D348" s="60"/>
      <c r="E348" s="60"/>
      <c r="F348" s="59"/>
      <c r="G348" s="59"/>
      <c r="H348" s="61"/>
      <c r="I348" s="61"/>
      <c r="J348" s="62"/>
      <c r="K348" s="61"/>
      <c r="L348" s="61"/>
      <c r="M348" s="63"/>
      <c r="N348" s="64"/>
      <c r="O348" s="65"/>
      <c r="P348" s="65"/>
      <c r="Q348" s="66"/>
      <c r="R348" s="67"/>
    </row>
    <row r="349" spans="2:18" x14ac:dyDescent="0.25">
      <c r="B349" s="59"/>
      <c r="C349" s="60"/>
      <c r="D349" s="60"/>
      <c r="E349" s="60"/>
      <c r="F349" s="59"/>
      <c r="G349" s="59"/>
      <c r="H349" s="61"/>
      <c r="I349" s="61"/>
      <c r="J349" s="62"/>
      <c r="K349" s="61"/>
      <c r="L349" s="61"/>
      <c r="M349" s="63"/>
      <c r="N349" s="64"/>
      <c r="O349" s="65"/>
      <c r="P349" s="65"/>
      <c r="Q349" s="66"/>
      <c r="R349" s="67"/>
    </row>
    <row r="350" spans="2:18" x14ac:dyDescent="0.25">
      <c r="B350" s="59"/>
      <c r="C350" s="60"/>
      <c r="D350" s="60"/>
      <c r="E350" s="60"/>
      <c r="F350" s="59"/>
      <c r="G350" s="59"/>
      <c r="H350" s="61"/>
      <c r="I350" s="61"/>
      <c r="J350" s="62"/>
      <c r="K350" s="61"/>
      <c r="L350" s="61"/>
      <c r="M350" s="63"/>
      <c r="N350" s="64"/>
      <c r="O350" s="65"/>
      <c r="P350" s="65"/>
      <c r="Q350" s="66"/>
      <c r="R350" s="67"/>
    </row>
    <row r="351" spans="2:18" x14ac:dyDescent="0.25">
      <c r="B351" s="59"/>
      <c r="C351" s="60"/>
      <c r="D351" s="60"/>
      <c r="E351" s="60"/>
      <c r="F351" s="59"/>
      <c r="G351" s="59"/>
      <c r="H351" s="61"/>
      <c r="I351" s="61"/>
      <c r="J351" s="62"/>
      <c r="K351" s="61"/>
      <c r="L351" s="61"/>
      <c r="M351" s="63"/>
      <c r="N351" s="64"/>
      <c r="O351" s="65"/>
      <c r="P351" s="65"/>
      <c r="Q351" s="66"/>
      <c r="R351" s="67"/>
    </row>
    <row r="352" spans="2:18" x14ac:dyDescent="0.25">
      <c r="B352" s="59"/>
      <c r="C352" s="60"/>
      <c r="D352" s="60"/>
      <c r="E352" s="60"/>
      <c r="F352" s="59"/>
      <c r="G352" s="59"/>
      <c r="H352" s="61"/>
      <c r="I352" s="61"/>
      <c r="J352" s="62"/>
      <c r="K352" s="61"/>
      <c r="L352" s="61"/>
      <c r="M352" s="63"/>
      <c r="N352" s="64"/>
      <c r="O352" s="65"/>
      <c r="P352" s="65"/>
      <c r="Q352" s="66"/>
      <c r="R352" s="67"/>
    </row>
    <row r="353" spans="2:18" x14ac:dyDescent="0.25">
      <c r="B353" s="59"/>
      <c r="C353" s="60"/>
      <c r="D353" s="60"/>
      <c r="E353" s="60"/>
      <c r="F353" s="59"/>
      <c r="G353" s="59"/>
      <c r="H353" s="61"/>
      <c r="I353" s="61"/>
      <c r="J353" s="62"/>
      <c r="K353" s="61"/>
      <c r="L353" s="61"/>
      <c r="M353" s="63"/>
      <c r="N353" s="64"/>
      <c r="O353" s="65"/>
      <c r="P353" s="65"/>
      <c r="Q353" s="66"/>
      <c r="R353" s="67"/>
    </row>
    <row r="354" spans="2:18" x14ac:dyDescent="0.25">
      <c r="B354" s="59"/>
      <c r="C354" s="60"/>
      <c r="D354" s="60"/>
      <c r="E354" s="60"/>
      <c r="F354" s="59"/>
      <c r="G354" s="59"/>
      <c r="H354" s="61"/>
      <c r="I354" s="61"/>
      <c r="J354" s="62"/>
      <c r="K354" s="61"/>
      <c r="L354" s="61"/>
      <c r="M354" s="63"/>
      <c r="N354" s="64"/>
      <c r="O354" s="65"/>
      <c r="P354" s="65"/>
      <c r="Q354" s="66"/>
      <c r="R354" s="67"/>
    </row>
    <row r="355" spans="2:18" x14ac:dyDescent="0.25">
      <c r="B355" s="59"/>
      <c r="C355" s="60"/>
      <c r="D355" s="60"/>
      <c r="E355" s="60"/>
      <c r="F355" s="59"/>
      <c r="G355" s="59"/>
      <c r="H355" s="61"/>
      <c r="I355" s="61"/>
      <c r="J355" s="62"/>
      <c r="K355" s="61"/>
      <c r="L355" s="61"/>
      <c r="M355" s="63"/>
      <c r="N355" s="64"/>
      <c r="O355" s="65"/>
      <c r="P355" s="65"/>
      <c r="Q355" s="66"/>
      <c r="R355" s="67"/>
    </row>
    <row r="356" spans="2:18" x14ac:dyDescent="0.25">
      <c r="B356" s="59"/>
      <c r="C356" s="60"/>
      <c r="D356" s="60"/>
      <c r="E356" s="60"/>
      <c r="F356" s="59"/>
      <c r="G356" s="59"/>
      <c r="H356" s="61"/>
      <c r="I356" s="61"/>
      <c r="J356" s="62"/>
      <c r="K356" s="61"/>
      <c r="L356" s="61"/>
      <c r="M356" s="63"/>
      <c r="N356" s="64"/>
      <c r="O356" s="65"/>
      <c r="P356" s="65"/>
      <c r="Q356" s="66"/>
      <c r="R356" s="67"/>
    </row>
    <row r="357" spans="2:18" x14ac:dyDescent="0.25">
      <c r="B357" s="59"/>
      <c r="C357" s="60"/>
      <c r="D357" s="60"/>
      <c r="E357" s="60"/>
      <c r="F357" s="59"/>
      <c r="G357" s="59"/>
      <c r="H357" s="61"/>
      <c r="I357" s="61"/>
      <c r="J357" s="62"/>
      <c r="K357" s="61"/>
      <c r="L357" s="61"/>
      <c r="M357" s="63"/>
      <c r="N357" s="64"/>
      <c r="O357" s="65"/>
      <c r="P357" s="65"/>
      <c r="Q357" s="66"/>
      <c r="R357" s="67"/>
    </row>
    <row r="358" spans="2:18" x14ac:dyDescent="0.25">
      <c r="B358" s="59"/>
      <c r="C358" s="60"/>
      <c r="D358" s="60"/>
      <c r="E358" s="60"/>
      <c r="F358" s="59"/>
      <c r="G358" s="59"/>
      <c r="H358" s="61"/>
      <c r="I358" s="61"/>
      <c r="J358" s="62"/>
      <c r="K358" s="61"/>
      <c r="L358" s="61"/>
      <c r="M358" s="63"/>
      <c r="N358" s="64"/>
      <c r="O358" s="65"/>
      <c r="P358" s="65"/>
      <c r="Q358" s="66"/>
      <c r="R358" s="67"/>
    </row>
    <row r="359" spans="2:18" x14ac:dyDescent="0.25">
      <c r="B359" s="59"/>
      <c r="C359" s="60"/>
      <c r="D359" s="60"/>
      <c r="E359" s="60"/>
      <c r="F359" s="59"/>
      <c r="G359" s="59"/>
      <c r="H359" s="61"/>
      <c r="I359" s="61"/>
      <c r="J359" s="62"/>
      <c r="K359" s="61"/>
      <c r="L359" s="61"/>
      <c r="M359" s="63"/>
      <c r="N359" s="64"/>
      <c r="O359" s="65"/>
      <c r="P359" s="65"/>
      <c r="Q359" s="66"/>
      <c r="R359" s="67"/>
    </row>
    <row r="360" spans="2:18" x14ac:dyDescent="0.25">
      <c r="B360" s="59"/>
      <c r="C360" s="60"/>
      <c r="D360" s="60"/>
      <c r="E360" s="60"/>
      <c r="F360" s="59"/>
      <c r="G360" s="59"/>
      <c r="H360" s="61"/>
      <c r="I360" s="61"/>
      <c r="J360" s="62"/>
      <c r="K360" s="61"/>
      <c r="L360" s="61"/>
      <c r="M360" s="63"/>
      <c r="N360" s="64"/>
      <c r="O360" s="65"/>
      <c r="P360" s="65"/>
      <c r="Q360" s="66"/>
      <c r="R360" s="67"/>
    </row>
    <row r="361" spans="2:18" x14ac:dyDescent="0.25">
      <c r="B361" s="59"/>
      <c r="C361" s="60"/>
      <c r="D361" s="60"/>
      <c r="E361" s="60"/>
      <c r="F361" s="59"/>
      <c r="G361" s="59"/>
      <c r="H361" s="61"/>
      <c r="I361" s="61"/>
      <c r="J361" s="62"/>
      <c r="K361" s="61"/>
      <c r="L361" s="61"/>
      <c r="M361" s="63"/>
      <c r="N361" s="64"/>
      <c r="O361" s="65"/>
      <c r="P361" s="65"/>
      <c r="Q361" s="66"/>
      <c r="R361" s="67"/>
    </row>
    <row r="362" spans="2:18" x14ac:dyDescent="0.25">
      <c r="B362" s="59"/>
      <c r="C362" s="60"/>
      <c r="D362" s="60"/>
      <c r="E362" s="60"/>
      <c r="F362" s="59"/>
      <c r="G362" s="59"/>
      <c r="H362" s="61"/>
      <c r="I362" s="61"/>
      <c r="J362" s="62"/>
      <c r="K362" s="61"/>
      <c r="L362" s="61"/>
      <c r="M362" s="63"/>
      <c r="N362" s="64"/>
      <c r="O362" s="65"/>
      <c r="P362" s="65"/>
      <c r="Q362" s="66"/>
      <c r="R362" s="67"/>
    </row>
    <row r="363" spans="2:18" x14ac:dyDescent="0.25">
      <c r="B363" s="59"/>
      <c r="C363" s="60"/>
      <c r="D363" s="60"/>
      <c r="E363" s="60"/>
      <c r="F363" s="59"/>
      <c r="G363" s="59"/>
      <c r="H363" s="61"/>
      <c r="I363" s="61"/>
      <c r="J363" s="62"/>
      <c r="K363" s="61"/>
      <c r="L363" s="61"/>
      <c r="M363" s="63"/>
      <c r="N363" s="64"/>
      <c r="O363" s="65"/>
      <c r="P363" s="65"/>
      <c r="Q363" s="66"/>
      <c r="R363" s="67"/>
    </row>
    <row r="364" spans="2:18" x14ac:dyDescent="0.25">
      <c r="B364" s="59"/>
      <c r="C364" s="60"/>
      <c r="D364" s="60"/>
      <c r="E364" s="60"/>
      <c r="F364" s="59"/>
      <c r="G364" s="59"/>
      <c r="H364" s="61"/>
      <c r="I364" s="61"/>
      <c r="J364" s="62"/>
      <c r="K364" s="61"/>
      <c r="L364" s="61"/>
      <c r="M364" s="63"/>
      <c r="N364" s="64"/>
      <c r="O364" s="65"/>
      <c r="P364" s="65"/>
      <c r="Q364" s="66"/>
      <c r="R364" s="67"/>
    </row>
    <row r="365" spans="2:18" x14ac:dyDescent="0.25">
      <c r="B365" s="59"/>
      <c r="C365" s="60"/>
      <c r="D365" s="60"/>
      <c r="E365" s="60"/>
      <c r="F365" s="59"/>
      <c r="G365" s="59"/>
      <c r="H365" s="61"/>
      <c r="I365" s="61"/>
      <c r="J365" s="62"/>
      <c r="K365" s="61"/>
      <c r="L365" s="61"/>
      <c r="M365" s="63"/>
      <c r="N365" s="64"/>
      <c r="O365" s="65"/>
      <c r="P365" s="65"/>
      <c r="Q365" s="66"/>
      <c r="R365" s="67"/>
    </row>
    <row r="366" spans="2:18" x14ac:dyDescent="0.25">
      <c r="B366" s="59"/>
      <c r="C366" s="60"/>
      <c r="D366" s="60"/>
      <c r="E366" s="60"/>
      <c r="F366" s="59"/>
      <c r="G366" s="59"/>
      <c r="H366" s="61"/>
      <c r="I366" s="61"/>
      <c r="J366" s="62"/>
      <c r="K366" s="61"/>
      <c r="L366" s="61"/>
      <c r="M366" s="63"/>
      <c r="N366" s="64"/>
      <c r="O366" s="65"/>
      <c r="P366" s="65"/>
      <c r="Q366" s="66"/>
      <c r="R366" s="67"/>
    </row>
    <row r="367" spans="2:18" x14ac:dyDescent="0.25">
      <c r="B367" s="59"/>
      <c r="C367" s="60"/>
      <c r="D367" s="60"/>
      <c r="E367" s="60"/>
      <c r="F367" s="59"/>
      <c r="G367" s="59"/>
      <c r="H367" s="61"/>
      <c r="I367" s="61"/>
      <c r="J367" s="62"/>
      <c r="K367" s="61"/>
      <c r="L367" s="61"/>
      <c r="M367" s="63"/>
      <c r="N367" s="64"/>
      <c r="O367" s="65"/>
      <c r="P367" s="65"/>
      <c r="Q367" s="66"/>
      <c r="R367" s="67"/>
    </row>
    <row r="368" spans="2:18" x14ac:dyDescent="0.25">
      <c r="B368" s="59"/>
      <c r="C368" s="60"/>
      <c r="D368" s="60"/>
      <c r="E368" s="60"/>
      <c r="F368" s="59"/>
      <c r="G368" s="59"/>
      <c r="H368" s="61"/>
      <c r="I368" s="61"/>
      <c r="J368" s="62"/>
      <c r="K368" s="61"/>
      <c r="L368" s="61"/>
      <c r="M368" s="63"/>
      <c r="N368" s="64"/>
      <c r="O368" s="65"/>
      <c r="P368" s="65"/>
      <c r="Q368" s="66"/>
      <c r="R368" s="67"/>
    </row>
    <row r="369" spans="2:18" x14ac:dyDescent="0.25">
      <c r="B369" s="59"/>
      <c r="C369" s="60"/>
      <c r="D369" s="60"/>
      <c r="E369" s="60"/>
      <c r="F369" s="59"/>
      <c r="G369" s="59"/>
      <c r="H369" s="61"/>
      <c r="I369" s="61"/>
      <c r="J369" s="62"/>
      <c r="K369" s="61"/>
      <c r="L369" s="61"/>
      <c r="M369" s="63"/>
      <c r="N369" s="64"/>
      <c r="O369" s="65"/>
      <c r="P369" s="65"/>
      <c r="Q369" s="66"/>
      <c r="R369" s="67"/>
    </row>
    <row r="370" spans="2:18" x14ac:dyDescent="0.25">
      <c r="B370" s="59"/>
      <c r="C370" s="60"/>
      <c r="D370" s="60"/>
      <c r="E370" s="60"/>
      <c r="F370" s="59"/>
      <c r="G370" s="59"/>
      <c r="H370" s="61"/>
      <c r="I370" s="61"/>
      <c r="J370" s="62"/>
      <c r="K370" s="61"/>
      <c r="L370" s="61"/>
      <c r="M370" s="63"/>
      <c r="N370" s="64"/>
      <c r="O370" s="65"/>
      <c r="P370" s="65"/>
      <c r="Q370" s="66"/>
      <c r="R370" s="67"/>
    </row>
    <row r="371" spans="2:18" x14ac:dyDescent="0.25">
      <c r="B371" s="59"/>
      <c r="C371" s="60"/>
      <c r="D371" s="60"/>
      <c r="E371" s="60"/>
      <c r="F371" s="59"/>
      <c r="G371" s="59"/>
      <c r="H371" s="61"/>
      <c r="I371" s="61"/>
      <c r="J371" s="62"/>
      <c r="K371" s="61"/>
      <c r="L371" s="61"/>
      <c r="M371" s="63"/>
      <c r="N371" s="64"/>
      <c r="O371" s="65"/>
      <c r="P371" s="65"/>
      <c r="Q371" s="66"/>
      <c r="R371" s="67"/>
    </row>
    <row r="372" spans="2:18" x14ac:dyDescent="0.25">
      <c r="B372" s="59"/>
      <c r="C372" s="60"/>
      <c r="D372" s="60"/>
      <c r="E372" s="60"/>
      <c r="F372" s="59"/>
      <c r="G372" s="59"/>
      <c r="H372" s="61"/>
      <c r="I372" s="61"/>
      <c r="J372" s="62"/>
      <c r="K372" s="61"/>
      <c r="L372" s="61"/>
      <c r="M372" s="63"/>
      <c r="N372" s="64"/>
      <c r="O372" s="65"/>
      <c r="P372" s="65"/>
      <c r="Q372" s="66"/>
      <c r="R372" s="67"/>
    </row>
    <row r="373" spans="2:18" x14ac:dyDescent="0.25">
      <c r="B373" s="59"/>
      <c r="C373" s="60"/>
      <c r="D373" s="60"/>
      <c r="E373" s="60"/>
      <c r="F373" s="59"/>
      <c r="G373" s="59"/>
      <c r="H373" s="61"/>
      <c r="I373" s="61"/>
      <c r="J373" s="62"/>
      <c r="K373" s="61"/>
      <c r="L373" s="61"/>
      <c r="M373" s="63"/>
      <c r="N373" s="64"/>
      <c r="O373" s="65"/>
      <c r="P373" s="65"/>
      <c r="Q373" s="66"/>
      <c r="R373" s="67"/>
    </row>
    <row r="374" spans="2:18" x14ac:dyDescent="0.25">
      <c r="B374" s="59"/>
      <c r="C374" s="60"/>
      <c r="D374" s="60"/>
      <c r="E374" s="60"/>
      <c r="F374" s="59"/>
      <c r="G374" s="59"/>
      <c r="H374" s="61"/>
      <c r="I374" s="61"/>
      <c r="J374" s="62"/>
      <c r="K374" s="61"/>
      <c r="L374" s="61"/>
      <c r="M374" s="63"/>
      <c r="N374" s="64"/>
      <c r="O374" s="65"/>
      <c r="P374" s="65"/>
      <c r="Q374" s="66"/>
      <c r="R374" s="67"/>
    </row>
    <row r="375" spans="2:18" x14ac:dyDescent="0.25">
      <c r="B375" s="59"/>
      <c r="C375" s="60"/>
      <c r="D375" s="60"/>
      <c r="E375" s="60"/>
      <c r="F375" s="59"/>
      <c r="G375" s="59"/>
      <c r="H375" s="61"/>
      <c r="I375" s="61"/>
      <c r="J375" s="62"/>
      <c r="K375" s="61"/>
      <c r="L375" s="61"/>
      <c r="M375" s="63"/>
      <c r="N375" s="64"/>
      <c r="O375" s="65"/>
      <c r="P375" s="65"/>
      <c r="Q375" s="66"/>
      <c r="R375" s="67"/>
    </row>
    <row r="376" spans="2:18" x14ac:dyDescent="0.25">
      <c r="B376" s="59"/>
      <c r="C376" s="60"/>
      <c r="D376" s="60"/>
      <c r="E376" s="60"/>
      <c r="F376" s="59"/>
      <c r="G376" s="59"/>
      <c r="H376" s="61"/>
      <c r="I376" s="61"/>
      <c r="J376" s="62"/>
      <c r="K376" s="61"/>
      <c r="L376" s="61"/>
      <c r="M376" s="63"/>
      <c r="N376" s="64"/>
      <c r="O376" s="65"/>
      <c r="P376" s="65"/>
      <c r="Q376" s="66"/>
      <c r="R376" s="67"/>
    </row>
    <row r="377" spans="2:18" x14ac:dyDescent="0.25">
      <c r="B377" s="59"/>
      <c r="C377" s="60"/>
      <c r="D377" s="60"/>
      <c r="E377" s="60"/>
      <c r="F377" s="59"/>
      <c r="G377" s="59"/>
      <c r="H377" s="61"/>
      <c r="I377" s="61"/>
      <c r="J377" s="62"/>
      <c r="K377" s="61"/>
      <c r="L377" s="61"/>
      <c r="M377" s="63"/>
      <c r="N377" s="64"/>
      <c r="O377" s="65"/>
      <c r="P377" s="65"/>
      <c r="Q377" s="66"/>
      <c r="R377" s="67"/>
    </row>
    <row r="378" spans="2:18" x14ac:dyDescent="0.25">
      <c r="B378" s="59"/>
      <c r="C378" s="60"/>
      <c r="D378" s="60"/>
      <c r="E378" s="60"/>
      <c r="F378" s="59"/>
      <c r="G378" s="59"/>
      <c r="H378" s="61"/>
      <c r="I378" s="61"/>
      <c r="J378" s="62"/>
      <c r="K378" s="61"/>
      <c r="L378" s="61"/>
      <c r="M378" s="63"/>
      <c r="N378" s="64"/>
      <c r="O378" s="65"/>
      <c r="P378" s="65"/>
      <c r="Q378" s="66"/>
      <c r="R378" s="67"/>
    </row>
    <row r="379" spans="2:18" x14ac:dyDescent="0.25">
      <c r="B379" s="59"/>
      <c r="C379" s="60"/>
      <c r="D379" s="60"/>
      <c r="E379" s="60"/>
      <c r="F379" s="59"/>
      <c r="G379" s="59"/>
      <c r="H379" s="61"/>
      <c r="I379" s="61"/>
      <c r="J379" s="62"/>
      <c r="K379" s="61"/>
      <c r="L379" s="61"/>
      <c r="M379" s="63"/>
      <c r="N379" s="64"/>
      <c r="O379" s="65"/>
      <c r="P379" s="65"/>
      <c r="Q379" s="66"/>
      <c r="R379" s="67"/>
    </row>
    <row r="380" spans="2:18" x14ac:dyDescent="0.25">
      <c r="B380" s="59"/>
      <c r="C380" s="60"/>
      <c r="D380" s="60"/>
      <c r="E380" s="60"/>
      <c r="F380" s="59"/>
      <c r="G380" s="59"/>
      <c r="H380" s="61"/>
      <c r="I380" s="61"/>
      <c r="J380" s="62"/>
      <c r="K380" s="61"/>
      <c r="L380" s="61"/>
      <c r="M380" s="63"/>
      <c r="N380" s="64"/>
      <c r="O380" s="65"/>
      <c r="P380" s="65"/>
      <c r="Q380" s="66"/>
      <c r="R380" s="67"/>
    </row>
    <row r="381" spans="2:18" x14ac:dyDescent="0.25">
      <c r="B381" s="59"/>
      <c r="C381" s="60"/>
      <c r="D381" s="60"/>
      <c r="E381" s="60"/>
      <c r="F381" s="59"/>
      <c r="G381" s="59"/>
      <c r="H381" s="61"/>
      <c r="I381" s="61"/>
      <c r="J381" s="62"/>
      <c r="K381" s="61"/>
      <c r="L381" s="61"/>
      <c r="M381" s="63"/>
      <c r="N381" s="64"/>
      <c r="O381" s="65"/>
      <c r="P381" s="65"/>
      <c r="Q381" s="66"/>
      <c r="R381" s="67"/>
    </row>
    <row r="382" spans="2:18" x14ac:dyDescent="0.25">
      <c r="B382" s="59"/>
      <c r="C382" s="60"/>
      <c r="D382" s="60"/>
      <c r="E382" s="60"/>
      <c r="F382" s="59"/>
      <c r="G382" s="59"/>
      <c r="H382" s="61"/>
      <c r="I382" s="61"/>
      <c r="J382" s="62"/>
      <c r="K382" s="61"/>
      <c r="L382" s="61"/>
      <c r="M382" s="63"/>
      <c r="N382" s="64"/>
      <c r="O382" s="65"/>
      <c r="P382" s="65"/>
      <c r="Q382" s="66"/>
      <c r="R382" s="67"/>
    </row>
    <row r="383" spans="2:18" x14ac:dyDescent="0.25">
      <c r="B383" s="59"/>
      <c r="C383" s="60"/>
      <c r="D383" s="60"/>
      <c r="E383" s="60"/>
      <c r="F383" s="59"/>
      <c r="G383" s="59"/>
      <c r="H383" s="61"/>
      <c r="I383" s="61"/>
      <c r="J383" s="62"/>
      <c r="K383" s="61"/>
      <c r="L383" s="61"/>
      <c r="M383" s="63"/>
      <c r="N383" s="64"/>
      <c r="O383" s="65"/>
      <c r="P383" s="65"/>
      <c r="Q383" s="66"/>
      <c r="R383" s="67"/>
    </row>
    <row r="384" spans="2:18" x14ac:dyDescent="0.25">
      <c r="B384" s="59"/>
      <c r="C384" s="60"/>
      <c r="D384" s="60"/>
      <c r="E384" s="60"/>
      <c r="F384" s="59"/>
      <c r="G384" s="59"/>
      <c r="H384" s="61"/>
      <c r="I384" s="61"/>
      <c r="J384" s="62"/>
      <c r="K384" s="61"/>
      <c r="L384" s="61"/>
      <c r="M384" s="63"/>
      <c r="N384" s="64"/>
      <c r="O384" s="65"/>
      <c r="P384" s="65"/>
      <c r="Q384" s="66"/>
      <c r="R384" s="67"/>
    </row>
    <row r="385" spans="2:18" x14ac:dyDescent="0.25">
      <c r="B385" s="59"/>
      <c r="C385" s="60"/>
      <c r="D385" s="60"/>
      <c r="E385" s="60"/>
      <c r="F385" s="59"/>
      <c r="G385" s="59"/>
      <c r="H385" s="61"/>
      <c r="I385" s="61"/>
      <c r="J385" s="62"/>
      <c r="K385" s="61"/>
      <c r="L385" s="61"/>
      <c r="M385" s="63"/>
      <c r="N385" s="64"/>
      <c r="O385" s="65"/>
      <c r="P385" s="65"/>
      <c r="Q385" s="66"/>
      <c r="R385" s="67"/>
    </row>
    <row r="386" spans="2:18" x14ac:dyDescent="0.25">
      <c r="B386" s="59"/>
      <c r="C386" s="60"/>
      <c r="D386" s="60"/>
      <c r="E386" s="60"/>
      <c r="F386" s="59"/>
      <c r="G386" s="59"/>
      <c r="H386" s="61"/>
      <c r="I386" s="61"/>
      <c r="J386" s="62"/>
      <c r="K386" s="61"/>
      <c r="L386" s="61"/>
      <c r="M386" s="63"/>
      <c r="N386" s="64"/>
      <c r="O386" s="65"/>
      <c r="P386" s="65"/>
      <c r="Q386" s="66"/>
      <c r="R386" s="67"/>
    </row>
    <row r="387" spans="2:18" x14ac:dyDescent="0.25">
      <c r="B387" s="59"/>
      <c r="C387" s="60"/>
      <c r="D387" s="60"/>
      <c r="E387" s="60"/>
      <c r="F387" s="59"/>
      <c r="G387" s="59"/>
      <c r="H387" s="61"/>
      <c r="I387" s="61"/>
      <c r="J387" s="62"/>
      <c r="K387" s="61"/>
      <c r="L387" s="61"/>
      <c r="M387" s="63"/>
      <c r="N387" s="64"/>
      <c r="O387" s="65"/>
      <c r="P387" s="65"/>
      <c r="Q387" s="66"/>
      <c r="R387" s="67"/>
    </row>
    <row r="388" spans="2:18" x14ac:dyDescent="0.25">
      <c r="B388" s="59"/>
      <c r="C388" s="60"/>
      <c r="D388" s="60"/>
      <c r="E388" s="60"/>
      <c r="F388" s="59"/>
      <c r="G388" s="59"/>
      <c r="H388" s="61"/>
      <c r="I388" s="61"/>
      <c r="J388" s="62"/>
      <c r="K388" s="61"/>
      <c r="L388" s="61"/>
      <c r="M388" s="63"/>
      <c r="N388" s="64"/>
      <c r="O388" s="65"/>
      <c r="P388" s="65"/>
      <c r="Q388" s="66"/>
      <c r="R388" s="67"/>
    </row>
    <row r="389" spans="2:18" x14ac:dyDescent="0.25">
      <c r="B389" s="59"/>
      <c r="C389" s="60"/>
      <c r="D389" s="60"/>
      <c r="E389" s="60"/>
      <c r="F389" s="59"/>
      <c r="G389" s="59"/>
      <c r="H389" s="61"/>
      <c r="I389" s="61"/>
      <c r="J389" s="62"/>
      <c r="K389" s="61"/>
      <c r="L389" s="61"/>
      <c r="M389" s="63"/>
      <c r="N389" s="64"/>
      <c r="O389" s="65"/>
      <c r="P389" s="65"/>
      <c r="Q389" s="66"/>
      <c r="R389" s="67"/>
    </row>
    <row r="390" spans="2:18" x14ac:dyDescent="0.25">
      <c r="B390" s="59"/>
      <c r="C390" s="60"/>
      <c r="D390" s="60"/>
      <c r="E390" s="60"/>
      <c r="F390" s="59"/>
      <c r="G390" s="59"/>
      <c r="H390" s="61"/>
      <c r="I390" s="61"/>
      <c r="J390" s="62"/>
      <c r="K390" s="61"/>
      <c r="L390" s="61"/>
      <c r="M390" s="63"/>
      <c r="N390" s="64"/>
      <c r="O390" s="65"/>
      <c r="P390" s="65"/>
      <c r="Q390" s="66"/>
      <c r="R390" s="67"/>
    </row>
    <row r="391" spans="2:18" x14ac:dyDescent="0.25">
      <c r="B391" s="59"/>
      <c r="C391" s="60"/>
      <c r="D391" s="60"/>
      <c r="E391" s="60"/>
      <c r="F391" s="59"/>
      <c r="G391" s="59"/>
      <c r="H391" s="61"/>
      <c r="I391" s="61"/>
      <c r="J391" s="62"/>
      <c r="K391" s="61"/>
      <c r="L391" s="61"/>
      <c r="M391" s="63"/>
      <c r="N391" s="64"/>
      <c r="O391" s="65"/>
      <c r="P391" s="65"/>
      <c r="Q391" s="66"/>
      <c r="R391" s="67"/>
    </row>
    <row r="392" spans="2:18" x14ac:dyDescent="0.25">
      <c r="B392" s="59"/>
      <c r="C392" s="60"/>
      <c r="D392" s="60"/>
      <c r="E392" s="60"/>
      <c r="F392" s="59"/>
      <c r="G392" s="59"/>
      <c r="H392" s="61"/>
      <c r="I392" s="61"/>
      <c r="J392" s="62"/>
      <c r="K392" s="61"/>
      <c r="L392" s="61"/>
      <c r="M392" s="63"/>
      <c r="N392" s="64"/>
      <c r="O392" s="65"/>
      <c r="P392" s="65"/>
      <c r="Q392" s="66"/>
      <c r="R392" s="67"/>
    </row>
    <row r="393" spans="2:18" x14ac:dyDescent="0.25">
      <c r="B393" s="59"/>
      <c r="C393" s="60"/>
      <c r="D393" s="60"/>
      <c r="E393" s="60"/>
      <c r="F393" s="59"/>
      <c r="G393" s="59"/>
      <c r="H393" s="61"/>
      <c r="I393" s="61"/>
      <c r="J393" s="62"/>
      <c r="K393" s="61"/>
      <c r="L393" s="61"/>
      <c r="M393" s="63"/>
      <c r="N393" s="64"/>
      <c r="O393" s="65"/>
      <c r="P393" s="65"/>
      <c r="Q393" s="66"/>
      <c r="R393" s="67"/>
    </row>
    <row r="394" spans="2:18" x14ac:dyDescent="0.25">
      <c r="B394" s="59"/>
      <c r="C394" s="60"/>
      <c r="D394" s="60"/>
      <c r="E394" s="60"/>
      <c r="F394" s="59"/>
      <c r="G394" s="59"/>
      <c r="H394" s="61"/>
      <c r="I394" s="61"/>
      <c r="J394" s="62"/>
      <c r="K394" s="61"/>
      <c r="L394" s="61"/>
      <c r="M394" s="63"/>
      <c r="N394" s="64"/>
      <c r="O394" s="65"/>
      <c r="P394" s="65"/>
      <c r="Q394" s="66"/>
      <c r="R394" s="67"/>
    </row>
    <row r="395" spans="2:18" x14ac:dyDescent="0.25">
      <c r="B395" s="59"/>
      <c r="C395" s="60"/>
      <c r="D395" s="60"/>
      <c r="E395" s="60"/>
      <c r="F395" s="59"/>
      <c r="G395" s="59"/>
      <c r="H395" s="61"/>
      <c r="I395" s="61"/>
      <c r="J395" s="62"/>
      <c r="K395" s="61"/>
      <c r="L395" s="61"/>
      <c r="M395" s="63"/>
      <c r="N395" s="64"/>
      <c r="O395" s="65"/>
      <c r="P395" s="65"/>
      <c r="Q395" s="66"/>
      <c r="R395" s="67"/>
    </row>
    <row r="396" spans="2:18" x14ac:dyDescent="0.25">
      <c r="B396" s="59"/>
      <c r="C396" s="60"/>
      <c r="D396" s="60"/>
      <c r="E396" s="60"/>
      <c r="F396" s="59"/>
      <c r="G396" s="59"/>
      <c r="H396" s="61"/>
      <c r="I396" s="61"/>
      <c r="J396" s="62"/>
      <c r="K396" s="61"/>
      <c r="L396" s="61"/>
      <c r="M396" s="63"/>
      <c r="N396" s="64"/>
      <c r="O396" s="65"/>
      <c r="P396" s="65"/>
      <c r="Q396" s="66"/>
      <c r="R396" s="67"/>
    </row>
    <row r="397" spans="2:18" x14ac:dyDescent="0.25">
      <c r="B397" s="59"/>
      <c r="C397" s="60"/>
      <c r="D397" s="60"/>
      <c r="E397" s="60"/>
      <c r="F397" s="59"/>
      <c r="G397" s="59"/>
      <c r="H397" s="61"/>
      <c r="I397" s="61"/>
      <c r="J397" s="62"/>
      <c r="K397" s="61"/>
      <c r="L397" s="61"/>
      <c r="M397" s="63"/>
      <c r="N397" s="64"/>
      <c r="O397" s="65"/>
      <c r="P397" s="65"/>
      <c r="Q397" s="66"/>
      <c r="R397" s="67"/>
    </row>
    <row r="398" spans="2:18" x14ac:dyDescent="0.25">
      <c r="B398" s="59"/>
      <c r="C398" s="60"/>
      <c r="D398" s="60"/>
      <c r="E398" s="60"/>
      <c r="F398" s="59"/>
      <c r="G398" s="59"/>
      <c r="H398" s="61"/>
      <c r="I398" s="61"/>
      <c r="J398" s="62"/>
      <c r="K398" s="61"/>
      <c r="L398" s="61"/>
      <c r="M398" s="63"/>
      <c r="N398" s="64"/>
      <c r="O398" s="65"/>
      <c r="P398" s="65"/>
      <c r="Q398" s="66"/>
      <c r="R398" s="67"/>
    </row>
    <row r="399" spans="2:18" x14ac:dyDescent="0.25">
      <c r="B399" s="59"/>
      <c r="C399" s="60"/>
      <c r="D399" s="60"/>
      <c r="E399" s="60"/>
      <c r="F399" s="59"/>
      <c r="G399" s="59"/>
      <c r="H399" s="61"/>
      <c r="I399" s="61"/>
      <c r="J399" s="62"/>
      <c r="K399" s="61"/>
      <c r="L399" s="61"/>
      <c r="M399" s="63"/>
      <c r="N399" s="64"/>
      <c r="O399" s="65"/>
      <c r="P399" s="65"/>
      <c r="Q399" s="66"/>
      <c r="R399" s="67"/>
    </row>
    <row r="400" spans="2:18" x14ac:dyDescent="0.25">
      <c r="B400" s="59"/>
      <c r="C400" s="60"/>
      <c r="D400" s="60"/>
      <c r="E400" s="60"/>
      <c r="F400" s="59"/>
      <c r="G400" s="59"/>
      <c r="H400" s="61"/>
      <c r="I400" s="61"/>
      <c r="J400" s="62"/>
      <c r="K400" s="61"/>
      <c r="L400" s="61"/>
      <c r="M400" s="63"/>
      <c r="N400" s="64"/>
      <c r="O400" s="65"/>
      <c r="P400" s="65"/>
      <c r="Q400" s="66"/>
      <c r="R400" s="67"/>
    </row>
    <row r="401" spans="2:18" x14ac:dyDescent="0.25">
      <c r="B401" s="59"/>
      <c r="C401" s="60"/>
      <c r="D401" s="60"/>
      <c r="E401" s="60"/>
      <c r="F401" s="59"/>
      <c r="G401" s="59"/>
      <c r="H401" s="61"/>
      <c r="I401" s="61"/>
      <c r="J401" s="62"/>
      <c r="K401" s="61"/>
      <c r="L401" s="61"/>
      <c r="M401" s="63"/>
      <c r="N401" s="64"/>
      <c r="O401" s="65"/>
      <c r="P401" s="65"/>
      <c r="Q401" s="66"/>
      <c r="R401" s="67"/>
    </row>
    <row r="402" spans="2:18" x14ac:dyDescent="0.25">
      <c r="B402" s="59"/>
      <c r="C402" s="60"/>
      <c r="D402" s="60"/>
      <c r="E402" s="60"/>
      <c r="F402" s="59"/>
      <c r="G402" s="59"/>
      <c r="H402" s="61"/>
      <c r="I402" s="61"/>
      <c r="J402" s="62"/>
      <c r="K402" s="61"/>
      <c r="L402" s="61"/>
      <c r="M402" s="63"/>
      <c r="N402" s="64"/>
      <c r="O402" s="65"/>
      <c r="P402" s="65"/>
      <c r="Q402" s="66"/>
      <c r="R402" s="67"/>
    </row>
    <row r="403" spans="2:18" x14ac:dyDescent="0.25">
      <c r="B403" s="59"/>
      <c r="C403" s="60"/>
      <c r="D403" s="60"/>
      <c r="E403" s="60"/>
      <c r="F403" s="59"/>
      <c r="G403" s="59"/>
      <c r="H403" s="61"/>
      <c r="I403" s="61"/>
      <c r="J403" s="62"/>
      <c r="K403" s="61"/>
      <c r="L403" s="61"/>
      <c r="M403" s="63"/>
      <c r="N403" s="64"/>
      <c r="O403" s="65"/>
      <c r="P403" s="65"/>
      <c r="Q403" s="66"/>
      <c r="R403" s="67"/>
    </row>
    <row r="404" spans="2:18" x14ac:dyDescent="0.25">
      <c r="B404" s="59"/>
      <c r="C404" s="60"/>
      <c r="D404" s="60"/>
      <c r="E404" s="60"/>
      <c r="F404" s="59"/>
      <c r="G404" s="59"/>
      <c r="H404" s="61"/>
      <c r="I404" s="61"/>
      <c r="J404" s="62"/>
      <c r="K404" s="61"/>
      <c r="L404" s="61"/>
      <c r="M404" s="63"/>
      <c r="N404" s="64"/>
      <c r="O404" s="65"/>
      <c r="P404" s="65"/>
      <c r="Q404" s="66"/>
      <c r="R404" s="67"/>
    </row>
    <row r="405" spans="2:18" x14ac:dyDescent="0.25">
      <c r="B405" s="59"/>
      <c r="C405" s="60"/>
      <c r="D405" s="60"/>
      <c r="E405" s="60"/>
      <c r="F405" s="59"/>
      <c r="G405" s="59"/>
      <c r="H405" s="61"/>
      <c r="I405" s="61"/>
      <c r="J405" s="62"/>
      <c r="K405" s="61"/>
      <c r="L405" s="61"/>
      <c r="M405" s="63"/>
      <c r="N405" s="64"/>
      <c r="O405" s="65"/>
      <c r="P405" s="65"/>
      <c r="Q405" s="66"/>
      <c r="R405" s="67"/>
    </row>
    <row r="406" spans="2:18" x14ac:dyDescent="0.25">
      <c r="B406" s="59"/>
      <c r="C406" s="60"/>
      <c r="D406" s="60"/>
      <c r="E406" s="60"/>
      <c r="F406" s="59"/>
      <c r="G406" s="59"/>
      <c r="H406" s="61"/>
      <c r="I406" s="61"/>
      <c r="J406" s="62"/>
      <c r="K406" s="61"/>
      <c r="L406" s="61"/>
      <c r="M406" s="63"/>
      <c r="N406" s="64"/>
      <c r="O406" s="65"/>
      <c r="P406" s="65"/>
      <c r="Q406" s="66"/>
      <c r="R406" s="67"/>
    </row>
    <row r="407" spans="2:18" x14ac:dyDescent="0.25">
      <c r="B407" s="59"/>
      <c r="C407" s="60"/>
      <c r="D407" s="60"/>
      <c r="E407" s="60"/>
      <c r="F407" s="59"/>
      <c r="G407" s="59"/>
      <c r="H407" s="61"/>
      <c r="I407" s="61"/>
      <c r="J407" s="62"/>
      <c r="K407" s="61"/>
      <c r="L407" s="61"/>
      <c r="M407" s="63"/>
      <c r="N407" s="64"/>
      <c r="O407" s="65"/>
      <c r="P407" s="65"/>
      <c r="Q407" s="66"/>
      <c r="R407" s="67"/>
    </row>
    <row r="408" spans="2:18" x14ac:dyDescent="0.25">
      <c r="B408" s="59"/>
      <c r="C408" s="60"/>
      <c r="D408" s="60"/>
      <c r="E408" s="60"/>
      <c r="F408" s="59"/>
      <c r="G408" s="59"/>
      <c r="H408" s="61"/>
      <c r="I408" s="61"/>
      <c r="J408" s="62"/>
      <c r="K408" s="61"/>
      <c r="L408" s="61"/>
      <c r="M408" s="63"/>
      <c r="N408" s="64"/>
      <c r="O408" s="65"/>
      <c r="P408" s="65"/>
      <c r="Q408" s="66"/>
      <c r="R408" s="67"/>
    </row>
    <row r="409" spans="2:18" x14ac:dyDescent="0.25">
      <c r="B409" s="59"/>
      <c r="C409" s="60"/>
      <c r="D409" s="60"/>
      <c r="E409" s="60"/>
      <c r="F409" s="59"/>
      <c r="G409" s="59"/>
      <c r="H409" s="61"/>
      <c r="I409" s="61"/>
      <c r="J409" s="62"/>
      <c r="K409" s="61"/>
      <c r="L409" s="61"/>
      <c r="M409" s="63"/>
      <c r="N409" s="64"/>
      <c r="O409" s="65"/>
      <c r="P409" s="65"/>
      <c r="Q409" s="66"/>
      <c r="R409" s="67"/>
    </row>
    <row r="410" spans="2:18" x14ac:dyDescent="0.25">
      <c r="B410" s="59"/>
      <c r="C410" s="60"/>
      <c r="D410" s="60"/>
      <c r="E410" s="60"/>
      <c r="F410" s="59"/>
      <c r="G410" s="59"/>
      <c r="H410" s="61"/>
      <c r="I410" s="61"/>
      <c r="J410" s="62"/>
      <c r="K410" s="61"/>
      <c r="L410" s="61"/>
      <c r="M410" s="63"/>
      <c r="N410" s="64"/>
      <c r="O410" s="65"/>
      <c r="P410" s="65"/>
      <c r="Q410" s="66"/>
      <c r="R410" s="67"/>
    </row>
    <row r="411" spans="2:18" x14ac:dyDescent="0.25">
      <c r="B411" s="59"/>
      <c r="C411" s="60"/>
      <c r="D411" s="60"/>
      <c r="E411" s="60"/>
      <c r="F411" s="59"/>
      <c r="G411" s="59"/>
      <c r="H411" s="61"/>
      <c r="I411" s="61"/>
      <c r="J411" s="62"/>
      <c r="K411" s="61"/>
      <c r="L411" s="61"/>
      <c r="M411" s="63"/>
      <c r="N411" s="64"/>
      <c r="O411" s="65"/>
      <c r="P411" s="65"/>
      <c r="Q411" s="66"/>
      <c r="R411" s="67"/>
    </row>
    <row r="412" spans="2:18" x14ac:dyDescent="0.25">
      <c r="B412" s="59"/>
      <c r="C412" s="60"/>
      <c r="D412" s="60"/>
      <c r="E412" s="60"/>
      <c r="F412" s="59"/>
      <c r="G412" s="59"/>
      <c r="H412" s="61"/>
      <c r="I412" s="61"/>
      <c r="J412" s="62"/>
      <c r="K412" s="61"/>
      <c r="L412" s="61"/>
      <c r="M412" s="63"/>
      <c r="N412" s="64"/>
      <c r="O412" s="65"/>
      <c r="P412" s="65"/>
      <c r="Q412" s="66"/>
      <c r="R412" s="67"/>
    </row>
    <row r="413" spans="2:18" x14ac:dyDescent="0.25">
      <c r="B413" s="59"/>
      <c r="C413" s="60"/>
      <c r="D413" s="60"/>
      <c r="E413" s="60"/>
      <c r="F413" s="59"/>
      <c r="G413" s="59"/>
      <c r="H413" s="61"/>
      <c r="I413" s="61"/>
      <c r="J413" s="62"/>
      <c r="K413" s="61"/>
      <c r="L413" s="61"/>
      <c r="M413" s="63"/>
      <c r="N413" s="64"/>
      <c r="O413" s="65"/>
      <c r="P413" s="65"/>
      <c r="Q413" s="66"/>
      <c r="R413" s="67"/>
    </row>
    <row r="414" spans="2:18" x14ac:dyDescent="0.25">
      <c r="B414" s="59"/>
      <c r="C414" s="60"/>
      <c r="D414" s="60"/>
      <c r="E414" s="60"/>
      <c r="F414" s="59"/>
      <c r="G414" s="59"/>
      <c r="H414" s="61"/>
      <c r="I414" s="61"/>
      <c r="J414" s="62"/>
      <c r="K414" s="61"/>
      <c r="L414" s="61"/>
      <c r="M414" s="63"/>
      <c r="N414" s="64"/>
      <c r="O414" s="65"/>
      <c r="P414" s="65"/>
      <c r="Q414" s="66"/>
      <c r="R414" s="67"/>
    </row>
    <row r="415" spans="2:18" x14ac:dyDescent="0.25">
      <c r="B415" s="59"/>
      <c r="C415" s="60"/>
      <c r="D415" s="60"/>
      <c r="E415" s="60"/>
      <c r="F415" s="59"/>
      <c r="G415" s="59"/>
      <c r="H415" s="61"/>
      <c r="I415" s="61"/>
      <c r="J415" s="62"/>
      <c r="K415" s="61"/>
      <c r="L415" s="61"/>
      <c r="M415" s="63"/>
      <c r="N415" s="64"/>
      <c r="O415" s="65"/>
      <c r="P415" s="65"/>
      <c r="Q415" s="66"/>
      <c r="R415" s="67"/>
    </row>
    <row r="416" spans="2:18" x14ac:dyDescent="0.25">
      <c r="B416" s="59"/>
      <c r="C416" s="60"/>
      <c r="D416" s="60"/>
      <c r="E416" s="60"/>
      <c r="F416" s="59"/>
      <c r="G416" s="59"/>
      <c r="H416" s="61"/>
      <c r="I416" s="61"/>
      <c r="J416" s="62"/>
      <c r="K416" s="61"/>
      <c r="L416" s="61"/>
      <c r="M416" s="63"/>
      <c r="N416" s="64"/>
      <c r="O416" s="65"/>
      <c r="P416" s="65"/>
      <c r="Q416" s="66"/>
      <c r="R416" s="67"/>
    </row>
    <row r="417" spans="2:18" x14ac:dyDescent="0.25">
      <c r="B417" s="59"/>
      <c r="C417" s="60"/>
      <c r="D417" s="60"/>
      <c r="E417" s="60"/>
      <c r="F417" s="59"/>
      <c r="G417" s="59"/>
      <c r="H417" s="61"/>
      <c r="I417" s="61"/>
      <c r="J417" s="62"/>
      <c r="K417" s="61"/>
      <c r="L417" s="61"/>
      <c r="M417" s="63"/>
      <c r="N417" s="64"/>
      <c r="O417" s="65"/>
      <c r="P417" s="65"/>
      <c r="Q417" s="66"/>
      <c r="R417" s="67"/>
    </row>
    <row r="418" spans="2:18" x14ac:dyDescent="0.25">
      <c r="B418" s="59"/>
      <c r="C418" s="60"/>
      <c r="D418" s="60"/>
      <c r="E418" s="60"/>
      <c r="F418" s="59"/>
      <c r="G418" s="59"/>
      <c r="H418" s="61"/>
      <c r="I418" s="61"/>
      <c r="J418" s="62"/>
      <c r="K418" s="61"/>
      <c r="L418" s="61"/>
      <c r="M418" s="63"/>
      <c r="N418" s="64"/>
      <c r="O418" s="65"/>
      <c r="P418" s="65"/>
      <c r="Q418" s="66"/>
      <c r="R418" s="67"/>
    </row>
    <row r="419" spans="2:18" x14ac:dyDescent="0.25">
      <c r="B419" s="59"/>
      <c r="C419" s="60"/>
      <c r="D419" s="60"/>
      <c r="E419" s="60"/>
      <c r="F419" s="59"/>
      <c r="G419" s="59"/>
      <c r="H419" s="61"/>
      <c r="I419" s="61"/>
      <c r="J419" s="62"/>
      <c r="K419" s="61"/>
      <c r="L419" s="61"/>
      <c r="M419" s="63"/>
      <c r="N419" s="64"/>
      <c r="O419" s="65"/>
      <c r="P419" s="65"/>
      <c r="Q419" s="66"/>
      <c r="R419" s="67"/>
    </row>
    <row r="420" spans="2:18" x14ac:dyDescent="0.25">
      <c r="B420" s="59"/>
      <c r="C420" s="60"/>
      <c r="D420" s="60"/>
      <c r="E420" s="60"/>
      <c r="F420" s="59"/>
      <c r="G420" s="59"/>
      <c r="H420" s="61"/>
      <c r="I420" s="61"/>
      <c r="J420" s="62"/>
      <c r="K420" s="61"/>
      <c r="L420" s="61"/>
      <c r="M420" s="63"/>
      <c r="N420" s="64"/>
      <c r="O420" s="65"/>
      <c r="P420" s="65"/>
      <c r="Q420" s="66"/>
      <c r="R420" s="67"/>
    </row>
    <row r="421" spans="2:18" x14ac:dyDescent="0.25">
      <c r="B421" s="59"/>
      <c r="C421" s="60"/>
      <c r="D421" s="60"/>
      <c r="E421" s="60"/>
      <c r="F421" s="59"/>
      <c r="G421" s="59"/>
      <c r="H421" s="61"/>
      <c r="I421" s="61"/>
      <c r="J421" s="62"/>
      <c r="K421" s="61"/>
      <c r="L421" s="61"/>
      <c r="M421" s="63"/>
      <c r="N421" s="64"/>
      <c r="O421" s="65"/>
      <c r="P421" s="65"/>
      <c r="Q421" s="66"/>
      <c r="R421" s="67"/>
    </row>
    <row r="422" spans="2:18" x14ac:dyDescent="0.25">
      <c r="B422" s="59"/>
      <c r="C422" s="60"/>
      <c r="D422" s="60"/>
      <c r="E422" s="60"/>
      <c r="F422" s="59"/>
      <c r="G422" s="59"/>
      <c r="H422" s="61"/>
      <c r="I422" s="61"/>
      <c r="J422" s="62"/>
      <c r="K422" s="61"/>
      <c r="L422" s="61"/>
      <c r="M422" s="63"/>
      <c r="N422" s="64"/>
      <c r="O422" s="65"/>
      <c r="P422" s="65"/>
      <c r="Q422" s="66"/>
      <c r="R422" s="67"/>
    </row>
    <row r="423" spans="2:18" x14ac:dyDescent="0.25">
      <c r="B423" s="59"/>
      <c r="C423" s="60"/>
      <c r="D423" s="60"/>
      <c r="E423" s="60"/>
      <c r="F423" s="59"/>
      <c r="G423" s="59"/>
      <c r="H423" s="61"/>
      <c r="I423" s="61"/>
      <c r="J423" s="62"/>
      <c r="K423" s="61"/>
      <c r="L423" s="61"/>
      <c r="M423" s="63"/>
      <c r="N423" s="64"/>
      <c r="O423" s="65"/>
      <c r="P423" s="65"/>
      <c r="Q423" s="66"/>
      <c r="R423" s="67"/>
    </row>
    <row r="424" spans="2:18" x14ac:dyDescent="0.25">
      <c r="B424" s="59"/>
      <c r="C424" s="60"/>
      <c r="D424" s="60"/>
      <c r="E424" s="60"/>
      <c r="F424" s="59"/>
      <c r="G424" s="59"/>
      <c r="H424" s="61"/>
      <c r="I424" s="61"/>
      <c r="J424" s="62"/>
      <c r="K424" s="61"/>
      <c r="L424" s="61"/>
      <c r="M424" s="63"/>
      <c r="N424" s="64"/>
      <c r="O424" s="65"/>
      <c r="P424" s="65"/>
      <c r="Q424" s="66"/>
      <c r="R424" s="67"/>
    </row>
    <row r="425" spans="2:18" x14ac:dyDescent="0.25">
      <c r="B425" s="59"/>
      <c r="C425" s="60"/>
      <c r="D425" s="60"/>
      <c r="E425" s="60"/>
      <c r="F425" s="59"/>
      <c r="G425" s="59"/>
      <c r="H425" s="61"/>
      <c r="I425" s="61"/>
      <c r="J425" s="62"/>
      <c r="K425" s="61"/>
      <c r="L425" s="61"/>
      <c r="M425" s="63"/>
      <c r="N425" s="64"/>
      <c r="O425" s="65"/>
      <c r="P425" s="65"/>
      <c r="Q425" s="66"/>
      <c r="R425" s="67"/>
    </row>
    <row r="426" spans="2:18" x14ac:dyDescent="0.25">
      <c r="B426" s="59"/>
      <c r="C426" s="60"/>
      <c r="D426" s="60"/>
      <c r="E426" s="60"/>
      <c r="F426" s="59"/>
      <c r="G426" s="59"/>
      <c r="H426" s="61"/>
      <c r="I426" s="61"/>
      <c r="J426" s="62"/>
      <c r="K426" s="61"/>
      <c r="L426" s="61"/>
      <c r="M426" s="63"/>
      <c r="N426" s="64"/>
      <c r="O426" s="65"/>
      <c r="P426" s="65"/>
      <c r="Q426" s="66"/>
      <c r="R426" s="67"/>
    </row>
    <row r="427" spans="2:18" x14ac:dyDescent="0.25">
      <c r="B427" s="59"/>
      <c r="C427" s="60"/>
      <c r="D427" s="60"/>
      <c r="E427" s="60"/>
      <c r="F427" s="59"/>
      <c r="G427" s="59"/>
      <c r="H427" s="61"/>
      <c r="I427" s="61"/>
      <c r="J427" s="62"/>
      <c r="K427" s="61"/>
      <c r="L427" s="61"/>
      <c r="M427" s="63"/>
      <c r="N427" s="64"/>
      <c r="O427" s="65"/>
      <c r="P427" s="65"/>
      <c r="Q427" s="66"/>
      <c r="R427" s="67"/>
    </row>
    <row r="428" spans="2:18" x14ac:dyDescent="0.25">
      <c r="B428" s="59"/>
      <c r="C428" s="60"/>
      <c r="D428" s="60"/>
      <c r="E428" s="60"/>
      <c r="F428" s="59"/>
      <c r="G428" s="59"/>
      <c r="H428" s="61"/>
      <c r="I428" s="61"/>
      <c r="J428" s="62"/>
      <c r="K428" s="61"/>
      <c r="L428" s="61"/>
      <c r="M428" s="63"/>
      <c r="N428" s="64"/>
      <c r="O428" s="65"/>
      <c r="P428" s="65"/>
      <c r="Q428" s="66"/>
      <c r="R428" s="67"/>
    </row>
    <row r="429" spans="2:18" x14ac:dyDescent="0.25">
      <c r="B429" s="59"/>
      <c r="C429" s="60"/>
      <c r="D429" s="60"/>
      <c r="E429" s="60"/>
      <c r="F429" s="59"/>
      <c r="G429" s="59"/>
      <c r="H429" s="61"/>
      <c r="I429" s="61"/>
      <c r="J429" s="62"/>
      <c r="K429" s="61"/>
      <c r="L429" s="61"/>
      <c r="M429" s="63"/>
      <c r="N429" s="64"/>
      <c r="O429" s="65"/>
      <c r="P429" s="65"/>
      <c r="Q429" s="66"/>
      <c r="R429" s="67"/>
    </row>
    <row r="430" spans="2:18" x14ac:dyDescent="0.25">
      <c r="B430" s="59"/>
      <c r="C430" s="60"/>
      <c r="D430" s="60"/>
      <c r="E430" s="60"/>
      <c r="F430" s="59"/>
      <c r="G430" s="59"/>
      <c r="H430" s="61"/>
      <c r="I430" s="61"/>
      <c r="J430" s="62"/>
      <c r="K430" s="61"/>
      <c r="L430" s="61"/>
      <c r="M430" s="63"/>
      <c r="N430" s="64"/>
      <c r="O430" s="65"/>
      <c r="P430" s="65"/>
      <c r="Q430" s="66"/>
      <c r="R430" s="67"/>
    </row>
    <row r="431" spans="2:18" x14ac:dyDescent="0.25">
      <c r="B431" s="59"/>
      <c r="C431" s="60"/>
      <c r="D431" s="60"/>
      <c r="E431" s="60"/>
      <c r="F431" s="59"/>
      <c r="G431" s="59"/>
      <c r="H431" s="61"/>
      <c r="I431" s="61"/>
      <c r="J431" s="62"/>
      <c r="K431" s="61"/>
      <c r="L431" s="61"/>
      <c r="M431" s="63"/>
      <c r="N431" s="64"/>
      <c r="O431" s="65"/>
      <c r="P431" s="65"/>
      <c r="Q431" s="66"/>
      <c r="R431" s="67"/>
    </row>
    <row r="432" spans="2:18" x14ac:dyDescent="0.25">
      <c r="B432" s="59"/>
      <c r="C432" s="60"/>
      <c r="D432" s="60"/>
      <c r="E432" s="60"/>
      <c r="F432" s="59"/>
      <c r="G432" s="59"/>
      <c r="H432" s="61"/>
      <c r="I432" s="61"/>
      <c r="J432" s="62"/>
      <c r="K432" s="61"/>
      <c r="L432" s="61"/>
      <c r="M432" s="63"/>
      <c r="N432" s="64"/>
      <c r="O432" s="65"/>
      <c r="P432" s="65"/>
      <c r="Q432" s="66"/>
      <c r="R432" s="67"/>
    </row>
    <row r="433" spans="2:18" x14ac:dyDescent="0.25">
      <c r="B433" s="59"/>
      <c r="C433" s="60"/>
      <c r="D433" s="60"/>
      <c r="E433" s="60"/>
      <c r="F433" s="59"/>
      <c r="G433" s="59"/>
      <c r="H433" s="61"/>
      <c r="I433" s="61"/>
      <c r="J433" s="62"/>
      <c r="K433" s="61"/>
      <c r="L433" s="61"/>
      <c r="M433" s="63"/>
      <c r="N433" s="64"/>
      <c r="O433" s="65"/>
      <c r="P433" s="65"/>
      <c r="Q433" s="66"/>
      <c r="R433" s="67"/>
    </row>
    <row r="434" spans="2:18" x14ac:dyDescent="0.25">
      <c r="B434" s="59"/>
      <c r="C434" s="60"/>
      <c r="D434" s="60"/>
      <c r="E434" s="60"/>
      <c r="F434" s="59"/>
      <c r="G434" s="59"/>
      <c r="H434" s="61"/>
      <c r="I434" s="61"/>
      <c r="J434" s="62"/>
      <c r="K434" s="61"/>
      <c r="L434" s="61"/>
      <c r="M434" s="63"/>
      <c r="N434" s="64"/>
      <c r="O434" s="65"/>
      <c r="P434" s="65"/>
      <c r="Q434" s="66"/>
      <c r="R434" s="67"/>
    </row>
    <row r="435" spans="2:18" x14ac:dyDescent="0.25">
      <c r="B435" s="59"/>
      <c r="C435" s="60"/>
      <c r="D435" s="60"/>
      <c r="E435" s="60"/>
      <c r="F435" s="59"/>
      <c r="G435" s="59"/>
      <c r="H435" s="61"/>
      <c r="I435" s="61"/>
      <c r="J435" s="62"/>
      <c r="K435" s="61"/>
      <c r="L435" s="61"/>
      <c r="M435" s="63"/>
      <c r="N435" s="64"/>
      <c r="O435" s="65"/>
      <c r="P435" s="65"/>
      <c r="Q435" s="66"/>
      <c r="R435" s="67"/>
    </row>
    <row r="436" spans="2:18" x14ac:dyDescent="0.25">
      <c r="B436" s="59"/>
      <c r="C436" s="60"/>
      <c r="D436" s="60"/>
      <c r="E436" s="60"/>
      <c r="F436" s="59"/>
      <c r="G436" s="59"/>
      <c r="H436" s="61"/>
      <c r="I436" s="61"/>
      <c r="J436" s="62"/>
      <c r="K436" s="61"/>
      <c r="L436" s="61"/>
      <c r="M436" s="63"/>
      <c r="N436" s="64"/>
      <c r="O436" s="65"/>
      <c r="P436" s="65"/>
      <c r="Q436" s="66"/>
      <c r="R436" s="67"/>
    </row>
    <row r="437" spans="2:18" x14ac:dyDescent="0.25">
      <c r="B437" s="59"/>
      <c r="C437" s="60"/>
      <c r="D437" s="60"/>
      <c r="E437" s="60"/>
      <c r="F437" s="59"/>
      <c r="G437" s="59"/>
      <c r="H437" s="61"/>
      <c r="I437" s="61"/>
      <c r="J437" s="62"/>
      <c r="K437" s="61"/>
      <c r="L437" s="61"/>
      <c r="M437" s="63"/>
      <c r="N437" s="64"/>
      <c r="O437" s="65"/>
      <c r="P437" s="65"/>
      <c r="Q437" s="66"/>
      <c r="R437" s="67"/>
    </row>
    <row r="438" spans="2:18" x14ac:dyDescent="0.25">
      <c r="B438" s="59"/>
      <c r="C438" s="60"/>
      <c r="D438" s="60"/>
      <c r="E438" s="60"/>
      <c r="F438" s="59"/>
      <c r="G438" s="59"/>
      <c r="H438" s="61"/>
      <c r="I438" s="61"/>
      <c r="J438" s="62"/>
      <c r="K438" s="61"/>
      <c r="L438" s="61"/>
      <c r="M438" s="63"/>
      <c r="N438" s="64"/>
      <c r="O438" s="65"/>
      <c r="P438" s="65"/>
      <c r="Q438" s="66"/>
      <c r="R438" s="67"/>
    </row>
    <row r="439" spans="2:18" x14ac:dyDescent="0.25">
      <c r="B439" s="59"/>
      <c r="C439" s="60"/>
      <c r="D439" s="60"/>
      <c r="E439" s="60"/>
      <c r="F439" s="59"/>
      <c r="G439" s="59"/>
      <c r="H439" s="61"/>
      <c r="I439" s="61"/>
      <c r="J439" s="62"/>
      <c r="K439" s="61"/>
      <c r="L439" s="61"/>
      <c r="M439" s="63"/>
      <c r="N439" s="64"/>
      <c r="O439" s="65"/>
      <c r="P439" s="65"/>
      <c r="Q439" s="66"/>
      <c r="R439" s="67"/>
    </row>
    <row r="440" spans="2:18" x14ac:dyDescent="0.25">
      <c r="B440" s="59"/>
      <c r="C440" s="60"/>
      <c r="D440" s="60"/>
      <c r="E440" s="60"/>
      <c r="F440" s="59"/>
      <c r="G440" s="59"/>
      <c r="H440" s="61"/>
      <c r="I440" s="61"/>
      <c r="J440" s="62"/>
      <c r="K440" s="61"/>
      <c r="L440" s="61"/>
      <c r="M440" s="63"/>
      <c r="N440" s="64"/>
      <c r="O440" s="65"/>
      <c r="P440" s="65"/>
      <c r="Q440" s="66"/>
      <c r="R440" s="67"/>
    </row>
    <row r="441" spans="2:18" x14ac:dyDescent="0.25">
      <c r="B441" s="59"/>
      <c r="C441" s="60"/>
      <c r="D441" s="60"/>
      <c r="E441" s="60"/>
      <c r="F441" s="59"/>
      <c r="G441" s="59"/>
      <c r="H441" s="61"/>
      <c r="I441" s="61"/>
      <c r="J441" s="62"/>
      <c r="K441" s="61"/>
      <c r="L441" s="61"/>
      <c r="M441" s="63"/>
      <c r="N441" s="64"/>
      <c r="O441" s="65"/>
      <c r="P441" s="65"/>
      <c r="Q441" s="66"/>
      <c r="R441" s="67"/>
    </row>
    <row r="442" spans="2:18" x14ac:dyDescent="0.25">
      <c r="B442" s="59"/>
      <c r="C442" s="60"/>
      <c r="D442" s="60"/>
      <c r="E442" s="60"/>
      <c r="F442" s="59"/>
      <c r="G442" s="59"/>
      <c r="H442" s="61"/>
      <c r="I442" s="61"/>
      <c r="J442" s="62"/>
      <c r="K442" s="61"/>
      <c r="L442" s="61"/>
      <c r="M442" s="63"/>
      <c r="N442" s="64"/>
      <c r="O442" s="65"/>
      <c r="P442" s="65"/>
      <c r="Q442" s="66"/>
      <c r="R442" s="67"/>
    </row>
    <row r="443" spans="2:18" x14ac:dyDescent="0.25">
      <c r="B443" s="59"/>
      <c r="C443" s="60"/>
      <c r="D443" s="60"/>
      <c r="E443" s="60"/>
      <c r="F443" s="59"/>
      <c r="G443" s="59"/>
      <c r="H443" s="61"/>
      <c r="I443" s="61"/>
      <c r="J443" s="62"/>
      <c r="K443" s="61"/>
      <c r="L443" s="61"/>
      <c r="M443" s="63"/>
      <c r="N443" s="64"/>
      <c r="O443" s="65"/>
      <c r="P443" s="65"/>
      <c r="Q443" s="66"/>
      <c r="R443" s="67"/>
    </row>
    <row r="444" spans="2:18" x14ac:dyDescent="0.25">
      <c r="B444" s="59"/>
      <c r="C444" s="60"/>
      <c r="D444" s="60"/>
      <c r="E444" s="60"/>
      <c r="F444" s="59"/>
      <c r="G444" s="59"/>
      <c r="H444" s="61"/>
      <c r="I444" s="61"/>
      <c r="J444" s="62"/>
      <c r="K444" s="61"/>
      <c r="L444" s="61"/>
      <c r="M444" s="63"/>
      <c r="N444" s="64"/>
      <c r="O444" s="65"/>
      <c r="P444" s="65"/>
      <c r="Q444" s="66"/>
      <c r="R444" s="67"/>
    </row>
    <row r="445" spans="2:18" x14ac:dyDescent="0.25">
      <c r="B445" s="59"/>
      <c r="C445" s="60"/>
      <c r="D445" s="60"/>
      <c r="E445" s="60"/>
      <c r="F445" s="59"/>
      <c r="G445" s="59"/>
      <c r="H445" s="61"/>
      <c r="I445" s="61"/>
      <c r="J445" s="62"/>
      <c r="K445" s="61"/>
      <c r="L445" s="61"/>
      <c r="M445" s="63"/>
      <c r="N445" s="64"/>
      <c r="O445" s="65"/>
      <c r="P445" s="65"/>
      <c r="Q445" s="66"/>
      <c r="R445" s="67"/>
    </row>
    <row r="446" spans="2:18" x14ac:dyDescent="0.25">
      <c r="B446" s="59"/>
      <c r="C446" s="60"/>
      <c r="D446" s="60"/>
      <c r="E446" s="60"/>
      <c r="F446" s="59"/>
      <c r="G446" s="59"/>
      <c r="H446" s="61"/>
      <c r="I446" s="61"/>
      <c r="J446" s="62"/>
      <c r="K446" s="61"/>
      <c r="L446" s="61"/>
      <c r="M446" s="63"/>
      <c r="N446" s="64"/>
      <c r="O446" s="65"/>
      <c r="P446" s="65"/>
      <c r="Q446" s="66"/>
      <c r="R446" s="67"/>
    </row>
    <row r="447" spans="2:18" x14ac:dyDescent="0.25">
      <c r="B447" s="59"/>
      <c r="C447" s="60"/>
      <c r="D447" s="60"/>
      <c r="E447" s="60"/>
      <c r="F447" s="59"/>
      <c r="G447" s="59"/>
      <c r="H447" s="61"/>
      <c r="I447" s="61"/>
      <c r="J447" s="62"/>
      <c r="K447" s="61"/>
      <c r="L447" s="61"/>
      <c r="M447" s="63"/>
      <c r="N447" s="64"/>
      <c r="O447" s="65"/>
      <c r="P447" s="65"/>
      <c r="Q447" s="66"/>
      <c r="R447" s="67"/>
    </row>
    <row r="448" spans="2:18" x14ac:dyDescent="0.25">
      <c r="B448" s="59"/>
      <c r="C448" s="60"/>
      <c r="D448" s="60"/>
      <c r="E448" s="60"/>
      <c r="F448" s="59"/>
      <c r="G448" s="59"/>
      <c r="H448" s="61"/>
      <c r="I448" s="61"/>
      <c r="J448" s="62"/>
      <c r="K448" s="61"/>
      <c r="L448" s="61"/>
      <c r="M448" s="63"/>
      <c r="N448" s="64"/>
      <c r="O448" s="65"/>
      <c r="P448" s="65"/>
      <c r="Q448" s="66"/>
      <c r="R448" s="67"/>
    </row>
    <row r="449" spans="2:18" x14ac:dyDescent="0.25">
      <c r="B449" s="59"/>
      <c r="C449" s="60"/>
      <c r="D449" s="60"/>
      <c r="E449" s="60"/>
      <c r="F449" s="59"/>
      <c r="G449" s="59"/>
      <c r="H449" s="61"/>
      <c r="I449" s="61"/>
      <c r="J449" s="62"/>
      <c r="K449" s="61"/>
      <c r="L449" s="61"/>
      <c r="M449" s="63"/>
      <c r="N449" s="64"/>
      <c r="O449" s="65"/>
      <c r="P449" s="65"/>
      <c r="Q449" s="66"/>
      <c r="R449" s="67"/>
    </row>
    <row r="450" spans="2:18" x14ac:dyDescent="0.25">
      <c r="B450" s="59"/>
      <c r="C450" s="60"/>
      <c r="D450" s="60"/>
      <c r="E450" s="60"/>
      <c r="F450" s="59"/>
      <c r="G450" s="59"/>
      <c r="H450" s="61"/>
      <c r="I450" s="61"/>
      <c r="J450" s="62"/>
      <c r="K450" s="61"/>
      <c r="L450" s="61"/>
      <c r="M450" s="63"/>
      <c r="N450" s="64"/>
      <c r="O450" s="65"/>
      <c r="P450" s="65"/>
      <c r="Q450" s="66"/>
      <c r="R450" s="67"/>
    </row>
    <row r="451" spans="2:18" x14ac:dyDescent="0.25">
      <c r="B451" s="59"/>
      <c r="C451" s="60"/>
      <c r="D451" s="60"/>
      <c r="E451" s="60"/>
      <c r="F451" s="59"/>
      <c r="G451" s="59"/>
      <c r="H451" s="61"/>
      <c r="I451" s="61"/>
      <c r="J451" s="62"/>
      <c r="K451" s="61"/>
      <c r="L451" s="61"/>
      <c r="M451" s="63"/>
      <c r="N451" s="64"/>
      <c r="O451" s="65"/>
      <c r="P451" s="65"/>
      <c r="Q451" s="66"/>
      <c r="R451" s="67"/>
    </row>
    <row r="452" spans="2:18" x14ac:dyDescent="0.25">
      <c r="B452" s="59"/>
      <c r="C452" s="60"/>
      <c r="D452" s="60"/>
      <c r="E452" s="60"/>
      <c r="F452" s="59"/>
      <c r="G452" s="59"/>
      <c r="H452" s="61"/>
      <c r="I452" s="61"/>
      <c r="J452" s="62"/>
      <c r="K452" s="61"/>
      <c r="L452" s="61"/>
      <c r="M452" s="63"/>
      <c r="N452" s="64"/>
      <c r="O452" s="65"/>
      <c r="P452" s="65"/>
      <c r="Q452" s="66"/>
      <c r="R452" s="67"/>
    </row>
    <row r="453" spans="2:18" x14ac:dyDescent="0.25">
      <c r="B453" s="59"/>
      <c r="C453" s="60"/>
      <c r="D453" s="60"/>
      <c r="E453" s="60"/>
      <c r="F453" s="59"/>
      <c r="G453" s="59"/>
      <c r="H453" s="61"/>
      <c r="I453" s="61"/>
      <c r="J453" s="62"/>
      <c r="K453" s="61"/>
      <c r="L453" s="61"/>
      <c r="M453" s="63"/>
      <c r="N453" s="64"/>
      <c r="O453" s="65"/>
      <c r="P453" s="65"/>
      <c r="Q453" s="66"/>
      <c r="R453" s="67"/>
    </row>
    <row r="454" spans="2:18" x14ac:dyDescent="0.25">
      <c r="B454" s="59"/>
      <c r="C454" s="60"/>
      <c r="D454" s="60"/>
      <c r="E454" s="60"/>
      <c r="F454" s="59"/>
      <c r="G454" s="59"/>
      <c r="H454" s="61"/>
      <c r="I454" s="61"/>
      <c r="J454" s="62"/>
      <c r="K454" s="61"/>
      <c r="L454" s="61"/>
      <c r="M454" s="63"/>
      <c r="N454" s="64"/>
      <c r="O454" s="65"/>
      <c r="P454" s="65"/>
      <c r="Q454" s="66"/>
      <c r="R454" s="67"/>
    </row>
    <row r="455" spans="2:18" x14ac:dyDescent="0.25">
      <c r="B455" s="59"/>
      <c r="C455" s="60"/>
      <c r="D455" s="60"/>
      <c r="E455" s="60"/>
      <c r="F455" s="59"/>
      <c r="G455" s="59"/>
      <c r="H455" s="61"/>
      <c r="I455" s="61"/>
      <c r="J455" s="62"/>
      <c r="K455" s="61"/>
      <c r="L455" s="61"/>
      <c r="M455" s="63"/>
      <c r="N455" s="64"/>
      <c r="O455" s="65"/>
      <c r="P455" s="65"/>
      <c r="Q455" s="66"/>
      <c r="R455" s="67"/>
    </row>
    <row r="456" spans="2:18" x14ac:dyDescent="0.25">
      <c r="B456" s="59"/>
      <c r="C456" s="60"/>
      <c r="D456" s="60"/>
      <c r="E456" s="60"/>
      <c r="F456" s="59"/>
      <c r="G456" s="59"/>
      <c r="H456" s="61"/>
      <c r="I456" s="61"/>
      <c r="J456" s="62"/>
      <c r="K456" s="61"/>
      <c r="L456" s="61"/>
      <c r="M456" s="63"/>
      <c r="N456" s="64"/>
      <c r="O456" s="65"/>
      <c r="P456" s="65"/>
      <c r="Q456" s="66"/>
      <c r="R456" s="67"/>
    </row>
    <row r="457" spans="2:18" x14ac:dyDescent="0.25">
      <c r="B457" s="59"/>
      <c r="C457" s="60"/>
      <c r="D457" s="60"/>
      <c r="E457" s="60"/>
      <c r="F457" s="59"/>
      <c r="G457" s="59"/>
      <c r="H457" s="61"/>
      <c r="I457" s="61"/>
      <c r="J457" s="62"/>
      <c r="K457" s="61"/>
      <c r="L457" s="61"/>
      <c r="M457" s="63"/>
      <c r="N457" s="64"/>
      <c r="O457" s="65"/>
      <c r="P457" s="65"/>
      <c r="Q457" s="66"/>
      <c r="R457" s="67"/>
    </row>
    <row r="458" spans="2:18" x14ac:dyDescent="0.25">
      <c r="B458" s="59"/>
      <c r="C458" s="60"/>
      <c r="D458" s="60"/>
      <c r="E458" s="60"/>
      <c r="F458" s="59"/>
      <c r="G458" s="59"/>
      <c r="H458" s="61"/>
      <c r="I458" s="61"/>
      <c r="J458" s="62"/>
      <c r="K458" s="61"/>
      <c r="L458" s="61"/>
      <c r="M458" s="63"/>
      <c r="N458" s="64"/>
      <c r="O458" s="65"/>
      <c r="P458" s="65"/>
      <c r="Q458" s="66"/>
      <c r="R458" s="67"/>
    </row>
    <row r="459" spans="2:18" x14ac:dyDescent="0.25">
      <c r="B459" s="59"/>
      <c r="C459" s="60"/>
      <c r="D459" s="60"/>
      <c r="E459" s="60"/>
      <c r="F459" s="59"/>
      <c r="G459" s="59"/>
      <c r="H459" s="61"/>
      <c r="I459" s="61"/>
      <c r="J459" s="62"/>
      <c r="K459" s="61"/>
      <c r="L459" s="61"/>
      <c r="M459" s="63"/>
      <c r="N459" s="64"/>
      <c r="O459" s="65"/>
      <c r="P459" s="65"/>
      <c r="Q459" s="66"/>
      <c r="R459" s="67"/>
    </row>
    <row r="460" spans="2:18" x14ac:dyDescent="0.25">
      <c r="B460" s="59"/>
      <c r="C460" s="60"/>
      <c r="D460" s="60"/>
      <c r="E460" s="60"/>
      <c r="F460" s="59"/>
      <c r="G460" s="59"/>
      <c r="H460" s="61"/>
      <c r="I460" s="61"/>
      <c r="J460" s="62"/>
      <c r="K460" s="61"/>
      <c r="L460" s="61"/>
      <c r="M460" s="63"/>
      <c r="N460" s="64"/>
      <c r="O460" s="65"/>
      <c r="P460" s="65"/>
      <c r="Q460" s="66"/>
      <c r="R460" s="67"/>
    </row>
    <row r="461" spans="2:18" x14ac:dyDescent="0.25">
      <c r="B461" s="59"/>
      <c r="C461" s="60"/>
      <c r="D461" s="60"/>
      <c r="E461" s="60"/>
      <c r="F461" s="59"/>
      <c r="G461" s="59"/>
      <c r="H461" s="61"/>
      <c r="I461" s="61"/>
      <c r="J461" s="62"/>
      <c r="K461" s="61"/>
      <c r="L461" s="61"/>
      <c r="M461" s="63"/>
      <c r="N461" s="64"/>
      <c r="O461" s="65"/>
      <c r="P461" s="65"/>
      <c r="Q461" s="66"/>
      <c r="R461" s="67"/>
    </row>
    <row r="462" spans="2:18" x14ac:dyDescent="0.25">
      <c r="B462" s="59"/>
      <c r="C462" s="60"/>
      <c r="D462" s="60"/>
      <c r="E462" s="60"/>
      <c r="F462" s="59"/>
      <c r="G462" s="59"/>
      <c r="H462" s="61"/>
      <c r="I462" s="61"/>
      <c r="J462" s="62"/>
      <c r="K462" s="61"/>
      <c r="L462" s="61"/>
      <c r="M462" s="63"/>
      <c r="N462" s="64"/>
      <c r="O462" s="65"/>
      <c r="P462" s="65"/>
      <c r="Q462" s="66"/>
      <c r="R462" s="67"/>
    </row>
    <row r="463" spans="2:18" x14ac:dyDescent="0.25">
      <c r="B463" s="59"/>
      <c r="C463" s="60"/>
      <c r="D463" s="60"/>
      <c r="E463" s="60"/>
      <c r="F463" s="59"/>
      <c r="G463" s="59"/>
      <c r="H463" s="61"/>
      <c r="I463" s="61"/>
      <c r="J463" s="62"/>
      <c r="K463" s="61"/>
      <c r="L463" s="61"/>
      <c r="M463" s="63"/>
      <c r="N463" s="64"/>
      <c r="O463" s="65"/>
      <c r="P463" s="65"/>
      <c r="Q463" s="66"/>
      <c r="R463" s="67"/>
    </row>
    <row r="464" spans="2:18" x14ac:dyDescent="0.25">
      <c r="B464" s="59"/>
      <c r="C464" s="60"/>
      <c r="D464" s="60"/>
      <c r="E464" s="60"/>
      <c r="F464" s="59"/>
      <c r="G464" s="59"/>
      <c r="H464" s="61"/>
      <c r="I464" s="61"/>
      <c r="J464" s="62"/>
      <c r="K464" s="61"/>
      <c r="L464" s="61"/>
      <c r="M464" s="63"/>
      <c r="N464" s="64"/>
      <c r="O464" s="65"/>
      <c r="P464" s="65"/>
      <c r="Q464" s="66"/>
      <c r="R464" s="67"/>
    </row>
    <row r="465" spans="2:18" x14ac:dyDescent="0.25">
      <c r="B465" s="59"/>
      <c r="C465" s="60"/>
      <c r="D465" s="60"/>
      <c r="E465" s="60"/>
      <c r="F465" s="59"/>
      <c r="G465" s="59"/>
      <c r="H465" s="61"/>
      <c r="I465" s="61"/>
      <c r="J465" s="62"/>
      <c r="K465" s="61"/>
      <c r="L465" s="61"/>
      <c r="M465" s="63"/>
      <c r="N465" s="64"/>
      <c r="O465" s="65"/>
      <c r="P465" s="65"/>
      <c r="Q465" s="66"/>
      <c r="R465" s="67"/>
    </row>
    <row r="466" spans="2:18" x14ac:dyDescent="0.25">
      <c r="B466" s="59"/>
      <c r="C466" s="60"/>
      <c r="D466" s="60"/>
      <c r="E466" s="60"/>
      <c r="F466" s="59"/>
      <c r="G466" s="59"/>
      <c r="H466" s="61"/>
      <c r="I466" s="61"/>
      <c r="J466" s="62"/>
      <c r="K466" s="61"/>
      <c r="L466" s="61"/>
      <c r="M466" s="63"/>
      <c r="N466" s="64"/>
      <c r="O466" s="65"/>
      <c r="P466" s="65"/>
      <c r="Q466" s="66"/>
      <c r="R466" s="67"/>
    </row>
    <row r="467" spans="2:18" x14ac:dyDescent="0.25">
      <c r="B467" s="59"/>
      <c r="C467" s="60"/>
      <c r="D467" s="60"/>
      <c r="E467" s="60"/>
      <c r="F467" s="59"/>
      <c r="G467" s="59"/>
      <c r="H467" s="61"/>
      <c r="I467" s="61"/>
      <c r="J467" s="62"/>
      <c r="K467" s="61"/>
      <c r="L467" s="61"/>
      <c r="M467" s="63"/>
      <c r="N467" s="64"/>
      <c r="O467" s="65"/>
      <c r="P467" s="65"/>
      <c r="Q467" s="66"/>
      <c r="R467" s="67"/>
    </row>
    <row r="468" spans="2:18" x14ac:dyDescent="0.25">
      <c r="B468" s="59"/>
      <c r="C468" s="60"/>
      <c r="D468" s="60"/>
      <c r="E468" s="60"/>
      <c r="F468" s="59"/>
      <c r="G468" s="59"/>
      <c r="H468" s="61"/>
      <c r="I468" s="61"/>
      <c r="J468" s="62"/>
      <c r="K468" s="61"/>
      <c r="L468" s="61"/>
      <c r="M468" s="63"/>
      <c r="N468" s="64"/>
      <c r="O468" s="65"/>
      <c r="P468" s="65"/>
      <c r="Q468" s="66"/>
      <c r="R468" s="67"/>
    </row>
    <row r="469" spans="2:18" x14ac:dyDescent="0.25">
      <c r="B469" s="59"/>
      <c r="C469" s="60"/>
      <c r="D469" s="60"/>
      <c r="E469" s="60"/>
      <c r="F469" s="59"/>
      <c r="G469" s="59"/>
      <c r="H469" s="61"/>
      <c r="I469" s="61"/>
      <c r="J469" s="62"/>
      <c r="K469" s="61"/>
      <c r="L469" s="61"/>
      <c r="M469" s="63"/>
      <c r="N469" s="64"/>
      <c r="O469" s="65"/>
      <c r="P469" s="65"/>
      <c r="Q469" s="66"/>
      <c r="R469" s="67"/>
    </row>
    <row r="470" spans="2:18" x14ac:dyDescent="0.25">
      <c r="B470" s="59"/>
      <c r="C470" s="60"/>
      <c r="D470" s="60"/>
      <c r="E470" s="60"/>
      <c r="F470" s="59"/>
      <c r="G470" s="59"/>
      <c r="H470" s="61"/>
      <c r="I470" s="61"/>
      <c r="J470" s="62"/>
      <c r="K470" s="61"/>
      <c r="L470" s="61"/>
      <c r="M470" s="63"/>
      <c r="N470" s="64"/>
      <c r="O470" s="65"/>
      <c r="P470" s="65"/>
      <c r="Q470" s="66"/>
      <c r="R470" s="67"/>
    </row>
    <row r="471" spans="2:18" x14ac:dyDescent="0.25">
      <c r="B471" s="59"/>
      <c r="C471" s="60"/>
      <c r="D471" s="60"/>
      <c r="E471" s="60"/>
      <c r="F471" s="59"/>
      <c r="G471" s="59"/>
      <c r="H471" s="61"/>
      <c r="I471" s="61"/>
      <c r="J471" s="62"/>
      <c r="K471" s="61"/>
      <c r="L471" s="61"/>
      <c r="M471" s="63"/>
      <c r="N471" s="64"/>
      <c r="O471" s="65"/>
      <c r="P471" s="65"/>
      <c r="Q471" s="66"/>
      <c r="R471" s="67"/>
    </row>
    <row r="472" spans="2:18" x14ac:dyDescent="0.25">
      <c r="B472" s="59"/>
      <c r="C472" s="60"/>
      <c r="D472" s="60"/>
      <c r="E472" s="60"/>
      <c r="F472" s="59"/>
      <c r="G472" s="59"/>
      <c r="H472" s="61"/>
      <c r="I472" s="61"/>
      <c r="J472" s="62"/>
      <c r="K472" s="61"/>
      <c r="L472" s="61"/>
      <c r="M472" s="63"/>
      <c r="N472" s="64"/>
      <c r="O472" s="65"/>
      <c r="P472" s="65"/>
      <c r="Q472" s="66"/>
      <c r="R472" s="67"/>
    </row>
    <row r="473" spans="2:18" x14ac:dyDescent="0.25">
      <c r="B473" s="59"/>
      <c r="C473" s="60"/>
      <c r="D473" s="60"/>
      <c r="E473" s="60"/>
      <c r="F473" s="59"/>
      <c r="G473" s="59"/>
      <c r="H473" s="61"/>
      <c r="I473" s="61"/>
      <c r="J473" s="62"/>
      <c r="K473" s="61"/>
      <c r="L473" s="61"/>
      <c r="M473" s="63"/>
      <c r="N473" s="64"/>
      <c r="O473" s="65"/>
      <c r="P473" s="65"/>
      <c r="Q473" s="66"/>
      <c r="R473" s="67"/>
    </row>
    <row r="474" spans="2:18" x14ac:dyDescent="0.25">
      <c r="B474" s="59"/>
      <c r="C474" s="60"/>
      <c r="D474" s="60"/>
      <c r="E474" s="60"/>
      <c r="F474" s="59"/>
      <c r="G474" s="59"/>
      <c r="H474" s="61"/>
      <c r="I474" s="61"/>
      <c r="J474" s="62"/>
      <c r="K474" s="61"/>
      <c r="L474" s="61"/>
      <c r="M474" s="63"/>
      <c r="N474" s="64"/>
      <c r="O474" s="65"/>
      <c r="P474" s="65"/>
      <c r="Q474" s="66"/>
      <c r="R474" s="67"/>
    </row>
    <row r="475" spans="2:18" x14ac:dyDescent="0.25">
      <c r="B475" s="59"/>
      <c r="C475" s="60"/>
      <c r="D475" s="60"/>
      <c r="E475" s="60"/>
      <c r="F475" s="59"/>
      <c r="G475" s="59"/>
      <c r="H475" s="61"/>
      <c r="I475" s="61"/>
      <c r="J475" s="62"/>
      <c r="K475" s="61"/>
      <c r="L475" s="61"/>
      <c r="M475" s="63"/>
      <c r="N475" s="64"/>
      <c r="O475" s="65"/>
      <c r="P475" s="65"/>
      <c r="Q475" s="66"/>
      <c r="R475" s="67"/>
    </row>
    <row r="476" spans="2:18" x14ac:dyDescent="0.25">
      <c r="B476" s="59"/>
      <c r="C476" s="60"/>
      <c r="D476" s="60"/>
      <c r="E476" s="60"/>
      <c r="F476" s="59"/>
      <c r="G476" s="59"/>
      <c r="H476" s="61"/>
      <c r="I476" s="61"/>
      <c r="J476" s="62"/>
      <c r="K476" s="61"/>
      <c r="L476" s="61"/>
      <c r="M476" s="63"/>
      <c r="N476" s="64"/>
      <c r="O476" s="65"/>
      <c r="P476" s="65"/>
      <c r="Q476" s="66"/>
      <c r="R476" s="67"/>
    </row>
    <row r="477" spans="2:18" x14ac:dyDescent="0.25">
      <c r="B477" s="59"/>
      <c r="C477" s="60"/>
      <c r="D477" s="60"/>
      <c r="E477" s="60"/>
      <c r="F477" s="59"/>
      <c r="G477" s="59"/>
      <c r="H477" s="61"/>
      <c r="I477" s="61"/>
      <c r="J477" s="62"/>
      <c r="K477" s="61"/>
      <c r="L477" s="61"/>
      <c r="M477" s="63"/>
      <c r="N477" s="64"/>
      <c r="O477" s="65"/>
      <c r="P477" s="65"/>
      <c r="Q477" s="66"/>
      <c r="R477" s="67"/>
    </row>
    <row r="478" spans="2:18" x14ac:dyDescent="0.25">
      <c r="B478" s="59"/>
      <c r="C478" s="60"/>
      <c r="D478" s="60"/>
      <c r="E478" s="60"/>
      <c r="F478" s="59"/>
      <c r="G478" s="59"/>
      <c r="H478" s="61"/>
      <c r="I478" s="61"/>
      <c r="J478" s="62"/>
      <c r="K478" s="61"/>
      <c r="L478" s="61"/>
      <c r="M478" s="63"/>
      <c r="N478" s="64"/>
      <c r="O478" s="65"/>
      <c r="P478" s="65"/>
      <c r="Q478" s="66"/>
      <c r="R478" s="67"/>
    </row>
    <row r="479" spans="2:18" x14ac:dyDescent="0.25">
      <c r="B479" s="59"/>
      <c r="C479" s="60"/>
      <c r="D479" s="60"/>
      <c r="E479" s="60"/>
      <c r="F479" s="59"/>
      <c r="G479" s="59"/>
      <c r="H479" s="61"/>
      <c r="I479" s="61"/>
      <c r="J479" s="62"/>
      <c r="K479" s="61"/>
      <c r="L479" s="61"/>
      <c r="M479" s="63"/>
      <c r="N479" s="64"/>
      <c r="O479" s="65"/>
      <c r="P479" s="65"/>
      <c r="Q479" s="66"/>
      <c r="R479" s="67"/>
    </row>
    <row r="480" spans="2:18" x14ac:dyDescent="0.25">
      <c r="B480" s="59"/>
      <c r="C480" s="60"/>
      <c r="D480" s="60"/>
      <c r="E480" s="60"/>
      <c r="F480" s="59"/>
      <c r="G480" s="59"/>
      <c r="H480" s="61"/>
      <c r="I480" s="61"/>
      <c r="J480" s="62"/>
      <c r="K480" s="61"/>
      <c r="L480" s="61"/>
      <c r="M480" s="63"/>
      <c r="N480" s="64"/>
      <c r="O480" s="65"/>
      <c r="P480" s="65"/>
      <c r="Q480" s="66"/>
      <c r="R480" s="67"/>
    </row>
    <row r="481" spans="2:18" x14ac:dyDescent="0.25">
      <c r="B481" s="59"/>
      <c r="C481" s="60"/>
      <c r="D481" s="60"/>
      <c r="E481" s="60"/>
      <c r="F481" s="59"/>
      <c r="G481" s="59"/>
      <c r="H481" s="61"/>
      <c r="I481" s="61"/>
      <c r="J481" s="62"/>
      <c r="K481" s="61"/>
      <c r="L481" s="61"/>
      <c r="M481" s="63"/>
      <c r="N481" s="64"/>
      <c r="O481" s="65"/>
      <c r="P481" s="65"/>
      <c r="Q481" s="66"/>
      <c r="R481" s="67"/>
    </row>
    <row r="482" spans="2:18" x14ac:dyDescent="0.25">
      <c r="B482" s="59"/>
      <c r="C482" s="60"/>
      <c r="D482" s="60"/>
      <c r="E482" s="60"/>
      <c r="F482" s="59"/>
      <c r="G482" s="59"/>
      <c r="H482" s="61"/>
      <c r="I482" s="61"/>
      <c r="J482" s="62"/>
      <c r="K482" s="61"/>
      <c r="L482" s="61"/>
      <c r="M482" s="63"/>
      <c r="N482" s="64"/>
      <c r="O482" s="65"/>
      <c r="P482" s="65"/>
      <c r="Q482" s="66"/>
      <c r="R482" s="67"/>
    </row>
    <row r="483" spans="2:18" x14ac:dyDescent="0.25">
      <c r="B483" s="59"/>
      <c r="C483" s="60"/>
      <c r="D483" s="60"/>
      <c r="E483" s="60"/>
      <c r="F483" s="59"/>
      <c r="G483" s="59"/>
      <c r="H483" s="61"/>
      <c r="I483" s="61"/>
      <c r="J483" s="62"/>
      <c r="K483" s="61"/>
      <c r="L483" s="61"/>
      <c r="M483" s="63"/>
      <c r="N483" s="64"/>
      <c r="O483" s="65"/>
      <c r="P483" s="65"/>
      <c r="Q483" s="66"/>
      <c r="R483" s="67"/>
    </row>
    <row r="484" spans="2:18" x14ac:dyDescent="0.25">
      <c r="B484" s="59"/>
      <c r="C484" s="60"/>
      <c r="D484" s="60"/>
      <c r="E484" s="60"/>
      <c r="F484" s="59"/>
      <c r="G484" s="59"/>
      <c r="H484" s="61"/>
      <c r="I484" s="61"/>
      <c r="J484" s="62"/>
      <c r="K484" s="61"/>
      <c r="L484" s="61"/>
      <c r="M484" s="63"/>
      <c r="N484" s="64"/>
      <c r="O484" s="65"/>
      <c r="P484" s="65"/>
      <c r="Q484" s="66"/>
      <c r="R484" s="67"/>
    </row>
    <row r="485" spans="2:18" x14ac:dyDescent="0.25">
      <c r="B485" s="59"/>
      <c r="C485" s="60"/>
      <c r="D485" s="60"/>
      <c r="E485" s="60"/>
      <c r="F485" s="59"/>
      <c r="G485" s="59"/>
      <c r="H485" s="61"/>
      <c r="I485" s="61"/>
      <c r="J485" s="62"/>
      <c r="K485" s="61"/>
      <c r="L485" s="61"/>
      <c r="M485" s="63"/>
      <c r="N485" s="64"/>
      <c r="O485" s="65"/>
      <c r="P485" s="65"/>
      <c r="Q485" s="66"/>
      <c r="R485" s="67"/>
    </row>
    <row r="486" spans="2:18" x14ac:dyDescent="0.25">
      <c r="B486" s="59"/>
      <c r="C486" s="60"/>
      <c r="D486" s="60"/>
      <c r="E486" s="60"/>
      <c r="F486" s="59"/>
      <c r="G486" s="59"/>
      <c r="H486" s="61"/>
      <c r="I486" s="61"/>
      <c r="J486" s="62"/>
      <c r="K486" s="61"/>
      <c r="L486" s="61"/>
      <c r="M486" s="63"/>
      <c r="N486" s="64"/>
      <c r="O486" s="65"/>
      <c r="P486" s="65"/>
      <c r="Q486" s="66"/>
      <c r="R486" s="67"/>
    </row>
    <row r="487" spans="2:18" x14ac:dyDescent="0.25">
      <c r="B487" s="59"/>
      <c r="C487" s="60"/>
      <c r="D487" s="60"/>
      <c r="E487" s="60"/>
      <c r="F487" s="59"/>
      <c r="G487" s="59"/>
      <c r="H487" s="61"/>
      <c r="I487" s="61"/>
      <c r="J487" s="62"/>
      <c r="K487" s="61"/>
      <c r="L487" s="61"/>
      <c r="M487" s="63"/>
      <c r="N487" s="64"/>
      <c r="O487" s="65"/>
      <c r="P487" s="65"/>
      <c r="Q487" s="66"/>
      <c r="R487" s="67"/>
    </row>
    <row r="488" spans="2:18" x14ac:dyDescent="0.25">
      <c r="B488" s="59"/>
      <c r="C488" s="60"/>
      <c r="D488" s="60"/>
      <c r="E488" s="60"/>
      <c r="F488" s="59"/>
      <c r="G488" s="59"/>
      <c r="H488" s="61"/>
      <c r="I488" s="61"/>
      <c r="J488" s="62"/>
      <c r="K488" s="61"/>
      <c r="L488" s="61"/>
      <c r="M488" s="63"/>
      <c r="N488" s="64"/>
      <c r="O488" s="65"/>
      <c r="P488" s="65"/>
      <c r="Q488" s="66"/>
      <c r="R488" s="67"/>
    </row>
    <row r="489" spans="2:18" x14ac:dyDescent="0.25">
      <c r="B489" s="59"/>
      <c r="C489" s="60"/>
      <c r="D489" s="60"/>
      <c r="E489" s="60"/>
      <c r="F489" s="59"/>
      <c r="G489" s="59"/>
      <c r="H489" s="61"/>
      <c r="I489" s="61"/>
      <c r="J489" s="62"/>
      <c r="K489" s="61"/>
      <c r="L489" s="61"/>
      <c r="M489" s="63"/>
      <c r="N489" s="64"/>
      <c r="O489" s="65"/>
      <c r="P489" s="65"/>
      <c r="Q489" s="66"/>
      <c r="R489" s="67"/>
    </row>
    <row r="490" spans="2:18" x14ac:dyDescent="0.25">
      <c r="B490" s="59"/>
      <c r="C490" s="60"/>
      <c r="D490" s="60"/>
      <c r="E490" s="60"/>
      <c r="F490" s="59"/>
      <c r="G490" s="59"/>
      <c r="H490" s="61"/>
      <c r="I490" s="61"/>
      <c r="J490" s="62"/>
      <c r="K490" s="61"/>
      <c r="L490" s="61"/>
      <c r="M490" s="63"/>
      <c r="N490" s="64"/>
      <c r="O490" s="65"/>
      <c r="P490" s="65"/>
      <c r="Q490" s="66"/>
      <c r="R490" s="67"/>
    </row>
    <row r="491" spans="2:18" x14ac:dyDescent="0.25">
      <c r="B491" s="59"/>
      <c r="C491" s="60"/>
      <c r="D491" s="60"/>
      <c r="E491" s="60"/>
      <c r="F491" s="59"/>
      <c r="G491" s="59"/>
      <c r="H491" s="61"/>
      <c r="I491" s="61"/>
      <c r="J491" s="62"/>
      <c r="K491" s="61"/>
      <c r="L491" s="61"/>
      <c r="M491" s="63"/>
      <c r="N491" s="64"/>
      <c r="O491" s="65"/>
      <c r="P491" s="65"/>
      <c r="Q491" s="66"/>
      <c r="R491" s="67"/>
    </row>
    <row r="492" spans="2:18" x14ac:dyDescent="0.25">
      <c r="B492" s="59"/>
      <c r="C492" s="60"/>
      <c r="D492" s="60"/>
      <c r="E492" s="60"/>
      <c r="F492" s="59"/>
      <c r="G492" s="59"/>
      <c r="H492" s="61"/>
      <c r="I492" s="61"/>
      <c r="J492" s="62"/>
      <c r="K492" s="61"/>
      <c r="L492" s="61"/>
      <c r="M492" s="63"/>
      <c r="N492" s="64"/>
      <c r="O492" s="65"/>
      <c r="P492" s="65"/>
      <c r="Q492" s="66"/>
      <c r="R492" s="67"/>
    </row>
    <row r="493" spans="2:18" x14ac:dyDescent="0.25">
      <c r="B493" s="59"/>
      <c r="C493" s="60"/>
      <c r="D493" s="60"/>
      <c r="E493" s="60"/>
      <c r="F493" s="59"/>
      <c r="G493" s="59"/>
      <c r="H493" s="61"/>
      <c r="I493" s="61"/>
      <c r="J493" s="62"/>
      <c r="K493" s="61"/>
      <c r="L493" s="61"/>
      <c r="M493" s="63"/>
      <c r="N493" s="64"/>
      <c r="O493" s="65"/>
      <c r="P493" s="65"/>
      <c r="Q493" s="66"/>
      <c r="R493" s="67"/>
    </row>
    <row r="494" spans="2:18" x14ac:dyDescent="0.25">
      <c r="B494" s="59"/>
      <c r="C494" s="60"/>
      <c r="D494" s="60"/>
      <c r="E494" s="60"/>
      <c r="F494" s="59"/>
      <c r="G494" s="59"/>
      <c r="H494" s="61"/>
      <c r="I494" s="61"/>
      <c r="J494" s="62"/>
      <c r="K494" s="61"/>
      <c r="L494" s="61"/>
      <c r="M494" s="63"/>
      <c r="N494" s="64"/>
      <c r="O494" s="65"/>
      <c r="P494" s="65"/>
      <c r="Q494" s="66"/>
      <c r="R494" s="67"/>
    </row>
    <row r="495" spans="2:18" x14ac:dyDescent="0.25">
      <c r="B495" s="59"/>
      <c r="C495" s="60"/>
      <c r="D495" s="60"/>
      <c r="E495" s="60"/>
      <c r="F495" s="59"/>
      <c r="G495" s="59"/>
      <c r="H495" s="61"/>
      <c r="I495" s="61"/>
      <c r="J495" s="62"/>
      <c r="K495" s="61"/>
      <c r="L495" s="61"/>
      <c r="M495" s="63"/>
      <c r="N495" s="64"/>
      <c r="O495" s="65"/>
      <c r="P495" s="65"/>
      <c r="Q495" s="66"/>
      <c r="R495" s="67"/>
    </row>
    <row r="496" spans="2:18" x14ac:dyDescent="0.25">
      <c r="B496" s="59"/>
      <c r="C496" s="60"/>
      <c r="D496" s="60"/>
      <c r="E496" s="60"/>
      <c r="F496" s="59"/>
      <c r="G496" s="59"/>
      <c r="H496" s="61"/>
      <c r="I496" s="61"/>
      <c r="J496" s="62"/>
      <c r="K496" s="61"/>
      <c r="L496" s="61"/>
      <c r="M496" s="63"/>
      <c r="N496" s="64"/>
      <c r="O496" s="65"/>
      <c r="P496" s="65"/>
      <c r="Q496" s="66"/>
      <c r="R496" s="67"/>
    </row>
    <row r="497" spans="2:18" x14ac:dyDescent="0.25">
      <c r="B497" s="59"/>
      <c r="C497" s="60"/>
      <c r="D497" s="60"/>
      <c r="E497" s="60"/>
      <c r="F497" s="59"/>
      <c r="G497" s="59"/>
      <c r="H497" s="61"/>
      <c r="I497" s="61"/>
      <c r="J497" s="62"/>
      <c r="K497" s="61"/>
      <c r="L497" s="61"/>
      <c r="M497" s="63"/>
      <c r="N497" s="64"/>
      <c r="O497" s="65"/>
      <c r="P497" s="65"/>
      <c r="Q497" s="66"/>
      <c r="R497" s="67"/>
    </row>
    <row r="498" spans="2:18" x14ac:dyDescent="0.25">
      <c r="B498" s="59"/>
      <c r="C498" s="60"/>
      <c r="D498" s="60"/>
      <c r="E498" s="60"/>
      <c r="F498" s="59"/>
      <c r="G498" s="59"/>
      <c r="H498" s="61"/>
      <c r="I498" s="61"/>
      <c r="J498" s="62"/>
      <c r="K498" s="61"/>
      <c r="L498" s="61"/>
      <c r="M498" s="63"/>
      <c r="N498" s="64"/>
      <c r="O498" s="65"/>
      <c r="P498" s="65"/>
      <c r="Q498" s="66"/>
      <c r="R498" s="67"/>
    </row>
    <row r="499" spans="2:18" x14ac:dyDescent="0.25">
      <c r="B499" s="59"/>
      <c r="C499" s="60"/>
      <c r="D499" s="60"/>
      <c r="E499" s="60"/>
      <c r="F499" s="59"/>
      <c r="G499" s="59"/>
      <c r="H499" s="61"/>
      <c r="I499" s="61"/>
      <c r="J499" s="62"/>
      <c r="K499" s="61"/>
      <c r="L499" s="61"/>
      <c r="M499" s="63"/>
      <c r="N499" s="64"/>
      <c r="O499" s="65"/>
      <c r="P499" s="65"/>
      <c r="Q499" s="66"/>
      <c r="R499" s="67"/>
    </row>
    <row r="500" spans="2:18" x14ac:dyDescent="0.25">
      <c r="B500" s="59"/>
      <c r="C500" s="60"/>
      <c r="D500" s="60"/>
      <c r="E500" s="60"/>
      <c r="F500" s="59"/>
      <c r="G500" s="59"/>
      <c r="H500" s="61"/>
      <c r="I500" s="61"/>
      <c r="J500" s="62"/>
      <c r="K500" s="61"/>
      <c r="L500" s="61"/>
      <c r="M500" s="63"/>
      <c r="N500" s="64"/>
      <c r="O500" s="65"/>
      <c r="P500" s="65"/>
      <c r="Q500" s="66"/>
      <c r="R500" s="67"/>
    </row>
    <row r="501" spans="2:18" x14ac:dyDescent="0.25">
      <c r="B501" s="59"/>
      <c r="C501" s="60"/>
      <c r="D501" s="60"/>
      <c r="E501" s="60"/>
      <c r="F501" s="59"/>
      <c r="G501" s="59"/>
      <c r="H501" s="61"/>
      <c r="I501" s="61"/>
      <c r="J501" s="62"/>
      <c r="K501" s="61"/>
      <c r="L501" s="61"/>
      <c r="M501" s="63"/>
      <c r="N501" s="64"/>
      <c r="O501" s="65"/>
      <c r="P501" s="65"/>
      <c r="Q501" s="66"/>
      <c r="R501" s="67"/>
    </row>
    <row r="502" spans="2:18" x14ac:dyDescent="0.25">
      <c r="B502" s="59"/>
      <c r="C502" s="60"/>
      <c r="D502" s="60"/>
      <c r="E502" s="60"/>
      <c r="F502" s="59"/>
      <c r="G502" s="59"/>
      <c r="H502" s="61"/>
      <c r="I502" s="61"/>
      <c r="J502" s="62"/>
      <c r="K502" s="61"/>
      <c r="L502" s="61"/>
      <c r="M502" s="63"/>
      <c r="N502" s="64"/>
      <c r="O502" s="65"/>
      <c r="P502" s="65"/>
      <c r="Q502" s="66"/>
      <c r="R502" s="67"/>
    </row>
    <row r="503" spans="2:18" x14ac:dyDescent="0.25">
      <c r="B503" s="59"/>
      <c r="C503" s="60"/>
      <c r="D503" s="60"/>
      <c r="E503" s="60"/>
      <c r="F503" s="59"/>
      <c r="G503" s="59"/>
      <c r="H503" s="61"/>
      <c r="I503" s="61"/>
      <c r="J503" s="62"/>
      <c r="K503" s="61"/>
      <c r="L503" s="61"/>
      <c r="M503" s="63"/>
      <c r="N503" s="64"/>
      <c r="O503" s="65"/>
      <c r="P503" s="65"/>
      <c r="Q503" s="66"/>
      <c r="R503" s="67"/>
    </row>
    <row r="504" spans="2:18" x14ac:dyDescent="0.25">
      <c r="B504" s="59"/>
      <c r="C504" s="60"/>
      <c r="D504" s="60"/>
      <c r="E504" s="60"/>
      <c r="F504" s="59"/>
      <c r="G504" s="59"/>
      <c r="H504" s="61"/>
      <c r="I504" s="61"/>
      <c r="J504" s="62"/>
      <c r="K504" s="61"/>
      <c r="L504" s="61"/>
      <c r="M504" s="63"/>
      <c r="N504" s="64"/>
      <c r="O504" s="65"/>
      <c r="P504" s="65"/>
      <c r="Q504" s="66"/>
      <c r="R504" s="67"/>
    </row>
    <row r="505" spans="2:18" x14ac:dyDescent="0.25">
      <c r="B505" s="59"/>
      <c r="C505" s="60"/>
      <c r="D505" s="60"/>
      <c r="E505" s="60"/>
      <c r="F505" s="59"/>
      <c r="G505" s="59"/>
      <c r="H505" s="61"/>
      <c r="I505" s="61"/>
      <c r="J505" s="62"/>
      <c r="K505" s="61"/>
      <c r="L505" s="61"/>
      <c r="M505" s="63"/>
      <c r="N505" s="64"/>
      <c r="O505" s="65"/>
      <c r="P505" s="65"/>
      <c r="Q505" s="66"/>
      <c r="R505" s="67"/>
    </row>
    <row r="506" spans="2:18" x14ac:dyDescent="0.25">
      <c r="B506" s="59"/>
      <c r="C506" s="60"/>
      <c r="D506" s="60"/>
      <c r="E506" s="60"/>
      <c r="F506" s="59"/>
      <c r="G506" s="59"/>
      <c r="H506" s="61"/>
      <c r="I506" s="61"/>
      <c r="J506" s="62"/>
      <c r="K506" s="61"/>
      <c r="L506" s="61"/>
      <c r="M506" s="63"/>
      <c r="N506" s="64"/>
      <c r="O506" s="65"/>
      <c r="P506" s="65"/>
      <c r="Q506" s="66"/>
      <c r="R506" s="67"/>
    </row>
    <row r="507" spans="2:18" x14ac:dyDescent="0.25">
      <c r="B507" s="59"/>
      <c r="C507" s="60"/>
      <c r="D507" s="60"/>
      <c r="E507" s="60"/>
      <c r="F507" s="59"/>
      <c r="G507" s="59"/>
      <c r="H507" s="61"/>
      <c r="I507" s="61"/>
      <c r="J507" s="62"/>
      <c r="K507" s="61"/>
      <c r="L507" s="61"/>
      <c r="M507" s="63"/>
      <c r="N507" s="64"/>
      <c r="O507" s="65"/>
      <c r="P507" s="65"/>
      <c r="Q507" s="66"/>
      <c r="R507" s="67"/>
    </row>
  </sheetData>
  <sheetProtection password="930D" sheet="1" objects="1" scenarios="1" formatColumns="0" autoFilter="0"/>
  <mergeCells count="3">
    <mergeCell ref="B6:C6"/>
    <mergeCell ref="D6:F6"/>
    <mergeCell ref="G6:K6"/>
  </mergeCells>
  <conditionalFormatting sqref="B8:R507">
    <cfRule type="expression" dxfId="39" priority="15">
      <formula>AND($B8&lt;&gt;"",MOD(ROW(),2)=0)</formula>
    </cfRule>
  </conditionalFormatting>
  <conditionalFormatting sqref="D6:F6">
    <cfRule type="expression" dxfId="38" priority="16">
      <formula>kpiNuevosDesdeCalculo=0</formula>
    </cfRule>
    <cfRule type="expression" dxfId="37" priority="17">
      <formula>kpiNuevosDesdeCalculo&gt;0</formula>
    </cfRule>
  </conditionalFormatting>
  <conditionalFormatting sqref="H8:H507">
    <cfRule type="expression" dxfId="36" priority="10">
      <formula>AND(ISNUMBER(H8),H8&lt;&gt;INT(H8))</formula>
    </cfRule>
  </conditionalFormatting>
  <conditionalFormatting sqref="I8:I507">
    <cfRule type="expression" dxfId="35" priority="11">
      <formula>AND(ISNUMBER(I8),I8&lt;&gt;INT(I8))</formula>
    </cfRule>
  </conditionalFormatting>
  <conditionalFormatting sqref="J8:J507">
    <cfRule type="expression" dxfId="34" priority="12">
      <formula>AND(ISNUMBER(J8),J8&lt;&gt;INT(J8))</formula>
    </cfRule>
  </conditionalFormatting>
  <conditionalFormatting sqref="K8:K507">
    <cfRule type="expression" dxfId="33" priority="13">
      <formula>AND(ISNUMBER(K8),K8&lt;&gt;INT(K8))</formula>
    </cfRule>
  </conditionalFormatting>
  <conditionalFormatting sqref="L8:L507">
    <cfRule type="expression" dxfId="32" priority="14">
      <formula>AND(ISNUMBER(L8),L8&lt;&gt;INT(L8))</formula>
    </cfRule>
  </conditionalFormatting>
  <conditionalFormatting sqref="M8:M507">
    <cfRule type="dataBar" priority="8">
      <dataBar>
        <cfvo type="num" val="0"/>
        <cfvo type="num" val="1"/>
        <color rgb="FF90CAF9"/>
      </dataBar>
      <extLst>
        <ext xmlns:x14="http://schemas.microsoft.com/office/spreadsheetml/2009/9/main" uri="{B025F937-C7B1-47D3-B67F-A62EFF666E3E}">
          <x14:id>{DA7ABA51-AAAA-BBBB-000B-000000000001}</x14:id>
        </ext>
      </extLst>
    </cfRule>
  </conditionalFormatting>
  <conditionalFormatting sqref="N8:N507">
    <cfRule type="expression" dxfId="31" priority="1">
      <formula>$N8="INCONSISTENTE"</formula>
    </cfRule>
    <cfRule type="expression" dxfId="30" priority="2">
      <formula>$N8="AGOTADO"</formula>
    </cfRule>
    <cfRule type="expression" dxfId="29" priority="3">
      <formula>$N8="CRÍTICO"</formula>
    </cfRule>
    <cfRule type="expression" dxfId="28" priority="4">
      <formula>$N8="BAJO"</formula>
    </cfRule>
    <cfRule type="expression" dxfId="27" priority="5">
      <formula>$N8="ÓPTIMO"</formula>
    </cfRule>
    <cfRule type="expression" dxfId="26" priority="6">
      <formula>$N8="SOBRESTOCK"</formula>
    </cfRule>
    <cfRule type="expression" dxfId="25" priority="7">
      <formula>$N8="INACTIVO"</formula>
    </cfRule>
  </conditionalFormatting>
  <conditionalFormatting sqref="R8:R507">
    <cfRule type="expression" dxfId="24" priority="9">
      <formula>AND(ISNUMBER($R8),$R8&gt;cfgDiasSinRotacion,$J8&gt;0)</formula>
    </cfRule>
  </conditionalFormatting>
  <hyperlinks>
    <hyperlink ref="H5" location="'00_PORTADA_BODEGA'!A1" tooltip="Portada de Bodega" display="⌂ Bodega" xr:uid="{00000000-0004-0000-0A00-000000000000}"/>
    <hyperlink ref="I5" location="'00_PORTADA_VENTAS'!A1" tooltip="Portada de Ventas" display="⌂ Ventas" xr:uid="{00000000-0004-0000-0A00-000001000000}"/>
    <hyperlink ref="J5" location="'10A_ENTRADAS'!C9" tooltip="Registrar entradas y ajustes (Bodega)" display="⇩ Entradas" xr:uid="{00000000-0004-0000-0A00-000002000000}"/>
    <hyperlink ref="K5" location="'10B_SALIDAS'!E9" tooltip="Registrar salidas (Ventas)" display="⇧ Salidas" xr:uid="{00000000-0004-0000-0A00-000003000000}"/>
    <hyperlink ref="L5" location="'15_STOCK'!A1" tooltip="Stock (instantánea recalculada a demanda)" display="▦ Stock" xr:uid="{00000000-0004-0000-0A00-000004000000}"/>
    <hyperlink ref="M5" location="'16_ALERTAS'!A1" tooltip="Productos que requieren acción" display="⚠ Alertas" xr:uid="{00000000-0004-0000-0A00-000005000000}"/>
    <hyperlink ref="N5" location="'05_PRODUCTOS'!A1" tooltip="Catálogo de productos" display="☰ Catálogo" xr:uid="{00000000-0004-0000-0A00-000006000000}"/>
    <hyperlink ref="O5" location="'99_AYUDA'!A1" tooltip="Guía de uso y de instalación" display="? Guía" xr:uid="{00000000-0004-0000-0A00-000007000000}"/>
  </hyperlinks>
  <pageMargins left="0.7" right="0.7" top="0.75" bottom="0.75" header="0.3" footer="0.3"/>
  <pageSetup fitToHeight="0"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A7ABA51-AAAA-BBBB-000B-000000000001}">
            <x14:dataBar minLength="0" maxLength="100" border="1" gradient="0" negativeBarBorderColorSameAsPositive="0">
              <x14:cfvo type="num">
                <xm:f>0</xm:f>
              </x14:cfvo>
              <x14:cfvo type="num">
                <xm:f>1</xm:f>
              </x14:cfvo>
              <x14:borderColor rgb="FF90CAF9"/>
              <x14:negativeFillColor rgb="FFFF0000"/>
              <x14:negativeBorderColor rgb="FFFF0000"/>
              <x14:axisColor rgb="FF000000"/>
            </x14:dataBar>
          </x14:cfRule>
          <xm:sqref>M8:M507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62828"/>
    <pageSetUpPr fitToPage="1"/>
  </sheetPr>
  <dimension ref="B1:O507"/>
  <sheetViews>
    <sheetView showGridLines="0" showRowColHeaders="0" zoomScale="90" zoomScaleNormal="90" workbookViewId="0">
      <pane ySplit="7" topLeftCell="A8" activePane="bottomLeft" state="frozen"/>
      <selection pane="bottomLeft" activeCell="B8" sqref="B8"/>
    </sheetView>
  </sheetViews>
  <sheetFormatPr baseColWidth="10" defaultColWidth="0" defaultRowHeight="15" zeroHeight="1" x14ac:dyDescent="0.25"/>
  <cols>
    <col min="1" max="1" width="2.28515625" customWidth="1"/>
    <col min="2" max="2" width="5.7109375" customWidth="1"/>
    <col min="3" max="3" width="18.5703125" customWidth="1"/>
    <col min="4" max="4" width="12" customWidth="1"/>
    <col min="5" max="5" width="38.5703125" customWidth="1"/>
    <col min="6" max="6" width="22.85546875" customWidth="1"/>
    <col min="7" max="7" width="28.5703125" customWidth="1"/>
    <col min="8" max="8" width="12.85546875" customWidth="1"/>
    <col min="9" max="10" width="12.5703125" customWidth="1"/>
    <col min="11" max="11" width="10" customWidth="1"/>
    <col min="12" max="12" width="12.5703125" customWidth="1"/>
    <col min="13" max="13" width="16.85546875" customWidth="1"/>
    <col min="14" max="14" width="35.7109375" customWidth="1"/>
    <col min="15" max="15" width="14.85546875" customWidth="1"/>
    <col min="16" max="16" width="2.28515625" customWidth="1"/>
    <col min="17" max="17" width="0" hidden="1" customWidth="1"/>
  </cols>
  <sheetData>
    <row r="1" spans="2:15" s="1" customFormat="1" ht="4.5" customHeight="1" x14ac:dyDescent="0.25"/>
    <row r="2" spans="2:15" s="1" customFormat="1" ht="22.5" customHeight="1" x14ac:dyDescent="0.25">
      <c r="B2" s="2" t="s">
        <v>207</v>
      </c>
    </row>
    <row r="3" spans="2:15" s="1" customFormat="1" ht="14.25" x14ac:dyDescent="0.25">
      <c r="B3" s="13" t="s">
        <v>208</v>
      </c>
    </row>
    <row r="4" spans="2:15" s="1" customFormat="1" ht="4.5" customHeight="1" x14ac:dyDescent="0.25"/>
    <row r="5" spans="2:15" s="4" customFormat="1" ht="21" customHeight="1" x14ac:dyDescent="0.25">
      <c r="B5" s="107" t="s">
        <v>82</v>
      </c>
      <c r="C5" s="107"/>
      <c r="D5" s="6" t="s">
        <v>83</v>
      </c>
      <c r="E5" s="6" t="s">
        <v>84</v>
      </c>
      <c r="F5" s="6" t="s">
        <v>85</v>
      </c>
      <c r="G5" s="6" t="s">
        <v>86</v>
      </c>
      <c r="H5" s="5" t="s">
        <v>87</v>
      </c>
      <c r="I5" s="6" t="s">
        <v>88</v>
      </c>
      <c r="J5" s="6" t="s">
        <v>89</v>
      </c>
    </row>
    <row r="6" spans="2:15" s="7" customFormat="1" ht="27" customHeight="1" x14ac:dyDescent="0.25">
      <c r="B6" s="108" t="str">
        <f>txtStockActualizado</f>
        <v>Stock aún no calculado</v>
      </c>
      <c r="C6" s="108"/>
      <c r="D6" s="108"/>
      <c r="E6" s="108"/>
      <c r="F6" s="108" t="str">
        <f>txtFrescuraCorta</f>
        <v>⚠ Sin calcular</v>
      </c>
      <c r="G6" s="108"/>
      <c r="H6" s="83" t="s">
        <v>206</v>
      </c>
      <c r="I6" s="83"/>
      <c r="J6" s="83"/>
      <c r="K6" s="83"/>
      <c r="L6" s="83"/>
      <c r="M6" s="83"/>
    </row>
    <row r="7" spans="2:15" ht="24" customHeight="1" x14ac:dyDescent="0.25">
      <c r="B7" s="15" t="s">
        <v>209</v>
      </c>
      <c r="C7" s="15" t="s">
        <v>56</v>
      </c>
      <c r="D7" s="15" t="s">
        <v>111</v>
      </c>
      <c r="E7" s="15" t="s">
        <v>112</v>
      </c>
      <c r="F7" s="15" t="s">
        <v>113</v>
      </c>
      <c r="G7" s="15" t="s">
        <v>100</v>
      </c>
      <c r="H7" s="15" t="s">
        <v>210</v>
      </c>
      <c r="I7" s="15" t="s">
        <v>211</v>
      </c>
      <c r="J7" s="15" t="s">
        <v>212</v>
      </c>
      <c r="K7" s="15" t="s">
        <v>114</v>
      </c>
      <c r="L7" s="15" t="s">
        <v>213</v>
      </c>
      <c r="M7" s="15" t="s">
        <v>214</v>
      </c>
      <c r="N7" s="15" t="s">
        <v>215</v>
      </c>
      <c r="O7" s="15" t="s">
        <v>204</v>
      </c>
    </row>
    <row r="8" spans="2:15" x14ac:dyDescent="0.25">
      <c r="B8" s="68"/>
      <c r="C8" s="64"/>
      <c r="D8" s="59"/>
      <c r="E8" s="60"/>
      <c r="F8" s="60"/>
      <c r="G8" s="60"/>
      <c r="H8" s="62"/>
      <c r="I8" s="61"/>
      <c r="J8" s="61"/>
      <c r="K8" s="59"/>
      <c r="L8" s="61"/>
      <c r="M8" s="61"/>
      <c r="N8" s="60"/>
      <c r="O8" s="66"/>
    </row>
    <row r="9" spans="2:15" x14ac:dyDescent="0.25">
      <c r="B9" s="68"/>
      <c r="C9" s="64"/>
      <c r="D9" s="59"/>
      <c r="E9" s="60"/>
      <c r="F9" s="60"/>
      <c r="G9" s="60"/>
      <c r="H9" s="62"/>
      <c r="I9" s="61"/>
      <c r="J9" s="61"/>
      <c r="K9" s="59"/>
      <c r="L9" s="61"/>
      <c r="M9" s="61"/>
      <c r="N9" s="60"/>
      <c r="O9" s="66"/>
    </row>
    <row r="10" spans="2:15" x14ac:dyDescent="0.25">
      <c r="B10" s="68"/>
      <c r="C10" s="64"/>
      <c r="D10" s="59"/>
      <c r="E10" s="60"/>
      <c r="F10" s="60"/>
      <c r="G10" s="60"/>
      <c r="H10" s="62"/>
      <c r="I10" s="61"/>
      <c r="J10" s="61"/>
      <c r="K10" s="59"/>
      <c r="L10" s="61"/>
      <c r="M10" s="61"/>
      <c r="N10" s="60"/>
      <c r="O10" s="66"/>
    </row>
    <row r="11" spans="2:15" x14ac:dyDescent="0.25">
      <c r="B11" s="68"/>
      <c r="C11" s="64"/>
      <c r="D11" s="59"/>
      <c r="E11" s="60"/>
      <c r="F11" s="60"/>
      <c r="G11" s="60"/>
      <c r="H11" s="62"/>
      <c r="I11" s="61"/>
      <c r="J11" s="61"/>
      <c r="K11" s="59"/>
      <c r="L11" s="61"/>
      <c r="M11" s="61"/>
      <c r="N11" s="60"/>
      <c r="O11" s="66"/>
    </row>
    <row r="12" spans="2:15" x14ac:dyDescent="0.25">
      <c r="B12" s="68"/>
      <c r="C12" s="64"/>
      <c r="D12" s="59"/>
      <c r="E12" s="60"/>
      <c r="F12" s="60"/>
      <c r="G12" s="60"/>
      <c r="H12" s="62"/>
      <c r="I12" s="61"/>
      <c r="J12" s="61"/>
      <c r="K12" s="59"/>
      <c r="L12" s="61"/>
      <c r="M12" s="61"/>
      <c r="N12" s="60"/>
      <c r="O12" s="66"/>
    </row>
    <row r="13" spans="2:15" x14ac:dyDescent="0.25">
      <c r="B13" s="68"/>
      <c r="C13" s="64"/>
      <c r="D13" s="59"/>
      <c r="E13" s="60"/>
      <c r="F13" s="60"/>
      <c r="G13" s="60"/>
      <c r="H13" s="62"/>
      <c r="I13" s="61"/>
      <c r="J13" s="61"/>
      <c r="K13" s="59"/>
      <c r="L13" s="61"/>
      <c r="M13" s="61"/>
      <c r="N13" s="60"/>
      <c r="O13" s="66"/>
    </row>
    <row r="14" spans="2:15" x14ac:dyDescent="0.25">
      <c r="B14" s="68"/>
      <c r="C14" s="64"/>
      <c r="D14" s="59"/>
      <c r="E14" s="60"/>
      <c r="F14" s="60"/>
      <c r="G14" s="60"/>
      <c r="H14" s="62"/>
      <c r="I14" s="61"/>
      <c r="J14" s="61"/>
      <c r="K14" s="59"/>
      <c r="L14" s="61"/>
      <c r="M14" s="61"/>
      <c r="N14" s="60"/>
      <c r="O14" s="66"/>
    </row>
    <row r="15" spans="2:15" x14ac:dyDescent="0.25">
      <c r="B15" s="68"/>
      <c r="C15" s="64"/>
      <c r="D15" s="59"/>
      <c r="E15" s="60"/>
      <c r="F15" s="60"/>
      <c r="G15" s="60"/>
      <c r="H15" s="62"/>
      <c r="I15" s="61"/>
      <c r="J15" s="61"/>
      <c r="K15" s="59"/>
      <c r="L15" s="61"/>
      <c r="M15" s="61"/>
      <c r="N15" s="60"/>
      <c r="O15" s="66"/>
    </row>
    <row r="16" spans="2:15" x14ac:dyDescent="0.25">
      <c r="B16" s="68"/>
      <c r="C16" s="64"/>
      <c r="D16" s="59"/>
      <c r="E16" s="60"/>
      <c r="F16" s="60"/>
      <c r="G16" s="60"/>
      <c r="H16" s="62"/>
      <c r="I16" s="61"/>
      <c r="J16" s="61"/>
      <c r="K16" s="59"/>
      <c r="L16" s="61"/>
      <c r="M16" s="61"/>
      <c r="N16" s="60"/>
      <c r="O16" s="66"/>
    </row>
    <row r="17" spans="2:15" x14ac:dyDescent="0.25">
      <c r="B17" s="68"/>
      <c r="C17" s="64"/>
      <c r="D17" s="59"/>
      <c r="E17" s="60"/>
      <c r="F17" s="60"/>
      <c r="G17" s="60"/>
      <c r="H17" s="62"/>
      <c r="I17" s="61"/>
      <c r="J17" s="61"/>
      <c r="K17" s="59"/>
      <c r="L17" s="61"/>
      <c r="M17" s="61"/>
      <c r="N17" s="60"/>
      <c r="O17" s="66"/>
    </row>
    <row r="18" spans="2:15" x14ac:dyDescent="0.25">
      <c r="B18" s="68"/>
      <c r="C18" s="64"/>
      <c r="D18" s="59"/>
      <c r="E18" s="60"/>
      <c r="F18" s="60"/>
      <c r="G18" s="60"/>
      <c r="H18" s="62"/>
      <c r="I18" s="61"/>
      <c r="J18" s="61"/>
      <c r="K18" s="59"/>
      <c r="L18" s="61"/>
      <c r="M18" s="61"/>
      <c r="N18" s="60"/>
      <c r="O18" s="66"/>
    </row>
    <row r="19" spans="2:15" x14ac:dyDescent="0.25">
      <c r="B19" s="68"/>
      <c r="C19" s="64"/>
      <c r="D19" s="59"/>
      <c r="E19" s="60"/>
      <c r="F19" s="60"/>
      <c r="G19" s="60"/>
      <c r="H19" s="62"/>
      <c r="I19" s="61"/>
      <c r="J19" s="61"/>
      <c r="K19" s="59"/>
      <c r="L19" s="61"/>
      <c r="M19" s="61"/>
      <c r="N19" s="60"/>
      <c r="O19" s="66"/>
    </row>
    <row r="20" spans="2:15" x14ac:dyDescent="0.25">
      <c r="B20" s="68"/>
      <c r="C20" s="64"/>
      <c r="D20" s="59"/>
      <c r="E20" s="60"/>
      <c r="F20" s="60"/>
      <c r="G20" s="60"/>
      <c r="H20" s="62"/>
      <c r="I20" s="61"/>
      <c r="J20" s="61"/>
      <c r="K20" s="59"/>
      <c r="L20" s="61"/>
      <c r="M20" s="61"/>
      <c r="N20" s="60"/>
      <c r="O20" s="66"/>
    </row>
    <row r="21" spans="2:15" x14ac:dyDescent="0.25">
      <c r="B21" s="68"/>
      <c r="C21" s="64"/>
      <c r="D21" s="59"/>
      <c r="E21" s="60"/>
      <c r="F21" s="60"/>
      <c r="G21" s="60"/>
      <c r="H21" s="62"/>
      <c r="I21" s="61"/>
      <c r="J21" s="61"/>
      <c r="K21" s="59"/>
      <c r="L21" s="61"/>
      <c r="M21" s="61"/>
      <c r="N21" s="60"/>
      <c r="O21" s="66"/>
    </row>
    <row r="22" spans="2:15" x14ac:dyDescent="0.25">
      <c r="B22" s="68"/>
      <c r="C22" s="64"/>
      <c r="D22" s="59"/>
      <c r="E22" s="60"/>
      <c r="F22" s="60"/>
      <c r="G22" s="60"/>
      <c r="H22" s="62"/>
      <c r="I22" s="61"/>
      <c r="J22" s="61"/>
      <c r="K22" s="59"/>
      <c r="L22" s="61"/>
      <c r="M22" s="61"/>
      <c r="N22" s="60"/>
      <c r="O22" s="66"/>
    </row>
    <row r="23" spans="2:15" x14ac:dyDescent="0.25">
      <c r="B23" s="68"/>
      <c r="C23" s="64"/>
      <c r="D23" s="59"/>
      <c r="E23" s="60"/>
      <c r="F23" s="60"/>
      <c r="G23" s="60"/>
      <c r="H23" s="62"/>
      <c r="I23" s="61"/>
      <c r="J23" s="61"/>
      <c r="K23" s="59"/>
      <c r="L23" s="61"/>
      <c r="M23" s="61"/>
      <c r="N23" s="60"/>
      <c r="O23" s="66"/>
    </row>
    <row r="24" spans="2:15" x14ac:dyDescent="0.25">
      <c r="B24" s="68"/>
      <c r="C24" s="64"/>
      <c r="D24" s="59"/>
      <c r="E24" s="60"/>
      <c r="F24" s="60"/>
      <c r="G24" s="60"/>
      <c r="H24" s="62"/>
      <c r="I24" s="61"/>
      <c r="J24" s="61"/>
      <c r="K24" s="59"/>
      <c r="L24" s="61"/>
      <c r="M24" s="61"/>
      <c r="N24" s="60"/>
      <c r="O24" s="66"/>
    </row>
    <row r="25" spans="2:15" x14ac:dyDescent="0.25">
      <c r="B25" s="68"/>
      <c r="C25" s="64"/>
      <c r="D25" s="59"/>
      <c r="E25" s="60"/>
      <c r="F25" s="60"/>
      <c r="G25" s="60"/>
      <c r="H25" s="62"/>
      <c r="I25" s="61"/>
      <c r="J25" s="61"/>
      <c r="K25" s="59"/>
      <c r="L25" s="61"/>
      <c r="M25" s="61"/>
      <c r="N25" s="60"/>
      <c r="O25" s="66"/>
    </row>
    <row r="26" spans="2:15" x14ac:dyDescent="0.25">
      <c r="B26" s="68"/>
      <c r="C26" s="64"/>
      <c r="D26" s="59"/>
      <c r="E26" s="60"/>
      <c r="F26" s="60"/>
      <c r="G26" s="60"/>
      <c r="H26" s="62"/>
      <c r="I26" s="61"/>
      <c r="J26" s="61"/>
      <c r="K26" s="59"/>
      <c r="L26" s="61"/>
      <c r="M26" s="61"/>
      <c r="N26" s="60"/>
      <c r="O26" s="66"/>
    </row>
    <row r="27" spans="2:15" x14ac:dyDescent="0.25">
      <c r="B27" s="68"/>
      <c r="C27" s="64"/>
      <c r="D27" s="59"/>
      <c r="E27" s="60"/>
      <c r="F27" s="60"/>
      <c r="G27" s="60"/>
      <c r="H27" s="62"/>
      <c r="I27" s="61"/>
      <c r="J27" s="61"/>
      <c r="K27" s="59"/>
      <c r="L27" s="61"/>
      <c r="M27" s="61"/>
      <c r="N27" s="60"/>
      <c r="O27" s="66"/>
    </row>
    <row r="28" spans="2:15" x14ac:dyDescent="0.25">
      <c r="B28" s="68"/>
      <c r="C28" s="64"/>
      <c r="D28" s="59"/>
      <c r="E28" s="60"/>
      <c r="F28" s="60"/>
      <c r="G28" s="60"/>
      <c r="H28" s="62"/>
      <c r="I28" s="61"/>
      <c r="J28" s="61"/>
      <c r="K28" s="59"/>
      <c r="L28" s="61"/>
      <c r="M28" s="61"/>
      <c r="N28" s="60"/>
      <c r="O28" s="66"/>
    </row>
    <row r="29" spans="2:15" x14ac:dyDescent="0.25">
      <c r="B29" s="68"/>
      <c r="C29" s="64"/>
      <c r="D29" s="59"/>
      <c r="E29" s="60"/>
      <c r="F29" s="60"/>
      <c r="G29" s="60"/>
      <c r="H29" s="62"/>
      <c r="I29" s="61"/>
      <c r="J29" s="61"/>
      <c r="K29" s="59"/>
      <c r="L29" s="61"/>
      <c r="M29" s="61"/>
      <c r="N29" s="60"/>
      <c r="O29" s="66"/>
    </row>
    <row r="30" spans="2:15" x14ac:dyDescent="0.25">
      <c r="B30" s="68"/>
      <c r="C30" s="64"/>
      <c r="D30" s="59"/>
      <c r="E30" s="60"/>
      <c r="F30" s="60"/>
      <c r="G30" s="60"/>
      <c r="H30" s="62"/>
      <c r="I30" s="61"/>
      <c r="J30" s="61"/>
      <c r="K30" s="59"/>
      <c r="L30" s="61"/>
      <c r="M30" s="61"/>
      <c r="N30" s="60"/>
      <c r="O30" s="66"/>
    </row>
    <row r="31" spans="2:15" x14ac:dyDescent="0.25">
      <c r="B31" s="68"/>
      <c r="C31" s="64"/>
      <c r="D31" s="59"/>
      <c r="E31" s="60"/>
      <c r="F31" s="60"/>
      <c r="G31" s="60"/>
      <c r="H31" s="62"/>
      <c r="I31" s="61"/>
      <c r="J31" s="61"/>
      <c r="K31" s="59"/>
      <c r="L31" s="61"/>
      <c r="M31" s="61"/>
      <c r="N31" s="60"/>
      <c r="O31" s="66"/>
    </row>
    <row r="32" spans="2:15" x14ac:dyDescent="0.25">
      <c r="B32" s="68"/>
      <c r="C32" s="64"/>
      <c r="D32" s="59"/>
      <c r="E32" s="60"/>
      <c r="F32" s="60"/>
      <c r="G32" s="60"/>
      <c r="H32" s="62"/>
      <c r="I32" s="61"/>
      <c r="J32" s="61"/>
      <c r="K32" s="59"/>
      <c r="L32" s="61"/>
      <c r="M32" s="61"/>
      <c r="N32" s="60"/>
      <c r="O32" s="66"/>
    </row>
    <row r="33" spans="2:15" x14ac:dyDescent="0.25">
      <c r="B33" s="68"/>
      <c r="C33" s="64"/>
      <c r="D33" s="59"/>
      <c r="E33" s="60"/>
      <c r="F33" s="60"/>
      <c r="G33" s="60"/>
      <c r="H33" s="62"/>
      <c r="I33" s="61"/>
      <c r="J33" s="61"/>
      <c r="K33" s="59"/>
      <c r="L33" s="61"/>
      <c r="M33" s="61"/>
      <c r="N33" s="60"/>
      <c r="O33" s="66"/>
    </row>
    <row r="34" spans="2:15" x14ac:dyDescent="0.25">
      <c r="B34" s="68"/>
      <c r="C34" s="64"/>
      <c r="D34" s="59"/>
      <c r="E34" s="60"/>
      <c r="F34" s="60"/>
      <c r="G34" s="60"/>
      <c r="H34" s="62"/>
      <c r="I34" s="61"/>
      <c r="J34" s="61"/>
      <c r="K34" s="59"/>
      <c r="L34" s="61"/>
      <c r="M34" s="61"/>
      <c r="N34" s="60"/>
      <c r="O34" s="66"/>
    </row>
    <row r="35" spans="2:15" x14ac:dyDescent="0.25">
      <c r="B35" s="68"/>
      <c r="C35" s="64"/>
      <c r="D35" s="59"/>
      <c r="E35" s="60"/>
      <c r="F35" s="60"/>
      <c r="G35" s="60"/>
      <c r="H35" s="62"/>
      <c r="I35" s="61"/>
      <c r="J35" s="61"/>
      <c r="K35" s="59"/>
      <c r="L35" s="61"/>
      <c r="M35" s="61"/>
      <c r="N35" s="60"/>
      <c r="O35" s="66"/>
    </row>
    <row r="36" spans="2:15" x14ac:dyDescent="0.25">
      <c r="B36" s="68"/>
      <c r="C36" s="64"/>
      <c r="D36" s="59"/>
      <c r="E36" s="60"/>
      <c r="F36" s="60"/>
      <c r="G36" s="60"/>
      <c r="H36" s="62"/>
      <c r="I36" s="61"/>
      <c r="J36" s="61"/>
      <c r="K36" s="59"/>
      <c r="L36" s="61"/>
      <c r="M36" s="61"/>
      <c r="N36" s="60"/>
      <c r="O36" s="66"/>
    </row>
    <row r="37" spans="2:15" x14ac:dyDescent="0.25">
      <c r="B37" s="68"/>
      <c r="C37" s="64"/>
      <c r="D37" s="59"/>
      <c r="E37" s="60"/>
      <c r="F37" s="60"/>
      <c r="G37" s="60"/>
      <c r="H37" s="62"/>
      <c r="I37" s="61"/>
      <c r="J37" s="61"/>
      <c r="K37" s="59"/>
      <c r="L37" s="61"/>
      <c r="M37" s="61"/>
      <c r="N37" s="60"/>
      <c r="O37" s="66"/>
    </row>
    <row r="38" spans="2:15" x14ac:dyDescent="0.25">
      <c r="B38" s="68"/>
      <c r="C38" s="64"/>
      <c r="D38" s="59"/>
      <c r="E38" s="60"/>
      <c r="F38" s="60"/>
      <c r="G38" s="60"/>
      <c r="H38" s="62"/>
      <c r="I38" s="61"/>
      <c r="J38" s="61"/>
      <c r="K38" s="59"/>
      <c r="L38" s="61"/>
      <c r="M38" s="61"/>
      <c r="N38" s="60"/>
      <c r="O38" s="66"/>
    </row>
    <row r="39" spans="2:15" x14ac:dyDescent="0.25">
      <c r="B39" s="68"/>
      <c r="C39" s="64"/>
      <c r="D39" s="59"/>
      <c r="E39" s="60"/>
      <c r="F39" s="60"/>
      <c r="G39" s="60"/>
      <c r="H39" s="62"/>
      <c r="I39" s="61"/>
      <c r="J39" s="61"/>
      <c r="K39" s="59"/>
      <c r="L39" s="61"/>
      <c r="M39" s="61"/>
      <c r="N39" s="60"/>
      <c r="O39" s="66"/>
    </row>
    <row r="40" spans="2:15" x14ac:dyDescent="0.25">
      <c r="B40" s="68"/>
      <c r="C40" s="64"/>
      <c r="D40" s="59"/>
      <c r="E40" s="60"/>
      <c r="F40" s="60"/>
      <c r="G40" s="60"/>
      <c r="H40" s="62"/>
      <c r="I40" s="61"/>
      <c r="J40" s="61"/>
      <c r="K40" s="59"/>
      <c r="L40" s="61"/>
      <c r="M40" s="61"/>
      <c r="N40" s="60"/>
      <c r="O40" s="66"/>
    </row>
    <row r="41" spans="2:15" x14ac:dyDescent="0.25">
      <c r="B41" s="68"/>
      <c r="C41" s="64"/>
      <c r="D41" s="59"/>
      <c r="E41" s="60"/>
      <c r="F41" s="60"/>
      <c r="G41" s="60"/>
      <c r="H41" s="62"/>
      <c r="I41" s="61"/>
      <c r="J41" s="61"/>
      <c r="K41" s="59"/>
      <c r="L41" s="61"/>
      <c r="M41" s="61"/>
      <c r="N41" s="60"/>
      <c r="O41" s="66"/>
    </row>
    <row r="42" spans="2:15" x14ac:dyDescent="0.25">
      <c r="B42" s="68"/>
      <c r="C42" s="64"/>
      <c r="D42" s="59"/>
      <c r="E42" s="60"/>
      <c r="F42" s="60"/>
      <c r="G42" s="60"/>
      <c r="H42" s="62"/>
      <c r="I42" s="61"/>
      <c r="J42" s="61"/>
      <c r="K42" s="59"/>
      <c r="L42" s="61"/>
      <c r="M42" s="61"/>
      <c r="N42" s="60"/>
      <c r="O42" s="66"/>
    </row>
    <row r="43" spans="2:15" x14ac:dyDescent="0.25">
      <c r="B43" s="68"/>
      <c r="C43" s="64"/>
      <c r="D43" s="59"/>
      <c r="E43" s="60"/>
      <c r="F43" s="60"/>
      <c r="G43" s="60"/>
      <c r="H43" s="62"/>
      <c r="I43" s="61"/>
      <c r="J43" s="61"/>
      <c r="K43" s="59"/>
      <c r="L43" s="61"/>
      <c r="M43" s="61"/>
      <c r="N43" s="60"/>
      <c r="O43" s="66"/>
    </row>
    <row r="44" spans="2:15" x14ac:dyDescent="0.25">
      <c r="B44" s="68"/>
      <c r="C44" s="64"/>
      <c r="D44" s="59"/>
      <c r="E44" s="60"/>
      <c r="F44" s="60"/>
      <c r="G44" s="60"/>
      <c r="H44" s="62"/>
      <c r="I44" s="61"/>
      <c r="J44" s="61"/>
      <c r="K44" s="59"/>
      <c r="L44" s="61"/>
      <c r="M44" s="61"/>
      <c r="N44" s="60"/>
      <c r="O44" s="66"/>
    </row>
    <row r="45" spans="2:15" x14ac:dyDescent="0.25">
      <c r="B45" s="68"/>
      <c r="C45" s="64"/>
      <c r="D45" s="59"/>
      <c r="E45" s="60"/>
      <c r="F45" s="60"/>
      <c r="G45" s="60"/>
      <c r="H45" s="62"/>
      <c r="I45" s="61"/>
      <c r="J45" s="61"/>
      <c r="K45" s="59"/>
      <c r="L45" s="61"/>
      <c r="M45" s="61"/>
      <c r="N45" s="60"/>
      <c r="O45" s="66"/>
    </row>
    <row r="46" spans="2:15" x14ac:dyDescent="0.25">
      <c r="B46" s="68"/>
      <c r="C46" s="64"/>
      <c r="D46" s="59"/>
      <c r="E46" s="60"/>
      <c r="F46" s="60"/>
      <c r="G46" s="60"/>
      <c r="H46" s="62"/>
      <c r="I46" s="61"/>
      <c r="J46" s="61"/>
      <c r="K46" s="59"/>
      <c r="L46" s="61"/>
      <c r="M46" s="61"/>
      <c r="N46" s="60"/>
      <c r="O46" s="66"/>
    </row>
    <row r="47" spans="2:15" x14ac:dyDescent="0.25">
      <c r="B47" s="68"/>
      <c r="C47" s="64"/>
      <c r="D47" s="59"/>
      <c r="E47" s="60"/>
      <c r="F47" s="60"/>
      <c r="G47" s="60"/>
      <c r="H47" s="62"/>
      <c r="I47" s="61"/>
      <c r="J47" s="61"/>
      <c r="K47" s="59"/>
      <c r="L47" s="61"/>
      <c r="M47" s="61"/>
      <c r="N47" s="60"/>
      <c r="O47" s="66"/>
    </row>
    <row r="48" spans="2:15" x14ac:dyDescent="0.25">
      <c r="B48" s="68"/>
      <c r="C48" s="64"/>
      <c r="D48" s="59"/>
      <c r="E48" s="60"/>
      <c r="F48" s="60"/>
      <c r="G48" s="60"/>
      <c r="H48" s="62"/>
      <c r="I48" s="61"/>
      <c r="J48" s="61"/>
      <c r="K48" s="59"/>
      <c r="L48" s="61"/>
      <c r="M48" s="61"/>
      <c r="N48" s="60"/>
      <c r="O48" s="66"/>
    </row>
    <row r="49" spans="2:15" x14ac:dyDescent="0.25">
      <c r="B49" s="68"/>
      <c r="C49" s="64"/>
      <c r="D49" s="59"/>
      <c r="E49" s="60"/>
      <c r="F49" s="60"/>
      <c r="G49" s="60"/>
      <c r="H49" s="62"/>
      <c r="I49" s="61"/>
      <c r="J49" s="61"/>
      <c r="K49" s="59"/>
      <c r="L49" s="61"/>
      <c r="M49" s="61"/>
      <c r="N49" s="60"/>
      <c r="O49" s="66"/>
    </row>
    <row r="50" spans="2:15" x14ac:dyDescent="0.25">
      <c r="B50" s="68"/>
      <c r="C50" s="64"/>
      <c r="D50" s="59"/>
      <c r="E50" s="60"/>
      <c r="F50" s="60"/>
      <c r="G50" s="60"/>
      <c r="H50" s="62"/>
      <c r="I50" s="61"/>
      <c r="J50" s="61"/>
      <c r="K50" s="59"/>
      <c r="L50" s="61"/>
      <c r="M50" s="61"/>
      <c r="N50" s="60"/>
      <c r="O50" s="66"/>
    </row>
    <row r="51" spans="2:15" x14ac:dyDescent="0.25">
      <c r="B51" s="68"/>
      <c r="C51" s="64"/>
      <c r="D51" s="59"/>
      <c r="E51" s="60"/>
      <c r="F51" s="60"/>
      <c r="G51" s="60"/>
      <c r="H51" s="62"/>
      <c r="I51" s="61"/>
      <c r="J51" s="61"/>
      <c r="K51" s="59"/>
      <c r="L51" s="61"/>
      <c r="M51" s="61"/>
      <c r="N51" s="60"/>
      <c r="O51" s="66"/>
    </row>
    <row r="52" spans="2:15" x14ac:dyDescent="0.25">
      <c r="B52" s="68"/>
      <c r="C52" s="64"/>
      <c r="D52" s="59"/>
      <c r="E52" s="60"/>
      <c r="F52" s="60"/>
      <c r="G52" s="60"/>
      <c r="H52" s="62"/>
      <c r="I52" s="61"/>
      <c r="J52" s="61"/>
      <c r="K52" s="59"/>
      <c r="L52" s="61"/>
      <c r="M52" s="61"/>
      <c r="N52" s="60"/>
      <c r="O52" s="66"/>
    </row>
    <row r="53" spans="2:15" x14ac:dyDescent="0.25">
      <c r="B53" s="68"/>
      <c r="C53" s="64"/>
      <c r="D53" s="59"/>
      <c r="E53" s="60"/>
      <c r="F53" s="60"/>
      <c r="G53" s="60"/>
      <c r="H53" s="62"/>
      <c r="I53" s="61"/>
      <c r="J53" s="61"/>
      <c r="K53" s="59"/>
      <c r="L53" s="61"/>
      <c r="M53" s="61"/>
      <c r="N53" s="60"/>
      <c r="O53" s="66"/>
    </row>
    <row r="54" spans="2:15" x14ac:dyDescent="0.25">
      <c r="B54" s="68"/>
      <c r="C54" s="64"/>
      <c r="D54" s="59"/>
      <c r="E54" s="60"/>
      <c r="F54" s="60"/>
      <c r="G54" s="60"/>
      <c r="H54" s="62"/>
      <c r="I54" s="61"/>
      <c r="J54" s="61"/>
      <c r="K54" s="59"/>
      <c r="L54" s="61"/>
      <c r="M54" s="61"/>
      <c r="N54" s="60"/>
      <c r="O54" s="66"/>
    </row>
    <row r="55" spans="2:15" x14ac:dyDescent="0.25">
      <c r="B55" s="68"/>
      <c r="C55" s="64"/>
      <c r="D55" s="59"/>
      <c r="E55" s="60"/>
      <c r="F55" s="60"/>
      <c r="G55" s="60"/>
      <c r="H55" s="62"/>
      <c r="I55" s="61"/>
      <c r="J55" s="61"/>
      <c r="K55" s="59"/>
      <c r="L55" s="61"/>
      <c r="M55" s="61"/>
      <c r="N55" s="60"/>
      <c r="O55" s="66"/>
    </row>
    <row r="56" spans="2:15" x14ac:dyDescent="0.25">
      <c r="B56" s="68"/>
      <c r="C56" s="64"/>
      <c r="D56" s="59"/>
      <c r="E56" s="60"/>
      <c r="F56" s="60"/>
      <c r="G56" s="60"/>
      <c r="H56" s="62"/>
      <c r="I56" s="61"/>
      <c r="J56" s="61"/>
      <c r="K56" s="59"/>
      <c r="L56" s="61"/>
      <c r="M56" s="61"/>
      <c r="N56" s="60"/>
      <c r="O56" s="66"/>
    </row>
    <row r="57" spans="2:15" x14ac:dyDescent="0.25">
      <c r="B57" s="68"/>
      <c r="C57" s="64"/>
      <c r="D57" s="59"/>
      <c r="E57" s="60"/>
      <c r="F57" s="60"/>
      <c r="G57" s="60"/>
      <c r="H57" s="62"/>
      <c r="I57" s="61"/>
      <c r="J57" s="61"/>
      <c r="K57" s="59"/>
      <c r="L57" s="61"/>
      <c r="M57" s="61"/>
      <c r="N57" s="60"/>
      <c r="O57" s="66"/>
    </row>
    <row r="58" spans="2:15" x14ac:dyDescent="0.25">
      <c r="B58" s="68"/>
      <c r="C58" s="64"/>
      <c r="D58" s="59"/>
      <c r="E58" s="60"/>
      <c r="F58" s="60"/>
      <c r="G58" s="60"/>
      <c r="H58" s="62"/>
      <c r="I58" s="61"/>
      <c r="J58" s="61"/>
      <c r="K58" s="59"/>
      <c r="L58" s="61"/>
      <c r="M58" s="61"/>
      <c r="N58" s="60"/>
      <c r="O58" s="66"/>
    </row>
    <row r="59" spans="2:15" x14ac:dyDescent="0.25">
      <c r="B59" s="68"/>
      <c r="C59" s="64"/>
      <c r="D59" s="59"/>
      <c r="E59" s="60"/>
      <c r="F59" s="60"/>
      <c r="G59" s="60"/>
      <c r="H59" s="62"/>
      <c r="I59" s="61"/>
      <c r="J59" s="61"/>
      <c r="K59" s="59"/>
      <c r="L59" s="61"/>
      <c r="M59" s="61"/>
      <c r="N59" s="60"/>
      <c r="O59" s="66"/>
    </row>
    <row r="60" spans="2:15" x14ac:dyDescent="0.25">
      <c r="B60" s="68"/>
      <c r="C60" s="64"/>
      <c r="D60" s="59"/>
      <c r="E60" s="60"/>
      <c r="F60" s="60"/>
      <c r="G60" s="60"/>
      <c r="H60" s="62"/>
      <c r="I60" s="61"/>
      <c r="J60" s="61"/>
      <c r="K60" s="59"/>
      <c r="L60" s="61"/>
      <c r="M60" s="61"/>
      <c r="N60" s="60"/>
      <c r="O60" s="66"/>
    </row>
    <row r="61" spans="2:15" x14ac:dyDescent="0.25">
      <c r="B61" s="68"/>
      <c r="C61" s="64"/>
      <c r="D61" s="59"/>
      <c r="E61" s="60"/>
      <c r="F61" s="60"/>
      <c r="G61" s="60"/>
      <c r="H61" s="62"/>
      <c r="I61" s="61"/>
      <c r="J61" s="61"/>
      <c r="K61" s="59"/>
      <c r="L61" s="61"/>
      <c r="M61" s="61"/>
      <c r="N61" s="60"/>
      <c r="O61" s="66"/>
    </row>
    <row r="62" spans="2:15" x14ac:dyDescent="0.25">
      <c r="B62" s="68"/>
      <c r="C62" s="64"/>
      <c r="D62" s="59"/>
      <c r="E62" s="60"/>
      <c r="F62" s="60"/>
      <c r="G62" s="60"/>
      <c r="H62" s="62"/>
      <c r="I62" s="61"/>
      <c r="J62" s="61"/>
      <c r="K62" s="59"/>
      <c r="L62" s="61"/>
      <c r="M62" s="61"/>
      <c r="N62" s="60"/>
      <c r="O62" s="66"/>
    </row>
    <row r="63" spans="2:15" x14ac:dyDescent="0.25">
      <c r="B63" s="68"/>
      <c r="C63" s="64"/>
      <c r="D63" s="59"/>
      <c r="E63" s="60"/>
      <c r="F63" s="60"/>
      <c r="G63" s="60"/>
      <c r="H63" s="62"/>
      <c r="I63" s="61"/>
      <c r="J63" s="61"/>
      <c r="K63" s="59"/>
      <c r="L63" s="61"/>
      <c r="M63" s="61"/>
      <c r="N63" s="60"/>
      <c r="O63" s="66"/>
    </row>
    <row r="64" spans="2:15" x14ac:dyDescent="0.25">
      <c r="B64" s="68"/>
      <c r="C64" s="64"/>
      <c r="D64" s="59"/>
      <c r="E64" s="60"/>
      <c r="F64" s="60"/>
      <c r="G64" s="60"/>
      <c r="H64" s="62"/>
      <c r="I64" s="61"/>
      <c r="J64" s="61"/>
      <c r="K64" s="59"/>
      <c r="L64" s="61"/>
      <c r="M64" s="61"/>
      <c r="N64" s="60"/>
      <c r="O64" s="66"/>
    </row>
    <row r="65" spans="2:15" x14ac:dyDescent="0.25">
      <c r="B65" s="68"/>
      <c r="C65" s="64"/>
      <c r="D65" s="59"/>
      <c r="E65" s="60"/>
      <c r="F65" s="60"/>
      <c r="G65" s="60"/>
      <c r="H65" s="62"/>
      <c r="I65" s="61"/>
      <c r="J65" s="61"/>
      <c r="K65" s="59"/>
      <c r="L65" s="61"/>
      <c r="M65" s="61"/>
      <c r="N65" s="60"/>
      <c r="O65" s="66"/>
    </row>
    <row r="66" spans="2:15" x14ac:dyDescent="0.25">
      <c r="B66" s="68"/>
      <c r="C66" s="64"/>
      <c r="D66" s="59"/>
      <c r="E66" s="60"/>
      <c r="F66" s="60"/>
      <c r="G66" s="60"/>
      <c r="H66" s="62"/>
      <c r="I66" s="61"/>
      <c r="J66" s="61"/>
      <c r="K66" s="59"/>
      <c r="L66" s="61"/>
      <c r="M66" s="61"/>
      <c r="N66" s="60"/>
      <c r="O66" s="66"/>
    </row>
    <row r="67" spans="2:15" x14ac:dyDescent="0.25">
      <c r="B67" s="68"/>
      <c r="C67" s="64"/>
      <c r="D67" s="59"/>
      <c r="E67" s="60"/>
      <c r="F67" s="60"/>
      <c r="G67" s="60"/>
      <c r="H67" s="62"/>
      <c r="I67" s="61"/>
      <c r="J67" s="61"/>
      <c r="K67" s="59"/>
      <c r="L67" s="61"/>
      <c r="M67" s="61"/>
      <c r="N67" s="60"/>
      <c r="O67" s="66"/>
    </row>
    <row r="68" spans="2:15" x14ac:dyDescent="0.25">
      <c r="B68" s="68"/>
      <c r="C68" s="64"/>
      <c r="D68" s="59"/>
      <c r="E68" s="60"/>
      <c r="F68" s="60"/>
      <c r="G68" s="60"/>
      <c r="H68" s="62"/>
      <c r="I68" s="61"/>
      <c r="J68" s="61"/>
      <c r="K68" s="59"/>
      <c r="L68" s="61"/>
      <c r="M68" s="61"/>
      <c r="N68" s="60"/>
      <c r="O68" s="66"/>
    </row>
    <row r="69" spans="2:15" x14ac:dyDescent="0.25">
      <c r="B69" s="68"/>
      <c r="C69" s="64"/>
      <c r="D69" s="59"/>
      <c r="E69" s="60"/>
      <c r="F69" s="60"/>
      <c r="G69" s="60"/>
      <c r="H69" s="62"/>
      <c r="I69" s="61"/>
      <c r="J69" s="61"/>
      <c r="K69" s="59"/>
      <c r="L69" s="61"/>
      <c r="M69" s="61"/>
      <c r="N69" s="60"/>
      <c r="O69" s="66"/>
    </row>
    <row r="70" spans="2:15" x14ac:dyDescent="0.25">
      <c r="B70" s="68"/>
      <c r="C70" s="64"/>
      <c r="D70" s="59"/>
      <c r="E70" s="60"/>
      <c r="F70" s="60"/>
      <c r="G70" s="60"/>
      <c r="H70" s="62"/>
      <c r="I70" s="61"/>
      <c r="J70" s="61"/>
      <c r="K70" s="59"/>
      <c r="L70" s="61"/>
      <c r="M70" s="61"/>
      <c r="N70" s="60"/>
      <c r="O70" s="66"/>
    </row>
    <row r="71" spans="2:15" x14ac:dyDescent="0.25">
      <c r="B71" s="68"/>
      <c r="C71" s="64"/>
      <c r="D71" s="59"/>
      <c r="E71" s="60"/>
      <c r="F71" s="60"/>
      <c r="G71" s="60"/>
      <c r="H71" s="62"/>
      <c r="I71" s="61"/>
      <c r="J71" s="61"/>
      <c r="K71" s="59"/>
      <c r="L71" s="61"/>
      <c r="M71" s="61"/>
      <c r="N71" s="60"/>
      <c r="O71" s="66"/>
    </row>
    <row r="72" spans="2:15" x14ac:dyDescent="0.25">
      <c r="B72" s="68"/>
      <c r="C72" s="64"/>
      <c r="D72" s="59"/>
      <c r="E72" s="60"/>
      <c r="F72" s="60"/>
      <c r="G72" s="60"/>
      <c r="H72" s="62"/>
      <c r="I72" s="61"/>
      <c r="J72" s="61"/>
      <c r="K72" s="59"/>
      <c r="L72" s="61"/>
      <c r="M72" s="61"/>
      <c r="N72" s="60"/>
      <c r="O72" s="66"/>
    </row>
    <row r="73" spans="2:15" x14ac:dyDescent="0.25">
      <c r="B73" s="68"/>
      <c r="C73" s="64"/>
      <c r="D73" s="59"/>
      <c r="E73" s="60"/>
      <c r="F73" s="60"/>
      <c r="G73" s="60"/>
      <c r="H73" s="62"/>
      <c r="I73" s="61"/>
      <c r="J73" s="61"/>
      <c r="K73" s="59"/>
      <c r="L73" s="61"/>
      <c r="M73" s="61"/>
      <c r="N73" s="60"/>
      <c r="O73" s="66"/>
    </row>
    <row r="74" spans="2:15" x14ac:dyDescent="0.25">
      <c r="B74" s="68"/>
      <c r="C74" s="64"/>
      <c r="D74" s="59"/>
      <c r="E74" s="60"/>
      <c r="F74" s="60"/>
      <c r="G74" s="60"/>
      <c r="H74" s="62"/>
      <c r="I74" s="61"/>
      <c r="J74" s="61"/>
      <c r="K74" s="59"/>
      <c r="L74" s="61"/>
      <c r="M74" s="61"/>
      <c r="N74" s="60"/>
      <c r="O74" s="66"/>
    </row>
    <row r="75" spans="2:15" x14ac:dyDescent="0.25">
      <c r="B75" s="68"/>
      <c r="C75" s="64"/>
      <c r="D75" s="59"/>
      <c r="E75" s="60"/>
      <c r="F75" s="60"/>
      <c r="G75" s="60"/>
      <c r="H75" s="62"/>
      <c r="I75" s="61"/>
      <c r="J75" s="61"/>
      <c r="K75" s="59"/>
      <c r="L75" s="61"/>
      <c r="M75" s="61"/>
      <c r="N75" s="60"/>
      <c r="O75" s="66"/>
    </row>
    <row r="76" spans="2:15" x14ac:dyDescent="0.25">
      <c r="B76" s="68"/>
      <c r="C76" s="64"/>
      <c r="D76" s="59"/>
      <c r="E76" s="60"/>
      <c r="F76" s="60"/>
      <c r="G76" s="60"/>
      <c r="H76" s="62"/>
      <c r="I76" s="61"/>
      <c r="J76" s="61"/>
      <c r="K76" s="59"/>
      <c r="L76" s="61"/>
      <c r="M76" s="61"/>
      <c r="N76" s="60"/>
      <c r="O76" s="66"/>
    </row>
    <row r="77" spans="2:15" x14ac:dyDescent="0.25">
      <c r="B77" s="68"/>
      <c r="C77" s="64"/>
      <c r="D77" s="59"/>
      <c r="E77" s="60"/>
      <c r="F77" s="60"/>
      <c r="G77" s="60"/>
      <c r="H77" s="62"/>
      <c r="I77" s="61"/>
      <c r="J77" s="61"/>
      <c r="K77" s="59"/>
      <c r="L77" s="61"/>
      <c r="M77" s="61"/>
      <c r="N77" s="60"/>
      <c r="O77" s="66"/>
    </row>
    <row r="78" spans="2:15" x14ac:dyDescent="0.25">
      <c r="B78" s="68"/>
      <c r="C78" s="64"/>
      <c r="D78" s="59"/>
      <c r="E78" s="60"/>
      <c r="F78" s="60"/>
      <c r="G78" s="60"/>
      <c r="H78" s="62"/>
      <c r="I78" s="61"/>
      <c r="J78" s="61"/>
      <c r="K78" s="59"/>
      <c r="L78" s="61"/>
      <c r="M78" s="61"/>
      <c r="N78" s="60"/>
      <c r="O78" s="66"/>
    </row>
    <row r="79" spans="2:15" x14ac:dyDescent="0.25">
      <c r="B79" s="68"/>
      <c r="C79" s="64"/>
      <c r="D79" s="59"/>
      <c r="E79" s="60"/>
      <c r="F79" s="60"/>
      <c r="G79" s="60"/>
      <c r="H79" s="62"/>
      <c r="I79" s="61"/>
      <c r="J79" s="61"/>
      <c r="K79" s="59"/>
      <c r="L79" s="61"/>
      <c r="M79" s="61"/>
      <c r="N79" s="60"/>
      <c r="O79" s="66"/>
    </row>
    <row r="80" spans="2:15" x14ac:dyDescent="0.25">
      <c r="B80" s="68"/>
      <c r="C80" s="64"/>
      <c r="D80" s="59"/>
      <c r="E80" s="60"/>
      <c r="F80" s="60"/>
      <c r="G80" s="60"/>
      <c r="H80" s="62"/>
      <c r="I80" s="61"/>
      <c r="J80" s="61"/>
      <c r="K80" s="59"/>
      <c r="L80" s="61"/>
      <c r="M80" s="61"/>
      <c r="N80" s="60"/>
      <c r="O80" s="66"/>
    </row>
    <row r="81" spans="2:15" x14ac:dyDescent="0.25">
      <c r="B81" s="68"/>
      <c r="C81" s="64"/>
      <c r="D81" s="59"/>
      <c r="E81" s="60"/>
      <c r="F81" s="60"/>
      <c r="G81" s="60"/>
      <c r="H81" s="62"/>
      <c r="I81" s="61"/>
      <c r="J81" s="61"/>
      <c r="K81" s="59"/>
      <c r="L81" s="61"/>
      <c r="M81" s="61"/>
      <c r="N81" s="60"/>
      <c r="O81" s="66"/>
    </row>
    <row r="82" spans="2:15" x14ac:dyDescent="0.25">
      <c r="B82" s="68"/>
      <c r="C82" s="64"/>
      <c r="D82" s="59"/>
      <c r="E82" s="60"/>
      <c r="F82" s="60"/>
      <c r="G82" s="60"/>
      <c r="H82" s="62"/>
      <c r="I82" s="61"/>
      <c r="J82" s="61"/>
      <c r="K82" s="59"/>
      <c r="L82" s="61"/>
      <c r="M82" s="61"/>
      <c r="N82" s="60"/>
      <c r="O82" s="66"/>
    </row>
    <row r="83" spans="2:15" x14ac:dyDescent="0.25">
      <c r="B83" s="68"/>
      <c r="C83" s="64"/>
      <c r="D83" s="59"/>
      <c r="E83" s="60"/>
      <c r="F83" s="60"/>
      <c r="G83" s="60"/>
      <c r="H83" s="62"/>
      <c r="I83" s="61"/>
      <c r="J83" s="61"/>
      <c r="K83" s="59"/>
      <c r="L83" s="61"/>
      <c r="M83" s="61"/>
      <c r="N83" s="60"/>
      <c r="O83" s="66"/>
    </row>
    <row r="84" spans="2:15" x14ac:dyDescent="0.25">
      <c r="B84" s="68"/>
      <c r="C84" s="64"/>
      <c r="D84" s="59"/>
      <c r="E84" s="60"/>
      <c r="F84" s="60"/>
      <c r="G84" s="60"/>
      <c r="H84" s="62"/>
      <c r="I84" s="61"/>
      <c r="J84" s="61"/>
      <c r="K84" s="59"/>
      <c r="L84" s="61"/>
      <c r="M84" s="61"/>
      <c r="N84" s="60"/>
      <c r="O84" s="66"/>
    </row>
    <row r="85" spans="2:15" x14ac:dyDescent="0.25">
      <c r="B85" s="68"/>
      <c r="C85" s="64"/>
      <c r="D85" s="59"/>
      <c r="E85" s="60"/>
      <c r="F85" s="60"/>
      <c r="G85" s="60"/>
      <c r="H85" s="62"/>
      <c r="I85" s="61"/>
      <c r="J85" s="61"/>
      <c r="K85" s="59"/>
      <c r="L85" s="61"/>
      <c r="M85" s="61"/>
      <c r="N85" s="60"/>
      <c r="O85" s="66"/>
    </row>
    <row r="86" spans="2:15" x14ac:dyDescent="0.25">
      <c r="B86" s="68"/>
      <c r="C86" s="64"/>
      <c r="D86" s="59"/>
      <c r="E86" s="60"/>
      <c r="F86" s="60"/>
      <c r="G86" s="60"/>
      <c r="H86" s="62"/>
      <c r="I86" s="61"/>
      <c r="J86" s="61"/>
      <c r="K86" s="59"/>
      <c r="L86" s="61"/>
      <c r="M86" s="61"/>
      <c r="N86" s="60"/>
      <c r="O86" s="66"/>
    </row>
    <row r="87" spans="2:15" x14ac:dyDescent="0.25">
      <c r="B87" s="68"/>
      <c r="C87" s="64"/>
      <c r="D87" s="59"/>
      <c r="E87" s="60"/>
      <c r="F87" s="60"/>
      <c r="G87" s="60"/>
      <c r="H87" s="62"/>
      <c r="I87" s="61"/>
      <c r="J87" s="61"/>
      <c r="K87" s="59"/>
      <c r="L87" s="61"/>
      <c r="M87" s="61"/>
      <c r="N87" s="60"/>
      <c r="O87" s="66"/>
    </row>
    <row r="88" spans="2:15" x14ac:dyDescent="0.25">
      <c r="B88" s="68"/>
      <c r="C88" s="64"/>
      <c r="D88" s="59"/>
      <c r="E88" s="60"/>
      <c r="F88" s="60"/>
      <c r="G88" s="60"/>
      <c r="H88" s="62"/>
      <c r="I88" s="61"/>
      <c r="J88" s="61"/>
      <c r="K88" s="59"/>
      <c r="L88" s="61"/>
      <c r="M88" s="61"/>
      <c r="N88" s="60"/>
      <c r="O88" s="66"/>
    </row>
    <row r="89" spans="2:15" x14ac:dyDescent="0.25">
      <c r="B89" s="68"/>
      <c r="C89" s="64"/>
      <c r="D89" s="59"/>
      <c r="E89" s="60"/>
      <c r="F89" s="60"/>
      <c r="G89" s="60"/>
      <c r="H89" s="62"/>
      <c r="I89" s="61"/>
      <c r="J89" s="61"/>
      <c r="K89" s="59"/>
      <c r="L89" s="61"/>
      <c r="M89" s="61"/>
      <c r="N89" s="60"/>
      <c r="O89" s="66"/>
    </row>
    <row r="90" spans="2:15" x14ac:dyDescent="0.25">
      <c r="B90" s="68"/>
      <c r="C90" s="64"/>
      <c r="D90" s="59"/>
      <c r="E90" s="60"/>
      <c r="F90" s="60"/>
      <c r="G90" s="60"/>
      <c r="H90" s="62"/>
      <c r="I90" s="61"/>
      <c r="J90" s="61"/>
      <c r="K90" s="59"/>
      <c r="L90" s="61"/>
      <c r="M90" s="61"/>
      <c r="N90" s="60"/>
      <c r="O90" s="66"/>
    </row>
    <row r="91" spans="2:15" x14ac:dyDescent="0.25">
      <c r="B91" s="68"/>
      <c r="C91" s="64"/>
      <c r="D91" s="59"/>
      <c r="E91" s="60"/>
      <c r="F91" s="60"/>
      <c r="G91" s="60"/>
      <c r="H91" s="62"/>
      <c r="I91" s="61"/>
      <c r="J91" s="61"/>
      <c r="K91" s="59"/>
      <c r="L91" s="61"/>
      <c r="M91" s="61"/>
      <c r="N91" s="60"/>
      <c r="O91" s="66"/>
    </row>
    <row r="92" spans="2:15" x14ac:dyDescent="0.25">
      <c r="B92" s="68"/>
      <c r="C92" s="64"/>
      <c r="D92" s="59"/>
      <c r="E92" s="60"/>
      <c r="F92" s="60"/>
      <c r="G92" s="60"/>
      <c r="H92" s="62"/>
      <c r="I92" s="61"/>
      <c r="J92" s="61"/>
      <c r="K92" s="59"/>
      <c r="L92" s="61"/>
      <c r="M92" s="61"/>
      <c r="N92" s="60"/>
      <c r="O92" s="66"/>
    </row>
    <row r="93" spans="2:15" x14ac:dyDescent="0.25">
      <c r="B93" s="68"/>
      <c r="C93" s="64"/>
      <c r="D93" s="59"/>
      <c r="E93" s="60"/>
      <c r="F93" s="60"/>
      <c r="G93" s="60"/>
      <c r="H93" s="62"/>
      <c r="I93" s="61"/>
      <c r="J93" s="61"/>
      <c r="K93" s="59"/>
      <c r="L93" s="61"/>
      <c r="M93" s="61"/>
      <c r="N93" s="60"/>
      <c r="O93" s="66"/>
    </row>
    <row r="94" spans="2:15" x14ac:dyDescent="0.25">
      <c r="B94" s="68"/>
      <c r="C94" s="64"/>
      <c r="D94" s="59"/>
      <c r="E94" s="60"/>
      <c r="F94" s="60"/>
      <c r="G94" s="60"/>
      <c r="H94" s="62"/>
      <c r="I94" s="61"/>
      <c r="J94" s="61"/>
      <c r="K94" s="59"/>
      <c r="L94" s="61"/>
      <c r="M94" s="61"/>
      <c r="N94" s="60"/>
      <c r="O94" s="66"/>
    </row>
    <row r="95" spans="2:15" x14ac:dyDescent="0.25">
      <c r="B95" s="68"/>
      <c r="C95" s="64"/>
      <c r="D95" s="59"/>
      <c r="E95" s="60"/>
      <c r="F95" s="60"/>
      <c r="G95" s="60"/>
      <c r="H95" s="62"/>
      <c r="I95" s="61"/>
      <c r="J95" s="61"/>
      <c r="K95" s="59"/>
      <c r="L95" s="61"/>
      <c r="M95" s="61"/>
      <c r="N95" s="60"/>
      <c r="O95" s="66"/>
    </row>
    <row r="96" spans="2:15" x14ac:dyDescent="0.25">
      <c r="B96" s="68"/>
      <c r="C96" s="64"/>
      <c r="D96" s="59"/>
      <c r="E96" s="60"/>
      <c r="F96" s="60"/>
      <c r="G96" s="60"/>
      <c r="H96" s="62"/>
      <c r="I96" s="61"/>
      <c r="J96" s="61"/>
      <c r="K96" s="59"/>
      <c r="L96" s="61"/>
      <c r="M96" s="61"/>
      <c r="N96" s="60"/>
      <c r="O96" s="66"/>
    </row>
    <row r="97" spans="2:15" x14ac:dyDescent="0.25">
      <c r="B97" s="68"/>
      <c r="C97" s="64"/>
      <c r="D97" s="59"/>
      <c r="E97" s="60"/>
      <c r="F97" s="60"/>
      <c r="G97" s="60"/>
      <c r="H97" s="62"/>
      <c r="I97" s="61"/>
      <c r="J97" s="61"/>
      <c r="K97" s="59"/>
      <c r="L97" s="61"/>
      <c r="M97" s="61"/>
      <c r="N97" s="60"/>
      <c r="O97" s="66"/>
    </row>
    <row r="98" spans="2:15" x14ac:dyDescent="0.25">
      <c r="B98" s="68"/>
      <c r="C98" s="64"/>
      <c r="D98" s="59"/>
      <c r="E98" s="60"/>
      <c r="F98" s="60"/>
      <c r="G98" s="60"/>
      <c r="H98" s="62"/>
      <c r="I98" s="61"/>
      <c r="J98" s="61"/>
      <c r="K98" s="59"/>
      <c r="L98" s="61"/>
      <c r="M98" s="61"/>
      <c r="N98" s="60"/>
      <c r="O98" s="66"/>
    </row>
    <row r="99" spans="2:15" x14ac:dyDescent="0.25">
      <c r="B99" s="68"/>
      <c r="C99" s="64"/>
      <c r="D99" s="59"/>
      <c r="E99" s="60"/>
      <c r="F99" s="60"/>
      <c r="G99" s="60"/>
      <c r="H99" s="62"/>
      <c r="I99" s="61"/>
      <c r="J99" s="61"/>
      <c r="K99" s="59"/>
      <c r="L99" s="61"/>
      <c r="M99" s="61"/>
      <c r="N99" s="60"/>
      <c r="O99" s="66"/>
    </row>
    <row r="100" spans="2:15" x14ac:dyDescent="0.25">
      <c r="B100" s="68"/>
      <c r="C100" s="64"/>
      <c r="D100" s="59"/>
      <c r="E100" s="60"/>
      <c r="F100" s="60"/>
      <c r="G100" s="60"/>
      <c r="H100" s="62"/>
      <c r="I100" s="61"/>
      <c r="J100" s="61"/>
      <c r="K100" s="59"/>
      <c r="L100" s="61"/>
      <c r="M100" s="61"/>
      <c r="N100" s="60"/>
      <c r="O100" s="66"/>
    </row>
    <row r="101" spans="2:15" x14ac:dyDescent="0.25">
      <c r="B101" s="68"/>
      <c r="C101" s="64"/>
      <c r="D101" s="59"/>
      <c r="E101" s="60"/>
      <c r="F101" s="60"/>
      <c r="G101" s="60"/>
      <c r="H101" s="62"/>
      <c r="I101" s="61"/>
      <c r="J101" s="61"/>
      <c r="K101" s="59"/>
      <c r="L101" s="61"/>
      <c r="M101" s="61"/>
      <c r="N101" s="60"/>
      <c r="O101" s="66"/>
    </row>
    <row r="102" spans="2:15" x14ac:dyDescent="0.25">
      <c r="B102" s="68"/>
      <c r="C102" s="64"/>
      <c r="D102" s="59"/>
      <c r="E102" s="60"/>
      <c r="F102" s="60"/>
      <c r="G102" s="60"/>
      <c r="H102" s="62"/>
      <c r="I102" s="61"/>
      <c r="J102" s="61"/>
      <c r="K102" s="59"/>
      <c r="L102" s="61"/>
      <c r="M102" s="61"/>
      <c r="N102" s="60"/>
      <c r="O102" s="66"/>
    </row>
    <row r="103" spans="2:15" x14ac:dyDescent="0.25">
      <c r="B103" s="68"/>
      <c r="C103" s="64"/>
      <c r="D103" s="59"/>
      <c r="E103" s="60"/>
      <c r="F103" s="60"/>
      <c r="G103" s="60"/>
      <c r="H103" s="62"/>
      <c r="I103" s="61"/>
      <c r="J103" s="61"/>
      <c r="K103" s="59"/>
      <c r="L103" s="61"/>
      <c r="M103" s="61"/>
      <c r="N103" s="60"/>
      <c r="O103" s="66"/>
    </row>
    <row r="104" spans="2:15" x14ac:dyDescent="0.25">
      <c r="B104" s="68"/>
      <c r="C104" s="64"/>
      <c r="D104" s="59"/>
      <c r="E104" s="60"/>
      <c r="F104" s="60"/>
      <c r="G104" s="60"/>
      <c r="H104" s="62"/>
      <c r="I104" s="61"/>
      <c r="J104" s="61"/>
      <c r="K104" s="59"/>
      <c r="L104" s="61"/>
      <c r="M104" s="61"/>
      <c r="N104" s="60"/>
      <c r="O104" s="66"/>
    </row>
    <row r="105" spans="2:15" x14ac:dyDescent="0.25">
      <c r="B105" s="68"/>
      <c r="C105" s="64"/>
      <c r="D105" s="59"/>
      <c r="E105" s="60"/>
      <c r="F105" s="60"/>
      <c r="G105" s="60"/>
      <c r="H105" s="62"/>
      <c r="I105" s="61"/>
      <c r="J105" s="61"/>
      <c r="K105" s="59"/>
      <c r="L105" s="61"/>
      <c r="M105" s="61"/>
      <c r="N105" s="60"/>
      <c r="O105" s="66"/>
    </row>
    <row r="106" spans="2:15" x14ac:dyDescent="0.25">
      <c r="B106" s="68"/>
      <c r="C106" s="64"/>
      <c r="D106" s="59"/>
      <c r="E106" s="60"/>
      <c r="F106" s="60"/>
      <c r="G106" s="60"/>
      <c r="H106" s="62"/>
      <c r="I106" s="61"/>
      <c r="J106" s="61"/>
      <c r="K106" s="59"/>
      <c r="L106" s="61"/>
      <c r="M106" s="61"/>
      <c r="N106" s="60"/>
      <c r="O106" s="66"/>
    </row>
    <row r="107" spans="2:15" x14ac:dyDescent="0.25">
      <c r="B107" s="68"/>
      <c r="C107" s="64"/>
      <c r="D107" s="59"/>
      <c r="E107" s="60"/>
      <c r="F107" s="60"/>
      <c r="G107" s="60"/>
      <c r="H107" s="62"/>
      <c r="I107" s="61"/>
      <c r="J107" s="61"/>
      <c r="K107" s="59"/>
      <c r="L107" s="61"/>
      <c r="M107" s="61"/>
      <c r="N107" s="60"/>
      <c r="O107" s="66"/>
    </row>
    <row r="108" spans="2:15" x14ac:dyDescent="0.25">
      <c r="B108" s="68"/>
      <c r="C108" s="64"/>
      <c r="D108" s="59"/>
      <c r="E108" s="60"/>
      <c r="F108" s="60"/>
      <c r="G108" s="60"/>
      <c r="H108" s="62"/>
      <c r="I108" s="61"/>
      <c r="J108" s="61"/>
      <c r="K108" s="59"/>
      <c r="L108" s="61"/>
      <c r="M108" s="61"/>
      <c r="N108" s="60"/>
      <c r="O108" s="66"/>
    </row>
    <row r="109" spans="2:15" x14ac:dyDescent="0.25">
      <c r="B109" s="68"/>
      <c r="C109" s="64"/>
      <c r="D109" s="59"/>
      <c r="E109" s="60"/>
      <c r="F109" s="60"/>
      <c r="G109" s="60"/>
      <c r="H109" s="62"/>
      <c r="I109" s="61"/>
      <c r="J109" s="61"/>
      <c r="K109" s="59"/>
      <c r="L109" s="61"/>
      <c r="M109" s="61"/>
      <c r="N109" s="60"/>
      <c r="O109" s="66"/>
    </row>
    <row r="110" spans="2:15" x14ac:dyDescent="0.25">
      <c r="B110" s="68"/>
      <c r="C110" s="64"/>
      <c r="D110" s="59"/>
      <c r="E110" s="60"/>
      <c r="F110" s="60"/>
      <c r="G110" s="60"/>
      <c r="H110" s="62"/>
      <c r="I110" s="61"/>
      <c r="J110" s="61"/>
      <c r="K110" s="59"/>
      <c r="L110" s="61"/>
      <c r="M110" s="61"/>
      <c r="N110" s="60"/>
      <c r="O110" s="66"/>
    </row>
    <row r="111" spans="2:15" x14ac:dyDescent="0.25">
      <c r="B111" s="68"/>
      <c r="C111" s="64"/>
      <c r="D111" s="59"/>
      <c r="E111" s="60"/>
      <c r="F111" s="60"/>
      <c r="G111" s="60"/>
      <c r="H111" s="62"/>
      <c r="I111" s="61"/>
      <c r="J111" s="61"/>
      <c r="K111" s="59"/>
      <c r="L111" s="61"/>
      <c r="M111" s="61"/>
      <c r="N111" s="60"/>
      <c r="O111" s="66"/>
    </row>
    <row r="112" spans="2:15" x14ac:dyDescent="0.25">
      <c r="B112" s="68"/>
      <c r="C112" s="64"/>
      <c r="D112" s="59"/>
      <c r="E112" s="60"/>
      <c r="F112" s="60"/>
      <c r="G112" s="60"/>
      <c r="H112" s="62"/>
      <c r="I112" s="61"/>
      <c r="J112" s="61"/>
      <c r="K112" s="59"/>
      <c r="L112" s="61"/>
      <c r="M112" s="61"/>
      <c r="N112" s="60"/>
      <c r="O112" s="66"/>
    </row>
    <row r="113" spans="2:15" x14ac:dyDescent="0.25">
      <c r="B113" s="68"/>
      <c r="C113" s="64"/>
      <c r="D113" s="59"/>
      <c r="E113" s="60"/>
      <c r="F113" s="60"/>
      <c r="G113" s="60"/>
      <c r="H113" s="62"/>
      <c r="I113" s="61"/>
      <c r="J113" s="61"/>
      <c r="K113" s="59"/>
      <c r="L113" s="61"/>
      <c r="M113" s="61"/>
      <c r="N113" s="60"/>
      <c r="O113" s="66"/>
    </row>
    <row r="114" spans="2:15" x14ac:dyDescent="0.25">
      <c r="B114" s="68"/>
      <c r="C114" s="64"/>
      <c r="D114" s="59"/>
      <c r="E114" s="60"/>
      <c r="F114" s="60"/>
      <c r="G114" s="60"/>
      <c r="H114" s="62"/>
      <c r="I114" s="61"/>
      <c r="J114" s="61"/>
      <c r="K114" s="59"/>
      <c r="L114" s="61"/>
      <c r="M114" s="61"/>
      <c r="N114" s="60"/>
      <c r="O114" s="66"/>
    </row>
    <row r="115" spans="2:15" x14ac:dyDescent="0.25">
      <c r="B115" s="68"/>
      <c r="C115" s="64"/>
      <c r="D115" s="59"/>
      <c r="E115" s="60"/>
      <c r="F115" s="60"/>
      <c r="G115" s="60"/>
      <c r="H115" s="62"/>
      <c r="I115" s="61"/>
      <c r="J115" s="61"/>
      <c r="K115" s="59"/>
      <c r="L115" s="61"/>
      <c r="M115" s="61"/>
      <c r="N115" s="60"/>
      <c r="O115" s="66"/>
    </row>
    <row r="116" spans="2:15" x14ac:dyDescent="0.25">
      <c r="B116" s="68"/>
      <c r="C116" s="64"/>
      <c r="D116" s="59"/>
      <c r="E116" s="60"/>
      <c r="F116" s="60"/>
      <c r="G116" s="60"/>
      <c r="H116" s="62"/>
      <c r="I116" s="61"/>
      <c r="J116" s="61"/>
      <c r="K116" s="59"/>
      <c r="L116" s="61"/>
      <c r="M116" s="61"/>
      <c r="N116" s="60"/>
      <c r="O116" s="66"/>
    </row>
    <row r="117" spans="2:15" x14ac:dyDescent="0.25">
      <c r="B117" s="68"/>
      <c r="C117" s="64"/>
      <c r="D117" s="59"/>
      <c r="E117" s="60"/>
      <c r="F117" s="60"/>
      <c r="G117" s="60"/>
      <c r="H117" s="62"/>
      <c r="I117" s="61"/>
      <c r="J117" s="61"/>
      <c r="K117" s="59"/>
      <c r="L117" s="61"/>
      <c r="M117" s="61"/>
      <c r="N117" s="60"/>
      <c r="O117" s="66"/>
    </row>
    <row r="118" spans="2:15" x14ac:dyDescent="0.25">
      <c r="B118" s="68"/>
      <c r="C118" s="64"/>
      <c r="D118" s="59"/>
      <c r="E118" s="60"/>
      <c r="F118" s="60"/>
      <c r="G118" s="60"/>
      <c r="H118" s="62"/>
      <c r="I118" s="61"/>
      <c r="J118" s="61"/>
      <c r="K118" s="59"/>
      <c r="L118" s="61"/>
      <c r="M118" s="61"/>
      <c r="N118" s="60"/>
      <c r="O118" s="66"/>
    </row>
    <row r="119" spans="2:15" x14ac:dyDescent="0.25">
      <c r="B119" s="68"/>
      <c r="C119" s="64"/>
      <c r="D119" s="59"/>
      <c r="E119" s="60"/>
      <c r="F119" s="60"/>
      <c r="G119" s="60"/>
      <c r="H119" s="62"/>
      <c r="I119" s="61"/>
      <c r="J119" s="61"/>
      <c r="K119" s="59"/>
      <c r="L119" s="61"/>
      <c r="M119" s="61"/>
      <c r="N119" s="60"/>
      <c r="O119" s="66"/>
    </row>
    <row r="120" spans="2:15" x14ac:dyDescent="0.25">
      <c r="B120" s="68"/>
      <c r="C120" s="64"/>
      <c r="D120" s="59"/>
      <c r="E120" s="60"/>
      <c r="F120" s="60"/>
      <c r="G120" s="60"/>
      <c r="H120" s="62"/>
      <c r="I120" s="61"/>
      <c r="J120" s="61"/>
      <c r="K120" s="59"/>
      <c r="L120" s="61"/>
      <c r="M120" s="61"/>
      <c r="N120" s="60"/>
      <c r="O120" s="66"/>
    </row>
    <row r="121" spans="2:15" x14ac:dyDescent="0.25">
      <c r="B121" s="68"/>
      <c r="C121" s="64"/>
      <c r="D121" s="59"/>
      <c r="E121" s="60"/>
      <c r="F121" s="60"/>
      <c r="G121" s="60"/>
      <c r="H121" s="62"/>
      <c r="I121" s="61"/>
      <c r="J121" s="61"/>
      <c r="K121" s="59"/>
      <c r="L121" s="61"/>
      <c r="M121" s="61"/>
      <c r="N121" s="60"/>
      <c r="O121" s="66"/>
    </row>
    <row r="122" spans="2:15" x14ac:dyDescent="0.25">
      <c r="B122" s="68"/>
      <c r="C122" s="64"/>
      <c r="D122" s="59"/>
      <c r="E122" s="60"/>
      <c r="F122" s="60"/>
      <c r="G122" s="60"/>
      <c r="H122" s="62"/>
      <c r="I122" s="61"/>
      <c r="J122" s="61"/>
      <c r="K122" s="59"/>
      <c r="L122" s="61"/>
      <c r="M122" s="61"/>
      <c r="N122" s="60"/>
      <c r="O122" s="66"/>
    </row>
    <row r="123" spans="2:15" x14ac:dyDescent="0.25">
      <c r="B123" s="68"/>
      <c r="C123" s="64"/>
      <c r="D123" s="59"/>
      <c r="E123" s="60"/>
      <c r="F123" s="60"/>
      <c r="G123" s="60"/>
      <c r="H123" s="62"/>
      <c r="I123" s="61"/>
      <c r="J123" s="61"/>
      <c r="K123" s="59"/>
      <c r="L123" s="61"/>
      <c r="M123" s="61"/>
      <c r="N123" s="60"/>
      <c r="O123" s="66"/>
    </row>
    <row r="124" spans="2:15" x14ac:dyDescent="0.25">
      <c r="B124" s="68"/>
      <c r="C124" s="64"/>
      <c r="D124" s="59"/>
      <c r="E124" s="60"/>
      <c r="F124" s="60"/>
      <c r="G124" s="60"/>
      <c r="H124" s="62"/>
      <c r="I124" s="61"/>
      <c r="J124" s="61"/>
      <c r="K124" s="59"/>
      <c r="L124" s="61"/>
      <c r="M124" s="61"/>
      <c r="N124" s="60"/>
      <c r="O124" s="66"/>
    </row>
    <row r="125" spans="2:15" x14ac:dyDescent="0.25">
      <c r="B125" s="68"/>
      <c r="C125" s="64"/>
      <c r="D125" s="59"/>
      <c r="E125" s="60"/>
      <c r="F125" s="60"/>
      <c r="G125" s="60"/>
      <c r="H125" s="62"/>
      <c r="I125" s="61"/>
      <c r="J125" s="61"/>
      <c r="K125" s="59"/>
      <c r="L125" s="61"/>
      <c r="M125" s="61"/>
      <c r="N125" s="60"/>
      <c r="O125" s="66"/>
    </row>
    <row r="126" spans="2:15" x14ac:dyDescent="0.25">
      <c r="B126" s="68"/>
      <c r="C126" s="64"/>
      <c r="D126" s="59"/>
      <c r="E126" s="60"/>
      <c r="F126" s="60"/>
      <c r="G126" s="60"/>
      <c r="H126" s="62"/>
      <c r="I126" s="61"/>
      <c r="J126" s="61"/>
      <c r="K126" s="59"/>
      <c r="L126" s="61"/>
      <c r="M126" s="61"/>
      <c r="N126" s="60"/>
      <c r="O126" s="66"/>
    </row>
    <row r="127" spans="2:15" x14ac:dyDescent="0.25">
      <c r="B127" s="68"/>
      <c r="C127" s="64"/>
      <c r="D127" s="59"/>
      <c r="E127" s="60"/>
      <c r="F127" s="60"/>
      <c r="G127" s="60"/>
      <c r="H127" s="62"/>
      <c r="I127" s="61"/>
      <c r="J127" s="61"/>
      <c r="K127" s="59"/>
      <c r="L127" s="61"/>
      <c r="M127" s="61"/>
      <c r="N127" s="60"/>
      <c r="O127" s="66"/>
    </row>
    <row r="128" spans="2:15" x14ac:dyDescent="0.25">
      <c r="B128" s="68"/>
      <c r="C128" s="64"/>
      <c r="D128" s="59"/>
      <c r="E128" s="60"/>
      <c r="F128" s="60"/>
      <c r="G128" s="60"/>
      <c r="H128" s="62"/>
      <c r="I128" s="61"/>
      <c r="J128" s="61"/>
      <c r="K128" s="59"/>
      <c r="L128" s="61"/>
      <c r="M128" s="61"/>
      <c r="N128" s="60"/>
      <c r="O128" s="66"/>
    </row>
    <row r="129" spans="2:15" x14ac:dyDescent="0.25">
      <c r="B129" s="68"/>
      <c r="C129" s="64"/>
      <c r="D129" s="59"/>
      <c r="E129" s="60"/>
      <c r="F129" s="60"/>
      <c r="G129" s="60"/>
      <c r="H129" s="62"/>
      <c r="I129" s="61"/>
      <c r="J129" s="61"/>
      <c r="K129" s="59"/>
      <c r="L129" s="61"/>
      <c r="M129" s="61"/>
      <c r="N129" s="60"/>
      <c r="O129" s="66"/>
    </row>
    <row r="130" spans="2:15" x14ac:dyDescent="0.25">
      <c r="B130" s="68"/>
      <c r="C130" s="64"/>
      <c r="D130" s="59"/>
      <c r="E130" s="60"/>
      <c r="F130" s="60"/>
      <c r="G130" s="60"/>
      <c r="H130" s="62"/>
      <c r="I130" s="61"/>
      <c r="J130" s="61"/>
      <c r="K130" s="59"/>
      <c r="L130" s="61"/>
      <c r="M130" s="61"/>
      <c r="N130" s="60"/>
      <c r="O130" s="66"/>
    </row>
    <row r="131" spans="2:15" x14ac:dyDescent="0.25">
      <c r="B131" s="68"/>
      <c r="C131" s="64"/>
      <c r="D131" s="59"/>
      <c r="E131" s="60"/>
      <c r="F131" s="60"/>
      <c r="G131" s="60"/>
      <c r="H131" s="62"/>
      <c r="I131" s="61"/>
      <c r="J131" s="61"/>
      <c r="K131" s="59"/>
      <c r="L131" s="61"/>
      <c r="M131" s="61"/>
      <c r="N131" s="60"/>
      <c r="O131" s="66"/>
    </row>
    <row r="132" spans="2:15" x14ac:dyDescent="0.25">
      <c r="B132" s="68"/>
      <c r="C132" s="64"/>
      <c r="D132" s="59"/>
      <c r="E132" s="60"/>
      <c r="F132" s="60"/>
      <c r="G132" s="60"/>
      <c r="H132" s="62"/>
      <c r="I132" s="61"/>
      <c r="J132" s="61"/>
      <c r="K132" s="59"/>
      <c r="L132" s="61"/>
      <c r="M132" s="61"/>
      <c r="N132" s="60"/>
      <c r="O132" s="66"/>
    </row>
    <row r="133" spans="2:15" x14ac:dyDescent="0.25">
      <c r="B133" s="68"/>
      <c r="C133" s="64"/>
      <c r="D133" s="59"/>
      <c r="E133" s="60"/>
      <c r="F133" s="60"/>
      <c r="G133" s="60"/>
      <c r="H133" s="62"/>
      <c r="I133" s="61"/>
      <c r="J133" s="61"/>
      <c r="K133" s="59"/>
      <c r="L133" s="61"/>
      <c r="M133" s="61"/>
      <c r="N133" s="60"/>
      <c r="O133" s="66"/>
    </row>
    <row r="134" spans="2:15" x14ac:dyDescent="0.25">
      <c r="B134" s="68"/>
      <c r="C134" s="64"/>
      <c r="D134" s="59"/>
      <c r="E134" s="60"/>
      <c r="F134" s="60"/>
      <c r="G134" s="60"/>
      <c r="H134" s="62"/>
      <c r="I134" s="61"/>
      <c r="J134" s="61"/>
      <c r="K134" s="59"/>
      <c r="L134" s="61"/>
      <c r="M134" s="61"/>
      <c r="N134" s="60"/>
      <c r="O134" s="66"/>
    </row>
    <row r="135" spans="2:15" x14ac:dyDescent="0.25">
      <c r="B135" s="68"/>
      <c r="C135" s="64"/>
      <c r="D135" s="59"/>
      <c r="E135" s="60"/>
      <c r="F135" s="60"/>
      <c r="G135" s="60"/>
      <c r="H135" s="62"/>
      <c r="I135" s="61"/>
      <c r="J135" s="61"/>
      <c r="K135" s="59"/>
      <c r="L135" s="61"/>
      <c r="M135" s="61"/>
      <c r="N135" s="60"/>
      <c r="O135" s="66"/>
    </row>
    <row r="136" spans="2:15" x14ac:dyDescent="0.25">
      <c r="B136" s="68"/>
      <c r="C136" s="64"/>
      <c r="D136" s="59"/>
      <c r="E136" s="60"/>
      <c r="F136" s="60"/>
      <c r="G136" s="60"/>
      <c r="H136" s="62"/>
      <c r="I136" s="61"/>
      <c r="J136" s="61"/>
      <c r="K136" s="59"/>
      <c r="L136" s="61"/>
      <c r="M136" s="61"/>
      <c r="N136" s="60"/>
      <c r="O136" s="66"/>
    </row>
    <row r="137" spans="2:15" x14ac:dyDescent="0.25">
      <c r="B137" s="68"/>
      <c r="C137" s="64"/>
      <c r="D137" s="59"/>
      <c r="E137" s="60"/>
      <c r="F137" s="60"/>
      <c r="G137" s="60"/>
      <c r="H137" s="62"/>
      <c r="I137" s="61"/>
      <c r="J137" s="61"/>
      <c r="K137" s="59"/>
      <c r="L137" s="61"/>
      <c r="M137" s="61"/>
      <c r="N137" s="60"/>
      <c r="O137" s="66"/>
    </row>
    <row r="138" spans="2:15" x14ac:dyDescent="0.25">
      <c r="B138" s="68"/>
      <c r="C138" s="64"/>
      <c r="D138" s="59"/>
      <c r="E138" s="60"/>
      <c r="F138" s="60"/>
      <c r="G138" s="60"/>
      <c r="H138" s="62"/>
      <c r="I138" s="61"/>
      <c r="J138" s="61"/>
      <c r="K138" s="59"/>
      <c r="L138" s="61"/>
      <c r="M138" s="61"/>
      <c r="N138" s="60"/>
      <c r="O138" s="66"/>
    </row>
    <row r="139" spans="2:15" x14ac:dyDescent="0.25">
      <c r="B139" s="68"/>
      <c r="C139" s="64"/>
      <c r="D139" s="59"/>
      <c r="E139" s="60"/>
      <c r="F139" s="60"/>
      <c r="G139" s="60"/>
      <c r="H139" s="62"/>
      <c r="I139" s="61"/>
      <c r="J139" s="61"/>
      <c r="K139" s="59"/>
      <c r="L139" s="61"/>
      <c r="M139" s="61"/>
      <c r="N139" s="60"/>
      <c r="O139" s="66"/>
    </row>
    <row r="140" spans="2:15" x14ac:dyDescent="0.25">
      <c r="B140" s="68"/>
      <c r="C140" s="64"/>
      <c r="D140" s="59"/>
      <c r="E140" s="60"/>
      <c r="F140" s="60"/>
      <c r="G140" s="60"/>
      <c r="H140" s="62"/>
      <c r="I140" s="61"/>
      <c r="J140" s="61"/>
      <c r="K140" s="59"/>
      <c r="L140" s="61"/>
      <c r="M140" s="61"/>
      <c r="N140" s="60"/>
      <c r="O140" s="66"/>
    </row>
    <row r="141" spans="2:15" x14ac:dyDescent="0.25">
      <c r="B141" s="68"/>
      <c r="C141" s="64"/>
      <c r="D141" s="59"/>
      <c r="E141" s="60"/>
      <c r="F141" s="60"/>
      <c r="G141" s="60"/>
      <c r="H141" s="62"/>
      <c r="I141" s="61"/>
      <c r="J141" s="61"/>
      <c r="K141" s="59"/>
      <c r="L141" s="61"/>
      <c r="M141" s="61"/>
      <c r="N141" s="60"/>
      <c r="O141" s="66"/>
    </row>
    <row r="142" spans="2:15" x14ac:dyDescent="0.25">
      <c r="B142" s="68"/>
      <c r="C142" s="64"/>
      <c r="D142" s="59"/>
      <c r="E142" s="60"/>
      <c r="F142" s="60"/>
      <c r="G142" s="60"/>
      <c r="H142" s="62"/>
      <c r="I142" s="61"/>
      <c r="J142" s="61"/>
      <c r="K142" s="59"/>
      <c r="L142" s="61"/>
      <c r="M142" s="61"/>
      <c r="N142" s="60"/>
      <c r="O142" s="66"/>
    </row>
    <row r="143" spans="2:15" x14ac:dyDescent="0.25">
      <c r="B143" s="68"/>
      <c r="C143" s="64"/>
      <c r="D143" s="59"/>
      <c r="E143" s="60"/>
      <c r="F143" s="60"/>
      <c r="G143" s="60"/>
      <c r="H143" s="62"/>
      <c r="I143" s="61"/>
      <c r="J143" s="61"/>
      <c r="K143" s="59"/>
      <c r="L143" s="61"/>
      <c r="M143" s="61"/>
      <c r="N143" s="60"/>
      <c r="O143" s="66"/>
    </row>
    <row r="144" spans="2:15" x14ac:dyDescent="0.25">
      <c r="B144" s="68"/>
      <c r="C144" s="64"/>
      <c r="D144" s="59"/>
      <c r="E144" s="60"/>
      <c r="F144" s="60"/>
      <c r="G144" s="60"/>
      <c r="H144" s="62"/>
      <c r="I144" s="61"/>
      <c r="J144" s="61"/>
      <c r="K144" s="59"/>
      <c r="L144" s="61"/>
      <c r="M144" s="61"/>
      <c r="N144" s="60"/>
      <c r="O144" s="66"/>
    </row>
    <row r="145" spans="2:15" x14ac:dyDescent="0.25">
      <c r="B145" s="68"/>
      <c r="C145" s="64"/>
      <c r="D145" s="59"/>
      <c r="E145" s="60"/>
      <c r="F145" s="60"/>
      <c r="G145" s="60"/>
      <c r="H145" s="62"/>
      <c r="I145" s="61"/>
      <c r="J145" s="61"/>
      <c r="K145" s="59"/>
      <c r="L145" s="61"/>
      <c r="M145" s="61"/>
      <c r="N145" s="60"/>
      <c r="O145" s="66"/>
    </row>
    <row r="146" spans="2:15" x14ac:dyDescent="0.25">
      <c r="B146" s="68"/>
      <c r="C146" s="64"/>
      <c r="D146" s="59"/>
      <c r="E146" s="60"/>
      <c r="F146" s="60"/>
      <c r="G146" s="60"/>
      <c r="H146" s="62"/>
      <c r="I146" s="61"/>
      <c r="J146" s="61"/>
      <c r="K146" s="59"/>
      <c r="L146" s="61"/>
      <c r="M146" s="61"/>
      <c r="N146" s="60"/>
      <c r="O146" s="66"/>
    </row>
    <row r="147" spans="2:15" x14ac:dyDescent="0.25">
      <c r="B147" s="68"/>
      <c r="C147" s="64"/>
      <c r="D147" s="59"/>
      <c r="E147" s="60"/>
      <c r="F147" s="60"/>
      <c r="G147" s="60"/>
      <c r="H147" s="62"/>
      <c r="I147" s="61"/>
      <c r="J147" s="61"/>
      <c r="K147" s="59"/>
      <c r="L147" s="61"/>
      <c r="M147" s="61"/>
      <c r="N147" s="60"/>
      <c r="O147" s="66"/>
    </row>
    <row r="148" spans="2:15" x14ac:dyDescent="0.25">
      <c r="B148" s="68"/>
      <c r="C148" s="64"/>
      <c r="D148" s="59"/>
      <c r="E148" s="60"/>
      <c r="F148" s="60"/>
      <c r="G148" s="60"/>
      <c r="H148" s="62"/>
      <c r="I148" s="61"/>
      <c r="J148" s="61"/>
      <c r="K148" s="59"/>
      <c r="L148" s="61"/>
      <c r="M148" s="61"/>
      <c r="N148" s="60"/>
      <c r="O148" s="66"/>
    </row>
    <row r="149" spans="2:15" x14ac:dyDescent="0.25">
      <c r="B149" s="68"/>
      <c r="C149" s="64"/>
      <c r="D149" s="59"/>
      <c r="E149" s="60"/>
      <c r="F149" s="60"/>
      <c r="G149" s="60"/>
      <c r="H149" s="62"/>
      <c r="I149" s="61"/>
      <c r="J149" s="61"/>
      <c r="K149" s="59"/>
      <c r="L149" s="61"/>
      <c r="M149" s="61"/>
      <c r="N149" s="60"/>
      <c r="O149" s="66"/>
    </row>
    <row r="150" spans="2:15" x14ac:dyDescent="0.25">
      <c r="B150" s="68"/>
      <c r="C150" s="64"/>
      <c r="D150" s="59"/>
      <c r="E150" s="60"/>
      <c r="F150" s="60"/>
      <c r="G150" s="60"/>
      <c r="H150" s="62"/>
      <c r="I150" s="61"/>
      <c r="J150" s="61"/>
      <c r="K150" s="59"/>
      <c r="L150" s="61"/>
      <c r="M150" s="61"/>
      <c r="N150" s="60"/>
      <c r="O150" s="66"/>
    </row>
    <row r="151" spans="2:15" x14ac:dyDescent="0.25">
      <c r="B151" s="68"/>
      <c r="C151" s="64"/>
      <c r="D151" s="59"/>
      <c r="E151" s="60"/>
      <c r="F151" s="60"/>
      <c r="G151" s="60"/>
      <c r="H151" s="62"/>
      <c r="I151" s="61"/>
      <c r="J151" s="61"/>
      <c r="K151" s="59"/>
      <c r="L151" s="61"/>
      <c r="M151" s="61"/>
      <c r="N151" s="60"/>
      <c r="O151" s="66"/>
    </row>
    <row r="152" spans="2:15" x14ac:dyDescent="0.25">
      <c r="B152" s="68"/>
      <c r="C152" s="64"/>
      <c r="D152" s="59"/>
      <c r="E152" s="60"/>
      <c r="F152" s="60"/>
      <c r="G152" s="60"/>
      <c r="H152" s="62"/>
      <c r="I152" s="61"/>
      <c r="J152" s="61"/>
      <c r="K152" s="59"/>
      <c r="L152" s="61"/>
      <c r="M152" s="61"/>
      <c r="N152" s="60"/>
      <c r="O152" s="66"/>
    </row>
    <row r="153" spans="2:15" x14ac:dyDescent="0.25">
      <c r="B153" s="68"/>
      <c r="C153" s="64"/>
      <c r="D153" s="59"/>
      <c r="E153" s="60"/>
      <c r="F153" s="60"/>
      <c r="G153" s="60"/>
      <c r="H153" s="62"/>
      <c r="I153" s="61"/>
      <c r="J153" s="61"/>
      <c r="K153" s="59"/>
      <c r="L153" s="61"/>
      <c r="M153" s="61"/>
      <c r="N153" s="60"/>
      <c r="O153" s="66"/>
    </row>
    <row r="154" spans="2:15" x14ac:dyDescent="0.25">
      <c r="B154" s="68"/>
      <c r="C154" s="64"/>
      <c r="D154" s="59"/>
      <c r="E154" s="60"/>
      <c r="F154" s="60"/>
      <c r="G154" s="60"/>
      <c r="H154" s="62"/>
      <c r="I154" s="61"/>
      <c r="J154" s="61"/>
      <c r="K154" s="59"/>
      <c r="L154" s="61"/>
      <c r="M154" s="61"/>
      <c r="N154" s="60"/>
      <c r="O154" s="66"/>
    </row>
    <row r="155" spans="2:15" x14ac:dyDescent="0.25">
      <c r="B155" s="68"/>
      <c r="C155" s="64"/>
      <c r="D155" s="59"/>
      <c r="E155" s="60"/>
      <c r="F155" s="60"/>
      <c r="G155" s="60"/>
      <c r="H155" s="62"/>
      <c r="I155" s="61"/>
      <c r="J155" s="61"/>
      <c r="K155" s="59"/>
      <c r="L155" s="61"/>
      <c r="M155" s="61"/>
      <c r="N155" s="60"/>
      <c r="O155" s="66"/>
    </row>
    <row r="156" spans="2:15" x14ac:dyDescent="0.25">
      <c r="B156" s="68"/>
      <c r="C156" s="64"/>
      <c r="D156" s="59"/>
      <c r="E156" s="60"/>
      <c r="F156" s="60"/>
      <c r="G156" s="60"/>
      <c r="H156" s="62"/>
      <c r="I156" s="61"/>
      <c r="J156" s="61"/>
      <c r="K156" s="59"/>
      <c r="L156" s="61"/>
      <c r="M156" s="61"/>
      <c r="N156" s="60"/>
      <c r="O156" s="66"/>
    </row>
    <row r="157" spans="2:15" x14ac:dyDescent="0.25">
      <c r="B157" s="68"/>
      <c r="C157" s="64"/>
      <c r="D157" s="59"/>
      <c r="E157" s="60"/>
      <c r="F157" s="60"/>
      <c r="G157" s="60"/>
      <c r="H157" s="62"/>
      <c r="I157" s="61"/>
      <c r="J157" s="61"/>
      <c r="K157" s="59"/>
      <c r="L157" s="61"/>
      <c r="M157" s="61"/>
      <c r="N157" s="60"/>
      <c r="O157" s="66"/>
    </row>
    <row r="158" spans="2:15" x14ac:dyDescent="0.25">
      <c r="B158" s="68"/>
      <c r="C158" s="64"/>
      <c r="D158" s="59"/>
      <c r="E158" s="60"/>
      <c r="F158" s="60"/>
      <c r="G158" s="60"/>
      <c r="H158" s="62"/>
      <c r="I158" s="61"/>
      <c r="J158" s="61"/>
      <c r="K158" s="59"/>
      <c r="L158" s="61"/>
      <c r="M158" s="61"/>
      <c r="N158" s="60"/>
      <c r="O158" s="66"/>
    </row>
    <row r="159" spans="2:15" x14ac:dyDescent="0.25">
      <c r="B159" s="68"/>
      <c r="C159" s="64"/>
      <c r="D159" s="59"/>
      <c r="E159" s="60"/>
      <c r="F159" s="60"/>
      <c r="G159" s="60"/>
      <c r="H159" s="62"/>
      <c r="I159" s="61"/>
      <c r="J159" s="61"/>
      <c r="K159" s="59"/>
      <c r="L159" s="61"/>
      <c r="M159" s="61"/>
      <c r="N159" s="60"/>
      <c r="O159" s="66"/>
    </row>
    <row r="160" spans="2:15" x14ac:dyDescent="0.25">
      <c r="B160" s="68"/>
      <c r="C160" s="64"/>
      <c r="D160" s="59"/>
      <c r="E160" s="60"/>
      <c r="F160" s="60"/>
      <c r="G160" s="60"/>
      <c r="H160" s="62"/>
      <c r="I160" s="61"/>
      <c r="J160" s="61"/>
      <c r="K160" s="59"/>
      <c r="L160" s="61"/>
      <c r="M160" s="61"/>
      <c r="N160" s="60"/>
      <c r="O160" s="66"/>
    </row>
    <row r="161" spans="2:15" x14ac:dyDescent="0.25">
      <c r="B161" s="68"/>
      <c r="C161" s="64"/>
      <c r="D161" s="59"/>
      <c r="E161" s="60"/>
      <c r="F161" s="60"/>
      <c r="G161" s="60"/>
      <c r="H161" s="62"/>
      <c r="I161" s="61"/>
      <c r="J161" s="61"/>
      <c r="K161" s="59"/>
      <c r="L161" s="61"/>
      <c r="M161" s="61"/>
      <c r="N161" s="60"/>
      <c r="O161" s="66"/>
    </row>
    <row r="162" spans="2:15" x14ac:dyDescent="0.25">
      <c r="B162" s="68"/>
      <c r="C162" s="64"/>
      <c r="D162" s="59"/>
      <c r="E162" s="60"/>
      <c r="F162" s="60"/>
      <c r="G162" s="60"/>
      <c r="H162" s="62"/>
      <c r="I162" s="61"/>
      <c r="J162" s="61"/>
      <c r="K162" s="59"/>
      <c r="L162" s="61"/>
      <c r="M162" s="61"/>
      <c r="N162" s="60"/>
      <c r="O162" s="66"/>
    </row>
    <row r="163" spans="2:15" x14ac:dyDescent="0.25">
      <c r="B163" s="68"/>
      <c r="C163" s="64"/>
      <c r="D163" s="59"/>
      <c r="E163" s="60"/>
      <c r="F163" s="60"/>
      <c r="G163" s="60"/>
      <c r="H163" s="62"/>
      <c r="I163" s="61"/>
      <c r="J163" s="61"/>
      <c r="K163" s="59"/>
      <c r="L163" s="61"/>
      <c r="M163" s="61"/>
      <c r="N163" s="60"/>
      <c r="O163" s="66"/>
    </row>
    <row r="164" spans="2:15" x14ac:dyDescent="0.25">
      <c r="B164" s="68"/>
      <c r="C164" s="64"/>
      <c r="D164" s="59"/>
      <c r="E164" s="60"/>
      <c r="F164" s="60"/>
      <c r="G164" s="60"/>
      <c r="H164" s="62"/>
      <c r="I164" s="61"/>
      <c r="J164" s="61"/>
      <c r="K164" s="59"/>
      <c r="L164" s="61"/>
      <c r="M164" s="61"/>
      <c r="N164" s="60"/>
      <c r="O164" s="66"/>
    </row>
    <row r="165" spans="2:15" x14ac:dyDescent="0.25">
      <c r="B165" s="68"/>
      <c r="C165" s="64"/>
      <c r="D165" s="59"/>
      <c r="E165" s="60"/>
      <c r="F165" s="60"/>
      <c r="G165" s="60"/>
      <c r="H165" s="62"/>
      <c r="I165" s="61"/>
      <c r="J165" s="61"/>
      <c r="K165" s="59"/>
      <c r="L165" s="61"/>
      <c r="M165" s="61"/>
      <c r="N165" s="60"/>
      <c r="O165" s="66"/>
    </row>
    <row r="166" spans="2:15" x14ac:dyDescent="0.25">
      <c r="B166" s="68"/>
      <c r="C166" s="64"/>
      <c r="D166" s="59"/>
      <c r="E166" s="60"/>
      <c r="F166" s="60"/>
      <c r="G166" s="60"/>
      <c r="H166" s="62"/>
      <c r="I166" s="61"/>
      <c r="J166" s="61"/>
      <c r="K166" s="59"/>
      <c r="L166" s="61"/>
      <c r="M166" s="61"/>
      <c r="N166" s="60"/>
      <c r="O166" s="66"/>
    </row>
    <row r="167" spans="2:15" x14ac:dyDescent="0.25">
      <c r="B167" s="68"/>
      <c r="C167" s="64"/>
      <c r="D167" s="59"/>
      <c r="E167" s="60"/>
      <c r="F167" s="60"/>
      <c r="G167" s="60"/>
      <c r="H167" s="62"/>
      <c r="I167" s="61"/>
      <c r="J167" s="61"/>
      <c r="K167" s="59"/>
      <c r="L167" s="61"/>
      <c r="M167" s="61"/>
      <c r="N167" s="60"/>
      <c r="O167" s="66"/>
    </row>
    <row r="168" spans="2:15" x14ac:dyDescent="0.25">
      <c r="B168" s="68"/>
      <c r="C168" s="64"/>
      <c r="D168" s="59"/>
      <c r="E168" s="60"/>
      <c r="F168" s="60"/>
      <c r="G168" s="60"/>
      <c r="H168" s="62"/>
      <c r="I168" s="61"/>
      <c r="J168" s="61"/>
      <c r="K168" s="59"/>
      <c r="L168" s="61"/>
      <c r="M168" s="61"/>
      <c r="N168" s="60"/>
      <c r="O168" s="66"/>
    </row>
    <row r="169" spans="2:15" x14ac:dyDescent="0.25">
      <c r="B169" s="68"/>
      <c r="C169" s="64"/>
      <c r="D169" s="59"/>
      <c r="E169" s="60"/>
      <c r="F169" s="60"/>
      <c r="G169" s="60"/>
      <c r="H169" s="62"/>
      <c r="I169" s="61"/>
      <c r="J169" s="61"/>
      <c r="K169" s="59"/>
      <c r="L169" s="61"/>
      <c r="M169" s="61"/>
      <c r="N169" s="60"/>
      <c r="O169" s="66"/>
    </row>
    <row r="170" spans="2:15" x14ac:dyDescent="0.25">
      <c r="B170" s="68"/>
      <c r="C170" s="64"/>
      <c r="D170" s="59"/>
      <c r="E170" s="60"/>
      <c r="F170" s="60"/>
      <c r="G170" s="60"/>
      <c r="H170" s="62"/>
      <c r="I170" s="61"/>
      <c r="J170" s="61"/>
      <c r="K170" s="59"/>
      <c r="L170" s="61"/>
      <c r="M170" s="61"/>
      <c r="N170" s="60"/>
      <c r="O170" s="66"/>
    </row>
    <row r="171" spans="2:15" x14ac:dyDescent="0.25">
      <c r="B171" s="68"/>
      <c r="C171" s="64"/>
      <c r="D171" s="59"/>
      <c r="E171" s="60"/>
      <c r="F171" s="60"/>
      <c r="G171" s="60"/>
      <c r="H171" s="62"/>
      <c r="I171" s="61"/>
      <c r="J171" s="61"/>
      <c r="K171" s="59"/>
      <c r="L171" s="61"/>
      <c r="M171" s="61"/>
      <c r="N171" s="60"/>
      <c r="O171" s="66"/>
    </row>
    <row r="172" spans="2:15" x14ac:dyDescent="0.25">
      <c r="B172" s="68"/>
      <c r="C172" s="64"/>
      <c r="D172" s="59"/>
      <c r="E172" s="60"/>
      <c r="F172" s="60"/>
      <c r="G172" s="60"/>
      <c r="H172" s="62"/>
      <c r="I172" s="61"/>
      <c r="J172" s="61"/>
      <c r="K172" s="59"/>
      <c r="L172" s="61"/>
      <c r="M172" s="61"/>
      <c r="N172" s="60"/>
      <c r="O172" s="66"/>
    </row>
    <row r="173" spans="2:15" x14ac:dyDescent="0.25">
      <c r="B173" s="68"/>
      <c r="C173" s="64"/>
      <c r="D173" s="59"/>
      <c r="E173" s="60"/>
      <c r="F173" s="60"/>
      <c r="G173" s="60"/>
      <c r="H173" s="62"/>
      <c r="I173" s="61"/>
      <c r="J173" s="61"/>
      <c r="K173" s="59"/>
      <c r="L173" s="61"/>
      <c r="M173" s="61"/>
      <c r="N173" s="60"/>
      <c r="O173" s="66"/>
    </row>
    <row r="174" spans="2:15" x14ac:dyDescent="0.25">
      <c r="B174" s="68"/>
      <c r="C174" s="64"/>
      <c r="D174" s="59"/>
      <c r="E174" s="60"/>
      <c r="F174" s="60"/>
      <c r="G174" s="60"/>
      <c r="H174" s="62"/>
      <c r="I174" s="61"/>
      <c r="J174" s="61"/>
      <c r="K174" s="59"/>
      <c r="L174" s="61"/>
      <c r="M174" s="61"/>
      <c r="N174" s="60"/>
      <c r="O174" s="66"/>
    </row>
    <row r="175" spans="2:15" x14ac:dyDescent="0.25">
      <c r="B175" s="68"/>
      <c r="C175" s="64"/>
      <c r="D175" s="59"/>
      <c r="E175" s="60"/>
      <c r="F175" s="60"/>
      <c r="G175" s="60"/>
      <c r="H175" s="62"/>
      <c r="I175" s="61"/>
      <c r="J175" s="61"/>
      <c r="K175" s="59"/>
      <c r="L175" s="61"/>
      <c r="M175" s="61"/>
      <c r="N175" s="60"/>
      <c r="O175" s="66"/>
    </row>
    <row r="176" spans="2:15" x14ac:dyDescent="0.25">
      <c r="B176" s="68"/>
      <c r="C176" s="64"/>
      <c r="D176" s="59"/>
      <c r="E176" s="60"/>
      <c r="F176" s="60"/>
      <c r="G176" s="60"/>
      <c r="H176" s="62"/>
      <c r="I176" s="61"/>
      <c r="J176" s="61"/>
      <c r="K176" s="59"/>
      <c r="L176" s="61"/>
      <c r="M176" s="61"/>
      <c r="N176" s="60"/>
      <c r="O176" s="66"/>
    </row>
    <row r="177" spans="2:15" x14ac:dyDescent="0.25">
      <c r="B177" s="68"/>
      <c r="C177" s="64"/>
      <c r="D177" s="59"/>
      <c r="E177" s="60"/>
      <c r="F177" s="60"/>
      <c r="G177" s="60"/>
      <c r="H177" s="62"/>
      <c r="I177" s="61"/>
      <c r="J177" s="61"/>
      <c r="K177" s="59"/>
      <c r="L177" s="61"/>
      <c r="M177" s="61"/>
      <c r="N177" s="60"/>
      <c r="O177" s="66"/>
    </row>
    <row r="178" spans="2:15" x14ac:dyDescent="0.25">
      <c r="B178" s="68"/>
      <c r="C178" s="64"/>
      <c r="D178" s="59"/>
      <c r="E178" s="60"/>
      <c r="F178" s="60"/>
      <c r="G178" s="60"/>
      <c r="H178" s="62"/>
      <c r="I178" s="61"/>
      <c r="J178" s="61"/>
      <c r="K178" s="59"/>
      <c r="L178" s="61"/>
      <c r="M178" s="61"/>
      <c r="N178" s="60"/>
      <c r="O178" s="66"/>
    </row>
    <row r="179" spans="2:15" x14ac:dyDescent="0.25">
      <c r="B179" s="68"/>
      <c r="C179" s="64"/>
      <c r="D179" s="59"/>
      <c r="E179" s="60"/>
      <c r="F179" s="60"/>
      <c r="G179" s="60"/>
      <c r="H179" s="62"/>
      <c r="I179" s="61"/>
      <c r="J179" s="61"/>
      <c r="K179" s="59"/>
      <c r="L179" s="61"/>
      <c r="M179" s="61"/>
      <c r="N179" s="60"/>
      <c r="O179" s="66"/>
    </row>
    <row r="180" spans="2:15" x14ac:dyDescent="0.25">
      <c r="B180" s="68"/>
      <c r="C180" s="64"/>
      <c r="D180" s="59"/>
      <c r="E180" s="60"/>
      <c r="F180" s="60"/>
      <c r="G180" s="60"/>
      <c r="H180" s="62"/>
      <c r="I180" s="61"/>
      <c r="J180" s="61"/>
      <c r="K180" s="59"/>
      <c r="L180" s="61"/>
      <c r="M180" s="61"/>
      <c r="N180" s="60"/>
      <c r="O180" s="66"/>
    </row>
    <row r="181" spans="2:15" x14ac:dyDescent="0.25">
      <c r="B181" s="68"/>
      <c r="C181" s="64"/>
      <c r="D181" s="59"/>
      <c r="E181" s="60"/>
      <c r="F181" s="60"/>
      <c r="G181" s="60"/>
      <c r="H181" s="62"/>
      <c r="I181" s="61"/>
      <c r="J181" s="61"/>
      <c r="K181" s="59"/>
      <c r="L181" s="61"/>
      <c r="M181" s="61"/>
      <c r="N181" s="60"/>
      <c r="O181" s="66"/>
    </row>
    <row r="182" spans="2:15" x14ac:dyDescent="0.25">
      <c r="B182" s="68"/>
      <c r="C182" s="64"/>
      <c r="D182" s="59"/>
      <c r="E182" s="60"/>
      <c r="F182" s="60"/>
      <c r="G182" s="60"/>
      <c r="H182" s="62"/>
      <c r="I182" s="61"/>
      <c r="J182" s="61"/>
      <c r="K182" s="59"/>
      <c r="L182" s="61"/>
      <c r="M182" s="61"/>
      <c r="N182" s="60"/>
      <c r="O182" s="66"/>
    </row>
    <row r="183" spans="2:15" x14ac:dyDescent="0.25">
      <c r="B183" s="68"/>
      <c r="C183" s="64"/>
      <c r="D183" s="59"/>
      <c r="E183" s="60"/>
      <c r="F183" s="60"/>
      <c r="G183" s="60"/>
      <c r="H183" s="62"/>
      <c r="I183" s="61"/>
      <c r="J183" s="61"/>
      <c r="K183" s="59"/>
      <c r="L183" s="61"/>
      <c r="M183" s="61"/>
      <c r="N183" s="60"/>
      <c r="O183" s="66"/>
    </row>
    <row r="184" spans="2:15" x14ac:dyDescent="0.25">
      <c r="B184" s="68"/>
      <c r="C184" s="64"/>
      <c r="D184" s="59"/>
      <c r="E184" s="60"/>
      <c r="F184" s="60"/>
      <c r="G184" s="60"/>
      <c r="H184" s="62"/>
      <c r="I184" s="61"/>
      <c r="J184" s="61"/>
      <c r="K184" s="59"/>
      <c r="L184" s="61"/>
      <c r="M184" s="61"/>
      <c r="N184" s="60"/>
      <c r="O184" s="66"/>
    </row>
    <row r="185" spans="2:15" x14ac:dyDescent="0.25">
      <c r="B185" s="68"/>
      <c r="C185" s="64"/>
      <c r="D185" s="59"/>
      <c r="E185" s="60"/>
      <c r="F185" s="60"/>
      <c r="G185" s="60"/>
      <c r="H185" s="62"/>
      <c r="I185" s="61"/>
      <c r="J185" s="61"/>
      <c r="K185" s="59"/>
      <c r="L185" s="61"/>
      <c r="M185" s="61"/>
      <c r="N185" s="60"/>
      <c r="O185" s="66"/>
    </row>
    <row r="186" spans="2:15" x14ac:dyDescent="0.25">
      <c r="B186" s="68"/>
      <c r="C186" s="64"/>
      <c r="D186" s="59"/>
      <c r="E186" s="60"/>
      <c r="F186" s="60"/>
      <c r="G186" s="60"/>
      <c r="H186" s="62"/>
      <c r="I186" s="61"/>
      <c r="J186" s="61"/>
      <c r="K186" s="59"/>
      <c r="L186" s="61"/>
      <c r="M186" s="61"/>
      <c r="N186" s="60"/>
      <c r="O186" s="66"/>
    </row>
    <row r="187" spans="2:15" x14ac:dyDescent="0.25">
      <c r="B187" s="68"/>
      <c r="C187" s="64"/>
      <c r="D187" s="59"/>
      <c r="E187" s="60"/>
      <c r="F187" s="60"/>
      <c r="G187" s="60"/>
      <c r="H187" s="62"/>
      <c r="I187" s="61"/>
      <c r="J187" s="61"/>
      <c r="K187" s="59"/>
      <c r="L187" s="61"/>
      <c r="M187" s="61"/>
      <c r="N187" s="60"/>
      <c r="O187" s="66"/>
    </row>
    <row r="188" spans="2:15" x14ac:dyDescent="0.25">
      <c r="B188" s="68"/>
      <c r="C188" s="64"/>
      <c r="D188" s="59"/>
      <c r="E188" s="60"/>
      <c r="F188" s="60"/>
      <c r="G188" s="60"/>
      <c r="H188" s="62"/>
      <c r="I188" s="61"/>
      <c r="J188" s="61"/>
      <c r="K188" s="59"/>
      <c r="L188" s="61"/>
      <c r="M188" s="61"/>
      <c r="N188" s="60"/>
      <c r="O188" s="66"/>
    </row>
    <row r="189" spans="2:15" x14ac:dyDescent="0.25">
      <c r="B189" s="68"/>
      <c r="C189" s="64"/>
      <c r="D189" s="59"/>
      <c r="E189" s="60"/>
      <c r="F189" s="60"/>
      <c r="G189" s="60"/>
      <c r="H189" s="62"/>
      <c r="I189" s="61"/>
      <c r="J189" s="61"/>
      <c r="K189" s="59"/>
      <c r="L189" s="61"/>
      <c r="M189" s="61"/>
      <c r="N189" s="60"/>
      <c r="O189" s="66"/>
    </row>
    <row r="190" spans="2:15" x14ac:dyDescent="0.25">
      <c r="B190" s="68"/>
      <c r="C190" s="64"/>
      <c r="D190" s="59"/>
      <c r="E190" s="60"/>
      <c r="F190" s="60"/>
      <c r="G190" s="60"/>
      <c r="H190" s="62"/>
      <c r="I190" s="61"/>
      <c r="J190" s="61"/>
      <c r="K190" s="59"/>
      <c r="L190" s="61"/>
      <c r="M190" s="61"/>
      <c r="N190" s="60"/>
      <c r="O190" s="66"/>
    </row>
    <row r="191" spans="2:15" x14ac:dyDescent="0.25">
      <c r="B191" s="68"/>
      <c r="C191" s="64"/>
      <c r="D191" s="59"/>
      <c r="E191" s="60"/>
      <c r="F191" s="60"/>
      <c r="G191" s="60"/>
      <c r="H191" s="62"/>
      <c r="I191" s="61"/>
      <c r="J191" s="61"/>
      <c r="K191" s="59"/>
      <c r="L191" s="61"/>
      <c r="M191" s="61"/>
      <c r="N191" s="60"/>
      <c r="O191" s="66"/>
    </row>
    <row r="192" spans="2:15" x14ac:dyDescent="0.25">
      <c r="B192" s="68"/>
      <c r="C192" s="64"/>
      <c r="D192" s="59"/>
      <c r="E192" s="60"/>
      <c r="F192" s="60"/>
      <c r="G192" s="60"/>
      <c r="H192" s="62"/>
      <c r="I192" s="61"/>
      <c r="J192" s="61"/>
      <c r="K192" s="59"/>
      <c r="L192" s="61"/>
      <c r="M192" s="61"/>
      <c r="N192" s="60"/>
      <c r="O192" s="66"/>
    </row>
    <row r="193" spans="2:15" x14ac:dyDescent="0.25">
      <c r="B193" s="68"/>
      <c r="C193" s="64"/>
      <c r="D193" s="59"/>
      <c r="E193" s="60"/>
      <c r="F193" s="60"/>
      <c r="G193" s="60"/>
      <c r="H193" s="62"/>
      <c r="I193" s="61"/>
      <c r="J193" s="61"/>
      <c r="K193" s="59"/>
      <c r="L193" s="61"/>
      <c r="M193" s="61"/>
      <c r="N193" s="60"/>
      <c r="O193" s="66"/>
    </row>
    <row r="194" spans="2:15" x14ac:dyDescent="0.25">
      <c r="B194" s="68"/>
      <c r="C194" s="64"/>
      <c r="D194" s="59"/>
      <c r="E194" s="60"/>
      <c r="F194" s="60"/>
      <c r="G194" s="60"/>
      <c r="H194" s="62"/>
      <c r="I194" s="61"/>
      <c r="J194" s="61"/>
      <c r="K194" s="59"/>
      <c r="L194" s="61"/>
      <c r="M194" s="61"/>
      <c r="N194" s="60"/>
      <c r="O194" s="66"/>
    </row>
    <row r="195" spans="2:15" x14ac:dyDescent="0.25">
      <c r="B195" s="68"/>
      <c r="C195" s="64"/>
      <c r="D195" s="59"/>
      <c r="E195" s="60"/>
      <c r="F195" s="60"/>
      <c r="G195" s="60"/>
      <c r="H195" s="62"/>
      <c r="I195" s="61"/>
      <c r="J195" s="61"/>
      <c r="K195" s="59"/>
      <c r="L195" s="61"/>
      <c r="M195" s="61"/>
      <c r="N195" s="60"/>
      <c r="O195" s="66"/>
    </row>
    <row r="196" spans="2:15" x14ac:dyDescent="0.25">
      <c r="B196" s="68"/>
      <c r="C196" s="64"/>
      <c r="D196" s="59"/>
      <c r="E196" s="60"/>
      <c r="F196" s="60"/>
      <c r="G196" s="60"/>
      <c r="H196" s="62"/>
      <c r="I196" s="61"/>
      <c r="J196" s="61"/>
      <c r="K196" s="59"/>
      <c r="L196" s="61"/>
      <c r="M196" s="61"/>
      <c r="N196" s="60"/>
      <c r="O196" s="66"/>
    </row>
    <row r="197" spans="2:15" x14ac:dyDescent="0.25">
      <c r="B197" s="68"/>
      <c r="C197" s="64"/>
      <c r="D197" s="59"/>
      <c r="E197" s="60"/>
      <c r="F197" s="60"/>
      <c r="G197" s="60"/>
      <c r="H197" s="62"/>
      <c r="I197" s="61"/>
      <c r="J197" s="61"/>
      <c r="K197" s="59"/>
      <c r="L197" s="61"/>
      <c r="M197" s="61"/>
      <c r="N197" s="60"/>
      <c r="O197" s="66"/>
    </row>
    <row r="198" spans="2:15" x14ac:dyDescent="0.25">
      <c r="B198" s="68"/>
      <c r="C198" s="64"/>
      <c r="D198" s="59"/>
      <c r="E198" s="60"/>
      <c r="F198" s="60"/>
      <c r="G198" s="60"/>
      <c r="H198" s="62"/>
      <c r="I198" s="61"/>
      <c r="J198" s="61"/>
      <c r="K198" s="59"/>
      <c r="L198" s="61"/>
      <c r="M198" s="61"/>
      <c r="N198" s="60"/>
      <c r="O198" s="66"/>
    </row>
    <row r="199" spans="2:15" x14ac:dyDescent="0.25">
      <c r="B199" s="68"/>
      <c r="C199" s="64"/>
      <c r="D199" s="59"/>
      <c r="E199" s="60"/>
      <c r="F199" s="60"/>
      <c r="G199" s="60"/>
      <c r="H199" s="62"/>
      <c r="I199" s="61"/>
      <c r="J199" s="61"/>
      <c r="K199" s="59"/>
      <c r="L199" s="61"/>
      <c r="M199" s="61"/>
      <c r="N199" s="60"/>
      <c r="O199" s="66"/>
    </row>
    <row r="200" spans="2:15" x14ac:dyDescent="0.25">
      <c r="B200" s="68"/>
      <c r="C200" s="64"/>
      <c r="D200" s="59"/>
      <c r="E200" s="60"/>
      <c r="F200" s="60"/>
      <c r="G200" s="60"/>
      <c r="H200" s="62"/>
      <c r="I200" s="61"/>
      <c r="J200" s="61"/>
      <c r="K200" s="59"/>
      <c r="L200" s="61"/>
      <c r="M200" s="61"/>
      <c r="N200" s="60"/>
      <c r="O200" s="66"/>
    </row>
    <row r="201" spans="2:15" x14ac:dyDescent="0.25">
      <c r="B201" s="68"/>
      <c r="C201" s="64"/>
      <c r="D201" s="59"/>
      <c r="E201" s="60"/>
      <c r="F201" s="60"/>
      <c r="G201" s="60"/>
      <c r="H201" s="62"/>
      <c r="I201" s="61"/>
      <c r="J201" s="61"/>
      <c r="K201" s="59"/>
      <c r="L201" s="61"/>
      <c r="M201" s="61"/>
      <c r="N201" s="60"/>
      <c r="O201" s="66"/>
    </row>
    <row r="202" spans="2:15" x14ac:dyDescent="0.25">
      <c r="B202" s="68"/>
      <c r="C202" s="64"/>
      <c r="D202" s="59"/>
      <c r="E202" s="60"/>
      <c r="F202" s="60"/>
      <c r="G202" s="60"/>
      <c r="H202" s="62"/>
      <c r="I202" s="61"/>
      <c r="J202" s="61"/>
      <c r="K202" s="59"/>
      <c r="L202" s="61"/>
      <c r="M202" s="61"/>
      <c r="N202" s="60"/>
      <c r="O202" s="66"/>
    </row>
    <row r="203" spans="2:15" x14ac:dyDescent="0.25">
      <c r="B203" s="68"/>
      <c r="C203" s="64"/>
      <c r="D203" s="59"/>
      <c r="E203" s="60"/>
      <c r="F203" s="60"/>
      <c r="G203" s="60"/>
      <c r="H203" s="62"/>
      <c r="I203" s="61"/>
      <c r="J203" s="61"/>
      <c r="K203" s="59"/>
      <c r="L203" s="61"/>
      <c r="M203" s="61"/>
      <c r="N203" s="60"/>
      <c r="O203" s="66"/>
    </row>
    <row r="204" spans="2:15" x14ac:dyDescent="0.25">
      <c r="B204" s="68"/>
      <c r="C204" s="64"/>
      <c r="D204" s="59"/>
      <c r="E204" s="60"/>
      <c r="F204" s="60"/>
      <c r="G204" s="60"/>
      <c r="H204" s="62"/>
      <c r="I204" s="61"/>
      <c r="J204" s="61"/>
      <c r="K204" s="59"/>
      <c r="L204" s="61"/>
      <c r="M204" s="61"/>
      <c r="N204" s="60"/>
      <c r="O204" s="66"/>
    </row>
    <row r="205" spans="2:15" x14ac:dyDescent="0.25">
      <c r="B205" s="68"/>
      <c r="C205" s="64"/>
      <c r="D205" s="59"/>
      <c r="E205" s="60"/>
      <c r="F205" s="60"/>
      <c r="G205" s="60"/>
      <c r="H205" s="62"/>
      <c r="I205" s="61"/>
      <c r="J205" s="61"/>
      <c r="K205" s="59"/>
      <c r="L205" s="61"/>
      <c r="M205" s="61"/>
      <c r="N205" s="60"/>
      <c r="O205" s="66"/>
    </row>
    <row r="206" spans="2:15" x14ac:dyDescent="0.25">
      <c r="B206" s="68"/>
      <c r="C206" s="64"/>
      <c r="D206" s="59"/>
      <c r="E206" s="60"/>
      <c r="F206" s="60"/>
      <c r="G206" s="60"/>
      <c r="H206" s="62"/>
      <c r="I206" s="61"/>
      <c r="J206" s="61"/>
      <c r="K206" s="59"/>
      <c r="L206" s="61"/>
      <c r="M206" s="61"/>
      <c r="N206" s="60"/>
      <c r="O206" s="66"/>
    </row>
    <row r="207" spans="2:15" x14ac:dyDescent="0.25">
      <c r="B207" s="68"/>
      <c r="C207" s="64"/>
      <c r="D207" s="59"/>
      <c r="E207" s="60"/>
      <c r="F207" s="60"/>
      <c r="G207" s="60"/>
      <c r="H207" s="62"/>
      <c r="I207" s="61"/>
      <c r="J207" s="61"/>
      <c r="K207" s="59"/>
      <c r="L207" s="61"/>
      <c r="M207" s="61"/>
      <c r="N207" s="60"/>
      <c r="O207" s="66"/>
    </row>
    <row r="208" spans="2:15" x14ac:dyDescent="0.25">
      <c r="B208" s="68"/>
      <c r="C208" s="64"/>
      <c r="D208" s="59"/>
      <c r="E208" s="60"/>
      <c r="F208" s="60"/>
      <c r="G208" s="60"/>
      <c r="H208" s="62"/>
      <c r="I208" s="61"/>
      <c r="J208" s="61"/>
      <c r="K208" s="59"/>
      <c r="L208" s="61"/>
      <c r="M208" s="61"/>
      <c r="N208" s="60"/>
      <c r="O208" s="66"/>
    </row>
    <row r="209" spans="2:15" x14ac:dyDescent="0.25">
      <c r="B209" s="68"/>
      <c r="C209" s="64"/>
      <c r="D209" s="59"/>
      <c r="E209" s="60"/>
      <c r="F209" s="60"/>
      <c r="G209" s="60"/>
      <c r="H209" s="62"/>
      <c r="I209" s="61"/>
      <c r="J209" s="61"/>
      <c r="K209" s="59"/>
      <c r="L209" s="61"/>
      <c r="M209" s="61"/>
      <c r="N209" s="60"/>
      <c r="O209" s="66"/>
    </row>
    <row r="210" spans="2:15" x14ac:dyDescent="0.25">
      <c r="B210" s="68"/>
      <c r="C210" s="64"/>
      <c r="D210" s="59"/>
      <c r="E210" s="60"/>
      <c r="F210" s="60"/>
      <c r="G210" s="60"/>
      <c r="H210" s="62"/>
      <c r="I210" s="61"/>
      <c r="J210" s="61"/>
      <c r="K210" s="59"/>
      <c r="L210" s="61"/>
      <c r="M210" s="61"/>
      <c r="N210" s="60"/>
      <c r="O210" s="66"/>
    </row>
    <row r="211" spans="2:15" x14ac:dyDescent="0.25">
      <c r="B211" s="68"/>
      <c r="C211" s="64"/>
      <c r="D211" s="59"/>
      <c r="E211" s="60"/>
      <c r="F211" s="60"/>
      <c r="G211" s="60"/>
      <c r="H211" s="62"/>
      <c r="I211" s="61"/>
      <c r="J211" s="61"/>
      <c r="K211" s="59"/>
      <c r="L211" s="61"/>
      <c r="M211" s="61"/>
      <c r="N211" s="60"/>
      <c r="O211" s="66"/>
    </row>
    <row r="212" spans="2:15" x14ac:dyDescent="0.25">
      <c r="B212" s="68"/>
      <c r="C212" s="64"/>
      <c r="D212" s="59"/>
      <c r="E212" s="60"/>
      <c r="F212" s="60"/>
      <c r="G212" s="60"/>
      <c r="H212" s="62"/>
      <c r="I212" s="61"/>
      <c r="J212" s="61"/>
      <c r="K212" s="59"/>
      <c r="L212" s="61"/>
      <c r="M212" s="61"/>
      <c r="N212" s="60"/>
      <c r="O212" s="66"/>
    </row>
    <row r="213" spans="2:15" x14ac:dyDescent="0.25">
      <c r="B213" s="68"/>
      <c r="C213" s="64"/>
      <c r="D213" s="59"/>
      <c r="E213" s="60"/>
      <c r="F213" s="60"/>
      <c r="G213" s="60"/>
      <c r="H213" s="62"/>
      <c r="I213" s="61"/>
      <c r="J213" s="61"/>
      <c r="K213" s="59"/>
      <c r="L213" s="61"/>
      <c r="M213" s="61"/>
      <c r="N213" s="60"/>
      <c r="O213" s="66"/>
    </row>
    <row r="214" spans="2:15" x14ac:dyDescent="0.25">
      <c r="B214" s="68"/>
      <c r="C214" s="64"/>
      <c r="D214" s="59"/>
      <c r="E214" s="60"/>
      <c r="F214" s="60"/>
      <c r="G214" s="60"/>
      <c r="H214" s="62"/>
      <c r="I214" s="61"/>
      <c r="J214" s="61"/>
      <c r="K214" s="59"/>
      <c r="L214" s="61"/>
      <c r="M214" s="61"/>
      <c r="N214" s="60"/>
      <c r="O214" s="66"/>
    </row>
    <row r="215" spans="2:15" x14ac:dyDescent="0.25">
      <c r="B215" s="68"/>
      <c r="C215" s="64"/>
      <c r="D215" s="59"/>
      <c r="E215" s="60"/>
      <c r="F215" s="60"/>
      <c r="G215" s="60"/>
      <c r="H215" s="62"/>
      <c r="I215" s="61"/>
      <c r="J215" s="61"/>
      <c r="K215" s="59"/>
      <c r="L215" s="61"/>
      <c r="M215" s="61"/>
      <c r="N215" s="60"/>
      <c r="O215" s="66"/>
    </row>
    <row r="216" spans="2:15" x14ac:dyDescent="0.25">
      <c r="B216" s="68"/>
      <c r="C216" s="64"/>
      <c r="D216" s="59"/>
      <c r="E216" s="60"/>
      <c r="F216" s="60"/>
      <c r="G216" s="60"/>
      <c r="H216" s="62"/>
      <c r="I216" s="61"/>
      <c r="J216" s="61"/>
      <c r="K216" s="59"/>
      <c r="L216" s="61"/>
      <c r="M216" s="61"/>
      <c r="N216" s="60"/>
      <c r="O216" s="66"/>
    </row>
    <row r="217" spans="2:15" x14ac:dyDescent="0.25">
      <c r="B217" s="68"/>
      <c r="C217" s="64"/>
      <c r="D217" s="59"/>
      <c r="E217" s="60"/>
      <c r="F217" s="60"/>
      <c r="G217" s="60"/>
      <c r="H217" s="62"/>
      <c r="I217" s="61"/>
      <c r="J217" s="61"/>
      <c r="K217" s="59"/>
      <c r="L217" s="61"/>
      <c r="M217" s="61"/>
      <c r="N217" s="60"/>
      <c r="O217" s="66"/>
    </row>
    <row r="218" spans="2:15" x14ac:dyDescent="0.25">
      <c r="B218" s="68"/>
      <c r="C218" s="64"/>
      <c r="D218" s="59"/>
      <c r="E218" s="60"/>
      <c r="F218" s="60"/>
      <c r="G218" s="60"/>
      <c r="H218" s="62"/>
      <c r="I218" s="61"/>
      <c r="J218" s="61"/>
      <c r="K218" s="59"/>
      <c r="L218" s="61"/>
      <c r="M218" s="61"/>
      <c r="N218" s="60"/>
      <c r="O218" s="66"/>
    </row>
    <row r="219" spans="2:15" x14ac:dyDescent="0.25">
      <c r="B219" s="68"/>
      <c r="C219" s="64"/>
      <c r="D219" s="59"/>
      <c r="E219" s="60"/>
      <c r="F219" s="60"/>
      <c r="G219" s="60"/>
      <c r="H219" s="62"/>
      <c r="I219" s="61"/>
      <c r="J219" s="61"/>
      <c r="K219" s="59"/>
      <c r="L219" s="61"/>
      <c r="M219" s="61"/>
      <c r="N219" s="60"/>
      <c r="O219" s="66"/>
    </row>
    <row r="220" spans="2:15" x14ac:dyDescent="0.25">
      <c r="B220" s="68"/>
      <c r="C220" s="64"/>
      <c r="D220" s="59"/>
      <c r="E220" s="60"/>
      <c r="F220" s="60"/>
      <c r="G220" s="60"/>
      <c r="H220" s="62"/>
      <c r="I220" s="61"/>
      <c r="J220" s="61"/>
      <c r="K220" s="59"/>
      <c r="L220" s="61"/>
      <c r="M220" s="61"/>
      <c r="N220" s="60"/>
      <c r="O220" s="66"/>
    </row>
    <row r="221" spans="2:15" x14ac:dyDescent="0.25">
      <c r="B221" s="68"/>
      <c r="C221" s="64"/>
      <c r="D221" s="59"/>
      <c r="E221" s="60"/>
      <c r="F221" s="60"/>
      <c r="G221" s="60"/>
      <c r="H221" s="62"/>
      <c r="I221" s="61"/>
      <c r="J221" s="61"/>
      <c r="K221" s="59"/>
      <c r="L221" s="61"/>
      <c r="M221" s="61"/>
      <c r="N221" s="60"/>
      <c r="O221" s="66"/>
    </row>
    <row r="222" spans="2:15" x14ac:dyDescent="0.25">
      <c r="B222" s="68"/>
      <c r="C222" s="64"/>
      <c r="D222" s="59"/>
      <c r="E222" s="60"/>
      <c r="F222" s="60"/>
      <c r="G222" s="60"/>
      <c r="H222" s="62"/>
      <c r="I222" s="61"/>
      <c r="J222" s="61"/>
      <c r="K222" s="59"/>
      <c r="L222" s="61"/>
      <c r="M222" s="61"/>
      <c r="N222" s="60"/>
      <c r="O222" s="66"/>
    </row>
    <row r="223" spans="2:15" x14ac:dyDescent="0.25">
      <c r="B223" s="68"/>
      <c r="C223" s="64"/>
      <c r="D223" s="59"/>
      <c r="E223" s="60"/>
      <c r="F223" s="60"/>
      <c r="G223" s="60"/>
      <c r="H223" s="62"/>
      <c r="I223" s="61"/>
      <c r="J223" s="61"/>
      <c r="K223" s="59"/>
      <c r="L223" s="61"/>
      <c r="M223" s="61"/>
      <c r="N223" s="60"/>
      <c r="O223" s="66"/>
    </row>
    <row r="224" spans="2:15" x14ac:dyDescent="0.25">
      <c r="B224" s="68"/>
      <c r="C224" s="64"/>
      <c r="D224" s="59"/>
      <c r="E224" s="60"/>
      <c r="F224" s="60"/>
      <c r="G224" s="60"/>
      <c r="H224" s="62"/>
      <c r="I224" s="61"/>
      <c r="J224" s="61"/>
      <c r="K224" s="59"/>
      <c r="L224" s="61"/>
      <c r="M224" s="61"/>
      <c r="N224" s="60"/>
      <c r="O224" s="66"/>
    </row>
    <row r="225" spans="2:15" x14ac:dyDescent="0.25">
      <c r="B225" s="68"/>
      <c r="C225" s="64"/>
      <c r="D225" s="59"/>
      <c r="E225" s="60"/>
      <c r="F225" s="60"/>
      <c r="G225" s="60"/>
      <c r="H225" s="62"/>
      <c r="I225" s="61"/>
      <c r="J225" s="61"/>
      <c r="K225" s="59"/>
      <c r="L225" s="61"/>
      <c r="M225" s="61"/>
      <c r="N225" s="60"/>
      <c r="O225" s="66"/>
    </row>
    <row r="226" spans="2:15" x14ac:dyDescent="0.25">
      <c r="B226" s="68"/>
      <c r="C226" s="64"/>
      <c r="D226" s="59"/>
      <c r="E226" s="60"/>
      <c r="F226" s="60"/>
      <c r="G226" s="60"/>
      <c r="H226" s="62"/>
      <c r="I226" s="61"/>
      <c r="J226" s="61"/>
      <c r="K226" s="59"/>
      <c r="L226" s="61"/>
      <c r="M226" s="61"/>
      <c r="N226" s="60"/>
      <c r="O226" s="66"/>
    </row>
    <row r="227" spans="2:15" x14ac:dyDescent="0.25">
      <c r="B227" s="68"/>
      <c r="C227" s="64"/>
      <c r="D227" s="59"/>
      <c r="E227" s="60"/>
      <c r="F227" s="60"/>
      <c r="G227" s="60"/>
      <c r="H227" s="62"/>
      <c r="I227" s="61"/>
      <c r="J227" s="61"/>
      <c r="K227" s="59"/>
      <c r="L227" s="61"/>
      <c r="M227" s="61"/>
      <c r="N227" s="60"/>
      <c r="O227" s="66"/>
    </row>
    <row r="228" spans="2:15" x14ac:dyDescent="0.25">
      <c r="B228" s="68"/>
      <c r="C228" s="64"/>
      <c r="D228" s="59"/>
      <c r="E228" s="60"/>
      <c r="F228" s="60"/>
      <c r="G228" s="60"/>
      <c r="H228" s="62"/>
      <c r="I228" s="61"/>
      <c r="J228" s="61"/>
      <c r="K228" s="59"/>
      <c r="L228" s="61"/>
      <c r="M228" s="61"/>
      <c r="N228" s="60"/>
      <c r="O228" s="66"/>
    </row>
    <row r="229" spans="2:15" x14ac:dyDescent="0.25">
      <c r="B229" s="68"/>
      <c r="C229" s="64"/>
      <c r="D229" s="59"/>
      <c r="E229" s="60"/>
      <c r="F229" s="60"/>
      <c r="G229" s="60"/>
      <c r="H229" s="62"/>
      <c r="I229" s="61"/>
      <c r="J229" s="61"/>
      <c r="K229" s="59"/>
      <c r="L229" s="61"/>
      <c r="M229" s="61"/>
      <c r="N229" s="60"/>
      <c r="O229" s="66"/>
    </row>
    <row r="230" spans="2:15" x14ac:dyDescent="0.25">
      <c r="B230" s="68"/>
      <c r="C230" s="64"/>
      <c r="D230" s="59"/>
      <c r="E230" s="60"/>
      <c r="F230" s="60"/>
      <c r="G230" s="60"/>
      <c r="H230" s="62"/>
      <c r="I230" s="61"/>
      <c r="J230" s="61"/>
      <c r="K230" s="59"/>
      <c r="L230" s="61"/>
      <c r="M230" s="61"/>
      <c r="N230" s="60"/>
      <c r="O230" s="66"/>
    </row>
    <row r="231" spans="2:15" x14ac:dyDescent="0.25">
      <c r="B231" s="68"/>
      <c r="C231" s="64"/>
      <c r="D231" s="59"/>
      <c r="E231" s="60"/>
      <c r="F231" s="60"/>
      <c r="G231" s="60"/>
      <c r="H231" s="62"/>
      <c r="I231" s="61"/>
      <c r="J231" s="61"/>
      <c r="K231" s="59"/>
      <c r="L231" s="61"/>
      <c r="M231" s="61"/>
      <c r="N231" s="60"/>
      <c r="O231" s="66"/>
    </row>
    <row r="232" spans="2:15" x14ac:dyDescent="0.25">
      <c r="B232" s="68"/>
      <c r="C232" s="64"/>
      <c r="D232" s="59"/>
      <c r="E232" s="60"/>
      <c r="F232" s="60"/>
      <c r="G232" s="60"/>
      <c r="H232" s="62"/>
      <c r="I232" s="61"/>
      <c r="J232" s="61"/>
      <c r="K232" s="59"/>
      <c r="L232" s="61"/>
      <c r="M232" s="61"/>
      <c r="N232" s="60"/>
      <c r="O232" s="66"/>
    </row>
    <row r="233" spans="2:15" x14ac:dyDescent="0.25">
      <c r="B233" s="68"/>
      <c r="C233" s="64"/>
      <c r="D233" s="59"/>
      <c r="E233" s="60"/>
      <c r="F233" s="60"/>
      <c r="G233" s="60"/>
      <c r="H233" s="62"/>
      <c r="I233" s="61"/>
      <c r="J233" s="61"/>
      <c r="K233" s="59"/>
      <c r="L233" s="61"/>
      <c r="M233" s="61"/>
      <c r="N233" s="60"/>
      <c r="O233" s="66"/>
    </row>
    <row r="234" spans="2:15" x14ac:dyDescent="0.25">
      <c r="B234" s="68"/>
      <c r="C234" s="64"/>
      <c r="D234" s="59"/>
      <c r="E234" s="60"/>
      <c r="F234" s="60"/>
      <c r="G234" s="60"/>
      <c r="H234" s="62"/>
      <c r="I234" s="61"/>
      <c r="J234" s="61"/>
      <c r="K234" s="59"/>
      <c r="L234" s="61"/>
      <c r="M234" s="61"/>
      <c r="N234" s="60"/>
      <c r="O234" s="66"/>
    </row>
    <row r="235" spans="2:15" x14ac:dyDescent="0.25">
      <c r="B235" s="68"/>
      <c r="C235" s="64"/>
      <c r="D235" s="59"/>
      <c r="E235" s="60"/>
      <c r="F235" s="60"/>
      <c r="G235" s="60"/>
      <c r="H235" s="62"/>
      <c r="I235" s="61"/>
      <c r="J235" s="61"/>
      <c r="K235" s="59"/>
      <c r="L235" s="61"/>
      <c r="M235" s="61"/>
      <c r="N235" s="60"/>
      <c r="O235" s="66"/>
    </row>
    <row r="236" spans="2:15" x14ac:dyDescent="0.25">
      <c r="B236" s="68"/>
      <c r="C236" s="64"/>
      <c r="D236" s="59"/>
      <c r="E236" s="60"/>
      <c r="F236" s="60"/>
      <c r="G236" s="60"/>
      <c r="H236" s="62"/>
      <c r="I236" s="61"/>
      <c r="J236" s="61"/>
      <c r="K236" s="59"/>
      <c r="L236" s="61"/>
      <c r="M236" s="61"/>
      <c r="N236" s="60"/>
      <c r="O236" s="66"/>
    </row>
    <row r="237" spans="2:15" x14ac:dyDescent="0.25">
      <c r="B237" s="68"/>
      <c r="C237" s="64"/>
      <c r="D237" s="59"/>
      <c r="E237" s="60"/>
      <c r="F237" s="60"/>
      <c r="G237" s="60"/>
      <c r="H237" s="62"/>
      <c r="I237" s="61"/>
      <c r="J237" s="61"/>
      <c r="K237" s="59"/>
      <c r="L237" s="61"/>
      <c r="M237" s="61"/>
      <c r="N237" s="60"/>
      <c r="O237" s="66"/>
    </row>
    <row r="238" spans="2:15" x14ac:dyDescent="0.25">
      <c r="B238" s="68"/>
      <c r="C238" s="64"/>
      <c r="D238" s="59"/>
      <c r="E238" s="60"/>
      <c r="F238" s="60"/>
      <c r="G238" s="60"/>
      <c r="H238" s="62"/>
      <c r="I238" s="61"/>
      <c r="J238" s="61"/>
      <c r="K238" s="59"/>
      <c r="L238" s="61"/>
      <c r="M238" s="61"/>
      <c r="N238" s="60"/>
      <c r="O238" s="66"/>
    </row>
    <row r="239" spans="2:15" x14ac:dyDescent="0.25">
      <c r="B239" s="68"/>
      <c r="C239" s="64"/>
      <c r="D239" s="59"/>
      <c r="E239" s="60"/>
      <c r="F239" s="60"/>
      <c r="G239" s="60"/>
      <c r="H239" s="62"/>
      <c r="I239" s="61"/>
      <c r="J239" s="61"/>
      <c r="K239" s="59"/>
      <c r="L239" s="61"/>
      <c r="M239" s="61"/>
      <c r="N239" s="60"/>
      <c r="O239" s="66"/>
    </row>
    <row r="240" spans="2:15" x14ac:dyDescent="0.25">
      <c r="B240" s="68"/>
      <c r="C240" s="64"/>
      <c r="D240" s="59"/>
      <c r="E240" s="60"/>
      <c r="F240" s="60"/>
      <c r="G240" s="60"/>
      <c r="H240" s="62"/>
      <c r="I240" s="61"/>
      <c r="J240" s="61"/>
      <c r="K240" s="59"/>
      <c r="L240" s="61"/>
      <c r="M240" s="61"/>
      <c r="N240" s="60"/>
      <c r="O240" s="66"/>
    </row>
    <row r="241" spans="2:15" x14ac:dyDescent="0.25">
      <c r="B241" s="68"/>
      <c r="C241" s="64"/>
      <c r="D241" s="59"/>
      <c r="E241" s="60"/>
      <c r="F241" s="60"/>
      <c r="G241" s="60"/>
      <c r="H241" s="62"/>
      <c r="I241" s="61"/>
      <c r="J241" s="61"/>
      <c r="K241" s="59"/>
      <c r="L241" s="61"/>
      <c r="M241" s="61"/>
      <c r="N241" s="60"/>
      <c r="O241" s="66"/>
    </row>
    <row r="242" spans="2:15" x14ac:dyDescent="0.25">
      <c r="B242" s="68"/>
      <c r="C242" s="64"/>
      <c r="D242" s="59"/>
      <c r="E242" s="60"/>
      <c r="F242" s="60"/>
      <c r="G242" s="60"/>
      <c r="H242" s="62"/>
      <c r="I242" s="61"/>
      <c r="J242" s="61"/>
      <c r="K242" s="59"/>
      <c r="L242" s="61"/>
      <c r="M242" s="61"/>
      <c r="N242" s="60"/>
      <c r="O242" s="66"/>
    </row>
    <row r="243" spans="2:15" x14ac:dyDescent="0.25">
      <c r="B243" s="68"/>
      <c r="C243" s="64"/>
      <c r="D243" s="59"/>
      <c r="E243" s="60"/>
      <c r="F243" s="60"/>
      <c r="G243" s="60"/>
      <c r="H243" s="62"/>
      <c r="I243" s="61"/>
      <c r="J243" s="61"/>
      <c r="K243" s="59"/>
      <c r="L243" s="61"/>
      <c r="M243" s="61"/>
      <c r="N243" s="60"/>
      <c r="O243" s="66"/>
    </row>
    <row r="244" spans="2:15" x14ac:dyDescent="0.25">
      <c r="B244" s="68"/>
      <c r="C244" s="64"/>
      <c r="D244" s="59"/>
      <c r="E244" s="60"/>
      <c r="F244" s="60"/>
      <c r="G244" s="60"/>
      <c r="H244" s="62"/>
      <c r="I244" s="61"/>
      <c r="J244" s="61"/>
      <c r="K244" s="59"/>
      <c r="L244" s="61"/>
      <c r="M244" s="61"/>
      <c r="N244" s="60"/>
      <c r="O244" s="66"/>
    </row>
    <row r="245" spans="2:15" x14ac:dyDescent="0.25">
      <c r="B245" s="68"/>
      <c r="C245" s="64"/>
      <c r="D245" s="59"/>
      <c r="E245" s="60"/>
      <c r="F245" s="60"/>
      <c r="G245" s="60"/>
      <c r="H245" s="62"/>
      <c r="I245" s="61"/>
      <c r="J245" s="61"/>
      <c r="K245" s="59"/>
      <c r="L245" s="61"/>
      <c r="M245" s="61"/>
      <c r="N245" s="60"/>
      <c r="O245" s="66"/>
    </row>
    <row r="246" spans="2:15" x14ac:dyDescent="0.25">
      <c r="B246" s="68"/>
      <c r="C246" s="64"/>
      <c r="D246" s="59"/>
      <c r="E246" s="60"/>
      <c r="F246" s="60"/>
      <c r="G246" s="60"/>
      <c r="H246" s="62"/>
      <c r="I246" s="61"/>
      <c r="J246" s="61"/>
      <c r="K246" s="59"/>
      <c r="L246" s="61"/>
      <c r="M246" s="61"/>
      <c r="N246" s="60"/>
      <c r="O246" s="66"/>
    </row>
    <row r="247" spans="2:15" x14ac:dyDescent="0.25">
      <c r="B247" s="68"/>
      <c r="C247" s="64"/>
      <c r="D247" s="59"/>
      <c r="E247" s="60"/>
      <c r="F247" s="60"/>
      <c r="G247" s="60"/>
      <c r="H247" s="62"/>
      <c r="I247" s="61"/>
      <c r="J247" s="61"/>
      <c r="K247" s="59"/>
      <c r="L247" s="61"/>
      <c r="M247" s="61"/>
      <c r="N247" s="60"/>
      <c r="O247" s="66"/>
    </row>
    <row r="248" spans="2:15" x14ac:dyDescent="0.25">
      <c r="B248" s="68"/>
      <c r="C248" s="64"/>
      <c r="D248" s="59"/>
      <c r="E248" s="60"/>
      <c r="F248" s="60"/>
      <c r="G248" s="60"/>
      <c r="H248" s="62"/>
      <c r="I248" s="61"/>
      <c r="J248" s="61"/>
      <c r="K248" s="59"/>
      <c r="L248" s="61"/>
      <c r="M248" s="61"/>
      <c r="N248" s="60"/>
      <c r="O248" s="66"/>
    </row>
    <row r="249" spans="2:15" x14ac:dyDescent="0.25">
      <c r="B249" s="68"/>
      <c r="C249" s="64"/>
      <c r="D249" s="59"/>
      <c r="E249" s="60"/>
      <c r="F249" s="60"/>
      <c r="G249" s="60"/>
      <c r="H249" s="62"/>
      <c r="I249" s="61"/>
      <c r="J249" s="61"/>
      <c r="K249" s="59"/>
      <c r="L249" s="61"/>
      <c r="M249" s="61"/>
      <c r="N249" s="60"/>
      <c r="O249" s="66"/>
    </row>
    <row r="250" spans="2:15" x14ac:dyDescent="0.25">
      <c r="B250" s="68"/>
      <c r="C250" s="64"/>
      <c r="D250" s="59"/>
      <c r="E250" s="60"/>
      <c r="F250" s="60"/>
      <c r="G250" s="60"/>
      <c r="H250" s="62"/>
      <c r="I250" s="61"/>
      <c r="J250" s="61"/>
      <c r="K250" s="59"/>
      <c r="L250" s="61"/>
      <c r="M250" s="61"/>
      <c r="N250" s="60"/>
      <c r="O250" s="66"/>
    </row>
    <row r="251" spans="2:15" x14ac:dyDescent="0.25">
      <c r="B251" s="68"/>
      <c r="C251" s="64"/>
      <c r="D251" s="59"/>
      <c r="E251" s="60"/>
      <c r="F251" s="60"/>
      <c r="G251" s="60"/>
      <c r="H251" s="62"/>
      <c r="I251" s="61"/>
      <c r="J251" s="61"/>
      <c r="K251" s="59"/>
      <c r="L251" s="61"/>
      <c r="M251" s="61"/>
      <c r="N251" s="60"/>
      <c r="O251" s="66"/>
    </row>
    <row r="252" spans="2:15" x14ac:dyDescent="0.25">
      <c r="B252" s="68"/>
      <c r="C252" s="64"/>
      <c r="D252" s="59"/>
      <c r="E252" s="60"/>
      <c r="F252" s="60"/>
      <c r="G252" s="60"/>
      <c r="H252" s="62"/>
      <c r="I252" s="61"/>
      <c r="J252" s="61"/>
      <c r="K252" s="59"/>
      <c r="L252" s="61"/>
      <c r="M252" s="61"/>
      <c r="N252" s="60"/>
      <c r="O252" s="66"/>
    </row>
    <row r="253" spans="2:15" x14ac:dyDescent="0.25">
      <c r="B253" s="68"/>
      <c r="C253" s="64"/>
      <c r="D253" s="59"/>
      <c r="E253" s="60"/>
      <c r="F253" s="60"/>
      <c r="G253" s="60"/>
      <c r="H253" s="62"/>
      <c r="I253" s="61"/>
      <c r="J253" s="61"/>
      <c r="K253" s="59"/>
      <c r="L253" s="61"/>
      <c r="M253" s="61"/>
      <c r="N253" s="60"/>
      <c r="O253" s="66"/>
    </row>
    <row r="254" spans="2:15" x14ac:dyDescent="0.25">
      <c r="B254" s="68"/>
      <c r="C254" s="64"/>
      <c r="D254" s="59"/>
      <c r="E254" s="60"/>
      <c r="F254" s="60"/>
      <c r="G254" s="60"/>
      <c r="H254" s="62"/>
      <c r="I254" s="61"/>
      <c r="J254" s="61"/>
      <c r="K254" s="59"/>
      <c r="L254" s="61"/>
      <c r="M254" s="61"/>
      <c r="N254" s="60"/>
      <c r="O254" s="66"/>
    </row>
    <row r="255" spans="2:15" x14ac:dyDescent="0.25">
      <c r="B255" s="68"/>
      <c r="C255" s="64"/>
      <c r="D255" s="59"/>
      <c r="E255" s="60"/>
      <c r="F255" s="60"/>
      <c r="G255" s="60"/>
      <c r="H255" s="62"/>
      <c r="I255" s="61"/>
      <c r="J255" s="61"/>
      <c r="K255" s="59"/>
      <c r="L255" s="61"/>
      <c r="M255" s="61"/>
      <c r="N255" s="60"/>
      <c r="O255" s="66"/>
    </row>
    <row r="256" spans="2:15" x14ac:dyDescent="0.25">
      <c r="B256" s="68"/>
      <c r="C256" s="64"/>
      <c r="D256" s="59"/>
      <c r="E256" s="60"/>
      <c r="F256" s="60"/>
      <c r="G256" s="60"/>
      <c r="H256" s="62"/>
      <c r="I256" s="61"/>
      <c r="J256" s="61"/>
      <c r="K256" s="59"/>
      <c r="L256" s="61"/>
      <c r="M256" s="61"/>
      <c r="N256" s="60"/>
      <c r="O256" s="66"/>
    </row>
    <row r="257" spans="2:15" x14ac:dyDescent="0.25">
      <c r="B257" s="68"/>
      <c r="C257" s="64"/>
      <c r="D257" s="59"/>
      <c r="E257" s="60"/>
      <c r="F257" s="60"/>
      <c r="G257" s="60"/>
      <c r="H257" s="62"/>
      <c r="I257" s="61"/>
      <c r="J257" s="61"/>
      <c r="K257" s="59"/>
      <c r="L257" s="61"/>
      <c r="M257" s="61"/>
      <c r="N257" s="60"/>
      <c r="O257" s="66"/>
    </row>
    <row r="258" spans="2:15" x14ac:dyDescent="0.25">
      <c r="B258" s="68"/>
      <c r="C258" s="64"/>
      <c r="D258" s="59"/>
      <c r="E258" s="60"/>
      <c r="F258" s="60"/>
      <c r="G258" s="60"/>
      <c r="H258" s="62"/>
      <c r="I258" s="61"/>
      <c r="J258" s="61"/>
      <c r="K258" s="59"/>
      <c r="L258" s="61"/>
      <c r="M258" s="61"/>
      <c r="N258" s="60"/>
      <c r="O258" s="66"/>
    </row>
    <row r="259" spans="2:15" x14ac:dyDescent="0.25">
      <c r="B259" s="68"/>
      <c r="C259" s="64"/>
      <c r="D259" s="59"/>
      <c r="E259" s="60"/>
      <c r="F259" s="60"/>
      <c r="G259" s="60"/>
      <c r="H259" s="62"/>
      <c r="I259" s="61"/>
      <c r="J259" s="61"/>
      <c r="K259" s="59"/>
      <c r="L259" s="61"/>
      <c r="M259" s="61"/>
      <c r="N259" s="60"/>
      <c r="O259" s="66"/>
    </row>
    <row r="260" spans="2:15" x14ac:dyDescent="0.25">
      <c r="B260" s="68"/>
      <c r="C260" s="64"/>
      <c r="D260" s="59"/>
      <c r="E260" s="60"/>
      <c r="F260" s="60"/>
      <c r="G260" s="60"/>
      <c r="H260" s="62"/>
      <c r="I260" s="61"/>
      <c r="J260" s="61"/>
      <c r="K260" s="59"/>
      <c r="L260" s="61"/>
      <c r="M260" s="61"/>
      <c r="N260" s="60"/>
      <c r="O260" s="66"/>
    </row>
    <row r="261" spans="2:15" x14ac:dyDescent="0.25">
      <c r="B261" s="68"/>
      <c r="C261" s="64"/>
      <c r="D261" s="59"/>
      <c r="E261" s="60"/>
      <c r="F261" s="60"/>
      <c r="G261" s="60"/>
      <c r="H261" s="62"/>
      <c r="I261" s="61"/>
      <c r="J261" s="61"/>
      <c r="K261" s="59"/>
      <c r="L261" s="61"/>
      <c r="M261" s="61"/>
      <c r="N261" s="60"/>
      <c r="O261" s="66"/>
    </row>
    <row r="262" spans="2:15" x14ac:dyDescent="0.25">
      <c r="B262" s="68"/>
      <c r="C262" s="64"/>
      <c r="D262" s="59"/>
      <c r="E262" s="60"/>
      <c r="F262" s="60"/>
      <c r="G262" s="60"/>
      <c r="H262" s="62"/>
      <c r="I262" s="61"/>
      <c r="J262" s="61"/>
      <c r="K262" s="59"/>
      <c r="L262" s="61"/>
      <c r="M262" s="61"/>
      <c r="N262" s="60"/>
      <c r="O262" s="66"/>
    </row>
    <row r="263" spans="2:15" x14ac:dyDescent="0.25">
      <c r="B263" s="68"/>
      <c r="C263" s="64"/>
      <c r="D263" s="59"/>
      <c r="E263" s="60"/>
      <c r="F263" s="60"/>
      <c r="G263" s="60"/>
      <c r="H263" s="62"/>
      <c r="I263" s="61"/>
      <c r="J263" s="61"/>
      <c r="K263" s="59"/>
      <c r="L263" s="61"/>
      <c r="M263" s="61"/>
      <c r="N263" s="60"/>
      <c r="O263" s="66"/>
    </row>
    <row r="264" spans="2:15" x14ac:dyDescent="0.25">
      <c r="B264" s="68"/>
      <c r="C264" s="64"/>
      <c r="D264" s="59"/>
      <c r="E264" s="60"/>
      <c r="F264" s="60"/>
      <c r="G264" s="60"/>
      <c r="H264" s="62"/>
      <c r="I264" s="61"/>
      <c r="J264" s="61"/>
      <c r="K264" s="59"/>
      <c r="L264" s="61"/>
      <c r="M264" s="61"/>
      <c r="N264" s="60"/>
      <c r="O264" s="66"/>
    </row>
    <row r="265" spans="2:15" x14ac:dyDescent="0.25">
      <c r="B265" s="68"/>
      <c r="C265" s="64"/>
      <c r="D265" s="59"/>
      <c r="E265" s="60"/>
      <c r="F265" s="60"/>
      <c r="G265" s="60"/>
      <c r="H265" s="62"/>
      <c r="I265" s="61"/>
      <c r="J265" s="61"/>
      <c r="K265" s="59"/>
      <c r="L265" s="61"/>
      <c r="M265" s="61"/>
      <c r="N265" s="60"/>
      <c r="O265" s="66"/>
    </row>
    <row r="266" spans="2:15" x14ac:dyDescent="0.25">
      <c r="B266" s="68"/>
      <c r="C266" s="64"/>
      <c r="D266" s="59"/>
      <c r="E266" s="60"/>
      <c r="F266" s="60"/>
      <c r="G266" s="60"/>
      <c r="H266" s="62"/>
      <c r="I266" s="61"/>
      <c r="J266" s="61"/>
      <c r="K266" s="59"/>
      <c r="L266" s="61"/>
      <c r="M266" s="61"/>
      <c r="N266" s="60"/>
      <c r="O266" s="66"/>
    </row>
    <row r="267" spans="2:15" x14ac:dyDescent="0.25">
      <c r="B267" s="68"/>
      <c r="C267" s="64"/>
      <c r="D267" s="59"/>
      <c r="E267" s="60"/>
      <c r="F267" s="60"/>
      <c r="G267" s="60"/>
      <c r="H267" s="62"/>
      <c r="I267" s="61"/>
      <c r="J267" s="61"/>
      <c r="K267" s="59"/>
      <c r="L267" s="61"/>
      <c r="M267" s="61"/>
      <c r="N267" s="60"/>
      <c r="O267" s="66"/>
    </row>
    <row r="268" spans="2:15" x14ac:dyDescent="0.25">
      <c r="B268" s="68"/>
      <c r="C268" s="64"/>
      <c r="D268" s="59"/>
      <c r="E268" s="60"/>
      <c r="F268" s="60"/>
      <c r="G268" s="60"/>
      <c r="H268" s="62"/>
      <c r="I268" s="61"/>
      <c r="J268" s="61"/>
      <c r="K268" s="59"/>
      <c r="L268" s="61"/>
      <c r="M268" s="61"/>
      <c r="N268" s="60"/>
      <c r="O268" s="66"/>
    </row>
    <row r="269" spans="2:15" x14ac:dyDescent="0.25">
      <c r="B269" s="68"/>
      <c r="C269" s="64"/>
      <c r="D269" s="59"/>
      <c r="E269" s="60"/>
      <c r="F269" s="60"/>
      <c r="G269" s="60"/>
      <c r="H269" s="62"/>
      <c r="I269" s="61"/>
      <c r="J269" s="61"/>
      <c r="K269" s="59"/>
      <c r="L269" s="61"/>
      <c r="M269" s="61"/>
      <c r="N269" s="60"/>
      <c r="O269" s="66"/>
    </row>
    <row r="270" spans="2:15" x14ac:dyDescent="0.25">
      <c r="B270" s="68"/>
      <c r="C270" s="64"/>
      <c r="D270" s="59"/>
      <c r="E270" s="60"/>
      <c r="F270" s="60"/>
      <c r="G270" s="60"/>
      <c r="H270" s="62"/>
      <c r="I270" s="61"/>
      <c r="J270" s="61"/>
      <c r="K270" s="59"/>
      <c r="L270" s="61"/>
      <c r="M270" s="61"/>
      <c r="N270" s="60"/>
      <c r="O270" s="66"/>
    </row>
    <row r="271" spans="2:15" x14ac:dyDescent="0.25">
      <c r="B271" s="68"/>
      <c r="C271" s="64"/>
      <c r="D271" s="59"/>
      <c r="E271" s="60"/>
      <c r="F271" s="60"/>
      <c r="G271" s="60"/>
      <c r="H271" s="62"/>
      <c r="I271" s="61"/>
      <c r="J271" s="61"/>
      <c r="K271" s="59"/>
      <c r="L271" s="61"/>
      <c r="M271" s="61"/>
      <c r="N271" s="60"/>
      <c r="O271" s="66"/>
    </row>
    <row r="272" spans="2:15" x14ac:dyDescent="0.25">
      <c r="B272" s="68"/>
      <c r="C272" s="64"/>
      <c r="D272" s="59"/>
      <c r="E272" s="60"/>
      <c r="F272" s="60"/>
      <c r="G272" s="60"/>
      <c r="H272" s="62"/>
      <c r="I272" s="61"/>
      <c r="J272" s="61"/>
      <c r="K272" s="59"/>
      <c r="L272" s="61"/>
      <c r="M272" s="61"/>
      <c r="N272" s="60"/>
      <c r="O272" s="66"/>
    </row>
    <row r="273" spans="2:15" x14ac:dyDescent="0.25">
      <c r="B273" s="68"/>
      <c r="C273" s="64"/>
      <c r="D273" s="59"/>
      <c r="E273" s="60"/>
      <c r="F273" s="60"/>
      <c r="G273" s="60"/>
      <c r="H273" s="62"/>
      <c r="I273" s="61"/>
      <c r="J273" s="61"/>
      <c r="K273" s="59"/>
      <c r="L273" s="61"/>
      <c r="M273" s="61"/>
      <c r="N273" s="60"/>
      <c r="O273" s="66"/>
    </row>
    <row r="274" spans="2:15" x14ac:dyDescent="0.25">
      <c r="B274" s="68"/>
      <c r="C274" s="64"/>
      <c r="D274" s="59"/>
      <c r="E274" s="60"/>
      <c r="F274" s="60"/>
      <c r="G274" s="60"/>
      <c r="H274" s="62"/>
      <c r="I274" s="61"/>
      <c r="J274" s="61"/>
      <c r="K274" s="59"/>
      <c r="L274" s="61"/>
      <c r="M274" s="61"/>
      <c r="N274" s="60"/>
      <c r="O274" s="66"/>
    </row>
    <row r="275" spans="2:15" x14ac:dyDescent="0.25">
      <c r="B275" s="68"/>
      <c r="C275" s="64"/>
      <c r="D275" s="59"/>
      <c r="E275" s="60"/>
      <c r="F275" s="60"/>
      <c r="G275" s="60"/>
      <c r="H275" s="62"/>
      <c r="I275" s="61"/>
      <c r="J275" s="61"/>
      <c r="K275" s="59"/>
      <c r="L275" s="61"/>
      <c r="M275" s="61"/>
      <c r="N275" s="60"/>
      <c r="O275" s="66"/>
    </row>
    <row r="276" spans="2:15" x14ac:dyDescent="0.25">
      <c r="B276" s="68"/>
      <c r="C276" s="64"/>
      <c r="D276" s="59"/>
      <c r="E276" s="60"/>
      <c r="F276" s="60"/>
      <c r="G276" s="60"/>
      <c r="H276" s="62"/>
      <c r="I276" s="61"/>
      <c r="J276" s="61"/>
      <c r="K276" s="59"/>
      <c r="L276" s="61"/>
      <c r="M276" s="61"/>
      <c r="N276" s="60"/>
      <c r="O276" s="66"/>
    </row>
    <row r="277" spans="2:15" x14ac:dyDescent="0.25">
      <c r="B277" s="68"/>
      <c r="C277" s="64"/>
      <c r="D277" s="59"/>
      <c r="E277" s="60"/>
      <c r="F277" s="60"/>
      <c r="G277" s="60"/>
      <c r="H277" s="62"/>
      <c r="I277" s="61"/>
      <c r="J277" s="61"/>
      <c r="K277" s="59"/>
      <c r="L277" s="61"/>
      <c r="M277" s="61"/>
      <c r="N277" s="60"/>
      <c r="O277" s="66"/>
    </row>
    <row r="278" spans="2:15" x14ac:dyDescent="0.25">
      <c r="B278" s="68"/>
      <c r="C278" s="64"/>
      <c r="D278" s="59"/>
      <c r="E278" s="60"/>
      <c r="F278" s="60"/>
      <c r="G278" s="60"/>
      <c r="H278" s="62"/>
      <c r="I278" s="61"/>
      <c r="J278" s="61"/>
      <c r="K278" s="59"/>
      <c r="L278" s="61"/>
      <c r="M278" s="61"/>
      <c r="N278" s="60"/>
      <c r="O278" s="66"/>
    </row>
    <row r="279" spans="2:15" x14ac:dyDescent="0.25">
      <c r="B279" s="68"/>
      <c r="C279" s="64"/>
      <c r="D279" s="59"/>
      <c r="E279" s="60"/>
      <c r="F279" s="60"/>
      <c r="G279" s="60"/>
      <c r="H279" s="62"/>
      <c r="I279" s="61"/>
      <c r="J279" s="61"/>
      <c r="K279" s="59"/>
      <c r="L279" s="61"/>
      <c r="M279" s="61"/>
      <c r="N279" s="60"/>
      <c r="O279" s="66"/>
    </row>
    <row r="280" spans="2:15" x14ac:dyDescent="0.25">
      <c r="B280" s="68"/>
      <c r="C280" s="64"/>
      <c r="D280" s="59"/>
      <c r="E280" s="60"/>
      <c r="F280" s="60"/>
      <c r="G280" s="60"/>
      <c r="H280" s="62"/>
      <c r="I280" s="61"/>
      <c r="J280" s="61"/>
      <c r="K280" s="59"/>
      <c r="L280" s="61"/>
      <c r="M280" s="61"/>
      <c r="N280" s="60"/>
      <c r="O280" s="66"/>
    </row>
    <row r="281" spans="2:15" x14ac:dyDescent="0.25">
      <c r="B281" s="68"/>
      <c r="C281" s="64"/>
      <c r="D281" s="59"/>
      <c r="E281" s="60"/>
      <c r="F281" s="60"/>
      <c r="G281" s="60"/>
      <c r="H281" s="62"/>
      <c r="I281" s="61"/>
      <c r="J281" s="61"/>
      <c r="K281" s="59"/>
      <c r="L281" s="61"/>
      <c r="M281" s="61"/>
      <c r="N281" s="60"/>
      <c r="O281" s="66"/>
    </row>
    <row r="282" spans="2:15" x14ac:dyDescent="0.25">
      <c r="B282" s="68"/>
      <c r="C282" s="64"/>
      <c r="D282" s="59"/>
      <c r="E282" s="60"/>
      <c r="F282" s="60"/>
      <c r="G282" s="60"/>
      <c r="H282" s="62"/>
      <c r="I282" s="61"/>
      <c r="J282" s="61"/>
      <c r="K282" s="59"/>
      <c r="L282" s="61"/>
      <c r="M282" s="61"/>
      <c r="N282" s="60"/>
      <c r="O282" s="66"/>
    </row>
    <row r="283" spans="2:15" x14ac:dyDescent="0.25">
      <c r="B283" s="68"/>
      <c r="C283" s="64"/>
      <c r="D283" s="59"/>
      <c r="E283" s="60"/>
      <c r="F283" s="60"/>
      <c r="G283" s="60"/>
      <c r="H283" s="62"/>
      <c r="I283" s="61"/>
      <c r="J283" s="61"/>
      <c r="K283" s="59"/>
      <c r="L283" s="61"/>
      <c r="M283" s="61"/>
      <c r="N283" s="60"/>
      <c r="O283" s="66"/>
    </row>
    <row r="284" spans="2:15" x14ac:dyDescent="0.25">
      <c r="B284" s="68"/>
      <c r="C284" s="64"/>
      <c r="D284" s="59"/>
      <c r="E284" s="60"/>
      <c r="F284" s="60"/>
      <c r="G284" s="60"/>
      <c r="H284" s="62"/>
      <c r="I284" s="61"/>
      <c r="J284" s="61"/>
      <c r="K284" s="59"/>
      <c r="L284" s="61"/>
      <c r="M284" s="61"/>
      <c r="N284" s="60"/>
      <c r="O284" s="66"/>
    </row>
    <row r="285" spans="2:15" x14ac:dyDescent="0.25">
      <c r="B285" s="68"/>
      <c r="C285" s="64"/>
      <c r="D285" s="59"/>
      <c r="E285" s="60"/>
      <c r="F285" s="60"/>
      <c r="G285" s="60"/>
      <c r="H285" s="62"/>
      <c r="I285" s="61"/>
      <c r="J285" s="61"/>
      <c r="K285" s="59"/>
      <c r="L285" s="61"/>
      <c r="M285" s="61"/>
      <c r="N285" s="60"/>
      <c r="O285" s="66"/>
    </row>
    <row r="286" spans="2:15" x14ac:dyDescent="0.25">
      <c r="B286" s="68"/>
      <c r="C286" s="64"/>
      <c r="D286" s="59"/>
      <c r="E286" s="60"/>
      <c r="F286" s="60"/>
      <c r="G286" s="60"/>
      <c r="H286" s="62"/>
      <c r="I286" s="61"/>
      <c r="J286" s="61"/>
      <c r="K286" s="59"/>
      <c r="L286" s="61"/>
      <c r="M286" s="61"/>
      <c r="N286" s="60"/>
      <c r="O286" s="66"/>
    </row>
    <row r="287" spans="2:15" x14ac:dyDescent="0.25">
      <c r="B287" s="68"/>
      <c r="C287" s="64"/>
      <c r="D287" s="59"/>
      <c r="E287" s="60"/>
      <c r="F287" s="60"/>
      <c r="G287" s="60"/>
      <c r="H287" s="62"/>
      <c r="I287" s="61"/>
      <c r="J287" s="61"/>
      <c r="K287" s="59"/>
      <c r="L287" s="61"/>
      <c r="M287" s="61"/>
      <c r="N287" s="60"/>
      <c r="O287" s="66"/>
    </row>
    <row r="288" spans="2:15" x14ac:dyDescent="0.25">
      <c r="B288" s="68"/>
      <c r="C288" s="64"/>
      <c r="D288" s="59"/>
      <c r="E288" s="60"/>
      <c r="F288" s="60"/>
      <c r="G288" s="60"/>
      <c r="H288" s="62"/>
      <c r="I288" s="61"/>
      <c r="J288" s="61"/>
      <c r="K288" s="59"/>
      <c r="L288" s="61"/>
      <c r="M288" s="61"/>
      <c r="N288" s="60"/>
      <c r="O288" s="66"/>
    </row>
    <row r="289" spans="2:15" x14ac:dyDescent="0.25">
      <c r="B289" s="68"/>
      <c r="C289" s="64"/>
      <c r="D289" s="59"/>
      <c r="E289" s="60"/>
      <c r="F289" s="60"/>
      <c r="G289" s="60"/>
      <c r="H289" s="62"/>
      <c r="I289" s="61"/>
      <c r="J289" s="61"/>
      <c r="K289" s="59"/>
      <c r="L289" s="61"/>
      <c r="M289" s="61"/>
      <c r="N289" s="60"/>
      <c r="O289" s="66"/>
    </row>
    <row r="290" spans="2:15" x14ac:dyDescent="0.25">
      <c r="B290" s="68"/>
      <c r="C290" s="64"/>
      <c r="D290" s="59"/>
      <c r="E290" s="60"/>
      <c r="F290" s="60"/>
      <c r="G290" s="60"/>
      <c r="H290" s="62"/>
      <c r="I290" s="61"/>
      <c r="J290" s="61"/>
      <c r="K290" s="59"/>
      <c r="L290" s="61"/>
      <c r="M290" s="61"/>
      <c r="N290" s="60"/>
      <c r="O290" s="66"/>
    </row>
    <row r="291" spans="2:15" x14ac:dyDescent="0.25">
      <c r="B291" s="68"/>
      <c r="C291" s="64"/>
      <c r="D291" s="59"/>
      <c r="E291" s="60"/>
      <c r="F291" s="60"/>
      <c r="G291" s="60"/>
      <c r="H291" s="62"/>
      <c r="I291" s="61"/>
      <c r="J291" s="61"/>
      <c r="K291" s="59"/>
      <c r="L291" s="61"/>
      <c r="M291" s="61"/>
      <c r="N291" s="60"/>
      <c r="O291" s="66"/>
    </row>
    <row r="292" spans="2:15" x14ac:dyDescent="0.25">
      <c r="B292" s="68"/>
      <c r="C292" s="64"/>
      <c r="D292" s="59"/>
      <c r="E292" s="60"/>
      <c r="F292" s="60"/>
      <c r="G292" s="60"/>
      <c r="H292" s="62"/>
      <c r="I292" s="61"/>
      <c r="J292" s="61"/>
      <c r="K292" s="59"/>
      <c r="L292" s="61"/>
      <c r="M292" s="61"/>
      <c r="N292" s="60"/>
      <c r="O292" s="66"/>
    </row>
    <row r="293" spans="2:15" x14ac:dyDescent="0.25">
      <c r="B293" s="68"/>
      <c r="C293" s="64"/>
      <c r="D293" s="59"/>
      <c r="E293" s="60"/>
      <c r="F293" s="60"/>
      <c r="G293" s="60"/>
      <c r="H293" s="62"/>
      <c r="I293" s="61"/>
      <c r="J293" s="61"/>
      <c r="K293" s="59"/>
      <c r="L293" s="61"/>
      <c r="M293" s="61"/>
      <c r="N293" s="60"/>
      <c r="O293" s="66"/>
    </row>
    <row r="294" spans="2:15" x14ac:dyDescent="0.25">
      <c r="B294" s="68"/>
      <c r="C294" s="64"/>
      <c r="D294" s="59"/>
      <c r="E294" s="60"/>
      <c r="F294" s="60"/>
      <c r="G294" s="60"/>
      <c r="H294" s="62"/>
      <c r="I294" s="61"/>
      <c r="J294" s="61"/>
      <c r="K294" s="59"/>
      <c r="L294" s="61"/>
      <c r="M294" s="61"/>
      <c r="N294" s="60"/>
      <c r="O294" s="66"/>
    </row>
    <row r="295" spans="2:15" x14ac:dyDescent="0.25">
      <c r="B295" s="68"/>
      <c r="C295" s="64"/>
      <c r="D295" s="59"/>
      <c r="E295" s="60"/>
      <c r="F295" s="60"/>
      <c r="G295" s="60"/>
      <c r="H295" s="62"/>
      <c r="I295" s="61"/>
      <c r="J295" s="61"/>
      <c r="K295" s="59"/>
      <c r="L295" s="61"/>
      <c r="M295" s="61"/>
      <c r="N295" s="60"/>
      <c r="O295" s="66"/>
    </row>
    <row r="296" spans="2:15" x14ac:dyDescent="0.25">
      <c r="B296" s="68"/>
      <c r="C296" s="64"/>
      <c r="D296" s="59"/>
      <c r="E296" s="60"/>
      <c r="F296" s="60"/>
      <c r="G296" s="60"/>
      <c r="H296" s="62"/>
      <c r="I296" s="61"/>
      <c r="J296" s="61"/>
      <c r="K296" s="59"/>
      <c r="L296" s="61"/>
      <c r="M296" s="61"/>
      <c r="N296" s="60"/>
      <c r="O296" s="66"/>
    </row>
    <row r="297" spans="2:15" x14ac:dyDescent="0.25">
      <c r="B297" s="68"/>
      <c r="C297" s="64"/>
      <c r="D297" s="59"/>
      <c r="E297" s="60"/>
      <c r="F297" s="60"/>
      <c r="G297" s="60"/>
      <c r="H297" s="62"/>
      <c r="I297" s="61"/>
      <c r="J297" s="61"/>
      <c r="K297" s="59"/>
      <c r="L297" s="61"/>
      <c r="M297" s="61"/>
      <c r="N297" s="60"/>
      <c r="O297" s="66"/>
    </row>
    <row r="298" spans="2:15" x14ac:dyDescent="0.25">
      <c r="B298" s="68"/>
      <c r="C298" s="64"/>
      <c r="D298" s="59"/>
      <c r="E298" s="60"/>
      <c r="F298" s="60"/>
      <c r="G298" s="60"/>
      <c r="H298" s="62"/>
      <c r="I298" s="61"/>
      <c r="J298" s="61"/>
      <c r="K298" s="59"/>
      <c r="L298" s="61"/>
      <c r="M298" s="61"/>
      <c r="N298" s="60"/>
      <c r="O298" s="66"/>
    </row>
    <row r="299" spans="2:15" x14ac:dyDescent="0.25">
      <c r="B299" s="68"/>
      <c r="C299" s="64"/>
      <c r="D299" s="59"/>
      <c r="E299" s="60"/>
      <c r="F299" s="60"/>
      <c r="G299" s="60"/>
      <c r="H299" s="62"/>
      <c r="I299" s="61"/>
      <c r="J299" s="61"/>
      <c r="K299" s="59"/>
      <c r="L299" s="61"/>
      <c r="M299" s="61"/>
      <c r="N299" s="60"/>
      <c r="O299" s="66"/>
    </row>
    <row r="300" spans="2:15" x14ac:dyDescent="0.25">
      <c r="B300" s="68"/>
      <c r="C300" s="64"/>
      <c r="D300" s="59"/>
      <c r="E300" s="60"/>
      <c r="F300" s="60"/>
      <c r="G300" s="60"/>
      <c r="H300" s="62"/>
      <c r="I300" s="61"/>
      <c r="J300" s="61"/>
      <c r="K300" s="59"/>
      <c r="L300" s="61"/>
      <c r="M300" s="61"/>
      <c r="N300" s="60"/>
      <c r="O300" s="66"/>
    </row>
    <row r="301" spans="2:15" x14ac:dyDescent="0.25">
      <c r="B301" s="68"/>
      <c r="C301" s="64"/>
      <c r="D301" s="59"/>
      <c r="E301" s="60"/>
      <c r="F301" s="60"/>
      <c r="G301" s="60"/>
      <c r="H301" s="62"/>
      <c r="I301" s="61"/>
      <c r="J301" s="61"/>
      <c r="K301" s="59"/>
      <c r="L301" s="61"/>
      <c r="M301" s="61"/>
      <c r="N301" s="60"/>
      <c r="O301" s="66"/>
    </row>
    <row r="302" spans="2:15" x14ac:dyDescent="0.25">
      <c r="B302" s="68"/>
      <c r="C302" s="64"/>
      <c r="D302" s="59"/>
      <c r="E302" s="60"/>
      <c r="F302" s="60"/>
      <c r="G302" s="60"/>
      <c r="H302" s="62"/>
      <c r="I302" s="61"/>
      <c r="J302" s="61"/>
      <c r="K302" s="59"/>
      <c r="L302" s="61"/>
      <c r="M302" s="61"/>
      <c r="N302" s="60"/>
      <c r="O302" s="66"/>
    </row>
    <row r="303" spans="2:15" x14ac:dyDescent="0.25">
      <c r="B303" s="68"/>
      <c r="C303" s="64"/>
      <c r="D303" s="59"/>
      <c r="E303" s="60"/>
      <c r="F303" s="60"/>
      <c r="G303" s="60"/>
      <c r="H303" s="62"/>
      <c r="I303" s="61"/>
      <c r="J303" s="61"/>
      <c r="K303" s="59"/>
      <c r="L303" s="61"/>
      <c r="M303" s="61"/>
      <c r="N303" s="60"/>
      <c r="O303" s="66"/>
    </row>
    <row r="304" spans="2:15" x14ac:dyDescent="0.25">
      <c r="B304" s="68"/>
      <c r="C304" s="64"/>
      <c r="D304" s="59"/>
      <c r="E304" s="60"/>
      <c r="F304" s="60"/>
      <c r="G304" s="60"/>
      <c r="H304" s="62"/>
      <c r="I304" s="61"/>
      <c r="J304" s="61"/>
      <c r="K304" s="59"/>
      <c r="L304" s="61"/>
      <c r="M304" s="61"/>
      <c r="N304" s="60"/>
      <c r="O304" s="66"/>
    </row>
    <row r="305" spans="2:15" x14ac:dyDescent="0.25">
      <c r="B305" s="68"/>
      <c r="C305" s="64"/>
      <c r="D305" s="59"/>
      <c r="E305" s="60"/>
      <c r="F305" s="60"/>
      <c r="G305" s="60"/>
      <c r="H305" s="62"/>
      <c r="I305" s="61"/>
      <c r="J305" s="61"/>
      <c r="K305" s="59"/>
      <c r="L305" s="61"/>
      <c r="M305" s="61"/>
      <c r="N305" s="60"/>
      <c r="O305" s="66"/>
    </row>
    <row r="306" spans="2:15" x14ac:dyDescent="0.25">
      <c r="B306" s="68"/>
      <c r="C306" s="64"/>
      <c r="D306" s="59"/>
      <c r="E306" s="60"/>
      <c r="F306" s="60"/>
      <c r="G306" s="60"/>
      <c r="H306" s="62"/>
      <c r="I306" s="61"/>
      <c r="J306" s="61"/>
      <c r="K306" s="59"/>
      <c r="L306" s="61"/>
      <c r="M306" s="61"/>
      <c r="N306" s="60"/>
      <c r="O306" s="66"/>
    </row>
    <row r="307" spans="2:15" x14ac:dyDescent="0.25">
      <c r="B307" s="68"/>
      <c r="C307" s="64"/>
      <c r="D307" s="59"/>
      <c r="E307" s="60"/>
      <c r="F307" s="60"/>
      <c r="G307" s="60"/>
      <c r="H307" s="62"/>
      <c r="I307" s="61"/>
      <c r="J307" s="61"/>
      <c r="K307" s="59"/>
      <c r="L307" s="61"/>
      <c r="M307" s="61"/>
      <c r="N307" s="60"/>
      <c r="O307" s="66"/>
    </row>
    <row r="308" spans="2:15" x14ac:dyDescent="0.25">
      <c r="B308" s="68"/>
      <c r="C308" s="64"/>
      <c r="D308" s="59"/>
      <c r="E308" s="60"/>
      <c r="F308" s="60"/>
      <c r="G308" s="60"/>
      <c r="H308" s="62"/>
      <c r="I308" s="61"/>
      <c r="J308" s="61"/>
      <c r="K308" s="59"/>
      <c r="L308" s="61"/>
      <c r="M308" s="61"/>
      <c r="N308" s="60"/>
      <c r="O308" s="66"/>
    </row>
    <row r="309" spans="2:15" x14ac:dyDescent="0.25">
      <c r="B309" s="68"/>
      <c r="C309" s="64"/>
      <c r="D309" s="59"/>
      <c r="E309" s="60"/>
      <c r="F309" s="60"/>
      <c r="G309" s="60"/>
      <c r="H309" s="62"/>
      <c r="I309" s="61"/>
      <c r="J309" s="61"/>
      <c r="K309" s="59"/>
      <c r="L309" s="61"/>
      <c r="M309" s="61"/>
      <c r="N309" s="60"/>
      <c r="O309" s="66"/>
    </row>
    <row r="310" spans="2:15" x14ac:dyDescent="0.25">
      <c r="B310" s="68"/>
      <c r="C310" s="64"/>
      <c r="D310" s="59"/>
      <c r="E310" s="60"/>
      <c r="F310" s="60"/>
      <c r="G310" s="60"/>
      <c r="H310" s="62"/>
      <c r="I310" s="61"/>
      <c r="J310" s="61"/>
      <c r="K310" s="59"/>
      <c r="L310" s="61"/>
      <c r="M310" s="61"/>
      <c r="N310" s="60"/>
      <c r="O310" s="66"/>
    </row>
    <row r="311" spans="2:15" x14ac:dyDescent="0.25">
      <c r="B311" s="68"/>
      <c r="C311" s="64"/>
      <c r="D311" s="59"/>
      <c r="E311" s="60"/>
      <c r="F311" s="60"/>
      <c r="G311" s="60"/>
      <c r="H311" s="62"/>
      <c r="I311" s="61"/>
      <c r="J311" s="61"/>
      <c r="K311" s="59"/>
      <c r="L311" s="61"/>
      <c r="M311" s="61"/>
      <c r="N311" s="60"/>
      <c r="O311" s="66"/>
    </row>
    <row r="312" spans="2:15" x14ac:dyDescent="0.25">
      <c r="B312" s="68"/>
      <c r="C312" s="64"/>
      <c r="D312" s="59"/>
      <c r="E312" s="60"/>
      <c r="F312" s="60"/>
      <c r="G312" s="60"/>
      <c r="H312" s="62"/>
      <c r="I312" s="61"/>
      <c r="J312" s="61"/>
      <c r="K312" s="59"/>
      <c r="L312" s="61"/>
      <c r="M312" s="61"/>
      <c r="N312" s="60"/>
      <c r="O312" s="66"/>
    </row>
    <row r="313" spans="2:15" x14ac:dyDescent="0.25">
      <c r="B313" s="68"/>
      <c r="C313" s="64"/>
      <c r="D313" s="59"/>
      <c r="E313" s="60"/>
      <c r="F313" s="60"/>
      <c r="G313" s="60"/>
      <c r="H313" s="62"/>
      <c r="I313" s="61"/>
      <c r="J313" s="61"/>
      <c r="K313" s="59"/>
      <c r="L313" s="61"/>
      <c r="M313" s="61"/>
      <c r="N313" s="60"/>
      <c r="O313" s="66"/>
    </row>
    <row r="314" spans="2:15" x14ac:dyDescent="0.25">
      <c r="B314" s="68"/>
      <c r="C314" s="64"/>
      <c r="D314" s="59"/>
      <c r="E314" s="60"/>
      <c r="F314" s="60"/>
      <c r="G314" s="60"/>
      <c r="H314" s="62"/>
      <c r="I314" s="61"/>
      <c r="J314" s="61"/>
      <c r="K314" s="59"/>
      <c r="L314" s="61"/>
      <c r="M314" s="61"/>
      <c r="N314" s="60"/>
      <c r="O314" s="66"/>
    </row>
    <row r="315" spans="2:15" x14ac:dyDescent="0.25">
      <c r="B315" s="68"/>
      <c r="C315" s="64"/>
      <c r="D315" s="59"/>
      <c r="E315" s="60"/>
      <c r="F315" s="60"/>
      <c r="G315" s="60"/>
      <c r="H315" s="62"/>
      <c r="I315" s="61"/>
      <c r="J315" s="61"/>
      <c r="K315" s="59"/>
      <c r="L315" s="61"/>
      <c r="M315" s="61"/>
      <c r="N315" s="60"/>
      <c r="O315" s="66"/>
    </row>
    <row r="316" spans="2:15" x14ac:dyDescent="0.25">
      <c r="B316" s="68"/>
      <c r="C316" s="64"/>
      <c r="D316" s="59"/>
      <c r="E316" s="60"/>
      <c r="F316" s="60"/>
      <c r="G316" s="60"/>
      <c r="H316" s="62"/>
      <c r="I316" s="61"/>
      <c r="J316" s="61"/>
      <c r="K316" s="59"/>
      <c r="L316" s="61"/>
      <c r="M316" s="61"/>
      <c r="N316" s="60"/>
      <c r="O316" s="66"/>
    </row>
    <row r="317" spans="2:15" x14ac:dyDescent="0.25">
      <c r="B317" s="68"/>
      <c r="C317" s="64"/>
      <c r="D317" s="59"/>
      <c r="E317" s="60"/>
      <c r="F317" s="60"/>
      <c r="G317" s="60"/>
      <c r="H317" s="62"/>
      <c r="I317" s="61"/>
      <c r="J317" s="61"/>
      <c r="K317" s="59"/>
      <c r="L317" s="61"/>
      <c r="M317" s="61"/>
      <c r="N317" s="60"/>
      <c r="O317" s="66"/>
    </row>
    <row r="318" spans="2:15" x14ac:dyDescent="0.25">
      <c r="B318" s="68"/>
      <c r="C318" s="64"/>
      <c r="D318" s="59"/>
      <c r="E318" s="60"/>
      <c r="F318" s="60"/>
      <c r="G318" s="60"/>
      <c r="H318" s="62"/>
      <c r="I318" s="61"/>
      <c r="J318" s="61"/>
      <c r="K318" s="59"/>
      <c r="L318" s="61"/>
      <c r="M318" s="61"/>
      <c r="N318" s="60"/>
      <c r="O318" s="66"/>
    </row>
    <row r="319" spans="2:15" x14ac:dyDescent="0.25">
      <c r="B319" s="68"/>
      <c r="C319" s="64"/>
      <c r="D319" s="59"/>
      <c r="E319" s="60"/>
      <c r="F319" s="60"/>
      <c r="G319" s="60"/>
      <c r="H319" s="62"/>
      <c r="I319" s="61"/>
      <c r="J319" s="61"/>
      <c r="K319" s="59"/>
      <c r="L319" s="61"/>
      <c r="M319" s="61"/>
      <c r="N319" s="60"/>
      <c r="O319" s="66"/>
    </row>
    <row r="320" spans="2:15" x14ac:dyDescent="0.25">
      <c r="B320" s="68"/>
      <c r="C320" s="64"/>
      <c r="D320" s="59"/>
      <c r="E320" s="60"/>
      <c r="F320" s="60"/>
      <c r="G320" s="60"/>
      <c r="H320" s="62"/>
      <c r="I320" s="61"/>
      <c r="J320" s="61"/>
      <c r="K320" s="59"/>
      <c r="L320" s="61"/>
      <c r="M320" s="61"/>
      <c r="N320" s="60"/>
      <c r="O320" s="66"/>
    </row>
    <row r="321" spans="2:15" x14ac:dyDescent="0.25">
      <c r="B321" s="68"/>
      <c r="C321" s="64"/>
      <c r="D321" s="59"/>
      <c r="E321" s="60"/>
      <c r="F321" s="60"/>
      <c r="G321" s="60"/>
      <c r="H321" s="62"/>
      <c r="I321" s="61"/>
      <c r="J321" s="61"/>
      <c r="K321" s="59"/>
      <c r="L321" s="61"/>
      <c r="M321" s="61"/>
      <c r="N321" s="60"/>
      <c r="O321" s="66"/>
    </row>
    <row r="322" spans="2:15" x14ac:dyDescent="0.25">
      <c r="B322" s="68"/>
      <c r="C322" s="64"/>
      <c r="D322" s="59"/>
      <c r="E322" s="60"/>
      <c r="F322" s="60"/>
      <c r="G322" s="60"/>
      <c r="H322" s="62"/>
      <c r="I322" s="61"/>
      <c r="J322" s="61"/>
      <c r="K322" s="59"/>
      <c r="L322" s="61"/>
      <c r="M322" s="61"/>
      <c r="N322" s="60"/>
      <c r="O322" s="66"/>
    </row>
    <row r="323" spans="2:15" x14ac:dyDescent="0.25">
      <c r="B323" s="68"/>
      <c r="C323" s="64"/>
      <c r="D323" s="59"/>
      <c r="E323" s="60"/>
      <c r="F323" s="60"/>
      <c r="G323" s="60"/>
      <c r="H323" s="62"/>
      <c r="I323" s="61"/>
      <c r="J323" s="61"/>
      <c r="K323" s="59"/>
      <c r="L323" s="61"/>
      <c r="M323" s="61"/>
      <c r="N323" s="60"/>
      <c r="O323" s="66"/>
    </row>
    <row r="324" spans="2:15" x14ac:dyDescent="0.25">
      <c r="B324" s="68"/>
      <c r="C324" s="64"/>
      <c r="D324" s="59"/>
      <c r="E324" s="60"/>
      <c r="F324" s="60"/>
      <c r="G324" s="60"/>
      <c r="H324" s="62"/>
      <c r="I324" s="61"/>
      <c r="J324" s="61"/>
      <c r="K324" s="59"/>
      <c r="L324" s="61"/>
      <c r="M324" s="61"/>
      <c r="N324" s="60"/>
      <c r="O324" s="66"/>
    </row>
    <row r="325" spans="2:15" x14ac:dyDescent="0.25">
      <c r="B325" s="68"/>
      <c r="C325" s="64"/>
      <c r="D325" s="59"/>
      <c r="E325" s="60"/>
      <c r="F325" s="60"/>
      <c r="G325" s="60"/>
      <c r="H325" s="62"/>
      <c r="I325" s="61"/>
      <c r="J325" s="61"/>
      <c r="K325" s="59"/>
      <c r="L325" s="61"/>
      <c r="M325" s="61"/>
      <c r="N325" s="60"/>
      <c r="O325" s="66"/>
    </row>
    <row r="326" spans="2:15" x14ac:dyDescent="0.25">
      <c r="B326" s="68"/>
      <c r="C326" s="64"/>
      <c r="D326" s="59"/>
      <c r="E326" s="60"/>
      <c r="F326" s="60"/>
      <c r="G326" s="60"/>
      <c r="H326" s="62"/>
      <c r="I326" s="61"/>
      <c r="J326" s="61"/>
      <c r="K326" s="59"/>
      <c r="L326" s="61"/>
      <c r="M326" s="61"/>
      <c r="N326" s="60"/>
      <c r="O326" s="66"/>
    </row>
    <row r="327" spans="2:15" x14ac:dyDescent="0.25">
      <c r="B327" s="68"/>
      <c r="C327" s="64"/>
      <c r="D327" s="59"/>
      <c r="E327" s="60"/>
      <c r="F327" s="60"/>
      <c r="G327" s="60"/>
      <c r="H327" s="62"/>
      <c r="I327" s="61"/>
      <c r="J327" s="61"/>
      <c r="K327" s="59"/>
      <c r="L327" s="61"/>
      <c r="M327" s="61"/>
      <c r="N327" s="60"/>
      <c r="O327" s="66"/>
    </row>
    <row r="328" spans="2:15" x14ac:dyDescent="0.25">
      <c r="B328" s="68"/>
      <c r="C328" s="64"/>
      <c r="D328" s="59"/>
      <c r="E328" s="60"/>
      <c r="F328" s="60"/>
      <c r="G328" s="60"/>
      <c r="H328" s="62"/>
      <c r="I328" s="61"/>
      <c r="J328" s="61"/>
      <c r="K328" s="59"/>
      <c r="L328" s="61"/>
      <c r="M328" s="61"/>
      <c r="N328" s="60"/>
      <c r="O328" s="66"/>
    </row>
    <row r="329" spans="2:15" x14ac:dyDescent="0.25">
      <c r="B329" s="68"/>
      <c r="C329" s="64"/>
      <c r="D329" s="59"/>
      <c r="E329" s="60"/>
      <c r="F329" s="60"/>
      <c r="G329" s="60"/>
      <c r="H329" s="62"/>
      <c r="I329" s="61"/>
      <c r="J329" s="61"/>
      <c r="K329" s="59"/>
      <c r="L329" s="61"/>
      <c r="M329" s="61"/>
      <c r="N329" s="60"/>
      <c r="O329" s="66"/>
    </row>
    <row r="330" spans="2:15" x14ac:dyDescent="0.25">
      <c r="B330" s="68"/>
      <c r="C330" s="64"/>
      <c r="D330" s="59"/>
      <c r="E330" s="60"/>
      <c r="F330" s="60"/>
      <c r="G330" s="60"/>
      <c r="H330" s="62"/>
      <c r="I330" s="61"/>
      <c r="J330" s="61"/>
      <c r="K330" s="59"/>
      <c r="L330" s="61"/>
      <c r="M330" s="61"/>
      <c r="N330" s="60"/>
      <c r="O330" s="66"/>
    </row>
    <row r="331" spans="2:15" x14ac:dyDescent="0.25">
      <c r="B331" s="68"/>
      <c r="C331" s="64"/>
      <c r="D331" s="59"/>
      <c r="E331" s="60"/>
      <c r="F331" s="60"/>
      <c r="G331" s="60"/>
      <c r="H331" s="62"/>
      <c r="I331" s="61"/>
      <c r="J331" s="61"/>
      <c r="K331" s="59"/>
      <c r="L331" s="61"/>
      <c r="M331" s="61"/>
      <c r="N331" s="60"/>
      <c r="O331" s="66"/>
    </row>
    <row r="332" spans="2:15" x14ac:dyDescent="0.25">
      <c r="B332" s="68"/>
      <c r="C332" s="64"/>
      <c r="D332" s="59"/>
      <c r="E332" s="60"/>
      <c r="F332" s="60"/>
      <c r="G332" s="60"/>
      <c r="H332" s="62"/>
      <c r="I332" s="61"/>
      <c r="J332" s="61"/>
      <c r="K332" s="59"/>
      <c r="L332" s="61"/>
      <c r="M332" s="61"/>
      <c r="N332" s="60"/>
      <c r="O332" s="66"/>
    </row>
    <row r="333" spans="2:15" x14ac:dyDescent="0.25">
      <c r="B333" s="68"/>
      <c r="C333" s="64"/>
      <c r="D333" s="59"/>
      <c r="E333" s="60"/>
      <c r="F333" s="60"/>
      <c r="G333" s="60"/>
      <c r="H333" s="62"/>
      <c r="I333" s="61"/>
      <c r="J333" s="61"/>
      <c r="K333" s="59"/>
      <c r="L333" s="61"/>
      <c r="M333" s="61"/>
      <c r="N333" s="60"/>
      <c r="O333" s="66"/>
    </row>
    <row r="334" spans="2:15" x14ac:dyDescent="0.25">
      <c r="B334" s="68"/>
      <c r="C334" s="64"/>
      <c r="D334" s="59"/>
      <c r="E334" s="60"/>
      <c r="F334" s="60"/>
      <c r="G334" s="60"/>
      <c r="H334" s="62"/>
      <c r="I334" s="61"/>
      <c r="J334" s="61"/>
      <c r="K334" s="59"/>
      <c r="L334" s="61"/>
      <c r="M334" s="61"/>
      <c r="N334" s="60"/>
      <c r="O334" s="66"/>
    </row>
    <row r="335" spans="2:15" x14ac:dyDescent="0.25">
      <c r="B335" s="68"/>
      <c r="C335" s="64"/>
      <c r="D335" s="59"/>
      <c r="E335" s="60"/>
      <c r="F335" s="60"/>
      <c r="G335" s="60"/>
      <c r="H335" s="62"/>
      <c r="I335" s="61"/>
      <c r="J335" s="61"/>
      <c r="K335" s="59"/>
      <c r="L335" s="61"/>
      <c r="M335" s="61"/>
      <c r="N335" s="60"/>
      <c r="O335" s="66"/>
    </row>
    <row r="336" spans="2:15" x14ac:dyDescent="0.25">
      <c r="B336" s="68"/>
      <c r="C336" s="64"/>
      <c r="D336" s="59"/>
      <c r="E336" s="60"/>
      <c r="F336" s="60"/>
      <c r="G336" s="60"/>
      <c r="H336" s="62"/>
      <c r="I336" s="61"/>
      <c r="J336" s="61"/>
      <c r="K336" s="59"/>
      <c r="L336" s="61"/>
      <c r="M336" s="61"/>
      <c r="N336" s="60"/>
      <c r="O336" s="66"/>
    </row>
    <row r="337" spans="2:15" x14ac:dyDescent="0.25">
      <c r="B337" s="68"/>
      <c r="C337" s="64"/>
      <c r="D337" s="59"/>
      <c r="E337" s="60"/>
      <c r="F337" s="60"/>
      <c r="G337" s="60"/>
      <c r="H337" s="62"/>
      <c r="I337" s="61"/>
      <c r="J337" s="61"/>
      <c r="K337" s="59"/>
      <c r="L337" s="61"/>
      <c r="M337" s="61"/>
      <c r="N337" s="60"/>
      <c r="O337" s="66"/>
    </row>
    <row r="338" spans="2:15" x14ac:dyDescent="0.25">
      <c r="B338" s="68"/>
      <c r="C338" s="64"/>
      <c r="D338" s="59"/>
      <c r="E338" s="60"/>
      <c r="F338" s="60"/>
      <c r="G338" s="60"/>
      <c r="H338" s="62"/>
      <c r="I338" s="61"/>
      <c r="J338" s="61"/>
      <c r="K338" s="59"/>
      <c r="L338" s="61"/>
      <c r="M338" s="61"/>
      <c r="N338" s="60"/>
      <c r="O338" s="66"/>
    </row>
    <row r="339" spans="2:15" x14ac:dyDescent="0.25">
      <c r="B339" s="68"/>
      <c r="C339" s="64"/>
      <c r="D339" s="59"/>
      <c r="E339" s="60"/>
      <c r="F339" s="60"/>
      <c r="G339" s="60"/>
      <c r="H339" s="62"/>
      <c r="I339" s="61"/>
      <c r="J339" s="61"/>
      <c r="K339" s="59"/>
      <c r="L339" s="61"/>
      <c r="M339" s="61"/>
      <c r="N339" s="60"/>
      <c r="O339" s="66"/>
    </row>
    <row r="340" spans="2:15" x14ac:dyDescent="0.25">
      <c r="B340" s="68"/>
      <c r="C340" s="64"/>
      <c r="D340" s="59"/>
      <c r="E340" s="60"/>
      <c r="F340" s="60"/>
      <c r="G340" s="60"/>
      <c r="H340" s="62"/>
      <c r="I340" s="61"/>
      <c r="J340" s="61"/>
      <c r="K340" s="59"/>
      <c r="L340" s="61"/>
      <c r="M340" s="61"/>
      <c r="N340" s="60"/>
      <c r="O340" s="66"/>
    </row>
    <row r="341" spans="2:15" x14ac:dyDescent="0.25">
      <c r="B341" s="68"/>
      <c r="C341" s="64"/>
      <c r="D341" s="59"/>
      <c r="E341" s="60"/>
      <c r="F341" s="60"/>
      <c r="G341" s="60"/>
      <c r="H341" s="62"/>
      <c r="I341" s="61"/>
      <c r="J341" s="61"/>
      <c r="K341" s="59"/>
      <c r="L341" s="61"/>
      <c r="M341" s="61"/>
      <c r="N341" s="60"/>
      <c r="O341" s="66"/>
    </row>
    <row r="342" spans="2:15" x14ac:dyDescent="0.25">
      <c r="B342" s="68"/>
      <c r="C342" s="64"/>
      <c r="D342" s="59"/>
      <c r="E342" s="60"/>
      <c r="F342" s="60"/>
      <c r="G342" s="60"/>
      <c r="H342" s="62"/>
      <c r="I342" s="61"/>
      <c r="J342" s="61"/>
      <c r="K342" s="59"/>
      <c r="L342" s="61"/>
      <c r="M342" s="61"/>
      <c r="N342" s="60"/>
      <c r="O342" s="66"/>
    </row>
    <row r="343" spans="2:15" x14ac:dyDescent="0.25">
      <c r="B343" s="68"/>
      <c r="C343" s="64"/>
      <c r="D343" s="59"/>
      <c r="E343" s="60"/>
      <c r="F343" s="60"/>
      <c r="G343" s="60"/>
      <c r="H343" s="62"/>
      <c r="I343" s="61"/>
      <c r="J343" s="61"/>
      <c r="K343" s="59"/>
      <c r="L343" s="61"/>
      <c r="M343" s="61"/>
      <c r="N343" s="60"/>
      <c r="O343" s="66"/>
    </row>
    <row r="344" spans="2:15" x14ac:dyDescent="0.25">
      <c r="B344" s="68"/>
      <c r="C344" s="64"/>
      <c r="D344" s="59"/>
      <c r="E344" s="60"/>
      <c r="F344" s="60"/>
      <c r="G344" s="60"/>
      <c r="H344" s="62"/>
      <c r="I344" s="61"/>
      <c r="J344" s="61"/>
      <c r="K344" s="59"/>
      <c r="L344" s="61"/>
      <c r="M344" s="61"/>
      <c r="N344" s="60"/>
      <c r="O344" s="66"/>
    </row>
    <row r="345" spans="2:15" x14ac:dyDescent="0.25">
      <c r="B345" s="68"/>
      <c r="C345" s="64"/>
      <c r="D345" s="59"/>
      <c r="E345" s="60"/>
      <c r="F345" s="60"/>
      <c r="G345" s="60"/>
      <c r="H345" s="62"/>
      <c r="I345" s="61"/>
      <c r="J345" s="61"/>
      <c r="K345" s="59"/>
      <c r="L345" s="61"/>
      <c r="M345" s="61"/>
      <c r="N345" s="60"/>
      <c r="O345" s="66"/>
    </row>
    <row r="346" spans="2:15" x14ac:dyDescent="0.25">
      <c r="B346" s="68"/>
      <c r="C346" s="64"/>
      <c r="D346" s="59"/>
      <c r="E346" s="60"/>
      <c r="F346" s="60"/>
      <c r="G346" s="60"/>
      <c r="H346" s="62"/>
      <c r="I346" s="61"/>
      <c r="J346" s="61"/>
      <c r="K346" s="59"/>
      <c r="L346" s="61"/>
      <c r="M346" s="61"/>
      <c r="N346" s="60"/>
      <c r="O346" s="66"/>
    </row>
    <row r="347" spans="2:15" x14ac:dyDescent="0.25">
      <c r="B347" s="68"/>
      <c r="C347" s="64"/>
      <c r="D347" s="59"/>
      <c r="E347" s="60"/>
      <c r="F347" s="60"/>
      <c r="G347" s="60"/>
      <c r="H347" s="62"/>
      <c r="I347" s="61"/>
      <c r="J347" s="61"/>
      <c r="K347" s="59"/>
      <c r="L347" s="61"/>
      <c r="M347" s="61"/>
      <c r="N347" s="60"/>
      <c r="O347" s="66"/>
    </row>
    <row r="348" spans="2:15" x14ac:dyDescent="0.25">
      <c r="B348" s="68"/>
      <c r="C348" s="64"/>
      <c r="D348" s="59"/>
      <c r="E348" s="60"/>
      <c r="F348" s="60"/>
      <c r="G348" s="60"/>
      <c r="H348" s="62"/>
      <c r="I348" s="61"/>
      <c r="J348" s="61"/>
      <c r="K348" s="59"/>
      <c r="L348" s="61"/>
      <c r="M348" s="61"/>
      <c r="N348" s="60"/>
      <c r="O348" s="66"/>
    </row>
    <row r="349" spans="2:15" x14ac:dyDescent="0.25">
      <c r="B349" s="68"/>
      <c r="C349" s="64"/>
      <c r="D349" s="59"/>
      <c r="E349" s="60"/>
      <c r="F349" s="60"/>
      <c r="G349" s="60"/>
      <c r="H349" s="62"/>
      <c r="I349" s="61"/>
      <c r="J349" s="61"/>
      <c r="K349" s="59"/>
      <c r="L349" s="61"/>
      <c r="M349" s="61"/>
      <c r="N349" s="60"/>
      <c r="O349" s="66"/>
    </row>
    <row r="350" spans="2:15" x14ac:dyDescent="0.25">
      <c r="B350" s="68"/>
      <c r="C350" s="64"/>
      <c r="D350" s="59"/>
      <c r="E350" s="60"/>
      <c r="F350" s="60"/>
      <c r="G350" s="60"/>
      <c r="H350" s="62"/>
      <c r="I350" s="61"/>
      <c r="J350" s="61"/>
      <c r="K350" s="59"/>
      <c r="L350" s="61"/>
      <c r="M350" s="61"/>
      <c r="N350" s="60"/>
      <c r="O350" s="66"/>
    </row>
    <row r="351" spans="2:15" x14ac:dyDescent="0.25">
      <c r="B351" s="68"/>
      <c r="C351" s="64"/>
      <c r="D351" s="59"/>
      <c r="E351" s="60"/>
      <c r="F351" s="60"/>
      <c r="G351" s="60"/>
      <c r="H351" s="62"/>
      <c r="I351" s="61"/>
      <c r="J351" s="61"/>
      <c r="K351" s="59"/>
      <c r="L351" s="61"/>
      <c r="M351" s="61"/>
      <c r="N351" s="60"/>
      <c r="O351" s="66"/>
    </row>
    <row r="352" spans="2:15" x14ac:dyDescent="0.25">
      <c r="B352" s="68"/>
      <c r="C352" s="64"/>
      <c r="D352" s="59"/>
      <c r="E352" s="60"/>
      <c r="F352" s="60"/>
      <c r="G352" s="60"/>
      <c r="H352" s="62"/>
      <c r="I352" s="61"/>
      <c r="J352" s="61"/>
      <c r="K352" s="59"/>
      <c r="L352" s="61"/>
      <c r="M352" s="61"/>
      <c r="N352" s="60"/>
      <c r="O352" s="66"/>
    </row>
    <row r="353" spans="2:15" x14ac:dyDescent="0.25">
      <c r="B353" s="68"/>
      <c r="C353" s="64"/>
      <c r="D353" s="59"/>
      <c r="E353" s="60"/>
      <c r="F353" s="60"/>
      <c r="G353" s="60"/>
      <c r="H353" s="62"/>
      <c r="I353" s="61"/>
      <c r="J353" s="61"/>
      <c r="K353" s="59"/>
      <c r="L353" s="61"/>
      <c r="M353" s="61"/>
      <c r="N353" s="60"/>
      <c r="O353" s="66"/>
    </row>
    <row r="354" spans="2:15" x14ac:dyDescent="0.25">
      <c r="B354" s="68"/>
      <c r="C354" s="64"/>
      <c r="D354" s="59"/>
      <c r="E354" s="60"/>
      <c r="F354" s="60"/>
      <c r="G354" s="60"/>
      <c r="H354" s="62"/>
      <c r="I354" s="61"/>
      <c r="J354" s="61"/>
      <c r="K354" s="59"/>
      <c r="L354" s="61"/>
      <c r="M354" s="61"/>
      <c r="N354" s="60"/>
      <c r="O354" s="66"/>
    </row>
    <row r="355" spans="2:15" x14ac:dyDescent="0.25">
      <c r="B355" s="68"/>
      <c r="C355" s="64"/>
      <c r="D355" s="59"/>
      <c r="E355" s="60"/>
      <c r="F355" s="60"/>
      <c r="G355" s="60"/>
      <c r="H355" s="62"/>
      <c r="I355" s="61"/>
      <c r="J355" s="61"/>
      <c r="K355" s="59"/>
      <c r="L355" s="61"/>
      <c r="M355" s="61"/>
      <c r="N355" s="60"/>
      <c r="O355" s="66"/>
    </row>
    <row r="356" spans="2:15" x14ac:dyDescent="0.25">
      <c r="B356" s="68"/>
      <c r="C356" s="64"/>
      <c r="D356" s="59"/>
      <c r="E356" s="60"/>
      <c r="F356" s="60"/>
      <c r="G356" s="60"/>
      <c r="H356" s="62"/>
      <c r="I356" s="61"/>
      <c r="J356" s="61"/>
      <c r="K356" s="59"/>
      <c r="L356" s="61"/>
      <c r="M356" s="61"/>
      <c r="N356" s="60"/>
      <c r="O356" s="66"/>
    </row>
    <row r="357" spans="2:15" x14ac:dyDescent="0.25">
      <c r="B357" s="68"/>
      <c r="C357" s="64"/>
      <c r="D357" s="59"/>
      <c r="E357" s="60"/>
      <c r="F357" s="60"/>
      <c r="G357" s="60"/>
      <c r="H357" s="62"/>
      <c r="I357" s="61"/>
      <c r="J357" s="61"/>
      <c r="K357" s="59"/>
      <c r="L357" s="61"/>
      <c r="M357" s="61"/>
      <c r="N357" s="60"/>
      <c r="O357" s="66"/>
    </row>
    <row r="358" spans="2:15" x14ac:dyDescent="0.25">
      <c r="B358" s="68"/>
      <c r="C358" s="64"/>
      <c r="D358" s="59"/>
      <c r="E358" s="60"/>
      <c r="F358" s="60"/>
      <c r="G358" s="60"/>
      <c r="H358" s="62"/>
      <c r="I358" s="61"/>
      <c r="J358" s="61"/>
      <c r="K358" s="59"/>
      <c r="L358" s="61"/>
      <c r="M358" s="61"/>
      <c r="N358" s="60"/>
      <c r="O358" s="66"/>
    </row>
    <row r="359" spans="2:15" x14ac:dyDescent="0.25">
      <c r="B359" s="68"/>
      <c r="C359" s="64"/>
      <c r="D359" s="59"/>
      <c r="E359" s="60"/>
      <c r="F359" s="60"/>
      <c r="G359" s="60"/>
      <c r="H359" s="62"/>
      <c r="I359" s="61"/>
      <c r="J359" s="61"/>
      <c r="K359" s="59"/>
      <c r="L359" s="61"/>
      <c r="M359" s="61"/>
      <c r="N359" s="60"/>
      <c r="O359" s="66"/>
    </row>
    <row r="360" spans="2:15" x14ac:dyDescent="0.25">
      <c r="B360" s="68"/>
      <c r="C360" s="64"/>
      <c r="D360" s="59"/>
      <c r="E360" s="60"/>
      <c r="F360" s="60"/>
      <c r="G360" s="60"/>
      <c r="H360" s="62"/>
      <c r="I360" s="61"/>
      <c r="J360" s="61"/>
      <c r="K360" s="59"/>
      <c r="L360" s="61"/>
      <c r="M360" s="61"/>
      <c r="N360" s="60"/>
      <c r="O360" s="66"/>
    </row>
    <row r="361" spans="2:15" x14ac:dyDescent="0.25">
      <c r="B361" s="68"/>
      <c r="C361" s="64"/>
      <c r="D361" s="59"/>
      <c r="E361" s="60"/>
      <c r="F361" s="60"/>
      <c r="G361" s="60"/>
      <c r="H361" s="62"/>
      <c r="I361" s="61"/>
      <c r="J361" s="61"/>
      <c r="K361" s="59"/>
      <c r="L361" s="61"/>
      <c r="M361" s="61"/>
      <c r="N361" s="60"/>
      <c r="O361" s="66"/>
    </row>
    <row r="362" spans="2:15" x14ac:dyDescent="0.25">
      <c r="B362" s="68"/>
      <c r="C362" s="64"/>
      <c r="D362" s="59"/>
      <c r="E362" s="60"/>
      <c r="F362" s="60"/>
      <c r="G362" s="60"/>
      <c r="H362" s="62"/>
      <c r="I362" s="61"/>
      <c r="J362" s="61"/>
      <c r="K362" s="59"/>
      <c r="L362" s="61"/>
      <c r="M362" s="61"/>
      <c r="N362" s="60"/>
      <c r="O362" s="66"/>
    </row>
    <row r="363" spans="2:15" x14ac:dyDescent="0.25">
      <c r="B363" s="68"/>
      <c r="C363" s="64"/>
      <c r="D363" s="59"/>
      <c r="E363" s="60"/>
      <c r="F363" s="60"/>
      <c r="G363" s="60"/>
      <c r="H363" s="62"/>
      <c r="I363" s="61"/>
      <c r="J363" s="61"/>
      <c r="K363" s="59"/>
      <c r="L363" s="61"/>
      <c r="M363" s="61"/>
      <c r="N363" s="60"/>
      <c r="O363" s="66"/>
    </row>
    <row r="364" spans="2:15" x14ac:dyDescent="0.25">
      <c r="B364" s="68"/>
      <c r="C364" s="64"/>
      <c r="D364" s="59"/>
      <c r="E364" s="60"/>
      <c r="F364" s="60"/>
      <c r="G364" s="60"/>
      <c r="H364" s="62"/>
      <c r="I364" s="61"/>
      <c r="J364" s="61"/>
      <c r="K364" s="59"/>
      <c r="L364" s="61"/>
      <c r="M364" s="61"/>
      <c r="N364" s="60"/>
      <c r="O364" s="66"/>
    </row>
    <row r="365" spans="2:15" x14ac:dyDescent="0.25">
      <c r="B365" s="68"/>
      <c r="C365" s="64"/>
      <c r="D365" s="59"/>
      <c r="E365" s="60"/>
      <c r="F365" s="60"/>
      <c r="G365" s="60"/>
      <c r="H365" s="62"/>
      <c r="I365" s="61"/>
      <c r="J365" s="61"/>
      <c r="K365" s="59"/>
      <c r="L365" s="61"/>
      <c r="M365" s="61"/>
      <c r="N365" s="60"/>
      <c r="O365" s="66"/>
    </row>
    <row r="366" spans="2:15" x14ac:dyDescent="0.25">
      <c r="B366" s="68"/>
      <c r="C366" s="64"/>
      <c r="D366" s="59"/>
      <c r="E366" s="60"/>
      <c r="F366" s="60"/>
      <c r="G366" s="60"/>
      <c r="H366" s="62"/>
      <c r="I366" s="61"/>
      <c r="J366" s="61"/>
      <c r="K366" s="59"/>
      <c r="L366" s="61"/>
      <c r="M366" s="61"/>
      <c r="N366" s="60"/>
      <c r="O366" s="66"/>
    </row>
    <row r="367" spans="2:15" x14ac:dyDescent="0.25">
      <c r="B367" s="68"/>
      <c r="C367" s="64"/>
      <c r="D367" s="59"/>
      <c r="E367" s="60"/>
      <c r="F367" s="60"/>
      <c r="G367" s="60"/>
      <c r="H367" s="62"/>
      <c r="I367" s="61"/>
      <c r="J367" s="61"/>
      <c r="K367" s="59"/>
      <c r="L367" s="61"/>
      <c r="M367" s="61"/>
      <c r="N367" s="60"/>
      <c r="O367" s="66"/>
    </row>
    <row r="368" spans="2:15" x14ac:dyDescent="0.25">
      <c r="B368" s="68"/>
      <c r="C368" s="64"/>
      <c r="D368" s="59"/>
      <c r="E368" s="60"/>
      <c r="F368" s="60"/>
      <c r="G368" s="60"/>
      <c r="H368" s="62"/>
      <c r="I368" s="61"/>
      <c r="J368" s="61"/>
      <c r="K368" s="59"/>
      <c r="L368" s="61"/>
      <c r="M368" s="61"/>
      <c r="N368" s="60"/>
      <c r="O368" s="66"/>
    </row>
    <row r="369" spans="2:15" x14ac:dyDescent="0.25">
      <c r="B369" s="68"/>
      <c r="C369" s="64"/>
      <c r="D369" s="59"/>
      <c r="E369" s="60"/>
      <c r="F369" s="60"/>
      <c r="G369" s="60"/>
      <c r="H369" s="62"/>
      <c r="I369" s="61"/>
      <c r="J369" s="61"/>
      <c r="K369" s="59"/>
      <c r="L369" s="61"/>
      <c r="M369" s="61"/>
      <c r="N369" s="60"/>
      <c r="O369" s="66"/>
    </row>
    <row r="370" spans="2:15" x14ac:dyDescent="0.25">
      <c r="B370" s="68"/>
      <c r="C370" s="64"/>
      <c r="D370" s="59"/>
      <c r="E370" s="60"/>
      <c r="F370" s="60"/>
      <c r="G370" s="60"/>
      <c r="H370" s="62"/>
      <c r="I370" s="61"/>
      <c r="J370" s="61"/>
      <c r="K370" s="59"/>
      <c r="L370" s="61"/>
      <c r="M370" s="61"/>
      <c r="N370" s="60"/>
      <c r="O370" s="66"/>
    </row>
    <row r="371" spans="2:15" x14ac:dyDescent="0.25">
      <c r="B371" s="68"/>
      <c r="C371" s="64"/>
      <c r="D371" s="59"/>
      <c r="E371" s="60"/>
      <c r="F371" s="60"/>
      <c r="G371" s="60"/>
      <c r="H371" s="62"/>
      <c r="I371" s="61"/>
      <c r="J371" s="61"/>
      <c r="K371" s="59"/>
      <c r="L371" s="61"/>
      <c r="M371" s="61"/>
      <c r="N371" s="60"/>
      <c r="O371" s="66"/>
    </row>
    <row r="372" spans="2:15" x14ac:dyDescent="0.25">
      <c r="B372" s="68"/>
      <c r="C372" s="64"/>
      <c r="D372" s="59"/>
      <c r="E372" s="60"/>
      <c r="F372" s="60"/>
      <c r="G372" s="60"/>
      <c r="H372" s="62"/>
      <c r="I372" s="61"/>
      <c r="J372" s="61"/>
      <c r="K372" s="59"/>
      <c r="L372" s="61"/>
      <c r="M372" s="61"/>
      <c r="N372" s="60"/>
      <c r="O372" s="66"/>
    </row>
    <row r="373" spans="2:15" x14ac:dyDescent="0.25">
      <c r="B373" s="68"/>
      <c r="C373" s="64"/>
      <c r="D373" s="59"/>
      <c r="E373" s="60"/>
      <c r="F373" s="60"/>
      <c r="G373" s="60"/>
      <c r="H373" s="62"/>
      <c r="I373" s="61"/>
      <c r="J373" s="61"/>
      <c r="K373" s="59"/>
      <c r="L373" s="61"/>
      <c r="M373" s="61"/>
      <c r="N373" s="60"/>
      <c r="O373" s="66"/>
    </row>
    <row r="374" spans="2:15" x14ac:dyDescent="0.25">
      <c r="B374" s="68"/>
      <c r="C374" s="64"/>
      <c r="D374" s="59"/>
      <c r="E374" s="60"/>
      <c r="F374" s="60"/>
      <c r="G374" s="60"/>
      <c r="H374" s="62"/>
      <c r="I374" s="61"/>
      <c r="J374" s="61"/>
      <c r="K374" s="59"/>
      <c r="L374" s="61"/>
      <c r="M374" s="61"/>
      <c r="N374" s="60"/>
      <c r="O374" s="66"/>
    </row>
    <row r="375" spans="2:15" x14ac:dyDescent="0.25">
      <c r="B375" s="68"/>
      <c r="C375" s="64"/>
      <c r="D375" s="59"/>
      <c r="E375" s="60"/>
      <c r="F375" s="60"/>
      <c r="G375" s="60"/>
      <c r="H375" s="62"/>
      <c r="I375" s="61"/>
      <c r="J375" s="61"/>
      <c r="K375" s="59"/>
      <c r="L375" s="61"/>
      <c r="M375" s="61"/>
      <c r="N375" s="60"/>
      <c r="O375" s="66"/>
    </row>
    <row r="376" spans="2:15" x14ac:dyDescent="0.25">
      <c r="B376" s="68"/>
      <c r="C376" s="64"/>
      <c r="D376" s="59"/>
      <c r="E376" s="60"/>
      <c r="F376" s="60"/>
      <c r="G376" s="60"/>
      <c r="H376" s="62"/>
      <c r="I376" s="61"/>
      <c r="J376" s="61"/>
      <c r="K376" s="59"/>
      <c r="L376" s="61"/>
      <c r="M376" s="61"/>
      <c r="N376" s="60"/>
      <c r="O376" s="66"/>
    </row>
    <row r="377" spans="2:15" x14ac:dyDescent="0.25">
      <c r="B377" s="68"/>
      <c r="C377" s="64"/>
      <c r="D377" s="59"/>
      <c r="E377" s="60"/>
      <c r="F377" s="60"/>
      <c r="G377" s="60"/>
      <c r="H377" s="62"/>
      <c r="I377" s="61"/>
      <c r="J377" s="61"/>
      <c r="K377" s="59"/>
      <c r="L377" s="61"/>
      <c r="M377" s="61"/>
      <c r="N377" s="60"/>
      <c r="O377" s="66"/>
    </row>
    <row r="378" spans="2:15" x14ac:dyDescent="0.25">
      <c r="B378" s="68"/>
      <c r="C378" s="64"/>
      <c r="D378" s="59"/>
      <c r="E378" s="60"/>
      <c r="F378" s="60"/>
      <c r="G378" s="60"/>
      <c r="H378" s="62"/>
      <c r="I378" s="61"/>
      <c r="J378" s="61"/>
      <c r="K378" s="59"/>
      <c r="L378" s="61"/>
      <c r="M378" s="61"/>
      <c r="N378" s="60"/>
      <c r="O378" s="66"/>
    </row>
    <row r="379" spans="2:15" x14ac:dyDescent="0.25">
      <c r="B379" s="68"/>
      <c r="C379" s="64"/>
      <c r="D379" s="59"/>
      <c r="E379" s="60"/>
      <c r="F379" s="60"/>
      <c r="G379" s="60"/>
      <c r="H379" s="62"/>
      <c r="I379" s="61"/>
      <c r="J379" s="61"/>
      <c r="K379" s="59"/>
      <c r="L379" s="61"/>
      <c r="M379" s="61"/>
      <c r="N379" s="60"/>
      <c r="O379" s="66"/>
    </row>
    <row r="380" spans="2:15" x14ac:dyDescent="0.25">
      <c r="B380" s="68"/>
      <c r="C380" s="64"/>
      <c r="D380" s="59"/>
      <c r="E380" s="60"/>
      <c r="F380" s="60"/>
      <c r="G380" s="60"/>
      <c r="H380" s="62"/>
      <c r="I380" s="61"/>
      <c r="J380" s="61"/>
      <c r="K380" s="59"/>
      <c r="L380" s="61"/>
      <c r="M380" s="61"/>
      <c r="N380" s="60"/>
      <c r="O380" s="66"/>
    </row>
    <row r="381" spans="2:15" x14ac:dyDescent="0.25">
      <c r="B381" s="68"/>
      <c r="C381" s="64"/>
      <c r="D381" s="59"/>
      <c r="E381" s="60"/>
      <c r="F381" s="60"/>
      <c r="G381" s="60"/>
      <c r="H381" s="62"/>
      <c r="I381" s="61"/>
      <c r="J381" s="61"/>
      <c r="K381" s="59"/>
      <c r="L381" s="61"/>
      <c r="M381" s="61"/>
      <c r="N381" s="60"/>
      <c r="O381" s="66"/>
    </row>
    <row r="382" spans="2:15" x14ac:dyDescent="0.25">
      <c r="B382" s="68"/>
      <c r="C382" s="64"/>
      <c r="D382" s="59"/>
      <c r="E382" s="60"/>
      <c r="F382" s="60"/>
      <c r="G382" s="60"/>
      <c r="H382" s="62"/>
      <c r="I382" s="61"/>
      <c r="J382" s="61"/>
      <c r="K382" s="59"/>
      <c r="L382" s="61"/>
      <c r="M382" s="61"/>
      <c r="N382" s="60"/>
      <c r="O382" s="66"/>
    </row>
    <row r="383" spans="2:15" x14ac:dyDescent="0.25">
      <c r="B383" s="68"/>
      <c r="C383" s="64"/>
      <c r="D383" s="59"/>
      <c r="E383" s="60"/>
      <c r="F383" s="60"/>
      <c r="G383" s="60"/>
      <c r="H383" s="62"/>
      <c r="I383" s="61"/>
      <c r="J383" s="61"/>
      <c r="K383" s="59"/>
      <c r="L383" s="61"/>
      <c r="M383" s="61"/>
      <c r="N383" s="60"/>
      <c r="O383" s="66"/>
    </row>
    <row r="384" spans="2:15" x14ac:dyDescent="0.25">
      <c r="B384" s="68"/>
      <c r="C384" s="64"/>
      <c r="D384" s="59"/>
      <c r="E384" s="60"/>
      <c r="F384" s="60"/>
      <c r="G384" s="60"/>
      <c r="H384" s="62"/>
      <c r="I384" s="61"/>
      <c r="J384" s="61"/>
      <c r="K384" s="59"/>
      <c r="L384" s="61"/>
      <c r="M384" s="61"/>
      <c r="N384" s="60"/>
      <c r="O384" s="66"/>
    </row>
    <row r="385" spans="2:15" x14ac:dyDescent="0.25">
      <c r="B385" s="68"/>
      <c r="C385" s="64"/>
      <c r="D385" s="59"/>
      <c r="E385" s="60"/>
      <c r="F385" s="60"/>
      <c r="G385" s="60"/>
      <c r="H385" s="62"/>
      <c r="I385" s="61"/>
      <c r="J385" s="61"/>
      <c r="K385" s="59"/>
      <c r="L385" s="61"/>
      <c r="M385" s="61"/>
      <c r="N385" s="60"/>
      <c r="O385" s="66"/>
    </row>
    <row r="386" spans="2:15" x14ac:dyDescent="0.25">
      <c r="B386" s="68"/>
      <c r="C386" s="64"/>
      <c r="D386" s="59"/>
      <c r="E386" s="60"/>
      <c r="F386" s="60"/>
      <c r="G386" s="60"/>
      <c r="H386" s="62"/>
      <c r="I386" s="61"/>
      <c r="J386" s="61"/>
      <c r="K386" s="59"/>
      <c r="L386" s="61"/>
      <c r="M386" s="61"/>
      <c r="N386" s="60"/>
      <c r="O386" s="66"/>
    </row>
    <row r="387" spans="2:15" x14ac:dyDescent="0.25">
      <c r="B387" s="68"/>
      <c r="C387" s="64"/>
      <c r="D387" s="59"/>
      <c r="E387" s="60"/>
      <c r="F387" s="60"/>
      <c r="G387" s="60"/>
      <c r="H387" s="62"/>
      <c r="I387" s="61"/>
      <c r="J387" s="61"/>
      <c r="K387" s="59"/>
      <c r="L387" s="61"/>
      <c r="M387" s="61"/>
      <c r="N387" s="60"/>
      <c r="O387" s="66"/>
    </row>
    <row r="388" spans="2:15" x14ac:dyDescent="0.25">
      <c r="B388" s="68"/>
      <c r="C388" s="64"/>
      <c r="D388" s="59"/>
      <c r="E388" s="60"/>
      <c r="F388" s="60"/>
      <c r="G388" s="60"/>
      <c r="H388" s="62"/>
      <c r="I388" s="61"/>
      <c r="J388" s="61"/>
      <c r="K388" s="59"/>
      <c r="L388" s="61"/>
      <c r="M388" s="61"/>
      <c r="N388" s="60"/>
      <c r="O388" s="66"/>
    </row>
    <row r="389" spans="2:15" x14ac:dyDescent="0.25">
      <c r="B389" s="68"/>
      <c r="C389" s="64"/>
      <c r="D389" s="59"/>
      <c r="E389" s="60"/>
      <c r="F389" s="60"/>
      <c r="G389" s="60"/>
      <c r="H389" s="62"/>
      <c r="I389" s="61"/>
      <c r="J389" s="61"/>
      <c r="K389" s="59"/>
      <c r="L389" s="61"/>
      <c r="M389" s="61"/>
      <c r="N389" s="60"/>
      <c r="O389" s="66"/>
    </row>
    <row r="390" spans="2:15" x14ac:dyDescent="0.25">
      <c r="B390" s="68"/>
      <c r="C390" s="64"/>
      <c r="D390" s="59"/>
      <c r="E390" s="60"/>
      <c r="F390" s="60"/>
      <c r="G390" s="60"/>
      <c r="H390" s="62"/>
      <c r="I390" s="61"/>
      <c r="J390" s="61"/>
      <c r="K390" s="59"/>
      <c r="L390" s="61"/>
      <c r="M390" s="61"/>
      <c r="N390" s="60"/>
      <c r="O390" s="66"/>
    </row>
    <row r="391" spans="2:15" x14ac:dyDescent="0.25">
      <c r="B391" s="68"/>
      <c r="C391" s="64"/>
      <c r="D391" s="59"/>
      <c r="E391" s="60"/>
      <c r="F391" s="60"/>
      <c r="G391" s="60"/>
      <c r="H391" s="62"/>
      <c r="I391" s="61"/>
      <c r="J391" s="61"/>
      <c r="K391" s="59"/>
      <c r="L391" s="61"/>
      <c r="M391" s="61"/>
      <c r="N391" s="60"/>
      <c r="O391" s="66"/>
    </row>
    <row r="392" spans="2:15" x14ac:dyDescent="0.25">
      <c r="B392" s="68"/>
      <c r="C392" s="64"/>
      <c r="D392" s="59"/>
      <c r="E392" s="60"/>
      <c r="F392" s="60"/>
      <c r="G392" s="60"/>
      <c r="H392" s="62"/>
      <c r="I392" s="61"/>
      <c r="J392" s="61"/>
      <c r="K392" s="59"/>
      <c r="L392" s="61"/>
      <c r="M392" s="61"/>
      <c r="N392" s="60"/>
      <c r="O392" s="66"/>
    </row>
    <row r="393" spans="2:15" x14ac:dyDescent="0.25">
      <c r="B393" s="68"/>
      <c r="C393" s="64"/>
      <c r="D393" s="59"/>
      <c r="E393" s="60"/>
      <c r="F393" s="60"/>
      <c r="G393" s="60"/>
      <c r="H393" s="62"/>
      <c r="I393" s="61"/>
      <c r="J393" s="61"/>
      <c r="K393" s="59"/>
      <c r="L393" s="61"/>
      <c r="M393" s="61"/>
      <c r="N393" s="60"/>
      <c r="O393" s="66"/>
    </row>
    <row r="394" spans="2:15" x14ac:dyDescent="0.25">
      <c r="B394" s="68"/>
      <c r="C394" s="64"/>
      <c r="D394" s="59"/>
      <c r="E394" s="60"/>
      <c r="F394" s="60"/>
      <c r="G394" s="60"/>
      <c r="H394" s="62"/>
      <c r="I394" s="61"/>
      <c r="J394" s="61"/>
      <c r="K394" s="59"/>
      <c r="L394" s="61"/>
      <c r="M394" s="61"/>
      <c r="N394" s="60"/>
      <c r="O394" s="66"/>
    </row>
    <row r="395" spans="2:15" x14ac:dyDescent="0.25">
      <c r="B395" s="68"/>
      <c r="C395" s="64"/>
      <c r="D395" s="59"/>
      <c r="E395" s="60"/>
      <c r="F395" s="60"/>
      <c r="G395" s="60"/>
      <c r="H395" s="62"/>
      <c r="I395" s="61"/>
      <c r="J395" s="61"/>
      <c r="K395" s="59"/>
      <c r="L395" s="61"/>
      <c r="M395" s="61"/>
      <c r="N395" s="60"/>
      <c r="O395" s="66"/>
    </row>
    <row r="396" spans="2:15" x14ac:dyDescent="0.25">
      <c r="B396" s="68"/>
      <c r="C396" s="64"/>
      <c r="D396" s="59"/>
      <c r="E396" s="60"/>
      <c r="F396" s="60"/>
      <c r="G396" s="60"/>
      <c r="H396" s="62"/>
      <c r="I396" s="61"/>
      <c r="J396" s="61"/>
      <c r="K396" s="59"/>
      <c r="L396" s="61"/>
      <c r="M396" s="61"/>
      <c r="N396" s="60"/>
      <c r="O396" s="66"/>
    </row>
    <row r="397" spans="2:15" x14ac:dyDescent="0.25">
      <c r="B397" s="68"/>
      <c r="C397" s="64"/>
      <c r="D397" s="59"/>
      <c r="E397" s="60"/>
      <c r="F397" s="60"/>
      <c r="G397" s="60"/>
      <c r="H397" s="62"/>
      <c r="I397" s="61"/>
      <c r="J397" s="61"/>
      <c r="K397" s="59"/>
      <c r="L397" s="61"/>
      <c r="M397" s="61"/>
      <c r="N397" s="60"/>
      <c r="O397" s="66"/>
    </row>
    <row r="398" spans="2:15" x14ac:dyDescent="0.25">
      <c r="B398" s="68"/>
      <c r="C398" s="64"/>
      <c r="D398" s="59"/>
      <c r="E398" s="60"/>
      <c r="F398" s="60"/>
      <c r="G398" s="60"/>
      <c r="H398" s="62"/>
      <c r="I398" s="61"/>
      <c r="J398" s="61"/>
      <c r="K398" s="59"/>
      <c r="L398" s="61"/>
      <c r="M398" s="61"/>
      <c r="N398" s="60"/>
      <c r="O398" s="66"/>
    </row>
    <row r="399" spans="2:15" x14ac:dyDescent="0.25">
      <c r="B399" s="68"/>
      <c r="C399" s="64"/>
      <c r="D399" s="59"/>
      <c r="E399" s="60"/>
      <c r="F399" s="60"/>
      <c r="G399" s="60"/>
      <c r="H399" s="62"/>
      <c r="I399" s="61"/>
      <c r="J399" s="61"/>
      <c r="K399" s="59"/>
      <c r="L399" s="61"/>
      <c r="M399" s="61"/>
      <c r="N399" s="60"/>
      <c r="O399" s="66"/>
    </row>
    <row r="400" spans="2:15" x14ac:dyDescent="0.25">
      <c r="B400" s="68"/>
      <c r="C400" s="64"/>
      <c r="D400" s="59"/>
      <c r="E400" s="60"/>
      <c r="F400" s="60"/>
      <c r="G400" s="60"/>
      <c r="H400" s="62"/>
      <c r="I400" s="61"/>
      <c r="J400" s="61"/>
      <c r="K400" s="59"/>
      <c r="L400" s="61"/>
      <c r="M400" s="61"/>
      <c r="N400" s="60"/>
      <c r="O400" s="66"/>
    </row>
    <row r="401" spans="2:15" x14ac:dyDescent="0.25">
      <c r="B401" s="68"/>
      <c r="C401" s="64"/>
      <c r="D401" s="59"/>
      <c r="E401" s="60"/>
      <c r="F401" s="60"/>
      <c r="G401" s="60"/>
      <c r="H401" s="62"/>
      <c r="I401" s="61"/>
      <c r="J401" s="61"/>
      <c r="K401" s="59"/>
      <c r="L401" s="61"/>
      <c r="M401" s="61"/>
      <c r="N401" s="60"/>
      <c r="O401" s="66"/>
    </row>
    <row r="402" spans="2:15" x14ac:dyDescent="0.25">
      <c r="B402" s="68"/>
      <c r="C402" s="64"/>
      <c r="D402" s="59"/>
      <c r="E402" s="60"/>
      <c r="F402" s="60"/>
      <c r="G402" s="60"/>
      <c r="H402" s="62"/>
      <c r="I402" s="61"/>
      <c r="J402" s="61"/>
      <c r="K402" s="59"/>
      <c r="L402" s="61"/>
      <c r="M402" s="61"/>
      <c r="N402" s="60"/>
      <c r="O402" s="66"/>
    </row>
    <row r="403" spans="2:15" x14ac:dyDescent="0.25">
      <c r="B403" s="68"/>
      <c r="C403" s="64"/>
      <c r="D403" s="59"/>
      <c r="E403" s="60"/>
      <c r="F403" s="60"/>
      <c r="G403" s="60"/>
      <c r="H403" s="62"/>
      <c r="I403" s="61"/>
      <c r="J403" s="61"/>
      <c r="K403" s="59"/>
      <c r="L403" s="61"/>
      <c r="M403" s="61"/>
      <c r="N403" s="60"/>
      <c r="O403" s="66"/>
    </row>
    <row r="404" spans="2:15" x14ac:dyDescent="0.25">
      <c r="B404" s="68"/>
      <c r="C404" s="64"/>
      <c r="D404" s="59"/>
      <c r="E404" s="60"/>
      <c r="F404" s="60"/>
      <c r="G404" s="60"/>
      <c r="H404" s="62"/>
      <c r="I404" s="61"/>
      <c r="J404" s="61"/>
      <c r="K404" s="59"/>
      <c r="L404" s="61"/>
      <c r="M404" s="61"/>
      <c r="N404" s="60"/>
      <c r="O404" s="66"/>
    </row>
    <row r="405" spans="2:15" x14ac:dyDescent="0.25">
      <c r="B405" s="68"/>
      <c r="C405" s="64"/>
      <c r="D405" s="59"/>
      <c r="E405" s="60"/>
      <c r="F405" s="60"/>
      <c r="G405" s="60"/>
      <c r="H405" s="62"/>
      <c r="I405" s="61"/>
      <c r="J405" s="61"/>
      <c r="K405" s="59"/>
      <c r="L405" s="61"/>
      <c r="M405" s="61"/>
      <c r="N405" s="60"/>
      <c r="O405" s="66"/>
    </row>
    <row r="406" spans="2:15" x14ac:dyDescent="0.25">
      <c r="B406" s="68"/>
      <c r="C406" s="64"/>
      <c r="D406" s="59"/>
      <c r="E406" s="60"/>
      <c r="F406" s="60"/>
      <c r="G406" s="60"/>
      <c r="H406" s="62"/>
      <c r="I406" s="61"/>
      <c r="J406" s="61"/>
      <c r="K406" s="59"/>
      <c r="L406" s="61"/>
      <c r="M406" s="61"/>
      <c r="N406" s="60"/>
      <c r="O406" s="66"/>
    </row>
    <row r="407" spans="2:15" x14ac:dyDescent="0.25">
      <c r="B407" s="68"/>
      <c r="C407" s="64"/>
      <c r="D407" s="59"/>
      <c r="E407" s="60"/>
      <c r="F407" s="60"/>
      <c r="G407" s="60"/>
      <c r="H407" s="62"/>
      <c r="I407" s="61"/>
      <c r="J407" s="61"/>
      <c r="K407" s="59"/>
      <c r="L407" s="61"/>
      <c r="M407" s="61"/>
      <c r="N407" s="60"/>
      <c r="O407" s="66"/>
    </row>
    <row r="408" spans="2:15" x14ac:dyDescent="0.25">
      <c r="B408" s="68"/>
      <c r="C408" s="64"/>
      <c r="D408" s="59"/>
      <c r="E408" s="60"/>
      <c r="F408" s="60"/>
      <c r="G408" s="60"/>
      <c r="H408" s="62"/>
      <c r="I408" s="61"/>
      <c r="J408" s="61"/>
      <c r="K408" s="59"/>
      <c r="L408" s="61"/>
      <c r="M408" s="61"/>
      <c r="N408" s="60"/>
      <c r="O408" s="66"/>
    </row>
    <row r="409" spans="2:15" x14ac:dyDescent="0.25">
      <c r="B409" s="68"/>
      <c r="C409" s="64"/>
      <c r="D409" s="59"/>
      <c r="E409" s="60"/>
      <c r="F409" s="60"/>
      <c r="G409" s="60"/>
      <c r="H409" s="62"/>
      <c r="I409" s="61"/>
      <c r="J409" s="61"/>
      <c r="K409" s="59"/>
      <c r="L409" s="61"/>
      <c r="M409" s="61"/>
      <c r="N409" s="60"/>
      <c r="O409" s="66"/>
    </row>
    <row r="410" spans="2:15" x14ac:dyDescent="0.25">
      <c r="B410" s="68"/>
      <c r="C410" s="64"/>
      <c r="D410" s="59"/>
      <c r="E410" s="60"/>
      <c r="F410" s="60"/>
      <c r="G410" s="60"/>
      <c r="H410" s="62"/>
      <c r="I410" s="61"/>
      <c r="J410" s="61"/>
      <c r="K410" s="59"/>
      <c r="L410" s="61"/>
      <c r="M410" s="61"/>
      <c r="N410" s="60"/>
      <c r="O410" s="66"/>
    </row>
    <row r="411" spans="2:15" x14ac:dyDescent="0.25">
      <c r="B411" s="68"/>
      <c r="C411" s="64"/>
      <c r="D411" s="59"/>
      <c r="E411" s="60"/>
      <c r="F411" s="60"/>
      <c r="G411" s="60"/>
      <c r="H411" s="62"/>
      <c r="I411" s="61"/>
      <c r="J411" s="61"/>
      <c r="K411" s="59"/>
      <c r="L411" s="61"/>
      <c r="M411" s="61"/>
      <c r="N411" s="60"/>
      <c r="O411" s="66"/>
    </row>
    <row r="412" spans="2:15" x14ac:dyDescent="0.25">
      <c r="B412" s="68"/>
      <c r="C412" s="64"/>
      <c r="D412" s="59"/>
      <c r="E412" s="60"/>
      <c r="F412" s="60"/>
      <c r="G412" s="60"/>
      <c r="H412" s="62"/>
      <c r="I412" s="61"/>
      <c r="J412" s="61"/>
      <c r="K412" s="59"/>
      <c r="L412" s="61"/>
      <c r="M412" s="61"/>
      <c r="N412" s="60"/>
      <c r="O412" s="66"/>
    </row>
    <row r="413" spans="2:15" x14ac:dyDescent="0.25">
      <c r="B413" s="68"/>
      <c r="C413" s="64"/>
      <c r="D413" s="59"/>
      <c r="E413" s="60"/>
      <c r="F413" s="60"/>
      <c r="G413" s="60"/>
      <c r="H413" s="62"/>
      <c r="I413" s="61"/>
      <c r="J413" s="61"/>
      <c r="K413" s="59"/>
      <c r="L413" s="61"/>
      <c r="M413" s="61"/>
      <c r="N413" s="60"/>
      <c r="O413" s="66"/>
    </row>
    <row r="414" spans="2:15" x14ac:dyDescent="0.25">
      <c r="B414" s="68"/>
      <c r="C414" s="64"/>
      <c r="D414" s="59"/>
      <c r="E414" s="60"/>
      <c r="F414" s="60"/>
      <c r="G414" s="60"/>
      <c r="H414" s="62"/>
      <c r="I414" s="61"/>
      <c r="J414" s="61"/>
      <c r="K414" s="59"/>
      <c r="L414" s="61"/>
      <c r="M414" s="61"/>
      <c r="N414" s="60"/>
      <c r="O414" s="66"/>
    </row>
    <row r="415" spans="2:15" x14ac:dyDescent="0.25">
      <c r="B415" s="68"/>
      <c r="C415" s="64"/>
      <c r="D415" s="59"/>
      <c r="E415" s="60"/>
      <c r="F415" s="60"/>
      <c r="G415" s="60"/>
      <c r="H415" s="62"/>
      <c r="I415" s="61"/>
      <c r="J415" s="61"/>
      <c r="K415" s="59"/>
      <c r="L415" s="61"/>
      <c r="M415" s="61"/>
      <c r="N415" s="60"/>
      <c r="O415" s="66"/>
    </row>
    <row r="416" spans="2:15" x14ac:dyDescent="0.25">
      <c r="B416" s="68"/>
      <c r="C416" s="64"/>
      <c r="D416" s="59"/>
      <c r="E416" s="60"/>
      <c r="F416" s="60"/>
      <c r="G416" s="60"/>
      <c r="H416" s="62"/>
      <c r="I416" s="61"/>
      <c r="J416" s="61"/>
      <c r="K416" s="59"/>
      <c r="L416" s="61"/>
      <c r="M416" s="61"/>
      <c r="N416" s="60"/>
      <c r="O416" s="66"/>
    </row>
    <row r="417" spans="2:15" x14ac:dyDescent="0.25">
      <c r="B417" s="68"/>
      <c r="C417" s="64"/>
      <c r="D417" s="59"/>
      <c r="E417" s="60"/>
      <c r="F417" s="60"/>
      <c r="G417" s="60"/>
      <c r="H417" s="62"/>
      <c r="I417" s="61"/>
      <c r="J417" s="61"/>
      <c r="K417" s="59"/>
      <c r="L417" s="61"/>
      <c r="M417" s="61"/>
      <c r="N417" s="60"/>
      <c r="O417" s="66"/>
    </row>
    <row r="418" spans="2:15" x14ac:dyDescent="0.25">
      <c r="B418" s="68"/>
      <c r="C418" s="64"/>
      <c r="D418" s="59"/>
      <c r="E418" s="60"/>
      <c r="F418" s="60"/>
      <c r="G418" s="60"/>
      <c r="H418" s="62"/>
      <c r="I418" s="61"/>
      <c r="J418" s="61"/>
      <c r="K418" s="59"/>
      <c r="L418" s="61"/>
      <c r="M418" s="61"/>
      <c r="N418" s="60"/>
      <c r="O418" s="66"/>
    </row>
    <row r="419" spans="2:15" x14ac:dyDescent="0.25">
      <c r="B419" s="68"/>
      <c r="C419" s="64"/>
      <c r="D419" s="59"/>
      <c r="E419" s="60"/>
      <c r="F419" s="60"/>
      <c r="G419" s="60"/>
      <c r="H419" s="62"/>
      <c r="I419" s="61"/>
      <c r="J419" s="61"/>
      <c r="K419" s="59"/>
      <c r="L419" s="61"/>
      <c r="M419" s="61"/>
      <c r="N419" s="60"/>
      <c r="O419" s="66"/>
    </row>
    <row r="420" spans="2:15" x14ac:dyDescent="0.25">
      <c r="B420" s="68"/>
      <c r="C420" s="64"/>
      <c r="D420" s="59"/>
      <c r="E420" s="60"/>
      <c r="F420" s="60"/>
      <c r="G420" s="60"/>
      <c r="H420" s="62"/>
      <c r="I420" s="61"/>
      <c r="J420" s="61"/>
      <c r="K420" s="59"/>
      <c r="L420" s="61"/>
      <c r="M420" s="61"/>
      <c r="N420" s="60"/>
      <c r="O420" s="66"/>
    </row>
    <row r="421" spans="2:15" x14ac:dyDescent="0.25">
      <c r="B421" s="68"/>
      <c r="C421" s="64"/>
      <c r="D421" s="59"/>
      <c r="E421" s="60"/>
      <c r="F421" s="60"/>
      <c r="G421" s="60"/>
      <c r="H421" s="62"/>
      <c r="I421" s="61"/>
      <c r="J421" s="61"/>
      <c r="K421" s="59"/>
      <c r="L421" s="61"/>
      <c r="M421" s="61"/>
      <c r="N421" s="60"/>
      <c r="O421" s="66"/>
    </row>
    <row r="422" spans="2:15" x14ac:dyDescent="0.25">
      <c r="B422" s="68"/>
      <c r="C422" s="64"/>
      <c r="D422" s="59"/>
      <c r="E422" s="60"/>
      <c r="F422" s="60"/>
      <c r="G422" s="60"/>
      <c r="H422" s="62"/>
      <c r="I422" s="61"/>
      <c r="J422" s="61"/>
      <c r="K422" s="59"/>
      <c r="L422" s="61"/>
      <c r="M422" s="61"/>
      <c r="N422" s="60"/>
      <c r="O422" s="66"/>
    </row>
    <row r="423" spans="2:15" x14ac:dyDescent="0.25">
      <c r="B423" s="68"/>
      <c r="C423" s="64"/>
      <c r="D423" s="59"/>
      <c r="E423" s="60"/>
      <c r="F423" s="60"/>
      <c r="G423" s="60"/>
      <c r="H423" s="62"/>
      <c r="I423" s="61"/>
      <c r="J423" s="61"/>
      <c r="K423" s="59"/>
      <c r="L423" s="61"/>
      <c r="M423" s="61"/>
      <c r="N423" s="60"/>
      <c r="O423" s="66"/>
    </row>
    <row r="424" spans="2:15" x14ac:dyDescent="0.25">
      <c r="B424" s="68"/>
      <c r="C424" s="64"/>
      <c r="D424" s="59"/>
      <c r="E424" s="60"/>
      <c r="F424" s="60"/>
      <c r="G424" s="60"/>
      <c r="H424" s="62"/>
      <c r="I424" s="61"/>
      <c r="J424" s="61"/>
      <c r="K424" s="59"/>
      <c r="L424" s="61"/>
      <c r="M424" s="61"/>
      <c r="N424" s="60"/>
      <c r="O424" s="66"/>
    </row>
    <row r="425" spans="2:15" x14ac:dyDescent="0.25">
      <c r="B425" s="68"/>
      <c r="C425" s="64"/>
      <c r="D425" s="59"/>
      <c r="E425" s="60"/>
      <c r="F425" s="60"/>
      <c r="G425" s="60"/>
      <c r="H425" s="62"/>
      <c r="I425" s="61"/>
      <c r="J425" s="61"/>
      <c r="K425" s="59"/>
      <c r="L425" s="61"/>
      <c r="M425" s="61"/>
      <c r="N425" s="60"/>
      <c r="O425" s="66"/>
    </row>
    <row r="426" spans="2:15" x14ac:dyDescent="0.25">
      <c r="B426" s="68"/>
      <c r="C426" s="64"/>
      <c r="D426" s="59"/>
      <c r="E426" s="60"/>
      <c r="F426" s="60"/>
      <c r="G426" s="60"/>
      <c r="H426" s="62"/>
      <c r="I426" s="61"/>
      <c r="J426" s="61"/>
      <c r="K426" s="59"/>
      <c r="L426" s="61"/>
      <c r="M426" s="61"/>
      <c r="N426" s="60"/>
      <c r="O426" s="66"/>
    </row>
    <row r="427" spans="2:15" x14ac:dyDescent="0.25">
      <c r="B427" s="68"/>
      <c r="C427" s="64"/>
      <c r="D427" s="59"/>
      <c r="E427" s="60"/>
      <c r="F427" s="60"/>
      <c r="G427" s="60"/>
      <c r="H427" s="62"/>
      <c r="I427" s="61"/>
      <c r="J427" s="61"/>
      <c r="K427" s="59"/>
      <c r="L427" s="61"/>
      <c r="M427" s="61"/>
      <c r="N427" s="60"/>
      <c r="O427" s="66"/>
    </row>
    <row r="428" spans="2:15" x14ac:dyDescent="0.25">
      <c r="B428" s="68"/>
      <c r="C428" s="64"/>
      <c r="D428" s="59"/>
      <c r="E428" s="60"/>
      <c r="F428" s="60"/>
      <c r="G428" s="60"/>
      <c r="H428" s="62"/>
      <c r="I428" s="61"/>
      <c r="J428" s="61"/>
      <c r="K428" s="59"/>
      <c r="L428" s="61"/>
      <c r="M428" s="61"/>
      <c r="N428" s="60"/>
      <c r="O428" s="66"/>
    </row>
    <row r="429" spans="2:15" x14ac:dyDescent="0.25">
      <c r="B429" s="68"/>
      <c r="C429" s="64"/>
      <c r="D429" s="59"/>
      <c r="E429" s="60"/>
      <c r="F429" s="60"/>
      <c r="G429" s="60"/>
      <c r="H429" s="62"/>
      <c r="I429" s="61"/>
      <c r="J429" s="61"/>
      <c r="K429" s="59"/>
      <c r="L429" s="61"/>
      <c r="M429" s="61"/>
      <c r="N429" s="60"/>
      <c r="O429" s="66"/>
    </row>
    <row r="430" spans="2:15" x14ac:dyDescent="0.25">
      <c r="B430" s="68"/>
      <c r="C430" s="64"/>
      <c r="D430" s="59"/>
      <c r="E430" s="60"/>
      <c r="F430" s="60"/>
      <c r="G430" s="60"/>
      <c r="H430" s="62"/>
      <c r="I430" s="61"/>
      <c r="J430" s="61"/>
      <c r="K430" s="59"/>
      <c r="L430" s="61"/>
      <c r="M430" s="61"/>
      <c r="N430" s="60"/>
      <c r="O430" s="66"/>
    </row>
    <row r="431" spans="2:15" x14ac:dyDescent="0.25">
      <c r="B431" s="68"/>
      <c r="C431" s="64"/>
      <c r="D431" s="59"/>
      <c r="E431" s="60"/>
      <c r="F431" s="60"/>
      <c r="G431" s="60"/>
      <c r="H431" s="62"/>
      <c r="I431" s="61"/>
      <c r="J431" s="61"/>
      <c r="K431" s="59"/>
      <c r="L431" s="61"/>
      <c r="M431" s="61"/>
      <c r="N431" s="60"/>
      <c r="O431" s="66"/>
    </row>
    <row r="432" spans="2:15" x14ac:dyDescent="0.25">
      <c r="B432" s="68"/>
      <c r="C432" s="64"/>
      <c r="D432" s="59"/>
      <c r="E432" s="60"/>
      <c r="F432" s="60"/>
      <c r="G432" s="60"/>
      <c r="H432" s="62"/>
      <c r="I432" s="61"/>
      <c r="J432" s="61"/>
      <c r="K432" s="59"/>
      <c r="L432" s="61"/>
      <c r="M432" s="61"/>
      <c r="N432" s="60"/>
      <c r="O432" s="66"/>
    </row>
    <row r="433" spans="2:15" x14ac:dyDescent="0.25">
      <c r="B433" s="68"/>
      <c r="C433" s="64"/>
      <c r="D433" s="59"/>
      <c r="E433" s="60"/>
      <c r="F433" s="60"/>
      <c r="G433" s="60"/>
      <c r="H433" s="62"/>
      <c r="I433" s="61"/>
      <c r="J433" s="61"/>
      <c r="K433" s="59"/>
      <c r="L433" s="61"/>
      <c r="M433" s="61"/>
      <c r="N433" s="60"/>
      <c r="O433" s="66"/>
    </row>
    <row r="434" spans="2:15" x14ac:dyDescent="0.25">
      <c r="B434" s="68"/>
      <c r="C434" s="64"/>
      <c r="D434" s="59"/>
      <c r="E434" s="60"/>
      <c r="F434" s="60"/>
      <c r="G434" s="60"/>
      <c r="H434" s="62"/>
      <c r="I434" s="61"/>
      <c r="J434" s="61"/>
      <c r="K434" s="59"/>
      <c r="L434" s="61"/>
      <c r="M434" s="61"/>
      <c r="N434" s="60"/>
      <c r="O434" s="66"/>
    </row>
    <row r="435" spans="2:15" x14ac:dyDescent="0.25">
      <c r="B435" s="68"/>
      <c r="C435" s="64"/>
      <c r="D435" s="59"/>
      <c r="E435" s="60"/>
      <c r="F435" s="60"/>
      <c r="G435" s="60"/>
      <c r="H435" s="62"/>
      <c r="I435" s="61"/>
      <c r="J435" s="61"/>
      <c r="K435" s="59"/>
      <c r="L435" s="61"/>
      <c r="M435" s="61"/>
      <c r="N435" s="60"/>
      <c r="O435" s="66"/>
    </row>
    <row r="436" spans="2:15" x14ac:dyDescent="0.25">
      <c r="B436" s="68"/>
      <c r="C436" s="64"/>
      <c r="D436" s="59"/>
      <c r="E436" s="60"/>
      <c r="F436" s="60"/>
      <c r="G436" s="60"/>
      <c r="H436" s="62"/>
      <c r="I436" s="61"/>
      <c r="J436" s="61"/>
      <c r="K436" s="59"/>
      <c r="L436" s="61"/>
      <c r="M436" s="61"/>
      <c r="N436" s="60"/>
      <c r="O436" s="66"/>
    </row>
    <row r="437" spans="2:15" x14ac:dyDescent="0.25">
      <c r="B437" s="68"/>
      <c r="C437" s="64"/>
      <c r="D437" s="59"/>
      <c r="E437" s="60"/>
      <c r="F437" s="60"/>
      <c r="G437" s="60"/>
      <c r="H437" s="62"/>
      <c r="I437" s="61"/>
      <c r="J437" s="61"/>
      <c r="K437" s="59"/>
      <c r="L437" s="61"/>
      <c r="M437" s="61"/>
      <c r="N437" s="60"/>
      <c r="O437" s="66"/>
    </row>
    <row r="438" spans="2:15" x14ac:dyDescent="0.25">
      <c r="B438" s="68"/>
      <c r="C438" s="64"/>
      <c r="D438" s="59"/>
      <c r="E438" s="60"/>
      <c r="F438" s="60"/>
      <c r="G438" s="60"/>
      <c r="H438" s="62"/>
      <c r="I438" s="61"/>
      <c r="J438" s="61"/>
      <c r="K438" s="59"/>
      <c r="L438" s="61"/>
      <c r="M438" s="61"/>
      <c r="N438" s="60"/>
      <c r="O438" s="66"/>
    </row>
    <row r="439" spans="2:15" x14ac:dyDescent="0.25">
      <c r="B439" s="68"/>
      <c r="C439" s="64"/>
      <c r="D439" s="59"/>
      <c r="E439" s="60"/>
      <c r="F439" s="60"/>
      <c r="G439" s="60"/>
      <c r="H439" s="62"/>
      <c r="I439" s="61"/>
      <c r="J439" s="61"/>
      <c r="K439" s="59"/>
      <c r="L439" s="61"/>
      <c r="M439" s="61"/>
      <c r="N439" s="60"/>
      <c r="O439" s="66"/>
    </row>
    <row r="440" spans="2:15" x14ac:dyDescent="0.25">
      <c r="B440" s="68"/>
      <c r="C440" s="64"/>
      <c r="D440" s="59"/>
      <c r="E440" s="60"/>
      <c r="F440" s="60"/>
      <c r="G440" s="60"/>
      <c r="H440" s="62"/>
      <c r="I440" s="61"/>
      <c r="J440" s="61"/>
      <c r="K440" s="59"/>
      <c r="L440" s="61"/>
      <c r="M440" s="61"/>
      <c r="N440" s="60"/>
      <c r="O440" s="66"/>
    </row>
    <row r="441" spans="2:15" x14ac:dyDescent="0.25">
      <c r="B441" s="68"/>
      <c r="C441" s="64"/>
      <c r="D441" s="59"/>
      <c r="E441" s="60"/>
      <c r="F441" s="60"/>
      <c r="G441" s="60"/>
      <c r="H441" s="62"/>
      <c r="I441" s="61"/>
      <c r="J441" s="61"/>
      <c r="K441" s="59"/>
      <c r="L441" s="61"/>
      <c r="M441" s="61"/>
      <c r="N441" s="60"/>
      <c r="O441" s="66"/>
    </row>
    <row r="442" spans="2:15" x14ac:dyDescent="0.25">
      <c r="B442" s="68"/>
      <c r="C442" s="64"/>
      <c r="D442" s="59"/>
      <c r="E442" s="60"/>
      <c r="F442" s="60"/>
      <c r="G442" s="60"/>
      <c r="H442" s="62"/>
      <c r="I442" s="61"/>
      <c r="J442" s="61"/>
      <c r="K442" s="59"/>
      <c r="L442" s="61"/>
      <c r="M442" s="61"/>
      <c r="N442" s="60"/>
      <c r="O442" s="66"/>
    </row>
    <row r="443" spans="2:15" x14ac:dyDescent="0.25">
      <c r="B443" s="68"/>
      <c r="C443" s="64"/>
      <c r="D443" s="59"/>
      <c r="E443" s="60"/>
      <c r="F443" s="60"/>
      <c r="G443" s="60"/>
      <c r="H443" s="62"/>
      <c r="I443" s="61"/>
      <c r="J443" s="61"/>
      <c r="K443" s="59"/>
      <c r="L443" s="61"/>
      <c r="M443" s="61"/>
      <c r="N443" s="60"/>
      <c r="O443" s="66"/>
    </row>
    <row r="444" spans="2:15" x14ac:dyDescent="0.25">
      <c r="B444" s="68"/>
      <c r="C444" s="64"/>
      <c r="D444" s="59"/>
      <c r="E444" s="60"/>
      <c r="F444" s="60"/>
      <c r="G444" s="60"/>
      <c r="H444" s="62"/>
      <c r="I444" s="61"/>
      <c r="J444" s="61"/>
      <c r="K444" s="59"/>
      <c r="L444" s="61"/>
      <c r="M444" s="61"/>
      <c r="N444" s="60"/>
      <c r="O444" s="66"/>
    </row>
    <row r="445" spans="2:15" x14ac:dyDescent="0.25">
      <c r="B445" s="68"/>
      <c r="C445" s="64"/>
      <c r="D445" s="59"/>
      <c r="E445" s="60"/>
      <c r="F445" s="60"/>
      <c r="G445" s="60"/>
      <c r="H445" s="62"/>
      <c r="I445" s="61"/>
      <c r="J445" s="61"/>
      <c r="K445" s="59"/>
      <c r="L445" s="61"/>
      <c r="M445" s="61"/>
      <c r="N445" s="60"/>
      <c r="O445" s="66"/>
    </row>
    <row r="446" spans="2:15" x14ac:dyDescent="0.25">
      <c r="B446" s="68"/>
      <c r="C446" s="64"/>
      <c r="D446" s="59"/>
      <c r="E446" s="60"/>
      <c r="F446" s="60"/>
      <c r="G446" s="60"/>
      <c r="H446" s="62"/>
      <c r="I446" s="61"/>
      <c r="J446" s="61"/>
      <c r="K446" s="59"/>
      <c r="L446" s="61"/>
      <c r="M446" s="61"/>
      <c r="N446" s="60"/>
      <c r="O446" s="66"/>
    </row>
    <row r="447" spans="2:15" x14ac:dyDescent="0.25">
      <c r="B447" s="68"/>
      <c r="C447" s="64"/>
      <c r="D447" s="59"/>
      <c r="E447" s="60"/>
      <c r="F447" s="60"/>
      <c r="G447" s="60"/>
      <c r="H447" s="62"/>
      <c r="I447" s="61"/>
      <c r="J447" s="61"/>
      <c r="K447" s="59"/>
      <c r="L447" s="61"/>
      <c r="M447" s="61"/>
      <c r="N447" s="60"/>
      <c r="O447" s="66"/>
    </row>
    <row r="448" spans="2:15" x14ac:dyDescent="0.25">
      <c r="B448" s="68"/>
      <c r="C448" s="64"/>
      <c r="D448" s="59"/>
      <c r="E448" s="60"/>
      <c r="F448" s="60"/>
      <c r="G448" s="60"/>
      <c r="H448" s="62"/>
      <c r="I448" s="61"/>
      <c r="J448" s="61"/>
      <c r="K448" s="59"/>
      <c r="L448" s="61"/>
      <c r="M448" s="61"/>
      <c r="N448" s="60"/>
      <c r="O448" s="66"/>
    </row>
    <row r="449" spans="2:15" x14ac:dyDescent="0.25">
      <c r="B449" s="68"/>
      <c r="C449" s="64"/>
      <c r="D449" s="59"/>
      <c r="E449" s="60"/>
      <c r="F449" s="60"/>
      <c r="G449" s="60"/>
      <c r="H449" s="62"/>
      <c r="I449" s="61"/>
      <c r="J449" s="61"/>
      <c r="K449" s="59"/>
      <c r="L449" s="61"/>
      <c r="M449" s="61"/>
      <c r="N449" s="60"/>
      <c r="O449" s="66"/>
    </row>
    <row r="450" spans="2:15" x14ac:dyDescent="0.25">
      <c r="B450" s="68"/>
      <c r="C450" s="64"/>
      <c r="D450" s="59"/>
      <c r="E450" s="60"/>
      <c r="F450" s="60"/>
      <c r="G450" s="60"/>
      <c r="H450" s="62"/>
      <c r="I450" s="61"/>
      <c r="J450" s="61"/>
      <c r="K450" s="59"/>
      <c r="L450" s="61"/>
      <c r="M450" s="61"/>
      <c r="N450" s="60"/>
      <c r="O450" s="66"/>
    </row>
    <row r="451" spans="2:15" x14ac:dyDescent="0.25">
      <c r="B451" s="68"/>
      <c r="C451" s="64"/>
      <c r="D451" s="59"/>
      <c r="E451" s="60"/>
      <c r="F451" s="60"/>
      <c r="G451" s="60"/>
      <c r="H451" s="62"/>
      <c r="I451" s="61"/>
      <c r="J451" s="61"/>
      <c r="K451" s="59"/>
      <c r="L451" s="61"/>
      <c r="M451" s="61"/>
      <c r="N451" s="60"/>
      <c r="O451" s="66"/>
    </row>
    <row r="452" spans="2:15" x14ac:dyDescent="0.25">
      <c r="B452" s="68"/>
      <c r="C452" s="64"/>
      <c r="D452" s="59"/>
      <c r="E452" s="60"/>
      <c r="F452" s="60"/>
      <c r="G452" s="60"/>
      <c r="H452" s="62"/>
      <c r="I452" s="61"/>
      <c r="J452" s="61"/>
      <c r="K452" s="59"/>
      <c r="L452" s="61"/>
      <c r="M452" s="61"/>
      <c r="N452" s="60"/>
      <c r="O452" s="66"/>
    </row>
    <row r="453" spans="2:15" x14ac:dyDescent="0.25">
      <c r="B453" s="68"/>
      <c r="C453" s="64"/>
      <c r="D453" s="59"/>
      <c r="E453" s="60"/>
      <c r="F453" s="60"/>
      <c r="G453" s="60"/>
      <c r="H453" s="62"/>
      <c r="I453" s="61"/>
      <c r="J453" s="61"/>
      <c r="K453" s="59"/>
      <c r="L453" s="61"/>
      <c r="M453" s="61"/>
      <c r="N453" s="60"/>
      <c r="O453" s="66"/>
    </row>
    <row r="454" spans="2:15" x14ac:dyDescent="0.25">
      <c r="B454" s="68"/>
      <c r="C454" s="64"/>
      <c r="D454" s="59"/>
      <c r="E454" s="60"/>
      <c r="F454" s="60"/>
      <c r="G454" s="60"/>
      <c r="H454" s="62"/>
      <c r="I454" s="61"/>
      <c r="J454" s="61"/>
      <c r="K454" s="59"/>
      <c r="L454" s="61"/>
      <c r="M454" s="61"/>
      <c r="N454" s="60"/>
      <c r="O454" s="66"/>
    </row>
    <row r="455" spans="2:15" x14ac:dyDescent="0.25">
      <c r="B455" s="68"/>
      <c r="C455" s="64"/>
      <c r="D455" s="59"/>
      <c r="E455" s="60"/>
      <c r="F455" s="60"/>
      <c r="G455" s="60"/>
      <c r="H455" s="62"/>
      <c r="I455" s="61"/>
      <c r="J455" s="61"/>
      <c r="K455" s="59"/>
      <c r="L455" s="61"/>
      <c r="M455" s="61"/>
      <c r="N455" s="60"/>
      <c r="O455" s="66"/>
    </row>
    <row r="456" spans="2:15" x14ac:dyDescent="0.25">
      <c r="B456" s="68"/>
      <c r="C456" s="64"/>
      <c r="D456" s="59"/>
      <c r="E456" s="60"/>
      <c r="F456" s="60"/>
      <c r="G456" s="60"/>
      <c r="H456" s="62"/>
      <c r="I456" s="61"/>
      <c r="J456" s="61"/>
      <c r="K456" s="59"/>
      <c r="L456" s="61"/>
      <c r="M456" s="61"/>
      <c r="N456" s="60"/>
      <c r="O456" s="66"/>
    </row>
    <row r="457" spans="2:15" x14ac:dyDescent="0.25">
      <c r="B457" s="68"/>
      <c r="C457" s="64"/>
      <c r="D457" s="59"/>
      <c r="E457" s="60"/>
      <c r="F457" s="60"/>
      <c r="G457" s="60"/>
      <c r="H457" s="62"/>
      <c r="I457" s="61"/>
      <c r="J457" s="61"/>
      <c r="K457" s="59"/>
      <c r="L457" s="61"/>
      <c r="M457" s="61"/>
      <c r="N457" s="60"/>
      <c r="O457" s="66"/>
    </row>
    <row r="458" spans="2:15" x14ac:dyDescent="0.25">
      <c r="B458" s="68"/>
      <c r="C458" s="64"/>
      <c r="D458" s="59"/>
      <c r="E458" s="60"/>
      <c r="F458" s="60"/>
      <c r="G458" s="60"/>
      <c r="H458" s="62"/>
      <c r="I458" s="61"/>
      <c r="J458" s="61"/>
      <c r="K458" s="59"/>
      <c r="L458" s="61"/>
      <c r="M458" s="61"/>
      <c r="N458" s="60"/>
      <c r="O458" s="66"/>
    </row>
    <row r="459" spans="2:15" x14ac:dyDescent="0.25">
      <c r="B459" s="68"/>
      <c r="C459" s="64"/>
      <c r="D459" s="59"/>
      <c r="E459" s="60"/>
      <c r="F459" s="60"/>
      <c r="G459" s="60"/>
      <c r="H459" s="62"/>
      <c r="I459" s="61"/>
      <c r="J459" s="61"/>
      <c r="K459" s="59"/>
      <c r="L459" s="61"/>
      <c r="M459" s="61"/>
      <c r="N459" s="60"/>
      <c r="O459" s="66"/>
    </row>
    <row r="460" spans="2:15" x14ac:dyDescent="0.25">
      <c r="B460" s="68"/>
      <c r="C460" s="64"/>
      <c r="D460" s="59"/>
      <c r="E460" s="60"/>
      <c r="F460" s="60"/>
      <c r="G460" s="60"/>
      <c r="H460" s="62"/>
      <c r="I460" s="61"/>
      <c r="J460" s="61"/>
      <c r="K460" s="59"/>
      <c r="L460" s="61"/>
      <c r="M460" s="61"/>
      <c r="N460" s="60"/>
      <c r="O460" s="66"/>
    </row>
    <row r="461" spans="2:15" x14ac:dyDescent="0.25">
      <c r="B461" s="68"/>
      <c r="C461" s="64"/>
      <c r="D461" s="59"/>
      <c r="E461" s="60"/>
      <c r="F461" s="60"/>
      <c r="G461" s="60"/>
      <c r="H461" s="62"/>
      <c r="I461" s="61"/>
      <c r="J461" s="61"/>
      <c r="K461" s="59"/>
      <c r="L461" s="61"/>
      <c r="M461" s="61"/>
      <c r="N461" s="60"/>
      <c r="O461" s="66"/>
    </row>
    <row r="462" spans="2:15" x14ac:dyDescent="0.25">
      <c r="B462" s="68"/>
      <c r="C462" s="64"/>
      <c r="D462" s="59"/>
      <c r="E462" s="60"/>
      <c r="F462" s="60"/>
      <c r="G462" s="60"/>
      <c r="H462" s="62"/>
      <c r="I462" s="61"/>
      <c r="J462" s="61"/>
      <c r="K462" s="59"/>
      <c r="L462" s="61"/>
      <c r="M462" s="61"/>
      <c r="N462" s="60"/>
      <c r="O462" s="66"/>
    </row>
    <row r="463" spans="2:15" x14ac:dyDescent="0.25">
      <c r="B463" s="68"/>
      <c r="C463" s="64"/>
      <c r="D463" s="59"/>
      <c r="E463" s="60"/>
      <c r="F463" s="60"/>
      <c r="G463" s="60"/>
      <c r="H463" s="62"/>
      <c r="I463" s="61"/>
      <c r="J463" s="61"/>
      <c r="K463" s="59"/>
      <c r="L463" s="61"/>
      <c r="M463" s="61"/>
      <c r="N463" s="60"/>
      <c r="O463" s="66"/>
    </row>
    <row r="464" spans="2:15" x14ac:dyDescent="0.25">
      <c r="B464" s="68"/>
      <c r="C464" s="64"/>
      <c r="D464" s="59"/>
      <c r="E464" s="60"/>
      <c r="F464" s="60"/>
      <c r="G464" s="60"/>
      <c r="H464" s="62"/>
      <c r="I464" s="61"/>
      <c r="J464" s="61"/>
      <c r="K464" s="59"/>
      <c r="L464" s="61"/>
      <c r="M464" s="61"/>
      <c r="N464" s="60"/>
      <c r="O464" s="66"/>
    </row>
    <row r="465" spans="2:15" x14ac:dyDescent="0.25">
      <c r="B465" s="68"/>
      <c r="C465" s="64"/>
      <c r="D465" s="59"/>
      <c r="E465" s="60"/>
      <c r="F465" s="60"/>
      <c r="G465" s="60"/>
      <c r="H465" s="62"/>
      <c r="I465" s="61"/>
      <c r="J465" s="61"/>
      <c r="K465" s="59"/>
      <c r="L465" s="61"/>
      <c r="M465" s="61"/>
      <c r="N465" s="60"/>
      <c r="O465" s="66"/>
    </row>
    <row r="466" spans="2:15" x14ac:dyDescent="0.25">
      <c r="B466" s="68"/>
      <c r="C466" s="64"/>
      <c r="D466" s="59"/>
      <c r="E466" s="60"/>
      <c r="F466" s="60"/>
      <c r="G466" s="60"/>
      <c r="H466" s="62"/>
      <c r="I466" s="61"/>
      <c r="J466" s="61"/>
      <c r="K466" s="59"/>
      <c r="L466" s="61"/>
      <c r="M466" s="61"/>
      <c r="N466" s="60"/>
      <c r="O466" s="66"/>
    </row>
    <row r="467" spans="2:15" x14ac:dyDescent="0.25">
      <c r="B467" s="68"/>
      <c r="C467" s="64"/>
      <c r="D467" s="59"/>
      <c r="E467" s="60"/>
      <c r="F467" s="60"/>
      <c r="G467" s="60"/>
      <c r="H467" s="62"/>
      <c r="I467" s="61"/>
      <c r="J467" s="61"/>
      <c r="K467" s="59"/>
      <c r="L467" s="61"/>
      <c r="M467" s="61"/>
      <c r="N467" s="60"/>
      <c r="O467" s="66"/>
    </row>
    <row r="468" spans="2:15" x14ac:dyDescent="0.25">
      <c r="B468" s="68"/>
      <c r="C468" s="64"/>
      <c r="D468" s="59"/>
      <c r="E468" s="60"/>
      <c r="F468" s="60"/>
      <c r="G468" s="60"/>
      <c r="H468" s="62"/>
      <c r="I468" s="61"/>
      <c r="J468" s="61"/>
      <c r="K468" s="59"/>
      <c r="L468" s="61"/>
      <c r="M468" s="61"/>
      <c r="N468" s="60"/>
      <c r="O468" s="66"/>
    </row>
    <row r="469" spans="2:15" x14ac:dyDescent="0.25">
      <c r="B469" s="68"/>
      <c r="C469" s="64"/>
      <c r="D469" s="59"/>
      <c r="E469" s="60"/>
      <c r="F469" s="60"/>
      <c r="G469" s="60"/>
      <c r="H469" s="62"/>
      <c r="I469" s="61"/>
      <c r="J469" s="61"/>
      <c r="K469" s="59"/>
      <c r="L469" s="61"/>
      <c r="M469" s="61"/>
      <c r="N469" s="60"/>
      <c r="O469" s="66"/>
    </row>
    <row r="470" spans="2:15" x14ac:dyDescent="0.25">
      <c r="B470" s="68"/>
      <c r="C470" s="64"/>
      <c r="D470" s="59"/>
      <c r="E470" s="60"/>
      <c r="F470" s="60"/>
      <c r="G470" s="60"/>
      <c r="H470" s="62"/>
      <c r="I470" s="61"/>
      <c r="J470" s="61"/>
      <c r="K470" s="59"/>
      <c r="L470" s="61"/>
      <c r="M470" s="61"/>
      <c r="N470" s="60"/>
      <c r="O470" s="66"/>
    </row>
    <row r="471" spans="2:15" x14ac:dyDescent="0.25">
      <c r="B471" s="68"/>
      <c r="C471" s="64"/>
      <c r="D471" s="59"/>
      <c r="E471" s="60"/>
      <c r="F471" s="60"/>
      <c r="G471" s="60"/>
      <c r="H471" s="62"/>
      <c r="I471" s="61"/>
      <c r="J471" s="61"/>
      <c r="K471" s="59"/>
      <c r="L471" s="61"/>
      <c r="M471" s="61"/>
      <c r="N471" s="60"/>
      <c r="O471" s="66"/>
    </row>
    <row r="472" spans="2:15" x14ac:dyDescent="0.25">
      <c r="B472" s="68"/>
      <c r="C472" s="64"/>
      <c r="D472" s="59"/>
      <c r="E472" s="60"/>
      <c r="F472" s="60"/>
      <c r="G472" s="60"/>
      <c r="H472" s="62"/>
      <c r="I472" s="61"/>
      <c r="J472" s="61"/>
      <c r="K472" s="59"/>
      <c r="L472" s="61"/>
      <c r="M472" s="61"/>
      <c r="N472" s="60"/>
      <c r="O472" s="66"/>
    </row>
    <row r="473" spans="2:15" x14ac:dyDescent="0.25">
      <c r="B473" s="68"/>
      <c r="C473" s="64"/>
      <c r="D473" s="59"/>
      <c r="E473" s="60"/>
      <c r="F473" s="60"/>
      <c r="G473" s="60"/>
      <c r="H473" s="62"/>
      <c r="I473" s="61"/>
      <c r="J473" s="61"/>
      <c r="K473" s="59"/>
      <c r="L473" s="61"/>
      <c r="M473" s="61"/>
      <c r="N473" s="60"/>
      <c r="O473" s="66"/>
    </row>
    <row r="474" spans="2:15" x14ac:dyDescent="0.25">
      <c r="B474" s="68"/>
      <c r="C474" s="64"/>
      <c r="D474" s="59"/>
      <c r="E474" s="60"/>
      <c r="F474" s="60"/>
      <c r="G474" s="60"/>
      <c r="H474" s="62"/>
      <c r="I474" s="61"/>
      <c r="J474" s="61"/>
      <c r="K474" s="59"/>
      <c r="L474" s="61"/>
      <c r="M474" s="61"/>
      <c r="N474" s="60"/>
      <c r="O474" s="66"/>
    </row>
    <row r="475" spans="2:15" x14ac:dyDescent="0.25">
      <c r="B475" s="68"/>
      <c r="C475" s="64"/>
      <c r="D475" s="59"/>
      <c r="E475" s="60"/>
      <c r="F475" s="60"/>
      <c r="G475" s="60"/>
      <c r="H475" s="62"/>
      <c r="I475" s="61"/>
      <c r="J475" s="61"/>
      <c r="K475" s="59"/>
      <c r="L475" s="61"/>
      <c r="M475" s="61"/>
      <c r="N475" s="60"/>
      <c r="O475" s="66"/>
    </row>
    <row r="476" spans="2:15" x14ac:dyDescent="0.25">
      <c r="B476" s="68"/>
      <c r="C476" s="64"/>
      <c r="D476" s="59"/>
      <c r="E476" s="60"/>
      <c r="F476" s="60"/>
      <c r="G476" s="60"/>
      <c r="H476" s="62"/>
      <c r="I476" s="61"/>
      <c r="J476" s="61"/>
      <c r="K476" s="59"/>
      <c r="L476" s="61"/>
      <c r="M476" s="61"/>
      <c r="N476" s="60"/>
      <c r="O476" s="66"/>
    </row>
    <row r="477" spans="2:15" x14ac:dyDescent="0.25">
      <c r="B477" s="68"/>
      <c r="C477" s="64"/>
      <c r="D477" s="59"/>
      <c r="E477" s="60"/>
      <c r="F477" s="60"/>
      <c r="G477" s="60"/>
      <c r="H477" s="62"/>
      <c r="I477" s="61"/>
      <c r="J477" s="61"/>
      <c r="K477" s="59"/>
      <c r="L477" s="61"/>
      <c r="M477" s="61"/>
      <c r="N477" s="60"/>
      <c r="O477" s="66"/>
    </row>
    <row r="478" spans="2:15" x14ac:dyDescent="0.25">
      <c r="B478" s="68"/>
      <c r="C478" s="64"/>
      <c r="D478" s="59"/>
      <c r="E478" s="60"/>
      <c r="F478" s="60"/>
      <c r="G478" s="60"/>
      <c r="H478" s="62"/>
      <c r="I478" s="61"/>
      <c r="J478" s="61"/>
      <c r="K478" s="59"/>
      <c r="L478" s="61"/>
      <c r="M478" s="61"/>
      <c r="N478" s="60"/>
      <c r="O478" s="66"/>
    </row>
    <row r="479" spans="2:15" x14ac:dyDescent="0.25">
      <c r="B479" s="68"/>
      <c r="C479" s="64"/>
      <c r="D479" s="59"/>
      <c r="E479" s="60"/>
      <c r="F479" s="60"/>
      <c r="G479" s="60"/>
      <c r="H479" s="62"/>
      <c r="I479" s="61"/>
      <c r="J479" s="61"/>
      <c r="K479" s="59"/>
      <c r="L479" s="61"/>
      <c r="M479" s="61"/>
      <c r="N479" s="60"/>
      <c r="O479" s="66"/>
    </row>
    <row r="480" spans="2:15" x14ac:dyDescent="0.25">
      <c r="B480" s="68"/>
      <c r="C480" s="64"/>
      <c r="D480" s="59"/>
      <c r="E480" s="60"/>
      <c r="F480" s="60"/>
      <c r="G480" s="60"/>
      <c r="H480" s="62"/>
      <c r="I480" s="61"/>
      <c r="J480" s="61"/>
      <c r="K480" s="59"/>
      <c r="L480" s="61"/>
      <c r="M480" s="61"/>
      <c r="N480" s="60"/>
      <c r="O480" s="66"/>
    </row>
    <row r="481" spans="2:15" x14ac:dyDescent="0.25">
      <c r="B481" s="68"/>
      <c r="C481" s="64"/>
      <c r="D481" s="59"/>
      <c r="E481" s="60"/>
      <c r="F481" s="60"/>
      <c r="G481" s="60"/>
      <c r="H481" s="62"/>
      <c r="I481" s="61"/>
      <c r="J481" s="61"/>
      <c r="K481" s="59"/>
      <c r="L481" s="61"/>
      <c r="M481" s="61"/>
      <c r="N481" s="60"/>
      <c r="O481" s="66"/>
    </row>
    <row r="482" spans="2:15" x14ac:dyDescent="0.25">
      <c r="B482" s="68"/>
      <c r="C482" s="64"/>
      <c r="D482" s="59"/>
      <c r="E482" s="60"/>
      <c r="F482" s="60"/>
      <c r="G482" s="60"/>
      <c r="H482" s="62"/>
      <c r="I482" s="61"/>
      <c r="J482" s="61"/>
      <c r="K482" s="59"/>
      <c r="L482" s="61"/>
      <c r="M482" s="61"/>
      <c r="N482" s="60"/>
      <c r="O482" s="66"/>
    </row>
    <row r="483" spans="2:15" x14ac:dyDescent="0.25">
      <c r="B483" s="68"/>
      <c r="C483" s="64"/>
      <c r="D483" s="59"/>
      <c r="E483" s="60"/>
      <c r="F483" s="60"/>
      <c r="G483" s="60"/>
      <c r="H483" s="62"/>
      <c r="I483" s="61"/>
      <c r="J483" s="61"/>
      <c r="K483" s="59"/>
      <c r="L483" s="61"/>
      <c r="M483" s="61"/>
      <c r="N483" s="60"/>
      <c r="O483" s="66"/>
    </row>
    <row r="484" spans="2:15" x14ac:dyDescent="0.25">
      <c r="B484" s="68"/>
      <c r="C484" s="64"/>
      <c r="D484" s="59"/>
      <c r="E484" s="60"/>
      <c r="F484" s="60"/>
      <c r="G484" s="60"/>
      <c r="H484" s="62"/>
      <c r="I484" s="61"/>
      <c r="J484" s="61"/>
      <c r="K484" s="59"/>
      <c r="L484" s="61"/>
      <c r="M484" s="61"/>
      <c r="N484" s="60"/>
      <c r="O484" s="66"/>
    </row>
    <row r="485" spans="2:15" x14ac:dyDescent="0.25">
      <c r="B485" s="68"/>
      <c r="C485" s="64"/>
      <c r="D485" s="59"/>
      <c r="E485" s="60"/>
      <c r="F485" s="60"/>
      <c r="G485" s="60"/>
      <c r="H485" s="62"/>
      <c r="I485" s="61"/>
      <c r="J485" s="61"/>
      <c r="K485" s="59"/>
      <c r="L485" s="61"/>
      <c r="M485" s="61"/>
      <c r="N485" s="60"/>
      <c r="O485" s="66"/>
    </row>
    <row r="486" spans="2:15" x14ac:dyDescent="0.25">
      <c r="B486" s="68"/>
      <c r="C486" s="64"/>
      <c r="D486" s="59"/>
      <c r="E486" s="60"/>
      <c r="F486" s="60"/>
      <c r="G486" s="60"/>
      <c r="H486" s="62"/>
      <c r="I486" s="61"/>
      <c r="J486" s="61"/>
      <c r="K486" s="59"/>
      <c r="L486" s="61"/>
      <c r="M486" s="61"/>
      <c r="N486" s="60"/>
      <c r="O486" s="66"/>
    </row>
    <row r="487" spans="2:15" x14ac:dyDescent="0.25">
      <c r="B487" s="68"/>
      <c r="C487" s="64"/>
      <c r="D487" s="59"/>
      <c r="E487" s="60"/>
      <c r="F487" s="60"/>
      <c r="G487" s="60"/>
      <c r="H487" s="62"/>
      <c r="I487" s="61"/>
      <c r="J487" s="61"/>
      <c r="K487" s="59"/>
      <c r="L487" s="61"/>
      <c r="M487" s="61"/>
      <c r="N487" s="60"/>
      <c r="O487" s="66"/>
    </row>
    <row r="488" spans="2:15" x14ac:dyDescent="0.25">
      <c r="B488" s="68"/>
      <c r="C488" s="64"/>
      <c r="D488" s="59"/>
      <c r="E488" s="60"/>
      <c r="F488" s="60"/>
      <c r="G488" s="60"/>
      <c r="H488" s="62"/>
      <c r="I488" s="61"/>
      <c r="J488" s="61"/>
      <c r="K488" s="59"/>
      <c r="L488" s="61"/>
      <c r="M488" s="61"/>
      <c r="N488" s="60"/>
      <c r="O488" s="66"/>
    </row>
    <row r="489" spans="2:15" x14ac:dyDescent="0.25">
      <c r="B489" s="68"/>
      <c r="C489" s="64"/>
      <c r="D489" s="59"/>
      <c r="E489" s="60"/>
      <c r="F489" s="60"/>
      <c r="G489" s="60"/>
      <c r="H489" s="62"/>
      <c r="I489" s="61"/>
      <c r="J489" s="61"/>
      <c r="K489" s="59"/>
      <c r="L489" s="61"/>
      <c r="M489" s="61"/>
      <c r="N489" s="60"/>
      <c r="O489" s="66"/>
    </row>
    <row r="490" spans="2:15" x14ac:dyDescent="0.25">
      <c r="B490" s="68"/>
      <c r="C490" s="64"/>
      <c r="D490" s="59"/>
      <c r="E490" s="60"/>
      <c r="F490" s="60"/>
      <c r="G490" s="60"/>
      <c r="H490" s="62"/>
      <c r="I490" s="61"/>
      <c r="J490" s="61"/>
      <c r="K490" s="59"/>
      <c r="L490" s="61"/>
      <c r="M490" s="61"/>
      <c r="N490" s="60"/>
      <c r="O490" s="66"/>
    </row>
    <row r="491" spans="2:15" x14ac:dyDescent="0.25">
      <c r="B491" s="68"/>
      <c r="C491" s="64"/>
      <c r="D491" s="59"/>
      <c r="E491" s="60"/>
      <c r="F491" s="60"/>
      <c r="G491" s="60"/>
      <c r="H491" s="62"/>
      <c r="I491" s="61"/>
      <c r="J491" s="61"/>
      <c r="K491" s="59"/>
      <c r="L491" s="61"/>
      <c r="M491" s="61"/>
      <c r="N491" s="60"/>
      <c r="O491" s="66"/>
    </row>
    <row r="492" spans="2:15" x14ac:dyDescent="0.25">
      <c r="B492" s="68"/>
      <c r="C492" s="64"/>
      <c r="D492" s="59"/>
      <c r="E492" s="60"/>
      <c r="F492" s="60"/>
      <c r="G492" s="60"/>
      <c r="H492" s="62"/>
      <c r="I492" s="61"/>
      <c r="J492" s="61"/>
      <c r="K492" s="59"/>
      <c r="L492" s="61"/>
      <c r="M492" s="61"/>
      <c r="N492" s="60"/>
      <c r="O492" s="66"/>
    </row>
    <row r="493" spans="2:15" x14ac:dyDescent="0.25">
      <c r="B493" s="68"/>
      <c r="C493" s="64"/>
      <c r="D493" s="59"/>
      <c r="E493" s="60"/>
      <c r="F493" s="60"/>
      <c r="G493" s="60"/>
      <c r="H493" s="62"/>
      <c r="I493" s="61"/>
      <c r="J493" s="61"/>
      <c r="K493" s="59"/>
      <c r="L493" s="61"/>
      <c r="M493" s="61"/>
      <c r="N493" s="60"/>
      <c r="O493" s="66"/>
    </row>
    <row r="494" spans="2:15" x14ac:dyDescent="0.25">
      <c r="B494" s="68"/>
      <c r="C494" s="64"/>
      <c r="D494" s="59"/>
      <c r="E494" s="60"/>
      <c r="F494" s="60"/>
      <c r="G494" s="60"/>
      <c r="H494" s="62"/>
      <c r="I494" s="61"/>
      <c r="J494" s="61"/>
      <c r="K494" s="59"/>
      <c r="L494" s="61"/>
      <c r="M494" s="61"/>
      <c r="N494" s="60"/>
      <c r="O494" s="66"/>
    </row>
    <row r="495" spans="2:15" x14ac:dyDescent="0.25">
      <c r="B495" s="68"/>
      <c r="C495" s="64"/>
      <c r="D495" s="59"/>
      <c r="E495" s="60"/>
      <c r="F495" s="60"/>
      <c r="G495" s="60"/>
      <c r="H495" s="62"/>
      <c r="I495" s="61"/>
      <c r="J495" s="61"/>
      <c r="K495" s="59"/>
      <c r="L495" s="61"/>
      <c r="M495" s="61"/>
      <c r="N495" s="60"/>
      <c r="O495" s="66"/>
    </row>
    <row r="496" spans="2:15" x14ac:dyDescent="0.25">
      <c r="B496" s="68"/>
      <c r="C496" s="64"/>
      <c r="D496" s="59"/>
      <c r="E496" s="60"/>
      <c r="F496" s="60"/>
      <c r="G496" s="60"/>
      <c r="H496" s="62"/>
      <c r="I496" s="61"/>
      <c r="J496" s="61"/>
      <c r="K496" s="59"/>
      <c r="L496" s="61"/>
      <c r="M496" s="61"/>
      <c r="N496" s="60"/>
      <c r="O496" s="66"/>
    </row>
    <row r="497" spans="2:15" x14ac:dyDescent="0.25">
      <c r="B497" s="68"/>
      <c r="C497" s="64"/>
      <c r="D497" s="59"/>
      <c r="E497" s="60"/>
      <c r="F497" s="60"/>
      <c r="G497" s="60"/>
      <c r="H497" s="62"/>
      <c r="I497" s="61"/>
      <c r="J497" s="61"/>
      <c r="K497" s="59"/>
      <c r="L497" s="61"/>
      <c r="M497" s="61"/>
      <c r="N497" s="60"/>
      <c r="O497" s="66"/>
    </row>
    <row r="498" spans="2:15" x14ac:dyDescent="0.25">
      <c r="B498" s="68"/>
      <c r="C498" s="64"/>
      <c r="D498" s="59"/>
      <c r="E498" s="60"/>
      <c r="F498" s="60"/>
      <c r="G498" s="60"/>
      <c r="H498" s="62"/>
      <c r="I498" s="61"/>
      <c r="J498" s="61"/>
      <c r="K498" s="59"/>
      <c r="L498" s="61"/>
      <c r="M498" s="61"/>
      <c r="N498" s="60"/>
      <c r="O498" s="66"/>
    </row>
    <row r="499" spans="2:15" x14ac:dyDescent="0.25">
      <c r="B499" s="68"/>
      <c r="C499" s="64"/>
      <c r="D499" s="59"/>
      <c r="E499" s="60"/>
      <c r="F499" s="60"/>
      <c r="G499" s="60"/>
      <c r="H499" s="62"/>
      <c r="I499" s="61"/>
      <c r="J499" s="61"/>
      <c r="K499" s="59"/>
      <c r="L499" s="61"/>
      <c r="M499" s="61"/>
      <c r="N499" s="60"/>
      <c r="O499" s="66"/>
    </row>
    <row r="500" spans="2:15" x14ac:dyDescent="0.25">
      <c r="B500" s="68"/>
      <c r="C500" s="64"/>
      <c r="D500" s="59"/>
      <c r="E500" s="60"/>
      <c r="F500" s="60"/>
      <c r="G500" s="60"/>
      <c r="H500" s="62"/>
      <c r="I500" s="61"/>
      <c r="J500" s="61"/>
      <c r="K500" s="59"/>
      <c r="L500" s="61"/>
      <c r="M500" s="61"/>
      <c r="N500" s="60"/>
      <c r="O500" s="66"/>
    </row>
    <row r="501" spans="2:15" x14ac:dyDescent="0.25">
      <c r="B501" s="68"/>
      <c r="C501" s="64"/>
      <c r="D501" s="59"/>
      <c r="E501" s="60"/>
      <c r="F501" s="60"/>
      <c r="G501" s="60"/>
      <c r="H501" s="62"/>
      <c r="I501" s="61"/>
      <c r="J501" s="61"/>
      <c r="K501" s="59"/>
      <c r="L501" s="61"/>
      <c r="M501" s="61"/>
      <c r="N501" s="60"/>
      <c r="O501" s="66"/>
    </row>
    <row r="502" spans="2:15" x14ac:dyDescent="0.25">
      <c r="B502" s="68"/>
      <c r="C502" s="64"/>
      <c r="D502" s="59"/>
      <c r="E502" s="60"/>
      <c r="F502" s="60"/>
      <c r="G502" s="60"/>
      <c r="H502" s="62"/>
      <c r="I502" s="61"/>
      <c r="J502" s="61"/>
      <c r="K502" s="59"/>
      <c r="L502" s="61"/>
      <c r="M502" s="61"/>
      <c r="N502" s="60"/>
      <c r="O502" s="66"/>
    </row>
    <row r="503" spans="2:15" x14ac:dyDescent="0.25">
      <c r="B503" s="68"/>
      <c r="C503" s="64"/>
      <c r="D503" s="59"/>
      <c r="E503" s="60"/>
      <c r="F503" s="60"/>
      <c r="G503" s="60"/>
      <c r="H503" s="62"/>
      <c r="I503" s="61"/>
      <c r="J503" s="61"/>
      <c r="K503" s="59"/>
      <c r="L503" s="61"/>
      <c r="M503" s="61"/>
      <c r="N503" s="60"/>
      <c r="O503" s="66"/>
    </row>
    <row r="504" spans="2:15" x14ac:dyDescent="0.25">
      <c r="B504" s="68"/>
      <c r="C504" s="64"/>
      <c r="D504" s="59"/>
      <c r="E504" s="60"/>
      <c r="F504" s="60"/>
      <c r="G504" s="60"/>
      <c r="H504" s="62"/>
      <c r="I504" s="61"/>
      <c r="J504" s="61"/>
      <c r="K504" s="59"/>
      <c r="L504" s="61"/>
      <c r="M504" s="61"/>
      <c r="N504" s="60"/>
      <c r="O504" s="66"/>
    </row>
    <row r="505" spans="2:15" x14ac:dyDescent="0.25">
      <c r="B505" s="68"/>
      <c r="C505" s="64"/>
      <c r="D505" s="59"/>
      <c r="E505" s="60"/>
      <c r="F505" s="60"/>
      <c r="G505" s="60"/>
      <c r="H505" s="62"/>
      <c r="I505" s="61"/>
      <c r="J505" s="61"/>
      <c r="K505" s="59"/>
      <c r="L505" s="61"/>
      <c r="M505" s="61"/>
      <c r="N505" s="60"/>
      <c r="O505" s="66"/>
    </row>
    <row r="506" spans="2:15" x14ac:dyDescent="0.25">
      <c r="B506" s="68"/>
      <c r="C506" s="64"/>
      <c r="D506" s="59"/>
      <c r="E506" s="60"/>
      <c r="F506" s="60"/>
      <c r="G506" s="60"/>
      <c r="H506" s="62"/>
      <c r="I506" s="61"/>
      <c r="J506" s="61"/>
      <c r="K506" s="59"/>
      <c r="L506" s="61"/>
      <c r="M506" s="61"/>
      <c r="N506" s="60"/>
      <c r="O506" s="66"/>
    </row>
    <row r="507" spans="2:15" x14ac:dyDescent="0.25">
      <c r="B507" s="68"/>
      <c r="C507" s="64"/>
      <c r="D507" s="59"/>
      <c r="E507" s="60"/>
      <c r="F507" s="60"/>
      <c r="G507" s="60"/>
      <c r="H507" s="62"/>
      <c r="I507" s="61"/>
      <c r="J507" s="61"/>
      <c r="K507" s="59"/>
      <c r="L507" s="61"/>
      <c r="M507" s="61"/>
      <c r="N507" s="60"/>
      <c r="O507" s="66"/>
    </row>
  </sheetData>
  <sheetProtection password="930D" sheet="1" objects="1" scenarios="1" formatColumns="0" autoFilter="0"/>
  <mergeCells count="4">
    <mergeCell ref="B5:C5"/>
    <mergeCell ref="B6:E6"/>
    <mergeCell ref="F6:G6"/>
    <mergeCell ref="H6:M6"/>
  </mergeCells>
  <conditionalFormatting sqref="B8:O507">
    <cfRule type="expression" dxfId="23" priority="12">
      <formula>AND($B8&lt;&gt;"",MOD(ROW(),2)=0)</formula>
    </cfRule>
  </conditionalFormatting>
  <conditionalFormatting sqref="C8:C507">
    <cfRule type="expression" dxfId="22" priority="1">
      <formula>$C8="INCONSISTENTE"</formula>
    </cfRule>
    <cfRule type="expression" dxfId="21" priority="2">
      <formula>$C8="AGOTADO"</formula>
    </cfRule>
    <cfRule type="expression" dxfId="20" priority="3">
      <formula>$C8="CRÍTICO"</formula>
    </cfRule>
    <cfRule type="expression" dxfId="19" priority="4">
      <formula>$C8="BAJO"</formula>
    </cfRule>
    <cfRule type="expression" dxfId="18" priority="5">
      <formula>$C8="ÓPTIMO"</formula>
    </cfRule>
    <cfRule type="expression" dxfId="17" priority="6">
      <formula>$C8="SOBRESTOCK"</formula>
    </cfRule>
    <cfRule type="expression" dxfId="16" priority="7">
      <formula>$C8="INACTIVO"</formula>
    </cfRule>
  </conditionalFormatting>
  <conditionalFormatting sqref="F6:G6">
    <cfRule type="expression" dxfId="15" priority="13">
      <formula>kpiNuevosDesdeCalculo=0</formula>
    </cfRule>
    <cfRule type="expression" dxfId="14" priority="14">
      <formula>kpiNuevosDesdeCalculo&gt;0</formula>
    </cfRule>
  </conditionalFormatting>
  <conditionalFormatting sqref="H8:H507">
    <cfRule type="expression" dxfId="13" priority="8">
      <formula>AND(ISNUMBER(H8),H8&lt;&gt;INT(H8))</formula>
    </cfRule>
  </conditionalFormatting>
  <conditionalFormatting sqref="L8:L507">
    <cfRule type="expression" dxfId="12" priority="9">
      <formula>AND(ISNUMBER(L8),L8&lt;&gt;INT(L8))</formula>
    </cfRule>
  </conditionalFormatting>
  <conditionalFormatting sqref="M8:M507">
    <cfRule type="expression" dxfId="11" priority="10">
      <formula>AND(ISNUMBER(M8),M8&lt;&gt;INT(M8))</formula>
    </cfRule>
    <cfRule type="cellIs" dxfId="10" priority="11" operator="greaterThan">
      <formula>0</formula>
    </cfRule>
  </conditionalFormatting>
  <hyperlinks>
    <hyperlink ref="B5" location="'00_PORTADA_BODEGA'!A1" tooltip="Portada de Bodega" display="⌂ Bodega" xr:uid="{00000000-0004-0000-0B00-000000000000}"/>
    <hyperlink ref="D5" location="'00_PORTADA_VENTAS'!A1" tooltip="Portada de Ventas" display="⌂ Ventas" xr:uid="{00000000-0004-0000-0B00-000001000000}"/>
    <hyperlink ref="E5" location="'10A_ENTRADAS'!C9" tooltip="Registrar entradas y ajustes (Bodega)" display="⇩ Entradas" xr:uid="{00000000-0004-0000-0B00-000002000000}"/>
    <hyperlink ref="F5" location="'10B_SALIDAS'!E9" tooltip="Registrar salidas (Ventas)" display="⇧ Salidas" xr:uid="{00000000-0004-0000-0B00-000003000000}"/>
    <hyperlink ref="G5" location="'15_STOCK'!A1" tooltip="Stock (instantánea recalculada a demanda)" display="▦ Stock" xr:uid="{00000000-0004-0000-0B00-000004000000}"/>
    <hyperlink ref="H5" location="'16_ALERTAS'!A1" tooltip="Productos que requieren acción" display="⚠ Alertas" xr:uid="{00000000-0004-0000-0B00-000005000000}"/>
    <hyperlink ref="I5" location="'05_PRODUCTOS'!A1" tooltip="Catálogo de productos" display="☰ Catálogo" xr:uid="{00000000-0004-0000-0B00-000006000000}"/>
    <hyperlink ref="J5" location="'99_AYUDA'!A1" tooltip="Guía de uso y de instalación" display="? Guía" xr:uid="{00000000-0004-0000-0B00-000007000000}"/>
  </hyperlink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4A3B8"/>
  </sheetPr>
  <dimension ref="B1:G23"/>
  <sheetViews>
    <sheetView showGridLines="0" workbookViewId="0"/>
  </sheetViews>
  <sheetFormatPr baseColWidth="10" defaultColWidth="9.140625" defaultRowHeight="15" x14ac:dyDescent="0.25"/>
  <cols>
    <col min="1" max="1" width="3.42578125" customWidth="1"/>
    <col min="2" max="2" width="21.42578125" customWidth="1"/>
    <col min="3" max="3" width="3.42578125" customWidth="1"/>
    <col min="4" max="4" width="17.140625" customWidth="1"/>
    <col min="5" max="5" width="3.42578125" customWidth="1"/>
    <col min="6" max="6" width="18.5703125" customWidth="1"/>
    <col min="7" max="7" width="12.85546875" customWidth="1"/>
  </cols>
  <sheetData>
    <row r="1" spans="2:7" s="1" customFormat="1" ht="6" customHeight="1" x14ac:dyDescent="0.25"/>
    <row r="2" spans="2:7" s="1" customFormat="1" ht="24" customHeight="1" x14ac:dyDescent="0.25">
      <c r="B2" s="2" t="s">
        <v>216</v>
      </c>
    </row>
    <row r="3" spans="2:7" s="1" customFormat="1" ht="14.25" x14ac:dyDescent="0.25">
      <c r="B3" s="13" t="s">
        <v>217</v>
      </c>
    </row>
    <row r="4" spans="2:7" s="1" customFormat="1" ht="7.5" customHeight="1" x14ac:dyDescent="0.25"/>
    <row r="5" spans="2:7" s="7" customFormat="1" ht="18" customHeight="1" x14ac:dyDescent="0.25"/>
    <row r="6" spans="2:7" s="7" customFormat="1" ht="12" customHeight="1" x14ac:dyDescent="0.25"/>
    <row r="7" spans="2:7" x14ac:dyDescent="0.25">
      <c r="B7" s="15" t="s">
        <v>218</v>
      </c>
      <c r="D7" s="15" t="s">
        <v>219</v>
      </c>
      <c r="F7" s="15" t="s">
        <v>56</v>
      </c>
      <c r="G7" s="15" t="s">
        <v>105</v>
      </c>
    </row>
    <row r="8" spans="2:7" x14ac:dyDescent="0.25">
      <c r="B8" s="42" t="s">
        <v>46</v>
      </c>
      <c r="D8" s="42" t="s">
        <v>220</v>
      </c>
      <c r="F8" s="42" t="s">
        <v>60</v>
      </c>
      <c r="G8" s="69">
        <f>COUNTIF(tblStock[Estado],F8)</f>
        <v>0</v>
      </c>
    </row>
    <row r="9" spans="2:7" x14ac:dyDescent="0.25">
      <c r="B9" s="42" t="s">
        <v>43</v>
      </c>
      <c r="D9" s="42" t="s">
        <v>44</v>
      </c>
      <c r="F9" s="42" t="s">
        <v>63</v>
      </c>
      <c r="G9" s="69">
        <f>COUNTIF(tblStock[Estado],F9)</f>
        <v>0</v>
      </c>
    </row>
    <row r="10" spans="2:7" x14ac:dyDescent="0.25">
      <c r="B10" s="42" t="s">
        <v>48</v>
      </c>
      <c r="D10" s="42" t="s">
        <v>53</v>
      </c>
      <c r="F10" s="42" t="s">
        <v>66</v>
      </c>
      <c r="G10" s="69">
        <f>COUNTIF(tblStock[Estado],F10)</f>
        <v>0</v>
      </c>
    </row>
    <row r="11" spans="2:7" x14ac:dyDescent="0.25">
      <c r="B11" s="42" t="s">
        <v>50</v>
      </c>
      <c r="D11" s="42" t="s">
        <v>221</v>
      </c>
      <c r="F11" s="42" t="s">
        <v>69</v>
      </c>
      <c r="G11" s="69">
        <f>COUNTIF(tblStock[Estado],F11)</f>
        <v>0</v>
      </c>
    </row>
    <row r="12" spans="2:7" x14ac:dyDescent="0.25">
      <c r="F12" s="42" t="s">
        <v>72</v>
      </c>
      <c r="G12" s="69">
        <f>COUNTIF(tblStock[Estado],F12)</f>
        <v>0</v>
      </c>
    </row>
    <row r="13" spans="2:7" x14ac:dyDescent="0.25">
      <c r="F13" s="42" t="s">
        <v>75</v>
      </c>
      <c r="G13" s="69">
        <f>COUNTIF(tblStock[Estado],F13)</f>
        <v>0</v>
      </c>
    </row>
    <row r="16" spans="2:7" x14ac:dyDescent="0.25">
      <c r="F16" s="15" t="s">
        <v>222</v>
      </c>
      <c r="G16" s="15" t="s">
        <v>223</v>
      </c>
    </row>
    <row r="17" spans="6:7" x14ac:dyDescent="0.25">
      <c r="F17" s="70">
        <f ca="1">TODAY()-6</f>
        <v>46284</v>
      </c>
      <c r="G17" s="69">
        <f ca="1">-SUMIFS(tblSalidas[CantidadNeta],tblSalidas[Fecha],F17,tblSalidas[Estado],"✔*")</f>
        <v>0</v>
      </c>
    </row>
    <row r="18" spans="6:7" x14ac:dyDescent="0.25">
      <c r="F18" s="70">
        <f ca="1">TODAY()-5</f>
        <v>46285</v>
      </c>
      <c r="G18" s="69">
        <f ca="1">-SUMIFS(tblSalidas[CantidadNeta],tblSalidas[Fecha],F18,tblSalidas[Estado],"✔*")</f>
        <v>0</v>
      </c>
    </row>
    <row r="19" spans="6:7" x14ac:dyDescent="0.25">
      <c r="F19" s="70">
        <f ca="1">TODAY()-4</f>
        <v>46286</v>
      </c>
      <c r="G19" s="69">
        <f ca="1">-SUMIFS(tblSalidas[CantidadNeta],tblSalidas[Fecha],F19,tblSalidas[Estado],"✔*")</f>
        <v>0</v>
      </c>
    </row>
    <row r="20" spans="6:7" x14ac:dyDescent="0.25">
      <c r="F20" s="70">
        <f ca="1">TODAY()-3</f>
        <v>46287</v>
      </c>
      <c r="G20" s="69">
        <f ca="1">-SUMIFS(tblSalidas[CantidadNeta],tblSalidas[Fecha],F20,tblSalidas[Estado],"✔*")</f>
        <v>0</v>
      </c>
    </row>
    <row r="21" spans="6:7" x14ac:dyDescent="0.25">
      <c r="F21" s="70">
        <f ca="1">TODAY()-2</f>
        <v>46288</v>
      </c>
      <c r="G21" s="69">
        <f ca="1">-SUMIFS(tblSalidas[CantidadNeta],tblSalidas[Fecha],F21,tblSalidas[Estado],"✔*")</f>
        <v>0</v>
      </c>
    </row>
    <row r="22" spans="6:7" x14ac:dyDescent="0.25">
      <c r="F22" s="70">
        <f ca="1">TODAY()-1</f>
        <v>46289</v>
      </c>
      <c r="G22" s="69">
        <f ca="1">-SUMIFS(tblSalidas[CantidadNeta],tblSalidas[Fecha],F22,tblSalidas[Estado],"✔*")</f>
        <v>0</v>
      </c>
    </row>
    <row r="23" spans="6:7" x14ac:dyDescent="0.25">
      <c r="F23" s="70">
        <f ca="1">TODAY()-0</f>
        <v>46290</v>
      </c>
      <c r="G23" s="69">
        <f ca="1">-SUMIFS(tblSalidas[CantidadNeta],tblSalidas[Fecha],F23,tblSalidas[Estado],"✔*")</f>
        <v>0</v>
      </c>
    </row>
  </sheetData>
  <sheetProtection password="930D"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4A3B8"/>
  </sheetPr>
  <dimension ref="B1:D48"/>
  <sheetViews>
    <sheetView showGridLines="0" workbookViewId="0"/>
  </sheetViews>
  <sheetFormatPr baseColWidth="10" defaultColWidth="9.140625" defaultRowHeight="15" x14ac:dyDescent="0.25"/>
  <cols>
    <col min="1" max="1" width="3.42578125" customWidth="1"/>
    <col min="2" max="2" width="45.7109375" customWidth="1"/>
    <col min="3" max="3" width="21.42578125" customWidth="1"/>
    <col min="4" max="4" width="15.7109375" customWidth="1"/>
    <col min="5" max="5" width="3.42578125" customWidth="1"/>
  </cols>
  <sheetData>
    <row r="1" spans="2:4" s="1" customFormat="1" ht="6" customHeight="1" x14ac:dyDescent="0.25"/>
    <row r="2" spans="2:4" s="1" customFormat="1" ht="24" customHeight="1" x14ac:dyDescent="0.25">
      <c r="B2" s="2" t="s">
        <v>224</v>
      </c>
    </row>
    <row r="3" spans="2:4" s="1" customFormat="1" ht="14.25" x14ac:dyDescent="0.25">
      <c r="B3" s="13" t="s">
        <v>225</v>
      </c>
    </row>
    <row r="4" spans="2:4" s="1" customFormat="1" ht="7.5" customHeight="1" x14ac:dyDescent="0.25"/>
    <row r="5" spans="2:4" s="7" customFormat="1" ht="18" customHeight="1" x14ac:dyDescent="0.25"/>
    <row r="6" spans="2:4" s="7" customFormat="1" ht="12" customHeight="1" x14ac:dyDescent="0.25"/>
    <row r="7" spans="2:4" x14ac:dyDescent="0.25">
      <c r="B7" s="15" t="s">
        <v>226</v>
      </c>
      <c r="C7" s="15" t="s">
        <v>4</v>
      </c>
      <c r="D7" s="15" t="s">
        <v>227</v>
      </c>
    </row>
    <row r="8" spans="2:4" x14ac:dyDescent="0.25">
      <c r="B8" s="42" t="s">
        <v>228</v>
      </c>
      <c r="C8" s="71">
        <f>COUNTIF(tblProductos[SKU],"?*")</f>
        <v>0</v>
      </c>
      <c r="D8" s="42" t="s">
        <v>229</v>
      </c>
    </row>
    <row r="9" spans="2:4" x14ac:dyDescent="0.25">
      <c r="B9" s="42" t="s">
        <v>230</v>
      </c>
      <c r="C9" s="71">
        <f>COUNTIFS(tblProductos[SKU],"?*",tblProductos[Activo],"&lt;&gt;NO")</f>
        <v>0</v>
      </c>
      <c r="D9" s="42" t="s">
        <v>229</v>
      </c>
    </row>
    <row r="10" spans="2:4" x14ac:dyDescent="0.25">
      <c r="B10" s="42" t="s">
        <v>231</v>
      </c>
      <c r="C10" s="71">
        <f>COUNTIF(tblProveedores[Proveedor],"?*")</f>
        <v>0</v>
      </c>
      <c r="D10" s="42" t="s">
        <v>229</v>
      </c>
    </row>
    <row r="11" spans="2:4" x14ac:dyDescent="0.25">
      <c r="B11" s="42" t="s">
        <v>232</v>
      </c>
      <c r="C11" s="71">
        <f>COUNTIFS(tblUsuarios[Correo],"?*",tblUsuarios[Activo],"&lt;&gt;NO")</f>
        <v>0</v>
      </c>
      <c r="D11" s="42" t="s">
        <v>229</v>
      </c>
    </row>
    <row r="12" spans="2:4" x14ac:dyDescent="0.25">
      <c r="B12" s="42" t="s">
        <v>233</v>
      </c>
      <c r="C12" s="71">
        <f>COUNTIFS(tblUsuarios[Correo],"?*",tblUsuarios[Activo],"&lt;&gt;NO",tblUsuarios[Rol],"ADMIN")</f>
        <v>0</v>
      </c>
      <c r="D12" s="42" t="s">
        <v>229</v>
      </c>
    </row>
    <row r="13" spans="2:4" x14ac:dyDescent="0.25">
      <c r="B13" s="42" t="s">
        <v>234</v>
      </c>
      <c r="C13" s="72">
        <f>IFERROR(LOOKUP(2,1/(tblProductos[SKU]&lt;&gt;""),ROW(tblProductos[SKU])-ROW(tblProductos[#Headers])),0)</f>
        <v>0</v>
      </c>
      <c r="D13" s="42" t="s">
        <v>235</v>
      </c>
    </row>
    <row r="14" spans="2:4" x14ac:dyDescent="0.25">
      <c r="B14" s="42" t="s">
        <v>236</v>
      </c>
      <c r="C14" s="72">
        <f>IFERROR(LOOKUP(2,1/(tblProveedores[Proveedor]&lt;&gt;""),ROW(tblProveedores[Proveedor])-ROW(tblProveedores[#Headers])),0)</f>
        <v>0</v>
      </c>
      <c r="D14" s="42" t="s">
        <v>235</v>
      </c>
    </row>
    <row r="15" spans="2:4" x14ac:dyDescent="0.25">
      <c r="B15" s="42" t="s">
        <v>237</v>
      </c>
      <c r="C15" s="71">
        <f>COUNTIF(tblStock[Estado],"INCONSISTENTE")</f>
        <v>0</v>
      </c>
      <c r="D15" s="42" t="s">
        <v>229</v>
      </c>
    </row>
    <row r="16" spans="2:4" x14ac:dyDescent="0.25">
      <c r="B16" s="42" t="s">
        <v>238</v>
      </c>
      <c r="C16" s="71">
        <f>COUNTIF(tblStock[Estado],"AGOTADO")</f>
        <v>0</v>
      </c>
      <c r="D16" s="42" t="s">
        <v>229</v>
      </c>
    </row>
    <row r="17" spans="2:4" x14ac:dyDescent="0.25">
      <c r="B17" s="42" t="s">
        <v>239</v>
      </c>
      <c r="C17" s="71">
        <f>COUNTIF(tblStock[Estado],"CRÍTICO")</f>
        <v>0</v>
      </c>
      <c r="D17" s="42" t="s">
        <v>229</v>
      </c>
    </row>
    <row r="18" spans="2:4" x14ac:dyDescent="0.25">
      <c r="B18" s="42" t="s">
        <v>240</v>
      </c>
      <c r="C18" s="71">
        <f>COUNTIF(tblStock[Estado],"BAJO")</f>
        <v>0</v>
      </c>
      <c r="D18" s="42" t="s">
        <v>229</v>
      </c>
    </row>
    <row r="19" spans="2:4" x14ac:dyDescent="0.25">
      <c r="B19" s="42" t="s">
        <v>241</v>
      </c>
      <c r="C19" s="71">
        <f>COUNTIF(tblStock[Estado],"ÓPTIMO")</f>
        <v>0</v>
      </c>
      <c r="D19" s="42" t="s">
        <v>229</v>
      </c>
    </row>
    <row r="20" spans="2:4" x14ac:dyDescent="0.25">
      <c r="B20" s="42" t="s">
        <v>242</v>
      </c>
      <c r="C20" s="71">
        <f>COUNTIF(tblStock[Estado],"SOBRESTOCK")</f>
        <v>0</v>
      </c>
      <c r="D20" s="42" t="s">
        <v>229</v>
      </c>
    </row>
    <row r="21" spans="2:4" x14ac:dyDescent="0.25">
      <c r="B21" s="42" t="s">
        <v>243</v>
      </c>
      <c r="C21" s="71">
        <f>COUNTIF(tblStock[Estado],"INACTIVO")</f>
        <v>0</v>
      </c>
      <c r="D21" s="42" t="s">
        <v>229</v>
      </c>
    </row>
    <row r="22" spans="2:4" x14ac:dyDescent="0.25">
      <c r="B22" s="42" t="s">
        <v>244</v>
      </c>
      <c r="C22" s="71">
        <f>kpiInconsistentes+kpiAgotados+kpiCriticos+kpiBajos</f>
        <v>0</v>
      </c>
      <c r="D22" s="42" t="s">
        <v>229</v>
      </c>
    </row>
    <row r="23" spans="2:4" x14ac:dyDescent="0.25">
      <c r="B23" s="42" t="s">
        <v>245</v>
      </c>
      <c r="C23" s="73">
        <f>SUM(tblStock[ValorInventario])</f>
        <v>0</v>
      </c>
      <c r="D23" s="42" t="s">
        <v>246</v>
      </c>
    </row>
    <row r="24" spans="2:4" x14ac:dyDescent="0.25">
      <c r="B24" s="42" t="s">
        <v>247</v>
      </c>
      <c r="C24" s="71">
        <f>COUNTIFS(tblStock[StockActual],"&gt;0",tblStock[Activo],"SI")</f>
        <v>0</v>
      </c>
      <c r="D24" s="42" t="s">
        <v>229</v>
      </c>
    </row>
    <row r="25" spans="2:4" x14ac:dyDescent="0.25">
      <c r="B25" s="42" t="s">
        <v>248</v>
      </c>
      <c r="C25" s="71">
        <f>COUNTIFS(tblStock[DiasSinMov],"&gt;"&amp;cfgDiasSinRotacion,tblStock[StockActual],"&gt;0",tblStock[Activo],"SI")</f>
        <v>0</v>
      </c>
      <c r="D25" s="42" t="s">
        <v>229</v>
      </c>
    </row>
    <row r="26" spans="2:4" x14ac:dyDescent="0.25">
      <c r="B26" s="42" t="s">
        <v>249</v>
      </c>
      <c r="C26" s="71">
        <f>COUNTIF(tblEntradas[Estado],"✔*")</f>
        <v>0</v>
      </c>
      <c r="D26" s="42" t="s">
        <v>229</v>
      </c>
    </row>
    <row r="27" spans="2:4" x14ac:dyDescent="0.25">
      <c r="B27" s="42" t="s">
        <v>250</v>
      </c>
      <c r="C27" s="71">
        <f>COUNTIF(tblSalidas[Estado],"✔*")</f>
        <v>0</v>
      </c>
      <c r="D27" s="42" t="s">
        <v>229</v>
      </c>
    </row>
    <row r="28" spans="2:4" x14ac:dyDescent="0.25">
      <c r="B28" s="42" t="s">
        <v>251</v>
      </c>
      <c r="C28" s="71">
        <f>COUNTIF(tblEntradas[Estado],"✖*")</f>
        <v>0</v>
      </c>
      <c r="D28" s="42" t="s">
        <v>229</v>
      </c>
    </row>
    <row r="29" spans="2:4" x14ac:dyDescent="0.25">
      <c r="B29" s="42" t="s">
        <v>252</v>
      </c>
      <c r="C29" s="71">
        <f>COUNTIF(tblSalidas[Estado],"✖*")</f>
        <v>0</v>
      </c>
      <c r="D29" s="42" t="s">
        <v>229</v>
      </c>
    </row>
    <row r="30" spans="2:4" x14ac:dyDescent="0.25">
      <c r="B30" s="42" t="s">
        <v>253</v>
      </c>
      <c r="C30" s="71">
        <f ca="1">COUNTIF(tblCapturaEntradas[Validación],"?*")</f>
        <v>0</v>
      </c>
      <c r="D30" s="42" t="s">
        <v>229</v>
      </c>
    </row>
    <row r="31" spans="2:4" x14ac:dyDescent="0.25">
      <c r="B31" s="42" t="s">
        <v>254</v>
      </c>
      <c r="C31" s="71">
        <f ca="1">COUNTIF(tblCapturaSalidas[Validación],"?*")</f>
        <v>0</v>
      </c>
      <c r="D31" s="42" t="s">
        <v>229</v>
      </c>
    </row>
    <row r="32" spans="2:4" x14ac:dyDescent="0.25">
      <c r="B32" s="42" t="s">
        <v>255</v>
      </c>
      <c r="C32" s="71">
        <f ca="1">COUNTIFS(tblEntradas[Fecha],TODAY(),tblEntradas[Tipo],"ENTRADA",tblEntradas[Estado],"✔*")</f>
        <v>0</v>
      </c>
      <c r="D32" s="42" t="s">
        <v>229</v>
      </c>
    </row>
    <row r="33" spans="2:4" x14ac:dyDescent="0.25">
      <c r="B33" s="42" t="s">
        <v>256</v>
      </c>
      <c r="C33" s="71">
        <f ca="1">COUNTIFS(tblEntradas[Fecha],"&gt;="&amp;DATE(YEAR(TODAY()),MONTH(TODAY()),1),tblEntradas[Tipo],"AJUSTE*",tblEntradas[Estado],"✔*")</f>
        <v>0</v>
      </c>
      <c r="D33" s="42" t="s">
        <v>229</v>
      </c>
    </row>
    <row r="34" spans="2:4" x14ac:dyDescent="0.25">
      <c r="B34" s="42" t="s">
        <v>257</v>
      </c>
      <c r="C34" s="71">
        <f>COUNTIFS(tblEntradas[Tipo],"SALDO INICIAL",tblEntradas[Estado],"✔*")</f>
        <v>0</v>
      </c>
      <c r="D34" s="42" t="s">
        <v>229</v>
      </c>
    </row>
    <row r="35" spans="2:4" x14ac:dyDescent="0.25">
      <c r="B35" s="42" t="s">
        <v>258</v>
      </c>
      <c r="C35" s="71">
        <f ca="1">COUNTIFS(tblSalidas[Fecha],TODAY(),tblSalidas[Estado],"✔*")</f>
        <v>0</v>
      </c>
      <c r="D35" s="42" t="s">
        <v>229</v>
      </c>
    </row>
    <row r="36" spans="2:4" x14ac:dyDescent="0.25">
      <c r="B36" s="42" t="s">
        <v>259</v>
      </c>
      <c r="C36" s="74">
        <f ca="1">-SUMIFS(tblSalidas[CantidadNeta],tblSalidas[Fecha],TODAY(),tblSalidas[Estado],"✔*")</f>
        <v>0</v>
      </c>
      <c r="D36" s="42" t="s">
        <v>260</v>
      </c>
    </row>
    <row r="37" spans="2:4" x14ac:dyDescent="0.25">
      <c r="B37" s="42" t="s">
        <v>261</v>
      </c>
      <c r="C37" s="71">
        <f ca="1">COUNTIFS(tblSalidas[Fecha],"&gt;="&amp;DATE(YEAR(TODAY()),MONTH(TODAY()),1),tblSalidas[Estado],"✔*")</f>
        <v>0</v>
      </c>
      <c r="D37" s="42" t="s">
        <v>229</v>
      </c>
    </row>
    <row r="38" spans="2:4" x14ac:dyDescent="0.25">
      <c r="B38" s="42" t="s">
        <v>262</v>
      </c>
      <c r="C38" s="71">
        <f>COUNTIF(tblEntradas[Timestamp],"&gt;"&amp;N(stkActualizado))+COUNTIF(tblSalidas[Timestamp],"&gt;"&amp;N(stkActualizado))</f>
        <v>0</v>
      </c>
      <c r="D38" s="42" t="s">
        <v>229</v>
      </c>
    </row>
    <row r="39" spans="2:4" x14ac:dyDescent="0.25">
      <c r="B39" s="42" t="s">
        <v>263</v>
      </c>
      <c r="C39" s="71">
        <f>kpiRechEnt+kpiRechSal</f>
        <v>0</v>
      </c>
      <c r="D39" s="42" t="s">
        <v>229</v>
      </c>
    </row>
    <row r="40" spans="2:4" x14ac:dyDescent="0.25">
      <c r="B40" s="42" t="s">
        <v>264</v>
      </c>
      <c r="C40" s="75" t="str">
        <f ca="1">"Hoy · "&amp;RIGHT("0"&amp;DAY(TODAY()),2)&amp;"/"&amp;RIGHT("0"&amp;MONTH(TODAY()),2)&amp;"/"&amp;YEAR(TODAY())</f>
        <v>Hoy · 25/09/2026</v>
      </c>
      <c r="D40" s="42" t="s">
        <v>265</v>
      </c>
    </row>
    <row r="41" spans="2:4" x14ac:dyDescent="0.25">
      <c r="B41" s="42" t="s">
        <v>266</v>
      </c>
      <c r="C41" s="75" t="str">
        <f>cfgEmpresa&amp;"   ·   "&amp;cfgBodega</f>
        <v>NOMBRE DE SU EMPRESA   ·   Bodega principal</v>
      </c>
      <c r="D41" s="42" t="s">
        <v>265</v>
      </c>
    </row>
    <row r="42" spans="2:4" x14ac:dyDescent="0.25">
      <c r="B42" s="42" t="s">
        <v>267</v>
      </c>
      <c r="C42" s="75" t="str">
        <f>IF(N(stkActualizado)=0,"Stock aún no calculado","Calculado el "&amp;RIGHT("0"&amp;DAY(stkActualizado),2)&amp;"/"&amp;RIGHT("0"&amp;MONTH(stkActualizado),2)&amp;"/"&amp;YEAR(stkActualizado)&amp;" "&amp;RIGHT("0"&amp;HOUR(stkActualizado),2)&amp;":"&amp;RIGHT("0"&amp;MINUTE(stkActualizado),2)&amp;" · "&amp;IF(stkActualizadoNombre="",stkActualizadoPor,stkActualizadoNombre))</f>
        <v>Stock aún no calculado</v>
      </c>
      <c r="D42" s="42" t="s">
        <v>265</v>
      </c>
    </row>
    <row r="43" spans="2:4" x14ac:dyDescent="0.25">
      <c r="B43" s="42" t="s">
        <v>268</v>
      </c>
      <c r="C43" s="75" t="str">
        <f>IF(N(stkActualizado)=0,"⚠ Pulse «Recalcular stock» para calcular el stock",IF(kpiNuevosDesdeCalculo&gt;0,"⚠ "&amp;kpiNuevosDesdeCalculo&amp;" movimiento(s) nuevo(s) desde el cálculo: recalcule","✔ Stock al día con las bitácoras"))</f>
        <v>⚠ Pulse «Recalcular stock» para calcular el stock</v>
      </c>
      <c r="D43" s="42" t="s">
        <v>265</v>
      </c>
    </row>
    <row r="44" spans="2:4" x14ac:dyDescent="0.25">
      <c r="B44" s="42" t="s">
        <v>269</v>
      </c>
      <c r="C44" s="75" t="str">
        <f>IF(N(stkActualizado)=0,"⚠ Sin calcular",IF(kpiNuevosDesdeCalculo&gt;0,"⚠ "&amp;kpiNuevosDesdeCalculo&amp;" mov. nuevo(s): recalcule","✔ Al día con las bitácoras"))</f>
        <v>⚠ Sin calcular</v>
      </c>
      <c r="D44" s="42" t="s">
        <v>265</v>
      </c>
    </row>
    <row r="45" spans="2:4" x14ac:dyDescent="0.25">
      <c r="B45" s="42" t="s">
        <v>270</v>
      </c>
      <c r="C45" s="75" t="str">
        <f>"⚠  ALERTAS DE STOCK CRÍTICO ("&amp;kpiEnAlerta&amp;")"</f>
        <v>⚠  ALERTAS DE STOCK CRÍTICO (0)</v>
      </c>
      <c r="D45" s="42" t="s">
        <v>265</v>
      </c>
    </row>
    <row r="46" spans="2:4" x14ac:dyDescent="0.25">
      <c r="B46" s="42" t="s">
        <v>271</v>
      </c>
      <c r="C46" s="75" t="str">
        <f>IF(kpiUsuarios=0,"① El administrador debe registrar los usuarios en 02_USUARIOS",IF(kpiCatalogo=0,"② Registre los productos en el catálogo (05_PRODUCTOS)",IF(kpiSaldosIni=0,"③ Cargue el SALDO INICIAL de cada producto en 10A_ENTRADAS",IF(kpiRechEnt&gt;0,"✖ Hay "&amp;kpiRechEnt&amp;" registro(s) rechazados en 10A: revíselos",IF(kpiAgotados+kpiCriticos&gt;0,"● "&amp;(kpiAgotados+kpiCriticos)&amp;" producto(s) agotados o críticos: gestione la reposición y registre las entradas al recibir","✔ Inventario saludable")))))</f>
        <v>① El administrador debe registrar los usuarios en 02_USUARIOS</v>
      </c>
      <c r="D46" s="42" t="s">
        <v>265</v>
      </c>
    </row>
    <row r="47" spans="2:4" x14ac:dyDescent="0.25">
      <c r="B47" s="42" t="s">
        <v>272</v>
      </c>
      <c r="C47" s="75" t="str">
        <f>IF(kpiUsuarios=0,"El administrador debe registrar los usuarios en 02_USUARIOS",IF(kpiRechSal&gt;0,"✖ Hay "&amp;kpiRechSal&amp;" salida(s) rechazadas en 10B: revíselas",IF(kpiAgotados&gt;0,"● "&amp;kpiAgotados&amp;" producto(s) agotado(s): no los ofrezca sin confirmar con Bodega","✔ Todos los productos activos tienen stock")))</f>
        <v>El administrador debe registrar los usuarios en 02_USUARIOS</v>
      </c>
      <c r="D47" s="42" t="s">
        <v>265</v>
      </c>
    </row>
    <row r="48" spans="2:4" x14ac:dyDescent="0.25">
      <c r="B48" s="42" t="s">
        <v>273</v>
      </c>
      <c r="C48" s="75" t="str">
        <f>"Bitácoras oficiales: "&amp;FIXED(kpiRegEnt,0)&amp;" entradas/ajustes · "&amp;FIXED(kpiRegSal,0)&amp;" salidas"</f>
        <v>Bitácoras oficiales: 0 entradas/ajustes · 0 salidas</v>
      </c>
      <c r="D48" s="42" t="s">
        <v>265</v>
      </c>
    </row>
  </sheetData>
  <sheetProtection password="930D"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4A3B8"/>
  </sheetPr>
  <dimension ref="A1"/>
  <sheetViews>
    <sheetView workbookViewId="0"/>
  </sheetViews>
  <sheetFormatPr baseColWidth="10" defaultColWidth="9.140625" defaultRowHeight="15" x14ac:dyDescent="0.25"/>
  <cols>
    <col min="1" max="1" width="128.5703125" customWidth="1"/>
  </cols>
  <sheetData>
    <row r="1" spans="1:1" ht="30" customHeight="1" x14ac:dyDescent="0.25">
      <c r="A1" s="76" t="s">
        <v>274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55A64"/>
  </sheetPr>
  <dimension ref="B1:J64"/>
  <sheetViews>
    <sheetView showGridLines="0" showRowColHeaders="0" workbookViewId="0">
      <selection activeCell="B7" sqref="B7"/>
    </sheetView>
  </sheetViews>
  <sheetFormatPr baseColWidth="10" defaultColWidth="0" defaultRowHeight="15" zeroHeight="1" x14ac:dyDescent="0.25"/>
  <cols>
    <col min="1" max="1" width="3.42578125" customWidth="1"/>
    <col min="2" max="2" width="21.42578125" customWidth="1"/>
    <col min="3" max="10" width="17.42578125" customWidth="1"/>
    <col min="11" max="11" width="3.42578125" customWidth="1"/>
    <col min="12" max="12" width="0" hidden="1" customWidth="1"/>
  </cols>
  <sheetData>
    <row r="1" spans="2:10" s="1" customFormat="1" ht="4.5" customHeight="1" x14ac:dyDescent="0.25"/>
    <row r="2" spans="2:10" s="1" customFormat="1" ht="22.5" customHeight="1" x14ac:dyDescent="0.25">
      <c r="B2" s="2" t="s">
        <v>299</v>
      </c>
    </row>
    <row r="3" spans="2:10" s="1" customFormat="1" ht="14.25" x14ac:dyDescent="0.25">
      <c r="B3" s="13" t="s">
        <v>300</v>
      </c>
    </row>
    <row r="4" spans="2:10" s="1" customFormat="1" ht="4.5" customHeight="1" x14ac:dyDescent="0.25"/>
    <row r="5" spans="2:10" s="4" customFormat="1" ht="21" customHeight="1" x14ac:dyDescent="0.25">
      <c r="B5" s="6" t="s">
        <v>82</v>
      </c>
      <c r="C5" s="6" t="s">
        <v>83</v>
      </c>
      <c r="D5" s="6" t="s">
        <v>84</v>
      </c>
      <c r="E5" s="6" t="s">
        <v>85</v>
      </c>
      <c r="F5" s="6" t="s">
        <v>86</v>
      </c>
      <c r="G5" s="6" t="s">
        <v>87</v>
      </c>
      <c r="H5" s="6" t="s">
        <v>88</v>
      </c>
      <c r="I5" s="5" t="s">
        <v>89</v>
      </c>
    </row>
    <row r="6" spans="2:10" s="7" customFormat="1" ht="9" customHeight="1" x14ac:dyDescent="0.25"/>
    <row r="7" spans="2:10" s="7" customFormat="1" ht="19.5" customHeight="1" x14ac:dyDescent="0.25">
      <c r="B7" s="110" t="s">
        <v>301</v>
      </c>
      <c r="C7" s="110"/>
      <c r="D7" s="110"/>
      <c r="E7" s="110"/>
      <c r="F7" s="110"/>
      <c r="G7" s="110"/>
      <c r="H7" s="110"/>
      <c r="I7" s="110"/>
      <c r="J7" s="110"/>
    </row>
    <row r="8" spans="2:10" ht="18" customHeight="1" x14ac:dyDescent="0.25">
      <c r="B8" s="77" t="str">
        <f>IF(AND(kpiUsuarios&gt;0,kpiAdmins&gt;0),"✔","○")</f>
        <v>○</v>
      </c>
      <c r="C8" s="111" t="str">
        <f>"Usuarios registrados en 02_USUARIOS (al menos un ADMIN)  ·  "&amp;"Usuarios activos: "&amp;kpiUsuarios</f>
        <v>Usuarios registrados en 02_USUARIOS (al menos un ADMIN)  ·  Usuarios activos: 0</v>
      </c>
      <c r="D8" s="111"/>
      <c r="E8" s="111"/>
      <c r="F8" s="111"/>
      <c r="G8" s="111"/>
      <c r="H8" s="111"/>
      <c r="I8" s="111"/>
      <c r="J8" s="111"/>
    </row>
    <row r="9" spans="2:10" ht="18" customHeight="1" x14ac:dyDescent="0.25">
      <c r="B9" s="77" t="str">
        <f>IF(kpiCatalogo&gt;0,"✔","○")</f>
        <v>○</v>
      </c>
      <c r="C9" s="111" t="str">
        <f>"Productos en el catálogo (05_PRODUCTOS)  ·  "&amp;"Productos: "&amp;kpiCatalogo</f>
        <v>Productos en el catálogo (05_PRODUCTOS)  ·  Productos: 0</v>
      </c>
      <c r="D9" s="111"/>
      <c r="E9" s="111"/>
      <c r="F9" s="111"/>
      <c r="G9" s="111"/>
      <c r="H9" s="111"/>
      <c r="I9" s="111"/>
      <c r="J9" s="111"/>
    </row>
    <row r="10" spans="2:10" ht="18" customHeight="1" x14ac:dyDescent="0.25">
      <c r="B10" s="77" t="str">
        <f>IF(kpiProveedores&gt;0,"✔","○")</f>
        <v>○</v>
      </c>
      <c r="C10" s="111" t="str">
        <f>"Proveedores registrados (opcional, agrupa las alertas)  ·  "&amp;"Proveedores: "&amp;kpiProveedores</f>
        <v>Proveedores registrados (opcional, agrupa las alertas)  ·  Proveedores: 0</v>
      </c>
      <c r="D10" s="111"/>
      <c r="E10" s="111"/>
      <c r="F10" s="111"/>
      <c r="G10" s="111"/>
      <c r="H10" s="111"/>
      <c r="I10" s="111"/>
      <c r="J10" s="111"/>
    </row>
    <row r="11" spans="2:10" ht="18" customHeight="1" x14ac:dyDescent="0.25">
      <c r="B11" s="77" t="str">
        <f>IF(N(stkActualizado)&gt;0,"✔","○")</f>
        <v>○</v>
      </c>
      <c r="C11" s="111" t="str">
        <f>"Stock calculado al menos una vez (Recalcular stock)  ·  "&amp;txtStockActualizado</f>
        <v>Stock calculado al menos una vez (Recalcular stock)  ·  Stock aún no calculado</v>
      </c>
      <c r="D11" s="111"/>
      <c r="E11" s="111"/>
      <c r="F11" s="111"/>
      <c r="G11" s="111"/>
      <c r="H11" s="111"/>
      <c r="I11" s="111"/>
      <c r="J11" s="111"/>
    </row>
    <row r="12" spans="2:10" ht="18" customHeight="1" x14ac:dyDescent="0.25">
      <c r="B12" s="77" t="str">
        <f>IF(AND(kpiActivos&gt;0,kpiSaldosIni&gt;=kpiActivos),"✔","○")</f>
        <v>○</v>
      </c>
      <c r="C12" s="111" t="str">
        <f>"SALDO INICIAL cargado para todos los productos activos  ·  "&amp;"Con saldo inicial: "&amp;kpiSaldosIni&amp;" de "&amp;kpiActivos</f>
        <v>SALDO INICIAL cargado para todos los productos activos  ·  Con saldo inicial: 0 de 0</v>
      </c>
      <c r="D12" s="111"/>
      <c r="E12" s="111"/>
      <c r="F12" s="111"/>
      <c r="G12" s="111"/>
      <c r="H12" s="111"/>
      <c r="I12" s="111"/>
      <c r="J12" s="111"/>
    </row>
    <row r="13" spans="2:10" s="7" customFormat="1" ht="10.5" customHeight="1" x14ac:dyDescent="0.25"/>
    <row r="14" spans="2:10" s="7" customFormat="1" ht="19.5" customHeight="1" x14ac:dyDescent="0.25">
      <c r="B14" s="110" t="s">
        <v>302</v>
      </c>
      <c r="C14" s="110"/>
      <c r="D14" s="110"/>
      <c r="E14" s="110"/>
      <c r="F14" s="110"/>
      <c r="G14" s="110"/>
      <c r="H14" s="110"/>
      <c r="I14" s="110"/>
      <c r="J14" s="110"/>
    </row>
    <row r="15" spans="2:10" ht="31.5" customHeight="1" x14ac:dyDescent="0.25">
      <c r="B15" s="16" t="s">
        <v>303</v>
      </c>
      <c r="C15" s="112" t="s">
        <v>304</v>
      </c>
      <c r="D15" s="112"/>
      <c r="E15" s="112"/>
      <c r="F15" s="112"/>
      <c r="G15" s="112"/>
      <c r="H15" s="112"/>
      <c r="I15" s="112"/>
      <c r="J15" s="112"/>
    </row>
    <row r="16" spans="2:10" ht="31.5" customHeight="1" x14ac:dyDescent="0.25">
      <c r="B16" s="16" t="s">
        <v>305</v>
      </c>
      <c r="C16" s="112" t="s">
        <v>306</v>
      </c>
      <c r="D16" s="112"/>
      <c r="E16" s="112"/>
      <c r="F16" s="112"/>
      <c r="G16" s="112"/>
      <c r="H16" s="112"/>
      <c r="I16" s="112"/>
      <c r="J16" s="112"/>
    </row>
    <row r="17" spans="2:10" ht="31.5" customHeight="1" x14ac:dyDescent="0.25">
      <c r="B17" s="16" t="s">
        <v>307</v>
      </c>
      <c r="C17" s="112" t="s">
        <v>308</v>
      </c>
      <c r="D17" s="112"/>
      <c r="E17" s="112"/>
      <c r="F17" s="112"/>
      <c r="G17" s="112"/>
      <c r="H17" s="112"/>
      <c r="I17" s="112"/>
      <c r="J17" s="112"/>
    </row>
    <row r="18" spans="2:10" ht="31.5" customHeight="1" x14ac:dyDescent="0.25">
      <c r="B18" s="16" t="s">
        <v>309</v>
      </c>
      <c r="C18" s="112" t="s">
        <v>310</v>
      </c>
      <c r="D18" s="112"/>
      <c r="E18" s="112"/>
      <c r="F18" s="112"/>
      <c r="G18" s="112"/>
      <c r="H18" s="112"/>
      <c r="I18" s="112"/>
      <c r="J18" s="112"/>
    </row>
    <row r="19" spans="2:10" s="7" customFormat="1" ht="10.5" customHeight="1" x14ac:dyDescent="0.25"/>
    <row r="20" spans="2:10" s="7" customFormat="1" ht="19.5" customHeight="1" x14ac:dyDescent="0.25">
      <c r="B20" s="110" t="s">
        <v>311</v>
      </c>
      <c r="C20" s="110"/>
      <c r="D20" s="110"/>
      <c r="E20" s="110"/>
      <c r="F20" s="110"/>
      <c r="G20" s="110"/>
      <c r="H20" s="110"/>
      <c r="I20" s="110"/>
      <c r="J20" s="110"/>
    </row>
    <row r="21" spans="2:10" ht="31.5" customHeight="1" x14ac:dyDescent="0.25">
      <c r="B21" s="16" t="s">
        <v>44</v>
      </c>
      <c r="C21" s="112" t="s">
        <v>312</v>
      </c>
      <c r="D21" s="112"/>
      <c r="E21" s="112"/>
      <c r="F21" s="112"/>
      <c r="G21" s="112"/>
      <c r="H21" s="112"/>
      <c r="I21" s="112"/>
      <c r="J21" s="112"/>
    </row>
    <row r="22" spans="2:10" ht="31.5" customHeight="1" x14ac:dyDescent="0.25">
      <c r="B22" s="16" t="s">
        <v>53</v>
      </c>
      <c r="C22" s="112" t="s">
        <v>313</v>
      </c>
      <c r="D22" s="112"/>
      <c r="E22" s="112"/>
      <c r="F22" s="112"/>
      <c r="G22" s="112"/>
      <c r="H22" s="112"/>
      <c r="I22" s="112"/>
      <c r="J22" s="112"/>
    </row>
    <row r="23" spans="2:10" ht="19.5" customHeight="1" x14ac:dyDescent="0.25">
      <c r="B23" s="16" t="s">
        <v>220</v>
      </c>
      <c r="C23" s="112" t="s">
        <v>314</v>
      </c>
      <c r="D23" s="112"/>
      <c r="E23" s="112"/>
      <c r="F23" s="112"/>
      <c r="G23" s="112"/>
      <c r="H23" s="112"/>
      <c r="I23" s="112"/>
      <c r="J23" s="112"/>
    </row>
    <row r="24" spans="2:10" ht="19.5" customHeight="1" x14ac:dyDescent="0.25">
      <c r="B24" s="16" t="s">
        <v>221</v>
      </c>
      <c r="C24" s="112" t="s">
        <v>315</v>
      </c>
      <c r="D24" s="112"/>
      <c r="E24" s="112"/>
      <c r="F24" s="112"/>
      <c r="G24" s="112"/>
      <c r="H24" s="112"/>
      <c r="I24" s="112"/>
      <c r="J24" s="112"/>
    </row>
    <row r="25" spans="2:10" s="7" customFormat="1" ht="10.5" customHeight="1" x14ac:dyDescent="0.25"/>
    <row r="26" spans="2:10" s="7" customFormat="1" ht="19.5" customHeight="1" x14ac:dyDescent="0.25">
      <c r="B26" s="110" t="s">
        <v>316</v>
      </c>
      <c r="C26" s="110"/>
      <c r="D26" s="110"/>
      <c r="E26" s="110"/>
      <c r="F26" s="110"/>
      <c r="G26" s="110"/>
      <c r="H26" s="110"/>
      <c r="I26" s="110"/>
      <c r="J26" s="110"/>
    </row>
    <row r="27" spans="2:10" ht="19.5" customHeight="1" x14ac:dyDescent="0.25">
      <c r="B27" s="16" t="s">
        <v>317</v>
      </c>
      <c r="C27" s="112" t="s">
        <v>318</v>
      </c>
      <c r="D27" s="112"/>
      <c r="E27" s="112"/>
      <c r="F27" s="112"/>
      <c r="G27" s="112"/>
      <c r="H27" s="112"/>
      <c r="I27" s="112"/>
      <c r="J27" s="112"/>
    </row>
    <row r="28" spans="2:10" ht="19.5" customHeight="1" x14ac:dyDescent="0.25">
      <c r="B28" s="16" t="s">
        <v>319</v>
      </c>
      <c r="C28" s="112" t="s">
        <v>320</v>
      </c>
      <c r="D28" s="112"/>
      <c r="E28" s="112"/>
      <c r="F28" s="112"/>
      <c r="G28" s="112"/>
      <c r="H28" s="112"/>
      <c r="I28" s="112"/>
      <c r="J28" s="112"/>
    </row>
    <row r="29" spans="2:10" ht="31.5" customHeight="1" x14ac:dyDescent="0.25">
      <c r="B29" s="16" t="s">
        <v>321</v>
      </c>
      <c r="C29" s="112" t="s">
        <v>322</v>
      </c>
      <c r="D29" s="112"/>
      <c r="E29" s="112"/>
      <c r="F29" s="112"/>
      <c r="G29" s="112"/>
      <c r="H29" s="112"/>
      <c r="I29" s="112"/>
      <c r="J29" s="112"/>
    </row>
    <row r="30" spans="2:10" ht="19.5" customHeight="1" x14ac:dyDescent="0.25">
      <c r="B30" s="16" t="s">
        <v>323</v>
      </c>
      <c r="C30" s="112" t="s">
        <v>324</v>
      </c>
      <c r="D30" s="112"/>
      <c r="E30" s="112"/>
      <c r="F30" s="112"/>
      <c r="G30" s="112"/>
      <c r="H30" s="112"/>
      <c r="I30" s="112"/>
      <c r="J30" s="112"/>
    </row>
    <row r="31" spans="2:10" ht="19.5" customHeight="1" x14ac:dyDescent="0.25">
      <c r="B31" s="16" t="s">
        <v>325</v>
      </c>
      <c r="C31" s="112" t="s">
        <v>326</v>
      </c>
      <c r="D31" s="112"/>
      <c r="E31" s="112"/>
      <c r="F31" s="112"/>
      <c r="G31" s="112"/>
      <c r="H31" s="112"/>
      <c r="I31" s="112"/>
      <c r="J31" s="112"/>
    </row>
    <row r="32" spans="2:10" ht="31.5" customHeight="1" x14ac:dyDescent="0.25">
      <c r="B32" s="16" t="s">
        <v>327</v>
      </c>
      <c r="C32" s="112" t="s">
        <v>328</v>
      </c>
      <c r="D32" s="112"/>
      <c r="E32" s="112"/>
      <c r="F32" s="112"/>
      <c r="G32" s="112"/>
      <c r="H32" s="112"/>
      <c r="I32" s="112"/>
      <c r="J32" s="112"/>
    </row>
    <row r="33" spans="2:10" s="7" customFormat="1" ht="10.5" customHeight="1" x14ac:dyDescent="0.25"/>
    <row r="34" spans="2:10" s="7" customFormat="1" ht="19.5" customHeight="1" x14ac:dyDescent="0.25">
      <c r="B34" s="110" t="s">
        <v>329</v>
      </c>
      <c r="C34" s="110"/>
      <c r="D34" s="110"/>
      <c r="E34" s="110"/>
      <c r="F34" s="110"/>
      <c r="G34" s="110"/>
      <c r="H34" s="110"/>
      <c r="I34" s="110"/>
      <c r="J34" s="110"/>
    </row>
    <row r="35" spans="2:10" ht="31.5" customHeight="1" x14ac:dyDescent="0.25">
      <c r="B35" s="16" t="s">
        <v>330</v>
      </c>
      <c r="C35" s="112" t="s">
        <v>331</v>
      </c>
      <c r="D35" s="112"/>
      <c r="E35" s="112"/>
      <c r="F35" s="112"/>
      <c r="G35" s="112"/>
      <c r="H35" s="112"/>
      <c r="I35" s="112"/>
      <c r="J35" s="112"/>
    </row>
    <row r="36" spans="2:10" ht="31.5" customHeight="1" x14ac:dyDescent="0.25">
      <c r="B36" s="16" t="s">
        <v>332</v>
      </c>
      <c r="C36" s="112" t="s">
        <v>333</v>
      </c>
      <c r="D36" s="112"/>
      <c r="E36" s="112"/>
      <c r="F36" s="112"/>
      <c r="G36" s="112"/>
      <c r="H36" s="112"/>
      <c r="I36" s="112"/>
      <c r="J36" s="112"/>
    </row>
    <row r="37" spans="2:10" s="7" customFormat="1" ht="10.5" customHeight="1" x14ac:dyDescent="0.25"/>
    <row r="38" spans="2:10" s="7" customFormat="1" ht="19.5" customHeight="1" x14ac:dyDescent="0.25">
      <c r="B38" s="110" t="s">
        <v>334</v>
      </c>
      <c r="C38" s="110"/>
      <c r="D38" s="110"/>
      <c r="E38" s="110"/>
      <c r="F38" s="110"/>
      <c r="G38" s="110"/>
      <c r="H38" s="110"/>
      <c r="I38" s="110"/>
      <c r="J38" s="110"/>
    </row>
    <row r="39" spans="2:10" ht="31.5" customHeight="1" x14ac:dyDescent="0.25">
      <c r="B39" s="16" t="s">
        <v>335</v>
      </c>
      <c r="C39" s="112" t="s">
        <v>336</v>
      </c>
      <c r="D39" s="112"/>
      <c r="E39" s="112"/>
      <c r="F39" s="112"/>
      <c r="G39" s="112"/>
      <c r="H39" s="112"/>
      <c r="I39" s="112"/>
      <c r="J39" s="112"/>
    </row>
    <row r="40" spans="2:10" ht="31.5" customHeight="1" x14ac:dyDescent="0.25">
      <c r="B40" s="16" t="s">
        <v>337</v>
      </c>
      <c r="C40" s="112" t="s">
        <v>338</v>
      </c>
      <c r="D40" s="112"/>
      <c r="E40" s="112"/>
      <c r="F40" s="112"/>
      <c r="G40" s="112"/>
      <c r="H40" s="112"/>
      <c r="I40" s="112"/>
      <c r="J40" s="112"/>
    </row>
    <row r="41" spans="2:10" s="7" customFormat="1" ht="10.5" customHeight="1" x14ac:dyDescent="0.25"/>
    <row r="42" spans="2:10" s="7" customFormat="1" ht="19.5" customHeight="1" x14ac:dyDescent="0.25">
      <c r="B42" s="110" t="s">
        <v>339</v>
      </c>
      <c r="C42" s="110"/>
      <c r="D42" s="110"/>
      <c r="E42" s="110"/>
      <c r="F42" s="110"/>
      <c r="G42" s="110"/>
      <c r="H42" s="110"/>
      <c r="I42" s="110"/>
      <c r="J42" s="110"/>
    </row>
    <row r="43" spans="2:10" ht="19.5" customHeight="1" x14ac:dyDescent="0.25">
      <c r="B43" s="16" t="s">
        <v>340</v>
      </c>
      <c r="C43" s="112" t="s">
        <v>341</v>
      </c>
      <c r="D43" s="112"/>
      <c r="E43" s="112"/>
      <c r="F43" s="112"/>
      <c r="G43" s="112"/>
      <c r="H43" s="112"/>
      <c r="I43" s="112"/>
      <c r="J43" s="112"/>
    </row>
    <row r="44" spans="2:10" ht="31.5" customHeight="1" x14ac:dyDescent="0.25">
      <c r="B44" s="16" t="s">
        <v>342</v>
      </c>
      <c r="C44" s="112" t="s">
        <v>343</v>
      </c>
      <c r="D44" s="112"/>
      <c r="E44" s="112"/>
      <c r="F44" s="112"/>
      <c r="G44" s="112"/>
      <c r="H44" s="112"/>
      <c r="I44" s="112"/>
      <c r="J44" s="112"/>
    </row>
    <row r="45" spans="2:10" ht="31.5" customHeight="1" x14ac:dyDescent="0.25">
      <c r="B45" s="16" t="s">
        <v>344</v>
      </c>
      <c r="C45" s="112" t="s">
        <v>345</v>
      </c>
      <c r="D45" s="112"/>
      <c r="E45" s="112"/>
      <c r="F45" s="112"/>
      <c r="G45" s="112"/>
      <c r="H45" s="112"/>
      <c r="I45" s="112"/>
      <c r="J45" s="112"/>
    </row>
    <row r="46" spans="2:10" s="7" customFormat="1" ht="10.5" customHeight="1" x14ac:dyDescent="0.25"/>
    <row r="47" spans="2:10" s="7" customFormat="1" ht="19.5" customHeight="1" x14ac:dyDescent="0.25">
      <c r="B47" s="110" t="s">
        <v>346</v>
      </c>
      <c r="C47" s="110"/>
      <c r="D47" s="110"/>
      <c r="E47" s="110"/>
      <c r="F47" s="110"/>
      <c r="G47" s="110"/>
      <c r="H47" s="110"/>
      <c r="I47" s="110"/>
      <c r="J47" s="110"/>
    </row>
    <row r="48" spans="2:10" ht="31.5" customHeight="1" x14ac:dyDescent="0.25">
      <c r="B48" s="16" t="s">
        <v>347</v>
      </c>
      <c r="C48" s="112" t="s">
        <v>348</v>
      </c>
      <c r="D48" s="112"/>
      <c r="E48" s="112"/>
      <c r="F48" s="112"/>
      <c r="G48" s="112"/>
      <c r="H48" s="112"/>
      <c r="I48" s="112"/>
      <c r="J48" s="112"/>
    </row>
    <row r="49" spans="2:10" s="7" customFormat="1" ht="10.5" customHeight="1" x14ac:dyDescent="0.25"/>
    <row r="50" spans="2:10" s="7" customFormat="1" ht="19.5" customHeight="1" x14ac:dyDescent="0.25">
      <c r="B50" s="110" t="s">
        <v>349</v>
      </c>
      <c r="C50" s="110"/>
      <c r="D50" s="110"/>
      <c r="E50" s="110"/>
      <c r="F50" s="110"/>
      <c r="G50" s="110"/>
      <c r="H50" s="110"/>
      <c r="I50" s="110"/>
      <c r="J50" s="110"/>
    </row>
    <row r="51" spans="2:10" ht="31.5" customHeight="1" x14ac:dyDescent="0.25">
      <c r="B51" s="16" t="s">
        <v>317</v>
      </c>
      <c r="C51" s="112" t="s">
        <v>350</v>
      </c>
      <c r="D51" s="112"/>
      <c r="E51" s="112"/>
      <c r="F51" s="112"/>
      <c r="G51" s="112"/>
      <c r="H51" s="112"/>
      <c r="I51" s="112"/>
      <c r="J51" s="112"/>
    </row>
    <row r="52" spans="2:10" ht="19.5" customHeight="1" x14ac:dyDescent="0.25">
      <c r="B52" s="16" t="s">
        <v>319</v>
      </c>
      <c r="C52" s="112" t="s">
        <v>351</v>
      </c>
      <c r="D52" s="112"/>
      <c r="E52" s="112"/>
      <c r="F52" s="112"/>
      <c r="G52" s="112"/>
      <c r="H52" s="112"/>
      <c r="I52" s="112"/>
      <c r="J52" s="112"/>
    </row>
    <row r="53" spans="2:10" ht="31.5" customHeight="1" x14ac:dyDescent="0.25">
      <c r="B53" s="16" t="s">
        <v>321</v>
      </c>
      <c r="C53" s="112" t="s">
        <v>352</v>
      </c>
      <c r="D53" s="112"/>
      <c r="E53" s="112"/>
      <c r="F53" s="112"/>
      <c r="G53" s="112"/>
      <c r="H53" s="112"/>
      <c r="I53" s="112"/>
      <c r="J53" s="112"/>
    </row>
    <row r="54" spans="2:10" ht="19.5" customHeight="1" x14ac:dyDescent="0.25">
      <c r="B54" s="16" t="s">
        <v>323</v>
      </c>
      <c r="C54" s="112" t="s">
        <v>353</v>
      </c>
      <c r="D54" s="112"/>
      <c r="E54" s="112"/>
      <c r="F54" s="112"/>
      <c r="G54" s="112"/>
      <c r="H54" s="112"/>
      <c r="I54" s="112"/>
      <c r="J54" s="112"/>
    </row>
    <row r="55" spans="2:10" ht="31.5" customHeight="1" x14ac:dyDescent="0.25">
      <c r="B55" s="16" t="s">
        <v>325</v>
      </c>
      <c r="C55" s="112" t="s">
        <v>354</v>
      </c>
      <c r="D55" s="112"/>
      <c r="E55" s="112"/>
      <c r="F55" s="112"/>
      <c r="G55" s="112"/>
      <c r="H55" s="112"/>
      <c r="I55" s="112"/>
      <c r="J55" s="112"/>
    </row>
    <row r="56" spans="2:10" ht="19.5" customHeight="1" x14ac:dyDescent="0.25">
      <c r="B56" s="16" t="s">
        <v>327</v>
      </c>
      <c r="C56" s="112" t="s">
        <v>355</v>
      </c>
      <c r="D56" s="112"/>
      <c r="E56" s="112"/>
      <c r="F56" s="112"/>
      <c r="G56" s="112"/>
      <c r="H56" s="112"/>
      <c r="I56" s="112"/>
      <c r="J56" s="112"/>
    </row>
    <row r="57" spans="2:10" s="7" customFormat="1" ht="10.5" customHeight="1" x14ac:dyDescent="0.25"/>
    <row r="58" spans="2:10" s="7" customFormat="1" ht="19.5" customHeight="1" x14ac:dyDescent="0.25">
      <c r="B58" s="110" t="s">
        <v>356</v>
      </c>
      <c r="C58" s="110"/>
      <c r="D58" s="110"/>
      <c r="E58" s="110"/>
      <c r="F58" s="110"/>
      <c r="G58" s="110"/>
      <c r="H58" s="110"/>
      <c r="I58" s="110"/>
      <c r="J58" s="110"/>
    </row>
    <row r="59" spans="2:10" ht="19.5" customHeight="1" x14ac:dyDescent="0.25">
      <c r="B59" s="16" t="s">
        <v>357</v>
      </c>
      <c r="C59" s="112" t="s">
        <v>358</v>
      </c>
      <c r="D59" s="112"/>
      <c r="E59" s="112"/>
      <c r="F59" s="112"/>
      <c r="G59" s="112"/>
      <c r="H59" s="112"/>
      <c r="I59" s="112"/>
      <c r="J59" s="112"/>
    </row>
    <row r="60" spans="2:10" ht="19.5" customHeight="1" x14ac:dyDescent="0.25">
      <c r="B60" s="16" t="s">
        <v>359</v>
      </c>
      <c r="C60" s="112" t="s">
        <v>360</v>
      </c>
      <c r="D60" s="112"/>
      <c r="E60" s="112"/>
      <c r="F60" s="112"/>
      <c r="G60" s="112"/>
      <c r="H60" s="112"/>
      <c r="I60" s="112"/>
      <c r="J60" s="112"/>
    </row>
    <row r="61" spans="2:10" ht="19.5" customHeight="1" x14ac:dyDescent="0.25">
      <c r="B61" s="16" t="s">
        <v>361</v>
      </c>
      <c r="C61" s="112" t="s">
        <v>362</v>
      </c>
      <c r="D61" s="112"/>
      <c r="E61" s="112"/>
      <c r="F61" s="112"/>
      <c r="G61" s="112"/>
      <c r="H61" s="112"/>
      <c r="I61" s="112"/>
      <c r="J61" s="112"/>
    </row>
    <row r="62" spans="2:10" ht="19.5" customHeight="1" x14ac:dyDescent="0.25">
      <c r="B62" s="16" t="s">
        <v>363</v>
      </c>
      <c r="C62" s="112" t="s">
        <v>364</v>
      </c>
      <c r="D62" s="112"/>
      <c r="E62" s="112"/>
      <c r="F62" s="112"/>
      <c r="G62" s="112"/>
      <c r="H62" s="112"/>
      <c r="I62" s="112"/>
      <c r="J62" s="112"/>
    </row>
    <row r="63" spans="2:10" s="7" customFormat="1" ht="14.25" x14ac:dyDescent="0.25"/>
    <row r="64" spans="2:10" s="7" customFormat="1" ht="14.25" x14ac:dyDescent="0.25">
      <c r="B64" s="78" t="s">
        <v>365</v>
      </c>
    </row>
  </sheetData>
  <sheetProtection password="930D" sheet="1" objects="1" scenarios="1"/>
  <mergeCells count="47">
    <mergeCell ref="C61:J61"/>
    <mergeCell ref="C62:J62"/>
    <mergeCell ref="C55:J55"/>
    <mergeCell ref="C56:J56"/>
    <mergeCell ref="B58:J58"/>
    <mergeCell ref="C59:J59"/>
    <mergeCell ref="C60:J60"/>
    <mergeCell ref="B50:J50"/>
    <mergeCell ref="C51:J51"/>
    <mergeCell ref="C52:J52"/>
    <mergeCell ref="C53:J53"/>
    <mergeCell ref="C54:J54"/>
    <mergeCell ref="C43:J43"/>
    <mergeCell ref="C44:J44"/>
    <mergeCell ref="C45:J45"/>
    <mergeCell ref="B47:J47"/>
    <mergeCell ref="C48:J48"/>
    <mergeCell ref="C36:J36"/>
    <mergeCell ref="B38:J38"/>
    <mergeCell ref="C39:J39"/>
    <mergeCell ref="C40:J40"/>
    <mergeCell ref="B42:J42"/>
    <mergeCell ref="C30:J30"/>
    <mergeCell ref="C31:J31"/>
    <mergeCell ref="C32:J32"/>
    <mergeCell ref="B34:J34"/>
    <mergeCell ref="C35:J35"/>
    <mergeCell ref="C24:J24"/>
    <mergeCell ref="B26:J26"/>
    <mergeCell ref="C27:J27"/>
    <mergeCell ref="C28:J28"/>
    <mergeCell ref="C29:J29"/>
    <mergeCell ref="C18:J18"/>
    <mergeCell ref="B20:J20"/>
    <mergeCell ref="C21:J21"/>
    <mergeCell ref="C22:J22"/>
    <mergeCell ref="C23:J23"/>
    <mergeCell ref="C12:J12"/>
    <mergeCell ref="B14:J14"/>
    <mergeCell ref="C15:J15"/>
    <mergeCell ref="C16:J16"/>
    <mergeCell ref="C17:J17"/>
    <mergeCell ref="B7:J7"/>
    <mergeCell ref="C8:J8"/>
    <mergeCell ref="C9:J9"/>
    <mergeCell ref="C10:J10"/>
    <mergeCell ref="C11:J11"/>
  </mergeCells>
  <conditionalFormatting sqref="B8">
    <cfRule type="expression" dxfId="9" priority="1">
      <formula>AND(kpiUsuarios&gt;0,kpiAdmins&gt;0)</formula>
    </cfRule>
    <cfRule type="expression" dxfId="8" priority="2">
      <formula>NOT(AND(kpiUsuarios&gt;0,kpiAdmins&gt;0))</formula>
    </cfRule>
  </conditionalFormatting>
  <conditionalFormatting sqref="B9">
    <cfRule type="expression" dxfId="7" priority="3">
      <formula>kpiCatalogo&gt;0</formula>
    </cfRule>
    <cfRule type="expression" dxfId="6" priority="4">
      <formula>NOT(kpiCatalogo&gt;0)</formula>
    </cfRule>
  </conditionalFormatting>
  <conditionalFormatting sqref="B10">
    <cfRule type="expression" dxfId="5" priority="5">
      <formula>kpiProveedores&gt;0</formula>
    </cfRule>
    <cfRule type="expression" dxfId="4" priority="6">
      <formula>NOT(kpiProveedores&gt;0)</formula>
    </cfRule>
  </conditionalFormatting>
  <conditionalFormatting sqref="B11">
    <cfRule type="expression" dxfId="3" priority="7">
      <formula>N(stkActualizado)&gt;0</formula>
    </cfRule>
    <cfRule type="expression" dxfId="2" priority="8">
      <formula>NOT(N(stkActualizado)&gt;0)</formula>
    </cfRule>
  </conditionalFormatting>
  <conditionalFormatting sqref="B12">
    <cfRule type="expression" dxfId="1" priority="9">
      <formula>AND(kpiActivos&gt;0,kpiSaldosIni&gt;=kpiActivos)</formula>
    </cfRule>
    <cfRule type="expression" dxfId="0" priority="10">
      <formula>NOT(AND(kpiActivos&gt;0,kpiSaldosIni&gt;=kpiActivos))</formula>
    </cfRule>
  </conditionalFormatting>
  <hyperlinks>
    <hyperlink ref="B5" location="'00_PORTADA_BODEGA'!A1" tooltip="Portada de Bodega" display="⌂ Bodega" xr:uid="{00000000-0004-0000-0F00-000000000000}"/>
    <hyperlink ref="C5" location="'00_PORTADA_VENTAS'!A1" tooltip="Portada de Ventas" display="⌂ Ventas" xr:uid="{00000000-0004-0000-0F00-000001000000}"/>
    <hyperlink ref="D5" location="'10A_ENTRADAS'!C9" tooltip="Registrar entradas y ajustes (Bodega)" display="⇩ Entradas" xr:uid="{00000000-0004-0000-0F00-000002000000}"/>
    <hyperlink ref="E5" location="'10B_SALIDAS'!E9" tooltip="Registrar salidas (Ventas)" display="⇧ Salidas" xr:uid="{00000000-0004-0000-0F00-000003000000}"/>
    <hyperlink ref="F5" location="'15_STOCK'!A1" tooltip="Stock (instantánea recalculada a demanda)" display="▦ Stock" xr:uid="{00000000-0004-0000-0F00-000004000000}"/>
    <hyperlink ref="G5" location="'16_ALERTAS'!A1" tooltip="Productos que requieren acción" display="⚠ Alertas" xr:uid="{00000000-0004-0000-0F00-000005000000}"/>
    <hyperlink ref="H5" location="'05_PRODUCTOS'!A1" tooltip="Catálogo de productos" display="☰ Catálogo" xr:uid="{00000000-0004-0000-0F00-000006000000}"/>
    <hyperlink ref="I5" location="'99_AYUDA'!A1" tooltip="Guía de uso y de instalación" display="? Guía" xr:uid="{00000000-0004-0000-0F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65</vt:i4>
      </vt:variant>
    </vt:vector>
  </HeadingPairs>
  <TitlesOfParts>
    <vt:vector size="75" baseType="lpstr">
      <vt:lpstr>00_PORTADA_BODEGA</vt:lpstr>
      <vt:lpstr>00_PORTADA_VENTAS</vt:lpstr>
      <vt:lpstr>02_USUARIOS</vt:lpstr>
      <vt:lpstr>04_PROVEEDORES</vt:lpstr>
      <vt:lpstr>05_PRODUCTOS</vt:lpstr>
      <vt:lpstr>10A_ENTRADAS</vt:lpstr>
      <vt:lpstr>10B_SALIDAS</vt:lpstr>
      <vt:lpstr>15_STOCK</vt:lpstr>
      <vt:lpstr>16_ALERTAS</vt:lpstr>
      <vt:lpstr>99_AYUDA</vt:lpstr>
      <vt:lpstr>cfgBodega</vt:lpstr>
      <vt:lpstr>cfgDiasSinRotacion</vt:lpstr>
      <vt:lpstr>cfgEdicion</vt:lpstr>
      <vt:lpstr>cfgEmpresa</vt:lpstr>
      <vt:lpstr>cfgFechaBuild</vt:lpstr>
      <vt:lpstr>cfgFechaMin</vt:lpstr>
      <vt:lpstr>cfgMargenAlerta</vt:lpstr>
      <vt:lpstr>cfgMoneda</vt:lpstr>
      <vt:lpstr>cfgNIT</vt:lpstr>
      <vt:lpstr>cfgProveedor</vt:lpstr>
      <vt:lpstr>cfgVersion</vt:lpstr>
      <vt:lpstr>kpiActivos</vt:lpstr>
      <vt:lpstr>kpiAdmins</vt:lpstr>
      <vt:lpstr>kpiAgotados</vt:lpstr>
      <vt:lpstr>kpiAjustesMes</vt:lpstr>
      <vt:lpstr>kpiBajos</vt:lpstr>
      <vt:lpstr>kpiCatalogo</vt:lpstr>
      <vt:lpstr>kpiCriticos</vt:lpstr>
      <vt:lpstr>kpiDisponibles</vt:lpstr>
      <vt:lpstr>kpiEnAlerta</vt:lpstr>
      <vt:lpstr>kpiEntradasHoy</vt:lpstr>
      <vt:lpstr>kpiInactivos</vt:lpstr>
      <vt:lpstr>kpiInconsistentes</vt:lpstr>
      <vt:lpstr>kpiNuevosDesdeCalculo</vt:lpstr>
      <vt:lpstr>kpiOptimos</vt:lpstr>
      <vt:lpstr>kpiPendEnt</vt:lpstr>
      <vt:lpstr>kpiPendSal</vt:lpstr>
      <vt:lpstr>kpiProveedores</vt:lpstr>
      <vt:lpstr>kpiRechazos</vt:lpstr>
      <vt:lpstr>kpiRechEnt</vt:lpstr>
      <vt:lpstr>kpiRechSal</vt:lpstr>
      <vt:lpstr>kpiRegEnt</vt:lpstr>
      <vt:lpstr>kpiRegSal</vt:lpstr>
      <vt:lpstr>kpiSaldosIni</vt:lpstr>
      <vt:lpstr>kpiSalidasHoy</vt:lpstr>
      <vt:lpstr>kpiSalidasMes</vt:lpstr>
      <vt:lpstr>kpiSinRotacion</vt:lpstr>
      <vt:lpstr>kpiSobrestock</vt:lpstr>
      <vt:lpstr>kpiUltProd</vt:lpstr>
      <vt:lpstr>kpiUltProv</vt:lpstr>
      <vt:lpstr>kpiUnidadesHoy</vt:lpstr>
      <vt:lpstr>kpiUsuarios</vt:lpstr>
      <vt:lpstr>kpiValor</vt:lpstr>
      <vt:lpstr>lstCategorias</vt:lpstr>
      <vt:lpstr>lstRoles</vt:lpstr>
      <vt:lpstr>lstTiposBodega</vt:lpstr>
      <vt:lpstr>lstUniCod</vt:lpstr>
      <vt:lpstr>lstUniDec</vt:lpstr>
      <vt:lpstr>stkActualizado</vt:lpstr>
      <vt:lpstr>stkActualizadoNombre</vt:lpstr>
      <vt:lpstr>stkActualizadoPor</vt:lpstr>
      <vt:lpstr>stkMovimientos</vt:lpstr>
      <vt:lpstr>'04_PROVEEDORES'!Títulos_a_imprimir</vt:lpstr>
      <vt:lpstr>'05_PRODUCTOS'!Títulos_a_imprimir</vt:lpstr>
      <vt:lpstr>'15_STOCK'!Títulos_a_imprimir</vt:lpstr>
      <vt:lpstr>'16_ALERTAS'!Títulos_a_imprimir</vt:lpstr>
      <vt:lpstr>txtAlertasBtn</vt:lpstr>
      <vt:lpstr>txtBitacoras</vt:lpstr>
      <vt:lpstr>txtEmpresa</vt:lpstr>
      <vt:lpstr>txtFrescura</vt:lpstr>
      <vt:lpstr>txtFrescuraCorta</vt:lpstr>
      <vt:lpstr>txtHoy</vt:lpstr>
      <vt:lpstr>txtPasoBodega</vt:lpstr>
      <vt:lpstr>txtPasoVentas</vt:lpstr>
      <vt:lpstr>txtStockActualizado</vt:lpstr>
    </vt:vector>
  </TitlesOfParts>
  <Company>Z&amp;P Software Fast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M-INV · Inventario colaborativo</dc:title>
  <dc:subject>Inventario B2B en Microsoft 365 (CQRS fragmentado)</dc:subject>
  <dc:creator>Z&amp;P Software Fast Solutions</dc:creator>
  <cp:keywords>M-INV, inventario, Office Scripts, coautoría, CQRS</cp:keywords>
  <dc:description>Generado por tools/build_minv_v2.py. No editar a mano: regenerar desde el repositorio.</dc:description>
  <cp:lastModifiedBy>John Martin Zabaleta Cano</cp:lastModifiedBy>
  <dcterms:created xsi:type="dcterms:W3CDTF">2026-09-25T12:44:15Z</dcterms:created>
  <dcterms:modified xsi:type="dcterms:W3CDTF">2026-09-25T12:44:31Z</dcterms:modified>
  <cp:category>Inventarios</cp:category>
  <cp:contentStatus>Producción</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NV Version">
    <vt:lpwstr>2.0.0</vt:lpwstr>
  </property>
  <property fmtid="{D5CDD505-2E9C-101B-9397-08002B2CF9AE}" pid="3" name="M-INV Build">
    <vt:lpwstr>release</vt:lpwstr>
  </property>
  <property fmtid="{D5CDD505-2E9C-101B-9397-08002B2CF9AE}" pid="4" name="M-INV Edicion">
    <vt:lpwstr>colaborativa</vt:lpwstr>
  </property>
</Properties>
</file>